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hdd\Desktop\annotation_150\"/>
    </mc:Choice>
  </mc:AlternateContent>
  <xr:revisionPtr revIDLastSave="0" documentId="13_ncr:1_{54249817-1C90-4C77-9EDF-C15A0EE81BF1}" xr6:coauthVersionLast="45" xr6:coauthVersionMax="45" xr10:uidLastSave="{00000000-0000-0000-0000-000000000000}"/>
  <bookViews>
    <workbookView xWindow="384" yWindow="384" windowWidth="21252" windowHeight="11184" tabRatio="868" activeTab="3" xr2:uid="{00000000-000D-0000-FFFF-FFFF00000000}"/>
  </bookViews>
  <sheets>
    <sheet name="ScoreCard" sheetId="18" r:id="rId1"/>
    <sheet name="Error Log" sheetId="14" r:id="rId2"/>
    <sheet name="Scores per segment" sheetId="21" r:id="rId3"/>
    <sheet name="Severity_Matrix" sheetId="19" r:id="rId4"/>
  </sheets>
  <functionGroups builtInGroupCount="19"/>
  <definedNames>
    <definedName name="_xlnm._FilterDatabase" localSheetId="1" hidden="1">'Error Log'!$A$1:$L$404</definedName>
    <definedName name="_xlnm._FilterDatabase" localSheetId="2" hidden="1">'Scores per segment'!$A$1:$J$501</definedName>
    <definedName name="Accuracy">Severity_Matrix!$B$14:$B$18</definedName>
    <definedName name="Addition">Severity_Matrix!$A$26:$A$33</definedName>
    <definedName name="Duplication">Severity_Matrix!$D$41:$D$48</definedName>
    <definedName name="Fluency">Severity_Matrix!$C$14:$C$18</definedName>
    <definedName name="Inaccuracy_external">Severity_Matrix!$D$26:$D$33</definedName>
    <definedName name="Inaccuracy_internal">Severity_Matrix!$C$26:$C$33</definedName>
    <definedName name="Inappropriate_Selection_of_Words">Severity_Matrix!$B$41:$B$48</definedName>
    <definedName name="Issue_Type">Severity_Matrix!$A$14:$A$16</definedName>
    <definedName name="Omission">Severity_Matrix!$B$26:$B$33</definedName>
    <definedName name="Positive_Negative_Aspect">Severity_Matrix!$E$26:$E$33</definedName>
    <definedName name="Spelling">Severity_Matrix!$C$41:$C$48</definedName>
    <definedName name="Word_From">Severity_Matrix!$E$41:$E$48</definedName>
    <definedName name="Word_Order">Severity_Matrix!$A$41:$A$48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J405" i="14" l="1"/>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366" i="14" l="1"/>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211" i="14" l="1"/>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129" i="14"/>
  <c r="J130" i="14"/>
  <c r="J131" i="14"/>
  <c r="J132" i="14"/>
  <c r="J133" i="14"/>
  <c r="J134" i="14"/>
  <c r="J135" i="14"/>
  <c r="J136" i="14"/>
  <c r="J137" i="14"/>
  <c r="J138" i="14"/>
  <c r="J139" i="14"/>
  <c r="J140" i="14"/>
  <c r="J141" i="14"/>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H31" i="18" l="1"/>
  <c r="I35" i="18" l="1"/>
  <c r="I34" i="18"/>
  <c r="I33" i="18"/>
  <c r="H35" i="18"/>
  <c r="H34" i="18"/>
  <c r="H33" i="18"/>
  <c r="I32" i="18"/>
  <c r="H32" i="18"/>
  <c r="I31" i="18"/>
  <c r="I30" i="18"/>
  <c r="H30" i="18"/>
  <c r="H29" i="18"/>
  <c r="I29" i="18"/>
  <c r="I28" i="18"/>
  <c r="H28" i="18"/>
  <c r="D28" i="18"/>
  <c r="D31" i="18"/>
  <c r="E31" i="18"/>
  <c r="F31" i="18"/>
  <c r="G31" i="18"/>
  <c r="J31" i="18"/>
  <c r="K31" i="18"/>
  <c r="H2" i="21"/>
  <c r="I2" i="21"/>
  <c r="H3" i="21"/>
  <c r="I3" i="21"/>
  <c r="H4" i="21"/>
  <c r="I4" i="21"/>
  <c r="H5" i="21"/>
  <c r="I5" i="21"/>
  <c r="H6" i="21"/>
  <c r="I6" i="21"/>
  <c r="H7" i="21"/>
  <c r="I7" i="21"/>
  <c r="H8" i="21"/>
  <c r="I8" i="21"/>
  <c r="H9" i="21"/>
  <c r="I9" i="21"/>
  <c r="H10" i="21"/>
  <c r="I10" i="21"/>
  <c r="H11" i="21"/>
  <c r="I11" i="21"/>
  <c r="H12" i="21"/>
  <c r="I12" i="21"/>
  <c r="H13" i="21"/>
  <c r="I13" i="21"/>
  <c r="H14" i="21"/>
  <c r="I14" i="21"/>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H54" i="21"/>
  <c r="I54" i="21"/>
  <c r="H55" i="21"/>
  <c r="I55" i="21"/>
  <c r="H56" i="21"/>
  <c r="I56" i="21"/>
  <c r="H57" i="21"/>
  <c r="I57" i="21"/>
  <c r="H58" i="21"/>
  <c r="I58" i="21"/>
  <c r="H59" i="21"/>
  <c r="I59" i="21"/>
  <c r="H60" i="21"/>
  <c r="I60" i="21"/>
  <c r="H61" i="21"/>
  <c r="I61" i="21"/>
  <c r="H62" i="21"/>
  <c r="I62" i="21"/>
  <c r="H63" i="21"/>
  <c r="I63" i="21"/>
  <c r="H64" i="21"/>
  <c r="I64" i="21"/>
  <c r="H65" i="21"/>
  <c r="I65" i="21"/>
  <c r="H66" i="21"/>
  <c r="I66" i="21"/>
  <c r="H67" i="21"/>
  <c r="I67" i="21"/>
  <c r="H68" i="21"/>
  <c r="I68" i="21"/>
  <c r="H69" i="21"/>
  <c r="I69" i="21"/>
  <c r="H70" i="21"/>
  <c r="I70" i="21"/>
  <c r="H71" i="21"/>
  <c r="I71" i="21"/>
  <c r="H72" i="21"/>
  <c r="I72" i="21"/>
  <c r="H73" i="21"/>
  <c r="I73" i="21"/>
  <c r="H74" i="21"/>
  <c r="I74" i="21"/>
  <c r="H75" i="21"/>
  <c r="I75" i="21"/>
  <c r="H76" i="21"/>
  <c r="I76" i="21"/>
  <c r="H77" i="21"/>
  <c r="I77" i="21"/>
  <c r="H78" i="21"/>
  <c r="I78" i="21"/>
  <c r="H79" i="21"/>
  <c r="I79" i="21"/>
  <c r="H80" i="21"/>
  <c r="I80" i="21"/>
  <c r="H81" i="21"/>
  <c r="I81" i="21"/>
  <c r="H82" i="21"/>
  <c r="I82" i="21"/>
  <c r="H83" i="21"/>
  <c r="I83" i="21"/>
  <c r="H84" i="21"/>
  <c r="I84" i="21"/>
  <c r="H85" i="21"/>
  <c r="I85" i="21"/>
  <c r="H86" i="21"/>
  <c r="I86" i="21"/>
  <c r="H87" i="21"/>
  <c r="I87" i="21"/>
  <c r="H88" i="21"/>
  <c r="I88" i="21"/>
  <c r="H89" i="21"/>
  <c r="I89" i="21"/>
  <c r="H90" i="21"/>
  <c r="I90" i="21"/>
  <c r="H91" i="21"/>
  <c r="I91" i="21"/>
  <c r="H92" i="21"/>
  <c r="I92" i="21"/>
  <c r="H93" i="21"/>
  <c r="I93" i="21"/>
  <c r="H94" i="21"/>
  <c r="I94" i="21"/>
  <c r="H95" i="21"/>
  <c r="I95" i="21"/>
  <c r="H96" i="21"/>
  <c r="I96" i="21"/>
  <c r="H97" i="21"/>
  <c r="I97" i="21"/>
  <c r="H98" i="21"/>
  <c r="I98" i="21"/>
  <c r="H99" i="21"/>
  <c r="I99" i="21"/>
  <c r="H100" i="21"/>
  <c r="I100" i="21"/>
  <c r="H101" i="21"/>
  <c r="I101" i="21"/>
  <c r="H102" i="21"/>
  <c r="I102" i="21"/>
  <c r="H103" i="21"/>
  <c r="I103" i="21"/>
  <c r="H104" i="21"/>
  <c r="I104" i="21"/>
  <c r="H105" i="21"/>
  <c r="I105" i="21"/>
  <c r="H106" i="21"/>
  <c r="I106" i="21"/>
  <c r="H107" i="21"/>
  <c r="I107" i="21"/>
  <c r="H108" i="21"/>
  <c r="I108" i="21"/>
  <c r="H109" i="21"/>
  <c r="I109" i="21"/>
  <c r="H110" i="21"/>
  <c r="I110" i="21"/>
  <c r="H111" i="21"/>
  <c r="I111" i="21"/>
  <c r="H112" i="21"/>
  <c r="I112" i="21"/>
  <c r="H113" i="21"/>
  <c r="I113" i="21"/>
  <c r="H114" i="21"/>
  <c r="I114" i="21"/>
  <c r="H115" i="21"/>
  <c r="I115" i="21"/>
  <c r="H116" i="21"/>
  <c r="I116" i="21"/>
  <c r="H117" i="21"/>
  <c r="I117" i="21"/>
  <c r="H118" i="21"/>
  <c r="I118" i="21"/>
  <c r="H119" i="21"/>
  <c r="I119" i="21"/>
  <c r="H120" i="21"/>
  <c r="I120" i="21"/>
  <c r="H121" i="21"/>
  <c r="I121" i="21"/>
  <c r="H122" i="21"/>
  <c r="I122" i="21"/>
  <c r="H123" i="21"/>
  <c r="I123" i="21"/>
  <c r="H124" i="21"/>
  <c r="I124" i="21"/>
  <c r="H125" i="21"/>
  <c r="I125" i="21"/>
  <c r="H126" i="21"/>
  <c r="I126" i="21"/>
  <c r="H127" i="21"/>
  <c r="I127" i="21"/>
  <c r="H128" i="21"/>
  <c r="I128" i="21"/>
  <c r="H129" i="21"/>
  <c r="I129" i="21"/>
  <c r="H130" i="21"/>
  <c r="I130" i="21"/>
  <c r="H131" i="21"/>
  <c r="I131" i="21"/>
  <c r="H132" i="21"/>
  <c r="I132" i="21"/>
  <c r="H133" i="21"/>
  <c r="I133" i="21"/>
  <c r="H134" i="21"/>
  <c r="I134" i="21"/>
  <c r="H135" i="21"/>
  <c r="I135" i="21"/>
  <c r="H136" i="21"/>
  <c r="I136" i="21"/>
  <c r="H137" i="21"/>
  <c r="I137" i="21"/>
  <c r="H138" i="21"/>
  <c r="I138" i="21"/>
  <c r="H139" i="21"/>
  <c r="I139" i="21"/>
  <c r="H140" i="21"/>
  <c r="I140" i="21"/>
  <c r="H141" i="21"/>
  <c r="I141" i="21"/>
  <c r="H142" i="21"/>
  <c r="I142" i="21"/>
  <c r="H143" i="21"/>
  <c r="I143" i="21"/>
  <c r="H144" i="21"/>
  <c r="I144" i="21"/>
  <c r="H145" i="21"/>
  <c r="I145" i="21"/>
  <c r="H146" i="21"/>
  <c r="I146" i="21"/>
  <c r="H147" i="21"/>
  <c r="I147" i="21"/>
  <c r="H148" i="21"/>
  <c r="I148" i="21"/>
  <c r="H149" i="21"/>
  <c r="I149" i="21"/>
  <c r="H150" i="21"/>
  <c r="I150" i="21"/>
  <c r="H151" i="21"/>
  <c r="I151" i="21"/>
  <c r="H152" i="21"/>
  <c r="I152" i="21"/>
  <c r="H153" i="21"/>
  <c r="I153" i="21"/>
  <c r="H154" i="21"/>
  <c r="I154" i="21"/>
  <c r="H155" i="21"/>
  <c r="I155" i="21"/>
  <c r="H156" i="21"/>
  <c r="I156" i="21"/>
  <c r="H157" i="21"/>
  <c r="I157" i="21"/>
  <c r="H158" i="21"/>
  <c r="I158" i="21"/>
  <c r="H159" i="21"/>
  <c r="I159" i="21"/>
  <c r="H160" i="21"/>
  <c r="I160" i="21"/>
  <c r="H161" i="21"/>
  <c r="I161" i="21"/>
  <c r="H162" i="21"/>
  <c r="I162" i="21"/>
  <c r="H163" i="21"/>
  <c r="I163" i="21"/>
  <c r="H164" i="21"/>
  <c r="I164" i="21"/>
  <c r="H165" i="21"/>
  <c r="I165" i="21"/>
  <c r="H166" i="21"/>
  <c r="I166" i="21"/>
  <c r="H167" i="21"/>
  <c r="I167" i="21"/>
  <c r="H168" i="21"/>
  <c r="I168" i="21"/>
  <c r="H169" i="21"/>
  <c r="I169" i="21"/>
  <c r="H170" i="21"/>
  <c r="I170" i="21"/>
  <c r="H171" i="21"/>
  <c r="I171" i="21"/>
  <c r="H172" i="21"/>
  <c r="I172" i="21"/>
  <c r="H173" i="21"/>
  <c r="I173" i="21"/>
  <c r="H174" i="21"/>
  <c r="I174" i="21"/>
  <c r="H175" i="21"/>
  <c r="I175" i="21"/>
  <c r="H176" i="21"/>
  <c r="I176" i="21"/>
  <c r="H177" i="21"/>
  <c r="I177" i="21"/>
  <c r="H178" i="21"/>
  <c r="I178" i="21"/>
  <c r="H179" i="21"/>
  <c r="I179" i="21"/>
  <c r="H180" i="21"/>
  <c r="I180" i="21"/>
  <c r="H181" i="21"/>
  <c r="I181" i="21"/>
  <c r="H182" i="21"/>
  <c r="I182" i="21"/>
  <c r="H183" i="21"/>
  <c r="I183" i="21"/>
  <c r="H184" i="21"/>
  <c r="I184" i="21"/>
  <c r="H185" i="21"/>
  <c r="I185" i="21"/>
  <c r="H186" i="21"/>
  <c r="I186" i="21"/>
  <c r="H187" i="21"/>
  <c r="I187" i="21"/>
  <c r="H188" i="21"/>
  <c r="I188" i="21"/>
  <c r="H189" i="21"/>
  <c r="I189" i="21"/>
  <c r="H190" i="21"/>
  <c r="I190" i="21"/>
  <c r="H191" i="21"/>
  <c r="I191" i="21"/>
  <c r="H192" i="21"/>
  <c r="I192" i="21"/>
  <c r="H193" i="21"/>
  <c r="I193" i="21"/>
  <c r="H194" i="21"/>
  <c r="I194" i="21"/>
  <c r="H195" i="21"/>
  <c r="I195" i="21"/>
  <c r="H196" i="21"/>
  <c r="I196" i="21"/>
  <c r="H197" i="21"/>
  <c r="I197" i="21"/>
  <c r="H198" i="21"/>
  <c r="I198" i="21"/>
  <c r="H199" i="21"/>
  <c r="I199" i="21"/>
  <c r="H200" i="21"/>
  <c r="I200" i="21"/>
  <c r="H201" i="21"/>
  <c r="I201" i="21"/>
  <c r="H202" i="21"/>
  <c r="I202" i="21"/>
  <c r="H203" i="21"/>
  <c r="I203" i="21"/>
  <c r="H204" i="21"/>
  <c r="I204" i="21"/>
  <c r="H205" i="21"/>
  <c r="I205" i="21"/>
  <c r="H206" i="21"/>
  <c r="I206" i="21"/>
  <c r="H207" i="21"/>
  <c r="I207" i="21"/>
  <c r="H208" i="21"/>
  <c r="I208" i="21"/>
  <c r="H209" i="21"/>
  <c r="I209" i="21"/>
  <c r="H210" i="21"/>
  <c r="I210" i="21"/>
  <c r="H211" i="21"/>
  <c r="I211" i="21"/>
  <c r="H212" i="21"/>
  <c r="I212" i="21"/>
  <c r="H213" i="21"/>
  <c r="I213" i="21"/>
  <c r="H214" i="21"/>
  <c r="I214" i="21"/>
  <c r="H215" i="21"/>
  <c r="I215" i="21"/>
  <c r="H216" i="21"/>
  <c r="I216" i="21"/>
  <c r="H217" i="21"/>
  <c r="I217" i="21"/>
  <c r="H218" i="21"/>
  <c r="I218" i="21"/>
  <c r="H219" i="21"/>
  <c r="I219" i="21"/>
  <c r="H220" i="21"/>
  <c r="I220" i="21"/>
  <c r="H221" i="21"/>
  <c r="I221" i="21"/>
  <c r="H222" i="21"/>
  <c r="I222" i="21"/>
  <c r="H223" i="21"/>
  <c r="I223" i="21"/>
  <c r="H224" i="21"/>
  <c r="I224" i="21"/>
  <c r="H225" i="21"/>
  <c r="I225" i="21"/>
  <c r="H226" i="21"/>
  <c r="I226" i="21"/>
  <c r="H227" i="21"/>
  <c r="I227" i="21"/>
  <c r="H228" i="21"/>
  <c r="I228" i="21"/>
  <c r="H229" i="21"/>
  <c r="I229" i="21"/>
  <c r="H230" i="21"/>
  <c r="I230" i="21"/>
  <c r="H231" i="21"/>
  <c r="I231" i="21"/>
  <c r="H232" i="21"/>
  <c r="I232" i="21"/>
  <c r="H233" i="21"/>
  <c r="I233" i="21"/>
  <c r="H234" i="21"/>
  <c r="I234" i="21"/>
  <c r="H235" i="21"/>
  <c r="I235" i="21"/>
  <c r="H236" i="21"/>
  <c r="I236" i="21"/>
  <c r="H237" i="21"/>
  <c r="I237" i="21"/>
  <c r="H238" i="21"/>
  <c r="I238" i="21"/>
  <c r="H239" i="21"/>
  <c r="I239" i="21"/>
  <c r="H240" i="21"/>
  <c r="I240" i="21"/>
  <c r="H241" i="21"/>
  <c r="I241" i="21"/>
  <c r="H242" i="21"/>
  <c r="I242" i="21"/>
  <c r="H243" i="21"/>
  <c r="I243" i="21"/>
  <c r="H244" i="21"/>
  <c r="I244" i="21"/>
  <c r="H245" i="21"/>
  <c r="I245" i="21"/>
  <c r="H246" i="21"/>
  <c r="I246" i="21"/>
  <c r="H247" i="21"/>
  <c r="I247" i="21"/>
  <c r="H248" i="21"/>
  <c r="I248" i="21"/>
  <c r="H249" i="21"/>
  <c r="I249" i="21"/>
  <c r="H250" i="21"/>
  <c r="I250" i="21"/>
  <c r="H251" i="21"/>
  <c r="I251" i="21"/>
  <c r="H252" i="21"/>
  <c r="I252" i="21"/>
  <c r="H253" i="21"/>
  <c r="I253" i="21"/>
  <c r="H254" i="21"/>
  <c r="I254" i="21"/>
  <c r="H255" i="21"/>
  <c r="I255" i="21"/>
  <c r="H256" i="21"/>
  <c r="I256" i="21"/>
  <c r="H257" i="21"/>
  <c r="I257" i="21"/>
  <c r="H258" i="21"/>
  <c r="I258" i="21"/>
  <c r="H259" i="21"/>
  <c r="I259" i="21"/>
  <c r="H260" i="21"/>
  <c r="I260" i="21"/>
  <c r="H261" i="21"/>
  <c r="I261" i="21"/>
  <c r="H262" i="21"/>
  <c r="I262" i="21"/>
  <c r="H263" i="21"/>
  <c r="I263" i="21"/>
  <c r="H264" i="21"/>
  <c r="I264" i="21"/>
  <c r="H265" i="21"/>
  <c r="I265" i="21"/>
  <c r="H266" i="21"/>
  <c r="I266" i="21"/>
  <c r="H267" i="21"/>
  <c r="I267" i="21"/>
  <c r="H268" i="21"/>
  <c r="I268" i="21"/>
  <c r="H269" i="21"/>
  <c r="I269" i="21"/>
  <c r="H270" i="21"/>
  <c r="I270" i="21"/>
  <c r="H271" i="21"/>
  <c r="I271" i="21"/>
  <c r="H272" i="21"/>
  <c r="I272" i="21"/>
  <c r="H273" i="21"/>
  <c r="I273" i="21"/>
  <c r="H274" i="21"/>
  <c r="I274" i="21"/>
  <c r="H275" i="21"/>
  <c r="I275" i="21"/>
  <c r="H276" i="21"/>
  <c r="I276" i="21"/>
  <c r="H277" i="21"/>
  <c r="I277" i="21"/>
  <c r="H278" i="21"/>
  <c r="I278" i="21"/>
  <c r="H279" i="21"/>
  <c r="I279" i="21"/>
  <c r="H280" i="21"/>
  <c r="I280" i="21"/>
  <c r="H281" i="21"/>
  <c r="I281" i="21"/>
  <c r="H282" i="21"/>
  <c r="I282" i="21"/>
  <c r="H283" i="21"/>
  <c r="I283" i="21"/>
  <c r="H284" i="21"/>
  <c r="I284" i="21"/>
  <c r="H285" i="21"/>
  <c r="I285" i="21"/>
  <c r="H286" i="21"/>
  <c r="I286" i="21"/>
  <c r="H287" i="21"/>
  <c r="I287" i="21"/>
  <c r="H288" i="21"/>
  <c r="I288" i="21"/>
  <c r="H289" i="21"/>
  <c r="I289" i="21"/>
  <c r="H290" i="21"/>
  <c r="I290" i="21"/>
  <c r="H291" i="21"/>
  <c r="I291" i="21"/>
  <c r="H292" i="21"/>
  <c r="I292" i="21"/>
  <c r="H293" i="21"/>
  <c r="I293" i="21"/>
  <c r="H294" i="21"/>
  <c r="I294" i="21"/>
  <c r="H295" i="21"/>
  <c r="I295" i="21"/>
  <c r="H296" i="21"/>
  <c r="I296" i="21"/>
  <c r="H297" i="21"/>
  <c r="I297" i="21"/>
  <c r="H298" i="21"/>
  <c r="I298" i="21"/>
  <c r="H299" i="21"/>
  <c r="I299" i="21"/>
  <c r="H300" i="21"/>
  <c r="I300" i="21"/>
  <c r="H301" i="21"/>
  <c r="I301" i="21"/>
  <c r="H302" i="21"/>
  <c r="I302" i="21"/>
  <c r="H303" i="21"/>
  <c r="I303" i="21"/>
  <c r="H304" i="21"/>
  <c r="I304" i="21"/>
  <c r="H305" i="21"/>
  <c r="I305" i="21"/>
  <c r="H306" i="21"/>
  <c r="I306" i="21"/>
  <c r="H307" i="21"/>
  <c r="I307" i="21"/>
  <c r="H308" i="21"/>
  <c r="I308" i="21"/>
  <c r="H309" i="21"/>
  <c r="I309" i="21"/>
  <c r="H310" i="21"/>
  <c r="I310" i="21"/>
  <c r="H311" i="21"/>
  <c r="I311" i="21"/>
  <c r="H312" i="21"/>
  <c r="I312" i="21"/>
  <c r="H313" i="21"/>
  <c r="I313" i="21"/>
  <c r="H314" i="21"/>
  <c r="I314" i="21"/>
  <c r="H315" i="21"/>
  <c r="I315" i="21"/>
  <c r="H316" i="21"/>
  <c r="I316" i="21"/>
  <c r="H317" i="21"/>
  <c r="I317" i="21"/>
  <c r="H318" i="21"/>
  <c r="I318" i="21"/>
  <c r="H319" i="21"/>
  <c r="I319" i="21"/>
  <c r="H320" i="21"/>
  <c r="I320" i="21"/>
  <c r="H321" i="21"/>
  <c r="I321" i="21"/>
  <c r="H322" i="21"/>
  <c r="I322" i="21"/>
  <c r="H323" i="21"/>
  <c r="I323" i="21"/>
  <c r="H324" i="21"/>
  <c r="I324" i="21"/>
  <c r="H325" i="21"/>
  <c r="I325" i="21"/>
  <c r="H326" i="21"/>
  <c r="I326" i="21"/>
  <c r="H327" i="21"/>
  <c r="I327" i="21"/>
  <c r="H328" i="21"/>
  <c r="I328" i="21"/>
  <c r="H329" i="21"/>
  <c r="I329" i="21"/>
  <c r="H330" i="21"/>
  <c r="I330" i="21"/>
  <c r="H331" i="21"/>
  <c r="I331" i="21"/>
  <c r="H332" i="21"/>
  <c r="I332" i="21"/>
  <c r="H333" i="21"/>
  <c r="I333" i="21"/>
  <c r="H334" i="21"/>
  <c r="I334" i="21"/>
  <c r="H335" i="21"/>
  <c r="I335" i="21"/>
  <c r="H336" i="21"/>
  <c r="I336" i="21"/>
  <c r="H337" i="21"/>
  <c r="I337" i="21"/>
  <c r="H338" i="21"/>
  <c r="I338" i="21"/>
  <c r="H339" i="21"/>
  <c r="I339" i="21"/>
  <c r="H340" i="21"/>
  <c r="I340" i="21"/>
  <c r="H341" i="21"/>
  <c r="I341" i="21"/>
  <c r="H342" i="21"/>
  <c r="I342" i="21"/>
  <c r="H343" i="21"/>
  <c r="I343" i="21"/>
  <c r="H344" i="21"/>
  <c r="I344" i="21"/>
  <c r="H345" i="21"/>
  <c r="I345" i="21"/>
  <c r="H346" i="21"/>
  <c r="I346" i="21"/>
  <c r="H347" i="21"/>
  <c r="I347" i="21"/>
  <c r="H348" i="21"/>
  <c r="I348" i="21"/>
  <c r="H349" i="21"/>
  <c r="I349" i="21"/>
  <c r="H350" i="21"/>
  <c r="I350" i="21"/>
  <c r="H351" i="21"/>
  <c r="I351" i="21"/>
  <c r="H352" i="21"/>
  <c r="I352" i="21"/>
  <c r="H353" i="21"/>
  <c r="I353" i="21"/>
  <c r="H354" i="21"/>
  <c r="I354" i="21"/>
  <c r="H355" i="21"/>
  <c r="I355" i="21"/>
  <c r="H356" i="21"/>
  <c r="I356" i="21"/>
  <c r="H357" i="21"/>
  <c r="I357" i="21"/>
  <c r="H358" i="21"/>
  <c r="I358" i="21"/>
  <c r="H359" i="21"/>
  <c r="I359" i="21"/>
  <c r="H360" i="21"/>
  <c r="I360" i="21"/>
  <c r="H361" i="21"/>
  <c r="I361" i="21"/>
  <c r="H362" i="21"/>
  <c r="I362" i="21"/>
  <c r="H363" i="21"/>
  <c r="I363" i="21"/>
  <c r="H364" i="21"/>
  <c r="I364" i="21"/>
  <c r="H365" i="21"/>
  <c r="I365" i="21"/>
  <c r="H366" i="21"/>
  <c r="I366" i="21"/>
  <c r="H367" i="21"/>
  <c r="I367" i="21"/>
  <c r="H368" i="21"/>
  <c r="I368" i="21"/>
  <c r="H369" i="21"/>
  <c r="I369" i="21"/>
  <c r="H370" i="21"/>
  <c r="I370" i="21"/>
  <c r="H371" i="21"/>
  <c r="I371" i="21"/>
  <c r="H372" i="21"/>
  <c r="I372" i="21"/>
  <c r="H373" i="21"/>
  <c r="I373" i="21"/>
  <c r="H374" i="21"/>
  <c r="I374" i="21"/>
  <c r="H375" i="21"/>
  <c r="I375" i="21"/>
  <c r="H376" i="21"/>
  <c r="I376" i="21"/>
  <c r="H377" i="21"/>
  <c r="I377" i="21"/>
  <c r="H378" i="21"/>
  <c r="I378" i="21"/>
  <c r="H379" i="21"/>
  <c r="I379" i="21"/>
  <c r="H380" i="21"/>
  <c r="I380" i="21"/>
  <c r="H381" i="21"/>
  <c r="I381" i="21"/>
  <c r="H382" i="21"/>
  <c r="I382" i="21"/>
  <c r="H383" i="21"/>
  <c r="I383" i="21"/>
  <c r="H384" i="21"/>
  <c r="I384" i="21"/>
  <c r="H385" i="21"/>
  <c r="I385" i="21"/>
  <c r="H386" i="21"/>
  <c r="I386" i="21"/>
  <c r="H387" i="21"/>
  <c r="I387" i="21"/>
  <c r="H388" i="21"/>
  <c r="I388" i="21"/>
  <c r="H389" i="21"/>
  <c r="I389" i="21"/>
  <c r="H390" i="21"/>
  <c r="I390" i="21"/>
  <c r="H391" i="21"/>
  <c r="I391" i="21"/>
  <c r="H392" i="21"/>
  <c r="I392" i="21"/>
  <c r="H393" i="21"/>
  <c r="I393" i="21"/>
  <c r="H394" i="21"/>
  <c r="I394" i="21"/>
  <c r="H395" i="21"/>
  <c r="I395" i="21"/>
  <c r="H396" i="21"/>
  <c r="I396" i="21"/>
  <c r="H397" i="21"/>
  <c r="I397" i="21"/>
  <c r="H398" i="21"/>
  <c r="I398" i="21"/>
  <c r="H399" i="21"/>
  <c r="I399" i="21"/>
  <c r="H400" i="21"/>
  <c r="I400" i="21"/>
  <c r="H401" i="21"/>
  <c r="I401" i="21"/>
  <c r="H402" i="21"/>
  <c r="I402" i="21"/>
  <c r="H403" i="21"/>
  <c r="I403" i="21"/>
  <c r="H404" i="21"/>
  <c r="I404" i="21"/>
  <c r="H405" i="21"/>
  <c r="I405" i="21"/>
  <c r="H406" i="21"/>
  <c r="I406" i="21"/>
  <c r="H407" i="21"/>
  <c r="I407" i="21"/>
  <c r="H408" i="21"/>
  <c r="I408" i="21"/>
  <c r="H409" i="21"/>
  <c r="I409" i="21"/>
  <c r="H410" i="21"/>
  <c r="I410" i="21"/>
  <c r="H411" i="21"/>
  <c r="I411" i="21"/>
  <c r="H412" i="21"/>
  <c r="I412" i="21"/>
  <c r="H413" i="21"/>
  <c r="I413" i="21"/>
  <c r="H414" i="21"/>
  <c r="I414" i="21"/>
  <c r="H415" i="21"/>
  <c r="I415" i="21"/>
  <c r="H416" i="21"/>
  <c r="I416" i="21"/>
  <c r="H417" i="21"/>
  <c r="I417" i="21"/>
  <c r="H418" i="21"/>
  <c r="I418" i="21"/>
  <c r="H419" i="21"/>
  <c r="I419" i="21"/>
  <c r="H420" i="21"/>
  <c r="I420" i="21"/>
  <c r="H421" i="21"/>
  <c r="I421" i="21"/>
  <c r="H422" i="21"/>
  <c r="I422" i="21"/>
  <c r="H423" i="21"/>
  <c r="I423" i="21"/>
  <c r="H424" i="21"/>
  <c r="I424" i="21"/>
  <c r="H425" i="21"/>
  <c r="I425" i="21"/>
  <c r="H426" i="21"/>
  <c r="I426" i="21"/>
  <c r="H427" i="21"/>
  <c r="I427" i="21"/>
  <c r="H428" i="21"/>
  <c r="I428" i="21"/>
  <c r="H429" i="21"/>
  <c r="I429" i="21"/>
  <c r="H430" i="21"/>
  <c r="I430" i="21"/>
  <c r="H431" i="21"/>
  <c r="I431" i="21"/>
  <c r="H432" i="21"/>
  <c r="I432" i="21"/>
  <c r="H433" i="21"/>
  <c r="I433" i="21"/>
  <c r="H434" i="21"/>
  <c r="I434" i="21"/>
  <c r="H435" i="21"/>
  <c r="I435" i="21"/>
  <c r="H436" i="21"/>
  <c r="I436" i="21"/>
  <c r="H437" i="21"/>
  <c r="I437" i="21"/>
  <c r="H438" i="21"/>
  <c r="I438" i="21"/>
  <c r="H439" i="21"/>
  <c r="I439" i="21"/>
  <c r="H440" i="21"/>
  <c r="I440" i="21"/>
  <c r="H441" i="21"/>
  <c r="I441" i="21"/>
  <c r="H442" i="21"/>
  <c r="I442" i="21"/>
  <c r="H443" i="21"/>
  <c r="I443" i="21"/>
  <c r="H444" i="21"/>
  <c r="I444" i="21"/>
  <c r="H445" i="21"/>
  <c r="I445" i="21"/>
  <c r="H446" i="21"/>
  <c r="I446" i="21"/>
  <c r="H447" i="21"/>
  <c r="I447" i="21"/>
  <c r="H448" i="21"/>
  <c r="I448" i="21"/>
  <c r="H449" i="21"/>
  <c r="I449" i="21"/>
  <c r="H450" i="21"/>
  <c r="I450" i="21"/>
  <c r="H451" i="21"/>
  <c r="I451" i="21"/>
  <c r="H452" i="21"/>
  <c r="I452" i="21"/>
  <c r="H453" i="21"/>
  <c r="I453" i="21"/>
  <c r="H454" i="21"/>
  <c r="I454" i="21"/>
  <c r="H455" i="21"/>
  <c r="I455" i="21"/>
  <c r="H456" i="21"/>
  <c r="I456" i="21"/>
  <c r="H457" i="21"/>
  <c r="I457" i="21"/>
  <c r="H458" i="21"/>
  <c r="I458" i="21"/>
  <c r="H459" i="21"/>
  <c r="I459" i="21"/>
  <c r="H460" i="21"/>
  <c r="I460" i="21"/>
  <c r="H461" i="21"/>
  <c r="I461" i="21"/>
  <c r="H462" i="21"/>
  <c r="I462" i="21"/>
  <c r="H463" i="21"/>
  <c r="I463" i="21"/>
  <c r="H464" i="21"/>
  <c r="I464" i="21"/>
  <c r="H465" i="21"/>
  <c r="I465" i="21"/>
  <c r="H466" i="21"/>
  <c r="I466" i="21"/>
  <c r="H467" i="21"/>
  <c r="I467" i="21"/>
  <c r="H468" i="21"/>
  <c r="I468" i="21"/>
  <c r="H469" i="21"/>
  <c r="I469" i="21"/>
  <c r="H470" i="21"/>
  <c r="I470" i="21"/>
  <c r="H471" i="21"/>
  <c r="I471" i="21"/>
  <c r="H472" i="21"/>
  <c r="I472" i="21"/>
  <c r="H473" i="21"/>
  <c r="I473" i="21"/>
  <c r="H474" i="21"/>
  <c r="I474" i="21"/>
  <c r="H475" i="21"/>
  <c r="I475" i="21"/>
  <c r="H476" i="21"/>
  <c r="I476" i="21"/>
  <c r="H477" i="21"/>
  <c r="I477" i="21"/>
  <c r="H478" i="21"/>
  <c r="I478" i="21"/>
  <c r="H479" i="21"/>
  <c r="I479" i="21"/>
  <c r="H480" i="21"/>
  <c r="I480" i="21"/>
  <c r="H481" i="21"/>
  <c r="I481" i="21"/>
  <c r="H482" i="21"/>
  <c r="I482" i="21"/>
  <c r="H483" i="21"/>
  <c r="I483" i="21"/>
  <c r="H484" i="21"/>
  <c r="I484" i="21"/>
  <c r="H485" i="21"/>
  <c r="I485" i="21"/>
  <c r="H486" i="21"/>
  <c r="I486" i="21"/>
  <c r="H487" i="21"/>
  <c r="I487" i="21"/>
  <c r="H488" i="21"/>
  <c r="I488" i="21"/>
  <c r="H489" i="21"/>
  <c r="I489" i="21"/>
  <c r="H490" i="21"/>
  <c r="I490" i="21"/>
  <c r="H491" i="21"/>
  <c r="I491" i="21"/>
  <c r="H492" i="21"/>
  <c r="I492" i="21"/>
  <c r="H493" i="21"/>
  <c r="I493" i="21"/>
  <c r="H494" i="21"/>
  <c r="I494" i="21"/>
  <c r="H495" i="21"/>
  <c r="I495" i="21"/>
  <c r="H496" i="21"/>
  <c r="I496" i="21"/>
  <c r="H497" i="21"/>
  <c r="I497" i="21"/>
  <c r="H498" i="21"/>
  <c r="I498" i="21"/>
  <c r="H499" i="21"/>
  <c r="I499" i="21"/>
  <c r="H500" i="21"/>
  <c r="I500" i="21"/>
  <c r="H501" i="21"/>
  <c r="I501" i="21"/>
  <c r="L31" i="18" l="1"/>
  <c r="C5" i="21"/>
  <c r="B22" i="21"/>
  <c r="B3" i="21"/>
  <c r="B20" i="21"/>
  <c r="C20" i="21"/>
  <c r="B21" i="21"/>
  <c r="C21" i="21"/>
  <c r="C22" i="21"/>
  <c r="B23" i="21"/>
  <c r="C23" i="21"/>
  <c r="B24" i="21"/>
  <c r="C24" i="21"/>
  <c r="B25" i="21"/>
  <c r="C25" i="21"/>
  <c r="B26" i="21"/>
  <c r="C26" i="21"/>
  <c r="B27" i="21"/>
  <c r="C27" i="21"/>
  <c r="B28" i="21"/>
  <c r="C28" i="21"/>
  <c r="B29" i="21"/>
  <c r="C29" i="21"/>
  <c r="E29" i="21"/>
  <c r="F29" i="21"/>
  <c r="G29" i="21"/>
  <c r="B30" i="21"/>
  <c r="C30" i="21"/>
  <c r="E30" i="21"/>
  <c r="F30" i="21"/>
  <c r="G30" i="21"/>
  <c r="B31" i="21"/>
  <c r="C31" i="21"/>
  <c r="E31" i="21"/>
  <c r="F31" i="21"/>
  <c r="G31" i="21"/>
  <c r="B32" i="21"/>
  <c r="C32" i="21"/>
  <c r="E32" i="21"/>
  <c r="F32" i="21"/>
  <c r="G32" i="21"/>
  <c r="B33" i="21"/>
  <c r="C33" i="21"/>
  <c r="E33" i="21"/>
  <c r="F33" i="21"/>
  <c r="G33" i="21"/>
  <c r="B34" i="21"/>
  <c r="C34" i="21"/>
  <c r="E34" i="21"/>
  <c r="F34" i="21"/>
  <c r="G34" i="21"/>
  <c r="B35" i="21"/>
  <c r="C35" i="21"/>
  <c r="E35" i="21"/>
  <c r="F35" i="21"/>
  <c r="G35" i="21"/>
  <c r="B36" i="21"/>
  <c r="C36" i="21"/>
  <c r="E36" i="21"/>
  <c r="F36" i="21"/>
  <c r="G36" i="21"/>
  <c r="B37" i="21"/>
  <c r="C37" i="21"/>
  <c r="E37" i="21"/>
  <c r="F37" i="21"/>
  <c r="G37" i="21"/>
  <c r="B38" i="21"/>
  <c r="C38" i="21"/>
  <c r="E38" i="21"/>
  <c r="F38" i="21"/>
  <c r="G38" i="21"/>
  <c r="B39" i="21"/>
  <c r="C39" i="21"/>
  <c r="E39" i="21"/>
  <c r="F39" i="21"/>
  <c r="G39" i="21"/>
  <c r="B40" i="21"/>
  <c r="C40" i="21"/>
  <c r="E40" i="21"/>
  <c r="F40" i="21"/>
  <c r="G40" i="21"/>
  <c r="B41" i="21"/>
  <c r="C41" i="21"/>
  <c r="E41" i="21"/>
  <c r="F41" i="21"/>
  <c r="G41" i="21"/>
  <c r="B42" i="21"/>
  <c r="C42" i="21"/>
  <c r="E42" i="21"/>
  <c r="F42" i="21"/>
  <c r="G42" i="21"/>
  <c r="B43" i="21"/>
  <c r="C43" i="21"/>
  <c r="E43" i="21"/>
  <c r="F43" i="21"/>
  <c r="G43" i="21"/>
  <c r="B44" i="21"/>
  <c r="C44" i="21"/>
  <c r="E44" i="21"/>
  <c r="F44" i="21"/>
  <c r="G44" i="21"/>
  <c r="B45" i="21"/>
  <c r="C45" i="21"/>
  <c r="E45" i="21"/>
  <c r="F45" i="21"/>
  <c r="G45" i="21"/>
  <c r="B46" i="21"/>
  <c r="C46" i="21"/>
  <c r="E46" i="21"/>
  <c r="F46" i="21"/>
  <c r="G46" i="21"/>
  <c r="B47" i="21"/>
  <c r="C47" i="21"/>
  <c r="E47" i="21"/>
  <c r="F47" i="21"/>
  <c r="G47" i="21"/>
  <c r="B48" i="21"/>
  <c r="C48" i="21"/>
  <c r="E48" i="21"/>
  <c r="F48" i="21"/>
  <c r="G48" i="21"/>
  <c r="B49" i="21"/>
  <c r="C49" i="21"/>
  <c r="E49" i="21"/>
  <c r="F49" i="21"/>
  <c r="G49" i="21"/>
  <c r="B50" i="21"/>
  <c r="C50" i="21"/>
  <c r="E50" i="21"/>
  <c r="F50" i="21"/>
  <c r="G50" i="21"/>
  <c r="B51" i="21"/>
  <c r="C51" i="21"/>
  <c r="E51" i="21"/>
  <c r="F51" i="21"/>
  <c r="G51" i="21"/>
  <c r="B52" i="21"/>
  <c r="C52" i="21"/>
  <c r="E52" i="21"/>
  <c r="F52" i="21"/>
  <c r="G52" i="21"/>
  <c r="B53" i="21"/>
  <c r="C53" i="21"/>
  <c r="E53" i="21"/>
  <c r="F53" i="21"/>
  <c r="G53" i="21"/>
  <c r="B54" i="21"/>
  <c r="C54" i="21"/>
  <c r="E54" i="21"/>
  <c r="F54" i="21"/>
  <c r="G54" i="21"/>
  <c r="B55" i="21"/>
  <c r="C55" i="21"/>
  <c r="E55" i="21"/>
  <c r="F55" i="21"/>
  <c r="G55" i="21"/>
  <c r="B56" i="21"/>
  <c r="C56" i="21"/>
  <c r="E56" i="21"/>
  <c r="F56" i="21"/>
  <c r="G56" i="21"/>
  <c r="B57" i="21"/>
  <c r="C57" i="21"/>
  <c r="E57" i="21"/>
  <c r="F57" i="21"/>
  <c r="G57" i="21"/>
  <c r="B58" i="21"/>
  <c r="C58" i="21"/>
  <c r="E58" i="21"/>
  <c r="F58" i="21"/>
  <c r="G58" i="21"/>
  <c r="B59" i="21"/>
  <c r="C59" i="21"/>
  <c r="E59" i="21"/>
  <c r="F59" i="21"/>
  <c r="G59" i="21"/>
  <c r="B60" i="21"/>
  <c r="C60" i="21"/>
  <c r="E60" i="21"/>
  <c r="F60" i="21"/>
  <c r="G60" i="21"/>
  <c r="B61" i="21"/>
  <c r="C61" i="21"/>
  <c r="E61" i="21"/>
  <c r="F61" i="21"/>
  <c r="G61" i="21"/>
  <c r="B62" i="21"/>
  <c r="C62"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E140" i="21"/>
  <c r="F140" i="21"/>
  <c r="G140" i="21"/>
  <c r="B141" i="21"/>
  <c r="C141" i="21"/>
  <c r="E141" i="21"/>
  <c r="F141" i="21"/>
  <c r="G141" i="21"/>
  <c r="B142" i="21"/>
  <c r="C142" i="21"/>
  <c r="E142" i="21"/>
  <c r="F142" i="21"/>
  <c r="G142" i="21"/>
  <c r="B143" i="21"/>
  <c r="C143" i="21"/>
  <c r="E143" i="21"/>
  <c r="F143" i="21"/>
  <c r="G143" i="21"/>
  <c r="B144" i="21"/>
  <c r="C144" i="21"/>
  <c r="E144" i="21"/>
  <c r="F144" i="21"/>
  <c r="G144" i="21"/>
  <c r="B145" i="21"/>
  <c r="C145" i="21"/>
  <c r="E145" i="21"/>
  <c r="F145" i="21"/>
  <c r="G145" i="21"/>
  <c r="B146" i="21"/>
  <c r="C146" i="21"/>
  <c r="E146" i="21"/>
  <c r="F146" i="21"/>
  <c r="G146" i="21"/>
  <c r="B147" i="21"/>
  <c r="C147" i="21"/>
  <c r="E147" i="21"/>
  <c r="F147" i="21"/>
  <c r="G147" i="21"/>
  <c r="B148" i="21"/>
  <c r="C148" i="21"/>
  <c r="E148" i="21"/>
  <c r="F148" i="21"/>
  <c r="G148" i="21"/>
  <c r="B149" i="21"/>
  <c r="C149" i="21"/>
  <c r="E149" i="21"/>
  <c r="F149" i="21"/>
  <c r="G149" i="21"/>
  <c r="B150" i="21"/>
  <c r="C150" i="21"/>
  <c r="E150" i="21"/>
  <c r="F150" i="21"/>
  <c r="G150" i="21"/>
  <c r="B151" i="21"/>
  <c r="C151" i="21"/>
  <c r="E151" i="21"/>
  <c r="F151" i="21"/>
  <c r="G151" i="21"/>
  <c r="B152" i="21"/>
  <c r="C152" i="21"/>
  <c r="E152" i="21"/>
  <c r="F152" i="21"/>
  <c r="G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201" i="21"/>
  <c r="C201" i="21"/>
  <c r="E201" i="21"/>
  <c r="F201" i="21"/>
  <c r="G201" i="21"/>
  <c r="B202" i="21"/>
  <c r="C202" i="21"/>
  <c r="E202" i="21"/>
  <c r="F202" i="21"/>
  <c r="G202" i="21"/>
  <c r="B203" i="21"/>
  <c r="C203" i="21"/>
  <c r="E203" i="21"/>
  <c r="F203" i="21"/>
  <c r="G203" i="21"/>
  <c r="B204" i="21"/>
  <c r="C204" i="21"/>
  <c r="E204" i="21"/>
  <c r="F204" i="21"/>
  <c r="G204" i="21"/>
  <c r="B205" i="21"/>
  <c r="C205" i="21"/>
  <c r="E205" i="21"/>
  <c r="F205" i="21"/>
  <c r="G205" i="21"/>
  <c r="B206" i="21"/>
  <c r="C206" i="21"/>
  <c r="E206" i="21"/>
  <c r="F206" i="21"/>
  <c r="G206" i="21"/>
  <c r="B207" i="21"/>
  <c r="C207" i="21"/>
  <c r="E207" i="21"/>
  <c r="F207" i="21"/>
  <c r="G207" i="21"/>
  <c r="B208" i="21"/>
  <c r="C208" i="21"/>
  <c r="E208" i="21"/>
  <c r="F208" i="21"/>
  <c r="G208" i="21"/>
  <c r="B209" i="21"/>
  <c r="C209" i="21"/>
  <c r="E209" i="21"/>
  <c r="F209" i="21"/>
  <c r="G209" i="21"/>
  <c r="B210" i="21"/>
  <c r="C210" i="21"/>
  <c r="E210" i="21"/>
  <c r="F210" i="21"/>
  <c r="G210" i="21"/>
  <c r="B211" i="21"/>
  <c r="C211" i="21"/>
  <c r="E211" i="21"/>
  <c r="F211" i="21"/>
  <c r="G211" i="21"/>
  <c r="B212" i="21"/>
  <c r="C212" i="21"/>
  <c r="E212" i="21"/>
  <c r="F212" i="21"/>
  <c r="G212" i="21"/>
  <c r="B213" i="21"/>
  <c r="C213" i="21"/>
  <c r="E213" i="21"/>
  <c r="F213" i="21"/>
  <c r="G213" i="21"/>
  <c r="B214" i="21"/>
  <c r="C214" i="21"/>
  <c r="E214" i="21"/>
  <c r="F214" i="21"/>
  <c r="G214" i="21"/>
  <c r="B215" i="21"/>
  <c r="C215" i="21"/>
  <c r="E215" i="21"/>
  <c r="F215" i="21"/>
  <c r="G215" i="21"/>
  <c r="B216" i="21"/>
  <c r="C216" i="21"/>
  <c r="E216" i="21"/>
  <c r="F216" i="21"/>
  <c r="G216" i="21"/>
  <c r="B217" i="21"/>
  <c r="C217" i="21"/>
  <c r="E217" i="21"/>
  <c r="F217" i="21"/>
  <c r="G217" i="21"/>
  <c r="B218" i="21"/>
  <c r="C218" i="21"/>
  <c r="E218" i="21"/>
  <c r="F218" i="21"/>
  <c r="G218" i="21"/>
  <c r="B219" i="21"/>
  <c r="C219" i="21"/>
  <c r="E219" i="21"/>
  <c r="F219" i="21"/>
  <c r="G219" i="21"/>
  <c r="B220" i="21"/>
  <c r="C220" i="21"/>
  <c r="E220" i="21"/>
  <c r="F220" i="21"/>
  <c r="G220" i="21"/>
  <c r="B221" i="21"/>
  <c r="C221" i="21"/>
  <c r="E221" i="21"/>
  <c r="F221" i="21"/>
  <c r="G221" i="21"/>
  <c r="B222" i="21"/>
  <c r="C222" i="21"/>
  <c r="E222" i="21"/>
  <c r="F222" i="21"/>
  <c r="G222" i="21"/>
  <c r="B223" i="21"/>
  <c r="C223" i="21"/>
  <c r="E223" i="21"/>
  <c r="F223" i="21"/>
  <c r="G223" i="21"/>
  <c r="B224" i="21"/>
  <c r="C224" i="21"/>
  <c r="E224" i="21"/>
  <c r="F224" i="21"/>
  <c r="G224" i="21"/>
  <c r="B225" i="21"/>
  <c r="C225" i="21"/>
  <c r="E225" i="21"/>
  <c r="F225" i="21"/>
  <c r="G225" i="21"/>
  <c r="B226" i="21"/>
  <c r="C226" i="21"/>
  <c r="E226" i="21"/>
  <c r="F226" i="21"/>
  <c r="G226" i="21"/>
  <c r="B227" i="21"/>
  <c r="C227" i="21"/>
  <c r="E227" i="21"/>
  <c r="F227" i="21"/>
  <c r="G227" i="21"/>
  <c r="B228" i="21"/>
  <c r="C228" i="21"/>
  <c r="E228" i="21"/>
  <c r="F228" i="21"/>
  <c r="G228" i="21"/>
  <c r="B229" i="21"/>
  <c r="C229" i="21"/>
  <c r="E229" i="21"/>
  <c r="F229" i="21"/>
  <c r="G229" i="21"/>
  <c r="B230" i="21"/>
  <c r="C230" i="21"/>
  <c r="E230" i="21"/>
  <c r="F230" i="21"/>
  <c r="G230" i="21"/>
  <c r="B231" i="21"/>
  <c r="C231" i="21"/>
  <c r="E231" i="21"/>
  <c r="F231" i="21"/>
  <c r="G231" i="21"/>
  <c r="B232" i="21"/>
  <c r="C232" i="21"/>
  <c r="E232" i="21"/>
  <c r="F232" i="21"/>
  <c r="G232" i="21"/>
  <c r="B233" i="21"/>
  <c r="C233" i="21"/>
  <c r="E233" i="21"/>
  <c r="F233" i="21"/>
  <c r="G233" i="21"/>
  <c r="B234" i="21"/>
  <c r="C234" i="21"/>
  <c r="E234" i="21"/>
  <c r="F234" i="21"/>
  <c r="G234" i="21"/>
  <c r="B235" i="21"/>
  <c r="C235" i="21"/>
  <c r="E235" i="21"/>
  <c r="F235" i="21"/>
  <c r="G235" i="21"/>
  <c r="B236" i="21"/>
  <c r="C236" i="21"/>
  <c r="E236" i="21"/>
  <c r="F236" i="21"/>
  <c r="G236" i="21"/>
  <c r="B237" i="21"/>
  <c r="C237" i="21"/>
  <c r="E237" i="21"/>
  <c r="F237" i="21"/>
  <c r="G237" i="21"/>
  <c r="B238" i="21"/>
  <c r="C238" i="21"/>
  <c r="E238" i="21"/>
  <c r="F238" i="21"/>
  <c r="G238" i="21"/>
  <c r="B239" i="21"/>
  <c r="C239" i="21"/>
  <c r="E239" i="21"/>
  <c r="F239" i="21"/>
  <c r="G239" i="21"/>
  <c r="B240" i="21"/>
  <c r="C240" i="21"/>
  <c r="E240" i="21"/>
  <c r="F240" i="21"/>
  <c r="G240" i="21"/>
  <c r="B241" i="21"/>
  <c r="C241" i="21"/>
  <c r="E241" i="21"/>
  <c r="F241" i="21"/>
  <c r="G241" i="21"/>
  <c r="B242" i="21"/>
  <c r="C242" i="21"/>
  <c r="E242" i="21"/>
  <c r="F242" i="21"/>
  <c r="G242" i="21"/>
  <c r="B243" i="21"/>
  <c r="C243" i="21"/>
  <c r="E243" i="21"/>
  <c r="F243" i="21"/>
  <c r="G243" i="21"/>
  <c r="B244" i="21"/>
  <c r="C244" i="21"/>
  <c r="E244" i="21"/>
  <c r="F244" i="21"/>
  <c r="G244" i="21"/>
  <c r="B245" i="21"/>
  <c r="C245" i="21"/>
  <c r="E245" i="21"/>
  <c r="F245" i="21"/>
  <c r="G245" i="21"/>
  <c r="B246" i="21"/>
  <c r="C246" i="21"/>
  <c r="E246" i="21"/>
  <c r="F246" i="21"/>
  <c r="G246" i="21"/>
  <c r="B247" i="21"/>
  <c r="C247" i="21"/>
  <c r="E247" i="21"/>
  <c r="F247" i="21"/>
  <c r="G247" i="21"/>
  <c r="B248" i="21"/>
  <c r="C248" i="21"/>
  <c r="E248" i="21"/>
  <c r="F248" i="21"/>
  <c r="G248" i="21"/>
  <c r="B249" i="21"/>
  <c r="C249" i="21"/>
  <c r="E249" i="21"/>
  <c r="F249" i="21"/>
  <c r="G249" i="21"/>
  <c r="B250" i="21"/>
  <c r="C250" i="21"/>
  <c r="E250" i="21"/>
  <c r="F250" i="21"/>
  <c r="G250" i="21"/>
  <c r="B251" i="21"/>
  <c r="C251" i="21"/>
  <c r="E251" i="21"/>
  <c r="F251" i="21"/>
  <c r="G251" i="21"/>
  <c r="B252" i="21"/>
  <c r="C252" i="21"/>
  <c r="E252" i="21"/>
  <c r="F252" i="21"/>
  <c r="G252" i="21"/>
  <c r="B253" i="21"/>
  <c r="C253" i="21"/>
  <c r="E253" i="21"/>
  <c r="F253" i="21"/>
  <c r="G253" i="21"/>
  <c r="B254" i="21"/>
  <c r="C254" i="21"/>
  <c r="E254" i="21"/>
  <c r="F254" i="21"/>
  <c r="G254" i="21"/>
  <c r="B255" i="21"/>
  <c r="C255" i="21"/>
  <c r="E255" i="21"/>
  <c r="F255" i="21"/>
  <c r="G255" i="21"/>
  <c r="B256" i="21"/>
  <c r="C256" i="21"/>
  <c r="E256" i="21"/>
  <c r="F256" i="21"/>
  <c r="G256" i="21"/>
  <c r="B257" i="21"/>
  <c r="C257" i="21"/>
  <c r="E257" i="21"/>
  <c r="F257" i="21"/>
  <c r="G257" i="21"/>
  <c r="B258" i="21"/>
  <c r="C258" i="21"/>
  <c r="E258" i="21"/>
  <c r="F258" i="21"/>
  <c r="G258" i="21"/>
  <c r="B259" i="21"/>
  <c r="C259" i="21"/>
  <c r="E259" i="21"/>
  <c r="F259" i="21"/>
  <c r="G259" i="21"/>
  <c r="B260" i="21"/>
  <c r="C260" i="21"/>
  <c r="E260" i="21"/>
  <c r="F260" i="21"/>
  <c r="G260" i="21"/>
  <c r="B261" i="21"/>
  <c r="C261" i="21"/>
  <c r="E261" i="21"/>
  <c r="F261" i="21"/>
  <c r="G261" i="21"/>
  <c r="B262" i="21"/>
  <c r="C262" i="21"/>
  <c r="E262" i="21"/>
  <c r="F262" i="21"/>
  <c r="G262" i="21"/>
  <c r="B263" i="21"/>
  <c r="C263" i="21"/>
  <c r="E263" i="21"/>
  <c r="F263" i="21"/>
  <c r="G263" i="21"/>
  <c r="B264" i="21"/>
  <c r="C264" i="21"/>
  <c r="E264" i="21"/>
  <c r="F264" i="21"/>
  <c r="G264" i="21"/>
  <c r="B265" i="21"/>
  <c r="C265" i="21"/>
  <c r="E265" i="21"/>
  <c r="F265" i="21"/>
  <c r="G265" i="21"/>
  <c r="B266" i="21"/>
  <c r="C266" i="21"/>
  <c r="E266" i="21"/>
  <c r="F266" i="21"/>
  <c r="G266" i="21"/>
  <c r="B267" i="21"/>
  <c r="C267" i="21"/>
  <c r="E267" i="21"/>
  <c r="F267" i="21"/>
  <c r="G267" i="21"/>
  <c r="B268" i="21"/>
  <c r="C268" i="21"/>
  <c r="E268" i="21"/>
  <c r="F268" i="21"/>
  <c r="G268" i="21"/>
  <c r="B269" i="21"/>
  <c r="C269" i="21"/>
  <c r="E269" i="21"/>
  <c r="F269" i="21"/>
  <c r="G269" i="21"/>
  <c r="B270" i="21"/>
  <c r="C270" i="21"/>
  <c r="E270" i="21"/>
  <c r="F270" i="21"/>
  <c r="G270" i="21"/>
  <c r="B271" i="21"/>
  <c r="C271" i="21"/>
  <c r="E271" i="21"/>
  <c r="F271" i="21"/>
  <c r="G271" i="21"/>
  <c r="B272" i="21"/>
  <c r="C272" i="21"/>
  <c r="E272" i="21"/>
  <c r="F272" i="21"/>
  <c r="G272" i="21"/>
  <c r="B273" i="21"/>
  <c r="C273" i="21"/>
  <c r="E273" i="21"/>
  <c r="F273" i="21"/>
  <c r="G273" i="21"/>
  <c r="B274" i="21"/>
  <c r="C274" i="21"/>
  <c r="E274" i="21"/>
  <c r="F274" i="21"/>
  <c r="G274" i="21"/>
  <c r="B275" i="21"/>
  <c r="C275" i="21"/>
  <c r="E275" i="21"/>
  <c r="F275" i="21"/>
  <c r="G275" i="21"/>
  <c r="B276" i="21"/>
  <c r="C276" i="21"/>
  <c r="E276" i="21"/>
  <c r="F276" i="21"/>
  <c r="G276" i="21"/>
  <c r="B277" i="21"/>
  <c r="C277" i="21"/>
  <c r="E277" i="21"/>
  <c r="F277" i="21"/>
  <c r="G277" i="21"/>
  <c r="B278" i="21"/>
  <c r="C278" i="21"/>
  <c r="E278" i="21"/>
  <c r="F278" i="21"/>
  <c r="G278" i="21"/>
  <c r="B279" i="21"/>
  <c r="C279" i="21"/>
  <c r="E279" i="21"/>
  <c r="F279" i="21"/>
  <c r="G279" i="21"/>
  <c r="B280" i="21"/>
  <c r="C280" i="21"/>
  <c r="E280" i="21"/>
  <c r="F280" i="21"/>
  <c r="G280" i="21"/>
  <c r="B281" i="21"/>
  <c r="C281" i="21"/>
  <c r="E281" i="21"/>
  <c r="F281" i="21"/>
  <c r="G281" i="21"/>
  <c r="B282" i="21"/>
  <c r="C282" i="21"/>
  <c r="E282" i="21"/>
  <c r="F282" i="21"/>
  <c r="G282" i="21"/>
  <c r="B283" i="21"/>
  <c r="C283" i="21"/>
  <c r="E283" i="21"/>
  <c r="F283" i="21"/>
  <c r="G283" i="21"/>
  <c r="B284" i="21"/>
  <c r="C284" i="21"/>
  <c r="E284" i="21"/>
  <c r="F284" i="21"/>
  <c r="G284" i="21"/>
  <c r="B285" i="21"/>
  <c r="C285" i="21"/>
  <c r="E285" i="21"/>
  <c r="F285" i="21"/>
  <c r="G285" i="21"/>
  <c r="B286" i="21"/>
  <c r="C286" i="21"/>
  <c r="E286" i="21"/>
  <c r="F286" i="21"/>
  <c r="G286" i="21"/>
  <c r="B287" i="21"/>
  <c r="C287" i="21"/>
  <c r="E287" i="21"/>
  <c r="F287" i="21"/>
  <c r="G287" i="21"/>
  <c r="B288" i="21"/>
  <c r="C288" i="21"/>
  <c r="E288" i="21"/>
  <c r="F288" i="21"/>
  <c r="G288" i="21"/>
  <c r="B289" i="21"/>
  <c r="C289" i="21"/>
  <c r="E289" i="21"/>
  <c r="F289" i="21"/>
  <c r="G289" i="21"/>
  <c r="B290" i="21"/>
  <c r="C290" i="21"/>
  <c r="E290" i="21"/>
  <c r="F290" i="21"/>
  <c r="G290" i="21"/>
  <c r="B291" i="21"/>
  <c r="C291" i="21"/>
  <c r="E291" i="21"/>
  <c r="F291" i="21"/>
  <c r="G291" i="21"/>
  <c r="B292" i="21"/>
  <c r="C292" i="21"/>
  <c r="E292" i="21"/>
  <c r="F292" i="21"/>
  <c r="G292" i="21"/>
  <c r="B293" i="21"/>
  <c r="C293" i="21"/>
  <c r="E293" i="21"/>
  <c r="F293" i="21"/>
  <c r="G293" i="21"/>
  <c r="B294" i="21"/>
  <c r="C294" i="21"/>
  <c r="E294" i="21"/>
  <c r="F294" i="21"/>
  <c r="G294" i="21"/>
  <c r="B295" i="21"/>
  <c r="C295" i="21"/>
  <c r="E295" i="21"/>
  <c r="F295" i="21"/>
  <c r="G295" i="21"/>
  <c r="B296" i="21"/>
  <c r="C296" i="21"/>
  <c r="E296" i="21"/>
  <c r="F296" i="21"/>
  <c r="G296" i="21"/>
  <c r="B297" i="21"/>
  <c r="C297" i="21"/>
  <c r="E297" i="21"/>
  <c r="F297" i="21"/>
  <c r="G297" i="21"/>
  <c r="B298" i="21"/>
  <c r="C298" i="21"/>
  <c r="E298" i="21"/>
  <c r="F298" i="21"/>
  <c r="G298" i="21"/>
  <c r="B299" i="21"/>
  <c r="C299" i="21"/>
  <c r="E299" i="21"/>
  <c r="F299" i="21"/>
  <c r="G299" i="21"/>
  <c r="B300" i="21"/>
  <c r="C300" i="21"/>
  <c r="E300" i="21"/>
  <c r="F300" i="21"/>
  <c r="G300" i="21"/>
  <c r="B301" i="21"/>
  <c r="C301" i="21"/>
  <c r="E301" i="21"/>
  <c r="F301" i="21"/>
  <c r="G301" i="21"/>
  <c r="B302" i="21"/>
  <c r="C302" i="21"/>
  <c r="E302" i="21"/>
  <c r="F302" i="21"/>
  <c r="G302" i="21"/>
  <c r="B303" i="21"/>
  <c r="C303" i="21"/>
  <c r="E303" i="21"/>
  <c r="F303" i="21"/>
  <c r="G303" i="21"/>
  <c r="B304" i="21"/>
  <c r="C304" i="21"/>
  <c r="E304" i="21"/>
  <c r="F304" i="21"/>
  <c r="G304" i="21"/>
  <c r="B305" i="21"/>
  <c r="C305" i="21"/>
  <c r="E305" i="21"/>
  <c r="F305" i="21"/>
  <c r="G305" i="21"/>
  <c r="B306" i="21"/>
  <c r="C306" i="21"/>
  <c r="E306" i="21"/>
  <c r="F306" i="21"/>
  <c r="G306" i="21"/>
  <c r="B307" i="21"/>
  <c r="C307" i="21"/>
  <c r="E307" i="21"/>
  <c r="F307" i="21"/>
  <c r="G307" i="21"/>
  <c r="B308" i="21"/>
  <c r="C308" i="21"/>
  <c r="E308" i="21"/>
  <c r="F308" i="21"/>
  <c r="G308" i="21"/>
  <c r="B309" i="21"/>
  <c r="C309" i="21"/>
  <c r="E309" i="21"/>
  <c r="F309" i="21"/>
  <c r="G309" i="21"/>
  <c r="B310" i="21"/>
  <c r="C310" i="21"/>
  <c r="E310" i="21"/>
  <c r="F310" i="21"/>
  <c r="G310" i="21"/>
  <c r="B311" i="21"/>
  <c r="C311" i="21"/>
  <c r="E311" i="21"/>
  <c r="F311" i="21"/>
  <c r="G311" i="21"/>
  <c r="B312" i="21"/>
  <c r="C312" i="21"/>
  <c r="E312" i="21"/>
  <c r="F312" i="21"/>
  <c r="G312" i="21"/>
  <c r="B313" i="21"/>
  <c r="C313" i="21"/>
  <c r="E313" i="21"/>
  <c r="F313" i="21"/>
  <c r="G313" i="21"/>
  <c r="B314" i="21"/>
  <c r="C314" i="21"/>
  <c r="E314" i="21"/>
  <c r="F314" i="21"/>
  <c r="G314" i="21"/>
  <c r="B315" i="21"/>
  <c r="C315" i="21"/>
  <c r="E315" i="21"/>
  <c r="F315" i="21"/>
  <c r="G315" i="21"/>
  <c r="B316" i="21"/>
  <c r="C316" i="21"/>
  <c r="E316" i="21"/>
  <c r="F316" i="21"/>
  <c r="G316" i="21"/>
  <c r="B317" i="21"/>
  <c r="C317" i="21"/>
  <c r="E317" i="21"/>
  <c r="F317" i="21"/>
  <c r="G317" i="21"/>
  <c r="B318" i="21"/>
  <c r="C318" i="21"/>
  <c r="E318" i="21"/>
  <c r="F318" i="21"/>
  <c r="G318" i="21"/>
  <c r="B319" i="21"/>
  <c r="C319" i="21"/>
  <c r="E319" i="21"/>
  <c r="F319" i="21"/>
  <c r="G319" i="21"/>
  <c r="B320" i="21"/>
  <c r="C320" i="21"/>
  <c r="E320" i="21"/>
  <c r="F320" i="21"/>
  <c r="G320" i="21"/>
  <c r="B321" i="21"/>
  <c r="C321" i="21"/>
  <c r="E321" i="21"/>
  <c r="F321" i="21"/>
  <c r="G321" i="21"/>
  <c r="B322" i="21"/>
  <c r="C322" i="21"/>
  <c r="E322" i="21"/>
  <c r="F322" i="21"/>
  <c r="G322" i="21"/>
  <c r="B323" i="21"/>
  <c r="C323" i="21"/>
  <c r="E323" i="21"/>
  <c r="F323" i="21"/>
  <c r="G323" i="21"/>
  <c r="B324" i="21"/>
  <c r="C324" i="21"/>
  <c r="E324" i="21"/>
  <c r="F324" i="21"/>
  <c r="G324" i="21"/>
  <c r="B325" i="21"/>
  <c r="C325" i="21"/>
  <c r="E325" i="21"/>
  <c r="F325" i="21"/>
  <c r="G325" i="21"/>
  <c r="B326" i="21"/>
  <c r="C326" i="21"/>
  <c r="E326" i="21"/>
  <c r="F326" i="21"/>
  <c r="G326" i="21"/>
  <c r="B327" i="21"/>
  <c r="C327" i="21"/>
  <c r="E327" i="21"/>
  <c r="F327" i="21"/>
  <c r="G327" i="21"/>
  <c r="B328" i="21"/>
  <c r="C328" i="21"/>
  <c r="E328" i="21"/>
  <c r="F328" i="21"/>
  <c r="G328" i="21"/>
  <c r="B329" i="21"/>
  <c r="C329" i="21"/>
  <c r="E329" i="21"/>
  <c r="F329" i="21"/>
  <c r="G329" i="21"/>
  <c r="B330" i="21"/>
  <c r="C330" i="21"/>
  <c r="E330" i="21"/>
  <c r="F330" i="21"/>
  <c r="G330" i="21"/>
  <c r="B331" i="21"/>
  <c r="C331" i="21"/>
  <c r="E331" i="21"/>
  <c r="F331" i="21"/>
  <c r="G331" i="21"/>
  <c r="B332" i="21"/>
  <c r="C332" i="21"/>
  <c r="E332" i="21"/>
  <c r="F332" i="21"/>
  <c r="G332" i="21"/>
  <c r="B333" i="21"/>
  <c r="C333" i="21"/>
  <c r="E333" i="21"/>
  <c r="F333" i="21"/>
  <c r="G333" i="21"/>
  <c r="B334" i="21"/>
  <c r="C334" i="21"/>
  <c r="E334" i="21"/>
  <c r="F334" i="21"/>
  <c r="G334" i="21"/>
  <c r="B335" i="21"/>
  <c r="C335" i="21"/>
  <c r="E335" i="21"/>
  <c r="F335" i="21"/>
  <c r="G335" i="21"/>
  <c r="B336" i="21"/>
  <c r="C336" i="21"/>
  <c r="E336" i="21"/>
  <c r="F336" i="21"/>
  <c r="G336" i="21"/>
  <c r="B337" i="21"/>
  <c r="C337" i="21"/>
  <c r="E337" i="21"/>
  <c r="F337" i="21"/>
  <c r="G337" i="21"/>
  <c r="B338" i="21"/>
  <c r="C338" i="21"/>
  <c r="E338" i="21"/>
  <c r="F338" i="21"/>
  <c r="G338" i="21"/>
  <c r="B339" i="21"/>
  <c r="C339" i="21"/>
  <c r="E339" i="21"/>
  <c r="F339" i="21"/>
  <c r="G339" i="21"/>
  <c r="B340" i="21"/>
  <c r="C340" i="21"/>
  <c r="E340" i="21"/>
  <c r="F340" i="21"/>
  <c r="G340" i="21"/>
  <c r="B341" i="21"/>
  <c r="C341" i="21"/>
  <c r="E341" i="21"/>
  <c r="F341" i="21"/>
  <c r="G341" i="21"/>
  <c r="B342" i="21"/>
  <c r="C342" i="21"/>
  <c r="E342" i="21"/>
  <c r="F342" i="21"/>
  <c r="G342" i="21"/>
  <c r="B343" i="21"/>
  <c r="C343" i="21"/>
  <c r="E343" i="21"/>
  <c r="F343" i="21"/>
  <c r="G343" i="21"/>
  <c r="B344" i="21"/>
  <c r="C344" i="21"/>
  <c r="E344" i="21"/>
  <c r="F344" i="21"/>
  <c r="G344" i="21"/>
  <c r="B345" i="21"/>
  <c r="C345" i="21"/>
  <c r="E345" i="21"/>
  <c r="F345" i="21"/>
  <c r="G345" i="21"/>
  <c r="B346" i="21"/>
  <c r="C346" i="21"/>
  <c r="E346" i="21"/>
  <c r="F346" i="21"/>
  <c r="G346" i="21"/>
  <c r="B347" i="21"/>
  <c r="C347" i="21"/>
  <c r="E347" i="21"/>
  <c r="F347" i="21"/>
  <c r="G347" i="21"/>
  <c r="B348" i="21"/>
  <c r="C348" i="21"/>
  <c r="E348" i="21"/>
  <c r="F348" i="21"/>
  <c r="G348" i="21"/>
  <c r="B349" i="21"/>
  <c r="C349" i="21"/>
  <c r="E349" i="21"/>
  <c r="F349" i="21"/>
  <c r="G349" i="21"/>
  <c r="B350" i="21"/>
  <c r="C350" i="21"/>
  <c r="E350" i="21"/>
  <c r="F350" i="21"/>
  <c r="G350" i="21"/>
  <c r="B351" i="21"/>
  <c r="C351" i="21"/>
  <c r="E351" i="21"/>
  <c r="F351" i="21"/>
  <c r="G351" i="21"/>
  <c r="B352" i="21"/>
  <c r="C352" i="21"/>
  <c r="E352" i="21"/>
  <c r="F352" i="21"/>
  <c r="G352" i="21"/>
  <c r="B353" i="21"/>
  <c r="C353" i="21"/>
  <c r="E353" i="21"/>
  <c r="F353" i="21"/>
  <c r="G353" i="21"/>
  <c r="B354" i="21"/>
  <c r="C354" i="21"/>
  <c r="E354" i="21"/>
  <c r="F354" i="21"/>
  <c r="G354" i="21"/>
  <c r="B355" i="21"/>
  <c r="C355" i="21"/>
  <c r="E355" i="21"/>
  <c r="F355" i="21"/>
  <c r="G355" i="21"/>
  <c r="B356" i="21"/>
  <c r="C356" i="21"/>
  <c r="E356" i="21"/>
  <c r="F356" i="21"/>
  <c r="G356" i="21"/>
  <c r="B357" i="21"/>
  <c r="C357" i="21"/>
  <c r="E357" i="21"/>
  <c r="F357" i="21"/>
  <c r="G357" i="21"/>
  <c r="B358" i="21"/>
  <c r="C358" i="21"/>
  <c r="E358" i="21"/>
  <c r="F358" i="21"/>
  <c r="G358" i="21"/>
  <c r="B359" i="21"/>
  <c r="C359" i="21"/>
  <c r="E359" i="21"/>
  <c r="F359" i="21"/>
  <c r="G359" i="21"/>
  <c r="B360" i="21"/>
  <c r="C360" i="21"/>
  <c r="E360" i="21"/>
  <c r="F360" i="21"/>
  <c r="G360" i="21"/>
  <c r="B361" i="21"/>
  <c r="C361" i="21"/>
  <c r="E361" i="21"/>
  <c r="F361" i="21"/>
  <c r="G361" i="21"/>
  <c r="B362" i="21"/>
  <c r="C362" i="21"/>
  <c r="E362" i="21"/>
  <c r="F362" i="21"/>
  <c r="G362" i="21"/>
  <c r="B363" i="21"/>
  <c r="C363" i="21"/>
  <c r="E363" i="21"/>
  <c r="F363" i="21"/>
  <c r="G363" i="21"/>
  <c r="B364" i="21"/>
  <c r="C364" i="21"/>
  <c r="E364" i="21"/>
  <c r="F364" i="21"/>
  <c r="G364" i="21"/>
  <c r="B365" i="21"/>
  <c r="C365" i="21"/>
  <c r="E365" i="21"/>
  <c r="F365" i="21"/>
  <c r="G365" i="21"/>
  <c r="B366" i="21"/>
  <c r="C366" i="21"/>
  <c r="E366" i="21"/>
  <c r="F366" i="21"/>
  <c r="G366" i="21"/>
  <c r="B367" i="21"/>
  <c r="C367" i="21"/>
  <c r="E367" i="21"/>
  <c r="F367" i="21"/>
  <c r="G367" i="21"/>
  <c r="B368" i="21"/>
  <c r="C368" i="21"/>
  <c r="E368" i="21"/>
  <c r="F368" i="21"/>
  <c r="G368" i="21"/>
  <c r="B369" i="21"/>
  <c r="C369" i="21"/>
  <c r="E369" i="21"/>
  <c r="F369" i="21"/>
  <c r="G369" i="21"/>
  <c r="B370" i="21"/>
  <c r="C370" i="21"/>
  <c r="E370" i="21"/>
  <c r="F370" i="21"/>
  <c r="G370" i="21"/>
  <c r="B371" i="21"/>
  <c r="C371" i="21"/>
  <c r="E371" i="21"/>
  <c r="F371" i="21"/>
  <c r="G371" i="21"/>
  <c r="B372" i="21"/>
  <c r="C372" i="21"/>
  <c r="E372" i="21"/>
  <c r="F372" i="21"/>
  <c r="G372" i="21"/>
  <c r="B373" i="21"/>
  <c r="C373" i="21"/>
  <c r="E373" i="21"/>
  <c r="F373" i="21"/>
  <c r="G373" i="21"/>
  <c r="B374" i="21"/>
  <c r="C374" i="21"/>
  <c r="E374" i="21"/>
  <c r="F374" i="21"/>
  <c r="G374" i="21"/>
  <c r="B375" i="21"/>
  <c r="C375" i="21"/>
  <c r="E375" i="21"/>
  <c r="F375" i="21"/>
  <c r="G375" i="21"/>
  <c r="B376" i="21"/>
  <c r="C376" i="21"/>
  <c r="E376" i="21"/>
  <c r="F376" i="21"/>
  <c r="G376" i="21"/>
  <c r="B377" i="21"/>
  <c r="C377" i="21"/>
  <c r="E377" i="21"/>
  <c r="F377" i="21"/>
  <c r="G377" i="21"/>
  <c r="B378" i="21"/>
  <c r="C378" i="21"/>
  <c r="E378" i="21"/>
  <c r="F378" i="21"/>
  <c r="G378" i="21"/>
  <c r="B379" i="21"/>
  <c r="C379" i="21"/>
  <c r="E379" i="21"/>
  <c r="F379" i="21"/>
  <c r="G379" i="21"/>
  <c r="B380" i="21"/>
  <c r="C380" i="21"/>
  <c r="E380" i="21"/>
  <c r="F380" i="21"/>
  <c r="G380" i="21"/>
  <c r="B381" i="21"/>
  <c r="C381" i="21"/>
  <c r="E381" i="21"/>
  <c r="F381" i="21"/>
  <c r="G381" i="21"/>
  <c r="B382" i="21"/>
  <c r="C382" i="21"/>
  <c r="E382" i="21"/>
  <c r="F382" i="21"/>
  <c r="G382" i="21"/>
  <c r="B383" i="21"/>
  <c r="C383" i="21"/>
  <c r="E383" i="21"/>
  <c r="F383" i="21"/>
  <c r="G383" i="21"/>
  <c r="B384" i="21"/>
  <c r="C384" i="21"/>
  <c r="E384" i="21"/>
  <c r="F384" i="21"/>
  <c r="G384" i="21"/>
  <c r="B385" i="21"/>
  <c r="C385" i="21"/>
  <c r="E385" i="21"/>
  <c r="F385" i="21"/>
  <c r="G385" i="21"/>
  <c r="B386" i="21"/>
  <c r="C386" i="21"/>
  <c r="E386" i="21"/>
  <c r="F386" i="21"/>
  <c r="G386" i="21"/>
  <c r="B387" i="21"/>
  <c r="C387" i="21"/>
  <c r="E387" i="21"/>
  <c r="F387" i="21"/>
  <c r="G387" i="21"/>
  <c r="B388" i="21"/>
  <c r="C388" i="21"/>
  <c r="E388" i="21"/>
  <c r="F388" i="21"/>
  <c r="G388" i="21"/>
  <c r="B389" i="21"/>
  <c r="C389" i="21"/>
  <c r="E389" i="21"/>
  <c r="F389" i="21"/>
  <c r="G389" i="21"/>
  <c r="B390" i="21"/>
  <c r="C390" i="21"/>
  <c r="E390" i="21"/>
  <c r="F390" i="21"/>
  <c r="G390" i="21"/>
  <c r="B391" i="21"/>
  <c r="C391" i="21"/>
  <c r="E391" i="21"/>
  <c r="F391" i="21"/>
  <c r="G391" i="21"/>
  <c r="B392" i="21"/>
  <c r="C392" i="21"/>
  <c r="E392" i="21"/>
  <c r="F392" i="21"/>
  <c r="G392" i="21"/>
  <c r="B393" i="21"/>
  <c r="C393" i="21"/>
  <c r="E393" i="21"/>
  <c r="F393" i="21"/>
  <c r="G393" i="21"/>
  <c r="B394" i="21"/>
  <c r="C394" i="21"/>
  <c r="E394" i="21"/>
  <c r="F394" i="21"/>
  <c r="G394" i="21"/>
  <c r="B395" i="21"/>
  <c r="C395" i="21"/>
  <c r="E395" i="21"/>
  <c r="F395" i="21"/>
  <c r="G395" i="21"/>
  <c r="B396" i="21"/>
  <c r="C396" i="21"/>
  <c r="E396" i="21"/>
  <c r="F396" i="21"/>
  <c r="G396" i="21"/>
  <c r="B397" i="21"/>
  <c r="C397" i="21"/>
  <c r="E397" i="21"/>
  <c r="F397" i="21"/>
  <c r="G397" i="21"/>
  <c r="B398" i="21"/>
  <c r="C398" i="21"/>
  <c r="E398" i="21"/>
  <c r="F398" i="21"/>
  <c r="G398" i="21"/>
  <c r="B399" i="21"/>
  <c r="C399" i="21"/>
  <c r="E399" i="21"/>
  <c r="F399" i="21"/>
  <c r="G399" i="21"/>
  <c r="B400" i="21"/>
  <c r="C400" i="21"/>
  <c r="E400" i="21"/>
  <c r="F400" i="21"/>
  <c r="G400" i="21"/>
  <c r="B401" i="21"/>
  <c r="C401" i="21"/>
  <c r="E401" i="21"/>
  <c r="F401" i="21"/>
  <c r="G401" i="21"/>
  <c r="B402" i="21"/>
  <c r="C402" i="21"/>
  <c r="E402" i="21"/>
  <c r="F402" i="21"/>
  <c r="G402" i="21"/>
  <c r="B403" i="21"/>
  <c r="C403" i="21"/>
  <c r="E403" i="21"/>
  <c r="F403" i="21"/>
  <c r="G403" i="21"/>
  <c r="B404" i="21"/>
  <c r="C404" i="21"/>
  <c r="E404" i="21"/>
  <c r="F404" i="21"/>
  <c r="G404" i="21"/>
  <c r="B405" i="21"/>
  <c r="C405" i="21"/>
  <c r="E405" i="21"/>
  <c r="F405" i="21"/>
  <c r="G405" i="21"/>
  <c r="B406" i="21"/>
  <c r="C406" i="21"/>
  <c r="E406" i="21"/>
  <c r="F406" i="21"/>
  <c r="G406" i="21"/>
  <c r="B407" i="21"/>
  <c r="C407" i="21"/>
  <c r="E407" i="21"/>
  <c r="F407" i="21"/>
  <c r="G407" i="21"/>
  <c r="B408" i="21"/>
  <c r="C408" i="21"/>
  <c r="E408" i="21"/>
  <c r="F408" i="21"/>
  <c r="G408" i="21"/>
  <c r="B409" i="21"/>
  <c r="C409" i="21"/>
  <c r="E409" i="21"/>
  <c r="F409" i="21"/>
  <c r="G409" i="21"/>
  <c r="B410" i="21"/>
  <c r="C410" i="21"/>
  <c r="E410" i="21"/>
  <c r="F410" i="21"/>
  <c r="G410" i="21"/>
  <c r="B411" i="21"/>
  <c r="C411" i="21"/>
  <c r="E411" i="21"/>
  <c r="F411" i="21"/>
  <c r="G411" i="21"/>
  <c r="B412" i="21"/>
  <c r="C412" i="21"/>
  <c r="E412" i="21"/>
  <c r="F412" i="21"/>
  <c r="G412" i="21"/>
  <c r="B413" i="21"/>
  <c r="C413" i="21"/>
  <c r="E413" i="21"/>
  <c r="F413" i="21"/>
  <c r="G413" i="21"/>
  <c r="B414" i="21"/>
  <c r="C414" i="21"/>
  <c r="E414" i="21"/>
  <c r="F414" i="21"/>
  <c r="G414" i="21"/>
  <c r="B415" i="21"/>
  <c r="C415" i="21"/>
  <c r="E415" i="21"/>
  <c r="F415" i="21"/>
  <c r="G415" i="21"/>
  <c r="B416" i="21"/>
  <c r="C416" i="21"/>
  <c r="E416" i="21"/>
  <c r="F416" i="21"/>
  <c r="G416" i="21"/>
  <c r="B417" i="21"/>
  <c r="C417" i="21"/>
  <c r="E417" i="21"/>
  <c r="F417" i="21"/>
  <c r="G417" i="21"/>
  <c r="B418" i="21"/>
  <c r="C418" i="21"/>
  <c r="E418" i="21"/>
  <c r="F418" i="21"/>
  <c r="G418" i="21"/>
  <c r="B419" i="21"/>
  <c r="C419" i="21"/>
  <c r="E419" i="21"/>
  <c r="F419" i="21"/>
  <c r="G419" i="21"/>
  <c r="B420" i="21"/>
  <c r="C420" i="21"/>
  <c r="E420" i="21"/>
  <c r="F420" i="21"/>
  <c r="G420" i="21"/>
  <c r="B421" i="21"/>
  <c r="C421" i="21"/>
  <c r="E421" i="21"/>
  <c r="F421" i="21"/>
  <c r="G421" i="21"/>
  <c r="B422" i="21"/>
  <c r="C422" i="21"/>
  <c r="E422" i="21"/>
  <c r="F422" i="21"/>
  <c r="G422" i="21"/>
  <c r="B423" i="21"/>
  <c r="C423" i="21"/>
  <c r="E423" i="21"/>
  <c r="F423" i="21"/>
  <c r="G423" i="21"/>
  <c r="B424" i="21"/>
  <c r="C424" i="21"/>
  <c r="E424" i="21"/>
  <c r="F424" i="21"/>
  <c r="G424" i="21"/>
  <c r="B425" i="21"/>
  <c r="C425" i="21"/>
  <c r="E425" i="21"/>
  <c r="F425" i="21"/>
  <c r="G425" i="21"/>
  <c r="B426" i="21"/>
  <c r="C426" i="21"/>
  <c r="E426" i="21"/>
  <c r="F426" i="21"/>
  <c r="G426" i="21"/>
  <c r="B427" i="21"/>
  <c r="C427" i="21"/>
  <c r="E427" i="21"/>
  <c r="F427" i="21"/>
  <c r="G427" i="21"/>
  <c r="B428" i="21"/>
  <c r="C428" i="21"/>
  <c r="E428" i="21"/>
  <c r="F428" i="21"/>
  <c r="G428" i="21"/>
  <c r="B429" i="21"/>
  <c r="C429" i="21"/>
  <c r="E429" i="21"/>
  <c r="F429" i="21"/>
  <c r="G429" i="21"/>
  <c r="B430" i="21"/>
  <c r="C430" i="21"/>
  <c r="E430" i="21"/>
  <c r="F430" i="21"/>
  <c r="G430" i="21"/>
  <c r="B431" i="21"/>
  <c r="C431" i="21"/>
  <c r="E431" i="21"/>
  <c r="F431" i="21"/>
  <c r="G431" i="21"/>
  <c r="B432" i="21"/>
  <c r="C432" i="21"/>
  <c r="E432" i="21"/>
  <c r="F432" i="21"/>
  <c r="G432" i="21"/>
  <c r="B433" i="21"/>
  <c r="C433" i="21"/>
  <c r="E433" i="21"/>
  <c r="F433" i="21"/>
  <c r="G433" i="21"/>
  <c r="B434" i="21"/>
  <c r="C434" i="21"/>
  <c r="E434" i="21"/>
  <c r="F434" i="21"/>
  <c r="G434" i="21"/>
  <c r="B435" i="21"/>
  <c r="C435" i="21"/>
  <c r="E435" i="21"/>
  <c r="F435" i="21"/>
  <c r="G435" i="21"/>
  <c r="B436" i="21"/>
  <c r="C436" i="21"/>
  <c r="E436" i="21"/>
  <c r="F436" i="21"/>
  <c r="G436" i="21"/>
  <c r="B437" i="21"/>
  <c r="C437" i="21"/>
  <c r="E437" i="21"/>
  <c r="F437" i="21"/>
  <c r="G437" i="21"/>
  <c r="B438" i="21"/>
  <c r="C438" i="21"/>
  <c r="E438" i="21"/>
  <c r="F438" i="21"/>
  <c r="G438" i="21"/>
  <c r="B439" i="21"/>
  <c r="C439" i="21"/>
  <c r="E439" i="21"/>
  <c r="F439" i="21"/>
  <c r="G439" i="21"/>
  <c r="B440" i="21"/>
  <c r="C440" i="21"/>
  <c r="E440" i="21"/>
  <c r="F440" i="21"/>
  <c r="G440" i="21"/>
  <c r="B441" i="21"/>
  <c r="C441" i="21"/>
  <c r="E441" i="21"/>
  <c r="F441" i="21"/>
  <c r="G441" i="21"/>
  <c r="B442" i="21"/>
  <c r="C442" i="21"/>
  <c r="E442" i="21"/>
  <c r="F442" i="21"/>
  <c r="G442" i="21"/>
  <c r="B443" i="21"/>
  <c r="C443" i="21"/>
  <c r="E443" i="21"/>
  <c r="F443" i="21"/>
  <c r="G443" i="21"/>
  <c r="B444" i="21"/>
  <c r="C444" i="21"/>
  <c r="E444" i="21"/>
  <c r="F444" i="21"/>
  <c r="G444" i="21"/>
  <c r="B445" i="21"/>
  <c r="C445" i="21"/>
  <c r="E445" i="21"/>
  <c r="F445" i="21"/>
  <c r="G445" i="21"/>
  <c r="B446" i="21"/>
  <c r="C446" i="21"/>
  <c r="E446" i="21"/>
  <c r="F446" i="21"/>
  <c r="G446" i="21"/>
  <c r="B447" i="21"/>
  <c r="C447" i="21"/>
  <c r="E447" i="21"/>
  <c r="F447" i="21"/>
  <c r="G447" i="21"/>
  <c r="B448" i="21"/>
  <c r="C448" i="21"/>
  <c r="E448" i="21"/>
  <c r="F448" i="21"/>
  <c r="G448" i="21"/>
  <c r="B449" i="21"/>
  <c r="C449" i="21"/>
  <c r="E449" i="21"/>
  <c r="F449" i="21"/>
  <c r="G449" i="21"/>
  <c r="B450" i="21"/>
  <c r="C450" i="21"/>
  <c r="E450" i="21"/>
  <c r="F450" i="21"/>
  <c r="G450" i="21"/>
  <c r="B451" i="21"/>
  <c r="C451" i="21"/>
  <c r="E451" i="21"/>
  <c r="F451" i="21"/>
  <c r="G451" i="21"/>
  <c r="B452" i="21"/>
  <c r="C452" i="21"/>
  <c r="E452" i="21"/>
  <c r="F452" i="21"/>
  <c r="G452" i="21"/>
  <c r="B453" i="21"/>
  <c r="C453" i="21"/>
  <c r="E453" i="21"/>
  <c r="F453" i="21"/>
  <c r="G453" i="21"/>
  <c r="B454" i="21"/>
  <c r="C454" i="21"/>
  <c r="E454" i="21"/>
  <c r="F454" i="21"/>
  <c r="G454" i="21"/>
  <c r="B455" i="21"/>
  <c r="C455" i="21"/>
  <c r="E455" i="21"/>
  <c r="F455" i="21"/>
  <c r="G455" i="21"/>
  <c r="B456" i="21"/>
  <c r="C456" i="21"/>
  <c r="E456" i="21"/>
  <c r="F456" i="21"/>
  <c r="G456" i="21"/>
  <c r="B457" i="21"/>
  <c r="C457" i="21"/>
  <c r="E457" i="21"/>
  <c r="F457" i="21"/>
  <c r="G457" i="21"/>
  <c r="B458" i="21"/>
  <c r="C458" i="21"/>
  <c r="E458" i="21"/>
  <c r="F458" i="21"/>
  <c r="G458" i="21"/>
  <c r="B459" i="21"/>
  <c r="C459" i="21"/>
  <c r="E459" i="21"/>
  <c r="F459" i="21"/>
  <c r="G459" i="21"/>
  <c r="B460" i="21"/>
  <c r="C460" i="21"/>
  <c r="E460" i="21"/>
  <c r="F460" i="21"/>
  <c r="G460" i="21"/>
  <c r="B461" i="21"/>
  <c r="C461" i="21"/>
  <c r="E461" i="21"/>
  <c r="F461" i="21"/>
  <c r="G461" i="21"/>
  <c r="B462" i="21"/>
  <c r="C462" i="21"/>
  <c r="E462" i="21"/>
  <c r="F462" i="21"/>
  <c r="G462" i="21"/>
  <c r="B463" i="21"/>
  <c r="C463" i="21"/>
  <c r="E463" i="21"/>
  <c r="F463" i="21"/>
  <c r="G463" i="21"/>
  <c r="B464" i="21"/>
  <c r="C464" i="21"/>
  <c r="E464" i="21"/>
  <c r="F464" i="21"/>
  <c r="G464" i="21"/>
  <c r="B465" i="21"/>
  <c r="C465" i="21"/>
  <c r="E465" i="21"/>
  <c r="F465" i="21"/>
  <c r="G465" i="21"/>
  <c r="B466" i="21"/>
  <c r="C466" i="21"/>
  <c r="E466" i="21"/>
  <c r="F466" i="21"/>
  <c r="G466" i="21"/>
  <c r="B467" i="21"/>
  <c r="C467" i="21"/>
  <c r="E467" i="21"/>
  <c r="F467" i="21"/>
  <c r="G467" i="21"/>
  <c r="B468" i="21"/>
  <c r="C468" i="21"/>
  <c r="E468" i="21"/>
  <c r="F468" i="21"/>
  <c r="G468" i="21"/>
  <c r="B469" i="21"/>
  <c r="C469" i="21"/>
  <c r="E469" i="21"/>
  <c r="F469" i="21"/>
  <c r="G469" i="21"/>
  <c r="B470" i="21"/>
  <c r="C470" i="21"/>
  <c r="E470" i="21"/>
  <c r="F470" i="21"/>
  <c r="G470" i="21"/>
  <c r="B471" i="21"/>
  <c r="C471" i="21"/>
  <c r="E471" i="21"/>
  <c r="F471" i="21"/>
  <c r="G471" i="21"/>
  <c r="B472" i="21"/>
  <c r="C472" i="21"/>
  <c r="E472" i="21"/>
  <c r="F472" i="21"/>
  <c r="G472" i="21"/>
  <c r="B473" i="21"/>
  <c r="C473" i="21"/>
  <c r="E473" i="21"/>
  <c r="F473" i="21"/>
  <c r="G473" i="21"/>
  <c r="B474" i="21"/>
  <c r="C474" i="21"/>
  <c r="E474" i="21"/>
  <c r="F474" i="21"/>
  <c r="G474" i="21"/>
  <c r="B475" i="21"/>
  <c r="C475" i="21"/>
  <c r="E475" i="21"/>
  <c r="F475" i="21"/>
  <c r="G475" i="21"/>
  <c r="B476" i="21"/>
  <c r="C476" i="21"/>
  <c r="E476" i="21"/>
  <c r="F476" i="21"/>
  <c r="G476" i="21"/>
  <c r="B477" i="21"/>
  <c r="C477" i="21"/>
  <c r="E477" i="21"/>
  <c r="F477" i="21"/>
  <c r="G477" i="21"/>
  <c r="B478" i="21"/>
  <c r="C478" i="21"/>
  <c r="E478" i="21"/>
  <c r="F478" i="21"/>
  <c r="G478" i="21"/>
  <c r="B479" i="21"/>
  <c r="C479" i="21"/>
  <c r="E479" i="21"/>
  <c r="F479" i="21"/>
  <c r="G479" i="21"/>
  <c r="B480" i="21"/>
  <c r="C480" i="21"/>
  <c r="E480" i="21"/>
  <c r="F480" i="21"/>
  <c r="G480" i="21"/>
  <c r="B481" i="21"/>
  <c r="C481" i="21"/>
  <c r="E481" i="21"/>
  <c r="F481" i="21"/>
  <c r="G481" i="21"/>
  <c r="B482" i="21"/>
  <c r="C482" i="21"/>
  <c r="E482" i="21"/>
  <c r="F482" i="21"/>
  <c r="G482" i="21"/>
  <c r="B483" i="21"/>
  <c r="C483" i="21"/>
  <c r="E483" i="21"/>
  <c r="F483" i="21"/>
  <c r="G483" i="21"/>
  <c r="B484" i="21"/>
  <c r="C484" i="21"/>
  <c r="E484" i="21"/>
  <c r="F484" i="21"/>
  <c r="G484" i="21"/>
  <c r="B485" i="21"/>
  <c r="C485" i="21"/>
  <c r="E485" i="21"/>
  <c r="F485" i="21"/>
  <c r="G485" i="21"/>
  <c r="B486" i="21"/>
  <c r="C486" i="21"/>
  <c r="E486" i="21"/>
  <c r="F486" i="21"/>
  <c r="G486" i="21"/>
  <c r="B487" i="21"/>
  <c r="C487" i="21"/>
  <c r="E487" i="21"/>
  <c r="F487" i="21"/>
  <c r="G487" i="21"/>
  <c r="B488" i="21"/>
  <c r="C488" i="21"/>
  <c r="E488" i="21"/>
  <c r="F488" i="21"/>
  <c r="G488" i="21"/>
  <c r="B489" i="21"/>
  <c r="C489" i="21"/>
  <c r="E489" i="21"/>
  <c r="F489" i="21"/>
  <c r="G489" i="21"/>
  <c r="B490" i="21"/>
  <c r="C490" i="21"/>
  <c r="E490" i="21"/>
  <c r="F490" i="21"/>
  <c r="G490" i="21"/>
  <c r="B491" i="21"/>
  <c r="C491" i="21"/>
  <c r="E491" i="21"/>
  <c r="F491" i="21"/>
  <c r="G491" i="21"/>
  <c r="B492" i="21"/>
  <c r="C492" i="21"/>
  <c r="E492" i="21"/>
  <c r="F492" i="21"/>
  <c r="G492" i="21"/>
  <c r="B493" i="21"/>
  <c r="C493" i="21"/>
  <c r="E493" i="21"/>
  <c r="F493" i="21"/>
  <c r="G493" i="21"/>
  <c r="B494" i="21"/>
  <c r="C494" i="21"/>
  <c r="E494" i="21"/>
  <c r="F494" i="21"/>
  <c r="G494" i="21"/>
  <c r="B495" i="21"/>
  <c r="C495" i="21"/>
  <c r="E495" i="21"/>
  <c r="F495" i="21"/>
  <c r="G495" i="21"/>
  <c r="B496" i="21"/>
  <c r="C496" i="21"/>
  <c r="E496" i="21"/>
  <c r="F496" i="21"/>
  <c r="G496" i="21"/>
  <c r="B497" i="21"/>
  <c r="C497" i="21"/>
  <c r="E497" i="21"/>
  <c r="F497" i="21"/>
  <c r="G497" i="21"/>
  <c r="B498" i="21"/>
  <c r="C498" i="21"/>
  <c r="E498" i="21"/>
  <c r="F498" i="21"/>
  <c r="G498" i="21"/>
  <c r="B499" i="21"/>
  <c r="C499" i="21"/>
  <c r="E499" i="21"/>
  <c r="F499" i="21"/>
  <c r="G499" i="21"/>
  <c r="B500" i="21"/>
  <c r="C500" i="21"/>
  <c r="E500" i="21"/>
  <c r="F500" i="21"/>
  <c r="G500" i="21"/>
  <c r="B501" i="21"/>
  <c r="C501" i="21"/>
  <c r="E501" i="21"/>
  <c r="F501" i="21"/>
  <c r="G501" i="21"/>
  <c r="B8" i="21"/>
  <c r="C10" i="18"/>
  <c r="B2" i="21"/>
  <c r="B4" i="21"/>
  <c r="B5" i="21"/>
  <c r="B6" i="21"/>
  <c r="B7" i="21"/>
  <c r="B9" i="21"/>
  <c r="B10" i="21"/>
  <c r="B11" i="21"/>
  <c r="B12" i="21"/>
  <c r="B13" i="21"/>
  <c r="B14" i="21"/>
  <c r="B15" i="21"/>
  <c r="B16" i="21"/>
  <c r="B17" i="21"/>
  <c r="B18" i="21"/>
  <c r="C2" i="21"/>
  <c r="C3" i="21"/>
  <c r="C4" i="21"/>
  <c r="C6" i="21"/>
  <c r="C7" i="21"/>
  <c r="C8" i="21"/>
  <c r="C9" i="21"/>
  <c r="C10" i="21"/>
  <c r="C11" i="21"/>
  <c r="C12" i="21"/>
  <c r="C13" i="21"/>
  <c r="C14" i="21"/>
  <c r="C15" i="21"/>
  <c r="C16" i="21"/>
  <c r="C17" i="21"/>
  <c r="C18" i="21"/>
  <c r="C19" i="21"/>
  <c r="B19" i="21"/>
  <c r="F25" i="21"/>
  <c r="G25" i="21"/>
  <c r="E25" i="21"/>
  <c r="E28" i="21"/>
  <c r="F28" i="21"/>
  <c r="G28" i="21"/>
  <c r="E24" i="21"/>
  <c r="F24" i="21"/>
  <c r="G24" i="21"/>
  <c r="E27" i="21"/>
  <c r="F27" i="21"/>
  <c r="G27" i="21"/>
  <c r="E23" i="21"/>
  <c r="F23" i="21"/>
  <c r="G23" i="21"/>
  <c r="G26" i="21"/>
  <c r="E26" i="21"/>
  <c r="F26" i="21"/>
  <c r="F22" i="21"/>
  <c r="G22" i="21"/>
  <c r="E22" i="21"/>
  <c r="E21" i="21"/>
  <c r="F21" i="21"/>
  <c r="G21" i="21"/>
  <c r="G20" i="21"/>
  <c r="E20" i="21"/>
  <c r="F20" i="21"/>
  <c r="G18" i="18"/>
  <c r="E17" i="21"/>
  <c r="F17" i="21"/>
  <c r="G17" i="21"/>
  <c r="F8" i="21"/>
  <c r="G8" i="21"/>
  <c r="E8" i="21"/>
  <c r="F18" i="21"/>
  <c r="G18" i="21"/>
  <c r="E18" i="21"/>
  <c r="E14" i="21"/>
  <c r="F14" i="21"/>
  <c r="G14" i="21"/>
  <c r="G7" i="21"/>
  <c r="E7" i="21"/>
  <c r="F7" i="21"/>
  <c r="E6" i="21"/>
  <c r="F6" i="21"/>
  <c r="G6" i="21"/>
  <c r="E3" i="21"/>
  <c r="F3" i="21"/>
  <c r="G3" i="21"/>
  <c r="G15" i="21"/>
  <c r="E15" i="21"/>
  <c r="F15" i="21"/>
  <c r="F10" i="21"/>
  <c r="G10" i="21"/>
  <c r="E10" i="21"/>
  <c r="E9" i="21"/>
  <c r="F9" i="21"/>
  <c r="G9" i="21"/>
  <c r="E11" i="21"/>
  <c r="F11" i="21"/>
  <c r="G11" i="21"/>
  <c r="E19" i="21"/>
  <c r="F19" i="21"/>
  <c r="G19" i="21"/>
  <c r="F13" i="21"/>
  <c r="G13" i="21"/>
  <c r="E13" i="21"/>
  <c r="F16" i="21"/>
  <c r="G16" i="21"/>
  <c r="E16" i="21"/>
  <c r="E12" i="21"/>
  <c r="F12" i="21"/>
  <c r="G12" i="21"/>
  <c r="F5" i="21"/>
  <c r="G5" i="21"/>
  <c r="E5" i="21"/>
  <c r="E4" i="21"/>
  <c r="F4" i="21"/>
  <c r="G4" i="21"/>
  <c r="F8" i="18"/>
  <c r="F18" i="18"/>
  <c r="G2" i="21"/>
  <c r="E2" i="21"/>
  <c r="E18" i="18"/>
  <c r="F2" i="21"/>
  <c r="D18" i="18"/>
  <c r="D34" i="18"/>
  <c r="E34" i="18"/>
  <c r="F34" i="18"/>
  <c r="G34" i="18"/>
  <c r="J34" i="18"/>
  <c r="K34" i="18"/>
  <c r="D35" i="18"/>
  <c r="E35" i="18"/>
  <c r="F35" i="18"/>
  <c r="G35" i="18"/>
  <c r="J35" i="18"/>
  <c r="K35" i="18"/>
  <c r="E33" i="18"/>
  <c r="F33" i="18"/>
  <c r="G33" i="18"/>
  <c r="J33" i="18"/>
  <c r="K33" i="18"/>
  <c r="D33" i="18"/>
  <c r="D29" i="18"/>
  <c r="E29" i="18"/>
  <c r="F29" i="18"/>
  <c r="G29" i="18"/>
  <c r="J29" i="18"/>
  <c r="K29" i="18"/>
  <c r="D30" i="18"/>
  <c r="E30" i="18"/>
  <c r="F30" i="18"/>
  <c r="G30" i="18"/>
  <c r="J30" i="18"/>
  <c r="K30" i="18"/>
  <c r="D32" i="18"/>
  <c r="E32" i="18"/>
  <c r="F32" i="18"/>
  <c r="G32" i="18"/>
  <c r="J32" i="18"/>
  <c r="K32" i="18"/>
  <c r="E28" i="18"/>
  <c r="F28" i="18"/>
  <c r="G28" i="18"/>
  <c r="J28" i="18"/>
  <c r="K28" i="18"/>
  <c r="F10" i="18"/>
  <c r="F4" i="18"/>
  <c r="I8" i="18"/>
  <c r="L34" i="18" l="1"/>
  <c r="I10" i="18"/>
  <c r="L29" i="18"/>
  <c r="J36" i="18"/>
  <c r="L32" i="18"/>
  <c r="L35" i="18"/>
  <c r="K36" i="18"/>
  <c r="G36" i="18"/>
  <c r="F36" i="18"/>
  <c r="I36" i="18"/>
  <c r="E36" i="18"/>
  <c r="L30" i="18"/>
  <c r="L33" i="18"/>
  <c r="L28" i="18"/>
  <c r="H36" i="18"/>
  <c r="D36" i="18"/>
  <c r="L36" i="18" l="1"/>
  <c r="F6" i="18" s="1"/>
  <c r="D363" i="21"/>
  <c r="D64" i="21"/>
  <c r="D289" i="21"/>
  <c r="D297" i="21"/>
  <c r="D14" i="21"/>
  <c r="D349" i="21"/>
  <c r="D374" i="21"/>
  <c r="D119" i="21"/>
  <c r="D396" i="21"/>
  <c r="D86" i="21"/>
  <c r="D461" i="21"/>
  <c r="D287" i="21"/>
  <c r="D465" i="21"/>
  <c r="D135" i="21"/>
  <c r="D275" i="21"/>
  <c r="D169" i="21"/>
  <c r="D75" i="21"/>
  <c r="D324" i="21"/>
  <c r="D357" i="21"/>
  <c r="D457" i="21"/>
  <c r="D224" i="21"/>
  <c r="D12" i="21"/>
  <c r="D186" i="21"/>
  <c r="D112" i="21"/>
  <c r="D124" i="21"/>
  <c r="D473" i="21"/>
  <c r="D285" i="21"/>
  <c r="D58" i="21"/>
  <c r="D320" i="21"/>
  <c r="D8" i="21"/>
  <c r="D440" i="21"/>
  <c r="D191" i="21"/>
  <c r="D227" i="21"/>
  <c r="D413" i="21"/>
  <c r="D157" i="21"/>
  <c r="D442" i="21"/>
  <c r="D170" i="21"/>
  <c r="D218" i="21"/>
  <c r="D332" i="21"/>
  <c r="D488" i="21"/>
  <c r="D115" i="21"/>
  <c r="D454" i="21"/>
  <c r="D52" i="21"/>
  <c r="D196" i="21"/>
  <c r="D433" i="21"/>
  <c r="D25" i="21"/>
  <c r="D236" i="21"/>
  <c r="D125" i="21"/>
  <c r="D423" i="21"/>
  <c r="D141" i="21"/>
  <c r="D245" i="21"/>
  <c r="D161" i="21"/>
  <c r="D133" i="21"/>
  <c r="D199" i="21"/>
  <c r="D130" i="21"/>
  <c r="D301" i="21"/>
  <c r="D151" i="21"/>
  <c r="D182" i="21"/>
  <c r="D318" i="21"/>
  <c r="D389" i="21"/>
  <c r="D234" i="21"/>
  <c r="D430" i="21"/>
  <c r="D408" i="21"/>
  <c r="D79" i="21"/>
  <c r="D213" i="21"/>
  <c r="D225" i="21"/>
  <c r="D327" i="21"/>
  <c r="D81" i="21"/>
  <c r="D310" i="21"/>
  <c r="D386" i="21"/>
  <c r="D42" i="21"/>
  <c r="D395" i="21"/>
  <c r="D242" i="21"/>
  <c r="D134" i="21"/>
  <c r="D118" i="21"/>
  <c r="D254" i="21"/>
  <c r="D290" i="21"/>
  <c r="D451" i="21"/>
  <c r="D116" i="21"/>
  <c r="D50" i="21"/>
  <c r="D377" i="21"/>
  <c r="D437" i="21"/>
  <c r="D462" i="21"/>
  <c r="D469" i="21"/>
  <c r="D375" i="21"/>
  <c r="D407" i="21"/>
  <c r="D223" i="21"/>
  <c r="D205" i="21"/>
  <c r="D44" i="21"/>
  <c r="D467" i="21"/>
  <c r="D392" i="21"/>
  <c r="D49" i="21"/>
  <c r="D382" i="21"/>
  <c r="D262" i="21"/>
  <c r="D406" i="21"/>
  <c r="D348" i="21"/>
  <c r="D246" i="21"/>
  <c r="D84" i="21"/>
  <c r="D411" i="21"/>
  <c r="D468" i="21"/>
  <c r="D178" i="21"/>
  <c r="D346" i="21"/>
  <c r="D228" i="21"/>
  <c r="D212" i="21"/>
  <c r="D456" i="21"/>
  <c r="D159" i="21"/>
  <c r="D203" i="21"/>
  <c r="D176" i="21"/>
  <c r="D500" i="21"/>
  <c r="D419" i="21"/>
  <c r="D428" i="21"/>
  <c r="D460" i="21"/>
  <c r="D24" i="21"/>
  <c r="D394" i="21"/>
  <c r="D132" i="21"/>
  <c r="D498" i="21"/>
  <c r="D317" i="21"/>
  <c r="D104" i="21"/>
  <c r="D448" i="21"/>
  <c r="D471" i="21"/>
  <c r="D48" i="21"/>
  <c r="D485" i="21"/>
  <c r="D156" i="21"/>
  <c r="D400" i="21"/>
  <c r="D447" i="21"/>
  <c r="D398" i="21"/>
  <c r="D210" i="21"/>
  <c r="D261" i="21"/>
  <c r="D405" i="21"/>
  <c r="D167" i="21"/>
  <c r="D307" i="21"/>
  <c r="D62" i="21"/>
  <c r="D90" i="21"/>
  <c r="D184" i="21"/>
  <c r="D189" i="21"/>
  <c r="D72" i="21"/>
  <c r="D179" i="21"/>
  <c r="D295" i="21"/>
  <c r="D22" i="21"/>
  <c r="D325" i="21"/>
  <c r="D334" i="21"/>
  <c r="D393" i="21"/>
  <c r="D101" i="21"/>
  <c r="D381" i="21"/>
  <c r="D177" i="21"/>
  <c r="D28" i="21"/>
  <c r="D304" i="21"/>
  <c r="D173" i="21"/>
  <c r="D486" i="21"/>
  <c r="D99" i="21"/>
  <c r="D424" i="21"/>
  <c r="D131" i="21"/>
  <c r="D129" i="21"/>
  <c r="D244" i="21"/>
  <c r="D352" i="21"/>
  <c r="D494" i="21"/>
  <c r="D46" i="21"/>
  <c r="D231" i="21"/>
  <c r="D308" i="21"/>
  <c r="D264" i="21"/>
  <c r="D193" i="21"/>
  <c r="D17" i="21"/>
  <c r="D370" i="21"/>
  <c r="D94" i="21"/>
  <c r="D34" i="21"/>
  <c r="D122" i="21"/>
  <c r="D280" i="21"/>
  <c r="D422" i="21"/>
  <c r="D6" i="21"/>
  <c r="D294" i="21"/>
  <c r="D93" i="21"/>
  <c r="D102" i="21"/>
  <c r="D344" i="21"/>
  <c r="D200" i="21"/>
  <c r="D427" i="21"/>
  <c r="D441" i="21"/>
  <c r="D139" i="21"/>
  <c r="D121" i="21"/>
  <c r="D40" i="21"/>
  <c r="D183" i="21"/>
  <c r="D76" i="21"/>
  <c r="D286" i="21"/>
  <c r="D379" i="21"/>
  <c r="D388" i="21"/>
  <c r="D82" i="21"/>
  <c r="D148" i="21"/>
  <c r="D211" i="21"/>
  <c r="D241" i="21"/>
  <c r="D314" i="21"/>
  <c r="D144" i="21"/>
  <c r="D431" i="21"/>
  <c r="D316" i="21"/>
  <c r="D219" i="21"/>
  <c r="D103" i="21"/>
  <c r="D276" i="21"/>
  <c r="D299" i="21"/>
  <c r="D449" i="21"/>
  <c r="D192" i="21"/>
  <c r="D476" i="21"/>
  <c r="D221" i="21"/>
  <c r="D333" i="21"/>
  <c r="D267" i="21"/>
  <c r="D171" i="21"/>
  <c r="D418" i="21"/>
  <c r="D181" i="21"/>
  <c r="D222" i="21"/>
  <c r="D60" i="21"/>
  <c r="D239" i="21"/>
  <c r="D149" i="21"/>
  <c r="D378" i="21"/>
  <c r="D140" i="21"/>
  <c r="D53" i="21"/>
  <c r="D487" i="21"/>
  <c r="D490" i="21"/>
  <c r="D10" i="21"/>
  <c r="D198" i="21"/>
  <c r="D87" i="21"/>
  <c r="D416" i="21"/>
  <c r="D45" i="21"/>
  <c r="D268" i="21"/>
  <c r="D373" i="21"/>
  <c r="D421" i="21"/>
  <c r="D434" i="21"/>
  <c r="D51" i="21"/>
  <c r="D201" i="21"/>
  <c r="D281" i="21"/>
  <c r="D29" i="21"/>
  <c r="D63" i="21"/>
  <c r="D70" i="21"/>
  <c r="D143" i="21"/>
  <c r="D74" i="21"/>
  <c r="D305" i="21"/>
  <c r="D364" i="21"/>
  <c r="D383" i="21"/>
  <c r="D343" i="21"/>
  <c r="D230" i="21"/>
  <c r="D88" i="21"/>
  <c r="D31" i="21"/>
  <c r="D92" i="21"/>
  <c r="D85" i="21"/>
  <c r="D284" i="21"/>
  <c r="D336" i="21"/>
  <c r="D175" i="21"/>
  <c r="D136" i="21"/>
  <c r="D206" i="21"/>
  <c r="D438" i="21"/>
  <c r="D493" i="21"/>
  <c r="D248" i="21"/>
  <c r="D499" i="21"/>
  <c r="D232" i="21"/>
  <c r="D319" i="21"/>
  <c r="D459" i="21"/>
  <c r="D142" i="21"/>
  <c r="D217" i="21"/>
  <c r="D109" i="21"/>
  <c r="D235" i="21"/>
  <c r="D190" i="21"/>
  <c r="D35" i="21"/>
  <c r="D110" i="21"/>
  <c r="D369" i="21"/>
  <c r="D474" i="21"/>
  <c r="D147" i="21"/>
  <c r="D475" i="21"/>
  <c r="D273" i="21"/>
  <c r="D340" i="21"/>
  <c r="D452" i="21"/>
  <c r="D397" i="21"/>
  <c r="D420" i="21"/>
  <c r="D356" i="21"/>
  <c r="D463" i="21"/>
  <c r="D359" i="21"/>
  <c r="D402" i="21"/>
  <c r="D174" i="21"/>
  <c r="D259" i="21"/>
  <c r="D458" i="21"/>
  <c r="D188" i="21"/>
  <c r="D350" i="21"/>
  <c r="D444" i="21"/>
  <c r="D376" i="21"/>
  <c r="D97" i="21"/>
  <c r="D385" i="21"/>
  <c r="D432" i="21"/>
  <c r="D274" i="21"/>
  <c r="D37" i="21"/>
  <c r="D73" i="21"/>
  <c r="D412" i="21"/>
  <c r="D220" i="21"/>
  <c r="D41" i="21"/>
  <c r="D95" i="21"/>
  <c r="D355" i="21"/>
  <c r="D409" i="21"/>
  <c r="D26" i="21"/>
  <c r="D366" i="21"/>
  <c r="D345" i="21"/>
  <c r="D328" i="21"/>
  <c r="D300" i="21"/>
  <c r="D100" i="21"/>
  <c r="D391" i="21"/>
  <c r="D237" i="21"/>
  <c r="D415" i="21"/>
  <c r="D256" i="21"/>
  <c r="D67" i="21"/>
  <c r="D342" i="21"/>
  <c r="D329" i="21"/>
  <c r="D330" i="21"/>
  <c r="D69" i="21"/>
  <c r="D197" i="21"/>
  <c r="D165" i="21"/>
  <c r="D288" i="21"/>
  <c r="D43" i="21"/>
  <c r="D361" i="21"/>
  <c r="D214" i="21"/>
  <c r="D265" i="21"/>
  <c r="D155" i="21"/>
  <c r="D496" i="21"/>
  <c r="D270" i="21"/>
  <c r="D347" i="21"/>
  <c r="D194" i="21"/>
  <c r="D331" i="21"/>
  <c r="D302" i="21"/>
  <c r="D20" i="21"/>
  <c r="D128" i="21"/>
  <c r="D489" i="21"/>
  <c r="D478" i="21"/>
  <c r="D257" i="21"/>
  <c r="D123" i="21"/>
  <c r="D249" i="21"/>
  <c r="D226" i="21"/>
  <c r="D180" i="21"/>
  <c r="D111" i="21"/>
  <c r="D61" i="21"/>
  <c r="D172" i="21"/>
  <c r="D445" i="21"/>
  <c r="D251" i="21"/>
  <c r="D4" i="21"/>
  <c r="D401" i="21"/>
  <c r="D5" i="21"/>
  <c r="D292" i="21"/>
  <c r="D77" i="21"/>
  <c r="D311" i="21"/>
  <c r="D453" i="21"/>
  <c r="D410" i="21"/>
  <c r="D215" i="21"/>
  <c r="D426" i="21"/>
  <c r="D21" i="21"/>
  <c r="D291" i="21"/>
  <c r="D335" i="21"/>
  <c r="D2" i="21"/>
  <c r="D3" i="21"/>
  <c r="D126" i="21"/>
  <c r="D19" i="21"/>
  <c r="D113" i="21"/>
  <c r="D470" i="21"/>
  <c r="D107" i="21"/>
  <c r="D450" i="21"/>
  <c r="D495" i="21"/>
  <c r="D293" i="21"/>
  <c r="D150" i="21"/>
  <c r="D446" i="21"/>
  <c r="D321" i="21"/>
  <c r="D243" i="21"/>
  <c r="D480" i="21"/>
  <c r="D187" i="21"/>
  <c r="D455" i="21"/>
  <c r="D390" i="21"/>
  <c r="D185" i="21"/>
  <c r="D279" i="21"/>
  <c r="D271" i="21"/>
  <c r="D59" i="21"/>
  <c r="D162" i="21"/>
  <c r="D387" i="21"/>
  <c r="D55" i="21"/>
  <c r="D238" i="21"/>
  <c r="D266" i="21"/>
  <c r="D277" i="21"/>
  <c r="D399" i="21"/>
  <c r="D233" i="21"/>
  <c r="D497" i="21"/>
  <c r="D146" i="21"/>
  <c r="D153" i="21"/>
  <c r="D145" i="21"/>
  <c r="D65" i="21"/>
  <c r="D338" i="21"/>
  <c r="D403" i="21"/>
  <c r="D152" i="21"/>
  <c r="D466" i="21"/>
  <c r="D56" i="21"/>
  <c r="D323" i="21"/>
  <c r="D89" i="21"/>
  <c r="D68" i="21"/>
  <c r="D138" i="21"/>
  <c r="D263" i="21"/>
  <c r="D479" i="21"/>
  <c r="D247" i="21"/>
  <c r="D337" i="21"/>
  <c r="D435" i="21"/>
  <c r="D483" i="21"/>
  <c r="D252" i="21"/>
  <c r="D429" i="21"/>
  <c r="D443" i="21"/>
  <c r="D207" i="21"/>
  <c r="D13" i="21"/>
  <c r="D296" i="21"/>
  <c r="D240" i="21"/>
  <c r="D120" i="21"/>
  <c r="D80" i="21"/>
  <c r="D105" i="21"/>
  <c r="D66" i="21"/>
  <c r="D204" i="21"/>
  <c r="D36" i="21"/>
  <c r="D436" i="21"/>
  <c r="D71" i="21"/>
  <c r="D358" i="21"/>
  <c r="D414" i="21"/>
  <c r="D209" i="21"/>
  <c r="D23" i="21"/>
  <c r="D91" i="21"/>
  <c r="D54" i="21"/>
  <c r="D269" i="21"/>
  <c r="D39" i="21"/>
  <c r="D464" i="21"/>
  <c r="D501" i="21"/>
  <c r="D368" i="21"/>
  <c r="D96" i="21"/>
  <c r="D33" i="21"/>
  <c r="D229" i="21"/>
  <c r="D322" i="21"/>
  <c r="D278" i="21"/>
  <c r="D16" i="21"/>
  <c r="D372" i="21"/>
  <c r="D439" i="21"/>
  <c r="D339" i="21"/>
  <c r="D351" i="21"/>
  <c r="D315" i="21"/>
  <c r="D258" i="21"/>
  <c r="D353" i="21"/>
  <c r="D164" i="21"/>
  <c r="D326" i="21"/>
  <c r="D38" i="21"/>
  <c r="D47" i="21"/>
  <c r="D137" i="21"/>
  <c r="D163" i="21"/>
  <c r="D360" i="21"/>
  <c r="D7" i="21"/>
  <c r="D298" i="21"/>
  <c r="D380" i="21"/>
  <c r="D384" i="21"/>
  <c r="D309" i="21"/>
  <c r="D78" i="21"/>
  <c r="D367" i="21"/>
  <c r="D491" i="21"/>
  <c r="D283" i="21"/>
  <c r="D98" i="21"/>
  <c r="D260" i="21"/>
  <c r="D255" i="21"/>
  <c r="D32" i="21"/>
  <c r="D472" i="21"/>
  <c r="D303" i="21"/>
  <c r="D57" i="21"/>
  <c r="D154" i="21"/>
  <c r="D482" i="21"/>
  <c r="D166" i="21"/>
  <c r="D365" i="21"/>
  <c r="D272" i="21"/>
  <c r="D492" i="21"/>
  <c r="D18" i="21"/>
  <c r="D216" i="21"/>
  <c r="D354" i="21"/>
  <c r="D30" i="21"/>
  <c r="D282" i="21"/>
  <c r="D477" i="21"/>
  <c r="D195" i="21"/>
  <c r="D15" i="21"/>
  <c r="D202" i="21"/>
  <c r="D371" i="21"/>
  <c r="D425" i="21"/>
  <c r="D117" i="21"/>
  <c r="D158" i="21"/>
  <c r="D417" i="21"/>
  <c r="D484" i="21"/>
  <c r="D404" i="21"/>
  <c r="D106" i="21"/>
  <c r="D253" i="21"/>
  <c r="D114" i="21"/>
  <c r="D362" i="21"/>
  <c r="D27" i="21"/>
  <c r="D127" i="21"/>
  <c r="D313" i="21"/>
  <c r="D83" i="21"/>
  <c r="D312" i="21"/>
  <c r="D250" i="21"/>
  <c r="D108" i="21"/>
  <c r="D306" i="21"/>
  <c r="D341" i="21"/>
  <c r="D9" i="21"/>
  <c r="D11" i="21"/>
  <c r="D208" i="21"/>
  <c r="D481" i="21"/>
  <c r="D168" i="21"/>
  <c r="D160" i="21"/>
  <c r="J160" i="21" l="1"/>
  <c r="J168" i="21"/>
  <c r="J481" i="21"/>
  <c r="J208" i="21"/>
  <c r="J11" i="21"/>
  <c r="J9" i="21"/>
  <c r="J341" i="21"/>
  <c r="J306" i="21"/>
  <c r="J108" i="21"/>
  <c r="J250" i="21"/>
  <c r="J312" i="21"/>
  <c r="J83" i="21"/>
  <c r="J313" i="21"/>
  <c r="J127" i="21"/>
  <c r="J27" i="21"/>
  <c r="J362" i="21"/>
  <c r="J114" i="21"/>
  <c r="J253" i="21"/>
  <c r="J106" i="21"/>
  <c r="J404" i="21"/>
  <c r="J484" i="21"/>
  <c r="J417" i="21"/>
  <c r="J158" i="21"/>
  <c r="J117" i="21"/>
  <c r="J425" i="21"/>
  <c r="J371" i="21"/>
  <c r="J202" i="21"/>
  <c r="J15" i="21"/>
  <c r="J195" i="21"/>
  <c r="J477" i="21"/>
  <c r="J282" i="21"/>
  <c r="J30" i="21"/>
  <c r="J354" i="21"/>
  <c r="J216" i="21"/>
  <c r="J18" i="21"/>
  <c r="J492" i="21"/>
  <c r="J272" i="21"/>
  <c r="J365" i="21"/>
  <c r="J166" i="21"/>
  <c r="J482" i="21"/>
  <c r="J154" i="21"/>
  <c r="J57" i="21"/>
  <c r="J303" i="21"/>
  <c r="J472" i="21"/>
  <c r="J32" i="21"/>
  <c r="J255" i="21"/>
  <c r="J260" i="21"/>
  <c r="J98" i="21"/>
  <c r="J283" i="21"/>
  <c r="J491" i="21"/>
  <c r="J367" i="21"/>
  <c r="J78" i="21"/>
  <c r="J309" i="21"/>
  <c r="J384" i="21"/>
  <c r="J380" i="21"/>
  <c r="J298" i="21"/>
  <c r="J7" i="21"/>
  <c r="J360" i="21"/>
  <c r="J163" i="21"/>
  <c r="J137" i="21"/>
  <c r="J47" i="21"/>
  <c r="J38" i="21"/>
  <c r="J326" i="21"/>
  <c r="J164" i="21"/>
  <c r="J353" i="21"/>
  <c r="J258" i="21"/>
  <c r="J315" i="21"/>
  <c r="J351" i="21"/>
  <c r="J339" i="21"/>
  <c r="J439" i="21"/>
  <c r="J372" i="21"/>
  <c r="J16" i="21"/>
  <c r="J278" i="21"/>
  <c r="J322" i="21"/>
  <c r="J229" i="21"/>
  <c r="J33" i="21"/>
  <c r="J96" i="21"/>
  <c r="J368" i="21"/>
  <c r="J501" i="21"/>
  <c r="J464" i="21"/>
  <c r="J39" i="21"/>
  <c r="J269" i="21"/>
  <c r="J54" i="21"/>
  <c r="J91" i="21"/>
  <c r="J23" i="21"/>
  <c r="J209" i="21"/>
  <c r="J414" i="21"/>
  <c r="J358" i="21"/>
  <c r="J71" i="21"/>
  <c r="J436" i="21"/>
  <c r="J36" i="21"/>
  <c r="J204" i="21"/>
  <c r="J66" i="21"/>
  <c r="J105" i="21"/>
  <c r="J80" i="21"/>
  <c r="J120" i="21"/>
  <c r="J240" i="21"/>
  <c r="J296" i="21"/>
  <c r="J13" i="21"/>
  <c r="J207" i="21"/>
  <c r="J443" i="21"/>
  <c r="J429" i="21"/>
  <c r="J252" i="21"/>
  <c r="J483" i="21"/>
  <c r="J435" i="21"/>
  <c r="J337" i="21"/>
  <c r="J247" i="21"/>
  <c r="J479" i="21"/>
  <c r="J263" i="21"/>
  <c r="J138" i="21"/>
  <c r="J68" i="21"/>
  <c r="J89" i="21"/>
  <c r="J323" i="21"/>
  <c r="J56" i="21"/>
  <c r="J466" i="21"/>
  <c r="J152" i="21"/>
  <c r="J403" i="21"/>
  <c r="J338" i="21"/>
  <c r="J65" i="21"/>
  <c r="J145" i="21"/>
  <c r="J153" i="21"/>
  <c r="J146" i="21"/>
  <c r="J497" i="21"/>
  <c r="J233" i="21"/>
  <c r="J399" i="21"/>
  <c r="J277" i="21"/>
  <c r="J266" i="21"/>
  <c r="J238" i="21"/>
  <c r="J55" i="21"/>
  <c r="J387" i="21"/>
  <c r="J162" i="21"/>
  <c r="J59" i="21"/>
  <c r="J271" i="21"/>
  <c r="J279" i="21"/>
  <c r="J185" i="21"/>
  <c r="J390" i="21"/>
  <c r="J455" i="21"/>
  <c r="J187" i="21"/>
  <c r="J480" i="21"/>
  <c r="J243" i="21"/>
  <c r="J321" i="21"/>
  <c r="J446" i="21"/>
  <c r="J150" i="21"/>
  <c r="J293" i="21"/>
  <c r="J495" i="21"/>
  <c r="J450" i="21"/>
  <c r="J107" i="21"/>
  <c r="J470" i="21"/>
  <c r="J113" i="21"/>
  <c r="J19" i="21"/>
  <c r="J126" i="21"/>
  <c r="J3" i="21"/>
  <c r="J2" i="21"/>
  <c r="C8" i="18"/>
  <c r="I6" i="18" s="1"/>
  <c r="J335" i="21"/>
  <c r="J291" i="21"/>
  <c r="J21" i="21"/>
  <c r="J426" i="21"/>
  <c r="J215" i="21"/>
  <c r="J410" i="21"/>
  <c r="J453" i="21"/>
  <c r="J311" i="21"/>
  <c r="J77" i="21"/>
  <c r="J292" i="21"/>
  <c r="J5" i="21"/>
  <c r="J401" i="21"/>
  <c r="J4" i="21"/>
  <c r="J251" i="21"/>
  <c r="J445" i="21"/>
  <c r="J172" i="21"/>
  <c r="J61" i="21"/>
  <c r="J111" i="21"/>
  <c r="J180" i="21"/>
  <c r="J226" i="21"/>
  <c r="J249" i="21"/>
  <c r="J123" i="21"/>
  <c r="J257" i="21"/>
  <c r="J478" i="21"/>
  <c r="J489" i="21"/>
  <c r="J128" i="21"/>
  <c r="J20" i="21"/>
  <c r="J302" i="21"/>
  <c r="J331" i="21"/>
  <c r="J194" i="21"/>
  <c r="J347" i="21"/>
  <c r="J270" i="21"/>
  <c r="J496" i="21"/>
  <c r="J155" i="21"/>
  <c r="J265" i="21"/>
  <c r="J214" i="21"/>
  <c r="J361" i="21"/>
  <c r="J43" i="21"/>
  <c r="J288" i="21"/>
  <c r="J165" i="21"/>
  <c r="J197" i="21"/>
  <c r="J69" i="21"/>
  <c r="J330" i="21"/>
  <c r="J329" i="21"/>
  <c r="J342" i="21"/>
  <c r="J67" i="21"/>
  <c r="J256" i="21"/>
  <c r="J415" i="21"/>
  <c r="J237" i="21"/>
  <c r="J391" i="21"/>
  <c r="J100" i="21"/>
  <c r="J300" i="21"/>
  <c r="J328" i="21"/>
  <c r="J345" i="21"/>
  <c r="J366" i="21"/>
  <c r="J26" i="21"/>
  <c r="J409" i="21"/>
  <c r="J355" i="21"/>
  <c r="J95" i="21"/>
  <c r="J41" i="21"/>
  <c r="J220" i="21"/>
  <c r="J412" i="21"/>
  <c r="J73" i="21"/>
  <c r="J37" i="21"/>
  <c r="J274" i="21"/>
  <c r="J432" i="21"/>
  <c r="J385" i="21"/>
  <c r="J97" i="21"/>
  <c r="J376" i="21"/>
  <c r="J444" i="21"/>
  <c r="J350" i="21"/>
  <c r="J188" i="21"/>
  <c r="J458" i="21"/>
  <c r="J259" i="21"/>
  <c r="J174" i="21"/>
  <c r="J402" i="21"/>
  <c r="J359" i="21"/>
  <c r="J463" i="21"/>
  <c r="J356" i="21"/>
  <c r="J420" i="21"/>
  <c r="J397" i="21"/>
  <c r="J452" i="21"/>
  <c r="J340" i="21"/>
  <c r="J273" i="21"/>
  <c r="J475" i="21"/>
  <c r="J147" i="21"/>
  <c r="J474" i="21"/>
  <c r="J369" i="21"/>
  <c r="J110" i="21"/>
  <c r="J35" i="21"/>
  <c r="J190" i="21"/>
  <c r="J235" i="21"/>
  <c r="J109" i="21"/>
  <c r="J217" i="21"/>
  <c r="J142" i="21"/>
  <c r="J459" i="21"/>
  <c r="J319" i="21"/>
  <c r="J232" i="21"/>
  <c r="J499" i="21"/>
  <c r="J248" i="21"/>
  <c r="J493" i="21"/>
  <c r="J438" i="21"/>
  <c r="J206" i="21"/>
  <c r="J136" i="21"/>
  <c r="J175" i="21"/>
  <c r="J336" i="21"/>
  <c r="J284" i="21"/>
  <c r="J85" i="21"/>
  <c r="J92" i="21"/>
  <c r="J31" i="21"/>
  <c r="J88" i="21"/>
  <c r="J230" i="21"/>
  <c r="J343" i="21"/>
  <c r="J383" i="21"/>
  <c r="J364" i="21"/>
  <c r="J305" i="21"/>
  <c r="J74" i="21"/>
  <c r="J143" i="21"/>
  <c r="J70" i="21"/>
  <c r="J63" i="21"/>
  <c r="J29" i="21"/>
  <c r="J281" i="21"/>
  <c r="J201" i="21"/>
  <c r="J51" i="21"/>
  <c r="J434" i="21"/>
  <c r="J421" i="21"/>
  <c r="J373" i="21"/>
  <c r="J268" i="21"/>
  <c r="J45" i="21"/>
  <c r="J416" i="21"/>
  <c r="J87" i="21"/>
  <c r="J198" i="21"/>
  <c r="J10" i="21"/>
  <c r="J490" i="21"/>
  <c r="J487" i="21"/>
  <c r="J53" i="21"/>
  <c r="J140" i="21"/>
  <c r="J378" i="21"/>
  <c r="J149" i="21"/>
  <c r="J239" i="21"/>
  <c r="J60" i="21"/>
  <c r="J222" i="21"/>
  <c r="J181" i="21"/>
  <c r="J418" i="21"/>
  <c r="J171" i="21"/>
  <c r="J267" i="21"/>
  <c r="J333" i="21"/>
  <c r="J221" i="21"/>
  <c r="J476" i="21"/>
  <c r="J192" i="21"/>
  <c r="J449" i="21"/>
  <c r="J299" i="21"/>
  <c r="J276" i="21"/>
  <c r="J103" i="21"/>
  <c r="J219" i="21"/>
  <c r="J316" i="21"/>
  <c r="J431" i="21"/>
  <c r="J144" i="21"/>
  <c r="J314" i="21"/>
  <c r="J241" i="21"/>
  <c r="J211" i="21"/>
  <c r="J148" i="21"/>
  <c r="J82" i="21"/>
  <c r="J388" i="21"/>
  <c r="J379" i="21"/>
  <c r="J286" i="21"/>
  <c r="J76" i="21"/>
  <c r="J183" i="21"/>
  <c r="J40" i="21"/>
  <c r="J121" i="21"/>
  <c r="J139" i="21"/>
  <c r="J441" i="21"/>
  <c r="J427" i="21"/>
  <c r="J200" i="21"/>
  <c r="J344" i="21"/>
  <c r="J102" i="21"/>
  <c r="J93" i="21"/>
  <c r="J294" i="21"/>
  <c r="J6" i="21"/>
  <c r="J422" i="21"/>
  <c r="J280" i="21"/>
  <c r="J122" i="21"/>
  <c r="J34" i="21"/>
  <c r="J94" i="21"/>
  <c r="J370" i="21"/>
  <c r="J17" i="21"/>
  <c r="J193" i="21"/>
  <c r="J264" i="21"/>
  <c r="J308" i="21"/>
  <c r="J231" i="21"/>
  <c r="J46" i="21"/>
  <c r="J494" i="21"/>
  <c r="J352" i="21"/>
  <c r="J244" i="21"/>
  <c r="J129" i="21"/>
  <c r="J131" i="21"/>
  <c r="J424" i="21"/>
  <c r="J99" i="21"/>
  <c r="J486" i="21"/>
  <c r="J173" i="21"/>
  <c r="J304" i="21"/>
  <c r="J28" i="21"/>
  <c r="J177" i="21"/>
  <c r="J381" i="21"/>
  <c r="J101" i="21"/>
  <c r="J393" i="21"/>
  <c r="J334" i="21"/>
  <c r="J325" i="21"/>
  <c r="J22" i="21"/>
  <c r="J295" i="21"/>
  <c r="J179" i="21"/>
  <c r="J72" i="21"/>
  <c r="J189" i="21"/>
  <c r="J184" i="21"/>
  <c r="J90" i="21"/>
  <c r="J62" i="21"/>
  <c r="J307" i="21"/>
  <c r="J167" i="21"/>
  <c r="J405" i="21"/>
  <c r="J261" i="21"/>
  <c r="J210" i="21"/>
  <c r="J398" i="21"/>
  <c r="J447" i="21"/>
  <c r="J400" i="21"/>
  <c r="J156" i="21"/>
  <c r="J485" i="21"/>
  <c r="J48" i="21"/>
  <c r="J471" i="21"/>
  <c r="J448" i="21"/>
  <c r="J104" i="21"/>
  <c r="J317" i="21"/>
  <c r="J498" i="21"/>
  <c r="J132" i="21"/>
  <c r="J394" i="21"/>
  <c r="J24" i="21"/>
  <c r="J460" i="21"/>
  <c r="J428" i="21"/>
  <c r="J419" i="21"/>
  <c r="J500" i="21"/>
  <c r="J176" i="21"/>
  <c r="J203" i="21"/>
  <c r="J159" i="21"/>
  <c r="J456" i="21"/>
  <c r="J212" i="21"/>
  <c r="J228" i="21"/>
  <c r="J346" i="21"/>
  <c r="J178" i="21"/>
  <c r="J468" i="21"/>
  <c r="J411" i="21"/>
  <c r="J84" i="21"/>
  <c r="J246" i="21"/>
  <c r="J348" i="21"/>
  <c r="J406" i="21"/>
  <c r="J262" i="21"/>
  <c r="J382" i="21"/>
  <c r="J49" i="21"/>
  <c r="J392" i="21"/>
  <c r="J467" i="21"/>
  <c r="J44" i="21"/>
  <c r="J205" i="21"/>
  <c r="J223" i="21"/>
  <c r="J407" i="21"/>
  <c r="J375" i="21"/>
  <c r="J469" i="21"/>
  <c r="J462" i="21"/>
  <c r="J437" i="21"/>
  <c r="J377" i="21"/>
  <c r="J50" i="21"/>
  <c r="J116" i="21"/>
  <c r="J451" i="21"/>
  <c r="J290" i="21"/>
  <c r="J254" i="21"/>
  <c r="J118" i="21"/>
  <c r="J134" i="21"/>
  <c r="J242" i="21"/>
  <c r="J395" i="21"/>
  <c r="J42" i="21"/>
  <c r="J386" i="21"/>
  <c r="J310" i="21"/>
  <c r="J81" i="21"/>
  <c r="J327" i="21"/>
  <c r="J225" i="21"/>
  <c r="J213" i="21"/>
  <c r="J79" i="21"/>
  <c r="J408" i="21"/>
  <c r="J430" i="21"/>
  <c r="J234" i="21"/>
  <c r="J389" i="21"/>
  <c r="J318" i="21"/>
  <c r="J182" i="21"/>
  <c r="J151" i="21"/>
  <c r="J301" i="21"/>
  <c r="J130" i="21"/>
  <c r="J199" i="21"/>
  <c r="J133" i="21"/>
  <c r="J161" i="21"/>
  <c r="J245" i="21"/>
  <c r="J141" i="21"/>
  <c r="J423" i="21"/>
  <c r="J125" i="21"/>
  <c r="J236" i="21"/>
  <c r="J25" i="21"/>
  <c r="J433" i="21"/>
  <c r="J196" i="21"/>
  <c r="J52" i="21"/>
  <c r="J454" i="21"/>
  <c r="J115" i="21"/>
  <c r="J488" i="21"/>
  <c r="J332" i="21"/>
  <c r="J218" i="21"/>
  <c r="J170" i="21"/>
  <c r="J442" i="21"/>
  <c r="J157" i="21"/>
  <c r="J413" i="21"/>
  <c r="J227" i="21"/>
  <c r="J191" i="21"/>
  <c r="J440" i="21"/>
  <c r="J8" i="21"/>
  <c r="J320" i="21"/>
  <c r="J58" i="21"/>
  <c r="J285" i="21"/>
  <c r="J473" i="21"/>
  <c r="J124" i="21"/>
  <c r="J112" i="21"/>
  <c r="J186" i="21"/>
  <c r="J12" i="21"/>
  <c r="J224" i="21"/>
  <c r="J457" i="21"/>
  <c r="J357" i="21"/>
  <c r="J324" i="21"/>
  <c r="J75" i="21"/>
  <c r="J169" i="21"/>
  <c r="J275" i="21"/>
  <c r="J135" i="21"/>
  <c r="J465" i="21"/>
  <c r="J287" i="21"/>
  <c r="J461" i="21"/>
  <c r="J86" i="21"/>
  <c r="J396" i="21"/>
  <c r="J119" i="21"/>
  <c r="J374" i="21"/>
  <c r="J349" i="21"/>
  <c r="J14" i="21"/>
  <c r="J297" i="21"/>
  <c r="J289" i="21"/>
  <c r="J64" i="21"/>
  <c r="J363" i="21"/>
  <c r="H18" i="18" l="1"/>
  <c r="I4" i="18" s="1"/>
  <c r="K5" i="18" s="1"/>
  <c r="K7" i="18" s="1"/>
</calcChain>
</file>

<file path=xl/sharedStrings.xml><?xml version="1.0" encoding="utf-8"?>
<sst xmlns="http://schemas.openxmlformats.org/spreadsheetml/2006/main" count="3368" uniqueCount="1049">
  <si>
    <t>Issue Types</t>
    <phoneticPr fontId="4" type="noConversion"/>
  </si>
  <si>
    <t>Minor</t>
  </si>
  <si>
    <t>Fluency</t>
  </si>
  <si>
    <t>Subtypes</t>
  </si>
  <si>
    <t>Source</t>
  </si>
  <si>
    <t>Target</t>
  </si>
  <si>
    <t>Total Errors</t>
    <phoneticPr fontId="6" type="noConversion"/>
  </si>
  <si>
    <t>Omission</t>
  </si>
  <si>
    <t>Accuracy</t>
    <phoneticPr fontId="6" type="noConversion"/>
  </si>
  <si>
    <t># Total Errors:</t>
    <phoneticPr fontId="6" type="noConversion"/>
  </si>
  <si>
    <t># Segments:</t>
    <phoneticPr fontId="3" type="noConversion"/>
  </si>
  <si>
    <t># Words:</t>
    <phoneticPr fontId="3" type="noConversion"/>
  </si>
  <si>
    <t>Errors / 1k words:</t>
    <phoneticPr fontId="3" type="noConversion"/>
  </si>
  <si>
    <t># Seg corrects:</t>
    <phoneticPr fontId="6" type="noConversion"/>
  </si>
  <si>
    <t># Total Rows:</t>
    <phoneticPr fontId="3" type="noConversion"/>
  </si>
  <si>
    <t>After Evaluation</t>
    <phoneticPr fontId="3" type="noConversion"/>
  </si>
  <si>
    <t>Before Evaluation</t>
    <phoneticPr fontId="3" type="noConversion"/>
  </si>
  <si>
    <t>#error</t>
    <phoneticPr fontId="4" type="noConversion"/>
  </si>
  <si>
    <t>Evaluation Date</t>
    <phoneticPr fontId="3" type="noConversion"/>
  </si>
  <si>
    <t>% Seg Correct:</t>
    <phoneticPr fontId="3" type="noConversion"/>
  </si>
  <si>
    <t>ID</t>
    <phoneticPr fontId="4" type="noConversion"/>
  </si>
  <si>
    <t>Accuracy</t>
  </si>
  <si>
    <t>Addition</t>
  </si>
  <si>
    <t>Major</t>
  </si>
  <si>
    <t>N/A</t>
  </si>
  <si>
    <t>Critical</t>
  </si>
  <si>
    <t>Duplication</t>
  </si>
  <si>
    <t>Place&amp;Name</t>
  </si>
  <si>
    <t>Attribute</t>
  </si>
  <si>
    <t>Number&amp;Time</t>
  </si>
  <si>
    <t>Sub_Issue_Type</t>
  </si>
  <si>
    <t>Issue_Type</t>
  </si>
  <si>
    <t>Issue Words</t>
  </si>
  <si>
    <t>Labels</t>
  </si>
  <si>
    <t>Severity</t>
  </si>
  <si>
    <t>Critical</t>
    <phoneticPr fontId="4" type="noConversion"/>
  </si>
  <si>
    <t>Major</t>
    <phoneticPr fontId="4" type="noConversion"/>
  </si>
  <si>
    <t>Minor</t>
    <phoneticPr fontId="4" type="noConversion"/>
  </si>
  <si>
    <t># Invalid Segments:</t>
    <phoneticPr fontId="4" type="noConversion"/>
  </si>
  <si>
    <t>% Invalid Segments:</t>
    <phoneticPr fontId="6" type="noConversion"/>
  </si>
  <si>
    <t>Severities ScoreCard</t>
    <phoneticPr fontId="4" type="noConversion"/>
  </si>
  <si>
    <t>Errors ScoreCard</t>
    <phoneticPr fontId="4" type="noConversion"/>
  </si>
  <si>
    <t>LQI:</t>
    <phoneticPr fontId="3" type="noConversion"/>
  </si>
  <si>
    <t>Results</t>
    <phoneticPr fontId="4" type="noConversion"/>
  </si>
  <si>
    <t>wordcount</t>
    <phoneticPr fontId="4" type="noConversion"/>
  </si>
  <si>
    <t>Positive_Negative_Aspect</t>
  </si>
  <si>
    <t>Invalid Source</t>
    <phoneticPr fontId="4" type="noConversion"/>
  </si>
  <si>
    <t>Invalid Target</t>
    <phoneticPr fontId="4" type="noConversion"/>
  </si>
  <si>
    <t>Invalid Target</t>
    <phoneticPr fontId="4" type="noConversion"/>
  </si>
  <si>
    <t>LQE Metrics</t>
    <phoneticPr fontId="1" type="noConversion"/>
  </si>
  <si>
    <t>Severity_Matrix</t>
    <phoneticPr fontId="15" type="noConversion"/>
  </si>
  <si>
    <t>Source Language</t>
  </si>
  <si>
    <t>(Optional)</t>
    <phoneticPr fontId="4" type="noConversion"/>
  </si>
  <si>
    <t>Score</t>
  </si>
  <si>
    <t>Event Entity-Subject</t>
  </si>
  <si>
    <t>Event Entity-Object</t>
  </si>
  <si>
    <t>Event Relation-Predicate</t>
  </si>
  <si>
    <t>Whole Sentence</t>
  </si>
  <si>
    <t>Grammar Function Words</t>
  </si>
  <si>
    <t>Minor</t>
    <phoneticPr fontId="1" type="noConversion"/>
  </si>
  <si>
    <t>Critical</t>
    <phoneticPr fontId="1" type="noConversion"/>
  </si>
  <si>
    <t>Critical</t>
    <phoneticPr fontId="1" type="noConversion"/>
  </si>
  <si>
    <t>Reason for Error (optional)</t>
  </si>
  <si>
    <t>Inaccuracy_internal</t>
  </si>
  <si>
    <t>Inaccuracy_external</t>
  </si>
  <si>
    <t>Word_Order</t>
  </si>
  <si>
    <t>Word_Form</t>
  </si>
  <si>
    <t>Word_From</t>
  </si>
  <si>
    <t>Inaccuracy_internal</t>
    <phoneticPr fontId="4" type="noConversion"/>
  </si>
  <si>
    <t>Inaccuracy_external</t>
    <phoneticPr fontId="4" type="noConversion"/>
  </si>
  <si>
    <t>Word_Form</t>
    <phoneticPr fontId="4" type="noConversion"/>
  </si>
  <si>
    <t>Word_Order</t>
    <phoneticPr fontId="4" type="noConversion"/>
  </si>
  <si>
    <t>Attribute</t>
    <phoneticPr fontId="4" type="noConversion"/>
  </si>
  <si>
    <t>Grammar Function Words</t>
    <phoneticPr fontId="4" type="noConversion"/>
  </si>
  <si>
    <t>0-6</t>
  </si>
  <si>
    <t>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t>
  </si>
  <si>
    <t>corry ` corey ' campbell , 21 , was the ringleader of the gang dubbed the ` tattoo terrorists '
campbell believed the victim , greg valecce , had hurt his cat , pebbles
valecce , an unemployed drug addict , was staying in the basement of campbell 's mother 's house in mayfair , in the city 's northeast
campbell , his girlfriend sandra ng , 19 , was sentenced to 23 months in state prison for her role in the shocking assault last year
another defendant jennifer pratt , 40 , is awaiting trial</t>
  </si>
  <si>
    <t>tattoo terrorists abused   valecce</t>
  </si>
  <si>
    <t>his</t>
  </si>
  <si>
    <t>campbell's</t>
  </si>
  <si>
    <t>campbell was sentenced to 20 years prison , along with friend carl halin , 18</t>
  </si>
  <si>
    <t>another man involved , david thomas , 28 , is awaiting sentencing</t>
  </si>
  <si>
    <t>1-6</t>
  </si>
  <si>
    <t>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t>
  </si>
  <si>
    <t>jack nicklaus is one of five men to complete the career grand slam
nicklaus was playing alongside gary player and ben crenshaw
the 75-year-old saw his shot sail beyond the flag before spinning back into the hole
nicklaus became the youngest person to wear a green jacket in 1963</t>
    <phoneticPr fontId="4" type="noConversion"/>
  </si>
  <si>
    <t>nicklaus hits holein one a part3 contest</t>
  </si>
  <si>
    <t>jack nicklaus is one of five men to complete the career grand slam
nicklaus was playing alongside gary player and ben crenshaw
the 75-year-old saw his shot sail beyond the flag before spinning back into the hole
nicklaus became the youngest person to wear a green jacket in 1963</t>
  </si>
  <si>
    <t>the crowd roared in celebration</t>
  </si>
  <si>
    <t>players cheer</t>
  </si>
  <si>
    <t>colombian camilo villegas later eclipsed nicklaus ' achievement</t>
  </si>
  <si>
    <t>villegas was beaten in a play-off by world no 74 kevin streelman</t>
  </si>
  <si>
    <t>3-6</t>
  </si>
  <si>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t>
  </si>
  <si>
    <t>robert bates pleads not guilty to charge of second-degree manslaughter
bates says he meant to stun eric harris with a taser after harris fled from officers , but mistakenly shot him with a gun
the tulsa county sheriff 's office denies these allegations</t>
  </si>
  <si>
    <t>the judge said bates was free to travel to the bahamas for a family vacation</t>
  </si>
  <si>
    <t>the preliminary hearing is scheduled for july 2</t>
  </si>
  <si>
    <t>4-6</t>
  </si>
  <si>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t>
  </si>
  <si>
    <t>golden state warriors beat portland trail blazers 116-105 on thursday night
stephen curry broke his own nba record for most 3-pointers in a season
he hit six before halftime and eight overall as he teamed with fellow splash brothers star klay thompson to bring the warriors back from 13 points down
pau gasol had 16 points and 15 rebounds for the bulls , who were outscored 33-12 in the second quarter</t>
  </si>
  <si>
    <t>curry hit eight three 's to surpass his previous best of 272 three-pointers</t>
  </si>
  <si>
    <t>miami heat lost 78-89 vs chicago bulls in the eastern conference</t>
  </si>
  <si>
    <t>5-6</t>
  </si>
  <si>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t>
  </si>
  <si>
    <t>conor mcgregor is gearing up for a featherweight title challenge against jose aldo on july 11
the 26-year-old irishman has already got a picture of a gorilla eating a heart inked upon his chest
mcgregor claims he has greater motivation to win the title than aldo has to defend it for the eighth time</t>
  </si>
  <si>
    <t>conor mcgregor shared a picture of his new tiger tattoo on his stomach</t>
  </si>
  <si>
    <t>mcgregor grabbed aldo 's featherweight champion belt in dublin</t>
  </si>
  <si>
    <t>6-6</t>
  </si>
  <si>
    <t>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t>
  </si>
  <si>
    <t>mario balotelli , fabio borini , rickie lambert and lazar markovic meet bas van velzen at melwood
the merseysiders were led to believe the dutch free-kick specialist was a competition winner
van velzen has become a youtube sensation by uploading videos of his free-kick exploits</t>
  </si>
  <si>
    <t>they set to give van velzen a free-kick masterclass</t>
  </si>
  <si>
    <t>van velzen 's dead ball skills became apparent very quickly</t>
  </si>
  <si>
    <t>van velzen has become a youtube sensation by uploading videos of his free-kick exploits</t>
  </si>
  <si>
    <t>7-6</t>
    <phoneticPr fontId="4" type="noConversion"/>
  </si>
  <si>
    <t>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t>
  </si>
  <si>
    <t xml:space="preserve">australian prime minister tony abbott was cheered on by a crowd of about 50 as he skolled a schooner of beer
anti-drinking campaigners said he 's glorifying binge drinking and associating being a man with drinking booze
julie robert , a cultural studies professor at the university of technology sydney , said it was ` problematic ' that the prime minister thought it acceptable to ` showcase his masculinity ' by skolling a beer
</t>
    <phoneticPr fontId="4" type="noConversion"/>
  </si>
  <si>
    <t>tony abbott drinking the beer in six seconds</t>
    <phoneticPr fontId="4" type="noConversion"/>
  </si>
  <si>
    <t>criticism also levelled at media and officials who made light of the event</t>
    <phoneticPr fontId="4" type="noConversion"/>
  </si>
  <si>
    <t>julie robert , a cultural studies professor at the university of technology sydney , said it was ` problematic ' that the prime minister thought it acceptable to ` showcase his masculinity ' by skolling a beer</t>
    <phoneticPr fontId="4" type="noConversion"/>
  </si>
  <si>
    <t>8-6</t>
    <phoneticPr fontId="4" type="noConversion"/>
  </si>
  <si>
    <t>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t>
    <phoneticPr fontId="4" type="noConversion"/>
  </si>
  <si>
    <t xml:space="preserve">following the example of angelina jolie cuts their risk of dying from breast cancer by more than 60 per cent
women who carry a mutated gene known as brca2 face a life-time risk of breast cancer of up to 70 per cent if diagnosed , they face a severe threat of ovarian tumours
researchers in canada analysed 676 breast cancer patients who had one of the mutated genes , nearly half ( 345 ) underwent oophorectomy after their diagnosis
</t>
    <phoneticPr fontId="4" type="noConversion"/>
  </si>
  <si>
    <t>but the theory does not apply for those with brca2 gene mutation</t>
  </si>
  <si>
    <t>experts said benefits of having ovaries removed lasted for up to 15 years</t>
  </si>
  <si>
    <t>researchers in canada analysed 676 breast cancer patients who had one of the mutated genes , nearly half ( 345 ) underwent oophorectomy after their diagnosis</t>
  </si>
  <si>
    <t>9-6</t>
    <phoneticPr fontId="4" type="noConversion"/>
  </si>
  <si>
    <t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t>
    <phoneticPr fontId="4" type="noConversion"/>
  </si>
  <si>
    <t>there are now 120 confirmed hiv cases and 10 preliminary positive cases tied to scott county , about 30 miles north of louisville , kentucky
that 's up from 106 last week , said the indiana state department of health
but the growing number could put pressure on pence to extend the 30-day needle exchange program that he approved on march 26
pence is reviewing reports and recommendations from health officials and will make a decision early next week about extending the program beyond april 25</t>
    <phoneticPr fontId="4" type="noConversion"/>
  </si>
  <si>
    <t>that 's up from 106 last week , said the indiana state department of health</t>
  </si>
  <si>
    <t>outbreak has occurred among intravenous drug users and primarily involves the use of the high-powered prescription painkiller opana</t>
  </si>
  <si>
    <t>10-6</t>
    <phoneticPr fontId="4" type="noConversion"/>
  </si>
  <si>
    <t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t>
    <phoneticPr fontId="4" type="noConversion"/>
  </si>
  <si>
    <t>derek lowe , 38 , and tina lowe , 33 , were hit shortly before 10am on sunday in durham , north carolina by an amtrak train
none of the 166 passengers on the train were injured , although a man who fell ill during the delay did receive treatment</t>
    <phoneticPr fontId="4" type="noConversion"/>
  </si>
  <si>
    <t>northbound train struck pair on property owned by norfolk-southern</t>
    <phoneticPr fontId="4" type="noConversion"/>
  </si>
  <si>
    <t>train no. 80 , the carolinian , was headed from charlotte to new york city</t>
    <phoneticPr fontId="4" type="noConversion"/>
  </si>
  <si>
    <t>they were homeless</t>
    <phoneticPr fontId="4" type="noConversion"/>
  </si>
  <si>
    <t>11-6</t>
    <phoneticPr fontId="4" type="noConversion"/>
  </si>
  <si>
    <t>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t>
    <phoneticPr fontId="4" type="noConversion"/>
  </si>
  <si>
    <t>saskia 's boyfriend made her take an arsenal test and did n't dump her
the test took the form of a school exam , with multiple choice questions , tables to complete , and ` in your own words ... ' section
there were even ` helpful ' instructions including ` read every question at least twice ' and ` check your answers if you have time at the end '
saskia scored an impressive 87 per cent , but according to her unnamed boyfriend 's feedback she ` could have performed better on q17 '</t>
    <phoneticPr fontId="4" type="noConversion"/>
  </si>
  <si>
    <t>the test took the form of a school exam , with multiple choice questions , tables to complete , and ` in your own words ... ' section</t>
    <phoneticPr fontId="4" type="noConversion"/>
  </si>
  <si>
    <t>there were even ` helpful ' instructions including ` read every question at least twice ' and ` check your answers if you have time at the end '</t>
    <phoneticPr fontId="4" type="noConversion"/>
  </si>
  <si>
    <t>she needs to work on her player positions</t>
    <phoneticPr fontId="4" type="noConversion"/>
  </si>
  <si>
    <t>11-6</t>
  </si>
  <si>
    <t>thanks</t>
    <phoneticPr fontId="4" type="noConversion"/>
  </si>
  <si>
    <t>to</t>
    <phoneticPr fontId="4" type="noConversion"/>
  </si>
  <si>
    <t>her</t>
    <phoneticPr fontId="4" type="noConversion"/>
  </si>
  <si>
    <t>a</t>
    <phoneticPr fontId="4" type="noConversion"/>
  </si>
  <si>
    <t>scored</t>
    <phoneticPr fontId="4" type="noConversion"/>
  </si>
  <si>
    <t>the bemused woman posted pictures of boyfriend 's test on twitter</t>
    <phoneticPr fontId="4" type="noConversion"/>
  </si>
  <si>
    <t>12-6</t>
    <phoneticPr fontId="4" type="noConversion"/>
  </si>
  <si>
    <t>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t>
    <phoneticPr fontId="4" type="noConversion"/>
  </si>
  <si>
    <t>carlos toro , 66 , worked as a mid-level member of the medellin cartel in the 1980s
a confrontation with his boss caused him to flee fearing for his life
he came to the united states and began working for the dea as an informant after providing information about a number of his former bosses and associates
his fears sound reasonable considering his work aided in the prosecution of ex-panamanian dictator carlos lehder and former panamanian dictator manuel noriega</t>
    <phoneticPr fontId="4" type="noConversion"/>
  </si>
  <si>
    <t>carlos toro , 66 , worked as a mid-level member of the medellin cartel in the 1980s</t>
  </si>
  <si>
    <t>a confrontation with his boss caused him to flee fearing for his life</t>
    <phoneticPr fontId="4" type="noConversion"/>
  </si>
  <si>
    <t>12-6</t>
  </si>
  <si>
    <t>he came to the united states and began working for the dea as an informant after providing information about a number of his former bosses and associates</t>
    <phoneticPr fontId="4" type="noConversion"/>
  </si>
  <si>
    <t>carlos toro was promised he could stay in the us but is facing deportation</t>
    <phoneticPr fontId="4" type="noConversion"/>
  </si>
  <si>
    <t>being sent back to native country of colombia would be ` death sentence '</t>
    <phoneticPr fontId="4" type="noConversion"/>
  </si>
  <si>
    <t>he is hoping for visa or green card but ca n't yet collect social security</t>
    <phoneticPr fontId="4" type="noConversion"/>
  </si>
  <si>
    <t>13-6</t>
    <phoneticPr fontId="4" type="noConversion"/>
  </si>
  <si>
    <t>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t>
    <phoneticPr fontId="4" type="noConversion"/>
  </si>
  <si>
    <t>mils muliaina has been bailed after being arrested on suspicion of sexual assault
the 34-year-old full back was led away by police at kingsholm stadium last night in connection with an allegation in cardiff in march
muliaina is accused of assaulting the woman in a crowded bar after his irish team connacht played against cardiff blues last month</t>
    <phoneticPr fontId="4" type="noConversion"/>
  </si>
  <si>
    <t>the 34-year-old full back was led away by police at kingsholm stadium last night in connection with an allegation in cardiff in march</t>
    <phoneticPr fontId="4" type="noConversion"/>
  </si>
  <si>
    <t>mils muliaina came off injured during connacht 's visit to gloucester</t>
    <phoneticPr fontId="4" type="noConversion"/>
  </si>
  <si>
    <t>13-6</t>
  </si>
  <si>
    <t>muliaina was held in cells overnight and questioned by officers in cardiff</t>
    <phoneticPr fontId="4" type="noConversion"/>
  </si>
  <si>
    <t>he denies assault allegations over alleged incident last month</t>
    <phoneticPr fontId="4" type="noConversion"/>
  </si>
  <si>
    <t>14-6</t>
    <phoneticPr fontId="4" type="noConversion"/>
  </si>
  <si>
    <t>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t>
    <phoneticPr fontId="4" type="noConversion"/>
  </si>
  <si>
    <t>the internet corporation for assigned names and numbers , or ` icann , ' sent a letter to the u.s. federal trade commission and canada 's office of consumer affairs to see if the actions of company vox populi registry ltd. were illegal
so far , purchased names include youtube.sucks , bing.sucks , visa.sucks , bankofamerica.sucks , yahoo.sucks , telusmobility.sucks and other major brand names
taylor swift has also had to spend defensively in the past to remove her name from ' . adult ' domains attacking her</t>
    <phoneticPr fontId="4" type="noConversion"/>
  </si>
  <si>
    <t>taylor swift has also had to spend defensively in the past to remove her name from ' . adult ' domains attacking her</t>
    <phoneticPr fontId="4" type="noConversion"/>
  </si>
  <si>
    <t>kevin spacey among celebrities who 've paid to get the domains removed</t>
    <phoneticPr fontId="4" type="noConversion"/>
  </si>
  <si>
    <t>owners recommended to resell ' . sucks ' domains for around $ 2,499 a year</t>
    <phoneticPr fontId="4" type="noConversion"/>
  </si>
  <si>
    <t>15-6</t>
    <phoneticPr fontId="4" type="noConversion"/>
  </si>
  <si>
    <t>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t>
    <phoneticPr fontId="4" type="noConversion"/>
  </si>
  <si>
    <t>the 14-year-old is now fighting for her life in delhi 's safdarjung hospital
she was allegedly gang-raped on sunday when she went outside her house
on tuesday she set herself on fire using kerosene , according to ndtv
her brother said : ` when i woke up , i saw her in flames ... i poured water on her to put out the flames '</t>
    <phoneticPr fontId="4" type="noConversion"/>
  </si>
  <si>
    <t>the 14-year-old is now fighting for her life in delhi 's safdarjung hospital</t>
  </si>
  <si>
    <t>15-6</t>
  </si>
  <si>
    <t xml:space="preserve"> relieve </t>
    <phoneticPr fontId="4" type="noConversion"/>
  </si>
  <si>
    <t>and suffered 70 per cent burns</t>
    <phoneticPr fontId="4" type="noConversion"/>
  </si>
  <si>
    <t>the attack is said to have taken place in india 's uttar pradesh region</t>
    <phoneticPr fontId="4" type="noConversion"/>
  </si>
  <si>
    <t>16-6</t>
    <phoneticPr fontId="4" type="noConversion"/>
  </si>
  <si>
    <t>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t>
    <phoneticPr fontId="4" type="noConversion"/>
  </si>
  <si>
    <t>police exhumed the boy 's body from his grave in norfolk last year
the woman , who has not been named , was arrested on suspicion of infanticide but the charge was dropped after she explained how the baby had been stillborn and that she had concealed the pregnancy from her family and friends</t>
    <phoneticPr fontId="4" type="noConversion"/>
  </si>
  <si>
    <t>Accuracy</t>
    <phoneticPr fontId="4" type="noConversion"/>
  </si>
  <si>
    <t>cps may now charge her with failing to register the birth and preventing a lawful burial</t>
    <phoneticPr fontId="4" type="noConversion"/>
  </si>
  <si>
    <t>17-6</t>
    <phoneticPr fontId="4" type="noConversion"/>
  </si>
  <si>
    <t>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t>
    <phoneticPr fontId="4" type="noConversion"/>
  </si>
  <si>
    <t>manchester united host manchester city in sunday 's derby at old trafford
robin van persie said he was fit to play after ankle trouble
van gaal has ruled him out of the game but will have to do so without van persie
united have an opportunity to finish as high as second or third</t>
    <phoneticPr fontId="4" type="noConversion"/>
  </si>
  <si>
    <t>united have an opportunity to finish as high as second or third</t>
    <phoneticPr fontId="4" type="noConversion"/>
  </si>
  <si>
    <t>host</t>
    <phoneticPr fontId="4" type="noConversion"/>
  </si>
  <si>
    <t>18-6</t>
    <phoneticPr fontId="4" type="noConversion"/>
  </si>
  <si>
    <t>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t>
    <phoneticPr fontId="4" type="noConversion"/>
  </si>
  <si>
    <t>kristopher hicks , 27 , was on his way home from a night out in bath , somerset , with his girlfriend in a taxi driven by michael young , 56 , five years ago
mr young , a former soldier , had mistakenly believed mr hicks was planning to ` do a runner ' and decided to drive him back to the rank in a bid to teach him a lesson
but when mr hicks objected , the driver continued on for almost a mile , leading him to jump from the vehicle while it was travelling at more than 20mph
he suffered devastating brain injuries , developed epilepsy and now requires round-the-clock care from his mother</t>
    <phoneticPr fontId="4" type="noConversion"/>
  </si>
  <si>
    <t>judge rules mr hicks was unlawfully imprisoned and will now get damages</t>
    <phoneticPr fontId="4" type="noConversion"/>
  </si>
  <si>
    <t>20-6</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</si>
  <si>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t>
    <phoneticPr fontId="4" type="noConversion"/>
  </si>
  <si>
    <t>arsenal and liverpool fans left their seats empty at the emirates stadium for the first 10 minutes of their lunchtime premier league clash
the cheapest tickets for the lunchtime kick-off were # 64 , some of the highest prices in the premier league
supporters of both sides gathered outside the 60,000-capacity stadium before kick-off to show off banners against the rising costs of modern football</t>
    <phoneticPr fontId="4" type="noConversion"/>
  </si>
  <si>
    <t>the cheapest tickets for the lunchtime kick-off were # 64 , some of the highest prices in the premier league</t>
    <phoneticPr fontId="4" type="noConversion"/>
  </si>
  <si>
    <t>more protests are expected after the lunchtime kick-off at the emirates</t>
    <phoneticPr fontId="4" type="noConversion"/>
  </si>
  <si>
    <t>21-6</t>
    <phoneticPr fontId="4" type="noConversion"/>
  </si>
  <si>
    <t>(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t>
    <phoneticPr fontId="4" type="noConversion"/>
  </si>
  <si>
    <t>" there will be storms ... that pop up all night long , " says cnn severe weather expert chad myers
three of the sightings were near aetna , 125 miles southwest of wichita
a tornado may have touched down in potosi , missouri , about 70 miles from st. louis</t>
    <phoneticPr fontId="4" type="noConversion"/>
  </si>
  <si>
    <t>" there will be storms ... that pop up all night long , " says cnn severe weather expert chad myers</t>
    <phoneticPr fontId="4" type="noConversion"/>
  </si>
  <si>
    <t>three of the sightings were near aetna , 125 miles southwest of wichita</t>
    <phoneticPr fontId="4" type="noConversion"/>
  </si>
  <si>
    <t>21-6</t>
  </si>
  <si>
    <t>kansas spotters report at least four tornadoes</t>
    <phoneticPr fontId="4" type="noConversion"/>
  </si>
  <si>
    <t>thursday 's forecast calls for more storms but to the east</t>
    <phoneticPr fontId="4" type="noConversion"/>
  </si>
  <si>
    <t>22-6</t>
    <phoneticPr fontId="4" type="noConversion"/>
  </si>
  <si>
    <t>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t>
    <phoneticPr fontId="4" type="noConversion"/>
  </si>
  <si>
    <t>star reader was diagnosed with biliary atresia within days of being born
after an operation to have her bile ducts unblocked , her parents were told the baby would need a liver transplant in order to survive
her aunt shanell reader gave up part of her liver and has since saved her niece 's life</t>
    <phoneticPr fontId="4" type="noConversion"/>
  </si>
  <si>
    <t>neither of her parents were suitable candidates for partial liver transplant</t>
  </si>
  <si>
    <t>star underwent operation in leeds in november and has since recovered</t>
    <phoneticPr fontId="4" type="noConversion"/>
  </si>
  <si>
    <t>23-6</t>
    <phoneticPr fontId="4" type="noConversion"/>
  </si>
  <si>
    <t>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t>
    <phoneticPr fontId="4" type="noConversion"/>
  </si>
  <si>
    <t>luke rockhold and lyoto machida face off in new jersey on saturday
the californian is bidding for his fourth consecutive victory since losing to vitor belfort two years ago
rockhold knows exactly what it will take to beat machida</t>
    <phoneticPr fontId="4" type="noConversion"/>
  </si>
  <si>
    <t>24-6</t>
    <phoneticPr fontId="4" type="noConversion"/>
  </si>
  <si>
    <t>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t>
    <phoneticPr fontId="4" type="noConversion"/>
  </si>
  <si>
    <t>eden hazard and nathan ake took on loic remy and willian in audi 's football challenge
the blues stars aim to fire balls into the boot of a car from close range
hazard and ake secured the points with a 5-3 win over their team-mates</t>
    <phoneticPr fontId="4" type="noConversion"/>
  </si>
  <si>
    <t>the blues stars aim to fire balls into the boot of a car from close range</t>
    <phoneticPr fontId="4" type="noConversion"/>
  </si>
  <si>
    <t>hazard and ake secured the points with a 5-3 win over their team-mates</t>
    <phoneticPr fontId="4" type="noConversion"/>
  </si>
  <si>
    <t>willian accidentally smashes the wing mirror of one of the audi 's</t>
    <phoneticPr fontId="4" type="noConversion"/>
  </si>
  <si>
    <t>blues</t>
    <phoneticPr fontId="4" type="noConversion"/>
  </si>
  <si>
    <t>25-6</t>
    <phoneticPr fontId="4" type="noConversion"/>
  </si>
  <si>
    <t>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t>
    <phoneticPr fontId="4" type="noConversion"/>
  </si>
  <si>
    <t>light general aviation aircraft touches down without landing gear deployed
plane touches down with bump and scratches on the tarmac in fort pierce , florida
video maker can be heard saying that the plane 's propellers have been damaged in the collision with the runway and that more than likely , the pilot will crash</t>
    <phoneticPr fontId="4" type="noConversion"/>
  </si>
  <si>
    <t>aircraft takes off and flies 100 miles away to fort lauderdale , florida</t>
    <phoneticPr fontId="4" type="noConversion"/>
  </si>
  <si>
    <t>26-6</t>
    <phoneticPr fontId="4" type="noConversion"/>
  </si>
  <si>
    <t>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t>
    <phoneticPr fontId="4" type="noConversion"/>
  </si>
  <si>
    <t>prosecutors previously said that robert dellinger , 54 , told investigators he was trying to kill himself in december 2013 when he drove his pickup truck across a median at more than 100mph
the crash killed 24-year-old amanda murphy , who was eight months pregnant , and her fiance , 29-year-old jason timmons
dellinger faces 12 to 24 years in prison when sentencing resumes thursday</t>
    <phoneticPr fontId="4" type="noConversion"/>
  </si>
  <si>
    <t>dellinger pleaded guilty in february to negligent homicide for their deaths , and to assault for the death of the fetus</t>
  </si>
  <si>
    <t>deborah dellinger , defendant 's wife , described her husband from the witness stand as a ` man of ethics , integrity and friendship '</t>
  </si>
  <si>
    <t>27-6</t>
    <phoneticPr fontId="4" type="noConversion"/>
  </si>
  <si>
    <t>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t>
    <phoneticPr fontId="4" type="noConversion"/>
  </si>
  <si>
    <t>manuel pellegrini has admitted he is disappointed in yaya toure
the ivory coast midfielder has come in for criticism for his performances this season
sportsmail revealed that manchester city will listen to offers for the midfielder in the summer
pellegrini said the 31-year-old will have my support until the end of the season</t>
    <phoneticPr fontId="4" type="noConversion"/>
  </si>
  <si>
    <t>the ivory coast midfielder has come in for criticism for his performances this season</t>
  </si>
  <si>
    <t>manchester city face west ham at upton park on sunday</t>
  </si>
  <si>
    <t>sam allardyce has warned aaron cresswell about joining manchester city</t>
  </si>
  <si>
    <t>28-6</t>
    <phoneticPr fontId="4" type="noConversion"/>
  </si>
  <si>
    <t>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t>
    <phoneticPr fontId="4" type="noConversion"/>
  </si>
  <si>
    <t>lacey spears of scottsville , kentucky , was spared the maximum 25 years to life and instead received 20 , showing no emotion when she was sentenced
the new york judge who sentenced spears on wednesday said she suffers from a mental illness and said the crime was still ` unfathomable in its cruelty '</t>
    <phoneticPr fontId="4" type="noConversion"/>
  </si>
  <si>
    <t>the 27-year-old spears force-fed heavy concentrations of sodium through the boy 's stomach tube</t>
  </si>
  <si>
    <t>the boy 's father chris hill wrote on his facebook account of spears : ` crazy a ** woman needs to be beat to death in prison '</t>
  </si>
  <si>
    <t>29-6</t>
    <phoneticPr fontId="4" type="noConversion"/>
  </si>
  <si>
    <t>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t>
    <phoneticPr fontId="4" type="noConversion"/>
  </si>
  <si>
    <t>domenico rancadore was convicted in his absence in italy in 1999
he was given a seven-year sentence for being a member of the cosa nostra
in february he lost his year-and-a-half battle against extradition and was told he must return to italy to serve his sentence
today it emerged that the 65-year-old 's case expired last october and his european arrest warrant is to be withdrawn</t>
    <phoneticPr fontId="4" type="noConversion"/>
  </si>
  <si>
    <t>he was convicted for role as a ` man of honour ' , taking bribes from builders</t>
  </si>
  <si>
    <t>30-6</t>
    <phoneticPr fontId="4" type="noConversion"/>
  </si>
  <si>
    <t>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t>
    <phoneticPr fontId="4" type="noConversion"/>
  </si>
  <si>
    <t>stocks of the flu vaccine are arriving a month later than expected
the decision to include both was triggered by a spike in flu-related deaths in the northern hemisphere
high-risk groups will be able to access free , government-funded flu shots from april 20</t>
    <phoneticPr fontId="4" type="noConversion"/>
  </si>
  <si>
    <t xml:space="preserve"> both</t>
    <phoneticPr fontId="4" type="noConversion"/>
  </si>
  <si>
    <t>31-6</t>
    <phoneticPr fontId="4" type="noConversion"/>
  </si>
  <si>
    <t>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t>
    <phoneticPr fontId="4" type="noConversion"/>
  </si>
  <si>
    <t>ap mccoy and ap mccoy will have six rivals in the grade one celebration chase at sandown on saturday
mr mole will be mccoy 's last ride in a grade one race
his book of rides for his final day as a professional jockey will not be finalised until friday morning</t>
    <phoneticPr fontId="4" type="noConversion"/>
  </si>
  <si>
    <t>ap mccoy and ap mccoy will have six rivals in the grade one celebration chase at sandown on saturday</t>
  </si>
  <si>
    <t>his book of rides for his final day as a professional jockey will not be finalised until friday morning</t>
  </si>
  <si>
    <t>31-6</t>
  </si>
  <si>
    <t>there are three 7-2 co-favourites for the grade one celebration chase</t>
  </si>
  <si>
    <t>ap mccoy 's mount mr mole is bracketed with special tiara and sprinter sacre for saturday 's race</t>
  </si>
  <si>
    <t>32-6</t>
    <phoneticPr fontId="4" type="noConversion"/>
  </si>
  <si>
    <t>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t>
    <phoneticPr fontId="4" type="noConversion"/>
  </si>
  <si>
    <t>illinois gov. bruce rauner has proposed eliminating the state historic preservation agency that manages sites including the tomb as it currently exists
the site was pilloried in this month 's issue of national geographic magazine as having ` all the historical character of an office lobby '
on tuesday , the 150th anniversary of john wilkes booth 's shooting of lincoln , although the president was pronounced dead the following day</t>
    <phoneticPr fontId="4" type="noConversion"/>
  </si>
  <si>
    <t>caretakers of lincoln 's tomb are on the defensive over an unflattering magazine critique and looming budget cuts</t>
  </si>
  <si>
    <t>rauner would roll the agency into another department</t>
  </si>
  <si>
    <t>32-6</t>
  </si>
  <si>
    <t>lincoln 's tomb was designed by vermont sculptor larkin mead , who won a national contest</t>
  </si>
  <si>
    <t>it was dedicated by president ulysses s. grant in 1874</t>
  </si>
  <si>
    <t>the tomb was reconstructed in both 1899 and 1930</t>
  </si>
  <si>
    <t>on tuesday , the 150th anniversary of john wilkes booth 's shooting of lincoln , although the president was pronounced dead the following day</t>
  </si>
  <si>
    <t>33-6</t>
    <phoneticPr fontId="4" type="noConversion"/>
  </si>
  <si>
    <t>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t>
    <phoneticPr fontId="4" type="noConversion"/>
  </si>
  <si>
    <t>virginia trimble ritter 's daughter , marcia , was raped and choked to death by jerome sydney barrett in 1975
her body was found 33 days after she disappeared and ritter 's then-husband advised her against seeing the body and the crime scene photos
she had declined to see the photos for several decades , and not even after barrett was convicted 33 years later</t>
    <phoneticPr fontId="4" type="noConversion"/>
  </si>
  <si>
    <t>her body was found 33 days after she disappeared and ritter 's then-husband advised her against seeing the body and the crime scene photos</t>
  </si>
  <si>
    <t>she had declined to see the photos for several decades , and not even after barrett was convicted 33 years later</t>
  </si>
  <si>
    <t>33-6</t>
  </si>
  <si>
    <t>the case was nashville 's most notorious unsolved murder for 33 years</t>
  </si>
  <si>
    <t>ritter , who did not see her daughter 's body at the time , recently asked to see the photos investigators took at the scene</t>
  </si>
  <si>
    <t>after seeing the photos , ritter said she shouted , ` if i had a gun i 'd kill him ! '</t>
  </si>
  <si>
    <t>34-6</t>
    <phoneticPr fontId="4" type="noConversion"/>
  </si>
  <si>
    <t>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t>
    <phoneticPr fontId="4" type="noConversion"/>
  </si>
  <si>
    <t>jnco , the brand responsible for the huge wideleg ` rave ' jeans , is set to make a comeback
the return of the highly impractical jeans , which featured giant leg openings approaching 50in , has horrified many of the people who wore the ridiculous pants the first time around  femail rounds up the worst offenders</t>
    <phoneticPr fontId="4" type="noConversion"/>
  </si>
  <si>
    <t>other 90s/00s trends here to stay include uggs , velour and corsets</t>
  </si>
  <si>
    <t>35-6</t>
    <phoneticPr fontId="4" type="noConversion"/>
  </si>
  <si>
    <t>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t>
    <phoneticPr fontId="4" type="noConversion"/>
  </si>
  <si>
    <t>rory mcilroy is hoping to complete his grand slam of majors with a victory at augusta later this month
the world number one has just one top-10 finish to his name in six masters appearances
but the 25-year-old can not picture going through his career without slipping on at least one coveted green jacket</t>
    <phoneticPr fontId="4" type="noConversion"/>
  </si>
  <si>
    <t>rory mcilroy is hoping to complete his grand slam of majors with a victory at augusta later this month</t>
  </si>
  <si>
    <t>but the 25-year-old can not picture going through his career without slipping on at least one coveted green jacket</t>
  </si>
  <si>
    <t>35-6</t>
  </si>
  <si>
    <t>final-round collapse at augusta national in 2011 was the most important day of career , mcilroy reveals</t>
  </si>
  <si>
    <t>the northern irishman finished joint eighth last year</t>
  </si>
  <si>
    <t>37-6</t>
    <phoneticPr fontId="4" type="noConversion"/>
  </si>
  <si>
    <t>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t>
    <phoneticPr fontId="4" type="noConversion"/>
  </si>
  <si>
    <t>jurgen klopp confirmed he will leave borussia dortmund at the end of the season
klopp was immediately installed as the bookmakers ' favourite to replace manuel pellegrini at manchester city
the 47-year-old has been linked with several other english clubs in the past , including liverpool and arsenal
klopp will officially cease to be dortmund manager on june 30</t>
    <phoneticPr fontId="4" type="noConversion"/>
  </si>
  <si>
    <t>klopp was immediately installed as the bookmakers ' favourite to replace manuel pellegrini at manchester city</t>
  </si>
  <si>
    <t>the 47-year-old has been linked with several other english clubs in the past , including liverpool and arsenal</t>
  </si>
  <si>
    <t>37-6</t>
  </si>
  <si>
    <t>he has denied that he wants to take a break because of exhaustion</t>
    <phoneticPr fontId="4" type="noConversion"/>
  </si>
  <si>
    <t>klopp has won two bundesliga titles and the german cup at dortmund</t>
  </si>
  <si>
    <t>he has admitted that he is no longer the perfect manager for the club</t>
  </si>
  <si>
    <t>36-6</t>
    <phoneticPr fontId="4" type="noConversion"/>
  </si>
  <si>
    <t>(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t>
    <phoneticPr fontId="4" type="noConversion"/>
  </si>
  <si>
    <t>four rainbows appeared to stretch across the early morning sky on tuesday
in rural china , hiring exotic dancers to perform at wake is an increasingly common practice
the latest : lip plumping , by sucking on a jar , to look like kylie jenner</t>
    <phoneticPr fontId="4" type="noConversion"/>
  </si>
  <si>
    <t>four rainbows appeared to stretch across the early morning sky on tuesday</t>
  </si>
  <si>
    <t>in rural china , hiring exotic dancers to perform at wake is an increasingly common practice</t>
  </si>
  <si>
    <t>36-6</t>
  </si>
  <si>
    <t>the latest : lip plumping , by sucking on a jar , to look like kylie jenner</t>
  </si>
  <si>
    <t>what do funeral strippers , a quadruple rainbow and kylie jenner have in common ? they all trended this week !</t>
  </si>
  <si>
    <t>38-6</t>
    <phoneticPr fontId="4" type="noConversion"/>
  </si>
  <si>
    <t>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t>
    <phoneticPr fontId="4" type="noConversion"/>
  </si>
  <si>
    <t>serena williams beat sabine lisicki 7-6 , 1-6 , 6-3 on wednesday
world no 1 will face simona halep in the semi-finals of the miami open
williams will face romania 's simona halep for a place in the final after the third-seed beat sloane stephens 6-1 , 7-5</t>
    <phoneticPr fontId="4" type="noConversion"/>
  </si>
  <si>
    <t>world no 1 will face simona halep in the semi-finals of the miami open</t>
  </si>
  <si>
    <t>williams will face romania 's simona halep for a place in the final after the third-seed beat sloane stephens 6-1 , 7-5</t>
    <phoneticPr fontId="4" type="noConversion"/>
  </si>
  <si>
    <t>38-6</t>
  </si>
  <si>
    <t>world no 1 presented with cake after 700th career victory</t>
  </si>
  <si>
    <t>andy murray was similarly given reward after 500th career win</t>
  </si>
  <si>
    <t>39-6</t>
    <phoneticPr fontId="4" type="noConversion"/>
  </si>
  <si>
    <t>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t>
    <phoneticPr fontId="4" type="noConversion"/>
  </si>
  <si>
    <t>new figures show 272 youngsters left disabled by foetal alcohol syndrome were hospitalised in england over the past 12 months
but the actual number affected by their mother 's drinking could be far greater , experts have warned
research by the world health organisation suggests that at least one in 100 babies born in the uk could suffer learning , behavioural and physical problems such as deformed limbs</t>
    <phoneticPr fontId="4" type="noConversion"/>
  </si>
  <si>
    <t>40-6</t>
    <phoneticPr fontId="4" type="noConversion"/>
  </si>
  <si>
    <t>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t>
    <phoneticPr fontId="4" type="noConversion"/>
  </si>
  <si>
    <t>" she really , truly was a success story of the heart , " close friend says
two gunman shot her dead at point-blank range late friday
she is in a hospital but is expected to be released on time for her daughter 's funeral</t>
    <phoneticPr fontId="4" type="noConversion"/>
  </si>
  <si>
    <t xml:space="preserve"> she really , truly was a success story of the heart ,  close friend says</t>
  </si>
  <si>
    <t>two gunman shot her dead at point-blank range late friday</t>
  </si>
  <si>
    <t>40-6</t>
  </si>
  <si>
    <t>she is in a hospital but is expected to be released on time for her daughter 's funeral</t>
  </si>
  <si>
    <t>she hosted a controversial discussion on the disappearance of people</t>
  </si>
  <si>
    <t>she knew what she was doing was dangerous and had received death threats before</t>
  </si>
  <si>
    <t>mahmud loved books , jimi hendrix and discussions about human rights</t>
  </si>
  <si>
    <t>41-6</t>
    <phoneticPr fontId="4" type="noConversion"/>
  </si>
  <si>
    <t>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t>
    <phoneticPr fontId="4" type="noConversion"/>
  </si>
  <si>
    <t>shaun andrew mckerry , 31 , burst into shildon post office and stores , county durham , at 8pm on march 15
he waved an axe as he demanded cash from terrified assistant andrea brighty , but he did not see his rugby tackle which dropped him to the floor
as the men wrestled , and with mckerry still holding the axe , his wife sam helped , hit him twice with a baseball bat to make him drop the weapon
mckerry previously pleaded guilty to attempted robbery and court officials confirmed he had been jailed for six years</t>
    <phoneticPr fontId="4" type="noConversion"/>
  </si>
  <si>
    <t>he waved an axe as he demanded cash from terrified assistant andrea brighty , but he did not see his rugby tackle which dropped him to the floor</t>
  </si>
  <si>
    <t>as the men wrestled , and with mckerry still holding the axe , his wife sam helped , hit him twice with a baseball bat to make him drop the weapon</t>
  </si>
  <si>
    <t>41-6</t>
  </si>
  <si>
    <t>mckerry previously pleaded guilty to attempted robbery and court officials confirmed he had been jailed for six years</t>
  </si>
  <si>
    <t>an axe-wielding robber has been jailed for attempting to rob a corner shop</t>
  </si>
  <si>
    <t>he was later revealed to be a juvenile offender nicknamed boomerang boy</t>
  </si>
  <si>
    <t>shaun andrew mckerry , 31 , had been arrested 80 times by the age of 15</t>
  </si>
  <si>
    <t>42-6</t>
    <phoneticPr fontId="4" type="noConversion"/>
  </si>
  <si>
    <t>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t>
    <phoneticPr fontId="4" type="noConversion"/>
  </si>
  <si>
    <t>mangu ram was 14 when he fled the violence that followed the partition of india
he is still regarded as a second class citizen in indian kashmir -- unable to own property or vote in state elections
prime minister narendra modi 's hindu nationalist party won a share of power in india 's only muslim-majority state</t>
    <phoneticPr fontId="4" type="noConversion"/>
  </si>
  <si>
    <t>mangu ram was 14 when he fled the violence that followed the partition of india</t>
  </si>
  <si>
    <t>he is still regarded as a second class citizen in indian kashmir -- unable to own property or vote in state elections</t>
  </si>
  <si>
    <t>42-6</t>
  </si>
  <si>
    <t>thousands of people caught in poverty because successive governments refuse to change their refugee status</t>
  </si>
  <si>
    <t>laws mean that the west pakistan refugees living in jammur and kashmir can not vote in elections or own property</t>
  </si>
  <si>
    <t>hopes that election of hindu nationalist party as a coalition partner could herald historic change for the community</t>
  </si>
  <si>
    <t>43-6</t>
    <phoneticPr fontId="4" type="noConversion"/>
  </si>
  <si>
    <t>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t>
    <phoneticPr fontId="4" type="noConversion"/>
  </si>
  <si>
    <t>joshua finbow , 23 , a submarine engineer , craig stoner , 24 , simon radford , 31 , and darren smalley , 35 , appeared in court in dartmouth , nova scotia
they were given identical but unusual bail conditions that could see them having to live on a canadian naval base for the next few years
they also agreed to surrender their passports and live at nearby stadacona naval base in halifax</t>
    <phoneticPr fontId="4" type="noConversion"/>
  </si>
  <si>
    <t>joshua finbow , 23 , a submarine engineer , craig stoner , 24 , simon radford , 31 , and darren smalley , 35 , appeared in court in dartmouth , nova scotia</t>
    <phoneticPr fontId="4" type="noConversion"/>
  </si>
  <si>
    <t>they also agreed to surrender their passports and live at nearby stadacona naval base in halifax</t>
  </si>
  <si>
    <t>43-6</t>
  </si>
  <si>
    <t>they are charged with raping a 21-year-old woman at military base party</t>
  </si>
  <si>
    <t>men were in canada playing a hockey tournament with canadian forces</t>
  </si>
  <si>
    <t>44-6</t>
    <phoneticPr fontId="4" type="noConversion"/>
  </si>
  <si>
    <t>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t>
    <phoneticPr fontId="4" type="noConversion"/>
  </si>
  <si>
    <t>chelsea have made an offer for yoshinori muto according to fc tokyo president naoki ogane
chelsea would look to loan muto to partner club vitesse arnhem next season
the 22-year-old is keen to join a club where he will ` play and develop '
chelsea signed a # 200million sponsorship deal with japanese tyre manufacturer yokohama rubber in february</t>
    <phoneticPr fontId="4" type="noConversion"/>
  </si>
  <si>
    <t>chelsea would look to loan muto to partner club vitesse arnhem next season</t>
  </si>
  <si>
    <t>the 22-year-old is keen to join a club where he will ` play and develop '</t>
  </si>
  <si>
    <t>44-6</t>
  </si>
  <si>
    <t>chelsea signed a # 200million sponsorship deal with japanese tyre manufacturer yokohama rubber in february</t>
  </si>
  <si>
    <t>muto 's former manager , ranko popovic , says his potential is ` amazing '</t>
  </si>
  <si>
    <t>jose mourinho has admitted that he is aware of the japan international</t>
  </si>
  <si>
    <t>45-6</t>
    <phoneticPr fontId="4" type="noConversion"/>
  </si>
  <si>
    <t>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t>
    <phoneticPr fontId="4" type="noConversion"/>
  </si>
  <si>
    <t>rj jackson is one of just 70 people in the world who suffers netherton 's syndrome
his skin appears red and inflamed , and is often covered in dry skin that appears like scales on his body
his mother valerie jackson has to regularly cover him in creams to try and prevent his skin drying out
but while out shopping recently , mrs jackson was suddenly surrounded by armed police , who had been called by a member of the public</t>
    <phoneticPr fontId="4" type="noConversion"/>
  </si>
  <si>
    <t>his mother valerie jackson has to regularly cover him in creams to try and prevent his skin drying out</t>
  </si>
  <si>
    <t>says rj faces cruel taunts from bullies - most of whom are ignorant adults</t>
  </si>
  <si>
    <t>46-6</t>
    <phoneticPr fontId="4" type="noConversion"/>
  </si>
  <si>
    <t>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t>
    <phoneticPr fontId="4" type="noConversion"/>
  </si>
  <si>
    <t>stuart lancaster must be free to pick his best players , no matter where in the world they ply their trade
if roy hodgson 's star names moved to bayern munich or barcelona , would the fa tell him not to pick them ?
matt giteau 's stellar displays for toulon have put him back on the wallabies radar ahead of the world cup</t>
    <phoneticPr fontId="4" type="noConversion"/>
  </si>
  <si>
    <t>stuart lancaster must be free to pick his best players , no matter where in the world they ply their trade</t>
  </si>
  <si>
    <t>if roy hodgson 's star names moved to bayern munich or barcelona , would the fa tell him not to pick them ?</t>
  </si>
  <si>
    <t>46-6</t>
  </si>
  <si>
    <t>matt giteau 's stellar displays for toulon have put him back on the wallabies radar ahead of the world cup</t>
  </si>
  <si>
    <t>australia have seen sense by revamping their overseas selection policy</t>
  </si>
  <si>
    <t>it leaves england looking old-fashioned and they need to react</t>
  </si>
  <si>
    <t>england need the best squad possible for the forthcoming world cup</t>
  </si>
  <si>
    <t>47-6</t>
    <phoneticPr fontId="4" type="noConversion"/>
  </si>
  <si>
    <t>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t>
    <phoneticPr fontId="4" type="noConversion"/>
  </si>
  <si>
    <t>posters featuring a bikini-clad model called renee somerfield are being removed
change.org petition calling for the adverts to be removed has already attracted more than 50,000 signatures
the advertising standards authority has also received more than 200 complaints from people saying that the adverts promote an unhealthy body image</t>
    <phoneticPr fontId="4" type="noConversion"/>
  </si>
  <si>
    <t>change.org petition calling for the adverts to be removed has already attracted more than 50,000 signatures</t>
  </si>
  <si>
    <t>the advertising standards authority has also received more than 200 complaints from people saying that the adverts promote an unhealthy body image</t>
  </si>
  <si>
    <t>47-6</t>
  </si>
  <si>
    <t>tfl say protein world has come to end of three-week ad placement period</t>
  </si>
  <si>
    <t>a rally has been organised against protein world in hyde park on may 2</t>
  </si>
  <si>
    <t>48-6</t>
    <phoneticPr fontId="4" type="noConversion"/>
  </si>
  <si>
    <t>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t>
    <phoneticPr fontId="4" type="noConversion"/>
  </si>
  <si>
    <t>apple added to multipeer connectivity framework ( mcf ) to ios 7
it creates what 's called a wireless mesh network that connects phones to each other
instead of sending messages using mobile or data signal , the features lets users send messages to people in close proximity that are in bluetooth or wi-fi direct range - up to 30 feet ( 9 metres )
apple uses the framework for its airdrop feature , which makes it easy to send files and data to other connected iphone users</t>
    <phoneticPr fontId="4" type="noConversion"/>
  </si>
  <si>
    <t>apple added to multipeer connectivity framework ( mcf ) to ios 7</t>
  </si>
  <si>
    <t>Event Entity-Subject</t>
    <phoneticPr fontId="4" type="noConversion"/>
  </si>
  <si>
    <t>it</t>
    <phoneticPr fontId="4" type="noConversion"/>
  </si>
  <si>
    <t>48-6</t>
  </si>
  <si>
    <t>instead of sending messages using mobile or data signal , the features lets users send messages to people in close proximity that are in bluetooth or wi-fi direct range - up to 30 feet ( 9 metres )</t>
  </si>
  <si>
    <t>apple uses the framework for its airdrop feature , which makes it easy to send files and data to other connected iphone users</t>
  </si>
  <si>
    <t>it currently works with open garden 's firechat ` off-the-grid ' firechat app</t>
  </si>
  <si>
    <t>both use an ios feature called multipeer connectivity framework ( mcf )</t>
  </si>
  <si>
    <t>instead of sending messages using a mobile signal , the free app and gadget create a localised network where each mobile becomes a ` node '</t>
  </si>
  <si>
    <t>49-6</t>
    <phoneticPr fontId="4" type="noConversion"/>
  </si>
  <si>
    <t>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t>
    <phoneticPr fontId="4" type="noConversion"/>
  </si>
  <si>
    <t>david cameron has written to first great western to request it ` urgently reviews ' plans to increase fares on north cotswolds route
he has promised to freeze fares in real terms for the whole of the next parliament
labour has also pledged to bring in a ` cap ' on price hikes</t>
    <phoneticPr fontId="4" type="noConversion"/>
  </si>
  <si>
    <t>he has promised to freeze fares in real terms for the whole of the next parliament</t>
  </si>
  <si>
    <t>labour has also pledged to bring in a ` cap ' on price hikes</t>
  </si>
  <si>
    <t>49-6</t>
  </si>
  <si>
    <t>passengers in his witney constituency could face increases of up to 87 % comes after mr cameron pledged to freeze fares for whole of next term</t>
  </si>
  <si>
    <t>other sharp hikes include virgin 's service between stafford and liverpool</t>
  </si>
  <si>
    <t>50-6</t>
    <phoneticPr fontId="4" type="noConversion"/>
  </si>
  <si>
    <t>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t>
    <phoneticPr fontId="4" type="noConversion"/>
  </si>
  <si>
    <t>lillian bustle , from new jersey , said that ` fat ' is just another word - and using it does n't have to be an insult
she also called herself ` short ' , because she is 5 ' 3 " , and ` wife ' , as she is married
lillian also said that she calls herself short , because of her physique because she 's 5 '3 "
she said that the more people are exposed to body diversity , the more they accept , accept , and yes , even prefer , different body types</t>
    <phoneticPr fontId="4" type="noConversion"/>
  </si>
  <si>
    <t>lillian also said that she calls herself short , because of her physique because she 's 5 '3 "</t>
  </si>
  <si>
    <t>the dancer says she 's thrilled at the positive reception her ted talk has received , adding that she believes it means ` body-positivity ' is working</t>
  </si>
  <si>
    <t>51-6</t>
    <phoneticPr fontId="4" type="noConversion"/>
  </si>
  <si>
    <t>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t>
    <phoneticPr fontId="4" type="noConversion"/>
  </si>
  <si>
    <t>john young , 66 , and his new wife elaine , 54 , were sat in the front room of their home in oldham , greater manchester , when thugs began pelting his front window with stones
when one brick smashed the glass , mr young went and opened his front door to remonstrate with the attackers only to be struck in his left eye by another brick
doctors were unable to save his eyesight meaning he is now blind in one eye
police have launched an investigation into the attack but said there appears to be no motive</t>
    <phoneticPr fontId="4" type="noConversion"/>
  </si>
  <si>
    <t>police have launched an investigation into the attack but said there appears to be no motive</t>
  </si>
  <si>
    <t>52-6</t>
    <phoneticPr fontId="4" type="noConversion"/>
  </si>
  <si>
    <t>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t>
    <phoneticPr fontId="4" type="noConversion"/>
  </si>
  <si>
    <t>theo walcott has been pictured on a different kind of bench with six of his arsenal colleagues
walcott posed for a photoshoot with runway model olga sherer , calum chambers , mikel arteta , david ospina , mathieu flamini and mesut ozil
the 26-year-old has been named on arsenal 's substitutes ' bench for 17 of their 33 premier league games</t>
    <phoneticPr fontId="4" type="noConversion"/>
  </si>
  <si>
    <t>53-6</t>
    <phoneticPr fontId="4" type="noConversion"/>
  </si>
  <si>
    <t>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t>
    <phoneticPr fontId="4" type="noConversion"/>
  </si>
  <si>
    <t>tom poynton missed the entire 2014 campaign due to leg injuries
the 25-year-old made his playing comeback during derbyshire 's pre-season tour of abu dhabi
he has now committed himself to the county until the end of the 2016 season</t>
    <phoneticPr fontId="4" type="noConversion"/>
  </si>
  <si>
    <t>54-6</t>
    <phoneticPr fontId="4" type="noConversion"/>
  </si>
  <si>
    <t>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t>
    <phoneticPr fontId="4" type="noConversion"/>
  </si>
  <si>
    <t>the collection , created by legendary make-up effects artist rick baker , will be auctioned off at the hilton universal city in los angeles , california , and on propstore.com this may 29
some of the individual items are expected to fetch more than $ 40,000 when they are offered to the public for the first time</t>
    <phoneticPr fontId="4" type="noConversion"/>
  </si>
  <si>
    <t>more than 400 items from rick baker 's cinovation studio will be auctioned</t>
  </si>
  <si>
    <t>artist has worked on hits like men in black , batman forever and gremlins</t>
  </si>
  <si>
    <t>54-6</t>
  </si>
  <si>
    <t>baker worked on michael jackson 's moonwalker film and thriller video</t>
  </si>
  <si>
    <t>56-6</t>
    <phoneticPr fontId="4" type="noConversion"/>
  </si>
  <si>
    <t>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t>
    <phoneticPr fontId="4" type="noConversion"/>
  </si>
  <si>
    <t>harley renshaw was diagnosed with cancer in his kidney , neck , lungs and bones
his ninja turtle mask helped him feel stronger while he was having radiotherapy
hospital staff were amazed when the youngster asked if he could decorate the protective mask that holds him still while having his radiotherapy treatment</t>
    <phoneticPr fontId="4" type="noConversion"/>
  </si>
  <si>
    <t>hospital staff were amazed when the youngster asked if he could decorate the protective mask that holds him still while having his radiotherapy treatment</t>
  </si>
  <si>
    <t>harley renshaw has been given the all clear after battling cancer for a year</t>
  </si>
  <si>
    <t>56-6</t>
  </si>
  <si>
    <t>he underwent months of gruelling chemotherapy and radiotherapy</t>
  </si>
  <si>
    <t>57-6</t>
    <phoneticPr fontId="4" type="noConversion"/>
  </si>
  <si>
    <t>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t>
    <phoneticPr fontId="4" type="noConversion"/>
  </si>
  <si>
    <t>carwyn scott-howell fell to his death while skiing in flaine , france
his mother , ceri , nine , and brother gerwyn , 19 , also died in woodland
family described how he ` made life full of laughter with never a dull moment '
carwyn , from talybont-on-usk in wales , was a ` very competent skier and snowboarder '</t>
    <phoneticPr fontId="4" type="noConversion"/>
  </si>
  <si>
    <t xml:space="preserve">sister </t>
    <phoneticPr fontId="4" type="noConversion"/>
  </si>
  <si>
    <t>antonia</t>
  </si>
  <si>
    <t>57-6</t>
  </si>
  <si>
    <t>died</t>
  </si>
  <si>
    <t>carwyn , from talybont-on-usk in wales , was a ` very competent skier and snowboarder '</t>
  </si>
  <si>
    <t>he went ahead alone when sister fell and his mother stopped to help</t>
  </si>
  <si>
    <t>skied into dense woodland before sliding towards a 164-foot cliff</t>
  </si>
  <si>
    <t>thought he may have entered woodland as thought it was shortcut to hotel</t>
  </si>
  <si>
    <t>58-6</t>
    <phoneticPr fontId="4" type="noConversion"/>
  </si>
  <si>
    <t>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t>
    <phoneticPr fontId="4" type="noConversion"/>
  </si>
  <si>
    <t>jack grealish starred for aston villa in their fa cup semi-final win over liverpool
the 19-year-old is now at the centre of a tug of war between the republic of ireland and england
sherwood wants grealish to focus on continuing to force his way into the villa first team</t>
    <phoneticPr fontId="4" type="noConversion"/>
  </si>
  <si>
    <t>jack grealish starred for aston villa in their fa cup semi-final win over liverpool</t>
  </si>
  <si>
    <t>grealish will make a decision over international future at end of the season</t>
  </si>
  <si>
    <t>59-6</t>
    <phoneticPr fontId="4" type="noConversion"/>
  </si>
  <si>
    <t>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t>
    <phoneticPr fontId="4" type="noConversion"/>
  </si>
  <si>
    <t>laura scurr , 15 , from whitley bay , was left on a heart machine after she collapsed through starvation
she became obsessed with having the perfect figure and would hide food down the side of her bed , lying to her mother about eating and sometimes surviving on just a piece of fruit a day
her dramatic weight loss led to horrific consequences when she collapsed at her family home and was rushed to intensive care
she has now spoken out about the pressures on young girls to be a ` size zero '</t>
    <phoneticPr fontId="4" type="noConversion"/>
  </si>
  <si>
    <t>laura developed anorexia</t>
  </si>
  <si>
    <t>her dramatic weight loss led to horrific consequences when she collapsed at her family home and was rushed to intensive care</t>
  </si>
  <si>
    <t>59-6</t>
  </si>
  <si>
    <t>now 15 she has overcome the disorder and is battling back</t>
  </si>
  <si>
    <t>60-6</t>
    <phoneticPr fontId="4" type="noConversion"/>
  </si>
  <si>
    <t>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t>
    <phoneticPr fontId="4" type="noConversion"/>
  </si>
  <si>
    <t>2.5 million private flights recorded in the us in 2013 and 705,000 in europe
it is a huge industry for the rich and famous , with its market worth $ 16.7 trillion in us and $ 15.8 trillion in europe</t>
    <phoneticPr fontId="4" type="noConversion"/>
  </si>
  <si>
    <t>2.5 million private flights recorded in the us in 2013 and 705,000 in europe</t>
  </si>
  <si>
    <t>it is a huge industry for the rich and famous , with its market worth $ 16.7 trillion in us and $ 15.8 trillion in europe</t>
  </si>
  <si>
    <t>60-6</t>
  </si>
  <si>
    <t>the richest compiled a list of the top airport landing charges</t>
  </si>
  <si>
    <t>prices are based on landing a private 767-400 jet carrier</t>
  </si>
  <si>
    <t>61-6</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</si>
  <si>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t>
    <phoneticPr fontId="4" type="noConversion"/>
  </si>
  <si>
    <t>raheem sterling , daniel sturridge , martin skrtel and simon mignolet unveiled the new kit at anfield on friday
new balance struck a record-breaking # 300million four-year kit deal to replace sister company warrior as liverpool 's suppliers
sterling said he was flattered to be linked with arsenal to cast a huge question mark over his future
but liverpool are adamant that the 20-year-old , who has two years left to run on his contract , will not be quitting this summer</t>
    <phoneticPr fontId="4" type="noConversion"/>
  </si>
  <si>
    <t>raheem sterling , daniel sturridge , martin skrtel and simon mignolet unveiled the new kit at anfield on friday</t>
  </si>
  <si>
    <t>sterling said he was flattered to be linked with arsenal to cast a huge question mark over his future</t>
  </si>
  <si>
    <t>61-6</t>
  </si>
  <si>
    <t>midfielder has been linked with a move away from liverpool after refusing to sign new # 100,000-a-week contract</t>
  </si>
  <si>
    <t>captain steven gerrard did not model new strip as he prepares to leave for la galaxy in the summer</t>
  </si>
  <si>
    <t>62-6</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</si>
  <si>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2012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</si>
  <si>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biggest fight of all time
money man v pacquiao is the sixth in a series of 12 fights that shaped boxing history
the first two of the three fights between the sugar man and hands of stone raised the curtain on what is considered the golden age of boxing
click here for all the latest boxing news</t>
    <phoneticPr fontId="4" type="noConversion"/>
  </si>
  <si>
    <t>money man</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</si>
  <si>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2013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</si>
  <si>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biggest fight of all time
money man v pacquiao is the sixth in a series of 13 fights that shaped boxing history
the first two of the three fights between the sugar man and hands of stone raised the curtain on what is considered the golden age of boxing
click here for all the latest boxing news</t>
  </si>
  <si>
    <t>pacquiao</t>
  </si>
  <si>
    <t>62-6</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</si>
  <si>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2014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</si>
  <si>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biggest fight of all time
money man v pacquiao is the sixth in a series of 14 fights that shaped boxing history
the first two of the three fights between the sugar man and hands of stone raised the curtain on what is considered the golden age of boxing
click here for all the latest boxing news</t>
  </si>
  <si>
    <t>the first two of the three fights between the sugar man and hands of stone raised the curtain on what is considered the golden age of boxing</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</si>
  <si>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2015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</si>
  <si>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biggest fight of all time
money man v pacquiao is the sixth in a series of 15 fights that shaped boxing history
the first two of the three fights between the sugar man and hands of stone raised the curtain on what is considered the golden age of boxing
click here for all the latest boxing news</t>
  </si>
  <si>
    <t>click here for all the latest boxing news</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</si>
  <si>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2016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</si>
  <si>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biggest fight of all time
money man v pacquiao is the sixth in a series of 16 fights that shaped boxing history
the first two of the three fights between the sugar man and hands of stone raised the curtain on what is considered the golden age of boxing
click here for all the latest boxing news</t>
  </si>
  <si>
    <t>leonard humiliated his opponent until he said ` no mas ' - no more</t>
  </si>
  <si>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2017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</si>
  <si>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biggest fight of all time
money man v pacquiao is the sixth in a series of 17 fights that shaped boxing history
the first two of the three fights between the sugar man and hands of stone raised the curtain on what is considered the golden age of boxing
click here for all the latest boxing news</t>
  </si>
  <si>
    <t>it took duran three years to reclaim his mantle as a hero in panama</t>
  </si>
  <si>
    <t>63-6</t>
    <phoneticPr fontId="4" type="noConversion"/>
  </si>
  <si>
    <t>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t>
    <phoneticPr fontId="4" type="noConversion"/>
  </si>
  <si>
    <t>university of manchester researchers have revealed an hd dark matter map
it shows clumps of mystery particles across 0.4 per cent of the sky
the goal is to eventually map 12.5 per cent over five years
and the map should allow astronomers to study how galaxies formed in the universe</t>
    <phoneticPr fontId="4" type="noConversion"/>
  </si>
  <si>
    <t>64-6</t>
    <phoneticPr fontId="4" type="noConversion"/>
  </si>
  <si>
    <t>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t>
    <phoneticPr fontId="4" type="noConversion"/>
  </si>
  <si>
    <t>katie gallegos from clackamas county , oregon , decided to take cooper to a mcdonald 's drive-thru for an ice cream with his pal daisy
but while the small female pup takes a few ladylike licks , cooper gobbles the rest of the cone up in one bite
to date the video of cooper 's ice cream outing has been watched more than seven million times</t>
    <phoneticPr fontId="4" type="noConversion"/>
  </si>
  <si>
    <t>to date the video of cooper 's ice cream outing has been watched more than seven million times .</t>
  </si>
  <si>
    <t>katie gallegos from clackamas county , oregon , decided to take the pooch to a mcdonald 's drive-thru for an ice cream with his pal daisy .
but while the small female pup takes a few ladylike licks , cooper gobbles the rest of the cone up in one bite .
to date the video of cooper 's ice cream outing has been watched more than seven million times .</t>
    <phoneticPr fontId="4" type="noConversion"/>
  </si>
  <si>
    <t>gallegos says ice cream is a weekly treat for her pets</t>
  </si>
  <si>
    <t>65-6</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</si>
  <si>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</si>
  <si>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are in early discussions over a possible partnership with belgian club royal mouscron-peruwelz
mouscron had a partnership with lille but the french side are now poised to link up with another belgian club , ostend
chelsea are currently 13th in the table , two points above the relegation places</t>
    <phoneticPr fontId="4" type="noConversion"/>
  </si>
  <si>
    <t>mouscron had a partnership with lille but the french side are now poised to link up with another belgian club , ostend</t>
  </si>
  <si>
    <t>chelsea are currently 13th in the table , two points above the relegation places</t>
  </si>
  <si>
    <t>65-6</t>
  </si>
  <si>
    <t>the pro league 's royal mouscron-peruwelz are the prospective partners</t>
  </si>
  <si>
    <t>chelsea already have an agreement with vitesse arnheim in holland</t>
  </si>
  <si>
    <t>66-6</t>
    <phoneticPr fontId="4" type="noConversion"/>
  </si>
  <si>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$ 4.13 billion</t>
  </si>
  <si>
    <t>the company said earlier the outage affected 7,000 stores in the us and 1,000 in canada
it did not explain exactly what caused the outage , which began in the early evening on the east coast and in the late afternoon on the west coast</t>
    <phoneticPr fontId="4" type="noConversion"/>
  </si>
  <si>
    <t>it did not explain exactly what caused the outage , which began in the early evening on the east coast and in the late afternoon on the west coast .</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</si>
  <si>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$ 4.14 billion</t>
  </si>
  <si>
    <t>the company said earlier the outage affected 7,000 stores in the us and 1,001 in canada
it did not explain exactly what caused the outage , which began in the early evening on the east coast and in the late afternoon on the west coast</t>
  </si>
  <si>
    <t>company said in statement glitch was caused by a failure during a daily system refresh</t>
  </si>
  <si>
    <t>66-6</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</si>
  <si>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$ 4.15 billion</t>
  </si>
  <si>
    <t>the company said earlier the outage affected 7,000 stores in the us and 1,002 in canada
it did not explain exactly what caused the outage , which began in the early evening on the east coast and in the late afternoon on the west coast</t>
  </si>
  <si>
    <t>glitch also affected starbucks ' evolution fresh and teavana stores</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</si>
  <si>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$ 4.16 billion</t>
  </si>
  <si>
    <t>the company said earlier the outage affected 7,000 stores in the us and 1,003 in canada
it did not explain exactly what caused the outage , which began in the early evening on the east coast and in the late afternoon on the west coast</t>
  </si>
  <si>
    <t>many starbucks locations closed their doors so as not to give away free drinks</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</si>
  <si>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$ 4.17 billion</t>
  </si>
  <si>
    <t>the company said earlier the outage affected 7,000 stores in the us and 1,004 in canada
it did not explain exactly what caused the outage , which began in the early evening on the east coast and in the late afternoon on the west coast</t>
  </si>
  <si>
    <t>coffeehouse chain said in update on its site stores are expected to open for ` business as usual ' saturday</t>
  </si>
  <si>
    <t>67-6</t>
    <phoneticPr fontId="4" type="noConversion"/>
  </si>
  <si>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2009 .
pacquiao is promoted by bob arum 's top rank company .
actor mark wahlberg is a big fan of pacquiao .</t>
  </si>
  <si>
    <t>floyd mayweather and manny pacquiao are less than two weeks away from playing their part in the richest fight in boxing history .
here , sportsmail takes a look at the two men 's achievements , in and out of the ring , ahead of their $ 300m mega-fight on may 2
since leaving top rank in 2006 , mayweather has looked after his own interests and negotiated a 60-40 split in his favour for his fight against pacquiao .</t>
    <phoneticPr fontId="4" type="noConversion"/>
  </si>
  <si>
    <t>sportsmail takes a look at the pair 's achievements , in and out of the ring , ahead of their mega-fight on may 2</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</si>
  <si>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2010 .
pacquiao is promoted by bob arum 's top rank company .
actor mark wahlberg is a big fan of pacquiao .</t>
  </si>
  <si>
    <t>floyd mayweather and manny pacquiao are less than two weeks away from playing their part in the richest fight in boxing history .
here , sportsmail takes a look at the two men 's achievements , in and out of the ring , ahead of their $ 300m mega-fight on may 2
since leaving top rank in 2006 , mayweather has looked after his own interests and negotiated a 60-41 split in his favour for his fight against pacquiao .</t>
  </si>
  <si>
    <t>mayweather does not earn any money from endorsements , although companies such as at&amp;t and corona have sponsored his fights</t>
  </si>
  <si>
    <t>67-6</t>
  </si>
  <si>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2011 .
pacquiao is promoted by bob arum 's top rank company .
actor mark wahlberg is a big fan of pacquiao .</t>
  </si>
  <si>
    <t>floyd mayweather and manny pacquiao are less than two weeks away from playing their part in the richest fight in boxing history .
here , sportsmail takes a look at the two men 's achievements , in and out of the ring , ahead of their $ 300m mega-fight on may 2
since leaving top rank in 2006 , mayweather has looked after his own interests and negotiated a 60-42 split in his favour for his fight against pacquiao .</t>
  </si>
  <si>
    <t>the two men will split a $ 300m purse , with mayweather taking 60 per cent</t>
  </si>
  <si>
    <t>69-6</t>
    <phoneticPr fontId="4" type="noConversion"/>
  </si>
  <si>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29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</si>
  <si>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locations in ceredigion , powys and pembrokeshire are also being used to radicalise muslims
incidents of islamic extremist activity in wales can be traced back to 1998 , when abu hamza sent a group of 10 extremists to train in the brecon beacons , in powys</t>
    <phoneticPr fontId="4" type="noConversion"/>
  </si>
  <si>
    <t>incidents of islamic extremist activity in wales can be traced back to 1998 , when abu hamza sent a group of 10 extremists to train in the brecon beacons , in powys</t>
  </si>
  <si>
    <t>he said those involved are ` seemingly normal ' but have an ` ulterior motive '</t>
  </si>
  <si>
    <t>70-6</t>
    <phoneticPr fontId="4" type="noConversion"/>
  </si>
  <si>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3-13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</si>
  <si>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manchester united have made an official approach for memphis depay
louis van gaal is keen to make the winger of his first signings this summer
depay worked under van gaal during holland 's successful 2014 world cup campaign
the 21-year-old has scored 20 goals in 26 league games for psv this season
click here for all the latest manchester united news</t>
    <phoneticPr fontId="4" type="noConversion"/>
  </si>
  <si>
    <t>depay worked under van gaal during holland 's successful 2014 world cup campaign</t>
  </si>
  <si>
    <t>click here for all the latest manchester united news</t>
  </si>
  <si>
    <t>70-6</t>
  </si>
  <si>
    <t>psv beat heerenveen to lift their first eredivisie title in seven years</t>
  </si>
  <si>
    <t>paris-saint germain are also interested in the highly-rated 21-year-old</t>
  </si>
  <si>
    <t>71-6</t>
    <phoneticPr fontId="4" type="noConversion"/>
  </si>
  <si>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67 vertebrae</t>
  </si>
  <si>
    <t>the omura 's whale was discovered on a remote exmouth beach in wa
it is the first sighting of the species in wa and only the second in australia
authorities struggled to identify the 5.68 m juvenile female
the find was ` highly significant ' for scientists because very little was known about the species</t>
    <phoneticPr fontId="4" type="noConversion"/>
  </si>
  <si>
    <t>the find was ` highly significant ' for scientists because very little was known about the species</t>
  </si>
  <si>
    <t>it was washed up on the beach by tropical cyclone olwyn</t>
  </si>
  <si>
    <t>71-6</t>
  </si>
  <si>
    <t>however dna profiling confirmed it was an omura 's whale</t>
  </si>
  <si>
    <t>72-6</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</si>
  <si>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31 ) : on for abraham and showed explosive pace straight away but was let down by a hurried attempt at a finish which flew over the bar .
isaiah brown holds off a tackle from fikayo tomori , during another impressive display for the young forward</t>
  </si>
  <si>
    <t>dominic solanke scored late on to put a gloss on the scoreline
sportsmail was at the academy stadium to see how the youngsters got on
manchester city midfielder kean bryan tracks the run of dominic solanke
kean bryan scored twice in the first leg of the semi final</t>
    <phoneticPr fontId="4" type="noConversion"/>
  </si>
  <si>
    <t>sportsmail was at the academy stadium to see how the youngsters got on</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</si>
  <si>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32 ) : on for abraham and showed explosive pace straight away but was let down by a hurried attempt at a finish which flew over the bar .
isaiah brown holds off a tackle from fikayo tomori , during another impressive display for the young forward</t>
  </si>
  <si>
    <t>manchester city midfielder kean bryan tracks the run of dominic solanke</t>
  </si>
  <si>
    <t>72-6</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</si>
  <si>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33 ) : on for abraham and showed explosive pace straight away but was let down by a hurried attempt at a finish which flew over the bar .
isaiah brown holds off a tackle from fikayo tomori , during another impressive display for the young forward</t>
  </si>
  <si>
    <t>kean bryan scored twice in the first leg of the semi final</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</si>
  <si>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34 ) : on for abraham and showed explosive pace straight away but was let down by a hurried attempt at a finish which flew over the bar .
isaiah brown holds off a tackle from fikayo tomori , during another impressive display for the young forward</t>
  </si>
  <si>
    <t>chelsea forward tammy abraham nets first-half double for chelsea</t>
  </si>
  <si>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35 ) : on for abraham and showed explosive pace straight away but was let down by a hurried attempt at a finish which flew over the bar .
isaiah brown holds off a tackle from fikayo tomori , during another impressive display for the young forward</t>
  </si>
  <si>
    <t>manchester city struggle without injured star thierry ambrose</t>
  </si>
  <si>
    <t>73-6</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</si>
  <si>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2019 .
correction : an earlier version of this article incorrectly stated that canadians elected their first female prime minister , kim campbell .</t>
  </si>
  <si>
    <t>donna brazile : hillary clinton should n't be president because her hormones might make her so irrational she 'll start an unnecessary war
brazile : women leaders take fewer unnecessary risks than their male counterparts
she says we need a serious discussion about ending gender bias in the workplace</t>
    <phoneticPr fontId="4" type="noConversion"/>
  </si>
  <si>
    <t>donna brazile</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</si>
  <si>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2020 .
correction : an earlier version of this article incorrectly stated that canadians elected their first female prime minister , kim campbell .</t>
  </si>
  <si>
    <t xml:space="preserve"> brazile</t>
    <phoneticPr fontId="4" type="noConversion"/>
  </si>
  <si>
    <t>73-6</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</si>
  <si>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2021 .
correction : an earlier version of this article incorrectly stated that canadians elected their first female prime minister , kim campbell .</t>
  </si>
  <si>
    <t>women leaders take fewer unnecessary risks than their male counterparts</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</si>
  <si>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2022 .
correction : an earlier version of this article incorrectly stated that canadians elected their first female prime minister , kim campbell .</t>
  </si>
  <si>
    <t>she says we need a serious discussion about ending gender bias in the workplace</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</si>
  <si>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2023 .
correction : an earlier version of this article incorrectly stated that canadians elected their first female prime minister , kim campbell .</t>
  </si>
  <si>
    <t>what 's scary is that the bias against women in the workplace is still going strong in 2015</t>
  </si>
  <si>
    <t>74-6</t>
    <phoneticPr fontId="4" type="noConversion"/>
  </si>
  <si>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$ 45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</si>
  <si>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marco rubio spoke to face the nation after admitting he would attend the same-sex wedding of a family member or staffer - even if he did n't agree with the decision
the florida senator told bob schieffer that he was n't against gay marriage , but believes the ` definition of the institution of marriage should be between one man and one woman '</t>
    <phoneticPr fontId="4" type="noConversion"/>
  </si>
  <si>
    <t>the florida senator told bob schieffer that he was n't against gay marriage , but believes the ` definition of the institution of marriage should be between one man and one woman '</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</si>
  <si>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$ 46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</si>
  <si>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senator told face the nation same-sex marriage is n't a constitutional right</t>
  </si>
  <si>
    <t>74-6</t>
  </si>
  <si>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$ 47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</si>
  <si>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added that it should be left up to the states to decide whether to allow it</t>
  </si>
  <si>
    <t>75-6</t>
    <phoneticPr fontId="4" type="noConversion"/>
  </si>
  <si>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</si>
  <si>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the actor is auctioning off more than 200 items he has collected over his career
mr hardy , 89 , is a keen military historian who studied english with j.r. tolkien
he is also selling paintings , furniture , swords , flintlock rifles , silverware and a fine collection of crystal chandeliers</t>
    <phoneticPr fontId="4" type="noConversion"/>
  </si>
  <si>
    <t>he is also selling paintings , furniture , swords , flintlock rifles , silverware and a fine collection of crystal chandeliers</t>
  </si>
  <si>
    <t>among the objects which have gone up for auction are a huge 3d diorama of the battle of agincourt</t>
  </si>
  <si>
    <t>76-6</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</si>
  <si>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222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</si>
  <si>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zebolde , 31 , are off to a flying start as they approach their first year of their open-ended odyssey on the road
in 356 days they 've covered almost 7,000 miles ( 11,131.92 km by their measurements ) and been through 16 countries
ilze points at the winding road that she and pablo had climb in spain 's sierra nevada with their 130kg of gear
in that time they have been astonishingly living on less than three euros each day , or by their meticulous calculations 10 euro cents per kilometre</t>
    <phoneticPr fontId="4" type="noConversion"/>
  </si>
  <si>
    <t>ilze points at the winding road that she and pablo had climb in spain 's sierra nevada with their 130kg of gear</t>
  </si>
  <si>
    <t>77-6</t>
    <phoneticPr fontId="4" type="noConversion"/>
  </si>
  <si>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t>
  </si>
  <si>
    <t>police say michael scott shemansky came to their attention after he failed to appear for a supervised visit with his son on the same day mother sandra shemansky , 57 , was found dead at the home they shared in winter garden
shemansky is already on parole for battery on law enforcement , and was involuntarily committed to a psychiatric ward for an attempted suicide
his estranged wife filed a domestic violence injunction against him two years ago , according to her attorney</t>
    <phoneticPr fontId="4" type="noConversion"/>
  </si>
  <si>
    <t>his estranged wife filed a domestic violence injunction against him two years ago , according to her attorney</t>
  </si>
  <si>
    <t>78-6</t>
    <phoneticPr fontId="4" type="noConversion"/>
  </si>
  <si>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</si>
  <si>
    <t>the couple , who does not wish to be identified , hired attorney cathy hale to sue james evans , the owner of premiere photos for allegedly providing a photo booth that printed , ` poor n ***** party ' on the bottom of the pictures
the couple was n't alerted of the photos until many months after the bride 's sister told the family about the racist incident at the photo booth the couple rented for the party
evans has denied all allegations and claimed that at a party of 100 people , there is no evidence linking the company to the offensive caption</t>
    <phoneticPr fontId="4" type="noConversion"/>
  </si>
  <si>
    <t>79-6</t>
    <phoneticPr fontId="4" type="noConversion"/>
  </si>
  <si>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2019 iaaf world athletics championships in moscow</t>
  </si>
  <si>
    <t>eugene in the united states has been awarded the rights to host the 2021 iaaf world championships
the decision was taken by the international association of athletics federations council , who decided to bypass the usual bidding process because of what it saw as a ` unique strategic opportunity '
the 2007 world championships held in osaka , japan was also awarded without a bidding process</t>
    <phoneticPr fontId="4" type="noConversion"/>
  </si>
  <si>
    <t>the 2007 world championships held in osaka , japan was also awarded without a bidding process</t>
  </si>
  <si>
    <t>eugene missed out on bid to host 2019 event which was awarded to doha</t>
    <phoneticPr fontId="4" type="noConversion"/>
  </si>
  <si>
    <t>80-6</t>
    <phoneticPr fontId="4" type="noConversion"/>
  </si>
  <si>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2025 campaign that champions people at the heart and soul of the game by putting grassroots clubs on the global stage .</t>
  </si>
  <si>
    <t>mike brown is unsure when he will return to action for club side harlequins
northampton wing george north has been advised by leading medics not to play again this season after suffering four quick-fire concussions
brown is determined not to suffer an extended break so will not rush himself back to action ahead of time</t>
    <phoneticPr fontId="4" type="noConversion"/>
  </si>
  <si>
    <t>northampton wing george north has been advised by leading medics not to play again this season after suffering four quick-fire concussions</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</si>
  <si>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2026 campaign that champions people at the heart and soul of the game by putting grassroots clubs on the global stage .</t>
  </si>
  <si>
    <t>brown is determined not to suffer an extended break so will not rush himself back to action ahead of time</t>
  </si>
  <si>
    <t>80-6</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</si>
  <si>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2027 campaign that champions people at the heart and soul of the game by putting grassroots clubs on the global stage .</t>
  </si>
  <si>
    <t>harlequins full back mike brown pulled out of the aviva premiership clash</t>
  </si>
  <si>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2028 campaign that champions people at the heart and soul of the game by putting grassroots clubs on the global stage .</t>
  </si>
  <si>
    <t>brown is still wary after suffering concussion while on england duty</t>
  </si>
  <si>
    <t>81-6</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</si>
  <si>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£ 66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</si>
  <si>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mehmet hassan , 56 , after spotting him flashing a roll of # 50 notes at a casino in london 's west end
care assistant , from kent , used her good looks to befriend the poker player , who showered her with gifts , cash and trips to fancy restaurants
granger was found guilty of manslaughter by a majority - but not guilty of murder
co-defendants kyrron jackson , 28 , and nicholas chandler , 29 , were jailed for life with a minimum term of 36 years</t>
    <phoneticPr fontId="4" type="noConversion"/>
  </si>
  <si>
    <t>leonie granger , 25 , targeted mehmet hassan , 56 , after spotting him flashing a roll of # 50 notes at a casino in london 's west end</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</si>
  <si>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£ 67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</si>
  <si>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mehmet hassan , 56 , after spotting him flashing a roll of # 50 notes at a casino in london 's west end
care assistant , from kent , used her good looks to befriend the poker player , who showered her with gifts , cash and trips to fancy restaurants
granger was found guilty of manslaughter by a majority - but not guilty of murder
co-defendants kyrron jackson , 28 , and nicholas chandler , 29 , were jailed for life with a minimum term of 37 years</t>
  </si>
  <si>
    <t>care assistant , from kent , used her good looks to befriend the poker player , who showered her with gifts , cash and trips to fancy restaurants</t>
  </si>
  <si>
    <t>81-6</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</si>
  <si>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£ 68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</si>
  <si>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mehmet hassan , 56 , after spotting him flashing a roll of # 50 notes at a casino in london 's west end
care assistant , from kent , used her good looks to befriend the poker player , who showered her with gifts , cash and trips to fancy restaurants
granger was found guilty of manslaughter by a majority - but not guilty of murder
co-defendants kyrron jackson , 28 , and nicholas chandler , 29 , were jailed for life with a minimum term of 38 years</t>
  </si>
  <si>
    <t>granger was found guilty of manslaughter by a majority - but not guilty of murder</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</si>
  <si>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£ 69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</si>
  <si>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mehmet hassan , 56 , after spotting him flashing a roll of # 50 notes at a casino in london 's west end
care assistant , from kent , used her good looks to befriend the poker player , who showered her with gifts , cash and trips to fancy restaurants
granger was found guilty of manslaughter by a majority - but not guilty of murder
co-defendants kyrron jackson , 28 , and nicholas chandler , 29 , were jailed for life with a minimum term of 39 years</t>
  </si>
  <si>
    <t>leonie granger , 25 , has been jailed for 16 years for luring gambler to death</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</si>
  <si>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£ 70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</si>
  <si>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 25 , targeted mehmet hassan , 56 , after spotting him flashing a roll of # 50 notes at a casino in london 's west end
care assistant , from kent , used her good looks to befriend the poker player , who showered her with gifts , cash and trips to fancy restaurants
granger was found guilty of manslaughter by a majority - but not guilty of murder
co-defendants kyrron jackson , 28 , and nicholas chandler , 29 , were jailed for life with a minimum term of 40 years</t>
  </si>
  <si>
    <r>
      <t>went to his flat and let in boyfriend kyrron jackson and nicholas chandler</t>
    </r>
    <r>
      <rPr>
        <sz val="11"/>
        <color indexed="8"/>
        <rFont val="宋体"/>
        <family val="3"/>
        <charset val="134"/>
      </rPr>
      <t>，</t>
    </r>
    <r>
      <rPr>
        <sz val="11"/>
        <color indexed="8"/>
        <rFont val="Arial"/>
        <family val="2"/>
      </rPr>
      <t>they kicked mr hassan to death and stole some of his gambling winnings</t>
    </r>
  </si>
  <si>
    <t>82-6</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</si>
  <si>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10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</si>
  <si>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research has revealed that the frequency with which britons are having sex has been in decline since the emergence of the internet
it comes after professor david spiegelhalter , a statistician at cambridge university , revealed in a new book how a typical heterosexual couple was now having sex three times a month</t>
    <phoneticPr fontId="4" type="noConversion"/>
  </si>
  <si>
    <t>the figure in 2000 was four times a month and five times a month in 1990</t>
  </si>
  <si>
    <t>83-6</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</si>
  <si>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3-17 win over hull city , but that was his first in five games
mourinho is looking to guide his team over the line in the premier league title race , with fabregas a key cog</t>
  </si>
  <si>
    <t>cesc fabregas was one of the worst players on the pitch in spain 's 2-0 defeat by holland on tuesday
the spanish midfielder struggled to make an impact in midfield
chelsea boss jose mourinho will be concerned to see his player toiling in midfield for the full 90 minutes at the amsterdam arena</t>
    <phoneticPr fontId="4" type="noConversion"/>
  </si>
  <si>
    <t>the spanish midfielder struggled to make an impact in midfield</t>
  </si>
  <si>
    <t>chelsea boss jose mourinho will be concerned to see his player toiling in midfield for the full 90 minutes at the amsterdam arena</t>
  </si>
  <si>
    <t>83-6</t>
  </si>
  <si>
    <t>cesc fabregas ' poor form continued for spain against holland on tuesday</t>
  </si>
  <si>
    <t>thierry henry 's mark of 20 in 2002-03 is four more than fabregas ' total</t>
  </si>
  <si>
    <t>84-6</t>
    <phoneticPr fontId="4" type="noConversion"/>
  </si>
  <si>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£ 600,011 .
the dogs are seen with a model</t>
  </si>
  <si>
    <t>tibetan mastiffs are now so unpopular in china they are being sent to slaughterhouses - and their meat put into cheap hotpots
dramatic decline in fortune is partly blamed on the chinese government 's anti-corruption crackdown
wealthy businessmen would give the prized mastiffs to officials in the hope of influencing their decisions</t>
    <phoneticPr fontId="4" type="noConversion"/>
  </si>
  <si>
    <t>tibetan mastiffs had been status symbols for china 's wealthiest</t>
  </si>
  <si>
    <t>85-6</t>
    <phoneticPr fontId="4" type="noConversion"/>
  </si>
  <si>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2016-24 season .</t>
  </si>
  <si>
    <t>west ham are closing in on the signing of 17-year-old deshane beckford
beckford impressed on trial at west ham 's academy earlier this month
west ham have revealed season tickets at the olympic stadium will cost as little as # 289</t>
    <phoneticPr fontId="4" type="noConversion"/>
  </si>
  <si>
    <t>beckford impressed on trial at west ham 's academy earlier this month</t>
  </si>
  <si>
    <t>jamaican starlet beckford has been linked with a host of european clubs</t>
  </si>
  <si>
    <t>87-6</t>
    <phoneticPr fontId="4" type="noConversion"/>
  </si>
  <si>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t>
    <phoneticPr fontId="4" type="noConversion"/>
  </si>
  <si>
    <t>poll of 600 women in paris found half of those surveyed said they had suffered harassment
six out of ten women were afraid of being attacked on public transport compared to three out of 10 men
french women 's rights ministry said the problem was to " exclude women from the public arena "</t>
    <phoneticPr fontId="4" type="noConversion"/>
  </si>
  <si>
    <t>before</t>
    <phoneticPr fontId="4" type="noConversion"/>
  </si>
  <si>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€ 75,001 fine . "
she said women needed to be better " educated that what they 're going through is not normal " , and that the message must reach " aggressors and witnesses " .</t>
  </si>
  <si>
    <t>poll of 600 women in paris found half of those surveyed said they had suffered harassment
six out of ten women were afraid of being attacked on public transport compared to three out of 11 men
french women 's rights ministry said the problem was to " exclude women from the public arena "</t>
  </si>
  <si>
    <t>87-6</t>
  </si>
  <si>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€ 75,002 fine . "
she said women needed to be better " educated that what they 're going through is not normal " , and that the message must reach " aggressors and witnesses " .</t>
  </si>
  <si>
    <t>poll of 600 women in paris found half of those surveyed said they had suffered harassment
six out of ten women were afraid of being attacked on public transport compared to three out of 12 men
french women 's rights ministry said the problem was to " exclude women from the public arena "</t>
  </si>
  <si>
    <t>six out of ten women were afraid of being attacked on public transport compared to three out of 10 men</t>
  </si>
  <si>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€ 75,003 fine . "
she said women needed to be better " educated that what they 're going through is not normal " , and that the message must reach " aggressors and witnesses " .</t>
  </si>
  <si>
    <t>poll of 600 women in paris found half of those surveyed said they had suffered harassment
six out of ten women were afraid of being attacked on public transport compared to three out of 13 men
french women 's rights ministry said the problem was to " exclude women from the public arena "</t>
  </si>
  <si>
    <t>french women 's rights ministry said the problem was to " exclude women from the public arena "</t>
  </si>
  <si>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€ 75,004 fine . "
she said women needed to be better " educated that what they 're going through is not normal " , and that the message must reach " aggressors and witnesses " .</t>
  </si>
  <si>
    <t>poll of 600 women in paris found half of those surveyed said they had suffered harassment
six out of ten women were afraid of being attacked on public transport compared to three out of 14 men
french women 's rights ministry said the problem was to " exclude women from the public arena "</t>
  </si>
  <si>
    <t>all claimed to have been victim of harassment on transport system</t>
  </si>
  <si>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€ 75,005 fine . "
she said women needed to be better " educated that what they 're going through is not normal " , and that the message must reach " aggressors and witnesses " .</t>
  </si>
  <si>
    <t>poll of 600 women in paris found half of those surveyed said they had suffered harassment
six out of ten women were afraid of being attacked on public transport compared to three out of 15 men
french women 's rights ministry said the problem was to " exclude women from the public arena "</t>
  </si>
  <si>
    <t>led to calls for campaign to stem sexist and threatening behaviour</t>
  </si>
  <si>
    <t>88-6</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</si>
  <si>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61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</si>
  <si>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40 , was kicked in the head and suffered concussion and broken teeth
wiltshire police have dropped an investigation into the attack
mr lane , who is joint master of the tedworth hunt , was attacked in january
he said : ` unless further evidence comes forward , the attackers are not likely to be found . we find it pathetic '</t>
    <phoneticPr fontId="4" type="noConversion"/>
  </si>
  <si>
    <t>mike lane , 40 , was kicked in the head and suffered concussion and broken teeth</t>
  </si>
  <si>
    <t>wiltshire police have dropped an investigation into the attack</t>
  </si>
  <si>
    <t>88-6</t>
  </si>
  <si>
    <t>mr lane , who is joint master of the tedworth hunt , was attacked in january</t>
  </si>
  <si>
    <t>mike lane was beaten by masked protesters armed with iron bars on ropes</t>
  </si>
  <si>
    <t>attack happened as 30 riders and hounds were chasing artificial scent</t>
  </si>
  <si>
    <t>wiltshire police handed video footage and some names of saboteurs</t>
  </si>
  <si>
    <t>89-6</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</si>
  <si>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40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</si>
  <si>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leeds-based direct line is running a competition called #everydayfix
they asked groups to design products to deal with common problems
these include forgetting to lock the door , which one company hopes to solve with their forget me lock prototype</t>
    <phoneticPr fontId="4" type="noConversion"/>
  </si>
  <si>
    <t>these include forgetting to lock the door , which one company hopes to solve with their forget me lock prototype</t>
  </si>
  <si>
    <t>these include forgetting to lock the door and running out of battery</t>
  </si>
  <si>
    <t>89-6</t>
  </si>
  <si>
    <t>you can vote for your favourite design and the winner will be crowdfunded</t>
  </si>
  <si>
    <t>90-6</t>
    <phoneticPr fontId="4" type="noConversion"/>
  </si>
  <si>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</si>
  <si>
    <t>gary locke has been given the job at kilmarnock on a permanent basis
the 39-year-old took control of the team when his ex-tynecastle team-mate quit at the start of february
locke will speak at a press conference on friday morning</t>
    <phoneticPr fontId="4" type="noConversion"/>
  </si>
  <si>
    <t>locke will speak at a press conference on friday morning</t>
  </si>
  <si>
    <t>locke has won two and drawn four of his seven games in charge</t>
  </si>
  <si>
    <t>93-6</t>
    <phoneticPr fontId="4" type="noConversion"/>
  </si>
  <si>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t>
  </si>
  <si>
    <t>vera baird , the police and crime commissioner for northumbria , donated # 500,000 to victims first northumbria
the charity supports crime victims in her area and of which she is a director
sitting alongside her on the organisation 's top table is sue sim , northumbria 's chief constable
the pair now face a ministry of justice probe as critics accuse them of concocting ' a soap opera ' within the force</t>
    <phoneticPr fontId="4" type="noConversion"/>
  </si>
  <si>
    <t>94-6</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</si>
  <si>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2038 letter from gadahn making recommendations for al qaeda 's media strategy .
gadahn was married to a muslim woman from afghanistan and reportedly had at least one child .
cnn 's steve almasy contributed to this report .</t>
  </si>
  <si>
    <t>the white house announced thursday that adam gadahn , 36 , was killed in a u.s. counterterrorism operation
neither he nor ahmed farouq -- another u.s. citizen and al qaeda operative -- was specifically targeted</t>
    <phoneticPr fontId="4" type="noConversion"/>
  </si>
  <si>
    <t>the white house announced thursday that adam gadahn , 36 , was killed in a u.s. counterterrorism operation</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</si>
  <si>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2039 letter from gadahn making recommendations for al qaeda 's media strategy .
gadahn was married to a muslim woman from afghanistan and reportedly had at least one child .
cnn 's steve almasy contributed to this report .</t>
  </si>
  <si>
    <t>the white house announced thursday that adam gadahn , 37 , was killed in a u.s. counterterrorism operation
neither he nor ahmed farouq -- another u.s. citizen and al qaeda operative -- was specifically targeted</t>
  </si>
  <si>
    <t>neither he nor ahmed farouq -- another u.s. citizen and al qaeda operative -- was specifically targeted</t>
  </si>
  <si>
    <t>94-6</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</si>
  <si>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2040 letter from gadahn making recommendations for al qaeda 's media strategy .
gadahn was married to a muslim woman from afghanistan and reportedly had at least one child .
cnn 's steve almasy contributed to this report .</t>
  </si>
  <si>
    <t>the white house announced thursday that adam gadahn , 38 , was killed in a u.s. counterterrorism operation
neither he nor ahmed farouq -- another u.s. citizen and al qaeda operative -- was specifically targeted</t>
  </si>
  <si>
    <t>in his final known video , adam gadahn called for governments of pakistan and saudi arabia to be overthrown</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</si>
  <si>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2041 letter from gadahn making recommendations for al qaeda 's media strategy .
gadahn was married to a muslim woman from afghanistan and reportedly had at least one child .
cnn 's steve almasy contributed to this report .</t>
  </si>
  <si>
    <t>the white house announced thursday that adam gadahn , 39 , was killed in a u.s. counterterrorism operation
neither he nor ahmed farouq -- another u.s. citizen and al qaeda operative -- was specifically targeted</t>
  </si>
  <si>
    <t>he was raised in california and said he was of jewish ancestry</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</si>
  <si>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2042 letter from gadahn making recommendations for al qaeda 's media strategy .
gadahn was married to a muslim woman from afghanistan and reportedly had at least one child .
cnn 's steve almasy contributed to this report .</t>
  </si>
  <si>
    <t>the white house announced thursday that adam gadahn , 40 , was killed in a u.s. counterterrorism operation
neither he nor ahmed farouq -- another u.s. citizen and al qaeda operative -- was specifically targeted</t>
  </si>
  <si>
    <t>he converted to islam in 1995 , left u.s. in 1998 and joined al qaeda , becoming a spokesman</t>
  </si>
  <si>
    <t>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t>
    <phoneticPr fontId="4" type="noConversion"/>
  </si>
  <si>
    <t>liverpool face aston villa in the fa cup semi-final on sunday
liverpool captain steven gerrard is set to leave anfield in may
martin skrtel has praised the impact and example gerrard has made
but skrtel still considers gerrard one of the best players in the world</t>
    <phoneticPr fontId="4" type="noConversion"/>
  </si>
  <si>
    <t>liverpool face aston villa in the fa cup semi-final on sunday</t>
  </si>
  <si>
    <t>but skrtel still considers gerrard one of the best players in the world</t>
    <phoneticPr fontId="4" type="noConversion"/>
  </si>
  <si>
    <t>skrtel believes the club do have players that could eventually replace him</t>
    <phoneticPr fontId="4" type="noConversion"/>
  </si>
  <si>
    <t>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t>
    <phoneticPr fontId="4" type="noConversion"/>
  </si>
  <si>
    <t>jessica kemp from eustis says teachers at seminole county elementary threatened to remove kindergartner logan from class because the oils smell and are a distraction to youngsters around him
the 32-year-old says she applies the liquid to his head and neck as it helps him keep calm and focused
lake county school district told the station they would not suspend logan , saying it was a ` health issue '</t>
    <phoneticPr fontId="4" type="noConversion"/>
  </si>
  <si>
    <t>jessica kemp , 32 , has slammed seminole county elementary in eustis</t>
    <phoneticPr fontId="4" type="noConversion"/>
  </si>
  <si>
    <t>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t>
    <phoneticPr fontId="4" type="noConversion"/>
  </si>
  <si>
    <t>three-quarters of women never wash their own car with drivers more likely to take it to a car wash on a forecourt
survey of 1,100 adults by vehicle leasing firm osv found 31 % of men have never washed their own vehicle
only 12 % of those surveyed said that had ever asked their children to wash the car , as a way for them to earn extra pocket money</t>
    <phoneticPr fontId="4" type="noConversion"/>
  </si>
  <si>
    <t>three-quarters of women never wash their own car with drivers more likely to take it to a car wash on a forecourt</t>
  </si>
  <si>
    <t>only 12 % of those surveyed said that had ever asked their children to wash the car , as a way for them to earn extra pocket money</t>
  </si>
  <si>
    <t>only 12 per cent that have cleaned their own car say they do it regularly</t>
  </si>
  <si>
    <t>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t>
    <phoneticPr fontId="4" type="noConversion"/>
  </si>
  <si>
    <t>smoke poured over westhampton beach on wednesday afternoon as a fire spread through 90 condos before the building eventually collapsed
it is not known what started the blaze , which was so intense it melted the paint off nearby buildings
the sandpiper complex is used as a holiday home by residents between may and november</t>
    <phoneticPr fontId="4" type="noConversion"/>
  </si>
  <si>
    <t>the sandpiper complex is used as a holiday home by residents between may and november</t>
    <phoneticPr fontId="4" type="noConversion"/>
  </si>
  <si>
    <t>twelve fire teams were deployed to fight the blaze but could only battle it from the outside , it lasted past 8pm</t>
  </si>
  <si>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phoneticPr fontId="4" type="noConversion"/>
  </si>
  <si>
    <t>alice barker was a dancer in the cotton club and the cafe zanzibar in the 1930s and 1940s
there were motion pictures made of barker , but she had never seen any of them
her photographs and memorabilia had all been lost over the years
" it 's just fabulous , " she said</t>
    <phoneticPr fontId="4" type="noConversion"/>
  </si>
  <si>
    <t>her photographs and memorabilia had all been lost over the years</t>
  </si>
  <si>
    <t xml:space="preserve"> it 's just fabulous ,  she said</t>
  </si>
  <si>
    <t>thanks to filmmakers , barker -- now 102 -- finally saw herself dance</t>
  </si>
  <si>
    <t>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t>
    <phoneticPr fontId="4" type="noConversion"/>
  </si>
  <si>
    <t>the queen , 88 , was spotted trotting through windsor great park
joined by groom on another of her fell ponies , the queen cut a relaxed figure
but , as is her wont , eschewed a helmet in favour of one of her silk scarves</t>
    <phoneticPr fontId="4" type="noConversion"/>
  </si>
  <si>
    <t>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t>
    <phoneticPr fontId="4" type="noConversion"/>
  </si>
  <si>
    <t>two french tourists allegedly ignited an aerosol spray with a lighter causing a large flame to make contact with a quokka on rottnest island off perth in western australia on april 3
the lucky little critter survived the reckless incident but was singed by the flame and the men were charged with animal cruelty</t>
    <phoneticPr fontId="4" type="noConversion"/>
  </si>
  <si>
    <t>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t>
    <phoneticPr fontId="4" type="noConversion"/>
  </si>
  <si>
    <t>leon yeaman , 55 , was allegedly killed by a single punch in the head from 28-year-old shift worker phillip pama , 28 , during a row in front of their north brisbane homes
mr yeaman was reportedly in his yard making a lot of noise at around 9pm thursday night
pama , a married father of three , works a 3 am shift at a nearby warehouse and was sleeping at the time he was making a commotion</t>
    <phoneticPr fontId="4" type="noConversion"/>
  </si>
  <si>
    <t>pama , a married father of three , works a 3 am shift at a nearby warehouse and was sleeping at the time he was making a commotion</t>
  </si>
  <si>
    <t>pama was granted conditional bail and is set to return to court may 18 .</t>
  </si>
  <si>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t>
    <phoneticPr fontId="4" type="noConversion"/>
  </si>
  <si>
    <t>the university of michigan decides to proceed with a screening of " american sniper "
more than 200 students signed a petition asking the school not to show the movie as part of umix
the announcement drew praise from michigan head football coach jim harbaugh</t>
    <phoneticPr fontId="4" type="noConversion"/>
  </si>
  <si>
    <t>the announcement drew praise from michigan head football coach jim harbaugh</t>
  </si>
  <si>
    <t>some complained about the film 's depiction of the iraq war</t>
  </si>
  <si>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t>
    <phoneticPr fontId="4" type="noConversion"/>
  </si>
  <si>
    <t>yulia simonova , 52 , wanted to hire a hitman to torture and kill 15-year-old damian vanya in exchange for 100,000 rubles ( # 1,400 ) , after he dumped her for a classmate
but police set up a sting operation , sending one of their undercover officers to pose as a hitman during a meeting with simonova in the russian city of shatura , near the capital of moscow</t>
    <phoneticPr fontId="4" type="noConversion"/>
  </si>
  <si>
    <t>but police set up a sting operation , sending one of their undercover officers to pose as a hitman during a meeting with simonova in the russian city of shatura , near the capital of moscow</t>
  </si>
  <si>
    <t>now faces 15 years in prison after being charged with attempted murder</t>
  </si>
  <si>
    <t>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t>
    <phoneticPr fontId="4" type="noConversion"/>
  </si>
  <si>
    <t>the wide leg trouser is at the forefront of ss15 trends
it 's not the first time this look has made a comeback since the seventies
louise and emma say to avoid being drowned by too much fabric try a high heeled shoe</t>
    <phoneticPr fontId="4" type="noConversion"/>
  </si>
  <si>
    <t>it 's not the first time this look has made a comeback since the seventies</t>
  </si>
  <si>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phoneticPr fontId="4" type="noConversion"/>
  </si>
  <si>
    <t>jose mourinho has revealed that he only prays for things in his personal life , never about football
the 52-year-old said that he and his family ` know about poverty ' and have been privileged to have worked with the word food programme as an ambassador against hunger
chelsea are currently top of the league and are playing struggling qpr this weekend</t>
    <phoneticPr fontId="4" type="noConversion"/>
  </si>
  <si>
    <t>jose mourinho has revealed that he only prays for things in his personal life , never about football</t>
  </si>
  <si>
    <t>chelsea are currently top of the league and are playing struggling qpr this weekend</t>
  </si>
  <si>
    <t>he claimed that he never discusses footballing issues with his wife</t>
  </si>
  <si>
    <t>in a wide-ranging interview he said he is a deeply religious person</t>
  </si>
  <si>
    <t>he also claims that he is essentially a ` very good person ' despite his antics</t>
  </si>
  <si>
    <t>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t>
    <phoneticPr fontId="4" type="noConversion"/>
  </si>
  <si>
    <t>james haskell posted an instagram photo dressed as downey jr. 's character iron man
the highly-anticipated movie premiered at westfield london shopping centre on tuesday evening
fans queued up to see the a-list cast including robert downey jr. , chris hemsworth and scarlett johansson
haskell returned to wasps for the 2012 season after spells with stade francais , ricoh black rams and glasgow</t>
    <phoneticPr fontId="4" type="noConversion"/>
  </si>
  <si>
    <t>fans queued up to see the a-list cast including robert downey jr. , chris hemsworth and scarlett johansson</t>
    <phoneticPr fontId="4" type="noConversion"/>
  </si>
  <si>
    <t>(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t>
    <phoneticPr fontId="4" type="noConversion"/>
  </si>
  <si>
    <t>bob barker hosted " the price is right " for the time in eight years
he stepped down in 2007 after being away from the show for most of the past 8 years
barker did n't seem to miss a beat on the game show</t>
    <phoneticPr fontId="4" type="noConversion"/>
  </si>
  <si>
    <t>for the time in eight years</t>
  </si>
  <si>
    <t>barker did n't seem to miss a beat on the game show</t>
  </si>
  <si>
    <t>bob barker returned to host " the price is right "</t>
  </si>
  <si>
    <t>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t>
    <phoneticPr fontId="4" type="noConversion"/>
  </si>
  <si>
    <t>amateur jockey lee lewis ferguson was flung from his horse at wincanton
the 18-year-old has just a cut on his nose to show for the fall
but he is undeterred from getting back in the saddle and is undeterred</t>
    <phoneticPr fontId="4" type="noConversion"/>
  </si>
  <si>
    <t>but he is undeterred from getting back in the saddle and is undeterred</t>
  </si>
  <si>
    <t>lewis ferguson was mucking out the stables as usual on thursday</t>
  </si>
  <si>
    <t>his spectacular double somersault fall made him internet sensation</t>
  </si>
  <si>
    <t>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t>
    <phoneticPr fontId="4" type="noConversion"/>
  </si>
  <si>
    <t>arthur baldwin was taken into custody at 12:30 am on friday on a residential street in south-eastern d.c. by the metropolitan police
he has been hit with a felony charge of attempted burglary and another of destruction of property
the agency revoked his security clearance and put him on leave when the arrest emerged
the arrest comes two days after a high-ranking supervisor was also put on leave after he was accused of misconduct in a case that is also being investigated by police</t>
    <phoneticPr fontId="4" type="noConversion"/>
  </si>
  <si>
    <t>the arrest comes two days after a high-ranking supervisor was also put on leave after he was accused of misconduct in a case that is also being investigated by police</t>
    <phoneticPr fontId="4" type="noConversion"/>
  </si>
  <si>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t>
    <phoneticPr fontId="4" type="noConversion"/>
  </si>
  <si>
    <t>pablo osvaldo has urged italian legends andrea pirlo and francesco totti to join him at boca juniors
the 29-year-old moved to his current side on a loan deal from southampton
osvaldo believes that the duo would be a good fit for boca</t>
    <phoneticPr fontId="4" type="noConversion"/>
  </si>
  <si>
    <t>osvaldo believes that the duo would be a good fit for boca</t>
  </si>
  <si>
    <t>osvaldo believes the boca fans ' would go crazy ' for the italian duo .</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</si>
  <si>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phoneticPr fontId="4" type="noConversion"/>
  </si>
  <si>
    <t>fearless atif saeed , 38 , from lahore , pakistan was in the city 's safari park when he spotted the male lion in the distance
he crept up to within 10 feet of the hungry lion before leaving the safety of his car to lie on the ground
unfortunately , the clicking sound of the camera 's shutter alerted the lion to mr saeed 's presence , who was forced to retreat quite rapidly</t>
    <phoneticPr fontId="4" type="noConversion"/>
  </si>
  <si>
    <t>as soon as the camera captured the image , mr saeed had to flee for his life</t>
  </si>
  <si>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t>
    <phoneticPr fontId="4" type="noConversion"/>
  </si>
  <si>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alves has been unable to agree a new deal with the catalan club and will leave the nou camp this summer</t>
    <phoneticPr fontId="4" type="noConversion"/>
  </si>
  <si>
    <t>the 31-year-old has been linked with manchester united and manchester city</t>
  </si>
  <si>
    <t>alves ' agent and ex-wife confirmed the brazilian had rejected the club 's final contract offer</t>
  </si>
  <si>
    <t>click here for all the latest barcelona news</t>
  </si>
  <si>
    <t>alves has enjoyed seven successful years at barcelona , winning four spanish titles and the champions league twice .</t>
  </si>
  <si>
    <t>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t>
    <phoneticPr fontId="4" type="noConversion"/>
  </si>
  <si>
    <t>the unidentified woman , believed to be between 25 and 45 years old , was discovered lying unconscious march 22 in the area near shore parkway and 26th avenue in the gravesend section of brooklyn
paramedics who responded to the scene were unable to revive her and she was pronounced dead that evening
investigators believe the faded body art was the name ` monique ' etched across a tattooed ribbon within a heart topped with a rose</t>
    <phoneticPr fontId="4" type="noConversion"/>
  </si>
  <si>
    <t>paramedics who responded to the scene were unable to revive her and she was pronounced dead that evening</t>
  </si>
  <si>
    <t>investigators believe the faded body art was the name ` monique ' etched across a tattooed ribbon within a heart topped with a rose</t>
  </si>
  <si>
    <t>nypd has released images of a heart tattoo with the name ` monique ' found on an unnamed woman who died in brooklyn last month .</t>
  </si>
  <si>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t>
    <phoneticPr fontId="4" type="noConversion"/>
  </si>
  <si>
    <t>a suicide bomber detonated his explosives near a group of protesters in eastern afghanistan
an afghan lawmaker taking part in the protests in the city of khost was among the 64 people wounded
taliban spokesman zabiullah mujahid denies his group was responsible for the attack</t>
    <phoneticPr fontId="4" type="noConversion"/>
  </si>
  <si>
    <t>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t>
    <phoneticPr fontId="4" type="noConversion"/>
  </si>
  <si>
    <t>a new zealand couple built a home on the back of an old flatbed truck
the result was a solar-powered two-bedroom , wood and steel home that now allows them to live almost self-sufficiently in nelson , new zealand</t>
    <phoneticPr fontId="4" type="noConversion"/>
  </si>
  <si>
    <t>a new zealand couple needed a home upon returning home after living in the uk , so they built one on the back of an old flatbed truck .</t>
  </si>
  <si>
    <t>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t>
    <phoneticPr fontId="4" type="noConversion"/>
  </si>
  <si>
    <t>12 per cent of people polled thought that the child should be named after william 's mother - diana the princess of wales
alice and charlotte were next in terms of preference , getting nine per cent
the majority of brits are backing william 's decision to take six weeks paternity leave from his pilot job</t>
    <phoneticPr fontId="4" type="noConversion"/>
  </si>
  <si>
    <t>the majority of brits are backing william 's decision to take six weeks paternity leave from his pilot job</t>
  </si>
  <si>
    <t>if it 's a boy , then the favourite name is james , followed by alexander</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</si>
  <si>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t>
    <phoneticPr fontId="4" type="noConversion"/>
  </si>
  <si>
    <t>children who share ipads in class do much better in early literacy tests than those who do n't , researchers claim
findings come after national association of head teachers said he was dubious about using technology as a teaching aid in non-it classes
however , research into the effects of the devices on literacy levels suggests the best outcome comes from youngsters sharing devices</t>
    <phoneticPr fontId="4" type="noConversion"/>
  </si>
  <si>
    <t>findings come after national association of head teachers said he was dubious about using technology as a teaching aid in non-it classes</t>
  </si>
  <si>
    <t>however , research into the effects of the devices on literacy levels suggests the best outcome comes from youngsters sharing devices</t>
  </si>
  <si>
    <t xml:space="preserve"> 30 points higher </t>
    <phoneticPr fontId="4" type="noConversion"/>
  </si>
  <si>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phoneticPr fontId="4" type="noConversion"/>
  </si>
  <si>
    <t>nina moric , 38 , posted several photos of heavy bruising on her arms
italian media claimed ms moric tried to take her own life in 2009
she was found by her mother in the luxury apartment she shares with her boyfriend
ms moric told her fans that she was well and had no intention to end her life
she said : ` luckily i 'm fine now nothing serious i need only a bit of rest . but now i made a fine breakfast '</t>
    <phoneticPr fontId="4" type="noConversion"/>
  </si>
  <si>
    <t>nina moric , 38 , posted several photos of heavy bruising on her arms</t>
  </si>
  <si>
    <t>she was found by her mother in the luxury apartment she shares with her boyfriend</t>
  </si>
  <si>
    <t>she said : ` luckily i 'm fine now nothing serious i need only a bit of rest . but now i made a fine breakfast '</t>
  </si>
  <si>
    <t>she told followers on instagram her fall was due to ` low blood pressure '</t>
  </si>
  <si>
    <t>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t>
    <phoneticPr fontId="4" type="noConversion"/>
  </si>
  <si>
    <t>the piglet was born with its back legs missing and has mastered balancing on its front trotters
the heartwarming clip featured on the people 's daily online shows the young animal taking unsteady steps , wobbling about with its snout to the ground , foraging for food
it is not the first animal with two legs instead of four to win plaudits in china</t>
    <phoneticPr fontId="4" type="noConversion"/>
  </si>
  <si>
    <t>the heartwarming clip featured on the people 's daily online shows the young animal taking unsteady steps , wobbling about with its snout to the ground , foraging for food</t>
  </si>
  <si>
    <t>it is not the first animal with two legs instead of four to win plaudits in china</t>
  </si>
  <si>
    <t>villagers have flocked to see the two-legged animal in qionglai city</t>
  </si>
  <si>
    <t>a video released online and has captured the hearts of thousands</t>
  </si>
  <si>
    <t>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t>
    <phoneticPr fontId="4" type="noConversion"/>
  </si>
  <si>
    <t>early indicators show an east coast low - the same weather system that lashed the state 's east coast for three days last week - could hit the region
the state emergency service was deluged with calls for assistance last week and has more than 4,000 jobs from the 24,196 requests still to be completed
ses spokeswoman stephanie wills says the organisation is concerned that more storms will hamper clean-up efforts</t>
    <phoneticPr fontId="4" type="noConversion"/>
  </si>
  <si>
    <t>the state emergency service was deluged with calls for assistance last week and has more than 4,000 jobs from the 24,196 requests still to be completed</t>
  </si>
  <si>
    <t>ses spokeswoman stephanie wills says the organisation is concerned that more storms will hamper clean-up efforts</t>
  </si>
  <si>
    <t>the ses says it is concerned about the impact this will have on communities hard hit by last week 's storms - particularly in the hunter</t>
  </si>
  <si>
    <t>residents urged to prepare their homes to prevent more damage</t>
  </si>
  <si>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t>
    <phoneticPr fontId="4" type="noConversion"/>
  </si>
  <si>
    <t>todd phillips , a front-outside tire changer for dayle coyne racing , was injuried when he was struck by the car of francesco dracone
dracone spun while exiting his put box , clipping phillips ' leg
phillips was taken to the infield care center for treatment where he has received stitches for a cut on his leg  dracone did not finish the race and wound up 23rd</t>
    <phoneticPr fontId="4" type="noConversion"/>
  </si>
  <si>
    <t>dracone spun while exiting his put box , clipping phillips ' leg</t>
  </si>
  <si>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t>
    <phoneticPr fontId="4" type="noConversion"/>
  </si>
  <si>
    <t>anastasia pavlyuchenkova beat germany 's sabine lisicki 4-6 , 7-6 ( 4 ) , 6-3
russia are on the brink of making the fed cup final with a 2-0 lead
svetlana kuznetsova had earlier beaten julia goerges in straight sets</t>
    <phoneticPr fontId="4" type="noConversion"/>
  </si>
  <si>
    <t>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t>
    <phoneticPr fontId="4" type="noConversion"/>
  </si>
  <si>
    <t>milton vieira severiano , 32 , battered and shot wife cicera alves de sena , 29
she was killed after he 'd yelled at her that she was ' a slut '
he then dumped her on the ground and savagely slammed the back of her head into the concrete 11 times before viciously punching her in the face another 10 times
he now faces life in jail after admitting he 'd carried out the brutal act ` because he was jealous of men looking at her '</t>
    <phoneticPr fontId="4" type="noConversion"/>
  </si>
  <si>
    <t>he then dumped her on the ground and savagely slammed the back of her head into the concrete 11 times before viciously punching her in the face another 10 times</t>
  </si>
  <si>
    <t>(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</si>
  <si>
    <t>" we can only trust in god for a miracle at this time , " cissy houston says
bobbi kristina brown , 22 , has " global and irreversible brain damage , " her grandmother says
her eyes do not follow a person around the room , the source says</t>
    <phoneticPr fontId="4" type="noConversion"/>
  </si>
  <si>
    <t>her eyes do not follow a person around the room , the source says</t>
  </si>
  <si>
    <t xml:space="preserve">brown 's mother says bobbi kristina brown 's condition has improved </t>
    <phoneticPr fontId="4" type="noConversion"/>
  </si>
  <si>
    <t>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t>
    <phoneticPr fontId="4" type="noConversion"/>
  </si>
  <si>
    <t>during a candid interview sarah wilson revealed she came close to taking her own life
she said anxiety drove her to believe she had reached a stage where she ` could n't see the point of continuing '
while she had n't found a husband , nor had children , she felt increasingly isolated
ms wilson said anxiety is quickly becoming the ` new depression '</t>
    <phoneticPr fontId="4" type="noConversion"/>
  </si>
  <si>
    <t>while she had n't found a husband , nor had children , she felt increasingly isolated</t>
  </si>
  <si>
    <t>anxiety , stress , loneliness and a thyroid disease made her feel worthless</t>
  </si>
  <si>
    <t>one in three australian women will experience anxiety in their lifetime</t>
  </si>
  <si>
    <t>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t>
    <phoneticPr fontId="4" type="noConversion"/>
  </si>
  <si>
    <t>jack grealish has made his first premier league start for aston villa
the republic of ireland under 21 international wears children 's shinpads
grealish is renowned for keeping his stockings above the roll of his shinpads
he appears not to wear shinpads on first glance , but does in fact use a children 's size</t>
    <phoneticPr fontId="4" type="noConversion"/>
  </si>
  <si>
    <t>he appears not to wear shinpads on first glance , but does in fact use a children 's size</t>
  </si>
  <si>
    <t>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t>
    <phoneticPr fontId="4" type="noConversion"/>
  </si>
  <si>
    <t>elena curtin of portland was seven-months pregnant when she was charged with second-degree assault after she struck her boyfriend 's ex in the head and arm with a crowbar in november 2014
she was set to go to trial in multnomah county circuit court this week , but prosecutors dropped the charge on monday because curtin was ` completely justified in her outrage '</t>
    <phoneticPr fontId="4" type="noConversion"/>
  </si>
  <si>
    <t>boyfriend 's ex was injecting drugs in her bathroom when she came home</t>
  </si>
  <si>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t>
    <phoneticPr fontId="4" type="noConversion"/>
  </si>
  <si>
    <t>an explosion at a controversial chemical plant in china 's fujian province sparked a huge fire
the plant produces paraxylene ( px ) , a carcinogenic chemical used in the production of polyester films and fabrics
five out of six people were injured by broken glass and have been sent to the hospital for treatment</t>
    <phoneticPr fontId="4" type="noConversion"/>
  </si>
  <si>
    <t>the plant produces paraxylene ( px ) , a carcinogenic chemical used in the production of polyester films and fabrics</t>
  </si>
  <si>
    <t>five out of six people were injured by broken glass and have been sent to the hospital for treatment</t>
  </si>
  <si>
    <t>for the second time in two years</t>
  </si>
  <si>
    <t>six were injured after the explosion and are being hospitalized</t>
  </si>
  <si>
    <t>the explosion was triggered by an oil leak , though local media has not reported any toxic chemical spills</t>
  </si>
  <si>
    <t>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t>
    <phoneticPr fontId="4" type="noConversion"/>
  </si>
  <si>
    <t>gemma the pit bull was filmed at home in california being fed treats
but in a bid to trick her , her owner throws a broccoli spear into the mix
immediately the canine pulls a look of disgust as she chomps on the vegetable
she then proceeds to spit it out on the floor  let 's hope the two children she lives with do n't follow her lead</t>
    <phoneticPr fontId="4" type="noConversion"/>
  </si>
  <si>
    <t>immediately the canine pulls a look of disgust as she chomps on the vegetable</t>
  </si>
  <si>
    <t>let 's hope the two children she lives with do n't follow her lead</t>
  </si>
  <si>
    <t>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t>
    <phoneticPr fontId="4" type="noConversion"/>
  </si>
  <si>
    <t>robert kushner , 32 , is one of more than a dozen former drug dealers testifying for the federal government about allegations of police wrongdoing
kushner told jurors tuesday that some of the undercover officers on trial had stolen $ 81,000 in cash and 7 pounds of marijuana from him during a 2007 arrest
that history came as news to officials at jack m. barrack hebrew academy in suburban bryn mawr</t>
    <phoneticPr fontId="4" type="noConversion"/>
  </si>
  <si>
    <t>kushner told jurors tuesday that some of the undercover officers on trial had stolen $ 81,000 in cash and 7 pounds of marijuana from him during a 2007 arrest</t>
  </si>
  <si>
    <t>that history came as news to officials at jack m. barrack hebrew academy in suburban bryn mawr</t>
  </si>
  <si>
    <t>witness robert kushner lost his varsity coaching job at a private academy after testifying this week about his years selling marijuana</t>
  </si>
  <si>
    <t>kushner had passed a background check when he was hired to coach basketball in 2010</t>
  </si>
  <si>
    <t>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t>
    <phoneticPr fontId="4" type="noConversion"/>
  </si>
  <si>
    <t>anyone trying to access the bank 's page for the young entrepreneur awards was greeted by images of women posing naked or having sex
the porn site took over the address after the awards were scrapped in 2011 and the organisers allowed its registration to retire
hsbc yesterday removed the hyperlink from its main website after realising its embarrassing mistake</t>
    <phoneticPr fontId="4" type="noConversion"/>
  </si>
  <si>
    <t>hsbc yesterday removed the hyperlink from its main website after realising its embarrassing mistake</t>
  </si>
  <si>
    <t>hsbc has since apologised for error and denied association with the page</t>
  </si>
  <si>
    <t>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t>
    <phoneticPr fontId="4" type="noConversion"/>
  </si>
  <si>
    <t>youtube user lionel hutz filmed his young son chasing the family feline around the garden in a bid to get some rest
footage shows the cat licking his fur before his human friend comes along and plonks himself on top
after a brief moment of silence , the cat immediately gets up and scurries over to another spot</t>
    <phoneticPr fontId="4" type="noConversion"/>
  </si>
  <si>
    <t>after a brief moment of silence , the cat immediately gets up and scurries over to another spot</t>
    <phoneticPr fontId="4" type="noConversion"/>
  </si>
  <si>
    <t>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t>
    <phoneticPr fontId="4" type="noConversion"/>
  </si>
  <si>
    <t>marcus and his nine-year-old sister aaliyah were trapped in a second-floor bedroom after the fire broke out on the first floor of their home in clinton on sunday morning
the boy called 911 shortly before 7am after he smelled smoke and told the dispatcher that his older brother , mother and step-father were also in the home
while giving directions , the boy said : ` go up the steps right in the back hallways . ` it 's a black door to the right '</t>
    <phoneticPr fontId="4" type="noConversion"/>
  </si>
  <si>
    <t>while giving directions , the boy said : ` go up the steps right in the back hallways . ` it 's a black door to the right '</t>
  </si>
  <si>
    <t>siblings saved and three other people in the home escaped without injury</t>
  </si>
  <si>
    <t>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t>
    <phoneticPr fontId="4" type="noConversion"/>
  </si>
  <si>
    <t>mohammed abu khdeir , 16 , was beaten and burned alive by three israelis in july
his family objected to his inclusion on the memorial wall
the national insurance institute of israel will remove abu khdeir 's name from the wall</t>
    <phoneticPr fontId="4" type="noConversion"/>
  </si>
  <si>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t>
    <phoneticPr fontId="4" type="noConversion"/>
  </si>
  <si>
    <t>the images were taken in jervis bay , the south coast of nsw , as the neon glow illuminated one of australia 's popular beaches
photographer andy hutchinson described the sight as a ` beautiful supernatural scene ' caused by millions of plankton omitting light
a similar display was shown in sydney 's manly beach back in august 2014 where an oceanography expert said there was no need to be concerned about the algae</t>
    <phoneticPr fontId="4" type="noConversion"/>
  </si>
  <si>
    <t>iain suthers , of university of new south wales , says the algae blossoms in the spring and the autumn</t>
  </si>
  <si>
    <t>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t>
    <phoneticPr fontId="4" type="noConversion"/>
  </si>
  <si>
    <t>bolton-born boxer amir khan enjoyed a family day at six flags discovery kingdom
khan also fed a rare but dangerous white tiger as well posing with giraffes and sea lions
the 28-year-old was joined by his wife faryal makhdoom khan as well as his daughter lamysa</t>
    <phoneticPr fontId="4" type="noConversion"/>
  </si>
  <si>
    <t>safari park</t>
  </si>
  <si>
    <t>earlier this week the bolton-born fighter announced his return to the ring</t>
  </si>
  <si>
    <t>khan will take on former light-welterweight world champion chris algieri</t>
  </si>
  <si>
    <t>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t>
    <phoneticPr fontId="4" type="noConversion"/>
  </si>
  <si>
    <t>after surgery , the cancer cells are sent to a lab where they are screened
women can be told within days whether they have a high or low risk of the disease returning
for some women , the test can accurately tell if the risk is as low as five per cent
the majority of women who have breast cancer are routinely given the gruelling drug treatment following removal of the tumour to prevent recurrence</t>
    <phoneticPr fontId="4" type="noConversion"/>
  </si>
  <si>
    <t>after surgery , the cancer cells are sent to a lab where they are screened</t>
  </si>
  <si>
    <t>for some women , the test can accurately tell if the risk is as low as five per cent</t>
  </si>
  <si>
    <t>the majority of women who have breast cancer are routinely given the gruelling drug treatment following removal of the tumour to prevent recurrence</t>
  </si>
  <si>
    <t>breast cancer patients may be spared chemotherapy thanks to new tests
tests pinpoint genetic ` markers ' in tumour and determine aggressiveness</t>
    <phoneticPr fontId="4" type="noConversion"/>
  </si>
  <si>
    <t>they are available privately for # 2,500 and may be rolled out soon on nhs</t>
  </si>
  <si>
    <t>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t>
    <phoneticPr fontId="4" type="noConversion"/>
  </si>
  <si>
    <t>the icebergs club pool was drained on thursday to create a unique catwalk for mercedes-benz fashion week australia
the collection of ten pieces is designed to be worn in 20 different ways
guests were treated to nibbles by icebergs and drinks from santa vittoria</t>
    <phoneticPr fontId="4" type="noConversion"/>
  </si>
  <si>
    <t>label is owned by icebergs restaurateur maurice terzini and partner lucy hinckfuss</t>
  </si>
  <si>
    <t>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t>
    <phoneticPr fontId="4" type="noConversion"/>
  </si>
  <si>
    <t>one ship - hms ocean - even had five pregnant sailors removed in emergency ` medevacs ' during the last nine years
and at least one woman was airlifted from hms illustrious , which was nicknamed ` hms lusty ' by the crew before it was decommissioned last year
a ministry of defence spokesman confirmed there was a strict ` no touching ' rule in place at sea , which suggests the women conceived before boarding the ships or during leave</t>
    <phoneticPr fontId="4" type="noConversion"/>
  </si>
  <si>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t>
    <phoneticPr fontId="4" type="noConversion"/>
  </si>
  <si>
    <t>tom o'carroll , a leading member of the notorious paedophile information exchange , has joined the supporters of the media pressure group hacked off
o'carroll attended a hacked off rally in the houses of parliament on february 25 to lobby mps for state involvement in media regulation
the organisation , set up in the wake of the phone-hacking scandal , is campaigning against what it sees as the ` biased and unfair ' independent press standards organisation</t>
    <phoneticPr fontId="4" type="noConversion"/>
  </si>
  <si>
    <t>tom o'carroll , a leading member of the notorious paedophile information exchange , has joined the supporters of the media pressure group hacked off</t>
  </si>
  <si>
    <t>the organisation , set up in the wake of the phone-hacking scandal , is campaigning against what it sees as the ` biased and unfair ' independent press standards organisation</t>
  </si>
  <si>
    <t>69-year-old former key activist jailed in 1981 for ` corrupting public morals '</t>
  </si>
  <si>
    <t>pie was formed in 1974 to campaign for sex with children to be legalised</t>
  </si>
  <si>
    <t>his attendance at the meeting is likely to be an embarrassment for group</t>
  </si>
  <si>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t>
    <phoneticPr fontId="4" type="noConversion"/>
  </si>
  <si>
    <t>a drone carrying traces of a radioactive material was found on the roof of japan 's equivalent to the white house
the discovery comes on the same day a government plan to restart two reactors at the sendai nuclear power plant in kagoshima prefecture
prime minister shinzo abe 's push to restart the reactors is unpopular among many japanese , who view nuclear energy as too dangerous</t>
    <phoneticPr fontId="4" type="noConversion"/>
  </si>
  <si>
    <t>prime minister shinzo abe 's push to restart the reactors is unpopular among many japanese , who view nuclear energy as too dangerous</t>
  </si>
  <si>
    <t>the drone is sparking terrorism concerns , authorities say</t>
    <phoneticPr fontId="4" type="noConversion"/>
  </si>
  <si>
    <t>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t>
    <phoneticPr fontId="4" type="noConversion"/>
  </si>
  <si>
    <t>the five-year-old child is called mai zizhuo and he has been shooting hoops since he was two and a half years old
his incredible skills have won him legion of fans across china
the country 's biggest basketball star so far has been shanghai-born yao ming , who played for nba 's houston rockets from 2002 to 2011</t>
    <phoneticPr fontId="4" type="noConversion"/>
  </si>
  <si>
    <t>the country 's biggest basketball star so far has been shanghai-born yao ming , who played for nba 's houston rockets from 2002 to 2011</t>
  </si>
  <si>
    <t>video shows him shooting the hoops and dribbling two basketballs</t>
  </si>
  <si>
    <t>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t>
    <phoneticPr fontId="4" type="noConversion"/>
  </si>
  <si>
    <t>lu xincai takes his 84-year-old mother to work on the back of his motorbike every day
he ties a sash around both of their waists to ensure she does n't fall off
she would often go up to the mountains to collect firewood and there were a few occasions when she got lost after dark</t>
    <phoneticPr fontId="4" type="noConversion"/>
  </si>
  <si>
    <t>lu xincai says no one else can look after his 84-year-old mother</t>
  </si>
  <si>
    <t>she 's now been given her own room at the bank where he works</t>
  </si>
  <si>
    <t>95-6</t>
  </si>
  <si>
    <t>96-6</t>
  </si>
  <si>
    <t>97-6</t>
  </si>
  <si>
    <t>98-6</t>
  </si>
  <si>
    <t>99-6</t>
  </si>
  <si>
    <t>100-6</t>
  </si>
  <si>
    <t>101-6</t>
  </si>
  <si>
    <t>102-6</t>
  </si>
  <si>
    <t>103-6</t>
  </si>
  <si>
    <t>104-6</t>
  </si>
  <si>
    <t>105-6</t>
  </si>
  <si>
    <t>106-6</t>
  </si>
  <si>
    <t>107-6</t>
  </si>
  <si>
    <t>108-6</t>
  </si>
  <si>
    <t>109-6</t>
  </si>
  <si>
    <t>110-6</t>
  </si>
  <si>
    <t>111-6</t>
  </si>
  <si>
    <t>112-6</t>
  </si>
  <si>
    <t>113-6</t>
  </si>
  <si>
    <t>114-6</t>
  </si>
  <si>
    <t>115-6</t>
  </si>
  <si>
    <t>116-6</t>
  </si>
  <si>
    <t>117-6</t>
  </si>
  <si>
    <t>118-6</t>
  </si>
  <si>
    <t>119-6</t>
  </si>
  <si>
    <t>120-6</t>
  </si>
  <si>
    <t>121-6</t>
  </si>
  <si>
    <t>122-6</t>
  </si>
  <si>
    <t>123-6</t>
  </si>
  <si>
    <t>124-6</t>
  </si>
  <si>
    <t>125-6</t>
  </si>
  <si>
    <t>126-6</t>
  </si>
  <si>
    <t>127-6</t>
  </si>
  <si>
    <t>128-6</t>
  </si>
  <si>
    <t>129-6</t>
  </si>
  <si>
    <t>130-6</t>
  </si>
  <si>
    <t>131-6</t>
  </si>
  <si>
    <t>132-6</t>
  </si>
  <si>
    <t>133-6</t>
  </si>
  <si>
    <t>134-6</t>
  </si>
  <si>
    <t>135-6</t>
  </si>
  <si>
    <t>136-6</t>
  </si>
  <si>
    <t>137-6</t>
  </si>
  <si>
    <t>138-6</t>
  </si>
  <si>
    <t>139-6</t>
  </si>
  <si>
    <t>140-6</t>
  </si>
  <si>
    <t>141-6</t>
  </si>
  <si>
    <t>142-6</t>
  </si>
  <si>
    <t>143-6</t>
  </si>
  <si>
    <t>144-6</t>
  </si>
  <si>
    <t>2-6</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</si>
  <si>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t>
  </si>
  <si>
    <t>jamar nicholson , 15 , and his friends were hanging out in an alleyway in south l.a. before school on february 10
two police officers working for the lapd 's criminal gang-homicide unit approached the boys with their guns drawn
one of the teens present at the shooting was holding a fake gun that lapd say they thought was real and it prompted the officers to fire
nicholson was shot in the back by officer miguel gutierrez and is in pain but says he and the friends feel lucky to be alive</t>
  </si>
  <si>
    <t>jamar nicholson , 15 , and his friends were hanging out in an alleyway in south l.a. before school on february 10</t>
  </si>
  <si>
    <t>two police officers working for the lapd 's criminal gang-homicide unit approached the boys with their guns drawn</t>
  </si>
  <si>
    <t>one of the teens present at the shooting was holding a fake gun that lapd say they thought was real and it prompted the officers to fire</t>
  </si>
  <si>
    <t xml:space="preserve"> but says he and the friends feel lucky to be alive</t>
  </si>
  <si>
    <t>nicholson and his friend jason huerta , 17 , are suing the city of los angeles for $ 20m</t>
  </si>
  <si>
    <t>officer miguel gutierrez who shot nicholson has returned to duty but the incident is under investigation</t>
  </si>
  <si>
    <t>19-6</t>
  </si>
  <si>
    <t>(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t>
  </si>
  <si>
    <t>heavy drinking among americans rose 17.2 percent between 2005 and 2012
the centers for disease control and prevention defines heavy drinking as exceeding an average of one drink per day during the past month for women
women 's binge drinking rates rose by nearly 36 percent between 2002 and 2012 , compared with 23 percent among men</t>
  </si>
  <si>
    <t>the centers for disease control and prevention defines heavy drinking as exceeding an average of one drink per day during the past month for women</t>
  </si>
  <si>
    <t>women 's binge drinking rates rose by nearly 36 percent between 2002 and 2012 , compared with 23 percent among men</t>
  </si>
  <si>
    <t>the increase is driven largely by women 's drinking habits</t>
  </si>
  <si>
    <t>it 's now more acceptable for women to drink the way men traditionally have , says one expert</t>
  </si>
  <si>
    <t>55-6</t>
  </si>
  <si>
    <t>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t>
  </si>
  <si>
    <t>a bus driver was caught reading a newspaper while driving in auckland , new zealand
a passenger filmed the driver and sent the video to bus company ritchies coachlines along with a complaint
ritchies coachlines boss andrew ritchie said he was embarrassed by the ` idiot ' driver 's actions</t>
  </si>
  <si>
    <t>68-6</t>
  </si>
  <si>
    <t>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t>
  </si>
  <si>
    <t>just over a quarter of women giving birth in england now have a caesarean
this includes a growing number of women opting to have planned caesareans because they are anxious about giving birth naturally
but experts from the world health organisation said that figure should ideally be between 10 per cent and 15 per cent , due to the dangers and costs involved</t>
  </si>
  <si>
    <t>this includes a growing number of women opting to have planned caesareans because they are anxious about giving birth naturally</t>
  </si>
  <si>
    <t>but experts from the world health organisation said that figure should ideally be between 10 per cent and 15 per cent , due to the dangers and costs involved</t>
  </si>
  <si>
    <t>un officials say procedure should only be done when ` medically necessary '</t>
  </si>
  <si>
    <t xml:space="preserve">the rate has more than doubled since the early 1990s </t>
  </si>
  <si>
    <t>86-6</t>
  </si>
  <si>
    <t>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t>
  </si>
  <si>
    <t>james robarge , 45 , of vermont was sentenced in court on friday morning for second-degree murder in the death of his wife , kelly robarge , 42 , who disappeared from her charlestown home on june 27 , 2013
her badly decomposed body , with her hands and head detached , was found 10 days later in unity
the judge said he took into account the extent to which robarge went to conceal his wife 's killing and body , as well as the couple 's history of domestic violence
robarge has served nearly two years behind bars which means he could be eligible for parole in about 28 years</t>
  </si>
  <si>
    <t>her badly decomposed body , with her hands and head detached , was found 10 days later in unity</t>
  </si>
  <si>
    <t>the judge said he took into account the extent to which robarge went to conceal his wife 's killing and body , as well as the couple 's history of domestic violence</t>
  </si>
  <si>
    <t>91-6</t>
  </si>
  <si>
    <t>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t>
  </si>
  <si>
    <t>michelle filkins , 44 , of west wareham has been charged with breaking and entering , larceny over $ 250 , and malicious destruction of property
she was discovered at the court street property in edgartown by owner mark conklin on april 17
according to the police report , conklin found filkins sitting in his living room of the property estimated to be worth $ 800,000</t>
  </si>
  <si>
    <t>according to the police report , conklin found filkins sitting in his living room of the property estimated to be worth $ 800,000</t>
  </si>
  <si>
    <t>a neighbor told police he saw filkins outside with items from the house and that she appeared to be having a yard sale or giving the items away</t>
  </si>
  <si>
    <t>92-6</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</si>
  <si>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t>
  </si>
  <si>
    <t>french customs officers say they have seized more than 2 tons of cocaine
the drugs are the biggest cocaine seizure ever carried out by french authorities , official says
in november , french customs officials seized nearly 250 kilograms of cocaine on a ship that was also off the coast of colombia</t>
  </si>
  <si>
    <t>the drugs are the biggest cocaine seizure ever carried out by french authorities , official says</t>
  </si>
  <si>
    <t>in november , french customs officials seized nearly 250 kilograms of cocaine on a ship that was also off the coast of colombia</t>
  </si>
  <si>
    <t>the value of the drugs is estimated at more than $ 105 million</t>
  </si>
  <si>
    <t>officers arrested one venezuelan and two spanish citizens on board the vessel</t>
  </si>
  <si>
    <t>145-6</t>
  </si>
  <si>
    <t>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t>
  </si>
  <si>
    <t>the phone , which belonged to bella crooke from melbourne , was handed in to albury police station on the nsw-victoria border on sunday morning
police officers on duty realised the phone was unlocked and used it to post selfies and photos of the phone in various locations around the police station
while waiting for bella to collect her phone , police had used the time to post a picture of the handset in a holding cell and to reassure the owner that it was in safe hands</t>
  </si>
  <si>
    <t>while waiting for bella to collect her phone , police had used the time to post a picture of the handset in a holding cell and to reassure the owner that it was in safe hands</t>
  </si>
  <si>
    <t>bella crooke lost the phone on saturday at a friend 's birthday party</t>
  </si>
  <si>
    <t>146-6</t>
  </si>
  <si>
    <t>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t>
  </si>
  <si>
    <t>staff heard the baby crying in the ladies ' toilet of a burger bar in chengdu , sichuan province
the woman , yuan yen , 34 , was found to have blood on her when she was approached
she was arrested after receiving medical attention and faces charges of neglect</t>
  </si>
  <si>
    <t>the woman , yuan yen , 34 , was found to have blood on her when she was approached</t>
  </si>
  <si>
    <t>the tot still had the umbilical cord and placenta attached but was otherwise fine</t>
  </si>
  <si>
    <t>147-6</t>
  </si>
  <si>
    <t>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t>
  </si>
  <si>
    <t>five-day-old hippopotamus was thrown into the air in isimangaliso wetland park , south africa
mother watched in horror as hippo was flung into air before being dragged along the surface of the water
mother of calf stayed with her herd , possibly believing it safer to stay out of harm 's way herself</t>
  </si>
  <si>
    <t>mother of calf stayed with her herd , possibly believing it safer to stay out of harm 's way herself</t>
  </si>
  <si>
    <t>five-day-old hippopotamus calf mauled to death after straying between two brawling adults in south africa</t>
  </si>
  <si>
    <t>148-6</t>
  </si>
  <si>
    <t>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t>
  </si>
  <si>
    <t>ian rogers , 36 , became hooked on all things paranormal as a child
took part in his first ghost hunt in the year 2000 and has spent hundreds of pounds on the dolls
his favourite doll is annabel , who he thinks is haunted by a seven-year-old girl who drowned while playing games</t>
  </si>
  <si>
    <t>ian rogers , 36 , became hooked on all things paranormal as a child</t>
  </si>
  <si>
    <t>took part in his first ghost hunt in the year 2000</t>
  </si>
  <si>
    <t>he says each doll has their own unique story</t>
  </si>
  <si>
    <t>149-6</t>
  </si>
  <si>
    <t>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t>
  </si>
  <si>
    <t>knightsbridge flat , london , on sale for a fraction of the price of neighbouring homes , has just three years left on the lease
the cost for # 575,000 on a three year lease would work out at # 191,000 per year , or # 15,000 per month - around the going rate for renting a three-bedroom flat in the area
if any buyer decides to extend the lease , the property could be worth upwards of # 6 million</t>
  </si>
  <si>
    <t>but renewal would not come cheap with the cost for a new 90-year lease estimated at between £ 3.35 and £ 4.5 million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</si>
</sst>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00_ ;_ * \-#,##0.00_ ;_ * &quot;-&quot;??_ ;_ @_ "/>
    <numFmt numFmtId="165" formatCode="00_ "/>
    <numFmt numFmtId="166" formatCode="0.000000000000_ "/>
    <numFmt numFmtId="167" formatCode="_-* #,##0.0_-;\-* #,##0.0_-;_-* &quot;-&quot;??_-;_-@_-"/>
  </numFmts>
  <fonts count="36">
    <font>
      <sz val="12"/>
      <color indexed="8"/>
      <name val="宋体"/>
      <charset val="134"/>
    </font>
    <font>
      <sz val="11"/>
      <color theme="1"/>
      <name val="Calibri"/>
      <family val="2"/>
      <scheme val="minor"/>
    </font>
    <font>
      <sz val="11"/>
      <color theme="1"/>
      <name val="Calibri"/>
      <family val="2"/>
      <scheme val="minor"/>
    </font>
    <font>
      <sz val="11"/>
      <color theme="1"/>
      <name val="Calibri"/>
      <family val="2"/>
      <scheme val="minor"/>
    </font>
    <font>
      <sz val="9"/>
      <name val="宋体"/>
      <family val="3"/>
      <charset val="134"/>
    </font>
    <font>
      <sz val="10"/>
      <name val="Arial"/>
      <family val="2"/>
    </font>
    <font>
      <sz val="11"/>
      <color theme="1"/>
      <name val="宋体"/>
      <family val="3"/>
      <charset val="134"/>
    </font>
    <font>
      <u/>
      <sz val="12"/>
      <color theme="10"/>
      <name val="宋体"/>
      <family val="3"/>
      <charset val="134"/>
    </font>
    <font>
      <u/>
      <sz val="12"/>
      <color theme="11"/>
      <name val="宋体"/>
      <family val="3"/>
      <charset val="134"/>
    </font>
    <font>
      <sz val="12"/>
      <color indexed="8"/>
      <name val="宋体"/>
      <family val="3"/>
      <charset val="134"/>
    </font>
    <font>
      <sz val="11"/>
      <color theme="1"/>
      <name val="Calibri"/>
      <family val="2"/>
      <charset val="134"/>
      <scheme val="minor"/>
    </font>
    <font>
      <sz val="11"/>
      <color theme="1"/>
      <name val="Arial"/>
      <family val="2"/>
    </font>
    <font>
      <sz val="10"/>
      <color theme="1"/>
      <name val="Arial"/>
      <family val="2"/>
    </font>
    <font>
      <b/>
      <sz val="10"/>
      <name val="Arial"/>
      <family val="2"/>
    </font>
    <font>
      <b/>
      <sz val="10"/>
      <color theme="1"/>
      <name val="Arial"/>
      <family val="2"/>
    </font>
    <font>
      <sz val="9"/>
      <name val="宋体"/>
      <family val="3"/>
      <charset val="134"/>
    </font>
    <font>
      <b/>
      <sz val="11"/>
      <name val="Arial"/>
      <family val="2"/>
    </font>
    <font>
      <sz val="11"/>
      <color indexed="8"/>
      <name val="Arial"/>
      <family val="2"/>
    </font>
    <font>
      <b/>
      <sz val="11"/>
      <color indexed="8"/>
      <name val="Arial"/>
      <family val="2"/>
    </font>
    <font>
      <b/>
      <u/>
      <sz val="11"/>
      <color theme="1"/>
      <name val="Arial"/>
      <family val="2"/>
    </font>
    <font>
      <b/>
      <sz val="11"/>
      <color theme="1"/>
      <name val="Arial"/>
      <family val="2"/>
    </font>
    <font>
      <b/>
      <sz val="9"/>
      <name val="Arial"/>
      <family val="2"/>
    </font>
    <font>
      <sz val="12"/>
      <color rgb="FF000000"/>
      <name val="Arial"/>
      <family val="2"/>
    </font>
    <font>
      <sz val="9"/>
      <name val="Arial"/>
      <family val="2"/>
    </font>
    <font>
      <sz val="10"/>
      <color rgb="FF000000"/>
      <name val="Arial"/>
      <family val="2"/>
    </font>
    <font>
      <b/>
      <sz val="12"/>
      <color rgb="FF000000"/>
      <name val="Arial"/>
      <family val="2"/>
    </font>
    <font>
      <b/>
      <sz val="9"/>
      <color rgb="FF000000"/>
      <name val="Arial"/>
      <family val="2"/>
    </font>
    <font>
      <sz val="12"/>
      <color indexed="8"/>
      <name val="Arial"/>
      <family val="2"/>
    </font>
    <font>
      <sz val="11"/>
      <color theme="0" tint="-0.14999847407452621"/>
      <name val="Arial"/>
      <family val="2"/>
    </font>
    <font>
      <sz val="11"/>
      <color theme="0"/>
      <name val="Arial"/>
      <family val="2"/>
    </font>
    <font>
      <sz val="12"/>
      <color indexed="8"/>
      <name val="宋体"/>
      <family val="3"/>
      <charset val="134"/>
    </font>
    <font>
      <sz val="9"/>
      <color theme="1" tint="0.499984740745262"/>
      <name val="Arial"/>
      <family val="2"/>
    </font>
    <font>
      <b/>
      <sz val="12"/>
      <color theme="1"/>
      <name val="Arial"/>
      <family val="2"/>
    </font>
    <font>
      <sz val="12"/>
      <color rgb="FF000000"/>
      <name val="Calibri"/>
      <family val="2"/>
    </font>
    <font>
      <sz val="11"/>
      <name val="Arial"/>
      <family val="2"/>
    </font>
    <font>
      <sz val="11"/>
      <color indexed="8"/>
      <name val="宋体"/>
      <family val="3"/>
      <charset val="134"/>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7"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s>
  <cellStyleXfs count="211">
    <xf numFmtId="0" fontId="0" fillId="0" borderId="0"/>
    <xf numFmtId="0" fontId="6" fillId="0" borderId="0"/>
    <xf numFmtId="0" fontId="5" fillId="0" borderId="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9"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30" fillId="0" borderId="0" applyFont="0" applyFill="0" applyBorder="0" applyAlignment="0" applyProtection="0">
      <alignment vertical="center"/>
    </xf>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11">
    <xf numFmtId="0" fontId="0" fillId="0" borderId="0" xfId="0"/>
    <xf numFmtId="49" fontId="11" fillId="0" borderId="1" xfId="0" applyNumberFormat="1" applyFont="1" applyBorder="1" applyAlignment="1">
      <alignment wrapText="1"/>
    </xf>
    <xf numFmtId="0" fontId="12" fillId="0" borderId="0" xfId="180" applyFont="1" applyAlignment="1">
      <alignment vertical="center"/>
    </xf>
    <xf numFmtId="0" fontId="5" fillId="0" borderId="1" xfId="180" applyFont="1" applyFill="1" applyBorder="1" applyAlignment="1">
      <alignment vertical="center"/>
    </xf>
    <xf numFmtId="0" fontId="13" fillId="0" borderId="1" xfId="180" applyFont="1" applyFill="1" applyBorder="1" applyAlignment="1">
      <alignment vertical="center"/>
    </xf>
    <xf numFmtId="0" fontId="13" fillId="2" borderId="1" xfId="180" applyFont="1" applyFill="1" applyBorder="1" applyAlignment="1">
      <alignment vertical="center"/>
    </xf>
    <xf numFmtId="0" fontId="12" fillId="0" borderId="0" xfId="0" applyFont="1" applyAlignment="1">
      <alignment vertical="center"/>
    </xf>
    <xf numFmtId="0" fontId="12" fillId="4" borderId="1" xfId="0" applyFont="1" applyFill="1" applyBorder="1" applyAlignment="1">
      <alignment vertical="center"/>
    </xf>
    <xf numFmtId="0" fontId="14" fillId="4" borderId="1" xfId="0" applyFont="1" applyFill="1" applyBorder="1" applyAlignment="1">
      <alignment vertical="center"/>
    </xf>
    <xf numFmtId="0" fontId="13" fillId="2" borderId="1" xfId="0" applyFont="1" applyFill="1" applyBorder="1" applyAlignment="1">
      <alignment vertical="center"/>
    </xf>
    <xf numFmtId="0" fontId="5" fillId="0" borderId="1" xfId="0" applyFont="1" applyFill="1" applyBorder="1" applyAlignment="1">
      <alignment vertical="center"/>
    </xf>
    <xf numFmtId="0" fontId="12" fillId="0" borderId="1" xfId="0" applyFont="1" applyBorder="1" applyAlignment="1">
      <alignment vertical="center"/>
    </xf>
    <xf numFmtId="0" fontId="16" fillId="3" borderId="1" xfId="0" applyFont="1" applyFill="1" applyBorder="1" applyAlignment="1" applyProtection="1">
      <alignment horizontal="center" vertical="center" wrapText="1"/>
      <protection locked="0"/>
    </xf>
    <xf numFmtId="0" fontId="16" fillId="0" borderId="1" xfId="0" applyFont="1" applyBorder="1" applyAlignment="1">
      <alignment horizontal="center" vertical="center" wrapText="1"/>
    </xf>
    <xf numFmtId="0" fontId="17" fillId="0" borderId="1" xfId="0" applyFont="1" applyBorder="1" applyAlignment="1" applyProtection="1">
      <alignment horizontal="left" vertical="center" wrapText="1"/>
      <protection locked="0"/>
    </xf>
    <xf numFmtId="0" fontId="17" fillId="0" borderId="1" xfId="0" applyFont="1" applyBorder="1" applyAlignment="1">
      <alignment vertical="center"/>
    </xf>
    <xf numFmtId="1" fontId="18" fillId="0" borderId="1" xfId="0" applyNumberFormat="1" applyFont="1" applyBorder="1" applyAlignment="1">
      <alignment horizontal="left" vertical="center"/>
    </xf>
    <xf numFmtId="0" fontId="18" fillId="0" borderId="1" xfId="0" applyFont="1" applyBorder="1" applyAlignment="1">
      <alignment horizontal="center" vertical="center"/>
    </xf>
    <xf numFmtId="165" fontId="17" fillId="0" borderId="1" xfId="0" applyNumberFormat="1" applyFont="1" applyBorder="1" applyAlignment="1">
      <alignment horizontal="center" vertical="center"/>
    </xf>
    <xf numFmtId="1" fontId="17" fillId="0" borderId="1" xfId="0" applyNumberFormat="1" applyFont="1" applyBorder="1" applyAlignment="1">
      <alignment horizontal="left" vertical="center"/>
    </xf>
    <xf numFmtId="0" fontId="17" fillId="0" borderId="1" xfId="0" applyFont="1" applyBorder="1" applyAlignment="1">
      <alignment wrapText="1"/>
    </xf>
    <xf numFmtId="0" fontId="17" fillId="0" borderId="0" xfId="0" applyFont="1" applyBorder="1" applyAlignment="1">
      <alignment vertical="center"/>
    </xf>
    <xf numFmtId="1" fontId="17" fillId="0" borderId="0" xfId="0" applyNumberFormat="1" applyFont="1" applyBorder="1" applyAlignment="1">
      <alignment horizontal="left" vertical="center"/>
    </xf>
    <xf numFmtId="0" fontId="17" fillId="0" borderId="0" xfId="0" applyFont="1" applyBorder="1" applyAlignment="1">
      <alignment horizontal="center" vertical="center"/>
    </xf>
    <xf numFmtId="49" fontId="17" fillId="0" borderId="0" xfId="0" applyNumberFormat="1" applyFont="1" applyBorder="1" applyAlignment="1">
      <alignment horizontal="left" vertical="top" wrapText="1"/>
    </xf>
    <xf numFmtId="0" fontId="17" fillId="0" borderId="0" xfId="0" applyFont="1" applyBorder="1" applyAlignment="1" applyProtection="1">
      <alignment horizontal="left" vertical="center" wrapText="1"/>
      <protection locked="0"/>
    </xf>
    <xf numFmtId="0" fontId="11" fillId="0" borderId="0" xfId="180" applyFont="1">
      <alignment vertical="center"/>
    </xf>
    <xf numFmtId="0" fontId="11" fillId="0" borderId="1" xfId="180" applyFont="1" applyBorder="1" applyAlignment="1">
      <alignment horizontal="right" vertical="center"/>
    </xf>
    <xf numFmtId="0" fontId="11" fillId="0" borderId="0" xfId="180" applyFont="1" applyAlignment="1">
      <alignment horizontal="right" vertical="center"/>
    </xf>
    <xf numFmtId="14" fontId="11" fillId="0" borderId="1" xfId="180" applyNumberFormat="1" applyFont="1" applyBorder="1" applyAlignment="1">
      <alignment horizontal="right" vertical="center"/>
    </xf>
    <xf numFmtId="0" fontId="11" fillId="0" borderId="5" xfId="180" applyFont="1" applyBorder="1">
      <alignment vertical="center"/>
    </xf>
    <xf numFmtId="0" fontId="26" fillId="0" borderId="11" xfId="180" applyFont="1" applyFill="1" applyBorder="1" applyAlignment="1">
      <alignment horizontal="right"/>
    </xf>
    <xf numFmtId="0" fontId="27" fillId="0" borderId="0" xfId="0" applyFont="1"/>
    <xf numFmtId="0" fontId="11" fillId="0" borderId="0" xfId="180" applyFont="1" applyBorder="1">
      <alignment vertical="center"/>
    </xf>
    <xf numFmtId="0" fontId="11" fillId="0" borderId="0" xfId="180" applyFont="1" applyBorder="1" applyAlignment="1">
      <alignment horizontal="right" vertical="center"/>
    </xf>
    <xf numFmtId="0" fontId="28" fillId="0" borderId="0" xfId="180" applyFont="1">
      <alignment vertical="center"/>
    </xf>
    <xf numFmtId="2" fontId="29" fillId="0" borderId="0" xfId="180" applyNumberFormat="1" applyFont="1">
      <alignment vertical="center"/>
    </xf>
    <xf numFmtId="0" fontId="29" fillId="0" borderId="0" xfId="180" applyFont="1">
      <alignment vertical="center"/>
    </xf>
    <xf numFmtId="166" fontId="29" fillId="0" borderId="0" xfId="180" applyNumberFormat="1" applyFont="1">
      <alignment vertical="center"/>
    </xf>
    <xf numFmtId="0" fontId="11" fillId="0" borderId="0" xfId="180" applyFont="1" applyBorder="1" applyAlignment="1">
      <alignment horizontal="center" vertical="center"/>
    </xf>
    <xf numFmtId="0" fontId="19" fillId="0" borderId="0" xfId="180" applyFont="1">
      <alignment vertical="center"/>
    </xf>
    <xf numFmtId="0" fontId="16" fillId="2" borderId="0" xfId="180" applyFont="1" applyFill="1" applyAlignment="1">
      <alignment horizontal="right" vertical="center"/>
    </xf>
    <xf numFmtId="164" fontId="20" fillId="2" borderId="0" xfId="203" applyFont="1" applyFill="1" applyAlignment="1">
      <alignment horizontal="right" vertical="center"/>
    </xf>
    <xf numFmtId="167" fontId="20" fillId="2" borderId="0" xfId="182" applyNumberFormat="1" applyFont="1" applyFill="1" applyAlignment="1">
      <alignment horizontal="right" vertical="center"/>
    </xf>
    <xf numFmtId="10" fontId="20" fillId="2" borderId="0" xfId="181" applyNumberFormat="1" applyFont="1" applyFill="1" applyAlignment="1">
      <alignment horizontal="right" vertical="center"/>
    </xf>
    <xf numFmtId="0" fontId="21" fillId="10" borderId="6" xfId="180" applyFont="1" applyFill="1" applyBorder="1" applyAlignment="1">
      <alignment vertical="center"/>
    </xf>
    <xf numFmtId="0" fontId="21" fillId="10" borderId="11" xfId="180" applyFont="1" applyFill="1" applyBorder="1" applyAlignment="1">
      <alignment vertical="center"/>
    </xf>
    <xf numFmtId="0" fontId="21" fillId="10" borderId="15" xfId="180" applyFont="1" applyFill="1" applyBorder="1" applyAlignment="1">
      <alignment vertical="center"/>
    </xf>
    <xf numFmtId="0" fontId="23" fillId="6" borderId="2" xfId="180" applyFont="1" applyFill="1" applyBorder="1" applyAlignment="1">
      <alignment horizontal="right"/>
    </xf>
    <xf numFmtId="0" fontId="23" fillId="6" borderId="1" xfId="180" applyFont="1" applyFill="1" applyBorder="1" applyAlignment="1">
      <alignment horizontal="right"/>
    </xf>
    <xf numFmtId="0" fontId="23" fillId="6" borderId="9" xfId="180" applyFont="1" applyFill="1" applyBorder="1" applyAlignment="1">
      <alignment horizontal="right"/>
    </xf>
    <xf numFmtId="0" fontId="31" fillId="7" borderId="1" xfId="180" applyFont="1" applyFill="1" applyBorder="1" applyAlignment="1">
      <alignment horizontal="right"/>
    </xf>
    <xf numFmtId="0" fontId="23" fillId="9" borderId="1" xfId="180" applyFont="1" applyFill="1" applyBorder="1" applyAlignment="1">
      <alignment horizontal="right"/>
    </xf>
    <xf numFmtId="0" fontId="23" fillId="9" borderId="9" xfId="180" applyFont="1" applyFill="1" applyBorder="1" applyAlignment="1">
      <alignment horizontal="right"/>
    </xf>
    <xf numFmtId="0" fontId="23" fillId="9" borderId="2" xfId="180" applyFont="1" applyFill="1" applyBorder="1" applyAlignment="1">
      <alignment horizontal="right"/>
    </xf>
    <xf numFmtId="0" fontId="23" fillId="5" borderId="2" xfId="180" applyFont="1" applyFill="1" applyBorder="1" applyAlignment="1">
      <alignment horizontal="right"/>
    </xf>
    <xf numFmtId="0" fontId="23" fillId="5" borderId="1" xfId="180" applyFont="1" applyFill="1" applyBorder="1" applyAlignment="1">
      <alignment horizontal="right"/>
    </xf>
    <xf numFmtId="0" fontId="23" fillId="5" borderId="9" xfId="180" applyFont="1" applyFill="1" applyBorder="1" applyAlignment="1">
      <alignment horizontal="right"/>
    </xf>
    <xf numFmtId="0" fontId="20" fillId="6" borderId="1" xfId="180" applyFont="1" applyFill="1" applyBorder="1" applyAlignment="1">
      <alignment horizontal="center" vertical="center"/>
    </xf>
    <xf numFmtId="0" fontId="20" fillId="5" borderId="1" xfId="180" applyFont="1" applyFill="1" applyBorder="1" applyAlignment="1">
      <alignment horizontal="center" vertical="center"/>
    </xf>
    <xf numFmtId="0" fontId="20" fillId="9" borderId="1" xfId="180" applyFont="1" applyFill="1" applyBorder="1" applyAlignment="1">
      <alignment horizontal="center" vertical="center"/>
    </xf>
    <xf numFmtId="0" fontId="5" fillId="0" borderId="2" xfId="180" applyFont="1" applyFill="1" applyBorder="1" applyAlignment="1"/>
    <xf numFmtId="0" fontId="5" fillId="0" borderId="1" xfId="180" applyFont="1" applyFill="1" applyBorder="1" applyAlignment="1"/>
    <xf numFmtId="0" fontId="24" fillId="0" borderId="9" xfId="180" applyFont="1" applyFill="1" applyBorder="1" applyAlignment="1"/>
    <xf numFmtId="0" fontId="26" fillId="0" borderId="12" xfId="180" applyFont="1" applyFill="1" applyBorder="1" applyAlignment="1"/>
    <xf numFmtId="0" fontId="21" fillId="0" borderId="14" xfId="180" applyFont="1" applyFill="1" applyBorder="1" applyAlignment="1"/>
    <xf numFmtId="0" fontId="21" fillId="0" borderId="13" xfId="180" applyFont="1" applyFill="1" applyBorder="1" applyAlignment="1"/>
    <xf numFmtId="0" fontId="20" fillId="0" borderId="0" xfId="180" applyFont="1" applyBorder="1" applyAlignment="1">
      <alignment horizontal="right" vertical="center"/>
    </xf>
    <xf numFmtId="0" fontId="32" fillId="8" borderId="1" xfId="180" applyFont="1" applyFill="1" applyBorder="1" applyAlignment="1">
      <alignment horizontal="center" vertical="center"/>
    </xf>
    <xf numFmtId="2" fontId="32" fillId="0" borderId="1" xfId="180" applyNumberFormat="1" applyFont="1" applyFill="1" applyBorder="1" applyAlignment="1">
      <alignment horizontal="center" vertical="center"/>
    </xf>
    <xf numFmtId="0" fontId="27" fillId="0" borderId="1" xfId="0" applyFont="1" applyBorder="1"/>
    <xf numFmtId="2" fontId="27" fillId="0" borderId="1" xfId="0" applyNumberFormat="1" applyFont="1" applyBorder="1"/>
    <xf numFmtId="0" fontId="10" fillId="0" borderId="0" xfId="180">
      <alignment vertical="center"/>
    </xf>
    <xf numFmtId="0" fontId="20" fillId="11" borderId="1" xfId="180" applyFont="1" applyFill="1" applyBorder="1" applyAlignment="1">
      <alignment horizontal="center" vertical="center"/>
    </xf>
    <xf numFmtId="0" fontId="13" fillId="0" borderId="0" xfId="180" applyFont="1" applyFill="1" applyBorder="1" applyAlignment="1">
      <alignment vertical="center"/>
    </xf>
    <xf numFmtId="0" fontId="5" fillId="0" borderId="0" xfId="180" applyFont="1" applyFill="1" applyBorder="1" applyAlignment="1">
      <alignment vertical="center"/>
    </xf>
    <xf numFmtId="0" fontId="12" fillId="0" borderId="0" xfId="0" applyFont="1" applyBorder="1" applyAlignment="1">
      <alignment vertical="center"/>
    </xf>
    <xf numFmtId="1" fontId="11" fillId="0" borderId="1" xfId="180" applyNumberFormat="1" applyFont="1" applyBorder="1" applyAlignment="1">
      <alignment horizontal="right" vertical="center"/>
    </xf>
    <xf numFmtId="49" fontId="11" fillId="0" borderId="1" xfId="0" applyNumberFormat="1" applyFont="1" applyBorder="1" applyAlignment="1"/>
    <xf numFmtId="49" fontId="17" fillId="0" borderId="1" xfId="0" applyNumberFormat="1" applyFont="1" applyBorder="1" applyAlignment="1">
      <alignment horizontal="left" vertical="center"/>
    </xf>
    <xf numFmtId="49" fontId="18" fillId="0" borderId="1" xfId="0" applyNumberFormat="1" applyFont="1" applyBorder="1" applyAlignment="1">
      <alignment horizontal="left" vertical="center"/>
    </xf>
    <xf numFmtId="49" fontId="27" fillId="0" borderId="1" xfId="0" applyNumberFormat="1" applyFont="1" applyBorder="1"/>
    <xf numFmtId="49" fontId="27" fillId="0" borderId="0" xfId="0" applyNumberFormat="1" applyFont="1"/>
    <xf numFmtId="49" fontId="6" fillId="0" borderId="1" xfId="0" applyNumberFormat="1" applyFont="1" applyBorder="1" applyAlignment="1"/>
    <xf numFmtId="0" fontId="17" fillId="0" borderId="1" xfId="0" applyFont="1" applyBorder="1" applyAlignment="1" applyProtection="1">
      <alignment horizontal="left" vertical="center"/>
      <protection locked="0"/>
    </xf>
    <xf numFmtId="0" fontId="17" fillId="0" borderId="1" xfId="0" applyFont="1" applyBorder="1" applyAlignment="1"/>
    <xf numFmtId="0" fontId="17" fillId="0" borderId="0" xfId="0" applyFont="1" applyBorder="1" applyAlignment="1" applyProtection="1">
      <alignment horizontal="left" vertical="center"/>
      <protection locked="0"/>
    </xf>
    <xf numFmtId="0" fontId="17" fillId="0" borderId="1" xfId="0" quotePrefix="1" applyFont="1" applyBorder="1" applyAlignment="1" applyProtection="1">
      <alignment horizontal="left" vertical="center"/>
      <protection locked="0"/>
    </xf>
    <xf numFmtId="0" fontId="34" fillId="0" borderId="1" xfId="0" applyFont="1" applyBorder="1" applyAlignment="1" applyProtection="1">
      <alignment horizontal="left" vertical="center"/>
      <protection locked="0"/>
    </xf>
    <xf numFmtId="49" fontId="11" fillId="0" borderId="1" xfId="0" applyNumberFormat="1" applyFont="1" applyBorder="1"/>
    <xf numFmtId="0" fontId="17" fillId="0" borderId="0" xfId="0" applyFont="1" applyAlignment="1" applyProtection="1">
      <alignment horizontal="left" vertical="center"/>
      <protection locked="0"/>
    </xf>
    <xf numFmtId="9" fontId="17" fillId="0" borderId="1" xfId="0" applyNumberFormat="1" applyFont="1" applyBorder="1" applyAlignment="1" applyProtection="1">
      <alignment horizontal="left" vertical="center"/>
      <protection locked="0"/>
    </xf>
    <xf numFmtId="0" fontId="17" fillId="0" borderId="1" xfId="0" applyFont="1" applyBorder="1"/>
    <xf numFmtId="0" fontId="17" fillId="0" borderId="0" xfId="0" applyFont="1" applyAlignment="1">
      <alignment vertical="center"/>
    </xf>
    <xf numFmtId="14" fontId="17" fillId="0" borderId="1" xfId="0" applyNumberFormat="1" applyFont="1" applyBorder="1" applyAlignment="1" applyProtection="1">
      <alignment horizontal="left" vertical="center"/>
      <protection locked="0"/>
    </xf>
    <xf numFmtId="49" fontId="9" fillId="0" borderId="0" xfId="0" applyNumberFormat="1" applyFont="1"/>
    <xf numFmtId="165" fontId="17" fillId="0" borderId="10" xfId="0" applyNumberFormat="1" applyFont="1" applyBorder="1" applyAlignment="1">
      <alignment horizontal="center" vertical="center"/>
    </xf>
    <xf numFmtId="49" fontId="17" fillId="0" borderId="1" xfId="0" applyNumberFormat="1" applyFont="1" applyBorder="1" applyAlignment="1" applyProtection="1">
      <alignment horizontal="left" vertical="center"/>
      <protection locked="0"/>
    </xf>
    <xf numFmtId="0" fontId="17" fillId="0" borderId="1" xfId="0" applyFont="1" applyBorder="1" applyAlignment="1">
      <alignment horizontal="left" vertical="center"/>
    </xf>
    <xf numFmtId="0" fontId="11" fillId="0" borderId="1" xfId="0" applyFont="1" applyBorder="1"/>
    <xf numFmtId="49" fontId="9" fillId="0" borderId="1" xfId="0" applyNumberFormat="1" applyFont="1" applyBorder="1"/>
    <xf numFmtId="0" fontId="19" fillId="0" borderId="0" xfId="180" applyFont="1" applyAlignment="1">
      <alignment horizontal="center" vertical="center"/>
    </xf>
    <xf numFmtId="0" fontId="25" fillId="0" borderId="6" xfId="180" applyFont="1" applyFill="1" applyBorder="1" applyAlignment="1">
      <alignment horizontal="center" vertical="center"/>
    </xf>
    <xf numFmtId="0" fontId="25" fillId="0" borderId="11" xfId="180" applyFont="1" applyFill="1" applyBorder="1" applyAlignment="1">
      <alignment horizontal="center" vertical="center"/>
    </xf>
    <xf numFmtId="0" fontId="22" fillId="0" borderId="8" xfId="180" applyFont="1" applyFill="1" applyBorder="1" applyAlignment="1">
      <alignment horizontal="center" vertical="center"/>
    </xf>
    <xf numFmtId="0" fontId="22" fillId="0" borderId="7" xfId="180" applyFont="1" applyFill="1" applyBorder="1" applyAlignment="1">
      <alignment horizontal="center" vertical="center"/>
    </xf>
    <xf numFmtId="0" fontId="22" fillId="0" borderId="16" xfId="180" applyFont="1" applyFill="1" applyBorder="1" applyAlignment="1">
      <alignment horizontal="center" vertical="center"/>
    </xf>
    <xf numFmtId="0" fontId="13" fillId="4" borderId="1" xfId="180" applyFont="1" applyFill="1" applyBorder="1" applyAlignment="1">
      <alignment horizontal="center" vertical="center"/>
    </xf>
    <xf numFmtId="0" fontId="13" fillId="0" borderId="3" xfId="180" applyFont="1" applyBorder="1" applyAlignment="1">
      <alignment horizontal="center" vertical="center"/>
    </xf>
    <xf numFmtId="0" fontId="13" fillId="0" borderId="4" xfId="180" applyFont="1" applyBorder="1" applyAlignment="1">
      <alignment horizontal="center" vertical="center"/>
    </xf>
    <xf numFmtId="0" fontId="13" fillId="0" borderId="10" xfId="180" applyFont="1" applyBorder="1" applyAlignment="1">
      <alignment horizontal="center" vertical="center"/>
    </xf>
  </cellXfs>
  <cellStyles count="211">
    <cellStyle name="Comma 2" xfId="182" xr:uid="{00000000-0005-0000-0000-000001000000}"/>
    <cellStyle name="Normal 2" xfId="1" xr:uid="{00000000-0005-0000-0000-0000C9000000}"/>
    <cellStyle name="Normal 2 2" xfId="2" xr:uid="{00000000-0005-0000-0000-0000CA000000}"/>
    <cellStyle name="Normal 3" xfId="3" xr:uid="{00000000-0005-0000-0000-0000CB000000}"/>
    <cellStyle name="Normal 3 2" xfId="163" xr:uid="{00000000-0005-0000-0000-0000CC000000}"/>
    <cellStyle name="Normal 4" xfId="165" xr:uid="{00000000-0005-0000-0000-0000CD000000}"/>
    <cellStyle name="Normal 5" xfId="180" xr:uid="{00000000-0005-0000-0000-0000CE000000}"/>
    <cellStyle name="Normal 6" xfId="204" xr:uid="{00000000-0005-0000-0000-0000CF000000}"/>
    <cellStyle name="Percent 2" xfId="4" xr:uid="{00000000-0005-0000-0000-0000D0000000}"/>
    <cellStyle name="Percent 2 2" xfId="164" xr:uid="{00000000-0005-0000-0000-0000D1000000}"/>
    <cellStyle name="Percent 3" xfId="181" xr:uid="{00000000-0005-0000-0000-0000D2000000}"/>
    <cellStyle name="千位分隔" xfId="203" builtinId="3"/>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已访问的超链接" xfId="72" builtinId="9" hidden="1"/>
    <cellStyle name="已访问的超链接" xfId="74" builtinId="9" hidden="1"/>
    <cellStyle name="已访问的超链接" xfId="76" builtinId="9" hidden="1"/>
    <cellStyle name="已访问的超链接" xfId="78" builtinId="9" hidden="1"/>
    <cellStyle name="已访问的超链接" xfId="80" builtinId="9" hidden="1"/>
    <cellStyle name="已访问的超链接" xfId="82" builtinId="9" hidden="1"/>
    <cellStyle name="已访问的超链接" xfId="84" builtinId="9" hidden="1"/>
    <cellStyle name="已访问的超链接" xfId="86" builtinId="9" hidden="1"/>
    <cellStyle name="已访问的超链接" xfId="88" builtinId="9" hidden="1"/>
    <cellStyle name="已访问的超链接" xfId="90" builtinId="9" hidden="1"/>
    <cellStyle name="已访问的超链接" xfId="92" builtinId="9" hidden="1"/>
    <cellStyle name="已访问的超链接" xfId="94" builtinId="9" hidden="1"/>
    <cellStyle name="已访问的超链接" xfId="96" builtinId="9" hidden="1"/>
    <cellStyle name="已访问的超链接" xfId="98" builtinId="9" hidden="1"/>
    <cellStyle name="已访问的超链接" xfId="100" builtinId="9" hidden="1"/>
    <cellStyle name="已访问的超链接" xfId="102" builtinId="9" hidden="1"/>
    <cellStyle name="已访问的超链接" xfId="104" builtinId="9" hidden="1"/>
    <cellStyle name="已访问的超链接" xfId="106" builtinId="9" hidden="1"/>
    <cellStyle name="已访问的超链接" xfId="108" builtinId="9" hidden="1"/>
    <cellStyle name="已访问的超链接" xfId="110" builtinId="9" hidden="1"/>
    <cellStyle name="已访问的超链接" xfId="112" builtinId="9" hidden="1"/>
    <cellStyle name="已访问的超链接" xfId="114" builtinId="9" hidden="1"/>
    <cellStyle name="已访问的超链接" xfId="116" builtinId="9" hidden="1"/>
    <cellStyle name="已访问的超链接" xfId="118" builtinId="9" hidden="1"/>
    <cellStyle name="已访问的超链接" xfId="120" builtinId="9" hidden="1"/>
    <cellStyle name="已访问的超链接" xfId="122" builtinId="9" hidden="1"/>
    <cellStyle name="已访问的超链接" xfId="124" builtinId="9" hidden="1"/>
    <cellStyle name="已访问的超链接" xfId="126" builtinId="9" hidden="1"/>
    <cellStyle name="已访问的超链接" xfId="128" builtinId="9" hidden="1"/>
    <cellStyle name="已访问的超链接" xfId="130" builtinId="9" hidden="1"/>
    <cellStyle name="已访问的超链接" xfId="132" builtinId="9" hidden="1"/>
    <cellStyle name="已访问的超链接" xfId="134" builtinId="9" hidden="1"/>
    <cellStyle name="已访问的超链接" xfId="136" builtinId="9" hidden="1"/>
    <cellStyle name="已访问的超链接" xfId="138" builtinId="9" hidden="1"/>
    <cellStyle name="已访问的超链接" xfId="140" builtinId="9" hidden="1"/>
    <cellStyle name="已访问的超链接" xfId="142" builtinId="9" hidden="1"/>
    <cellStyle name="已访问的超链接" xfId="144" builtinId="9" hidden="1"/>
    <cellStyle name="已访问的超链接" xfId="146" builtinId="9" hidden="1"/>
    <cellStyle name="已访问的超链接" xfId="148" builtinId="9" hidden="1"/>
    <cellStyle name="已访问的超链接" xfId="150" builtinId="9" hidden="1"/>
    <cellStyle name="已访问的超链接" xfId="152" builtinId="9" hidden="1"/>
    <cellStyle name="已访问的超链接" xfId="154" builtinId="9" hidden="1"/>
    <cellStyle name="已访问的超链接" xfId="156" builtinId="9" hidden="1"/>
    <cellStyle name="已访问的超链接" xfId="158" builtinId="9" hidden="1"/>
    <cellStyle name="已访问的超链接" xfId="160" builtinId="9" hidden="1"/>
    <cellStyle name="已访问的超链接" xfId="162" builtinId="9" hidden="1"/>
    <cellStyle name="已访问的超链接" xfId="167" builtinId="9" hidden="1"/>
    <cellStyle name="已访问的超链接" xfId="169" builtinId="9" hidden="1"/>
    <cellStyle name="已访问的超链接" xfId="171" builtinId="9" hidden="1"/>
    <cellStyle name="已访问的超链接" xfId="173" builtinId="9" hidden="1"/>
    <cellStyle name="已访问的超链接" xfId="175" builtinId="9" hidden="1"/>
    <cellStyle name="已访问的超链接" xfId="177" builtinId="9" hidden="1"/>
    <cellStyle name="已访问的超链接" xfId="179" builtinId="9" hidden="1"/>
    <cellStyle name="已访问的超链接" xfId="184" builtinId="9" hidden="1"/>
    <cellStyle name="已访问的超链接" xfId="186" builtinId="9" hidden="1"/>
    <cellStyle name="已访问的超链接" xfId="188" builtinId="9" hidden="1"/>
    <cellStyle name="已访问的超链接" xfId="190" builtinId="9" hidden="1"/>
    <cellStyle name="已访问的超链接" xfId="192" builtinId="9" hidden="1"/>
    <cellStyle name="已访问的超链接" xfId="194" builtinId="9" hidden="1"/>
    <cellStyle name="已访问的超链接" xfId="196" builtinId="9" hidden="1"/>
    <cellStyle name="已访问的超链接" xfId="198" builtinId="9" hidden="1"/>
    <cellStyle name="已访问的超链接" xfId="200" builtinId="9" hidden="1"/>
    <cellStyle name="已访问的超链接" xfId="202" builtinId="9" hidden="1"/>
    <cellStyle name="已访问的超链接" xfId="206" builtinId="9" hidden="1"/>
    <cellStyle name="已访问的超链接" xfId="208" builtinId="9" hidden="1"/>
    <cellStyle name="已访问的超链接" xfId="210" builtinId="9" hidden="1"/>
    <cellStyle name="常规" xfId="0" builtinId="0"/>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超链接" xfId="71" builtinId="8" hidden="1"/>
    <cellStyle name="超链接" xfId="73" builtinId="8" hidden="1"/>
    <cellStyle name="超链接" xfId="75" builtinId="8" hidden="1"/>
    <cellStyle name="超链接" xfId="77" builtinId="8" hidden="1"/>
    <cellStyle name="超链接" xfId="79" builtinId="8" hidden="1"/>
    <cellStyle name="超链接" xfId="81" builtinId="8" hidden="1"/>
    <cellStyle name="超链接" xfId="83" builtinId="8" hidden="1"/>
    <cellStyle name="超链接" xfId="85" builtinId="8" hidden="1"/>
    <cellStyle name="超链接" xfId="87" builtinId="8" hidden="1"/>
    <cellStyle name="超链接" xfId="89" builtinId="8" hidden="1"/>
    <cellStyle name="超链接" xfId="91" builtinId="8" hidden="1"/>
    <cellStyle name="超链接" xfId="93" builtinId="8" hidden="1"/>
    <cellStyle name="超链接" xfId="95" builtinId="8" hidden="1"/>
    <cellStyle name="超链接" xfId="97" builtinId="8" hidden="1"/>
    <cellStyle name="超链接" xfId="99" builtinId="8" hidden="1"/>
    <cellStyle name="超链接" xfId="101" builtinId="8" hidden="1"/>
    <cellStyle name="超链接" xfId="103" builtinId="8" hidden="1"/>
    <cellStyle name="超链接" xfId="105" builtinId="8" hidden="1"/>
    <cellStyle name="超链接" xfId="107" builtinId="8" hidden="1"/>
    <cellStyle name="超链接" xfId="109" builtinId="8" hidden="1"/>
    <cellStyle name="超链接" xfId="111" builtinId="8" hidden="1"/>
    <cellStyle name="超链接" xfId="113" builtinId="8" hidden="1"/>
    <cellStyle name="超链接" xfId="115" builtinId="8" hidden="1"/>
    <cellStyle name="超链接" xfId="117" builtinId="8" hidden="1"/>
    <cellStyle name="超链接" xfId="119" builtinId="8" hidden="1"/>
    <cellStyle name="超链接" xfId="121" builtinId="8" hidden="1"/>
    <cellStyle name="超链接" xfId="123" builtinId="8" hidden="1"/>
    <cellStyle name="超链接" xfId="125" builtinId="8" hidden="1"/>
    <cellStyle name="超链接" xfId="127" builtinId="8" hidden="1"/>
    <cellStyle name="超链接" xfId="129" builtinId="8" hidden="1"/>
    <cellStyle name="超链接" xfId="131" builtinId="8" hidden="1"/>
    <cellStyle name="超链接" xfId="133" builtinId="8" hidden="1"/>
    <cellStyle name="超链接" xfId="135" builtinId="8" hidden="1"/>
    <cellStyle name="超链接" xfId="137" builtinId="8" hidden="1"/>
    <cellStyle name="超链接" xfId="139" builtinId="8" hidden="1"/>
    <cellStyle name="超链接" xfId="141" builtinId="8" hidden="1"/>
    <cellStyle name="超链接" xfId="143" builtinId="8" hidden="1"/>
    <cellStyle name="超链接" xfId="145" builtinId="8" hidden="1"/>
    <cellStyle name="超链接" xfId="147" builtinId="8" hidden="1"/>
    <cellStyle name="超链接" xfId="149" builtinId="8" hidden="1"/>
    <cellStyle name="超链接" xfId="151" builtinId="8" hidden="1"/>
    <cellStyle name="超链接" xfId="153" builtinId="8" hidden="1"/>
    <cellStyle name="超链接" xfId="155" builtinId="8" hidden="1"/>
    <cellStyle name="超链接" xfId="157" builtinId="8" hidden="1"/>
    <cellStyle name="超链接" xfId="159" builtinId="8" hidden="1"/>
    <cellStyle name="超链接" xfId="161" builtinId="8" hidden="1"/>
    <cellStyle name="超链接" xfId="166" builtinId="8" hidden="1"/>
    <cellStyle name="超链接" xfId="168" builtinId="8" hidden="1"/>
    <cellStyle name="超链接" xfId="170" builtinId="8" hidden="1"/>
    <cellStyle name="超链接" xfId="172" builtinId="8" hidden="1"/>
    <cellStyle name="超链接" xfId="174" builtinId="8" hidden="1"/>
    <cellStyle name="超链接" xfId="176" builtinId="8" hidden="1"/>
    <cellStyle name="超链接" xfId="178" builtinId="8" hidden="1"/>
    <cellStyle name="超链接" xfId="183" builtinId="8" hidden="1"/>
    <cellStyle name="超链接" xfId="185" builtinId="8" hidden="1"/>
    <cellStyle name="超链接" xfId="187" builtinId="8" hidden="1"/>
    <cellStyle name="超链接" xfId="189" builtinId="8" hidden="1"/>
    <cellStyle name="超链接" xfId="191" builtinId="8" hidden="1"/>
    <cellStyle name="超链接" xfId="193" builtinId="8" hidden="1"/>
    <cellStyle name="超链接" xfId="195" builtinId="8" hidden="1"/>
    <cellStyle name="超链接" xfId="197" builtinId="8" hidden="1"/>
    <cellStyle name="超链接" xfId="199" builtinId="8" hidden="1"/>
    <cellStyle name="超链接" xfId="201" builtinId="8" hidden="1"/>
    <cellStyle name="超链接" xfId="205" builtinId="8" hidden="1"/>
    <cellStyle name="超链接" xfId="207" builtinId="8" hidden="1"/>
    <cellStyle name="超链接" xfId="209" builtinId="8" hidden="1"/>
  </cellStyles>
  <dxfs count="697">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0</xdr:row>
          <xdr:rowOff>22860</xdr:rowOff>
        </xdr:from>
        <xdr:to>
          <xdr:col>10</xdr:col>
          <xdr:colOff>1013460</xdr:colOff>
          <xdr:row>0</xdr:row>
          <xdr:rowOff>365760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Copy Row</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L36"/>
  <sheetViews>
    <sheetView showGridLines="0" topLeftCell="A10" zoomScale="80" zoomScaleNormal="80" zoomScalePageLayoutView="110" workbookViewId="0">
      <selection activeCell="A36" sqref="A36:XFD38"/>
    </sheetView>
  </sheetViews>
  <sheetFormatPr defaultColWidth="7.69921875" defaultRowHeight="13.8"/>
  <cols>
    <col min="1" max="1" width="3.19921875" style="26" customWidth="1"/>
    <col min="2" max="2" width="16.69921875" style="26" bestFit="1" customWidth="1"/>
    <col min="3" max="3" width="24" style="26" bestFit="1" customWidth="1"/>
    <col min="4" max="5" width="16.69921875" style="26" customWidth="1"/>
    <col min="6" max="6" width="17.5" style="26" customWidth="1"/>
    <col min="7" max="9" width="16.69921875" style="26" customWidth="1"/>
    <col min="10" max="10" width="21.69921875" style="26" customWidth="1"/>
    <col min="11" max="12" width="16.69921875" style="26" customWidth="1"/>
    <col min="13" max="16384" width="7.69921875" style="26"/>
  </cols>
  <sheetData>
    <row r="2" spans="2:11">
      <c r="B2" s="101" t="s">
        <v>16</v>
      </c>
      <c r="C2" s="101"/>
      <c r="E2" s="101" t="s">
        <v>15</v>
      </c>
      <c r="F2" s="101"/>
      <c r="H2" s="101" t="s">
        <v>49</v>
      </c>
      <c r="I2" s="101"/>
    </row>
    <row r="4" spans="2:11">
      <c r="B4" s="26" t="s">
        <v>18</v>
      </c>
      <c r="C4" s="27"/>
      <c r="E4" s="26" t="s">
        <v>14</v>
      </c>
      <c r="F4" s="41">
        <f>COUNTA('Error Log'!A:A)-1</f>
        <v>436</v>
      </c>
      <c r="H4" s="26" t="s">
        <v>42</v>
      </c>
      <c r="I4" s="42">
        <f>H18</f>
        <v>81.828429714801032</v>
      </c>
      <c r="K4" s="35"/>
    </row>
    <row r="5" spans="2:11">
      <c r="C5" s="28"/>
      <c r="F5" s="28"/>
      <c r="K5" s="36">
        <f>I4</f>
        <v>81.828429714801032</v>
      </c>
    </row>
    <row r="6" spans="2:11">
      <c r="B6" s="26" t="s">
        <v>51</v>
      </c>
      <c r="C6" s="29"/>
      <c r="D6" s="26" t="s">
        <v>52</v>
      </c>
      <c r="E6" s="26" t="s">
        <v>9</v>
      </c>
      <c r="F6" s="41">
        <f>L36</f>
        <v>421</v>
      </c>
      <c r="H6" s="26" t="s">
        <v>12</v>
      </c>
      <c r="I6" s="43">
        <f>IF(C8=0,"0",1000*(F6/C8))</f>
        <v>47.458009243602753</v>
      </c>
      <c r="K6" s="37">
        <v>1</v>
      </c>
    </row>
    <row r="7" spans="2:11">
      <c r="C7" s="28"/>
      <c r="F7" s="28"/>
      <c r="I7" s="28"/>
      <c r="K7" s="38">
        <f>200-(K5+K6)</f>
        <v>117.17157028519897</v>
      </c>
    </row>
    <row r="8" spans="2:11">
      <c r="B8" s="26" t="s">
        <v>11</v>
      </c>
      <c r="C8" s="77">
        <f>SUM('Scores per segment'!D:D)</f>
        <v>8871</v>
      </c>
      <c r="E8" s="26" t="s">
        <v>38</v>
      </c>
      <c r="F8" s="41" t="e">
        <f>#REF!</f>
        <v>#REF!</v>
      </c>
      <c r="H8" s="26" t="s">
        <v>39</v>
      </c>
      <c r="I8" s="44" t="str">
        <f>IF(C10=0,"0",(F8/C10))</f>
        <v>0</v>
      </c>
      <c r="K8" s="37"/>
    </row>
    <row r="9" spans="2:11">
      <c r="C9" s="28"/>
      <c r="I9" s="28"/>
      <c r="K9" s="37"/>
    </row>
    <row r="10" spans="2:11">
      <c r="B10" s="26" t="s">
        <v>10</v>
      </c>
      <c r="C10" s="27">
        <f>COUNT('Scores per segment'!A:A)</f>
        <v>0</v>
      </c>
      <c r="E10" s="26" t="s">
        <v>13</v>
      </c>
      <c r="F10" s="41">
        <f>COUNTIFS('Error Log'!D:D,"*",'Error Log'!E:E,"")</f>
        <v>15</v>
      </c>
      <c r="H10" s="26" t="s">
        <v>19</v>
      </c>
      <c r="I10" s="44" t="str">
        <f>IF(C10=0,"0",(F10/C10))</f>
        <v>0</v>
      </c>
    </row>
    <row r="11" spans="2:11">
      <c r="C11" s="34"/>
    </row>
    <row r="12" spans="2:11" ht="14.4" thickBot="1">
      <c r="B12" s="30"/>
      <c r="C12" s="30"/>
      <c r="D12" s="30"/>
      <c r="E12" s="30"/>
      <c r="F12" s="30"/>
      <c r="G12" s="30"/>
      <c r="H12" s="30"/>
      <c r="I12" s="30"/>
    </row>
    <row r="13" spans="2:11" ht="14.4" thickTop="1">
      <c r="B13" s="33"/>
      <c r="C13" s="33"/>
      <c r="D13" s="33"/>
      <c r="E13" s="33"/>
      <c r="F13" s="33"/>
      <c r="G13" s="33"/>
      <c r="H13" s="33"/>
      <c r="I13" s="33"/>
      <c r="J13" s="33"/>
    </row>
    <row r="15" spans="2:11">
      <c r="D15" s="40" t="s">
        <v>40</v>
      </c>
    </row>
    <row r="16" spans="2:11">
      <c r="C16" s="34"/>
    </row>
    <row r="17" spans="2:12" ht="15.6">
      <c r="C17" s="39"/>
      <c r="D17" s="58" t="s">
        <v>35</v>
      </c>
      <c r="E17" s="59" t="s">
        <v>36</v>
      </c>
      <c r="F17" s="60" t="s">
        <v>37</v>
      </c>
      <c r="G17" s="73" t="s">
        <v>48</v>
      </c>
      <c r="H17" s="68" t="s">
        <v>53</v>
      </c>
    </row>
    <row r="18" spans="2:12" ht="15.6">
      <c r="C18" s="67" t="s">
        <v>43</v>
      </c>
      <c r="D18" s="58">
        <f>COUNTIF('Error Log'!$J:$J,D$17)</f>
        <v>227</v>
      </c>
      <c r="E18" s="59">
        <f>COUNTIF('Error Log'!$J:$J,E$17)</f>
        <v>190</v>
      </c>
      <c r="F18" s="60">
        <f>COUNTIF('Error Log'!$J:$J,F$17)</f>
        <v>4</v>
      </c>
      <c r="G18" s="73">
        <f>COUNTIF('Error Log'!$F:$F,"Target")</f>
        <v>0</v>
      </c>
      <c r="H18" s="69">
        <f>SUMPRODUCT('Scores per segment'!J:J,'Scores per segment'!D:D)/SUM('Scores per segment'!D:D)</f>
        <v>81.828429714801032</v>
      </c>
    </row>
    <row r="21" spans="2:12">
      <c r="C21" s="34"/>
    </row>
    <row r="22" spans="2:12" ht="14.4" thickBot="1">
      <c r="B22" s="30"/>
      <c r="C22" s="30"/>
      <c r="D22" s="30"/>
      <c r="E22" s="30"/>
      <c r="F22" s="30"/>
      <c r="G22" s="30"/>
      <c r="H22" s="30"/>
      <c r="I22" s="30"/>
      <c r="J22" s="30"/>
      <c r="K22" s="30"/>
      <c r="L22" s="30"/>
    </row>
    <row r="23" spans="2:12" ht="14.4" thickTop="1">
      <c r="B23" s="33"/>
      <c r="C23" s="33"/>
      <c r="D23" s="33"/>
      <c r="E23" s="33"/>
      <c r="F23" s="33"/>
      <c r="G23" s="33"/>
      <c r="H23" s="33"/>
      <c r="I23" s="33"/>
      <c r="J23" s="33"/>
      <c r="K23" s="33"/>
      <c r="L23" s="33"/>
    </row>
    <row r="24" spans="2:12">
      <c r="B24" s="33"/>
      <c r="C24" s="33"/>
      <c r="D24" s="33"/>
      <c r="E24" s="33"/>
      <c r="F24" s="33"/>
      <c r="G24" s="33"/>
      <c r="H24" s="33"/>
      <c r="I24" s="33"/>
      <c r="J24" s="33"/>
      <c r="K24" s="33"/>
      <c r="L24" s="33"/>
    </row>
    <row r="25" spans="2:12">
      <c r="B25" s="33"/>
      <c r="D25" s="40" t="s">
        <v>41</v>
      </c>
      <c r="E25" s="33"/>
      <c r="F25" s="33"/>
      <c r="G25" s="33"/>
      <c r="H25" s="33"/>
      <c r="I25" s="33"/>
      <c r="J25" s="33"/>
      <c r="K25" s="33"/>
      <c r="L25" s="33"/>
    </row>
    <row r="26" spans="2:12" ht="14.4" thickBot="1">
      <c r="B26" s="33"/>
      <c r="C26" s="33"/>
      <c r="D26" s="33"/>
      <c r="E26" s="33"/>
      <c r="F26" s="33"/>
      <c r="G26" s="33"/>
      <c r="H26" s="33"/>
      <c r="I26" s="33"/>
      <c r="J26" s="33"/>
      <c r="K26" s="33"/>
      <c r="L26" s="33"/>
    </row>
    <row r="27" spans="2:12" ht="14.4" thickBot="1">
      <c r="B27" s="45" t="s">
        <v>31</v>
      </c>
      <c r="C27" s="46" t="s">
        <v>30</v>
      </c>
      <c r="D27" s="46" t="s">
        <v>54</v>
      </c>
      <c r="E27" s="46" t="s">
        <v>55</v>
      </c>
      <c r="F27" s="46" t="s">
        <v>56</v>
      </c>
      <c r="G27" s="46" t="s">
        <v>29</v>
      </c>
      <c r="H27" s="46" t="s">
        <v>27</v>
      </c>
      <c r="I27" s="46" t="s">
        <v>72</v>
      </c>
      <c r="J27" s="46" t="s">
        <v>73</v>
      </c>
      <c r="K27" s="46" t="s">
        <v>57</v>
      </c>
      <c r="L27" s="47" t="s">
        <v>6</v>
      </c>
    </row>
    <row r="28" spans="2:12">
      <c r="B28" s="106" t="s">
        <v>8</v>
      </c>
      <c r="C28" s="61" t="s">
        <v>22</v>
      </c>
      <c r="D28" s="48">
        <f>COUNTIFS('Error Log'!$E:$E,$B$28,'Error Log'!$F:$F,$C28,'Error Log'!$G:$G,D$27)</f>
        <v>1</v>
      </c>
      <c r="E28" s="48">
        <f>COUNTIFS('Error Log'!$E:$E,$B$28,'Error Log'!$F:$F,$C28,'Error Log'!$G:$G,E$27)</f>
        <v>1</v>
      </c>
      <c r="F28" s="55">
        <f>COUNTIFS('Error Log'!$E:$E,$B$28,'Error Log'!$F:$F,$C28,'Error Log'!$G:$G,F$27)</f>
        <v>1</v>
      </c>
      <c r="G28" s="55">
        <f>COUNTIFS('Error Log'!$E:$E,$B$28,'Error Log'!$F:$F,$C28,'Error Log'!$G:$G,G$27)</f>
        <v>0</v>
      </c>
      <c r="H28" s="55">
        <f>COUNTIFS('Error Log'!$E:$E,$B$28,'Error Log'!$F:$F,$C28,'Error Log'!$G:$G,H$27)</f>
        <v>0</v>
      </c>
      <c r="I28" s="55">
        <f>COUNTIFS('Error Log'!$E:$E,$B$28,'Error Log'!$F:$F,$C28,'Error Log'!$G:$G,I$27)</f>
        <v>3</v>
      </c>
      <c r="J28" s="48">
        <f>COUNTIFS('Error Log'!$E:$E,$B$28,'Error Log'!$F:$F,$C28,'Error Log'!$G:$G,J$27)</f>
        <v>0</v>
      </c>
      <c r="K28" s="54">
        <f>COUNTIFS('Error Log'!$E:$E,$B$28,'Error Log'!$F:$F,$C28,'Error Log'!$G:$G,K$27)</f>
        <v>177</v>
      </c>
      <c r="L28" s="65">
        <f t="shared" ref="L28:L35" si="0">SUM(D28:K28)</f>
        <v>183</v>
      </c>
    </row>
    <row r="29" spans="2:12">
      <c r="B29" s="105"/>
      <c r="C29" s="62" t="s">
        <v>7</v>
      </c>
      <c r="D29" s="49">
        <f>COUNTIFS('Error Log'!$E:$E,$B$28,'Error Log'!$F:$F,$C29,'Error Log'!$G:$G,D$27)</f>
        <v>0</v>
      </c>
      <c r="E29" s="49">
        <f>COUNTIFS('Error Log'!$E:$E,$B$28,'Error Log'!$F:$F,$C29,'Error Log'!$G:$G,E$27)</f>
        <v>0</v>
      </c>
      <c r="F29" s="56">
        <f>COUNTIFS('Error Log'!$E:$E,$B$28,'Error Log'!$F:$F,$C29,'Error Log'!$G:$G,F$27)</f>
        <v>4</v>
      </c>
      <c r="G29" s="56">
        <f>COUNTIFS('Error Log'!$E:$E,$B$28,'Error Log'!$F:$F,$C29,'Error Log'!$G:$G,G$27)</f>
        <v>1</v>
      </c>
      <c r="H29" s="56">
        <f>COUNTIFS('Error Log'!$E:$E,$B$28,'Error Log'!$F:$F,$C29,'Error Log'!$G:$G,H$27)</f>
        <v>2</v>
      </c>
      <c r="I29" s="56">
        <f>COUNTIFS('Error Log'!$E:$E,$B$28,'Error Log'!$F:$F,$C29,'Error Log'!$G:$G,I$27)</f>
        <v>4</v>
      </c>
      <c r="J29" s="51">
        <f>COUNTIFS('Error Log'!$E:$E,$B$28,'Error Log'!$F:$F,$C29,'Error Log'!$G:$G,J$27)</f>
        <v>3</v>
      </c>
      <c r="K29" s="52">
        <f>COUNTIFS('Error Log'!$E:$E,$B$28,'Error Log'!$F:$F,$C29,'Error Log'!$G:$G,K$27)</f>
        <v>213</v>
      </c>
      <c r="L29" s="66">
        <f t="shared" si="0"/>
        <v>227</v>
      </c>
    </row>
    <row r="30" spans="2:12">
      <c r="B30" s="105"/>
      <c r="C30" s="62" t="s">
        <v>68</v>
      </c>
      <c r="D30" s="49">
        <f>COUNTIFS('Error Log'!$E:$E,$B$28,'Error Log'!$F:$F,$C30,'Error Log'!$G:$G,D$27)</f>
        <v>0</v>
      </c>
      <c r="E30" s="49">
        <f>COUNTIFS('Error Log'!$E:$E,$B$28,'Error Log'!$F:$F,$C30,'Error Log'!$G:$G,E$27)</f>
        <v>0</v>
      </c>
      <c r="F30" s="56">
        <f>COUNTIFS('Error Log'!$E:$E,$B$28,'Error Log'!$F:$F,$C30,'Error Log'!$G:$G,F$27)</f>
        <v>1</v>
      </c>
      <c r="G30" s="56">
        <f>COUNTIFS('Error Log'!$E:$E,$B$28,'Error Log'!$F:$F,$C30,'Error Log'!$G:$G,G$27)</f>
        <v>3</v>
      </c>
      <c r="H30" s="56">
        <f>COUNTIFS('Error Log'!$E:$E,$B$28,'Error Log'!$F:$F,$C30,'Error Log'!$G:$G,H$27)</f>
        <v>2</v>
      </c>
      <c r="I30" s="56">
        <f>COUNTIFS('Error Log'!$E:$E,$B$28,'Error Log'!$F:$F,$C30,'Error Log'!$G:$G,I$27)</f>
        <v>1</v>
      </c>
      <c r="J30" s="49">
        <f>COUNTIFS('Error Log'!$E:$E,$B$28,'Error Log'!$F:$F,$C30,'Error Log'!$G:$G,J$27)</f>
        <v>0</v>
      </c>
      <c r="K30" s="52">
        <f>COUNTIFS('Error Log'!$E:$E,$B$28,'Error Log'!$F:$F,$C30,'Error Log'!$G:$G,K$27)</f>
        <v>0</v>
      </c>
      <c r="L30" s="66">
        <f t="shared" si="0"/>
        <v>7</v>
      </c>
    </row>
    <row r="31" spans="2:12">
      <c r="B31" s="105"/>
      <c r="C31" s="62" t="s">
        <v>69</v>
      </c>
      <c r="D31" s="49">
        <f>COUNTIFS('Error Log'!$E:$E,$B$28,'Error Log'!$F:$F,$C31,'Error Log'!$G:$G,D$27)</f>
        <v>0</v>
      </c>
      <c r="E31" s="49">
        <f>COUNTIFS('Error Log'!$E:$E,$B$28,'Error Log'!$F:$F,$C31,'Error Log'!$G:$G,E$27)</f>
        <v>0</v>
      </c>
      <c r="F31" s="56">
        <f>COUNTIFS('Error Log'!$E:$E,$B$28,'Error Log'!$F:$F,$C31,'Error Log'!$G:$G,F$27)</f>
        <v>0</v>
      </c>
      <c r="G31" s="56">
        <f>COUNTIFS('Error Log'!$E:$E,$B$28,'Error Log'!$F:$F,$C31,'Error Log'!$G:$G,G$27)</f>
        <v>0</v>
      </c>
      <c r="H31" s="56">
        <f>COUNTIFS('Error Log'!$E:$E,$B$28,'Error Log'!$F:$F,$C31,'Error Log'!$G:$G,H$27)</f>
        <v>0</v>
      </c>
      <c r="I31" s="56">
        <f>COUNTIFS('Error Log'!$E:$E,$B$28,'Error Log'!$F:$F,$C31,'Error Log'!$G:$G,I$27)</f>
        <v>0</v>
      </c>
      <c r="J31" s="49">
        <f>COUNTIFS('Error Log'!$E:$E,$B$28,'Error Log'!$F:$F,$C31,'Error Log'!$G:$G,J$27)</f>
        <v>0</v>
      </c>
      <c r="K31" s="52">
        <f>COUNTIFS('Error Log'!$E:$E,$B$28,'Error Log'!$F:$F,$C31,'Error Log'!$G:$G,K$27)</f>
        <v>0</v>
      </c>
      <c r="L31" s="66">
        <f t="shared" ref="L31" si="1">SUM(D31:K31)</f>
        <v>0</v>
      </c>
    </row>
    <row r="32" spans="2:12" ht="14.4" thickBot="1">
      <c r="B32" s="105"/>
      <c r="C32" s="62" t="s">
        <v>45</v>
      </c>
      <c r="D32" s="51">
        <f>COUNTIFS('Error Log'!$E:$E,$B$28,'Error Log'!$F:$F,$C32,'Error Log'!$G:$G,D$27)</f>
        <v>0</v>
      </c>
      <c r="E32" s="51">
        <f>COUNTIFS('Error Log'!$E:$E,$B$28,'Error Log'!$F:$F,$C32,'Error Log'!$G:$G,E$27)</f>
        <v>0</v>
      </c>
      <c r="F32" s="51">
        <f>COUNTIFS('Error Log'!$E:$E,$B$28,'Error Log'!$F:$F,$C32,'Error Log'!$G:$G,F$27)</f>
        <v>0</v>
      </c>
      <c r="G32" s="51">
        <f>COUNTIFS('Error Log'!$E:$E,$B$28,'Error Log'!$F:$F,$C32,'Error Log'!$G:$G,G$27)</f>
        <v>0</v>
      </c>
      <c r="H32" s="51">
        <f>COUNTIFS('Error Log'!$E:$E,$B$28,'Error Log'!$F:$F,$C32,'Error Log'!$G:$G,H$27)</f>
        <v>0</v>
      </c>
      <c r="I32" s="51">
        <f>COUNTIFS('Error Log'!$E:$E,$B$28,'Error Log'!$F:$F,$C32,'Error Log'!$G:$G,I$27)</f>
        <v>0</v>
      </c>
      <c r="J32" s="49">
        <f>COUNTIFS('Error Log'!$E:$E,$B$28,'Error Log'!$F:$F,$C32,'Error Log'!$G:$G,J$27)</f>
        <v>0</v>
      </c>
      <c r="K32" s="52">
        <f>COUNTIFS('Error Log'!$E:$E,$B$28,'Error Log'!$F:$F,$C32,'Error Log'!$G:$G,K$27)</f>
        <v>0</v>
      </c>
      <c r="L32" s="66">
        <f t="shared" si="0"/>
        <v>0</v>
      </c>
    </row>
    <row r="33" spans="2:12">
      <c r="B33" s="104" t="s">
        <v>2</v>
      </c>
      <c r="C33" s="63" t="s">
        <v>71</v>
      </c>
      <c r="D33" s="57">
        <f>COUNTIFS('Error Log'!$E:$E,$B$33,'Error Log'!$F:$F,$C33,'Error Log'!$G:$G,D$27)</f>
        <v>0</v>
      </c>
      <c r="E33" s="53">
        <f>COUNTIFS('Error Log'!$E:$E,$B$33,'Error Log'!$F:$F,$C33,'Error Log'!$G:$G,E$27)</f>
        <v>0</v>
      </c>
      <c r="F33" s="53">
        <f>COUNTIFS('Error Log'!$E:$E,$B$33,'Error Log'!$F:$F,$C33,'Error Log'!$G:$G,F$27)</f>
        <v>0</v>
      </c>
      <c r="G33" s="53">
        <f>COUNTIFS('Error Log'!$E:$E,$B$33,'Error Log'!$F:$F,$C33,'Error Log'!$G:$G,G$27)</f>
        <v>0</v>
      </c>
      <c r="H33" s="53">
        <f>COUNTIFS('Error Log'!$E:$E,$B$33,'Error Log'!$F:$F,$C33,'Error Log'!$G:$G,H$27)</f>
        <v>0</v>
      </c>
      <c r="I33" s="53">
        <f>COUNTIFS('Error Log'!$E:$E,$B$33,'Error Log'!$F:$F,$C33,'Error Log'!$G:$G,I$27)</f>
        <v>0</v>
      </c>
      <c r="J33" s="50">
        <f>COUNTIFS('Error Log'!$E:$E,$B$33,'Error Log'!$F:$F,$C33,'Error Log'!$G:$G,J$27)</f>
        <v>0</v>
      </c>
      <c r="K33" s="53">
        <f>COUNTIFS('Error Log'!$E:$E,$B$33,'Error Log'!$F:$F,$C33,'Error Log'!$G:$G,K$27)</f>
        <v>0</v>
      </c>
      <c r="L33" s="65">
        <f t="shared" si="0"/>
        <v>0</v>
      </c>
    </row>
    <row r="34" spans="2:12">
      <c r="B34" s="105"/>
      <c r="C34" s="62" t="s">
        <v>26</v>
      </c>
      <c r="D34" s="52">
        <f>COUNTIFS('Error Log'!$E:$E,$B$33,'Error Log'!$F:$F,$C34,'Error Log'!$G:$G,D$27)</f>
        <v>0</v>
      </c>
      <c r="E34" s="52">
        <f>COUNTIFS('Error Log'!$E:$E,$B$33,'Error Log'!$F:$F,$C34,'Error Log'!$G:$G,E$27)</f>
        <v>0</v>
      </c>
      <c r="F34" s="52">
        <f>COUNTIFS('Error Log'!$E:$E,$B$33,'Error Log'!$F:$F,$C34,'Error Log'!$G:$G,F$27)</f>
        <v>0</v>
      </c>
      <c r="G34" s="52">
        <f>COUNTIFS('Error Log'!$E:$E,$B$33,'Error Log'!$F:$F,$C34,'Error Log'!$G:$G,G$27)</f>
        <v>0</v>
      </c>
      <c r="H34" s="52">
        <f>COUNTIFS('Error Log'!$E:$E,$B$33,'Error Log'!$F:$F,$C34,'Error Log'!$G:$G,H$27)</f>
        <v>0</v>
      </c>
      <c r="I34" s="52">
        <f>COUNTIFS('Error Log'!$E:$E,$B$33,'Error Log'!$F:$F,$C34,'Error Log'!$G:$G,I$27)</f>
        <v>0</v>
      </c>
      <c r="J34" s="51">
        <f>COUNTIFS('Error Log'!$E:$E,$B$33,'Error Log'!$F:$F,$C34,'Error Log'!$G:$G,J$27)</f>
        <v>0</v>
      </c>
      <c r="K34" s="52">
        <f>COUNTIFS('Error Log'!$E:$E,$B$33,'Error Log'!$F:$F,$C34,'Error Log'!$G:$G,K$27)</f>
        <v>3</v>
      </c>
      <c r="L34" s="66">
        <f t="shared" si="0"/>
        <v>3</v>
      </c>
    </row>
    <row r="35" spans="2:12" ht="14.4" thickBot="1">
      <c r="B35" s="105"/>
      <c r="C35" s="62" t="s">
        <v>70</v>
      </c>
      <c r="D35" s="56">
        <f>COUNTIFS('Error Log'!$E:$E,$B$33,'Error Log'!$F:$F,$C35,'Error Log'!$G:$G,D$27)</f>
        <v>0</v>
      </c>
      <c r="E35" s="52">
        <f>COUNTIFS('Error Log'!$E:$E,$B$33,'Error Log'!$F:$F,$C35,'Error Log'!$G:$G,E$27)</f>
        <v>0</v>
      </c>
      <c r="F35" s="52">
        <f>COUNTIFS('Error Log'!$E:$E,$B$33,'Error Log'!$F:$F,$C35,'Error Log'!$G:$G,F$27)</f>
        <v>0</v>
      </c>
      <c r="G35" s="52">
        <f>COUNTIFS('Error Log'!$E:$E,$B$33,'Error Log'!$F:$F,$C35,'Error Log'!$G:$G,G$27)</f>
        <v>0</v>
      </c>
      <c r="H35" s="52">
        <f>COUNTIFS('Error Log'!$E:$E,$B$33,'Error Log'!$F:$F,$C35,'Error Log'!$G:$G,H$27)</f>
        <v>0</v>
      </c>
      <c r="I35" s="52">
        <f>COUNTIFS('Error Log'!$E:$E,$B$33,'Error Log'!$F:$F,$C35,'Error Log'!$G:$G,I$27)</f>
        <v>1</v>
      </c>
      <c r="J35" s="51">
        <f>COUNTIFS('Error Log'!$E:$E,$B$33,'Error Log'!$F:$F,$C35,'Error Log'!$G:$G,J$27)</f>
        <v>0</v>
      </c>
      <c r="K35" s="52">
        <f>COUNTIFS('Error Log'!$E:$E,$B$33,'Error Log'!$F:$F,$C35,'Error Log'!$G:$G,K$27)</f>
        <v>0</v>
      </c>
      <c r="L35" s="66">
        <f t="shared" si="0"/>
        <v>1</v>
      </c>
    </row>
    <row r="36" spans="2:12" ht="16.2" thickBot="1">
      <c r="B36" s="102" t="s">
        <v>6</v>
      </c>
      <c r="C36" s="103"/>
      <c r="D36" s="31">
        <f>SUM(D28:D35)</f>
        <v>1</v>
      </c>
      <c r="E36" s="31">
        <f>SUM(E28:E35)</f>
        <v>1</v>
      </c>
      <c r="F36" s="31">
        <f>SUM(F28:F35)</f>
        <v>6</v>
      </c>
      <c r="G36" s="31">
        <f>SUM(G28:G35)</f>
        <v>4</v>
      </c>
      <c r="H36" s="31">
        <f>SUM(H28:H35)</f>
        <v>4</v>
      </c>
      <c r="I36" s="31">
        <f>SUM(I28:I35)</f>
        <v>9</v>
      </c>
      <c r="J36" s="31">
        <f>SUM(J28:J35)</f>
        <v>3</v>
      </c>
      <c r="K36" s="31">
        <f>SUM(K28:K35)</f>
        <v>393</v>
      </c>
      <c r="L36" s="64">
        <f>SUM(L28:L35)</f>
        <v>421</v>
      </c>
    </row>
  </sheetData>
  <mergeCells count="6">
    <mergeCell ref="B2:C2"/>
    <mergeCell ref="E2:F2"/>
    <mergeCell ref="H2:I2"/>
    <mergeCell ref="B36:C36"/>
    <mergeCell ref="B33:B35"/>
    <mergeCell ref="B28:B32"/>
  </mergeCells>
  <phoneticPr fontId="4" type="noConversion"/>
  <pageMargins left="0.7" right="0.7" top="0.75" bottom="0.75" header="0.3" footer="0.3"/>
  <pageSetup paperSize="9" orientation="portrait" horizontalDpi="4294967292" verticalDpi="4294967292"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K826"/>
  <sheetViews>
    <sheetView showGridLines="0" zoomScaleNormal="100" zoomScalePageLayoutView="80" workbookViewId="0">
      <pane ySplit="1" topLeftCell="A2" activePane="bottomLeft" state="frozen"/>
      <selection pane="bottomLeft" activeCell="D6" sqref="D6"/>
    </sheetView>
  </sheetViews>
  <sheetFormatPr defaultColWidth="11" defaultRowHeight="13.8"/>
  <cols>
    <col min="1" max="1" width="13.69921875" style="22" customWidth="1"/>
    <col min="2" max="2" width="10" style="23" bestFit="1" customWidth="1"/>
    <col min="3" max="3" width="19.19921875" style="24" customWidth="1"/>
    <col min="4" max="4" width="42.69921875" style="24" customWidth="1"/>
    <col min="5" max="5" width="14.69921875" style="25" bestFit="1" customWidth="1"/>
    <col min="6" max="6" width="13.69921875" style="25" bestFit="1" customWidth="1"/>
    <col min="7" max="7" width="16.69921875" style="25" bestFit="1" customWidth="1"/>
    <col min="8" max="8" width="19.5" style="25" customWidth="1"/>
    <col min="9" max="9" width="11.09765625" style="25" customWidth="1"/>
    <col min="10" max="10" width="13.19921875" style="21" customWidth="1"/>
    <col min="11" max="11" width="17.19921875" style="21" customWidth="1"/>
    <col min="12" max="16384" width="11" style="21"/>
  </cols>
  <sheetData>
    <row r="1" spans="1:11" ht="41.4">
      <c r="A1" s="16" t="s">
        <v>20</v>
      </c>
      <c r="B1" s="17" t="s">
        <v>17</v>
      </c>
      <c r="C1" s="13" t="s">
        <v>4</v>
      </c>
      <c r="D1" s="13" t="s">
        <v>5</v>
      </c>
      <c r="E1" s="12" t="s">
        <v>0</v>
      </c>
      <c r="F1" s="12" t="s">
        <v>3</v>
      </c>
      <c r="G1" s="12" t="s">
        <v>33</v>
      </c>
      <c r="H1" s="12" t="s">
        <v>32</v>
      </c>
      <c r="I1" s="12" t="s">
        <v>62</v>
      </c>
      <c r="J1" s="12" t="s">
        <v>34</v>
      </c>
    </row>
    <row r="2" spans="1:11" ht="14.4">
      <c r="A2" s="78" t="s">
        <v>74</v>
      </c>
      <c r="B2" s="18">
        <v>1</v>
      </c>
      <c r="C2" s="83" t="s">
        <v>75</v>
      </c>
      <c r="D2" s="78" t="s">
        <v>76</v>
      </c>
      <c r="E2" s="84" t="s">
        <v>21</v>
      </c>
      <c r="F2" s="84" t="s">
        <v>7</v>
      </c>
      <c r="G2" s="84" t="s">
        <v>57</v>
      </c>
      <c r="H2" s="84" t="s">
        <v>77</v>
      </c>
      <c r="I2" s="14"/>
      <c r="J2" s="15" t="str">
        <f>IF(E2="Invalid_Segment","Invalid",IFERROR(INDEX(Severity_Matrix!$C$3:$M$10,MATCH('Error Log'!$F2,Severity_Matrix!$B$3:$B$10,0),MATCH('Error Log'!$G2,Severity_Matrix!$C$2:$M$2,0)),"No errors"))</f>
        <v>Critical</v>
      </c>
      <c r="K2" s="1"/>
    </row>
    <row r="3" spans="1:11" ht="14.4">
      <c r="A3" s="78" t="s">
        <v>74</v>
      </c>
      <c r="B3" s="18">
        <v>2</v>
      </c>
      <c r="C3" s="83" t="s">
        <v>75</v>
      </c>
      <c r="D3" s="78" t="s">
        <v>76</v>
      </c>
      <c r="E3" s="84" t="s">
        <v>21</v>
      </c>
      <c r="F3" s="84" t="s">
        <v>22</v>
      </c>
      <c r="G3" s="84" t="s">
        <v>28</v>
      </c>
      <c r="H3" s="84" t="s">
        <v>78</v>
      </c>
      <c r="I3" s="14"/>
      <c r="J3" s="15" t="str">
        <f>IF(E3="Invalid_Segment","Invalid",IFERROR(INDEX(Severity_Matrix!$C$3:$M$10,MATCH('Error Log'!$F3,Severity_Matrix!$B$3:$B$10,0),MATCH('Error Log'!$G3,Severity_Matrix!$C$2:$M$2,0)),"No errors"))</f>
        <v>Major</v>
      </c>
      <c r="K3" s="1"/>
    </row>
    <row r="4" spans="1:11" ht="14.4">
      <c r="A4" s="78" t="s">
        <v>74</v>
      </c>
      <c r="B4" s="18">
        <v>3</v>
      </c>
      <c r="C4" s="83" t="s">
        <v>75</v>
      </c>
      <c r="D4" s="78" t="s">
        <v>76</v>
      </c>
      <c r="E4" s="84" t="s">
        <v>2</v>
      </c>
      <c r="F4" s="84" t="s">
        <v>66</v>
      </c>
      <c r="G4" s="84" t="s">
        <v>28</v>
      </c>
      <c r="H4" s="84" t="s">
        <v>79</v>
      </c>
      <c r="I4" s="14"/>
      <c r="J4" s="15" t="str">
        <f>IF(E4="Invalid_Segment","Invalid",IFERROR(INDEX(Severity_Matrix!$C$3:$M$10,MATCH('Error Log'!$F4,Severity_Matrix!$B$3:$B$10,0),MATCH('Error Log'!$G4,Severity_Matrix!$C$2:$M$2,0)),"No errors"))</f>
        <v>Minor</v>
      </c>
      <c r="K4" s="1"/>
    </row>
    <row r="5" spans="1:11" ht="14.4">
      <c r="A5" s="78" t="s">
        <v>74</v>
      </c>
      <c r="B5" s="18">
        <v>4</v>
      </c>
      <c r="C5" s="83" t="s">
        <v>75</v>
      </c>
      <c r="D5" s="78" t="s">
        <v>76</v>
      </c>
      <c r="E5" s="84" t="s">
        <v>21</v>
      </c>
      <c r="F5" s="84" t="s">
        <v>63</v>
      </c>
      <c r="G5" s="84" t="s">
        <v>29</v>
      </c>
      <c r="H5" s="84">
        <v>19</v>
      </c>
      <c r="I5" s="14"/>
      <c r="J5" s="15" t="str">
        <f>IF(E5="Invalid_Segment","Invalid",IFERROR(INDEX(Severity_Matrix!$C$3:$M$10,MATCH('Error Log'!$F5,Severity_Matrix!$B$3:$B$10,0),MATCH('Error Log'!$G5,Severity_Matrix!$C$2:$M$2,0)),"No errors"))</f>
        <v>Critical</v>
      </c>
      <c r="K5" s="1"/>
    </row>
    <row r="6" spans="1:11" ht="14.4">
      <c r="A6" s="78" t="s">
        <v>74</v>
      </c>
      <c r="B6" s="18">
        <v>5</v>
      </c>
      <c r="C6" s="83" t="s">
        <v>75</v>
      </c>
      <c r="D6" s="78" t="s">
        <v>76</v>
      </c>
      <c r="E6" s="84" t="s">
        <v>21</v>
      </c>
      <c r="F6" s="84" t="s">
        <v>7</v>
      </c>
      <c r="G6" s="84" t="s">
        <v>57</v>
      </c>
      <c r="H6" s="84" t="s">
        <v>80</v>
      </c>
      <c r="I6" s="14"/>
      <c r="J6" s="15" t="str">
        <f>IF(E6="Invalid_Segment","Invalid",IFERROR(INDEX(Severity_Matrix!$C$3:$M$10,MATCH('Error Log'!$F6,Severity_Matrix!$B$3:$B$10,0),MATCH('Error Log'!$G6,Severity_Matrix!$C$2:$M$2,0)),"No errors"))</f>
        <v>Critical</v>
      </c>
      <c r="K6" s="1"/>
    </row>
    <row r="7" spans="1:11" ht="14.4">
      <c r="A7" s="78" t="s">
        <v>74</v>
      </c>
      <c r="B7" s="18">
        <v>6</v>
      </c>
      <c r="C7" s="83" t="s">
        <v>75</v>
      </c>
      <c r="D7" s="78" t="s">
        <v>76</v>
      </c>
      <c r="E7" s="84" t="s">
        <v>21</v>
      </c>
      <c r="F7" s="84" t="s">
        <v>7</v>
      </c>
      <c r="G7" s="84" t="s">
        <v>57</v>
      </c>
      <c r="H7" s="84" t="s">
        <v>81</v>
      </c>
      <c r="I7" s="14"/>
      <c r="J7" s="15" t="str">
        <f>IF(E7="Invalid_Segment","Invalid",IFERROR(INDEX(Severity_Matrix!$C$3:$M$10,MATCH('Error Log'!$F7,Severity_Matrix!$B$3:$B$10,0),MATCH('Error Log'!$G7,Severity_Matrix!$C$2:$M$2,0)),"No errors"))</f>
        <v>Critical</v>
      </c>
      <c r="K7" s="1"/>
    </row>
    <row r="8" spans="1:11" ht="14.4">
      <c r="A8" s="78" t="s">
        <v>82</v>
      </c>
      <c r="B8" s="18">
        <v>1</v>
      </c>
      <c r="C8" s="83" t="s">
        <v>83</v>
      </c>
      <c r="D8" s="78" t="s">
        <v>84</v>
      </c>
      <c r="E8" s="84" t="s">
        <v>21</v>
      </c>
      <c r="F8" s="84" t="s">
        <v>7</v>
      </c>
      <c r="G8" s="84" t="s">
        <v>57</v>
      </c>
      <c r="H8" s="84" t="s">
        <v>85</v>
      </c>
      <c r="I8" s="84"/>
      <c r="J8" s="15" t="str">
        <f>IF(E8="Invalid_Segment","Invalid",IFERROR(INDEX(Severity_Matrix!$C$3:$M$10,MATCH('Error Log'!$F8,Severity_Matrix!$B$3:$B$10,0),MATCH('Error Log'!$G8,Severity_Matrix!$C$2:$M$2,0)),"No errors"))</f>
        <v>Critical</v>
      </c>
      <c r="K8" s="78"/>
    </row>
    <row r="9" spans="1:11" ht="14.4">
      <c r="A9" s="78" t="s">
        <v>82</v>
      </c>
      <c r="B9" s="18">
        <v>2</v>
      </c>
      <c r="C9" s="83" t="s">
        <v>83</v>
      </c>
      <c r="D9" s="78" t="s">
        <v>86</v>
      </c>
      <c r="E9" s="84" t="s">
        <v>21</v>
      </c>
      <c r="F9" s="84" t="s">
        <v>7</v>
      </c>
      <c r="G9" s="84" t="s">
        <v>57</v>
      </c>
      <c r="H9" s="84" t="s">
        <v>87</v>
      </c>
      <c r="I9" s="14"/>
      <c r="J9" s="15" t="str">
        <f>IF(E9="Invalid_Segment","Invalid",IFERROR(INDEX(Severity_Matrix!$C$3:$M$10,MATCH('Error Log'!$F9,Severity_Matrix!$B$3:$B$10,0),MATCH('Error Log'!$G9,Severity_Matrix!$C$2:$M$2,0)),"No errors"))</f>
        <v>Critical</v>
      </c>
      <c r="K9" s="1"/>
    </row>
    <row r="10" spans="1:11" ht="14.4">
      <c r="A10" s="78" t="s">
        <v>82</v>
      </c>
      <c r="B10" s="18">
        <v>3</v>
      </c>
      <c r="C10" s="83" t="s">
        <v>83</v>
      </c>
      <c r="D10" s="78" t="s">
        <v>86</v>
      </c>
      <c r="E10" s="84" t="s">
        <v>21</v>
      </c>
      <c r="F10" s="84" t="s">
        <v>7</v>
      </c>
      <c r="G10" s="84" t="s">
        <v>57</v>
      </c>
      <c r="H10" s="84" t="s">
        <v>88</v>
      </c>
      <c r="I10" s="14"/>
      <c r="J10" s="15" t="str">
        <f>IF(E10="Invalid_Segment","Invalid",IFERROR(INDEX(Severity_Matrix!$C$3:$M$10,MATCH('Error Log'!$F10,Severity_Matrix!$B$3:$B$10,0),MATCH('Error Log'!$G10,Severity_Matrix!$C$2:$M$2,0)),"No errors"))</f>
        <v>Critical</v>
      </c>
      <c r="K10" s="1"/>
    </row>
    <row r="11" spans="1:11" ht="14.4">
      <c r="A11" s="78" t="s">
        <v>82</v>
      </c>
      <c r="B11" s="18">
        <v>4</v>
      </c>
      <c r="C11" s="83" t="s">
        <v>83</v>
      </c>
      <c r="D11" s="78" t="s">
        <v>86</v>
      </c>
      <c r="E11" s="84" t="s">
        <v>21</v>
      </c>
      <c r="F11" s="84" t="s">
        <v>7</v>
      </c>
      <c r="G11" s="84" t="s">
        <v>57</v>
      </c>
      <c r="H11" s="84" t="s">
        <v>89</v>
      </c>
      <c r="I11" s="14"/>
      <c r="J11" s="15" t="str">
        <f>IF(E11="Invalid_Segment","Invalid",IFERROR(INDEX(Severity_Matrix!$C$3:$M$10,MATCH('Error Log'!$F11,Severity_Matrix!$B$3:$B$10,0),MATCH('Error Log'!$G11,Severity_Matrix!$C$2:$M$2,0)),"No errors"))</f>
        <v>Critical</v>
      </c>
      <c r="K11" s="1"/>
    </row>
    <row r="12" spans="1:11" ht="14.4">
      <c r="A12" s="78" t="s">
        <v>82</v>
      </c>
      <c r="B12" s="18">
        <v>5</v>
      </c>
      <c r="C12" s="83" t="s">
        <v>83</v>
      </c>
      <c r="D12" s="78" t="s">
        <v>86</v>
      </c>
      <c r="E12" s="84" t="s">
        <v>21</v>
      </c>
      <c r="F12" s="84" t="s">
        <v>7</v>
      </c>
      <c r="G12" s="84" t="s">
        <v>57</v>
      </c>
      <c r="H12" s="84" t="s">
        <v>90</v>
      </c>
      <c r="I12" s="14"/>
      <c r="J12" s="15" t="str">
        <f>IF(E12="Invalid_Segment","Invalid",IFERROR(INDEX(Severity_Matrix!$C$3:$M$10,MATCH('Error Log'!$F12,Severity_Matrix!$B$3:$B$10,0),MATCH('Error Log'!$G12,Severity_Matrix!$C$2:$M$2,0)),"No errors"))</f>
        <v>Critical</v>
      </c>
      <c r="K12" s="1"/>
    </row>
    <row r="13" spans="1:11" ht="14.4">
      <c r="A13" s="78" t="s">
        <v>91</v>
      </c>
      <c r="B13" s="18">
        <v>1</v>
      </c>
      <c r="C13" s="83" t="s">
        <v>92</v>
      </c>
      <c r="D13" s="78" t="s">
        <v>93</v>
      </c>
      <c r="E13" s="84" t="s">
        <v>21</v>
      </c>
      <c r="F13" s="84" t="s">
        <v>7</v>
      </c>
      <c r="G13" s="84" t="s">
        <v>57</v>
      </c>
      <c r="H13" s="84" t="s">
        <v>94</v>
      </c>
      <c r="I13" s="14"/>
      <c r="J13" s="15" t="str">
        <f>IF(E13="Invalid_Segment","Invalid",IFERROR(INDEX(Severity_Matrix!$C$3:$M$10,MATCH('Error Log'!$F13,Severity_Matrix!$B$3:$B$10,0),MATCH('Error Log'!$G13,Severity_Matrix!$C$2:$M$2,0)),"No errors"))</f>
        <v>Critical</v>
      </c>
      <c r="K13" s="1"/>
    </row>
    <row r="14" spans="1:11" ht="14.4">
      <c r="A14" s="78" t="s">
        <v>91</v>
      </c>
      <c r="B14" s="18">
        <v>2</v>
      </c>
      <c r="C14" s="83" t="s">
        <v>92</v>
      </c>
      <c r="D14" s="78" t="s">
        <v>93</v>
      </c>
      <c r="E14" s="84" t="s">
        <v>21</v>
      </c>
      <c r="F14" s="84" t="s">
        <v>7</v>
      </c>
      <c r="G14" s="84" t="s">
        <v>57</v>
      </c>
      <c r="H14" s="84" t="s">
        <v>95</v>
      </c>
      <c r="I14" s="14"/>
      <c r="J14" s="15" t="str">
        <f>IF(E14="Invalid_Segment","Invalid",IFERROR(INDEX(Severity_Matrix!$C$3:$M$10,MATCH('Error Log'!$F14,Severity_Matrix!$B$3:$B$10,0),MATCH('Error Log'!$G14,Severity_Matrix!$C$2:$M$2,0)),"No errors"))</f>
        <v>Critical</v>
      </c>
      <c r="K14" s="1"/>
    </row>
    <row r="15" spans="1:11" ht="14.4">
      <c r="A15" s="78" t="s">
        <v>96</v>
      </c>
      <c r="B15" s="18">
        <v>1</v>
      </c>
      <c r="C15" s="83" t="s">
        <v>97</v>
      </c>
      <c r="D15" s="78" t="s">
        <v>98</v>
      </c>
      <c r="E15" s="84" t="s">
        <v>21</v>
      </c>
      <c r="F15" s="84" t="s">
        <v>7</v>
      </c>
      <c r="G15" s="84" t="s">
        <v>57</v>
      </c>
      <c r="H15" s="84" t="s">
        <v>99</v>
      </c>
      <c r="I15" s="14"/>
      <c r="J15" s="15" t="str">
        <f>IF(E15="Invalid_Segment","Invalid",IFERROR(INDEX(Severity_Matrix!$C$3:$M$10,MATCH('Error Log'!$F15,Severity_Matrix!$B$3:$B$10,0),MATCH('Error Log'!$G15,Severity_Matrix!$C$2:$M$2,0)),"No errors"))</f>
        <v>Critical</v>
      </c>
      <c r="K15" s="1"/>
    </row>
    <row r="16" spans="1:11" ht="14.4">
      <c r="A16" s="78" t="s">
        <v>96</v>
      </c>
      <c r="B16" s="18">
        <v>2</v>
      </c>
      <c r="C16" s="83" t="s">
        <v>97</v>
      </c>
      <c r="D16" s="78" t="s">
        <v>98</v>
      </c>
      <c r="E16" s="84" t="s">
        <v>21</v>
      </c>
      <c r="F16" s="84" t="s">
        <v>7</v>
      </c>
      <c r="G16" s="84" t="s">
        <v>57</v>
      </c>
      <c r="H16" s="84" t="s">
        <v>100</v>
      </c>
      <c r="I16" s="14"/>
      <c r="J16" s="15" t="str">
        <f>IF(E16="Invalid_Segment","Invalid",IFERROR(INDEX(Severity_Matrix!$C$3:$M$10,MATCH('Error Log'!$F16,Severity_Matrix!$B$3:$B$10,0),MATCH('Error Log'!$G16,Severity_Matrix!$C$2:$M$2,0)),"No errors"))</f>
        <v>Critical</v>
      </c>
      <c r="K16" s="1"/>
    </row>
    <row r="17" spans="1:11" ht="14.4">
      <c r="A17" s="78" t="s">
        <v>101</v>
      </c>
      <c r="B17" s="18">
        <v>1</v>
      </c>
      <c r="C17" s="83" t="s">
        <v>102</v>
      </c>
      <c r="D17" s="78" t="s">
        <v>103</v>
      </c>
      <c r="E17" s="84" t="s">
        <v>21</v>
      </c>
      <c r="F17" s="84" t="s">
        <v>7</v>
      </c>
      <c r="G17" s="84" t="s">
        <v>57</v>
      </c>
      <c r="H17" s="84" t="s">
        <v>104</v>
      </c>
      <c r="I17" s="14"/>
      <c r="J17" s="15" t="str">
        <f>IF(E17="Invalid_Segment","Invalid",IFERROR(INDEX(Severity_Matrix!$C$3:$M$10,MATCH('Error Log'!$F17,Severity_Matrix!$B$3:$B$10,0),MATCH('Error Log'!$G17,Severity_Matrix!$C$2:$M$2,0)),"No errors"))</f>
        <v>Critical</v>
      </c>
      <c r="K17" s="1"/>
    </row>
    <row r="18" spans="1:11" ht="14.4">
      <c r="A18" s="78" t="s">
        <v>101</v>
      </c>
      <c r="B18" s="18">
        <v>2</v>
      </c>
      <c r="C18" s="83" t="s">
        <v>102</v>
      </c>
      <c r="D18" s="78" t="s">
        <v>103</v>
      </c>
      <c r="E18" s="84" t="s">
        <v>21</v>
      </c>
      <c r="F18" s="84" t="s">
        <v>7</v>
      </c>
      <c r="G18" s="84" t="s">
        <v>57</v>
      </c>
      <c r="H18" s="84" t="s">
        <v>105</v>
      </c>
      <c r="I18" s="14"/>
      <c r="J18" s="15" t="str">
        <f>IF(E18="Invalid_Segment","Invalid",IFERROR(INDEX(Severity_Matrix!$C$3:$M$10,MATCH('Error Log'!$F18,Severity_Matrix!$B$3:$B$10,0),MATCH('Error Log'!$G18,Severity_Matrix!$C$2:$M$2,0)),"No errors"))</f>
        <v>Critical</v>
      </c>
      <c r="K18" s="1"/>
    </row>
    <row r="19" spans="1:11">
      <c r="A19" s="78" t="s">
        <v>106</v>
      </c>
      <c r="B19" s="18">
        <v>1</v>
      </c>
      <c r="C19" s="78" t="s">
        <v>107</v>
      </c>
      <c r="D19" s="78" t="s">
        <v>108</v>
      </c>
      <c r="E19" s="84" t="s">
        <v>21</v>
      </c>
      <c r="F19" s="84" t="s">
        <v>7</v>
      </c>
      <c r="G19" s="84" t="s">
        <v>57</v>
      </c>
      <c r="H19" s="84" t="s">
        <v>109</v>
      </c>
      <c r="I19" s="14"/>
      <c r="J19" s="15" t="str">
        <f>IF(E19="Invalid_Segment","Invalid",IFERROR(INDEX(Severity_Matrix!$C$3:$M$10,MATCH('Error Log'!$F19,Severity_Matrix!$B$3:$B$10,0),MATCH('Error Log'!$G19,Severity_Matrix!$C$2:$M$2,0)),"No errors"))</f>
        <v>Critical</v>
      </c>
      <c r="K19" s="1"/>
    </row>
    <row r="20" spans="1:11">
      <c r="A20" s="78" t="s">
        <v>106</v>
      </c>
      <c r="B20" s="18">
        <v>2</v>
      </c>
      <c r="C20" s="78" t="s">
        <v>107</v>
      </c>
      <c r="D20" s="78" t="s">
        <v>108</v>
      </c>
      <c r="E20" s="84" t="s">
        <v>21</v>
      </c>
      <c r="F20" s="84" t="s">
        <v>7</v>
      </c>
      <c r="G20" s="84" t="s">
        <v>57</v>
      </c>
      <c r="H20" s="84" t="s">
        <v>110</v>
      </c>
      <c r="I20" s="14"/>
      <c r="J20" s="15" t="str">
        <f>IF(E20="Invalid_Segment","Invalid",IFERROR(INDEX(Severity_Matrix!$C$3:$M$10,MATCH('Error Log'!$F20,Severity_Matrix!$B$3:$B$10,0),MATCH('Error Log'!$G20,Severity_Matrix!$C$2:$M$2,0)),"No errors"))</f>
        <v>Critical</v>
      </c>
      <c r="K20" s="1"/>
    </row>
    <row r="21" spans="1:11">
      <c r="A21" s="78" t="s">
        <v>106</v>
      </c>
      <c r="B21" s="18">
        <v>3</v>
      </c>
      <c r="C21" s="78" t="s">
        <v>107</v>
      </c>
      <c r="D21" s="78" t="s">
        <v>108</v>
      </c>
      <c r="E21" s="84" t="s">
        <v>21</v>
      </c>
      <c r="F21" s="84" t="s">
        <v>22</v>
      </c>
      <c r="G21" s="84" t="s">
        <v>57</v>
      </c>
      <c r="H21" s="84" t="s">
        <v>111</v>
      </c>
      <c r="I21" s="14"/>
      <c r="J21" s="15" t="str">
        <f>IF(E21="Invalid_Segment","Invalid",IFERROR(INDEX(Severity_Matrix!$C$3:$M$10,MATCH('Error Log'!$F21,Severity_Matrix!$B$3:$B$10,0),MATCH('Error Log'!$G21,Severity_Matrix!$C$2:$M$2,0)),"No errors"))</f>
        <v>Major</v>
      </c>
      <c r="K21" s="1"/>
    </row>
    <row r="22" spans="1:11">
      <c r="A22" s="78" t="s">
        <v>112</v>
      </c>
      <c r="B22" s="18">
        <v>1</v>
      </c>
      <c r="C22" s="78" t="s">
        <v>113</v>
      </c>
      <c r="D22" s="78" t="s">
        <v>114</v>
      </c>
      <c r="E22" s="84" t="s">
        <v>21</v>
      </c>
      <c r="F22" s="84" t="s">
        <v>7</v>
      </c>
      <c r="G22" s="84" t="s">
        <v>57</v>
      </c>
      <c r="H22" s="84" t="s">
        <v>115</v>
      </c>
      <c r="I22" s="84"/>
      <c r="J22" s="15" t="str">
        <f>IF(E22="Invalid_Segment","Invalid",IFERROR(INDEX(Severity_Matrix!$C$3:$M$10,MATCH('Error Log'!$F22,Severity_Matrix!$B$3:$B$10,0),MATCH('Error Log'!$G22,Severity_Matrix!$C$2:$M$2,0)),"No errors"))</f>
        <v>Critical</v>
      </c>
      <c r="K22" s="78"/>
    </row>
    <row r="23" spans="1:11">
      <c r="A23" s="78" t="s">
        <v>112</v>
      </c>
      <c r="B23" s="18">
        <v>2</v>
      </c>
      <c r="C23" s="78" t="s">
        <v>113</v>
      </c>
      <c r="D23" s="78" t="s">
        <v>114</v>
      </c>
      <c r="E23" s="84" t="s">
        <v>21</v>
      </c>
      <c r="F23" s="84" t="s">
        <v>7</v>
      </c>
      <c r="G23" s="84" t="s">
        <v>57</v>
      </c>
      <c r="H23" s="84" t="s">
        <v>116</v>
      </c>
      <c r="I23" s="14"/>
      <c r="J23" s="15" t="str">
        <f>IF(E23="Invalid_Segment","Invalid",IFERROR(INDEX(Severity_Matrix!$C$3:$M$10,MATCH('Error Log'!$F23,Severity_Matrix!$B$3:$B$10,0),MATCH('Error Log'!$G23,Severity_Matrix!$C$2:$M$2,0)),"No errors"))</f>
        <v>Critical</v>
      </c>
      <c r="K23" s="1"/>
    </row>
    <row r="24" spans="1:11">
      <c r="A24" s="78" t="s">
        <v>112</v>
      </c>
      <c r="B24" s="18">
        <v>3</v>
      </c>
      <c r="C24" s="78" t="s">
        <v>113</v>
      </c>
      <c r="D24" s="78" t="s">
        <v>114</v>
      </c>
      <c r="E24" s="84" t="s">
        <v>21</v>
      </c>
      <c r="F24" s="84" t="s">
        <v>22</v>
      </c>
      <c r="G24" s="84" t="s">
        <v>57</v>
      </c>
      <c r="H24" s="84" t="s">
        <v>117</v>
      </c>
      <c r="I24" s="14"/>
      <c r="J24" s="15" t="str">
        <f>IF(E24="Invalid_Segment","Invalid",IFERROR(INDEX(Severity_Matrix!$C$3:$M$10,MATCH('Error Log'!$F24,Severity_Matrix!$B$3:$B$10,0),MATCH('Error Log'!$G24,Severity_Matrix!$C$2:$M$2,0)),"No errors"))</f>
        <v>Major</v>
      </c>
      <c r="K24" s="1"/>
    </row>
    <row r="25" spans="1:11">
      <c r="A25" s="78" t="s">
        <v>118</v>
      </c>
      <c r="B25" s="18">
        <v>1</v>
      </c>
      <c r="C25" s="78" t="s">
        <v>119</v>
      </c>
      <c r="D25" s="78" t="s">
        <v>120</v>
      </c>
      <c r="E25" s="84" t="s">
        <v>21</v>
      </c>
      <c r="F25" s="84" t="s">
        <v>7</v>
      </c>
      <c r="G25" s="84" t="s">
        <v>57</v>
      </c>
      <c r="H25" s="84" t="s">
        <v>121</v>
      </c>
      <c r="I25" s="14"/>
      <c r="J25" s="15" t="str">
        <f>IF(E25="Invalid_Segment","Invalid",IFERROR(INDEX(Severity_Matrix!$C$3:$M$10,MATCH('Error Log'!$F25,Severity_Matrix!$B$3:$B$10,0),MATCH('Error Log'!$G25,Severity_Matrix!$C$2:$M$2,0)),"No errors"))</f>
        <v>Critical</v>
      </c>
      <c r="K25" s="1"/>
    </row>
    <row r="26" spans="1:11">
      <c r="A26" s="78" t="s">
        <v>118</v>
      </c>
      <c r="B26" s="18">
        <v>2</v>
      </c>
      <c r="C26" s="78" t="s">
        <v>119</v>
      </c>
      <c r="D26" s="78" t="s">
        <v>120</v>
      </c>
      <c r="E26" s="84" t="s">
        <v>21</v>
      </c>
      <c r="F26" s="84" t="s">
        <v>7</v>
      </c>
      <c r="G26" s="84" t="s">
        <v>57</v>
      </c>
      <c r="H26" s="84" t="s">
        <v>122</v>
      </c>
      <c r="I26" s="14"/>
      <c r="J26" s="15" t="str">
        <f>IF(E26="Invalid_Segment","Invalid",IFERROR(INDEX(Severity_Matrix!$C$3:$M$10,MATCH('Error Log'!$F26,Severity_Matrix!$B$3:$B$10,0),MATCH('Error Log'!$G26,Severity_Matrix!$C$2:$M$2,0)),"No errors"))</f>
        <v>Critical</v>
      </c>
      <c r="K26" s="1"/>
    </row>
    <row r="27" spans="1:11">
      <c r="A27" s="78" t="s">
        <v>118</v>
      </c>
      <c r="B27" s="18">
        <v>3</v>
      </c>
      <c r="C27" s="78" t="s">
        <v>119</v>
      </c>
      <c r="D27" s="78" t="s">
        <v>120</v>
      </c>
      <c r="E27" s="84" t="s">
        <v>21</v>
      </c>
      <c r="F27" s="84" t="s">
        <v>22</v>
      </c>
      <c r="G27" s="84" t="s">
        <v>57</v>
      </c>
      <c r="H27" s="84" t="s">
        <v>123</v>
      </c>
      <c r="I27" s="14"/>
      <c r="J27" s="15" t="str">
        <f>IF(E27="Invalid_Segment","Invalid",IFERROR(INDEX(Severity_Matrix!$C$3:$M$10,MATCH('Error Log'!$F27,Severity_Matrix!$B$3:$B$10,0),MATCH('Error Log'!$G27,Severity_Matrix!$C$2:$M$2,0)),"No errors"))</f>
        <v>Major</v>
      </c>
      <c r="K27" s="1"/>
    </row>
    <row r="28" spans="1:11">
      <c r="A28" s="78" t="s">
        <v>124</v>
      </c>
      <c r="B28" s="18">
        <v>1</v>
      </c>
      <c r="C28" s="78" t="s">
        <v>125</v>
      </c>
      <c r="D28" s="78" t="s">
        <v>126</v>
      </c>
      <c r="E28" s="84" t="s">
        <v>21</v>
      </c>
      <c r="F28" s="84" t="s">
        <v>22</v>
      </c>
      <c r="G28" s="84" t="s">
        <v>57</v>
      </c>
      <c r="H28" s="84" t="s">
        <v>127</v>
      </c>
      <c r="I28" s="14"/>
      <c r="J28" s="15" t="str">
        <f>IF(E28="Invalid_Segment","Invalid",IFERROR(INDEX(Severity_Matrix!$C$3:$M$10,MATCH('Error Log'!$F28,Severity_Matrix!$B$3:$B$10,0),MATCH('Error Log'!$G28,Severity_Matrix!$C$2:$M$2,0)),"No errors"))</f>
        <v>Major</v>
      </c>
      <c r="K28" s="1"/>
    </row>
    <row r="29" spans="1:11">
      <c r="A29" s="78" t="s">
        <v>124</v>
      </c>
      <c r="B29" s="18">
        <v>2</v>
      </c>
      <c r="C29" s="78" t="s">
        <v>125</v>
      </c>
      <c r="D29" s="78" t="s">
        <v>126</v>
      </c>
      <c r="E29" s="84" t="s">
        <v>21</v>
      </c>
      <c r="F29" s="84" t="s">
        <v>7</v>
      </c>
      <c r="G29" s="84" t="s">
        <v>57</v>
      </c>
      <c r="H29" s="84" t="s">
        <v>128</v>
      </c>
      <c r="I29" s="14"/>
      <c r="J29" s="15" t="str">
        <f>IF(E29="Invalid_Segment","Invalid",IFERROR(INDEX(Severity_Matrix!$C$3:$M$10,MATCH('Error Log'!$F29,Severity_Matrix!$B$3:$B$10,0),MATCH('Error Log'!$G29,Severity_Matrix!$C$2:$M$2,0)),"No errors"))</f>
        <v>Critical</v>
      </c>
      <c r="K29" s="1"/>
    </row>
    <row r="30" spans="1:11">
      <c r="A30" s="78" t="s">
        <v>129</v>
      </c>
      <c r="B30" s="18">
        <v>1</v>
      </c>
      <c r="C30" s="78" t="s">
        <v>130</v>
      </c>
      <c r="D30" s="78" t="s">
        <v>131</v>
      </c>
      <c r="E30" s="84" t="s">
        <v>21</v>
      </c>
      <c r="F30" s="84" t="s">
        <v>7</v>
      </c>
      <c r="G30" s="84" t="s">
        <v>57</v>
      </c>
      <c r="H30" s="84" t="s">
        <v>132</v>
      </c>
      <c r="I30" s="14"/>
      <c r="J30" s="15" t="str">
        <f>IF(E30="Invalid_Segment","Invalid",IFERROR(INDEX(Severity_Matrix!$C$3:$M$10,MATCH('Error Log'!$F30,Severity_Matrix!$B$3:$B$10,0),MATCH('Error Log'!$G30,Severity_Matrix!$C$2:$M$2,0)),"No errors"))</f>
        <v>Critical</v>
      </c>
      <c r="K30" s="1"/>
    </row>
    <row r="31" spans="1:11">
      <c r="A31" s="78" t="s">
        <v>129</v>
      </c>
      <c r="B31" s="18">
        <v>2</v>
      </c>
      <c r="C31" s="78" t="s">
        <v>130</v>
      </c>
      <c r="D31" s="78" t="s">
        <v>131</v>
      </c>
      <c r="E31" s="84" t="s">
        <v>21</v>
      </c>
      <c r="F31" s="84" t="s">
        <v>7</v>
      </c>
      <c r="G31" s="84" t="s">
        <v>57</v>
      </c>
      <c r="H31" s="84" t="s">
        <v>133</v>
      </c>
      <c r="I31" s="14"/>
      <c r="J31" s="15" t="str">
        <f>IF(E31="Invalid_Segment","Invalid",IFERROR(INDEX(Severity_Matrix!$C$3:$M$10,MATCH('Error Log'!$F31,Severity_Matrix!$B$3:$B$10,0),MATCH('Error Log'!$G31,Severity_Matrix!$C$2:$M$2,0)),"No errors"))</f>
        <v>Critical</v>
      </c>
      <c r="K31" s="1"/>
    </row>
    <row r="32" spans="1:11">
      <c r="A32" s="78" t="s">
        <v>129</v>
      </c>
      <c r="B32" s="18">
        <v>3</v>
      </c>
      <c r="C32" s="78" t="s">
        <v>130</v>
      </c>
      <c r="D32" s="78" t="s">
        <v>131</v>
      </c>
      <c r="E32" s="84" t="s">
        <v>21</v>
      </c>
      <c r="F32" s="84" t="s">
        <v>7</v>
      </c>
      <c r="G32" s="84" t="s">
        <v>57</v>
      </c>
      <c r="H32" s="84" t="s">
        <v>134</v>
      </c>
      <c r="I32" s="14"/>
      <c r="J32" s="15" t="str">
        <f>IF(E32="Invalid_Segment","Invalid",IFERROR(INDEX(Severity_Matrix!$C$3:$M$10,MATCH('Error Log'!$F32,Severity_Matrix!$B$3:$B$10,0),MATCH('Error Log'!$G32,Severity_Matrix!$C$2:$M$2,0)),"No errors"))</f>
        <v>Critical</v>
      </c>
      <c r="K32" s="1"/>
    </row>
    <row r="33" spans="1:11">
      <c r="A33" s="78" t="s">
        <v>135</v>
      </c>
      <c r="B33" s="18">
        <v>1</v>
      </c>
      <c r="C33" s="78" t="s">
        <v>136</v>
      </c>
      <c r="D33" s="78" t="s">
        <v>137</v>
      </c>
      <c r="E33" s="84" t="s">
        <v>21</v>
      </c>
      <c r="F33" s="84" t="s">
        <v>22</v>
      </c>
      <c r="G33" s="84" t="s">
        <v>57</v>
      </c>
      <c r="H33" s="84" t="s">
        <v>138</v>
      </c>
      <c r="I33" s="14"/>
      <c r="J33" s="15" t="str">
        <f>IF(E33="Invalid_Segment","Invalid",IFERROR(INDEX(Severity_Matrix!$C$3:$M$10,MATCH('Error Log'!$F33,Severity_Matrix!$B$3:$B$10,0),MATCH('Error Log'!$G33,Severity_Matrix!$C$2:$M$2,0)),"No errors"))</f>
        <v>Major</v>
      </c>
      <c r="K33" s="1"/>
    </row>
    <row r="34" spans="1:11">
      <c r="A34" s="78" t="s">
        <v>135</v>
      </c>
      <c r="B34" s="18">
        <v>2</v>
      </c>
      <c r="C34" s="78" t="s">
        <v>136</v>
      </c>
      <c r="D34" s="78" t="s">
        <v>137</v>
      </c>
      <c r="E34" s="84" t="s">
        <v>21</v>
      </c>
      <c r="F34" s="84" t="s">
        <v>22</v>
      </c>
      <c r="G34" s="84" t="s">
        <v>57</v>
      </c>
      <c r="H34" s="84" t="s">
        <v>139</v>
      </c>
      <c r="I34" s="14"/>
      <c r="J34" s="15" t="str">
        <f>IF(E34="Invalid_Segment","Invalid",IFERROR(INDEX(Severity_Matrix!$C$3:$M$10,MATCH('Error Log'!$F34,Severity_Matrix!$B$3:$B$10,0),MATCH('Error Log'!$G34,Severity_Matrix!$C$2:$M$2,0)),"No errors"))</f>
        <v>Major</v>
      </c>
      <c r="K34" s="1"/>
    </row>
    <row r="35" spans="1:11">
      <c r="A35" s="78" t="s">
        <v>135</v>
      </c>
      <c r="B35" s="18">
        <v>3</v>
      </c>
      <c r="C35" s="78" t="s">
        <v>136</v>
      </c>
      <c r="D35" s="78" t="s">
        <v>137</v>
      </c>
      <c r="E35" s="84" t="s">
        <v>21</v>
      </c>
      <c r="F35" s="84" t="s">
        <v>7</v>
      </c>
      <c r="G35" s="84" t="s">
        <v>57</v>
      </c>
      <c r="H35" s="84" t="s">
        <v>140</v>
      </c>
      <c r="I35" s="14"/>
      <c r="J35" s="15" t="str">
        <f>IF(E35="Invalid_Segment","Invalid",IFERROR(INDEX(Severity_Matrix!$C$3:$M$10,MATCH('Error Log'!$F35,Severity_Matrix!$B$3:$B$10,0),MATCH('Error Log'!$G35,Severity_Matrix!$C$2:$M$2,0)),"No errors"))</f>
        <v>Critical</v>
      </c>
      <c r="K35" s="1"/>
    </row>
    <row r="36" spans="1:11">
      <c r="A36" s="78" t="s">
        <v>141</v>
      </c>
      <c r="B36" s="18">
        <v>4</v>
      </c>
      <c r="C36" s="78" t="s">
        <v>136</v>
      </c>
      <c r="D36" s="78" t="s">
        <v>137</v>
      </c>
      <c r="E36" s="84" t="s">
        <v>21</v>
      </c>
      <c r="F36" s="84" t="s">
        <v>7</v>
      </c>
      <c r="G36" s="84" t="s">
        <v>56</v>
      </c>
      <c r="H36" s="84" t="s">
        <v>142</v>
      </c>
      <c r="I36" s="14"/>
      <c r="J36" s="15" t="str">
        <f>IF(E36="Invalid_Segment","Invalid",IFERROR(INDEX(Severity_Matrix!$C$3:$M$10,MATCH('Error Log'!$F36,Severity_Matrix!$B$3:$B$10,0),MATCH('Error Log'!$G36,Severity_Matrix!$C$2:$M$2,0)),"No errors"))</f>
        <v>Critical</v>
      </c>
      <c r="K36" s="1"/>
    </row>
    <row r="37" spans="1:11">
      <c r="A37" s="78" t="s">
        <v>141</v>
      </c>
      <c r="B37" s="18">
        <v>5</v>
      </c>
      <c r="C37" s="78" t="s">
        <v>136</v>
      </c>
      <c r="D37" s="78" t="s">
        <v>137</v>
      </c>
      <c r="E37" s="84" t="s">
        <v>21</v>
      </c>
      <c r="F37" s="84" t="s">
        <v>7</v>
      </c>
      <c r="G37" s="84" t="s">
        <v>58</v>
      </c>
      <c r="H37" s="84" t="s">
        <v>143</v>
      </c>
      <c r="I37" s="14"/>
      <c r="J37" s="15" t="str">
        <f>IF(E37="Invalid_Segment","Invalid",IFERROR(INDEX(Severity_Matrix!$C$3:$M$10,MATCH('Error Log'!$F37,Severity_Matrix!$B$3:$B$10,0),MATCH('Error Log'!$G37,Severity_Matrix!$C$2:$M$2,0)),"No errors"))</f>
        <v>Minor</v>
      </c>
      <c r="K37" s="1"/>
    </row>
    <row r="38" spans="1:11">
      <c r="A38" s="78" t="s">
        <v>141</v>
      </c>
      <c r="B38" s="18">
        <v>6</v>
      </c>
      <c r="C38" s="78" t="s">
        <v>136</v>
      </c>
      <c r="D38" s="78" t="s">
        <v>137</v>
      </c>
      <c r="E38" s="84" t="s">
        <v>21</v>
      </c>
      <c r="F38" s="84" t="s">
        <v>7</v>
      </c>
      <c r="G38" s="84" t="s">
        <v>56</v>
      </c>
      <c r="H38" s="84" t="s">
        <v>144</v>
      </c>
      <c r="I38" s="14"/>
      <c r="J38" s="15" t="str">
        <f>IF(E38="Invalid_Segment","Invalid",IFERROR(INDEX(Severity_Matrix!$C$3:$M$10,MATCH('Error Log'!$F38,Severity_Matrix!$B$3:$B$10,0),MATCH('Error Log'!$G38,Severity_Matrix!$C$2:$M$2,0)),"No errors"))</f>
        <v>Critical</v>
      </c>
      <c r="K38" s="1"/>
    </row>
    <row r="39" spans="1:11">
      <c r="A39" s="78" t="s">
        <v>141</v>
      </c>
      <c r="B39" s="18">
        <v>7</v>
      </c>
      <c r="C39" s="78" t="s">
        <v>136</v>
      </c>
      <c r="D39" s="78" t="s">
        <v>137</v>
      </c>
      <c r="E39" s="84" t="s">
        <v>21</v>
      </c>
      <c r="F39" s="84" t="s">
        <v>7</v>
      </c>
      <c r="G39" s="84" t="s">
        <v>58</v>
      </c>
      <c r="H39" s="84" t="s">
        <v>145</v>
      </c>
      <c r="I39" s="14"/>
      <c r="J39" s="15" t="str">
        <f>IF(E39="Invalid_Segment","Invalid",IFERROR(INDEX(Severity_Matrix!$C$3:$M$10,MATCH('Error Log'!$F39,Severity_Matrix!$B$3:$B$10,0),MATCH('Error Log'!$G39,Severity_Matrix!$C$2:$M$2,0)),"No errors"))</f>
        <v>Minor</v>
      </c>
      <c r="K39" s="1"/>
    </row>
    <row r="40" spans="1:11">
      <c r="A40" s="78" t="s">
        <v>141</v>
      </c>
      <c r="B40" s="18">
        <v>8</v>
      </c>
      <c r="C40" s="78" t="s">
        <v>136</v>
      </c>
      <c r="D40" s="78" t="s">
        <v>137</v>
      </c>
      <c r="E40" s="84" t="s">
        <v>21</v>
      </c>
      <c r="F40" s="84" t="s">
        <v>7</v>
      </c>
      <c r="G40" s="84" t="s">
        <v>56</v>
      </c>
      <c r="H40" s="84" t="s">
        <v>146</v>
      </c>
      <c r="I40" s="14"/>
      <c r="J40" s="15" t="str">
        <f>IF(E40="Invalid_Segment","Invalid",IFERROR(INDEX(Severity_Matrix!$C$3:$M$10,MATCH('Error Log'!$F40,Severity_Matrix!$B$3:$B$10,0),MATCH('Error Log'!$G40,Severity_Matrix!$C$2:$M$2,0)),"No errors"))</f>
        <v>Critical</v>
      </c>
      <c r="K40" s="1"/>
    </row>
    <row r="41" spans="1:11">
      <c r="A41" s="78" t="s">
        <v>141</v>
      </c>
      <c r="B41" s="18">
        <v>9</v>
      </c>
      <c r="C41" s="78" t="s">
        <v>136</v>
      </c>
      <c r="D41" s="78" t="s">
        <v>137</v>
      </c>
      <c r="E41" s="84" t="s">
        <v>21</v>
      </c>
      <c r="F41" s="84" t="s">
        <v>7</v>
      </c>
      <c r="G41" s="84" t="s">
        <v>57</v>
      </c>
      <c r="H41" s="84" t="s">
        <v>147</v>
      </c>
      <c r="I41" s="14"/>
      <c r="J41" s="15" t="str">
        <f>IF(E41="Invalid_Segment","Invalid",IFERROR(INDEX(Severity_Matrix!$C$3:$M$10,MATCH('Error Log'!$F41,Severity_Matrix!$B$3:$B$10,0),MATCH('Error Log'!$G41,Severity_Matrix!$C$2:$M$2,0)),"No errors"))</f>
        <v>Critical</v>
      </c>
      <c r="K41" s="1"/>
    </row>
    <row r="42" spans="1:11">
      <c r="A42" s="78" t="s">
        <v>148</v>
      </c>
      <c r="B42" s="18">
        <v>1</v>
      </c>
      <c r="C42" s="78" t="s">
        <v>149</v>
      </c>
      <c r="D42" s="78" t="s">
        <v>150</v>
      </c>
      <c r="E42" s="84" t="s">
        <v>21</v>
      </c>
      <c r="F42" s="84" t="s">
        <v>22</v>
      </c>
      <c r="G42" s="84" t="s">
        <v>57</v>
      </c>
      <c r="H42" s="84" t="s">
        <v>151</v>
      </c>
      <c r="I42" s="14"/>
      <c r="J42" s="15" t="str">
        <f>IF(E42="Invalid_Segment","Invalid",IFERROR(INDEX(Severity_Matrix!$C$3:$M$10,MATCH('Error Log'!$F42,Severity_Matrix!$B$3:$B$10,0),MATCH('Error Log'!$G42,Severity_Matrix!$C$2:$M$2,0)),"No errors"))</f>
        <v>Major</v>
      </c>
      <c r="K42" s="1"/>
    </row>
    <row r="43" spans="1:11">
      <c r="A43" s="78" t="s">
        <v>148</v>
      </c>
      <c r="B43" s="18">
        <v>2</v>
      </c>
      <c r="C43" s="78" t="s">
        <v>149</v>
      </c>
      <c r="D43" s="78" t="s">
        <v>150</v>
      </c>
      <c r="E43" s="84" t="s">
        <v>21</v>
      </c>
      <c r="F43" s="84" t="s">
        <v>22</v>
      </c>
      <c r="G43" s="84" t="s">
        <v>57</v>
      </c>
      <c r="H43" s="84" t="s">
        <v>152</v>
      </c>
      <c r="I43" s="14"/>
      <c r="J43" s="15" t="str">
        <f>IF(E43="Invalid_Segment","Invalid",IFERROR(INDEX(Severity_Matrix!$C$3:$M$10,MATCH('Error Log'!$F43,Severity_Matrix!$B$3:$B$10,0),MATCH('Error Log'!$G43,Severity_Matrix!$C$2:$M$2,0)),"No errors"))</f>
        <v>Major</v>
      </c>
      <c r="K43" s="1"/>
    </row>
    <row r="44" spans="1:11">
      <c r="A44" s="78" t="s">
        <v>153</v>
      </c>
      <c r="B44" s="18">
        <v>3</v>
      </c>
      <c r="C44" s="78" t="s">
        <v>149</v>
      </c>
      <c r="D44" s="78" t="s">
        <v>150</v>
      </c>
      <c r="E44" s="84" t="s">
        <v>21</v>
      </c>
      <c r="F44" s="84" t="s">
        <v>22</v>
      </c>
      <c r="G44" s="84" t="s">
        <v>57</v>
      </c>
      <c r="H44" s="84" t="s">
        <v>154</v>
      </c>
      <c r="I44" s="14"/>
      <c r="J44" s="15" t="str">
        <f>IF(E44="Invalid_Segment","Invalid",IFERROR(INDEX(Severity_Matrix!$C$3:$M$10,MATCH('Error Log'!$F44,Severity_Matrix!$B$3:$B$10,0),MATCH('Error Log'!$G44,Severity_Matrix!$C$2:$M$2,0)),"No errors"))</f>
        <v>Major</v>
      </c>
      <c r="K44" s="1"/>
    </row>
    <row r="45" spans="1:11">
      <c r="A45" s="78" t="s">
        <v>153</v>
      </c>
      <c r="B45" s="18">
        <v>4</v>
      </c>
      <c r="C45" s="78" t="s">
        <v>149</v>
      </c>
      <c r="D45" s="78" t="s">
        <v>150</v>
      </c>
      <c r="E45" s="84" t="s">
        <v>21</v>
      </c>
      <c r="F45" s="84" t="s">
        <v>7</v>
      </c>
      <c r="G45" s="84" t="s">
        <v>57</v>
      </c>
      <c r="H45" s="84" t="s">
        <v>155</v>
      </c>
      <c r="I45" s="14"/>
      <c r="J45" s="15" t="str">
        <f>IF(E45="Invalid_Segment","Invalid",IFERROR(INDEX(Severity_Matrix!$C$3:$M$10,MATCH('Error Log'!$F45,Severity_Matrix!$B$3:$B$10,0),MATCH('Error Log'!$G45,Severity_Matrix!$C$2:$M$2,0)),"No errors"))</f>
        <v>Critical</v>
      </c>
      <c r="K45" s="1"/>
    </row>
    <row r="46" spans="1:11">
      <c r="A46" s="78" t="s">
        <v>153</v>
      </c>
      <c r="B46" s="18">
        <v>5</v>
      </c>
      <c r="C46" s="78" t="s">
        <v>149</v>
      </c>
      <c r="D46" s="78" t="s">
        <v>150</v>
      </c>
      <c r="E46" s="84" t="s">
        <v>21</v>
      </c>
      <c r="F46" s="84" t="s">
        <v>7</v>
      </c>
      <c r="G46" s="84" t="s">
        <v>57</v>
      </c>
      <c r="H46" s="84" t="s">
        <v>156</v>
      </c>
      <c r="I46" s="14"/>
      <c r="J46" s="15" t="str">
        <f>IF(E46="Invalid_Segment","Invalid",IFERROR(INDEX(Severity_Matrix!$C$3:$M$10,MATCH('Error Log'!$F46,Severity_Matrix!$B$3:$B$10,0),MATCH('Error Log'!$G46,Severity_Matrix!$C$2:$M$2,0)),"No errors"))</f>
        <v>Critical</v>
      </c>
      <c r="K46" s="1"/>
    </row>
    <row r="47" spans="1:11">
      <c r="A47" s="78" t="s">
        <v>153</v>
      </c>
      <c r="B47" s="18">
        <v>6</v>
      </c>
      <c r="C47" s="78" t="s">
        <v>149</v>
      </c>
      <c r="D47" s="78" t="s">
        <v>150</v>
      </c>
      <c r="E47" s="84" t="s">
        <v>21</v>
      </c>
      <c r="F47" s="84" t="s">
        <v>7</v>
      </c>
      <c r="G47" s="84" t="s">
        <v>57</v>
      </c>
      <c r="H47" s="84" t="s">
        <v>157</v>
      </c>
      <c r="I47" s="14"/>
      <c r="J47" s="15" t="str">
        <f>IF(E47="Invalid_Segment","Invalid",IFERROR(INDEX(Severity_Matrix!$C$3:$M$10,MATCH('Error Log'!$F47,Severity_Matrix!$B$3:$B$10,0),MATCH('Error Log'!$G47,Severity_Matrix!$C$2:$M$2,0)),"No errors"))</f>
        <v>Critical</v>
      </c>
      <c r="K47" s="1"/>
    </row>
    <row r="48" spans="1:11">
      <c r="A48" s="78" t="s">
        <v>158</v>
      </c>
      <c r="B48" s="18">
        <v>1</v>
      </c>
      <c r="C48" s="78" t="s">
        <v>159</v>
      </c>
      <c r="D48" s="78" t="s">
        <v>160</v>
      </c>
      <c r="E48" s="84" t="s">
        <v>21</v>
      </c>
      <c r="F48" s="84" t="s">
        <v>22</v>
      </c>
      <c r="G48" s="84" t="s">
        <v>57</v>
      </c>
      <c r="H48" s="84" t="s">
        <v>161</v>
      </c>
      <c r="I48" s="14"/>
      <c r="J48" s="15" t="str">
        <f>IF(E48="Invalid_Segment","Invalid",IFERROR(INDEX(Severity_Matrix!$C$3:$M$10,MATCH('Error Log'!$F48,Severity_Matrix!$B$3:$B$10,0),MATCH('Error Log'!$G48,Severity_Matrix!$C$2:$M$2,0)),"No errors"))</f>
        <v>Major</v>
      </c>
      <c r="K48" s="1"/>
    </row>
    <row r="49" spans="1:11">
      <c r="A49" s="78" t="s">
        <v>158</v>
      </c>
      <c r="B49" s="18">
        <v>2</v>
      </c>
      <c r="C49" s="78" t="s">
        <v>159</v>
      </c>
      <c r="D49" s="78" t="s">
        <v>160</v>
      </c>
      <c r="E49" s="84" t="s">
        <v>21</v>
      </c>
      <c r="F49" s="84" t="s">
        <v>7</v>
      </c>
      <c r="G49" s="84" t="s">
        <v>57</v>
      </c>
      <c r="H49" s="84" t="s">
        <v>162</v>
      </c>
      <c r="I49" s="14"/>
      <c r="J49" s="15" t="str">
        <f>IF(E49="Invalid_Segment","Invalid",IFERROR(INDEX(Severity_Matrix!$C$3:$M$10,MATCH('Error Log'!$F49,Severity_Matrix!$B$3:$B$10,0),MATCH('Error Log'!$G49,Severity_Matrix!$C$2:$M$2,0)),"No errors"))</f>
        <v>Critical</v>
      </c>
      <c r="K49" s="1"/>
    </row>
    <row r="50" spans="1:11">
      <c r="A50" s="78" t="s">
        <v>163</v>
      </c>
      <c r="B50" s="18">
        <v>3</v>
      </c>
      <c r="C50" s="78" t="s">
        <v>159</v>
      </c>
      <c r="D50" s="78" t="s">
        <v>160</v>
      </c>
      <c r="E50" s="84" t="s">
        <v>21</v>
      </c>
      <c r="F50" s="84" t="s">
        <v>7</v>
      </c>
      <c r="G50" s="84" t="s">
        <v>57</v>
      </c>
      <c r="H50" s="84" t="s">
        <v>164</v>
      </c>
      <c r="I50" s="14"/>
      <c r="J50" s="15" t="str">
        <f>IF(E50="Invalid_Segment","Invalid",IFERROR(INDEX(Severity_Matrix!$C$3:$M$10,MATCH('Error Log'!$F50,Severity_Matrix!$B$3:$B$10,0),MATCH('Error Log'!$G50,Severity_Matrix!$C$2:$M$2,0)),"No errors"))</f>
        <v>Critical</v>
      </c>
      <c r="K50" s="1"/>
    </row>
    <row r="51" spans="1:11">
      <c r="A51" s="78" t="s">
        <v>163</v>
      </c>
      <c r="B51" s="18">
        <v>4</v>
      </c>
      <c r="C51" s="78" t="s">
        <v>159</v>
      </c>
      <c r="D51" s="78" t="s">
        <v>160</v>
      </c>
      <c r="E51" s="84" t="s">
        <v>21</v>
      </c>
      <c r="F51" s="84" t="s">
        <v>7</v>
      </c>
      <c r="G51" s="84" t="s">
        <v>57</v>
      </c>
      <c r="H51" s="84" t="s">
        <v>165</v>
      </c>
      <c r="I51" s="14"/>
      <c r="J51" s="15" t="str">
        <f>IF(E51="Invalid_Segment","Invalid",IFERROR(INDEX(Severity_Matrix!$C$3:$M$10,MATCH('Error Log'!$F51,Severity_Matrix!$B$3:$B$10,0),MATCH('Error Log'!$G51,Severity_Matrix!$C$2:$M$2,0)),"No errors"))</f>
        <v>Critical</v>
      </c>
      <c r="K51" s="1"/>
    </row>
    <row r="52" spans="1:11">
      <c r="A52" s="78" t="s">
        <v>166</v>
      </c>
      <c r="B52" s="18">
        <v>1</v>
      </c>
      <c r="C52" s="78" t="s">
        <v>167</v>
      </c>
      <c r="D52" s="78" t="s">
        <v>168</v>
      </c>
      <c r="E52" s="84" t="s">
        <v>21</v>
      </c>
      <c r="F52" s="84" t="s">
        <v>22</v>
      </c>
      <c r="G52" s="84" t="s">
        <v>57</v>
      </c>
      <c r="H52" s="84" t="s">
        <v>169</v>
      </c>
      <c r="I52" s="84"/>
      <c r="J52" s="15" t="str">
        <f>IF(E52="Invalid_Segment","Invalid",IFERROR(INDEX(Severity_Matrix!$C$3:$M$10,MATCH('Error Log'!$F52,Severity_Matrix!$B$3:$B$10,0),MATCH('Error Log'!$G52,Severity_Matrix!$C$2:$M$2,0)),"No errors"))</f>
        <v>Major</v>
      </c>
      <c r="K52" s="78"/>
    </row>
    <row r="53" spans="1:11">
      <c r="A53" s="78" t="s">
        <v>166</v>
      </c>
      <c r="B53" s="18">
        <v>2</v>
      </c>
      <c r="C53" s="78" t="s">
        <v>167</v>
      </c>
      <c r="D53" s="78" t="s">
        <v>168</v>
      </c>
      <c r="E53" s="84" t="s">
        <v>21</v>
      </c>
      <c r="F53" s="84" t="s">
        <v>7</v>
      </c>
      <c r="G53" s="84" t="s">
        <v>57</v>
      </c>
      <c r="H53" s="84" t="s">
        <v>170</v>
      </c>
      <c r="I53" s="14"/>
      <c r="J53" s="15" t="str">
        <f>IF(E53="Invalid_Segment","Invalid",IFERROR(INDEX(Severity_Matrix!$C$3:$M$10,MATCH('Error Log'!$F53,Severity_Matrix!$B$3:$B$10,0),MATCH('Error Log'!$G53,Severity_Matrix!$C$2:$M$2,0)),"No errors"))</f>
        <v>Critical</v>
      </c>
      <c r="K53" s="79"/>
    </row>
    <row r="54" spans="1:11">
      <c r="A54" s="78" t="s">
        <v>166</v>
      </c>
      <c r="B54" s="18">
        <v>3</v>
      </c>
      <c r="C54" s="78" t="s">
        <v>167</v>
      </c>
      <c r="D54" s="78" t="s">
        <v>168</v>
      </c>
      <c r="E54" s="84" t="s">
        <v>21</v>
      </c>
      <c r="F54" s="84" t="s">
        <v>7</v>
      </c>
      <c r="G54" s="84" t="s">
        <v>57</v>
      </c>
      <c r="H54" s="84" t="s">
        <v>171</v>
      </c>
      <c r="I54" s="14"/>
      <c r="J54" s="15" t="str">
        <f>IF(E54="Invalid_Segment","Invalid",IFERROR(INDEX(Severity_Matrix!$C$3:$M$10,MATCH('Error Log'!$F54,Severity_Matrix!$B$3:$B$10,0),MATCH('Error Log'!$G54,Severity_Matrix!$C$2:$M$2,0)),"No errors"))</f>
        <v>Critical</v>
      </c>
      <c r="K54" s="79"/>
    </row>
    <row r="55" spans="1:11">
      <c r="A55" s="78" t="s">
        <v>172</v>
      </c>
      <c r="B55" s="18">
        <v>1</v>
      </c>
      <c r="C55" s="78" t="s">
        <v>173</v>
      </c>
      <c r="D55" s="78" t="s">
        <v>174</v>
      </c>
      <c r="E55" s="84" t="s">
        <v>21</v>
      </c>
      <c r="F55" s="84" t="s">
        <v>22</v>
      </c>
      <c r="G55" s="84" t="s">
        <v>57</v>
      </c>
      <c r="H55" s="84" t="s">
        <v>175</v>
      </c>
      <c r="I55" s="14"/>
      <c r="J55" s="15" t="str">
        <f>IF(E55="Invalid_Segment","Invalid",IFERROR(INDEX(Severity_Matrix!$C$3:$M$10,MATCH('Error Log'!$F55,Severity_Matrix!$B$3:$B$10,0),MATCH('Error Log'!$G55,Severity_Matrix!$C$2:$M$2,0)),"No errors"))</f>
        <v>Major</v>
      </c>
      <c r="K55" s="79"/>
    </row>
    <row r="56" spans="1:11">
      <c r="A56" s="78" t="s">
        <v>172</v>
      </c>
      <c r="B56" s="18">
        <v>2</v>
      </c>
      <c r="C56" s="78" t="s">
        <v>173</v>
      </c>
      <c r="D56" s="78" t="s">
        <v>174</v>
      </c>
      <c r="E56" s="84" t="s">
        <v>21</v>
      </c>
      <c r="F56" s="84" t="s">
        <v>7</v>
      </c>
      <c r="G56" s="84" t="s">
        <v>58</v>
      </c>
      <c r="H56" s="84" t="s">
        <v>143</v>
      </c>
      <c r="I56" s="14"/>
      <c r="J56" s="15" t="str">
        <f>IF(E56="Invalid_Segment","Invalid",IFERROR(INDEX(Severity_Matrix!$C$3:$M$10,MATCH('Error Log'!$F56,Severity_Matrix!$B$3:$B$10,0),MATCH('Error Log'!$G56,Severity_Matrix!$C$2:$M$2,0)),"No errors"))</f>
        <v>Minor</v>
      </c>
      <c r="K56" s="79"/>
    </row>
    <row r="57" spans="1:11">
      <c r="A57" s="78" t="s">
        <v>176</v>
      </c>
      <c r="B57" s="18">
        <v>3</v>
      </c>
      <c r="C57" s="78" t="s">
        <v>173</v>
      </c>
      <c r="D57" s="78" t="s">
        <v>174</v>
      </c>
      <c r="E57" s="84" t="s">
        <v>21</v>
      </c>
      <c r="F57" s="84" t="s">
        <v>7</v>
      </c>
      <c r="G57" s="84" t="s">
        <v>56</v>
      </c>
      <c r="H57" s="84" t="s">
        <v>177</v>
      </c>
      <c r="I57" s="14"/>
      <c r="J57" s="15" t="str">
        <f>IF(E57="Invalid_Segment","Invalid",IFERROR(INDEX(Severity_Matrix!$C$3:$M$10,MATCH('Error Log'!$F57,Severity_Matrix!$B$3:$B$10,0),MATCH('Error Log'!$G57,Severity_Matrix!$C$2:$M$2,0)),"No errors"))</f>
        <v>Critical</v>
      </c>
      <c r="K57" s="79"/>
    </row>
    <row r="58" spans="1:11">
      <c r="A58" s="78" t="s">
        <v>176</v>
      </c>
      <c r="B58" s="18">
        <v>4</v>
      </c>
      <c r="C58" s="78" t="s">
        <v>173</v>
      </c>
      <c r="D58" s="78" t="s">
        <v>174</v>
      </c>
      <c r="E58" s="84" t="s">
        <v>21</v>
      </c>
      <c r="F58" s="84" t="s">
        <v>7</v>
      </c>
      <c r="G58" s="84" t="s">
        <v>57</v>
      </c>
      <c r="H58" s="84" t="s">
        <v>178</v>
      </c>
      <c r="I58" s="14"/>
      <c r="J58" s="15" t="str">
        <f>IF(E58="Invalid_Segment","Invalid",IFERROR(INDEX(Severity_Matrix!$C$3:$M$10,MATCH('Error Log'!$F58,Severity_Matrix!$B$3:$B$10,0),MATCH('Error Log'!$G58,Severity_Matrix!$C$2:$M$2,0)),"No errors"))</f>
        <v>Critical</v>
      </c>
      <c r="K58" s="79"/>
    </row>
    <row r="59" spans="1:11">
      <c r="A59" s="78" t="s">
        <v>176</v>
      </c>
      <c r="B59" s="18">
        <v>5</v>
      </c>
      <c r="C59" s="78" t="s">
        <v>173</v>
      </c>
      <c r="D59" s="78" t="s">
        <v>174</v>
      </c>
      <c r="E59" s="84" t="s">
        <v>21</v>
      </c>
      <c r="F59" s="84" t="s">
        <v>7</v>
      </c>
      <c r="G59" s="84" t="s">
        <v>57</v>
      </c>
      <c r="H59" s="84" t="s">
        <v>179</v>
      </c>
      <c r="I59" s="14"/>
      <c r="J59" s="15" t="str">
        <f>IF(E59="Invalid_Segment","Invalid",IFERROR(INDEX(Severity_Matrix!$C$3:$M$10,MATCH('Error Log'!$F59,Severity_Matrix!$B$3:$B$10,0),MATCH('Error Log'!$G59,Severity_Matrix!$C$2:$M$2,0)),"No errors"))</f>
        <v>Critical</v>
      </c>
      <c r="K59" s="79"/>
    </row>
    <row r="60" spans="1:11">
      <c r="A60" s="78" t="s">
        <v>180</v>
      </c>
      <c r="B60" s="18">
        <v>1</v>
      </c>
      <c r="C60" s="18" t="s">
        <v>181</v>
      </c>
      <c r="D60" s="78" t="s">
        <v>182</v>
      </c>
      <c r="E60" s="84" t="s">
        <v>183</v>
      </c>
      <c r="F60" s="84" t="s">
        <v>7</v>
      </c>
      <c r="G60" s="84" t="s">
        <v>57</v>
      </c>
      <c r="H60" s="84" t="s">
        <v>184</v>
      </c>
      <c r="I60" s="14"/>
      <c r="J60" s="15" t="str">
        <f>IF(E60="Invalid_Segment","Invalid",IFERROR(INDEX(Severity_Matrix!$C$3:$M$10,MATCH('Error Log'!$F60,Severity_Matrix!$B$3:$B$10,0),MATCH('Error Log'!$G60,Severity_Matrix!$C$2:$M$2,0)),"No errors"))</f>
        <v>Critical</v>
      </c>
      <c r="K60" s="79"/>
    </row>
    <row r="61" spans="1:11">
      <c r="A61" s="78" t="s">
        <v>185</v>
      </c>
      <c r="B61" s="18">
        <v>1</v>
      </c>
      <c r="C61" s="78" t="s">
        <v>186</v>
      </c>
      <c r="D61" s="78" t="s">
        <v>187</v>
      </c>
      <c r="E61" s="84" t="s">
        <v>21</v>
      </c>
      <c r="F61" s="84" t="s">
        <v>22</v>
      </c>
      <c r="G61" s="84" t="s">
        <v>57</v>
      </c>
      <c r="H61" s="84" t="s">
        <v>188</v>
      </c>
      <c r="I61" s="14"/>
      <c r="J61" s="15" t="str">
        <f>IF(E61="Invalid_Segment","Invalid",IFERROR(INDEX(Severity_Matrix!$C$3:$M$10,MATCH('Error Log'!$F61,Severity_Matrix!$B$3:$B$10,0),MATCH('Error Log'!$G61,Severity_Matrix!$C$2:$M$2,0)),"No errors"))</f>
        <v>Major</v>
      </c>
      <c r="K61" s="79"/>
    </row>
    <row r="62" spans="1:11">
      <c r="A62" s="78" t="s">
        <v>185</v>
      </c>
      <c r="B62" s="18">
        <v>2</v>
      </c>
      <c r="C62" s="78" t="s">
        <v>186</v>
      </c>
      <c r="D62" s="78" t="s">
        <v>187</v>
      </c>
      <c r="E62" s="84" t="s">
        <v>21</v>
      </c>
      <c r="F62" s="84" t="s">
        <v>22</v>
      </c>
      <c r="G62" s="84" t="s">
        <v>56</v>
      </c>
      <c r="H62" s="84" t="s">
        <v>189</v>
      </c>
      <c r="I62" s="14"/>
      <c r="J62" s="15" t="str">
        <f>IF(E62="Invalid_Segment","Invalid",IFERROR(INDEX(Severity_Matrix!$C$3:$M$10,MATCH('Error Log'!$F62,Severity_Matrix!$B$3:$B$10,0),MATCH('Error Log'!$G62,Severity_Matrix!$C$2:$M$2,0)),"No errors"))</f>
        <v>Critical</v>
      </c>
      <c r="K62" s="79"/>
    </row>
    <row r="63" spans="1:11">
      <c r="A63" s="78" t="s">
        <v>190</v>
      </c>
      <c r="B63" s="18">
        <v>1</v>
      </c>
      <c r="C63" s="78" t="s">
        <v>191</v>
      </c>
      <c r="D63" s="78" t="s">
        <v>192</v>
      </c>
      <c r="E63" s="84" t="s">
        <v>21</v>
      </c>
      <c r="F63" s="84" t="s">
        <v>7</v>
      </c>
      <c r="G63" s="84" t="s">
        <v>57</v>
      </c>
      <c r="H63" s="84" t="s">
        <v>193</v>
      </c>
      <c r="I63" s="14"/>
      <c r="J63" s="15" t="str">
        <f>IF(E63="Invalid_Segment","Invalid",IFERROR(INDEX(Severity_Matrix!$C$3:$M$10,MATCH('Error Log'!$F63,Severity_Matrix!$B$3:$B$10,0),MATCH('Error Log'!$G63,Severity_Matrix!$C$2:$M$2,0)),"No errors"))</f>
        <v>Critical</v>
      </c>
      <c r="K63" s="79"/>
    </row>
    <row r="64" spans="1:11">
      <c r="A64" s="78" t="s">
        <v>194</v>
      </c>
      <c r="B64" s="18">
        <v>1</v>
      </c>
      <c r="C64" s="78" t="s">
        <v>195</v>
      </c>
      <c r="D64" s="78" t="s">
        <v>196</v>
      </c>
      <c r="E64" s="84" t="s">
        <v>21</v>
      </c>
      <c r="F64" s="84" t="s">
        <v>22</v>
      </c>
      <c r="G64" s="84" t="s">
        <v>57</v>
      </c>
      <c r="H64" s="84" t="s">
        <v>197</v>
      </c>
      <c r="I64" s="14"/>
      <c r="J64" s="15" t="str">
        <f>IF(E64="Invalid_Segment","Invalid",IFERROR(INDEX(Severity_Matrix!$C$3:$M$10,MATCH('Error Log'!$F64,Severity_Matrix!$B$3:$B$10,0),MATCH('Error Log'!$G64,Severity_Matrix!$C$2:$M$2,0)),"No errors"))</f>
        <v>Major</v>
      </c>
      <c r="K64" s="79"/>
    </row>
    <row r="65" spans="1:11">
      <c r="A65" s="78" t="s">
        <v>194</v>
      </c>
      <c r="B65" s="18">
        <v>2</v>
      </c>
      <c r="C65" s="78" t="s">
        <v>195</v>
      </c>
      <c r="D65" s="78" t="s">
        <v>196</v>
      </c>
      <c r="E65" s="84" t="s">
        <v>21</v>
      </c>
      <c r="F65" s="84" t="s">
        <v>7</v>
      </c>
      <c r="G65" s="84" t="s">
        <v>57</v>
      </c>
      <c r="H65" s="84" t="s">
        <v>198</v>
      </c>
      <c r="I65" s="14"/>
      <c r="J65" s="15" t="str">
        <f>IF(E65="Invalid_Segment","Invalid",IFERROR(INDEX(Severity_Matrix!$C$3:$M$10,MATCH('Error Log'!$F65,Severity_Matrix!$B$3:$B$10,0),MATCH('Error Log'!$G65,Severity_Matrix!$C$2:$M$2,0)),"No errors"))</f>
        <v>Critical</v>
      </c>
      <c r="K65" s="79"/>
    </row>
    <row r="66" spans="1:11">
      <c r="A66" s="79" t="s">
        <v>199</v>
      </c>
      <c r="B66" s="18">
        <v>1</v>
      </c>
      <c r="C66" s="78" t="s">
        <v>200</v>
      </c>
      <c r="D66" s="85" t="s">
        <v>201</v>
      </c>
      <c r="E66" s="84" t="s">
        <v>21</v>
      </c>
      <c r="F66" s="84" t="s">
        <v>22</v>
      </c>
      <c r="G66" s="84" t="s">
        <v>57</v>
      </c>
      <c r="H66" s="84" t="s">
        <v>202</v>
      </c>
      <c r="I66" s="14"/>
      <c r="J66" s="15" t="str">
        <f>IF(E66="Invalid_Segment","Invalid",IFERROR(INDEX(Severity_Matrix!$C$3:$M$10,MATCH('Error Log'!$F66,Severity_Matrix!$B$3:$B$10,0),MATCH('Error Log'!$G66,Severity_Matrix!$C$2:$M$2,0)),"No errors"))</f>
        <v>Major</v>
      </c>
      <c r="K66" s="79"/>
    </row>
    <row r="67" spans="1:11">
      <c r="A67" s="79" t="s">
        <v>199</v>
      </c>
      <c r="B67" s="18">
        <v>2</v>
      </c>
      <c r="C67" s="78" t="s">
        <v>200</v>
      </c>
      <c r="D67" s="85" t="s">
        <v>201</v>
      </c>
      <c r="E67" s="84" t="s">
        <v>21</v>
      </c>
      <c r="F67" s="84" t="s">
        <v>22</v>
      </c>
      <c r="G67" s="84" t="s">
        <v>57</v>
      </c>
      <c r="H67" s="84" t="s">
        <v>203</v>
      </c>
      <c r="I67" s="14"/>
      <c r="J67" s="15" t="str">
        <f>IF(E67="Invalid_Segment","Invalid",IFERROR(INDEX(Severity_Matrix!$C$3:$M$10,MATCH('Error Log'!$F67,Severity_Matrix!$B$3:$B$10,0),MATCH('Error Log'!$G67,Severity_Matrix!$C$2:$M$2,0)),"No errors"))</f>
        <v>Major</v>
      </c>
      <c r="K67" s="79"/>
    </row>
    <row r="68" spans="1:11">
      <c r="A68" s="79" t="s">
        <v>204</v>
      </c>
      <c r="B68" s="18">
        <v>3</v>
      </c>
      <c r="C68" s="78" t="s">
        <v>200</v>
      </c>
      <c r="D68" s="85" t="s">
        <v>201</v>
      </c>
      <c r="E68" s="84" t="s">
        <v>21</v>
      </c>
      <c r="F68" s="84" t="s">
        <v>7</v>
      </c>
      <c r="G68" s="84" t="s">
        <v>57</v>
      </c>
      <c r="H68" s="84" t="s">
        <v>205</v>
      </c>
      <c r="I68" s="14"/>
      <c r="J68" s="15" t="str">
        <f>IF(E68="Invalid_Segment","Invalid",IFERROR(INDEX(Severity_Matrix!$C$3:$M$10,MATCH('Error Log'!$F68,Severity_Matrix!$B$3:$B$10,0),MATCH('Error Log'!$G68,Severity_Matrix!$C$2:$M$2,0)),"No errors"))</f>
        <v>Critical</v>
      </c>
      <c r="K68" s="79"/>
    </row>
    <row r="69" spans="1:11">
      <c r="A69" s="79" t="s">
        <v>204</v>
      </c>
      <c r="B69" s="18">
        <v>4</v>
      </c>
      <c r="C69" s="78" t="s">
        <v>200</v>
      </c>
      <c r="D69" s="85" t="s">
        <v>201</v>
      </c>
      <c r="E69" s="84" t="s">
        <v>21</v>
      </c>
      <c r="F69" s="84" t="s">
        <v>7</v>
      </c>
      <c r="G69" s="84" t="s">
        <v>57</v>
      </c>
      <c r="H69" s="84" t="s">
        <v>206</v>
      </c>
      <c r="I69" s="14"/>
      <c r="J69" s="15" t="str">
        <f>IF(E69="Invalid_Segment","Invalid",IFERROR(INDEX(Severity_Matrix!$C$3:$M$10,MATCH('Error Log'!$F69,Severity_Matrix!$B$3:$B$10,0),MATCH('Error Log'!$G69,Severity_Matrix!$C$2:$M$2,0)),"No errors"))</f>
        <v>Critical</v>
      </c>
      <c r="K69" s="79"/>
    </row>
    <row r="70" spans="1:11">
      <c r="A70" s="79" t="s">
        <v>207</v>
      </c>
      <c r="B70" s="18">
        <v>1</v>
      </c>
      <c r="C70" s="85" t="s">
        <v>208</v>
      </c>
      <c r="D70" s="85" t="s">
        <v>209</v>
      </c>
      <c r="E70" s="84" t="s">
        <v>21</v>
      </c>
      <c r="F70" s="84" t="s">
        <v>7</v>
      </c>
      <c r="G70" s="84" t="s">
        <v>57</v>
      </c>
      <c r="H70" s="84" t="s">
        <v>210</v>
      </c>
      <c r="I70" s="14"/>
      <c r="J70" s="15" t="str">
        <f>IF(E70="Invalid_Segment","Invalid",IFERROR(INDEX(Severity_Matrix!$C$3:$M$10,MATCH('Error Log'!$F70,Severity_Matrix!$B$3:$B$10,0),MATCH('Error Log'!$G70,Severity_Matrix!$C$2:$M$2,0)),"No errors"))</f>
        <v>Critical</v>
      </c>
      <c r="K70" s="79"/>
    </row>
    <row r="71" spans="1:11">
      <c r="A71" s="79" t="s">
        <v>207</v>
      </c>
      <c r="B71" s="18">
        <v>2</v>
      </c>
      <c r="C71" s="85" t="s">
        <v>208</v>
      </c>
      <c r="D71" s="85" t="s">
        <v>209</v>
      </c>
      <c r="E71" s="84" t="s">
        <v>21</v>
      </c>
      <c r="F71" s="84" t="s">
        <v>7</v>
      </c>
      <c r="G71" s="84" t="s">
        <v>57</v>
      </c>
      <c r="H71" s="84" t="s">
        <v>211</v>
      </c>
      <c r="I71" s="14"/>
      <c r="J71" s="15" t="str">
        <f>IF(E71="Invalid_Segment","Invalid",IFERROR(INDEX(Severity_Matrix!$C$3:$M$10,MATCH('Error Log'!$F71,Severity_Matrix!$B$3:$B$10,0),MATCH('Error Log'!$G71,Severity_Matrix!$C$2:$M$2,0)),"No errors"))</f>
        <v>Critical</v>
      </c>
      <c r="K71" s="79"/>
    </row>
    <row r="72" spans="1:11">
      <c r="A72" s="79" t="s">
        <v>212</v>
      </c>
      <c r="B72" s="18">
        <v>1</v>
      </c>
      <c r="C72" s="85" t="s">
        <v>213</v>
      </c>
      <c r="D72" s="85" t="s">
        <v>214</v>
      </c>
      <c r="E72" s="84"/>
      <c r="F72" s="84"/>
      <c r="G72" s="84"/>
      <c r="H72" s="84"/>
      <c r="I72" s="14"/>
      <c r="J72" s="15" t="str">
        <f>IF(E72="Invalid_Segment","Invalid",IFERROR(INDEX(Severity_Matrix!$C$3:$M$10,MATCH('Error Log'!$F72,Severity_Matrix!$B$3:$B$10,0),MATCH('Error Log'!$G72,Severity_Matrix!$C$2:$M$2,0)),"No errors"))</f>
        <v>No errors</v>
      </c>
      <c r="K72" s="79"/>
    </row>
    <row r="73" spans="1:11">
      <c r="A73" s="79" t="s">
        <v>215</v>
      </c>
      <c r="B73" s="18">
        <v>1</v>
      </c>
      <c r="C73" s="85" t="s">
        <v>216</v>
      </c>
      <c r="D73" s="85" t="s">
        <v>217</v>
      </c>
      <c r="E73" s="84" t="s">
        <v>21</v>
      </c>
      <c r="F73" s="84" t="s">
        <v>22</v>
      </c>
      <c r="G73" s="84" t="s">
        <v>57</v>
      </c>
      <c r="H73" s="84" t="s">
        <v>218</v>
      </c>
      <c r="I73" s="14"/>
      <c r="J73" s="15" t="str">
        <f>IF(E73="Invalid_Segment","Invalid",IFERROR(INDEX(Severity_Matrix!$C$3:$M$10,MATCH('Error Log'!$F73,Severity_Matrix!$B$3:$B$10,0),MATCH('Error Log'!$G73,Severity_Matrix!$C$2:$M$2,0)),"No errors"))</f>
        <v>Major</v>
      </c>
      <c r="K73" s="79"/>
    </row>
    <row r="74" spans="1:11">
      <c r="A74" s="79" t="s">
        <v>215</v>
      </c>
      <c r="B74" s="18">
        <v>2</v>
      </c>
      <c r="C74" s="85" t="s">
        <v>216</v>
      </c>
      <c r="D74" s="85" t="s">
        <v>217</v>
      </c>
      <c r="E74" s="84" t="s">
        <v>21</v>
      </c>
      <c r="F74" s="84" t="s">
        <v>22</v>
      </c>
      <c r="G74" s="84" t="s">
        <v>57</v>
      </c>
      <c r="H74" s="84" t="s">
        <v>219</v>
      </c>
      <c r="I74" s="14"/>
      <c r="J74" s="15" t="str">
        <f>IF(E74="Invalid_Segment","Invalid",IFERROR(INDEX(Severity_Matrix!$C$3:$M$10,MATCH('Error Log'!$F74,Severity_Matrix!$B$3:$B$10,0),MATCH('Error Log'!$G74,Severity_Matrix!$C$2:$M$2,0)),"No errors"))</f>
        <v>Major</v>
      </c>
      <c r="K74" s="79"/>
    </row>
    <row r="75" spans="1:11">
      <c r="A75" s="79" t="s">
        <v>215</v>
      </c>
      <c r="B75" s="18">
        <v>3</v>
      </c>
      <c r="C75" s="85" t="s">
        <v>216</v>
      </c>
      <c r="D75" s="85" t="s">
        <v>217</v>
      </c>
      <c r="E75" s="84" t="s">
        <v>21</v>
      </c>
      <c r="F75" s="84" t="s">
        <v>22</v>
      </c>
      <c r="G75" s="84" t="s">
        <v>57</v>
      </c>
      <c r="H75" s="84" t="s">
        <v>220</v>
      </c>
      <c r="I75" s="14"/>
      <c r="J75" s="15" t="str">
        <f>IF(E75="Invalid_Segment","Invalid",IFERROR(INDEX(Severity_Matrix!$C$3:$M$10,MATCH('Error Log'!$F75,Severity_Matrix!$B$3:$B$10,0),MATCH('Error Log'!$G75,Severity_Matrix!$C$2:$M$2,0)),"No errors"))</f>
        <v>Major</v>
      </c>
      <c r="K75" s="79"/>
    </row>
    <row r="76" spans="1:11">
      <c r="A76" s="79" t="s">
        <v>215</v>
      </c>
      <c r="B76" s="18">
        <v>4</v>
      </c>
      <c r="C76" s="85" t="s">
        <v>216</v>
      </c>
      <c r="D76" s="85" t="s">
        <v>217</v>
      </c>
      <c r="E76" s="84" t="s">
        <v>21</v>
      </c>
      <c r="F76" s="84" t="s">
        <v>63</v>
      </c>
      <c r="G76" s="84" t="s">
        <v>28</v>
      </c>
      <c r="H76" s="84" t="s">
        <v>221</v>
      </c>
      <c r="I76" s="14"/>
      <c r="J76" s="15" t="str">
        <f>IF(E76="Invalid_Segment","Invalid",IFERROR(INDEX(Severity_Matrix!$C$3:$M$10,MATCH('Error Log'!$F76,Severity_Matrix!$B$3:$B$10,0),MATCH('Error Log'!$G76,Severity_Matrix!$C$2:$M$2,0)),"No errors"))</f>
        <v>Major</v>
      </c>
      <c r="K76" s="79"/>
    </row>
    <row r="77" spans="1:11">
      <c r="A77" s="79" t="s">
        <v>222</v>
      </c>
      <c r="B77" s="18">
        <v>1</v>
      </c>
      <c r="C77" s="85" t="s">
        <v>223</v>
      </c>
      <c r="D77" s="85" t="s">
        <v>224</v>
      </c>
      <c r="E77" s="84" t="s">
        <v>21</v>
      </c>
      <c r="F77" s="84" t="s">
        <v>7</v>
      </c>
      <c r="G77" s="84" t="s">
        <v>57</v>
      </c>
      <c r="H77" s="84" t="s">
        <v>225</v>
      </c>
      <c r="I77" s="14"/>
      <c r="J77" s="15" t="str">
        <f>IF(E77="Invalid_Segment","Invalid",IFERROR(INDEX(Severity_Matrix!$C$3:$M$10,MATCH('Error Log'!$F77,Severity_Matrix!$B$3:$B$10,0),MATCH('Error Log'!$G77,Severity_Matrix!$C$2:$M$2,0)),"No errors"))</f>
        <v>Critical</v>
      </c>
      <c r="K77" s="79"/>
    </row>
    <row r="78" spans="1:11">
      <c r="A78" s="79" t="s">
        <v>226</v>
      </c>
      <c r="B78" s="18">
        <v>1</v>
      </c>
      <c r="C78" s="85" t="s">
        <v>227</v>
      </c>
      <c r="D78" s="85" t="s">
        <v>228</v>
      </c>
      <c r="E78" s="84" t="s">
        <v>21</v>
      </c>
      <c r="F78" s="84" t="s">
        <v>7</v>
      </c>
      <c r="G78" s="84" t="s">
        <v>57</v>
      </c>
      <c r="H78" s="84" t="s">
        <v>229</v>
      </c>
      <c r="I78" s="14"/>
      <c r="J78" s="15" t="str">
        <f>IF(E78="Invalid_Segment","Invalid",IFERROR(INDEX(Severity_Matrix!$C$3:$M$10,MATCH('Error Log'!$F78,Severity_Matrix!$B$3:$B$10,0),MATCH('Error Log'!$G78,Severity_Matrix!$C$2:$M$2,0)),"No errors"))</f>
        <v>Critical</v>
      </c>
      <c r="K78" s="79"/>
    </row>
    <row r="79" spans="1:11">
      <c r="A79" s="79" t="s">
        <v>226</v>
      </c>
      <c r="B79" s="18">
        <v>2</v>
      </c>
      <c r="C79" s="85" t="s">
        <v>227</v>
      </c>
      <c r="D79" s="85" t="s">
        <v>228</v>
      </c>
      <c r="E79" s="84" t="s">
        <v>21</v>
      </c>
      <c r="F79" s="84" t="s">
        <v>7</v>
      </c>
      <c r="G79" s="84" t="s">
        <v>57</v>
      </c>
      <c r="H79" s="84" t="s">
        <v>230</v>
      </c>
      <c r="I79" s="14"/>
      <c r="J79" s="15" t="str">
        <f>IF(E79="Invalid_Segment","Invalid",IFERROR(INDEX(Severity_Matrix!$C$3:$M$10,MATCH('Error Log'!$F79,Severity_Matrix!$B$3:$B$10,0),MATCH('Error Log'!$G79,Severity_Matrix!$C$2:$M$2,0)),"No errors"))</f>
        <v>Critical</v>
      </c>
      <c r="K79" s="79"/>
    </row>
    <row r="80" spans="1:11">
      <c r="A80" s="79" t="s">
        <v>231</v>
      </c>
      <c r="B80" s="18">
        <v>1</v>
      </c>
      <c r="C80" s="85" t="s">
        <v>232</v>
      </c>
      <c r="D80" s="85" t="s">
        <v>233</v>
      </c>
      <c r="E80" s="84" t="s">
        <v>21</v>
      </c>
      <c r="F80" s="84" t="s">
        <v>22</v>
      </c>
      <c r="G80" s="84" t="s">
        <v>57</v>
      </c>
      <c r="H80" s="84" t="s">
        <v>234</v>
      </c>
      <c r="I80" s="14"/>
      <c r="J80" s="15" t="str">
        <f>IF(E80="Invalid_Segment","Invalid",IFERROR(INDEX(Severity_Matrix!$C$3:$M$10,MATCH('Error Log'!$F80,Severity_Matrix!$B$3:$B$10,0),MATCH('Error Log'!$G80,Severity_Matrix!$C$2:$M$2,0)),"No errors"))</f>
        <v>Major</v>
      </c>
      <c r="K80" s="79"/>
    </row>
    <row r="81" spans="1:11">
      <c r="A81" s="79" t="s">
        <v>231</v>
      </c>
      <c r="B81" s="18">
        <v>2</v>
      </c>
      <c r="C81" s="85" t="s">
        <v>232</v>
      </c>
      <c r="D81" s="85" t="s">
        <v>233</v>
      </c>
      <c r="E81" s="84" t="s">
        <v>21</v>
      </c>
      <c r="F81" s="84" t="s">
        <v>7</v>
      </c>
      <c r="G81" s="84" t="s">
        <v>57</v>
      </c>
      <c r="H81" s="86" t="s">
        <v>235</v>
      </c>
      <c r="I81" s="14"/>
      <c r="J81" s="15" t="str">
        <f>IF(E81="Invalid_Segment","Invalid",IFERROR(INDEX(Severity_Matrix!$C$3:$M$10,MATCH('Error Log'!$F81,Severity_Matrix!$B$3:$B$10,0),MATCH('Error Log'!$G81,Severity_Matrix!$C$2:$M$2,0)),"No errors"))</f>
        <v>Critical</v>
      </c>
      <c r="K81" s="79"/>
    </row>
    <row r="82" spans="1:11">
      <c r="A82" s="79" t="s">
        <v>231</v>
      </c>
      <c r="B82" s="18">
        <v>3</v>
      </c>
      <c r="C82" s="85" t="s">
        <v>232</v>
      </c>
      <c r="D82" s="85" t="s">
        <v>233</v>
      </c>
      <c r="E82" s="84" t="s">
        <v>21</v>
      </c>
      <c r="F82" s="84" t="s">
        <v>7</v>
      </c>
      <c r="G82" s="84" t="s">
        <v>57</v>
      </c>
      <c r="H82" s="84" t="s">
        <v>236</v>
      </c>
      <c r="I82" s="14"/>
      <c r="J82" s="15" t="str">
        <f>IF(E82="Invalid_Segment","Invalid",IFERROR(INDEX(Severity_Matrix!$C$3:$M$10,MATCH('Error Log'!$F82,Severity_Matrix!$B$3:$B$10,0),MATCH('Error Log'!$G82,Severity_Matrix!$C$2:$M$2,0)),"No errors"))</f>
        <v>Critical</v>
      </c>
      <c r="K82" s="79"/>
    </row>
    <row r="83" spans="1:11">
      <c r="A83" s="79" t="s">
        <v>237</v>
      </c>
      <c r="B83" s="18">
        <v>1</v>
      </c>
      <c r="C83" s="85" t="s">
        <v>238</v>
      </c>
      <c r="D83" s="85" t="s">
        <v>239</v>
      </c>
      <c r="E83" s="84" t="s">
        <v>21</v>
      </c>
      <c r="F83" s="84" t="s">
        <v>7</v>
      </c>
      <c r="G83" s="84" t="s">
        <v>57</v>
      </c>
      <c r="H83" s="84" t="s">
        <v>240</v>
      </c>
      <c r="I83" s="14"/>
      <c r="J83" s="15" t="str">
        <f>IF(E83="Invalid_Segment","Invalid",IFERROR(INDEX(Severity_Matrix!$C$3:$M$10,MATCH('Error Log'!$F83,Severity_Matrix!$B$3:$B$10,0),MATCH('Error Log'!$G83,Severity_Matrix!$C$2:$M$2,0)),"No errors"))</f>
        <v>Critical</v>
      </c>
      <c r="K83" s="79"/>
    </row>
    <row r="84" spans="1:11">
      <c r="A84" s="79" t="s">
        <v>237</v>
      </c>
      <c r="B84" s="18">
        <v>2</v>
      </c>
      <c r="C84" s="85" t="s">
        <v>238</v>
      </c>
      <c r="D84" s="85" t="s">
        <v>239</v>
      </c>
      <c r="E84" s="84" t="s">
        <v>21</v>
      </c>
      <c r="F84" s="84" t="s">
        <v>7</v>
      </c>
      <c r="G84" s="84" t="s">
        <v>57</v>
      </c>
      <c r="H84" s="84" t="s">
        <v>241</v>
      </c>
      <c r="I84" s="14"/>
      <c r="J84" s="15" t="str">
        <f>IF(E84="Invalid_Segment","Invalid",IFERROR(INDEX(Severity_Matrix!$C$3:$M$10,MATCH('Error Log'!$F84,Severity_Matrix!$B$3:$B$10,0),MATCH('Error Log'!$G84,Severity_Matrix!$C$2:$M$2,0)),"No errors"))</f>
        <v>Critical</v>
      </c>
      <c r="K84" s="79"/>
    </row>
    <row r="85" spans="1:11">
      <c r="A85" s="79" t="s">
        <v>242</v>
      </c>
      <c r="B85" s="18">
        <v>1</v>
      </c>
      <c r="C85" s="85" t="s">
        <v>243</v>
      </c>
      <c r="D85" s="85" t="s">
        <v>244</v>
      </c>
      <c r="E85" s="84" t="s">
        <v>21</v>
      </c>
      <c r="F85" s="84" t="s">
        <v>7</v>
      </c>
      <c r="G85" s="84" t="s">
        <v>57</v>
      </c>
      <c r="H85" s="84" t="s">
        <v>245</v>
      </c>
      <c r="I85" s="14"/>
      <c r="J85" s="15" t="str">
        <f>IF(E85="Invalid_Segment","Invalid",IFERROR(INDEX(Severity_Matrix!$C$3:$M$10,MATCH('Error Log'!$F85,Severity_Matrix!$B$3:$B$10,0),MATCH('Error Log'!$G85,Severity_Matrix!$C$2:$M$2,0)),"No errors"))</f>
        <v>Critical</v>
      </c>
      <c r="K85" s="79"/>
    </row>
    <row r="86" spans="1:11">
      <c r="A86" s="79" t="s">
        <v>246</v>
      </c>
      <c r="B86" s="18">
        <v>1</v>
      </c>
      <c r="C86" s="85" t="s">
        <v>247</v>
      </c>
      <c r="D86" s="85" t="s">
        <v>248</v>
      </c>
      <c r="E86" s="84" t="s">
        <v>21</v>
      </c>
      <c r="F86" s="84" t="s">
        <v>22</v>
      </c>
      <c r="G86" s="84" t="s">
        <v>55</v>
      </c>
      <c r="H86" s="84" t="s">
        <v>249</v>
      </c>
      <c r="I86" s="14"/>
      <c r="J86" s="15" t="str">
        <f>IF(E86="Invalid_Segment","Invalid",IFERROR(INDEX(Severity_Matrix!$C$3:$M$10,MATCH('Error Log'!$F86,Severity_Matrix!$B$3:$B$10,0),MATCH('Error Log'!$G86,Severity_Matrix!$C$2:$M$2,0)),"No errors"))</f>
        <v>Critical</v>
      </c>
      <c r="K86" s="79"/>
    </row>
    <row r="87" spans="1:11">
      <c r="A87" s="79" t="s">
        <v>250</v>
      </c>
      <c r="B87" s="18">
        <v>1</v>
      </c>
      <c r="C87" s="85" t="s">
        <v>251</v>
      </c>
      <c r="D87" s="85" t="s">
        <v>252</v>
      </c>
      <c r="E87" s="84" t="s">
        <v>21</v>
      </c>
      <c r="F87" s="84" t="s">
        <v>22</v>
      </c>
      <c r="G87" s="84" t="s">
        <v>57</v>
      </c>
      <c r="H87" s="84" t="s">
        <v>253</v>
      </c>
      <c r="I87" s="14"/>
      <c r="J87" s="15" t="str">
        <f>IF(E87="Invalid_Segment","Invalid",IFERROR(INDEX(Severity_Matrix!$C$3:$M$10,MATCH('Error Log'!$F87,Severity_Matrix!$B$3:$B$10,0),MATCH('Error Log'!$G87,Severity_Matrix!$C$2:$M$2,0)),"No errors"))</f>
        <v>Major</v>
      </c>
      <c r="K87" s="79"/>
    </row>
    <row r="88" spans="1:11">
      <c r="A88" s="79" t="s">
        <v>250</v>
      </c>
      <c r="B88" s="18">
        <v>2</v>
      </c>
      <c r="C88" s="85" t="s">
        <v>251</v>
      </c>
      <c r="D88" s="85" t="s">
        <v>252</v>
      </c>
      <c r="E88" s="84" t="s">
        <v>21</v>
      </c>
      <c r="F88" s="84" t="s">
        <v>22</v>
      </c>
      <c r="G88" s="84" t="s">
        <v>57</v>
      </c>
      <c r="H88" s="84" t="s">
        <v>254</v>
      </c>
      <c r="I88" s="14"/>
      <c r="J88" s="15" t="str">
        <f>IF(E88="Invalid_Segment","Invalid",IFERROR(INDEX(Severity_Matrix!$C$3:$M$10,MATCH('Error Log'!$F88,Severity_Matrix!$B$3:$B$10,0),MATCH('Error Log'!$G88,Severity_Matrix!$C$2:$M$2,0)),"No errors"))</f>
        <v>Major</v>
      </c>
      <c r="K88" s="79"/>
    </row>
    <row r="89" spans="1:11">
      <c r="A89" s="79" t="s">
        <v>255</v>
      </c>
      <c r="B89" s="18">
        <v>3</v>
      </c>
      <c r="C89" s="85" t="s">
        <v>251</v>
      </c>
      <c r="D89" s="85" t="s">
        <v>252</v>
      </c>
      <c r="E89" s="84" t="s">
        <v>21</v>
      </c>
      <c r="F89" s="84" t="s">
        <v>7</v>
      </c>
      <c r="G89" s="84" t="s">
        <v>57</v>
      </c>
      <c r="H89" s="84" t="s">
        <v>256</v>
      </c>
      <c r="I89" s="14"/>
      <c r="J89" s="15" t="str">
        <f>IF(E89="Invalid_Segment","Invalid",IFERROR(INDEX(Severity_Matrix!$C$3:$M$10,MATCH('Error Log'!$F89,Severity_Matrix!$B$3:$B$10,0),MATCH('Error Log'!$G89,Severity_Matrix!$C$2:$M$2,0)),"No errors"))</f>
        <v>Critical</v>
      </c>
      <c r="K89" s="79"/>
    </row>
    <row r="90" spans="1:11">
      <c r="A90" s="79" t="s">
        <v>255</v>
      </c>
      <c r="B90" s="18">
        <v>4</v>
      </c>
      <c r="C90" s="85" t="s">
        <v>251</v>
      </c>
      <c r="D90" s="85" t="s">
        <v>252</v>
      </c>
      <c r="E90" s="84" t="s">
        <v>21</v>
      </c>
      <c r="F90" s="84" t="s">
        <v>7</v>
      </c>
      <c r="G90" s="84" t="s">
        <v>57</v>
      </c>
      <c r="H90" s="84" t="s">
        <v>257</v>
      </c>
      <c r="I90" s="14"/>
      <c r="J90" s="15" t="str">
        <f>IF(E90="Invalid_Segment","Invalid",IFERROR(INDEX(Severity_Matrix!$C$3:$M$10,MATCH('Error Log'!$F90,Severity_Matrix!$B$3:$B$10,0),MATCH('Error Log'!$G90,Severity_Matrix!$C$2:$M$2,0)),"No errors"))</f>
        <v>Critical</v>
      </c>
      <c r="K90" s="79"/>
    </row>
    <row r="91" spans="1:11">
      <c r="A91" s="79" t="s">
        <v>258</v>
      </c>
      <c r="B91" s="18">
        <v>1</v>
      </c>
      <c r="C91" s="85" t="s">
        <v>259</v>
      </c>
      <c r="D91" s="85" t="s">
        <v>260</v>
      </c>
      <c r="E91" s="84" t="s">
        <v>21</v>
      </c>
      <c r="F91" s="84" t="s">
        <v>7</v>
      </c>
      <c r="G91" s="84" t="s">
        <v>57</v>
      </c>
      <c r="H91" s="84" t="s">
        <v>261</v>
      </c>
      <c r="I91" s="14"/>
      <c r="J91" s="15" t="str">
        <f>IF(E91="Invalid_Segment","Invalid",IFERROR(INDEX(Severity_Matrix!$C$3:$M$10,MATCH('Error Log'!$F91,Severity_Matrix!$B$3:$B$10,0),MATCH('Error Log'!$G91,Severity_Matrix!$C$2:$M$2,0)),"No errors"))</f>
        <v>Critical</v>
      </c>
      <c r="K91" s="79"/>
    </row>
    <row r="92" spans="1:11">
      <c r="A92" s="79" t="s">
        <v>258</v>
      </c>
      <c r="B92" s="18">
        <v>2</v>
      </c>
      <c r="C92" s="85" t="s">
        <v>259</v>
      </c>
      <c r="D92" s="85" t="s">
        <v>260</v>
      </c>
      <c r="E92" s="84" t="s">
        <v>21</v>
      </c>
      <c r="F92" s="84" t="s">
        <v>7</v>
      </c>
      <c r="G92" s="84" t="s">
        <v>57</v>
      </c>
      <c r="H92" s="84" t="s">
        <v>262</v>
      </c>
      <c r="I92" s="14"/>
      <c r="J92" s="15" t="str">
        <f>IF(E92="Invalid_Segment","Invalid",IFERROR(INDEX(Severity_Matrix!$C$3:$M$10,MATCH('Error Log'!$F92,Severity_Matrix!$B$3:$B$10,0),MATCH('Error Log'!$G92,Severity_Matrix!$C$2:$M$2,0)),"No errors"))</f>
        <v>Critical</v>
      </c>
      <c r="K92" s="79"/>
    </row>
    <row r="93" spans="1:11">
      <c r="A93" s="79" t="s">
        <v>263</v>
      </c>
      <c r="B93" s="18">
        <v>3</v>
      </c>
      <c r="C93" s="85" t="s">
        <v>259</v>
      </c>
      <c r="D93" s="85" t="s">
        <v>260</v>
      </c>
      <c r="E93" s="84" t="s">
        <v>21</v>
      </c>
      <c r="F93" s="84" t="s">
        <v>7</v>
      </c>
      <c r="G93" s="84" t="s">
        <v>57</v>
      </c>
      <c r="H93" s="84" t="s">
        <v>264</v>
      </c>
      <c r="I93" s="14"/>
      <c r="J93" s="15" t="str">
        <f>IF(E93="Invalid_Segment","Invalid",IFERROR(INDEX(Severity_Matrix!$C$3:$M$10,MATCH('Error Log'!$F93,Severity_Matrix!$B$3:$B$10,0),MATCH('Error Log'!$G93,Severity_Matrix!$C$2:$M$2,0)),"No errors"))</f>
        <v>Critical</v>
      </c>
      <c r="K93" s="79"/>
    </row>
    <row r="94" spans="1:11">
      <c r="A94" s="79" t="s">
        <v>263</v>
      </c>
      <c r="B94" s="18">
        <v>4</v>
      </c>
      <c r="C94" s="85" t="s">
        <v>259</v>
      </c>
      <c r="D94" s="85" t="s">
        <v>260</v>
      </c>
      <c r="E94" s="84" t="s">
        <v>21</v>
      </c>
      <c r="F94" s="84" t="s">
        <v>7</v>
      </c>
      <c r="G94" s="84" t="s">
        <v>57</v>
      </c>
      <c r="H94" s="84" t="s">
        <v>265</v>
      </c>
      <c r="I94" s="14"/>
      <c r="J94" s="15" t="str">
        <f>IF(E94="Invalid_Segment","Invalid",IFERROR(INDEX(Severity_Matrix!$C$3:$M$10,MATCH('Error Log'!$F94,Severity_Matrix!$B$3:$B$10,0),MATCH('Error Log'!$G94,Severity_Matrix!$C$2:$M$2,0)),"No errors"))</f>
        <v>Critical</v>
      </c>
      <c r="K94" s="79"/>
    </row>
    <row r="95" spans="1:11">
      <c r="A95" s="79" t="s">
        <v>263</v>
      </c>
      <c r="B95" s="18">
        <v>5</v>
      </c>
      <c r="C95" s="85" t="s">
        <v>259</v>
      </c>
      <c r="D95" s="85" t="s">
        <v>260</v>
      </c>
      <c r="E95" s="84" t="s">
        <v>21</v>
      </c>
      <c r="F95" s="84" t="s">
        <v>7</v>
      </c>
      <c r="G95" s="84" t="s">
        <v>57</v>
      </c>
      <c r="H95" s="84" t="s">
        <v>266</v>
      </c>
      <c r="I95" s="14"/>
      <c r="J95" s="15" t="str">
        <f>IF(E95="Invalid_Segment","Invalid",IFERROR(INDEX(Severity_Matrix!$C$3:$M$10,MATCH('Error Log'!$F95,Severity_Matrix!$B$3:$B$10,0),MATCH('Error Log'!$G95,Severity_Matrix!$C$2:$M$2,0)),"No errors"))</f>
        <v>Critical</v>
      </c>
      <c r="K95" s="79"/>
    </row>
    <row r="96" spans="1:11">
      <c r="A96" s="79" t="s">
        <v>263</v>
      </c>
      <c r="B96" s="18">
        <v>6</v>
      </c>
      <c r="C96" s="85" t="s">
        <v>259</v>
      </c>
      <c r="D96" s="85" t="s">
        <v>260</v>
      </c>
      <c r="E96" s="84" t="s">
        <v>21</v>
      </c>
      <c r="F96" s="84" t="s">
        <v>22</v>
      </c>
      <c r="G96" s="84" t="s">
        <v>57</v>
      </c>
      <c r="H96" s="84" t="s">
        <v>267</v>
      </c>
      <c r="I96" s="14"/>
      <c r="J96" s="15" t="str">
        <f>IF(E96="Invalid_Segment","Invalid",IFERROR(INDEX(Severity_Matrix!$C$3:$M$10,MATCH('Error Log'!$F96,Severity_Matrix!$B$3:$B$10,0),MATCH('Error Log'!$G96,Severity_Matrix!$C$2:$M$2,0)),"No errors"))</f>
        <v>Major</v>
      </c>
      <c r="K96" s="79"/>
    </row>
    <row r="97" spans="1:11">
      <c r="A97" s="79" t="s">
        <v>268</v>
      </c>
      <c r="B97" s="18">
        <v>1</v>
      </c>
      <c r="C97" s="85" t="s">
        <v>269</v>
      </c>
      <c r="D97" s="85" t="s">
        <v>270</v>
      </c>
      <c r="E97" s="84" t="s">
        <v>21</v>
      </c>
      <c r="F97" s="84" t="s">
        <v>22</v>
      </c>
      <c r="G97" s="84" t="s">
        <v>57</v>
      </c>
      <c r="H97" s="84" t="s">
        <v>271</v>
      </c>
      <c r="I97" s="14"/>
      <c r="J97" s="15" t="str">
        <f>IF(E97="Invalid_Segment","Invalid",IFERROR(INDEX(Severity_Matrix!$C$3:$M$10,MATCH('Error Log'!$F97,Severity_Matrix!$B$3:$B$10,0),MATCH('Error Log'!$G97,Severity_Matrix!$C$2:$M$2,0)),"No errors"))</f>
        <v>Major</v>
      </c>
      <c r="K97" s="79"/>
    </row>
    <row r="98" spans="1:11">
      <c r="A98" s="79" t="s">
        <v>268</v>
      </c>
      <c r="B98" s="18">
        <v>2</v>
      </c>
      <c r="C98" s="85" t="s">
        <v>269</v>
      </c>
      <c r="D98" s="85" t="s">
        <v>270</v>
      </c>
      <c r="E98" s="84" t="s">
        <v>21</v>
      </c>
      <c r="F98" s="84" t="s">
        <v>22</v>
      </c>
      <c r="G98" s="84" t="s">
        <v>57</v>
      </c>
      <c r="H98" s="84" t="s">
        <v>272</v>
      </c>
      <c r="I98" s="14"/>
      <c r="J98" s="15" t="str">
        <f>IF(E98="Invalid_Segment","Invalid",IFERROR(INDEX(Severity_Matrix!$C$3:$M$10,MATCH('Error Log'!$F98,Severity_Matrix!$B$3:$B$10,0),MATCH('Error Log'!$G98,Severity_Matrix!$C$2:$M$2,0)),"No errors"))</f>
        <v>Major</v>
      </c>
      <c r="K98" s="79"/>
    </row>
    <row r="99" spans="1:11">
      <c r="A99" s="79" t="s">
        <v>273</v>
      </c>
      <c r="B99" s="18">
        <v>3</v>
      </c>
      <c r="C99" s="85" t="s">
        <v>269</v>
      </c>
      <c r="D99" s="85" t="s">
        <v>270</v>
      </c>
      <c r="E99" s="84" t="s">
        <v>21</v>
      </c>
      <c r="F99" s="84" t="s">
        <v>7</v>
      </c>
      <c r="G99" s="84" t="s">
        <v>57</v>
      </c>
      <c r="H99" s="84" t="s">
        <v>274</v>
      </c>
      <c r="I99" s="14"/>
      <c r="J99" s="15" t="str">
        <f>IF(E99="Invalid_Segment","Invalid",IFERROR(INDEX(Severity_Matrix!$C$3:$M$10,MATCH('Error Log'!$F99,Severity_Matrix!$B$3:$B$10,0),MATCH('Error Log'!$G99,Severity_Matrix!$C$2:$M$2,0)),"No errors"))</f>
        <v>Critical</v>
      </c>
      <c r="K99" s="79"/>
    </row>
    <row r="100" spans="1:11">
      <c r="A100" s="79" t="s">
        <v>273</v>
      </c>
      <c r="B100" s="18">
        <v>4</v>
      </c>
      <c r="C100" s="85" t="s">
        <v>269</v>
      </c>
      <c r="D100" s="85" t="s">
        <v>270</v>
      </c>
      <c r="E100" s="84" t="s">
        <v>21</v>
      </c>
      <c r="F100" s="84" t="s">
        <v>7</v>
      </c>
      <c r="G100" s="84" t="s">
        <v>57</v>
      </c>
      <c r="H100" s="84" t="s">
        <v>275</v>
      </c>
      <c r="I100" s="14"/>
      <c r="J100" s="15" t="str">
        <f>IF(E100="Invalid_Segment","Invalid",IFERROR(INDEX(Severity_Matrix!$C$3:$M$10,MATCH('Error Log'!$F100,Severity_Matrix!$B$3:$B$10,0),MATCH('Error Log'!$G100,Severity_Matrix!$C$2:$M$2,0)),"No errors"))</f>
        <v>Critical</v>
      </c>
      <c r="K100" s="79"/>
    </row>
    <row r="101" spans="1:11">
      <c r="A101" s="79" t="s">
        <v>273</v>
      </c>
      <c r="B101" s="18">
        <v>5</v>
      </c>
      <c r="C101" s="85" t="s">
        <v>269</v>
      </c>
      <c r="D101" s="85" t="s">
        <v>270</v>
      </c>
      <c r="E101" s="84" t="s">
        <v>21</v>
      </c>
      <c r="F101" s="84" t="s">
        <v>7</v>
      </c>
      <c r="G101" s="84" t="s">
        <v>57</v>
      </c>
      <c r="H101" s="84" t="s">
        <v>276</v>
      </c>
      <c r="I101" s="14"/>
      <c r="J101" s="15" t="str">
        <f>IF(E101="Invalid_Segment","Invalid",IFERROR(INDEX(Severity_Matrix!$C$3:$M$10,MATCH('Error Log'!$F101,Severity_Matrix!$B$3:$B$10,0),MATCH('Error Log'!$G101,Severity_Matrix!$C$2:$M$2,0)),"No errors"))</f>
        <v>Critical</v>
      </c>
      <c r="K101" s="79"/>
    </row>
    <row r="102" spans="1:11">
      <c r="A102" s="79" t="s">
        <v>277</v>
      </c>
      <c r="B102" s="18">
        <v>1</v>
      </c>
      <c r="C102" s="85" t="s">
        <v>278</v>
      </c>
      <c r="D102" s="85" t="s">
        <v>279</v>
      </c>
      <c r="E102" s="84" t="s">
        <v>21</v>
      </c>
      <c r="F102" s="84" t="s">
        <v>7</v>
      </c>
      <c r="G102" s="84" t="s">
        <v>57</v>
      </c>
      <c r="H102" s="84" t="s">
        <v>280</v>
      </c>
      <c r="I102" s="14"/>
      <c r="J102" s="15" t="str">
        <f>IF(E102="Invalid_Segment","Invalid",IFERROR(INDEX(Severity_Matrix!$C$3:$M$10,MATCH('Error Log'!$F102,Severity_Matrix!$B$3:$B$10,0),MATCH('Error Log'!$G102,Severity_Matrix!$C$2:$M$2,0)),"No errors"))</f>
        <v>Critical</v>
      </c>
      <c r="K102" s="79"/>
    </row>
    <row r="103" spans="1:11">
      <c r="A103" s="79" t="s">
        <v>281</v>
      </c>
      <c r="B103" s="18">
        <v>1</v>
      </c>
      <c r="C103" s="85" t="s">
        <v>282</v>
      </c>
      <c r="D103" s="85" t="s">
        <v>283</v>
      </c>
      <c r="E103" s="84" t="s">
        <v>21</v>
      </c>
      <c r="F103" s="84" t="s">
        <v>22</v>
      </c>
      <c r="G103" s="84" t="s">
        <v>57</v>
      </c>
      <c r="H103" s="84" t="s">
        <v>284</v>
      </c>
      <c r="I103" s="14"/>
      <c r="J103" s="15" t="str">
        <f>IF(E103="Invalid_Segment","Invalid",IFERROR(INDEX(Severity_Matrix!$C$3:$M$10,MATCH('Error Log'!$F103,Severity_Matrix!$B$3:$B$10,0),MATCH('Error Log'!$G103,Severity_Matrix!$C$2:$M$2,0)),"No errors"))</f>
        <v>Major</v>
      </c>
      <c r="K103" s="79"/>
    </row>
    <row r="104" spans="1:11">
      <c r="A104" s="79" t="s">
        <v>281</v>
      </c>
      <c r="B104" s="18">
        <v>2</v>
      </c>
      <c r="C104" s="85" t="s">
        <v>282</v>
      </c>
      <c r="D104" s="85" t="s">
        <v>283</v>
      </c>
      <c r="E104" s="84" t="s">
        <v>21</v>
      </c>
      <c r="F104" s="84" t="s">
        <v>7</v>
      </c>
      <c r="G104" s="84" t="s">
        <v>57</v>
      </c>
      <c r="H104" s="84" t="s">
        <v>285</v>
      </c>
      <c r="I104" s="14"/>
      <c r="J104" s="15" t="str">
        <f>IF(E104="Invalid_Segment","Invalid",IFERROR(INDEX(Severity_Matrix!$C$3:$M$10,MATCH('Error Log'!$F104,Severity_Matrix!$B$3:$B$10,0),MATCH('Error Log'!$G104,Severity_Matrix!$C$2:$M$2,0)),"No errors"))</f>
        <v>Critical</v>
      </c>
      <c r="K104" s="79"/>
    </row>
    <row r="105" spans="1:11">
      <c r="A105" s="79" t="s">
        <v>286</v>
      </c>
      <c r="B105" s="18">
        <v>3</v>
      </c>
      <c r="C105" s="85" t="s">
        <v>282</v>
      </c>
      <c r="D105" s="85" t="s">
        <v>283</v>
      </c>
      <c r="E105" s="84" t="s">
        <v>21</v>
      </c>
      <c r="F105" s="84" t="s">
        <v>7</v>
      </c>
      <c r="G105" s="84" t="s">
        <v>57</v>
      </c>
      <c r="H105" s="84" t="s">
        <v>287</v>
      </c>
      <c r="I105" s="14"/>
      <c r="J105" s="15" t="str">
        <f>IF(E105="Invalid_Segment","Invalid",IFERROR(INDEX(Severity_Matrix!$C$3:$M$10,MATCH('Error Log'!$F105,Severity_Matrix!$B$3:$B$10,0),MATCH('Error Log'!$G105,Severity_Matrix!$C$2:$M$2,0)),"No errors"))</f>
        <v>Critical</v>
      </c>
      <c r="K105" s="79"/>
    </row>
    <row r="106" spans="1:11">
      <c r="A106" s="79" t="s">
        <v>286</v>
      </c>
      <c r="B106" s="18">
        <v>4</v>
      </c>
      <c r="C106" s="85" t="s">
        <v>282</v>
      </c>
      <c r="D106" s="85" t="s">
        <v>283</v>
      </c>
      <c r="E106" s="84" t="s">
        <v>21</v>
      </c>
      <c r="F106" s="84" t="s">
        <v>7</v>
      </c>
      <c r="G106" s="84" t="s">
        <v>57</v>
      </c>
      <c r="H106" s="84" t="s">
        <v>288</v>
      </c>
      <c r="I106" s="14"/>
      <c r="J106" s="15" t="str">
        <f>IF(E106="Invalid_Segment","Invalid",IFERROR(INDEX(Severity_Matrix!$C$3:$M$10,MATCH('Error Log'!$F106,Severity_Matrix!$B$3:$B$10,0),MATCH('Error Log'!$G106,Severity_Matrix!$C$2:$M$2,0)),"No errors"))</f>
        <v>Critical</v>
      </c>
      <c r="K106" s="79"/>
    </row>
    <row r="107" spans="1:11">
      <c r="A107" s="79" t="s">
        <v>289</v>
      </c>
      <c r="B107" s="18">
        <v>1</v>
      </c>
      <c r="C107" s="85" t="s">
        <v>290</v>
      </c>
      <c r="D107" s="85" t="s">
        <v>291</v>
      </c>
      <c r="E107" s="84" t="s">
        <v>21</v>
      </c>
      <c r="F107" s="84" t="s">
        <v>22</v>
      </c>
      <c r="G107" s="84" t="s">
        <v>57</v>
      </c>
      <c r="H107" s="84" t="s">
        <v>292</v>
      </c>
      <c r="I107" s="14"/>
      <c r="J107" s="15" t="str">
        <f>IF(E107="Invalid_Segment","Invalid",IFERROR(INDEX(Severity_Matrix!$C$3:$M$10,MATCH('Error Log'!$F107,Severity_Matrix!$B$3:$B$10,0),MATCH('Error Log'!$G107,Severity_Matrix!$C$2:$M$2,0)),"No errors"))</f>
        <v>Major</v>
      </c>
      <c r="K107" s="79"/>
    </row>
    <row r="108" spans="1:11">
      <c r="A108" s="79" t="s">
        <v>289</v>
      </c>
      <c r="B108" s="18">
        <v>2</v>
      </c>
      <c r="C108" s="85" t="s">
        <v>290</v>
      </c>
      <c r="D108" s="85" t="s">
        <v>291</v>
      </c>
      <c r="E108" s="84" t="s">
        <v>21</v>
      </c>
      <c r="F108" s="84" t="s">
        <v>22</v>
      </c>
      <c r="G108" s="84" t="s">
        <v>57</v>
      </c>
      <c r="H108" s="84" t="s">
        <v>293</v>
      </c>
      <c r="I108" s="14"/>
      <c r="J108" s="15" t="str">
        <f>IF(E108="Invalid_Segment","Invalid",IFERROR(INDEX(Severity_Matrix!$C$3:$M$10,MATCH('Error Log'!$F108,Severity_Matrix!$B$3:$B$10,0),MATCH('Error Log'!$G108,Severity_Matrix!$C$2:$M$2,0)),"No errors"))</f>
        <v>Major</v>
      </c>
      <c r="K108" s="79"/>
    </row>
    <row r="109" spans="1:11">
      <c r="A109" s="79" t="s">
        <v>294</v>
      </c>
      <c r="B109" s="18">
        <v>3</v>
      </c>
      <c r="C109" s="85" t="s">
        <v>290</v>
      </c>
      <c r="D109" s="85" t="s">
        <v>291</v>
      </c>
      <c r="E109" s="84" t="s">
        <v>21</v>
      </c>
      <c r="F109" s="84" t="s">
        <v>7</v>
      </c>
      <c r="G109" s="84" t="s">
        <v>57</v>
      </c>
      <c r="H109" s="84" t="s">
        <v>295</v>
      </c>
      <c r="I109" s="14"/>
      <c r="J109" s="15" t="str">
        <f>IF(E109="Invalid_Segment","Invalid",IFERROR(INDEX(Severity_Matrix!$C$3:$M$10,MATCH('Error Log'!$F109,Severity_Matrix!$B$3:$B$10,0),MATCH('Error Log'!$G109,Severity_Matrix!$C$2:$M$2,0)),"No errors"))</f>
        <v>Critical</v>
      </c>
      <c r="K109" s="79"/>
    </row>
    <row r="110" spans="1:11">
      <c r="A110" s="79" t="s">
        <v>294</v>
      </c>
      <c r="B110" s="18">
        <v>4</v>
      </c>
      <c r="C110" s="85" t="s">
        <v>290</v>
      </c>
      <c r="D110" s="85" t="s">
        <v>291</v>
      </c>
      <c r="E110" s="84" t="s">
        <v>21</v>
      </c>
      <c r="F110" s="84" t="s">
        <v>7</v>
      </c>
      <c r="G110" s="84" t="s">
        <v>57</v>
      </c>
      <c r="H110" s="84" t="s">
        <v>296</v>
      </c>
      <c r="I110" s="14"/>
      <c r="J110" s="15" t="str">
        <f>IF(E110="Invalid_Segment","Invalid",IFERROR(INDEX(Severity_Matrix!$C$3:$M$10,MATCH('Error Log'!$F110,Severity_Matrix!$B$3:$B$10,0),MATCH('Error Log'!$G110,Severity_Matrix!$C$2:$M$2,0)),"No errors"))</f>
        <v>Critical</v>
      </c>
      <c r="K110" s="79"/>
    </row>
    <row r="111" spans="1:11">
      <c r="A111" s="79" t="s">
        <v>294</v>
      </c>
      <c r="B111" s="18">
        <v>5</v>
      </c>
      <c r="C111" s="85" t="s">
        <v>290</v>
      </c>
      <c r="D111" s="85" t="s">
        <v>291</v>
      </c>
      <c r="E111" s="84" t="s">
        <v>21</v>
      </c>
      <c r="F111" s="84" t="s">
        <v>7</v>
      </c>
      <c r="G111" s="84" t="s">
        <v>57</v>
      </c>
      <c r="H111" s="84" t="s">
        <v>297</v>
      </c>
      <c r="I111" s="14"/>
      <c r="J111" s="15" t="str">
        <f>IF(E111="Invalid_Segment","Invalid",IFERROR(INDEX(Severity_Matrix!$C$3:$M$10,MATCH('Error Log'!$F111,Severity_Matrix!$B$3:$B$10,0),MATCH('Error Log'!$G111,Severity_Matrix!$C$2:$M$2,0)),"No errors"))</f>
        <v>Critical</v>
      </c>
      <c r="K111" s="79"/>
    </row>
    <row r="112" spans="1:11">
      <c r="A112" s="79" t="s">
        <v>298</v>
      </c>
      <c r="B112" s="18">
        <v>1</v>
      </c>
      <c r="C112" s="85" t="s">
        <v>299</v>
      </c>
      <c r="D112" s="85" t="s">
        <v>300</v>
      </c>
      <c r="E112" s="84" t="s">
        <v>21</v>
      </c>
      <c r="F112" s="84" t="s">
        <v>22</v>
      </c>
      <c r="G112" s="84" t="s">
        <v>57</v>
      </c>
      <c r="H112" s="84" t="s">
        <v>301</v>
      </c>
      <c r="I112" s="14"/>
      <c r="J112" s="15" t="str">
        <f>IF(E112="Invalid_Segment","Invalid",IFERROR(INDEX(Severity_Matrix!$C$3:$M$10,MATCH('Error Log'!$F112,Severity_Matrix!$B$3:$B$10,0),MATCH('Error Log'!$G112,Severity_Matrix!$C$2:$M$2,0)),"No errors"))</f>
        <v>Major</v>
      </c>
      <c r="K112" s="79"/>
    </row>
    <row r="113" spans="1:11">
      <c r="A113" s="79" t="s">
        <v>298</v>
      </c>
      <c r="B113" s="18">
        <v>2</v>
      </c>
      <c r="C113" s="85" t="s">
        <v>299</v>
      </c>
      <c r="D113" s="85" t="s">
        <v>300</v>
      </c>
      <c r="E113" s="84" t="s">
        <v>21</v>
      </c>
      <c r="F113" s="84" t="s">
        <v>22</v>
      </c>
      <c r="G113" s="84" t="s">
        <v>57</v>
      </c>
      <c r="H113" s="84" t="s">
        <v>302</v>
      </c>
      <c r="I113" s="14"/>
      <c r="J113" s="15" t="str">
        <f>IF(E113="Invalid_Segment","Invalid",IFERROR(INDEX(Severity_Matrix!$C$3:$M$10,MATCH('Error Log'!$F113,Severity_Matrix!$B$3:$B$10,0),MATCH('Error Log'!$G113,Severity_Matrix!$C$2:$M$2,0)),"No errors"))</f>
        <v>Major</v>
      </c>
      <c r="K113" s="79"/>
    </row>
    <row r="114" spans="1:11">
      <c r="A114" s="79" t="s">
        <v>303</v>
      </c>
      <c r="B114" s="18">
        <v>3</v>
      </c>
      <c r="C114" s="85" t="s">
        <v>299</v>
      </c>
      <c r="D114" s="85" t="s">
        <v>300</v>
      </c>
      <c r="E114" s="84" t="s">
        <v>21</v>
      </c>
      <c r="F114" s="84" t="s">
        <v>22</v>
      </c>
      <c r="G114" s="84" t="s">
        <v>57</v>
      </c>
      <c r="H114" s="84" t="s">
        <v>304</v>
      </c>
      <c r="I114" s="14"/>
      <c r="J114" s="15" t="str">
        <f>IF(E114="Invalid_Segment","Invalid",IFERROR(INDEX(Severity_Matrix!$C$3:$M$10,MATCH('Error Log'!$F114,Severity_Matrix!$B$3:$B$10,0),MATCH('Error Log'!$G114,Severity_Matrix!$C$2:$M$2,0)),"No errors"))</f>
        <v>Major</v>
      </c>
      <c r="K114" s="79"/>
    </row>
    <row r="115" spans="1:11">
      <c r="A115" s="79" t="s">
        <v>303</v>
      </c>
      <c r="B115" s="18">
        <v>4</v>
      </c>
      <c r="C115" s="85" t="s">
        <v>299</v>
      </c>
      <c r="D115" s="85" t="s">
        <v>300</v>
      </c>
      <c r="E115" s="84" t="s">
        <v>21</v>
      </c>
      <c r="F115" s="84" t="s">
        <v>7</v>
      </c>
      <c r="G115" s="84" t="s">
        <v>57</v>
      </c>
      <c r="H115" s="84" t="s">
        <v>305</v>
      </c>
      <c r="I115" s="14"/>
      <c r="J115" s="15" t="str">
        <f>IF(E115="Invalid_Segment","Invalid",IFERROR(INDEX(Severity_Matrix!$C$3:$M$10,MATCH('Error Log'!$F115,Severity_Matrix!$B$3:$B$10,0),MATCH('Error Log'!$G115,Severity_Matrix!$C$2:$M$2,0)),"No errors"))</f>
        <v>Critical</v>
      </c>
      <c r="K115" s="79"/>
    </row>
    <row r="116" spans="1:11">
      <c r="A116" s="79" t="s">
        <v>306</v>
      </c>
      <c r="B116" s="18">
        <v>1</v>
      </c>
      <c r="C116" s="85" t="s">
        <v>307</v>
      </c>
      <c r="D116" s="85" t="s">
        <v>308</v>
      </c>
      <c r="E116" s="84" t="s">
        <v>2</v>
      </c>
      <c r="F116" s="84" t="s">
        <v>26</v>
      </c>
      <c r="G116" s="84" t="s">
        <v>57</v>
      </c>
      <c r="H116" s="84" t="s">
        <v>309</v>
      </c>
      <c r="I116" s="14"/>
      <c r="J116" s="15" t="str">
        <f>IF(E116="Invalid_Segment","Invalid",IFERROR(INDEX(Severity_Matrix!$C$3:$M$10,MATCH('Error Log'!$F116,Severity_Matrix!$B$3:$B$10,0),MATCH('Error Log'!$G116,Severity_Matrix!$C$2:$M$2,0)),"No errors"))</f>
        <v>Major</v>
      </c>
      <c r="K116" s="79"/>
    </row>
    <row r="117" spans="1:11">
      <c r="A117" s="79" t="s">
        <v>306</v>
      </c>
      <c r="B117" s="18">
        <v>2</v>
      </c>
      <c r="C117" s="85" t="s">
        <v>307</v>
      </c>
      <c r="D117" s="85" t="s">
        <v>308</v>
      </c>
      <c r="E117" s="84" t="s">
        <v>21</v>
      </c>
      <c r="F117" s="84" t="s">
        <v>22</v>
      </c>
      <c r="G117" s="84" t="s">
        <v>57</v>
      </c>
      <c r="H117" s="84" t="s">
        <v>310</v>
      </c>
      <c r="I117" s="14"/>
      <c r="J117" s="15" t="str">
        <f>IF(E117="Invalid_Segment","Invalid",IFERROR(INDEX(Severity_Matrix!$C$3:$M$10,MATCH('Error Log'!$F117,Severity_Matrix!$B$3:$B$10,0),MATCH('Error Log'!$G117,Severity_Matrix!$C$2:$M$2,0)),"No errors"))</f>
        <v>Major</v>
      </c>
      <c r="K117" s="79"/>
    </row>
    <row r="118" spans="1:11">
      <c r="A118" s="79" t="s">
        <v>311</v>
      </c>
      <c r="B118" s="18">
        <v>3</v>
      </c>
      <c r="C118" s="85" t="s">
        <v>307</v>
      </c>
      <c r="D118" s="85" t="s">
        <v>308</v>
      </c>
      <c r="E118" s="84" t="s">
        <v>21</v>
      </c>
      <c r="F118" s="84" t="s">
        <v>7</v>
      </c>
      <c r="G118" s="84" t="s">
        <v>57</v>
      </c>
      <c r="H118" s="84" t="s">
        <v>312</v>
      </c>
      <c r="I118" s="14"/>
      <c r="J118" s="15" t="str">
        <f>IF(E118="Invalid_Segment","Invalid",IFERROR(INDEX(Severity_Matrix!$C$3:$M$10,MATCH('Error Log'!$F118,Severity_Matrix!$B$3:$B$10,0),MATCH('Error Log'!$G118,Severity_Matrix!$C$2:$M$2,0)),"No errors"))</f>
        <v>Critical</v>
      </c>
      <c r="K118" s="79"/>
    </row>
    <row r="119" spans="1:11">
      <c r="A119" s="79" t="s">
        <v>311</v>
      </c>
      <c r="B119" s="18">
        <v>4</v>
      </c>
      <c r="C119" s="85" t="s">
        <v>307</v>
      </c>
      <c r="D119" s="85" t="s">
        <v>308</v>
      </c>
      <c r="E119" s="84" t="s">
        <v>21</v>
      </c>
      <c r="F119" s="84" t="s">
        <v>7</v>
      </c>
      <c r="G119" s="84" t="s">
        <v>57</v>
      </c>
      <c r="H119" s="84" t="s">
        <v>313</v>
      </c>
      <c r="I119" s="14"/>
      <c r="J119" s="15" t="str">
        <f>IF(E119="Invalid_Segment","Invalid",IFERROR(INDEX(Severity_Matrix!$C$3:$M$10,MATCH('Error Log'!$F119,Severity_Matrix!$B$3:$B$10,0),MATCH('Error Log'!$G119,Severity_Matrix!$C$2:$M$2,0)),"No errors"))</f>
        <v>Critical</v>
      </c>
      <c r="K119" s="79"/>
    </row>
    <row r="120" spans="1:11">
      <c r="A120" s="79" t="s">
        <v>314</v>
      </c>
      <c r="B120" s="18">
        <v>1</v>
      </c>
      <c r="C120" s="85" t="s">
        <v>315</v>
      </c>
      <c r="D120" s="85" t="s">
        <v>316</v>
      </c>
      <c r="E120" s="84"/>
      <c r="F120" s="84"/>
      <c r="G120" s="84"/>
      <c r="H120" s="84"/>
      <c r="I120" s="14"/>
      <c r="J120" s="15" t="str">
        <f>IF(E120="Invalid_Segment","Invalid",IFERROR(INDEX(Severity_Matrix!$C$3:$M$10,MATCH('Error Log'!$F120,Severity_Matrix!$B$3:$B$10,0),MATCH('Error Log'!$G120,Severity_Matrix!$C$2:$M$2,0)),"No errors"))</f>
        <v>No errors</v>
      </c>
      <c r="K120" s="79"/>
    </row>
    <row r="121" spans="1:11">
      <c r="A121" s="79" t="s">
        <v>317</v>
      </c>
      <c r="B121" s="18">
        <v>1</v>
      </c>
      <c r="C121" s="85" t="s">
        <v>318</v>
      </c>
      <c r="D121" s="85" t="s">
        <v>319</v>
      </c>
      <c r="E121" s="84" t="s">
        <v>21</v>
      </c>
      <c r="F121" s="84" t="s">
        <v>22</v>
      </c>
      <c r="G121" s="84" t="s">
        <v>57</v>
      </c>
      <c r="H121" s="84" t="s">
        <v>320</v>
      </c>
      <c r="I121" s="14"/>
      <c r="J121" s="15" t="str">
        <f>IF(E121="Invalid_Segment","Invalid",IFERROR(INDEX(Severity_Matrix!$C$3:$M$10,MATCH('Error Log'!$F121,Severity_Matrix!$B$3:$B$10,0),MATCH('Error Log'!$G121,Severity_Matrix!$C$2:$M$2,0)),"No errors"))</f>
        <v>Major</v>
      </c>
      <c r="K121" s="79"/>
    </row>
    <row r="122" spans="1:11">
      <c r="A122" s="79" t="s">
        <v>317</v>
      </c>
      <c r="B122" s="18">
        <v>2</v>
      </c>
      <c r="C122" s="85" t="s">
        <v>318</v>
      </c>
      <c r="D122" s="85" t="s">
        <v>319</v>
      </c>
      <c r="E122" s="84" t="s">
        <v>21</v>
      </c>
      <c r="F122" s="84" t="s">
        <v>22</v>
      </c>
      <c r="G122" s="84" t="s">
        <v>57</v>
      </c>
      <c r="H122" s="84" t="s">
        <v>321</v>
      </c>
      <c r="I122" s="14"/>
      <c r="J122" s="15" t="str">
        <f>IF(E122="Invalid_Segment","Invalid",IFERROR(INDEX(Severity_Matrix!$C$3:$M$10,MATCH('Error Log'!$F122,Severity_Matrix!$B$3:$B$10,0),MATCH('Error Log'!$G122,Severity_Matrix!$C$2:$M$2,0)),"No errors"))</f>
        <v>Major</v>
      </c>
      <c r="K122" s="79"/>
    </row>
    <row r="123" spans="1:11">
      <c r="A123" s="79" t="s">
        <v>322</v>
      </c>
      <c r="B123" s="18">
        <v>3</v>
      </c>
      <c r="C123" s="85" t="s">
        <v>318</v>
      </c>
      <c r="D123" s="85" t="s">
        <v>319</v>
      </c>
      <c r="E123" s="84" t="s">
        <v>21</v>
      </c>
      <c r="F123" s="84" t="s">
        <v>22</v>
      </c>
      <c r="G123" s="84" t="s">
        <v>57</v>
      </c>
      <c r="H123" s="84" t="s">
        <v>323</v>
      </c>
      <c r="I123" s="14"/>
      <c r="J123" s="15" t="str">
        <f>IF(E123="Invalid_Segment","Invalid",IFERROR(INDEX(Severity_Matrix!$C$3:$M$10,MATCH('Error Log'!$F123,Severity_Matrix!$B$3:$B$10,0),MATCH('Error Log'!$G123,Severity_Matrix!$C$2:$M$2,0)),"No errors"))</f>
        <v>Major</v>
      </c>
      <c r="K123" s="79"/>
    </row>
    <row r="124" spans="1:11">
      <c r="A124" s="79" t="s">
        <v>322</v>
      </c>
      <c r="B124" s="18">
        <v>4</v>
      </c>
      <c r="C124" s="85" t="s">
        <v>318</v>
      </c>
      <c r="D124" s="85" t="s">
        <v>319</v>
      </c>
      <c r="E124" s="84" t="s">
        <v>21</v>
      </c>
      <c r="F124" s="84" t="s">
        <v>7</v>
      </c>
      <c r="G124" s="84" t="s">
        <v>57</v>
      </c>
      <c r="H124" s="84" t="s">
        <v>324</v>
      </c>
      <c r="I124" s="14"/>
      <c r="J124" s="15" t="str">
        <f>IF(E124="Invalid_Segment","Invalid",IFERROR(INDEX(Severity_Matrix!$C$3:$M$10,MATCH('Error Log'!$F124,Severity_Matrix!$B$3:$B$10,0),MATCH('Error Log'!$G124,Severity_Matrix!$C$2:$M$2,0)),"No errors"))</f>
        <v>Critical</v>
      </c>
      <c r="K124" s="79"/>
    </row>
    <row r="125" spans="1:11">
      <c r="A125" s="79" t="s">
        <v>322</v>
      </c>
      <c r="B125" s="18">
        <v>5</v>
      </c>
      <c r="C125" s="85" t="s">
        <v>318</v>
      </c>
      <c r="D125" s="85" t="s">
        <v>319</v>
      </c>
      <c r="E125" s="84" t="s">
        <v>21</v>
      </c>
      <c r="F125" s="84" t="s">
        <v>7</v>
      </c>
      <c r="G125" s="84" t="s">
        <v>57</v>
      </c>
      <c r="H125" s="84" t="s">
        <v>325</v>
      </c>
      <c r="I125" s="14"/>
      <c r="J125" s="15" t="str">
        <f>IF(E125="Invalid_Segment","Invalid",IFERROR(INDEX(Severity_Matrix!$C$3:$M$10,MATCH('Error Log'!$F125,Severity_Matrix!$B$3:$B$10,0),MATCH('Error Log'!$G125,Severity_Matrix!$C$2:$M$2,0)),"No errors"))</f>
        <v>Critical</v>
      </c>
      <c r="K125" s="79"/>
    </row>
    <row r="126" spans="1:11">
      <c r="A126" s="79" t="s">
        <v>322</v>
      </c>
      <c r="B126" s="18">
        <v>6</v>
      </c>
      <c r="C126" s="85" t="s">
        <v>318</v>
      </c>
      <c r="D126" s="85" t="s">
        <v>319</v>
      </c>
      <c r="E126" s="84" t="s">
        <v>21</v>
      </c>
      <c r="F126" s="84" t="s">
        <v>7</v>
      </c>
      <c r="G126" s="84" t="s">
        <v>57</v>
      </c>
      <c r="H126" s="84" t="s">
        <v>326</v>
      </c>
      <c r="I126" s="14"/>
      <c r="J126" s="15" t="str">
        <f>IF(E126="Invalid_Segment","Invalid",IFERROR(INDEX(Severity_Matrix!$C$3:$M$10,MATCH('Error Log'!$F126,Severity_Matrix!$B$3:$B$10,0),MATCH('Error Log'!$G126,Severity_Matrix!$C$2:$M$2,0)),"No errors"))</f>
        <v>Critical</v>
      </c>
      <c r="K126" s="79"/>
    </row>
    <row r="127" spans="1:11">
      <c r="A127" s="79" t="s">
        <v>327</v>
      </c>
      <c r="B127" s="18">
        <v>1</v>
      </c>
      <c r="C127" s="85" t="s">
        <v>328</v>
      </c>
      <c r="D127" s="85" t="s">
        <v>329</v>
      </c>
      <c r="E127" s="84" t="s">
        <v>21</v>
      </c>
      <c r="F127" s="84" t="s">
        <v>22</v>
      </c>
      <c r="G127" s="84" t="s">
        <v>57</v>
      </c>
      <c r="H127" s="84" t="s">
        <v>330</v>
      </c>
      <c r="I127" s="14"/>
      <c r="J127" s="15" t="str">
        <f>IF(E127="Invalid_Segment","Invalid",IFERROR(INDEX(Severity_Matrix!$C$3:$M$10,MATCH('Error Log'!$F127,Severity_Matrix!$B$3:$B$10,0),MATCH('Error Log'!$G127,Severity_Matrix!$C$2:$M$2,0)),"No errors"))</f>
        <v>Major</v>
      </c>
      <c r="K127" s="79"/>
    </row>
    <row r="128" spans="1:11">
      <c r="A128" s="79" t="s">
        <v>327</v>
      </c>
      <c r="B128" s="18">
        <v>2</v>
      </c>
      <c r="C128" s="85" t="s">
        <v>328</v>
      </c>
      <c r="D128" s="85" t="s">
        <v>329</v>
      </c>
      <c r="E128" s="84" t="s">
        <v>21</v>
      </c>
      <c r="F128" s="84" t="s">
        <v>22</v>
      </c>
      <c r="G128" s="84" t="s">
        <v>57</v>
      </c>
      <c r="H128" s="84" t="s">
        <v>331</v>
      </c>
      <c r="I128" s="14"/>
      <c r="J128" s="15" t="str">
        <f>IF(E128="Invalid_Segment","Invalid",IFERROR(INDEX(Severity_Matrix!$C$3:$M$10,MATCH('Error Log'!$F128,Severity_Matrix!$B$3:$B$10,0),MATCH('Error Log'!$G128,Severity_Matrix!$C$2:$M$2,0)),"No errors"))</f>
        <v>Major</v>
      </c>
      <c r="K128" s="79"/>
    </row>
    <row r="129" spans="1:10">
      <c r="A129" s="79" t="s">
        <v>332</v>
      </c>
      <c r="B129" s="18">
        <v>3</v>
      </c>
      <c r="C129" s="85" t="s">
        <v>328</v>
      </c>
      <c r="D129" s="85" t="s">
        <v>329</v>
      </c>
      <c r="E129" s="84" t="s">
        <v>21</v>
      </c>
      <c r="F129" s="84" t="s">
        <v>22</v>
      </c>
      <c r="G129" s="84" t="s">
        <v>57</v>
      </c>
      <c r="H129" s="84" t="s">
        <v>333</v>
      </c>
      <c r="I129" s="14"/>
      <c r="J129" s="15" t="str">
        <f>IF(E129="Invalid_Segment","Invalid",IFERROR(INDEX(Severity_Matrix!$C$3:$M$10,MATCH('Error Log'!$F129,Severity_Matrix!$B$3:$B$10,0),MATCH('Error Log'!$G129,Severity_Matrix!$C$2:$M$2,0)),"No errors"))</f>
        <v>Major</v>
      </c>
    </row>
    <row r="130" spans="1:10">
      <c r="A130" s="79" t="s">
        <v>332</v>
      </c>
      <c r="B130" s="18">
        <v>4</v>
      </c>
      <c r="C130" s="85" t="s">
        <v>328</v>
      </c>
      <c r="D130" s="85" t="s">
        <v>329</v>
      </c>
      <c r="E130" s="84" t="s">
        <v>21</v>
      </c>
      <c r="F130" s="84" t="s">
        <v>7</v>
      </c>
      <c r="G130" s="84" t="s">
        <v>57</v>
      </c>
      <c r="H130" s="84" t="s">
        <v>334</v>
      </c>
      <c r="I130" s="14"/>
      <c r="J130" s="15" t="str">
        <f>IF(E130="Invalid_Segment","Invalid",IFERROR(INDEX(Severity_Matrix!$C$3:$M$10,MATCH('Error Log'!$F130,Severity_Matrix!$B$3:$B$10,0),MATCH('Error Log'!$G130,Severity_Matrix!$C$2:$M$2,0)),"No errors"))</f>
        <v>Critical</v>
      </c>
    </row>
    <row r="131" spans="1:10">
      <c r="A131" s="79" t="s">
        <v>332</v>
      </c>
      <c r="B131" s="18">
        <v>5</v>
      </c>
      <c r="C131" s="85" t="s">
        <v>328</v>
      </c>
      <c r="D131" s="85" t="s">
        <v>329</v>
      </c>
      <c r="E131" s="84" t="s">
        <v>21</v>
      </c>
      <c r="F131" s="84" t="s">
        <v>7</v>
      </c>
      <c r="G131" s="84" t="s">
        <v>57</v>
      </c>
      <c r="H131" s="84" t="s">
        <v>335</v>
      </c>
      <c r="I131" s="14"/>
      <c r="J131" s="15" t="str">
        <f>IF(E131="Invalid_Segment","Invalid",IFERROR(INDEX(Severity_Matrix!$C$3:$M$10,MATCH('Error Log'!$F131,Severity_Matrix!$B$3:$B$10,0),MATCH('Error Log'!$G131,Severity_Matrix!$C$2:$M$2,0)),"No errors"))</f>
        <v>Critical</v>
      </c>
    </row>
    <row r="132" spans="1:10">
      <c r="A132" s="79" t="s">
        <v>332</v>
      </c>
      <c r="B132" s="18">
        <v>6</v>
      </c>
      <c r="C132" s="85" t="s">
        <v>328</v>
      </c>
      <c r="D132" s="85" t="s">
        <v>329</v>
      </c>
      <c r="E132" s="84" t="s">
        <v>21</v>
      </c>
      <c r="F132" s="84" t="s">
        <v>7</v>
      </c>
      <c r="G132" s="84" t="s">
        <v>57</v>
      </c>
      <c r="H132" s="84" t="s">
        <v>336</v>
      </c>
      <c r="I132" s="14"/>
      <c r="J132" s="15" t="str">
        <f>IF(E132="Invalid_Segment","Invalid",IFERROR(INDEX(Severity_Matrix!$C$3:$M$10,MATCH('Error Log'!$F132,Severity_Matrix!$B$3:$B$10,0),MATCH('Error Log'!$G132,Severity_Matrix!$C$2:$M$2,0)),"No errors"))</f>
        <v>Critical</v>
      </c>
    </row>
    <row r="133" spans="1:10">
      <c r="A133" s="79" t="s">
        <v>337</v>
      </c>
      <c r="B133" s="18">
        <v>1</v>
      </c>
      <c r="C133" s="85" t="s">
        <v>338</v>
      </c>
      <c r="D133" s="85" t="s">
        <v>339</v>
      </c>
      <c r="E133" s="84" t="s">
        <v>21</v>
      </c>
      <c r="F133" s="84" t="s">
        <v>22</v>
      </c>
      <c r="G133" s="84" t="s">
        <v>57</v>
      </c>
      <c r="H133" s="84" t="s">
        <v>340</v>
      </c>
      <c r="I133" s="14"/>
      <c r="J133" s="15" t="str">
        <f>IF(E133="Invalid_Segment","Invalid",IFERROR(INDEX(Severity_Matrix!$C$3:$M$10,MATCH('Error Log'!$F133,Severity_Matrix!$B$3:$B$10,0),MATCH('Error Log'!$G133,Severity_Matrix!$C$2:$M$2,0)),"No errors"))</f>
        <v>Major</v>
      </c>
    </row>
    <row r="134" spans="1:10">
      <c r="A134" s="79" t="s">
        <v>337</v>
      </c>
      <c r="B134" s="18">
        <v>2</v>
      </c>
      <c r="C134" s="85" t="s">
        <v>338</v>
      </c>
      <c r="D134" s="85" t="s">
        <v>339</v>
      </c>
      <c r="E134" s="84" t="s">
        <v>21</v>
      </c>
      <c r="F134" s="84" t="s">
        <v>22</v>
      </c>
      <c r="G134" s="84" t="s">
        <v>57</v>
      </c>
      <c r="H134" s="84" t="s">
        <v>341</v>
      </c>
      <c r="I134" s="14"/>
      <c r="J134" s="15" t="str">
        <f>IF(E134="Invalid_Segment","Invalid",IFERROR(INDEX(Severity_Matrix!$C$3:$M$10,MATCH('Error Log'!$F134,Severity_Matrix!$B$3:$B$10,0),MATCH('Error Log'!$G134,Severity_Matrix!$C$2:$M$2,0)),"No errors"))</f>
        <v>Major</v>
      </c>
    </row>
    <row r="135" spans="1:10">
      <c r="A135" s="79" t="s">
        <v>342</v>
      </c>
      <c r="B135" s="18">
        <v>3</v>
      </c>
      <c r="C135" s="85" t="s">
        <v>338</v>
      </c>
      <c r="D135" s="85" t="s">
        <v>339</v>
      </c>
      <c r="E135" s="84" t="s">
        <v>21</v>
      </c>
      <c r="F135" s="84" t="s">
        <v>7</v>
      </c>
      <c r="G135" s="84" t="s">
        <v>57</v>
      </c>
      <c r="H135" s="84" t="s">
        <v>343</v>
      </c>
      <c r="I135" s="14"/>
      <c r="J135" s="15" t="str">
        <f>IF(E135="Invalid_Segment","Invalid",IFERROR(INDEX(Severity_Matrix!$C$3:$M$10,MATCH('Error Log'!$F135,Severity_Matrix!$B$3:$B$10,0),MATCH('Error Log'!$G135,Severity_Matrix!$C$2:$M$2,0)),"No errors"))</f>
        <v>Critical</v>
      </c>
    </row>
    <row r="136" spans="1:10">
      <c r="A136" s="79" t="s">
        <v>342</v>
      </c>
      <c r="B136" s="18">
        <v>4</v>
      </c>
      <c r="C136" s="85" t="s">
        <v>338</v>
      </c>
      <c r="D136" s="85" t="s">
        <v>339</v>
      </c>
      <c r="E136" s="84" t="s">
        <v>21</v>
      </c>
      <c r="F136" s="84" t="s">
        <v>7</v>
      </c>
      <c r="G136" s="84" t="s">
        <v>57</v>
      </c>
      <c r="H136" s="84" t="s">
        <v>344</v>
      </c>
      <c r="I136" s="14"/>
      <c r="J136" s="15" t="str">
        <f>IF(E136="Invalid_Segment","Invalid",IFERROR(INDEX(Severity_Matrix!$C$3:$M$10,MATCH('Error Log'!$F136,Severity_Matrix!$B$3:$B$10,0),MATCH('Error Log'!$G136,Severity_Matrix!$C$2:$M$2,0)),"No errors"))</f>
        <v>Critical</v>
      </c>
    </row>
    <row r="137" spans="1:10">
      <c r="A137" s="79" t="s">
        <v>342</v>
      </c>
      <c r="B137" s="18">
        <v>5</v>
      </c>
      <c r="C137" s="85" t="s">
        <v>338</v>
      </c>
      <c r="D137" s="85" t="s">
        <v>339</v>
      </c>
      <c r="E137" s="84" t="s">
        <v>21</v>
      </c>
      <c r="F137" s="84" t="s">
        <v>7</v>
      </c>
      <c r="G137" s="84" t="s">
        <v>57</v>
      </c>
      <c r="H137" s="84" t="s">
        <v>345</v>
      </c>
      <c r="I137" s="14"/>
      <c r="J137" s="15" t="str">
        <f>IF(E137="Invalid_Segment","Invalid",IFERROR(INDEX(Severity_Matrix!$C$3:$M$10,MATCH('Error Log'!$F137,Severity_Matrix!$B$3:$B$10,0),MATCH('Error Log'!$G137,Severity_Matrix!$C$2:$M$2,0)),"No errors"))</f>
        <v>Critical</v>
      </c>
    </row>
    <row r="138" spans="1:10">
      <c r="A138" s="79" t="s">
        <v>346</v>
      </c>
      <c r="B138" s="18">
        <v>1</v>
      </c>
      <c r="C138" s="85" t="s">
        <v>347</v>
      </c>
      <c r="D138" s="85" t="s">
        <v>348</v>
      </c>
      <c r="E138" s="84" t="s">
        <v>21</v>
      </c>
      <c r="F138" s="84" t="s">
        <v>22</v>
      </c>
      <c r="G138" s="84" t="s">
        <v>57</v>
      </c>
      <c r="H138" s="84" t="s">
        <v>349</v>
      </c>
      <c r="I138" s="14"/>
      <c r="J138" s="15" t="str">
        <f>IF(E138="Invalid_Segment","Invalid",IFERROR(INDEX(Severity_Matrix!$C$3:$M$10,MATCH('Error Log'!$F138,Severity_Matrix!$B$3:$B$10,0),MATCH('Error Log'!$G138,Severity_Matrix!$C$2:$M$2,0)),"No errors"))</f>
        <v>Major</v>
      </c>
    </row>
    <row r="139" spans="1:10">
      <c r="A139" s="79" t="s">
        <v>346</v>
      </c>
      <c r="B139" s="18">
        <v>2</v>
      </c>
      <c r="C139" s="85" t="s">
        <v>347</v>
      </c>
      <c r="D139" s="85" t="s">
        <v>348</v>
      </c>
      <c r="E139" s="84" t="s">
        <v>21</v>
      </c>
      <c r="F139" s="84" t="s">
        <v>22</v>
      </c>
      <c r="G139" s="84" t="s">
        <v>57</v>
      </c>
      <c r="H139" s="84" t="s">
        <v>350</v>
      </c>
      <c r="I139" s="14"/>
      <c r="J139" s="15" t="str">
        <f>IF(E139="Invalid_Segment","Invalid",IFERROR(INDEX(Severity_Matrix!$C$3:$M$10,MATCH('Error Log'!$F139,Severity_Matrix!$B$3:$B$10,0),MATCH('Error Log'!$G139,Severity_Matrix!$C$2:$M$2,0)),"No errors"))</f>
        <v>Major</v>
      </c>
    </row>
    <row r="140" spans="1:10">
      <c r="A140" s="79" t="s">
        <v>351</v>
      </c>
      <c r="B140" s="18">
        <v>3</v>
      </c>
      <c r="C140" s="85" t="s">
        <v>347</v>
      </c>
      <c r="D140" s="85" t="s">
        <v>348</v>
      </c>
      <c r="E140" s="84" t="s">
        <v>21</v>
      </c>
      <c r="F140" s="84" t="s">
        <v>7</v>
      </c>
      <c r="G140" s="84" t="s">
        <v>57</v>
      </c>
      <c r="H140" s="84" t="s">
        <v>352</v>
      </c>
      <c r="I140" s="14"/>
      <c r="J140" s="15" t="str">
        <f>IF(E140="Invalid_Segment","Invalid",IFERROR(INDEX(Severity_Matrix!$C$3:$M$10,MATCH('Error Log'!$F140,Severity_Matrix!$B$3:$B$10,0),MATCH('Error Log'!$G140,Severity_Matrix!$C$2:$M$2,0)),"No errors"))</f>
        <v>Critical</v>
      </c>
    </row>
    <row r="141" spans="1:10">
      <c r="A141" s="79" t="s">
        <v>351</v>
      </c>
      <c r="B141" s="18">
        <v>4</v>
      </c>
      <c r="C141" s="85" t="s">
        <v>347</v>
      </c>
      <c r="D141" s="85" t="s">
        <v>348</v>
      </c>
      <c r="E141" s="84" t="s">
        <v>21</v>
      </c>
      <c r="F141" s="84" t="s">
        <v>7</v>
      </c>
      <c r="G141" s="84" t="s">
        <v>57</v>
      </c>
      <c r="H141" s="84" t="s">
        <v>353</v>
      </c>
      <c r="I141" s="14"/>
      <c r="J141" s="15" t="str">
        <f>IF(E141="Invalid_Segment","Invalid",IFERROR(INDEX(Severity_Matrix!$C$3:$M$10,MATCH('Error Log'!$F141,Severity_Matrix!$B$3:$B$10,0),MATCH('Error Log'!$G141,Severity_Matrix!$C$2:$M$2,0)),"No errors"))</f>
        <v>Critical</v>
      </c>
    </row>
    <row r="142" spans="1:10" ht="14.4">
      <c r="A142" s="78" t="s">
        <v>354</v>
      </c>
      <c r="B142" s="18">
        <v>1</v>
      </c>
      <c r="C142" s="83" t="s">
        <v>355</v>
      </c>
      <c r="D142" s="78" t="s">
        <v>356</v>
      </c>
      <c r="E142" s="84" t="s">
        <v>21</v>
      </c>
      <c r="F142" s="84" t="s">
        <v>22</v>
      </c>
      <c r="G142" s="84" t="s">
        <v>57</v>
      </c>
      <c r="H142" s="84" t="s">
        <v>357</v>
      </c>
      <c r="I142" s="84"/>
      <c r="J142" s="15" t="str">
        <f>IF(E142="Invalid_Segment","Invalid",IFERROR(INDEX(Severity_Matrix!$C$3:$M$10,MATCH('Error Log'!$F142,Severity_Matrix!$B$3:$B$10,0),MATCH('Error Log'!$G142,Severity_Matrix!$C$2:$M$2,0)),"No errors"))</f>
        <v>Major</v>
      </c>
    </row>
    <row r="143" spans="1:10" ht="14.4">
      <c r="A143" s="78" t="s">
        <v>354</v>
      </c>
      <c r="B143" s="18">
        <v>2</v>
      </c>
      <c r="C143" s="83" t="s">
        <v>355</v>
      </c>
      <c r="D143" s="78" t="s">
        <v>356</v>
      </c>
      <c r="E143" s="84" t="s">
        <v>21</v>
      </c>
      <c r="F143" s="84" t="s">
        <v>22</v>
      </c>
      <c r="G143" s="84" t="s">
        <v>57</v>
      </c>
      <c r="H143" s="84" t="s">
        <v>358</v>
      </c>
      <c r="I143" s="84"/>
      <c r="J143" s="15" t="str">
        <f>IF(E143="Invalid_Segment","Invalid",IFERROR(INDEX(Severity_Matrix!$C$3:$M$10,MATCH('Error Log'!$F143,Severity_Matrix!$B$3:$B$10,0),MATCH('Error Log'!$G143,Severity_Matrix!$C$2:$M$2,0)),"No errors"))</f>
        <v>Major</v>
      </c>
    </row>
    <row r="144" spans="1:10" ht="14.4">
      <c r="A144" s="78" t="s">
        <v>359</v>
      </c>
      <c r="B144" s="18">
        <v>3</v>
      </c>
      <c r="C144" s="83" t="s">
        <v>355</v>
      </c>
      <c r="D144" s="78" t="s">
        <v>356</v>
      </c>
      <c r="E144" s="84" t="s">
        <v>21</v>
      </c>
      <c r="F144" s="84" t="s">
        <v>22</v>
      </c>
      <c r="G144" s="84" t="s">
        <v>57</v>
      </c>
      <c r="H144" s="84" t="s">
        <v>360</v>
      </c>
      <c r="I144" s="84"/>
      <c r="J144" s="15" t="str">
        <f>IF(E144="Invalid_Segment","Invalid",IFERROR(INDEX(Severity_Matrix!$C$3:$M$10,MATCH('Error Log'!$F144,Severity_Matrix!$B$3:$B$10,0),MATCH('Error Log'!$G144,Severity_Matrix!$C$2:$M$2,0)),"No errors"))</f>
        <v>Major</v>
      </c>
    </row>
    <row r="145" spans="1:10" ht="14.4">
      <c r="A145" s="78" t="s">
        <v>359</v>
      </c>
      <c r="B145" s="18">
        <v>4</v>
      </c>
      <c r="C145" s="83" t="s">
        <v>355</v>
      </c>
      <c r="D145" s="78" t="s">
        <v>356</v>
      </c>
      <c r="E145" s="84" t="s">
        <v>21</v>
      </c>
      <c r="F145" s="84" t="s">
        <v>7</v>
      </c>
      <c r="G145" s="84" t="s">
        <v>57</v>
      </c>
      <c r="H145" s="84" t="s">
        <v>361</v>
      </c>
      <c r="I145" s="84"/>
      <c r="J145" s="15" t="str">
        <f>IF(E145="Invalid_Segment","Invalid",IFERROR(INDEX(Severity_Matrix!$C$3:$M$10,MATCH('Error Log'!$F145,Severity_Matrix!$B$3:$B$10,0),MATCH('Error Log'!$G145,Severity_Matrix!$C$2:$M$2,0)),"No errors"))</f>
        <v>Critical</v>
      </c>
    </row>
    <row r="146" spans="1:10" ht="14.4">
      <c r="A146" s="78" t="s">
        <v>359</v>
      </c>
      <c r="B146" s="18">
        <v>5</v>
      </c>
      <c r="C146" s="83" t="s">
        <v>355</v>
      </c>
      <c r="D146" s="78" t="s">
        <v>356</v>
      </c>
      <c r="E146" s="84" t="s">
        <v>21</v>
      </c>
      <c r="F146" s="84" t="s">
        <v>7</v>
      </c>
      <c r="G146" s="84" t="s">
        <v>57</v>
      </c>
      <c r="H146" s="84" t="s">
        <v>362</v>
      </c>
      <c r="I146" s="84"/>
      <c r="J146" s="15" t="str">
        <f>IF(E146="Invalid_Segment","Invalid",IFERROR(INDEX(Severity_Matrix!$C$3:$M$10,MATCH('Error Log'!$F146,Severity_Matrix!$B$3:$B$10,0),MATCH('Error Log'!$G146,Severity_Matrix!$C$2:$M$2,0)),"No errors"))</f>
        <v>Critical</v>
      </c>
    </row>
    <row r="147" spans="1:10" ht="14.4">
      <c r="A147" s="78" t="s">
        <v>363</v>
      </c>
      <c r="B147" s="18">
        <v>1</v>
      </c>
      <c r="C147" s="83" t="s">
        <v>364</v>
      </c>
      <c r="D147" s="78" t="s">
        <v>365</v>
      </c>
      <c r="E147" s="84" t="s">
        <v>21</v>
      </c>
      <c r="F147" s="84" t="s">
        <v>22</v>
      </c>
      <c r="G147" s="84" t="s">
        <v>57</v>
      </c>
      <c r="H147" s="84" t="s">
        <v>366</v>
      </c>
      <c r="I147" s="84"/>
      <c r="J147" s="15" t="str">
        <f>IF(E147="Invalid_Segment","Invalid",IFERROR(INDEX(Severity_Matrix!$C$3:$M$10,MATCH('Error Log'!$F147,Severity_Matrix!$B$3:$B$10,0),MATCH('Error Log'!$G147,Severity_Matrix!$C$2:$M$2,0)),"No errors"))</f>
        <v>Major</v>
      </c>
    </row>
    <row r="148" spans="1:10" ht="14.4">
      <c r="A148" s="78" t="s">
        <v>363</v>
      </c>
      <c r="B148" s="18">
        <v>2</v>
      </c>
      <c r="C148" s="83" t="s">
        <v>364</v>
      </c>
      <c r="D148" s="78" t="s">
        <v>365</v>
      </c>
      <c r="E148" s="84" t="s">
        <v>21</v>
      </c>
      <c r="F148" s="84" t="s">
        <v>7</v>
      </c>
      <c r="G148" s="84" t="s">
        <v>57</v>
      </c>
      <c r="H148" s="84" t="s">
        <v>367</v>
      </c>
      <c r="I148" s="84"/>
      <c r="J148" s="15" t="str">
        <f>IF(E148="Invalid_Segment","Invalid",IFERROR(INDEX(Severity_Matrix!$C$3:$M$10,MATCH('Error Log'!$F148,Severity_Matrix!$B$3:$B$10,0),MATCH('Error Log'!$G148,Severity_Matrix!$C$2:$M$2,0)),"No errors"))</f>
        <v>Critical</v>
      </c>
    </row>
    <row r="149" spans="1:10" ht="14.4">
      <c r="A149" s="78" t="s">
        <v>368</v>
      </c>
      <c r="B149" s="18">
        <v>1</v>
      </c>
      <c r="C149" s="83" t="s">
        <v>369</v>
      </c>
      <c r="D149" s="78" t="s">
        <v>370</v>
      </c>
      <c r="E149" s="84" t="s">
        <v>21</v>
      </c>
      <c r="F149" s="84" t="s">
        <v>22</v>
      </c>
      <c r="G149" s="84" t="s">
        <v>57</v>
      </c>
      <c r="H149" s="84" t="s">
        <v>371</v>
      </c>
      <c r="I149" s="84"/>
      <c r="J149" s="15" t="str">
        <f>IF(E149="Invalid_Segment","Invalid",IFERROR(INDEX(Severity_Matrix!$C$3:$M$10,MATCH('Error Log'!$F149,Severity_Matrix!$B$3:$B$10,0),MATCH('Error Log'!$G149,Severity_Matrix!$C$2:$M$2,0)),"No errors"))</f>
        <v>Major</v>
      </c>
    </row>
    <row r="150" spans="1:10" ht="14.4">
      <c r="A150" s="78" t="s">
        <v>368</v>
      </c>
      <c r="B150" s="18">
        <v>2</v>
      </c>
      <c r="C150" s="83" t="s">
        <v>369</v>
      </c>
      <c r="D150" s="78" t="s">
        <v>370</v>
      </c>
      <c r="E150" s="84" t="s">
        <v>21</v>
      </c>
      <c r="F150" s="84" t="s">
        <v>22</v>
      </c>
      <c r="G150" s="84" t="s">
        <v>57</v>
      </c>
      <c r="H150" s="84" t="s">
        <v>372</v>
      </c>
      <c r="I150" s="84"/>
      <c r="J150" s="15" t="str">
        <f>IF(E150="Invalid_Segment","Invalid",IFERROR(INDEX(Severity_Matrix!$C$3:$M$10,MATCH('Error Log'!$F150,Severity_Matrix!$B$3:$B$10,0),MATCH('Error Log'!$G150,Severity_Matrix!$C$2:$M$2,0)),"No errors"))</f>
        <v>Major</v>
      </c>
    </row>
    <row r="151" spans="1:10" ht="14.4">
      <c r="A151" s="78" t="s">
        <v>373</v>
      </c>
      <c r="B151" s="18">
        <v>3</v>
      </c>
      <c r="C151" s="83" t="s">
        <v>369</v>
      </c>
      <c r="D151" s="78" t="s">
        <v>370</v>
      </c>
      <c r="E151" s="84" t="s">
        <v>21</v>
      </c>
      <c r="F151" s="84" t="s">
        <v>22</v>
      </c>
      <c r="G151" s="84" t="s">
        <v>57</v>
      </c>
      <c r="H151" s="84" t="s">
        <v>374</v>
      </c>
      <c r="I151" s="84"/>
      <c r="J151" s="15" t="str">
        <f>IF(E151="Invalid_Segment","Invalid",IFERROR(INDEX(Severity_Matrix!$C$3:$M$10,MATCH('Error Log'!$F151,Severity_Matrix!$B$3:$B$10,0),MATCH('Error Log'!$G151,Severity_Matrix!$C$2:$M$2,0)),"No errors"))</f>
        <v>Major</v>
      </c>
    </row>
    <row r="152" spans="1:10" ht="14.4">
      <c r="A152" s="78" t="s">
        <v>373</v>
      </c>
      <c r="B152" s="18">
        <v>4</v>
      </c>
      <c r="C152" s="83" t="s">
        <v>369</v>
      </c>
      <c r="D152" s="78" t="s">
        <v>370</v>
      </c>
      <c r="E152" s="84" t="s">
        <v>21</v>
      </c>
      <c r="F152" s="84" t="s">
        <v>7</v>
      </c>
      <c r="G152" s="84" t="s">
        <v>57</v>
      </c>
      <c r="H152" s="84" t="s">
        <v>375</v>
      </c>
      <c r="I152" s="84"/>
      <c r="J152" s="15" t="str">
        <f>IF(E152="Invalid_Segment","Invalid",IFERROR(INDEX(Severity_Matrix!$C$3:$M$10,MATCH('Error Log'!$F152,Severity_Matrix!$B$3:$B$10,0),MATCH('Error Log'!$G152,Severity_Matrix!$C$2:$M$2,0)),"No errors"))</f>
        <v>Critical</v>
      </c>
    </row>
    <row r="153" spans="1:10" ht="14.4">
      <c r="A153" s="78" t="s">
        <v>373</v>
      </c>
      <c r="B153" s="18">
        <v>5</v>
      </c>
      <c r="C153" s="83" t="s">
        <v>369</v>
      </c>
      <c r="D153" s="78" t="s">
        <v>370</v>
      </c>
      <c r="E153" s="84" t="s">
        <v>21</v>
      </c>
      <c r="F153" s="84" t="s">
        <v>7</v>
      </c>
      <c r="G153" s="84" t="s">
        <v>57</v>
      </c>
      <c r="H153" s="84" t="s">
        <v>376</v>
      </c>
      <c r="I153" s="84"/>
      <c r="J153" s="15" t="str">
        <f>IF(E153="Invalid_Segment","Invalid",IFERROR(INDEX(Severity_Matrix!$C$3:$M$10,MATCH('Error Log'!$F153,Severity_Matrix!$B$3:$B$10,0),MATCH('Error Log'!$G153,Severity_Matrix!$C$2:$M$2,0)),"No errors"))</f>
        <v>Critical</v>
      </c>
    </row>
    <row r="154" spans="1:10" ht="14.4">
      <c r="A154" s="78" t="s">
        <v>373</v>
      </c>
      <c r="B154" s="18">
        <v>6</v>
      </c>
      <c r="C154" s="83" t="s">
        <v>369</v>
      </c>
      <c r="D154" s="78" t="s">
        <v>370</v>
      </c>
      <c r="E154" s="84" t="s">
        <v>21</v>
      </c>
      <c r="F154" s="84" t="s">
        <v>7</v>
      </c>
      <c r="G154" s="84" t="s">
        <v>57</v>
      </c>
      <c r="H154" s="84" t="s">
        <v>377</v>
      </c>
      <c r="I154" s="84"/>
      <c r="J154" s="15" t="str">
        <f>IF(E154="Invalid_Segment","Invalid",IFERROR(INDEX(Severity_Matrix!$C$3:$M$10,MATCH('Error Log'!$F154,Severity_Matrix!$B$3:$B$10,0),MATCH('Error Log'!$G154,Severity_Matrix!$C$2:$M$2,0)),"No errors"))</f>
        <v>Critical</v>
      </c>
    </row>
    <row r="155" spans="1:10" ht="14.4">
      <c r="A155" s="78" t="s">
        <v>378</v>
      </c>
      <c r="B155" s="18">
        <v>1</v>
      </c>
      <c r="C155" s="83" t="s">
        <v>379</v>
      </c>
      <c r="D155" s="78" t="s">
        <v>380</v>
      </c>
      <c r="E155" s="84" t="s">
        <v>21</v>
      </c>
      <c r="F155" s="84" t="s">
        <v>22</v>
      </c>
      <c r="G155" s="84" t="s">
        <v>57</v>
      </c>
      <c r="H155" s="84" t="s">
        <v>381</v>
      </c>
      <c r="I155" s="84"/>
      <c r="J155" s="15" t="str">
        <f>IF(E155="Invalid_Segment","Invalid",IFERROR(INDEX(Severity_Matrix!$C$3:$M$10,MATCH('Error Log'!$F155,Severity_Matrix!$B$3:$B$10,0),MATCH('Error Log'!$G155,Severity_Matrix!$C$2:$M$2,0)),"No errors"))</f>
        <v>Major</v>
      </c>
    </row>
    <row r="156" spans="1:10" ht="14.4">
      <c r="A156" s="78" t="s">
        <v>378</v>
      </c>
      <c r="B156" s="18">
        <v>2</v>
      </c>
      <c r="C156" s="83" t="s">
        <v>379</v>
      </c>
      <c r="D156" s="78" t="s">
        <v>380</v>
      </c>
      <c r="E156" s="84" t="s">
        <v>21</v>
      </c>
      <c r="F156" s="84" t="s">
        <v>22</v>
      </c>
      <c r="G156" s="84" t="s">
        <v>57</v>
      </c>
      <c r="H156" s="84" t="s">
        <v>382</v>
      </c>
      <c r="I156" s="14"/>
      <c r="J156" s="15" t="str">
        <f>IF(E156="Invalid_Segment","Invalid",IFERROR(INDEX(Severity_Matrix!$C$3:$M$10,MATCH('Error Log'!$F156,Severity_Matrix!$B$3:$B$10,0),MATCH('Error Log'!$G156,Severity_Matrix!$C$2:$M$2,0)),"No errors"))</f>
        <v>Major</v>
      </c>
    </row>
    <row r="157" spans="1:10" ht="14.4">
      <c r="A157" s="78" t="s">
        <v>383</v>
      </c>
      <c r="B157" s="18">
        <v>3</v>
      </c>
      <c r="C157" s="83" t="s">
        <v>379</v>
      </c>
      <c r="D157" s="78" t="s">
        <v>380</v>
      </c>
      <c r="E157" s="84" t="s">
        <v>21</v>
      </c>
      <c r="F157" s="84" t="s">
        <v>7</v>
      </c>
      <c r="G157" s="84" t="s">
        <v>57</v>
      </c>
      <c r="H157" s="84" t="s">
        <v>384</v>
      </c>
      <c r="I157" s="14"/>
      <c r="J157" s="15" t="str">
        <f>IF(E157="Invalid_Segment","Invalid",IFERROR(INDEX(Severity_Matrix!$C$3:$M$10,MATCH('Error Log'!$F157,Severity_Matrix!$B$3:$B$10,0),MATCH('Error Log'!$G157,Severity_Matrix!$C$2:$M$2,0)),"No errors"))</f>
        <v>Critical</v>
      </c>
    </row>
    <row r="158" spans="1:10" ht="14.4">
      <c r="A158" s="78" t="s">
        <v>383</v>
      </c>
      <c r="B158" s="18">
        <v>4</v>
      </c>
      <c r="C158" s="83" t="s">
        <v>379</v>
      </c>
      <c r="D158" s="78" t="s">
        <v>380</v>
      </c>
      <c r="E158" s="84" t="s">
        <v>21</v>
      </c>
      <c r="F158" s="84" t="s">
        <v>7</v>
      </c>
      <c r="G158" s="84" t="s">
        <v>57</v>
      </c>
      <c r="H158" s="84" t="s">
        <v>385</v>
      </c>
      <c r="I158" s="14"/>
      <c r="J158" s="15" t="str">
        <f>IF(E158="Invalid_Segment","Invalid",IFERROR(INDEX(Severity_Matrix!$C$3:$M$10,MATCH('Error Log'!$F158,Severity_Matrix!$B$3:$B$10,0),MATCH('Error Log'!$G158,Severity_Matrix!$C$2:$M$2,0)),"No errors"))</f>
        <v>Critical</v>
      </c>
    </row>
    <row r="159" spans="1:10">
      <c r="A159" s="78" t="s">
        <v>386</v>
      </c>
      <c r="B159" s="18">
        <v>1</v>
      </c>
      <c r="C159" s="78" t="s">
        <v>387</v>
      </c>
      <c r="D159" s="78" t="s">
        <v>388</v>
      </c>
      <c r="E159" s="84" t="s">
        <v>21</v>
      </c>
      <c r="F159" s="84" t="s">
        <v>22</v>
      </c>
      <c r="G159" s="84" t="s">
        <v>57</v>
      </c>
      <c r="H159" s="84" t="s">
        <v>389</v>
      </c>
      <c r="I159" s="14"/>
      <c r="J159" s="15" t="str">
        <f>IF(E159="Invalid_Segment","Invalid",IFERROR(INDEX(Severity_Matrix!$C$3:$M$10,MATCH('Error Log'!$F159,Severity_Matrix!$B$3:$B$10,0),MATCH('Error Log'!$G159,Severity_Matrix!$C$2:$M$2,0)),"No errors"))</f>
        <v>Major</v>
      </c>
    </row>
    <row r="160" spans="1:10">
      <c r="A160" s="78" t="s">
        <v>386</v>
      </c>
      <c r="B160" s="18">
        <v>2</v>
      </c>
      <c r="C160" s="78" t="s">
        <v>387</v>
      </c>
      <c r="D160" s="78" t="s">
        <v>388</v>
      </c>
      <c r="E160" s="84" t="s">
        <v>21</v>
      </c>
      <c r="F160" s="84" t="s">
        <v>22</v>
      </c>
      <c r="G160" s="84" t="s">
        <v>390</v>
      </c>
      <c r="H160" s="84" t="s">
        <v>391</v>
      </c>
      <c r="I160" s="14"/>
      <c r="J160" s="15" t="str">
        <f>IF(E160="Invalid_Segment","Invalid",IFERROR(INDEX(Severity_Matrix!$C$3:$M$10,MATCH('Error Log'!$F160,Severity_Matrix!$B$3:$B$10,0),MATCH('Error Log'!$G160,Severity_Matrix!$C$2:$M$2,0)),"No errors"))</f>
        <v>Critical</v>
      </c>
    </row>
    <row r="161" spans="1:10">
      <c r="A161" s="78" t="s">
        <v>392</v>
      </c>
      <c r="B161" s="18">
        <v>3</v>
      </c>
      <c r="C161" s="78" t="s">
        <v>387</v>
      </c>
      <c r="D161" s="78" t="s">
        <v>388</v>
      </c>
      <c r="E161" s="84" t="s">
        <v>21</v>
      </c>
      <c r="F161" s="84" t="s">
        <v>22</v>
      </c>
      <c r="G161" s="84" t="s">
        <v>57</v>
      </c>
      <c r="H161" s="84" t="s">
        <v>393</v>
      </c>
      <c r="I161" s="14"/>
      <c r="J161" s="15" t="str">
        <f>IF(E161="Invalid_Segment","Invalid",IFERROR(INDEX(Severity_Matrix!$C$3:$M$10,MATCH('Error Log'!$F161,Severity_Matrix!$B$3:$B$10,0),MATCH('Error Log'!$G161,Severity_Matrix!$C$2:$M$2,0)),"No errors"))</f>
        <v>Major</v>
      </c>
    </row>
    <row r="162" spans="1:10">
      <c r="A162" s="78" t="s">
        <v>392</v>
      </c>
      <c r="B162" s="18">
        <v>4</v>
      </c>
      <c r="C162" s="78" t="s">
        <v>387</v>
      </c>
      <c r="D162" s="78" t="s">
        <v>388</v>
      </c>
      <c r="E162" s="84" t="s">
        <v>21</v>
      </c>
      <c r="F162" s="84" t="s">
        <v>22</v>
      </c>
      <c r="G162" s="84" t="s">
        <v>57</v>
      </c>
      <c r="H162" s="84" t="s">
        <v>394</v>
      </c>
      <c r="I162" s="14"/>
      <c r="J162" s="15" t="str">
        <f>IF(E162="Invalid_Segment","Invalid",IFERROR(INDEX(Severity_Matrix!$C$3:$M$10,MATCH('Error Log'!$F162,Severity_Matrix!$B$3:$B$10,0),MATCH('Error Log'!$G162,Severity_Matrix!$C$2:$M$2,0)),"No errors"))</f>
        <v>Major</v>
      </c>
    </row>
    <row r="163" spans="1:10">
      <c r="A163" s="78" t="s">
        <v>392</v>
      </c>
      <c r="B163" s="18">
        <v>5</v>
      </c>
      <c r="C163" s="78" t="s">
        <v>387</v>
      </c>
      <c r="D163" s="78" t="s">
        <v>388</v>
      </c>
      <c r="E163" s="84" t="s">
        <v>21</v>
      </c>
      <c r="F163" s="84" t="s">
        <v>7</v>
      </c>
      <c r="G163" s="84" t="s">
        <v>57</v>
      </c>
      <c r="H163" s="84" t="s">
        <v>395</v>
      </c>
      <c r="I163" s="14"/>
      <c r="J163" s="15" t="str">
        <f>IF(E163="Invalid_Segment","Invalid",IFERROR(INDEX(Severity_Matrix!$C$3:$M$10,MATCH('Error Log'!$F163,Severity_Matrix!$B$3:$B$10,0),MATCH('Error Log'!$G163,Severity_Matrix!$C$2:$M$2,0)),"No errors"))</f>
        <v>Critical</v>
      </c>
    </row>
    <row r="164" spans="1:10">
      <c r="A164" s="78" t="s">
        <v>392</v>
      </c>
      <c r="B164" s="18">
        <v>6</v>
      </c>
      <c r="C164" s="78" t="s">
        <v>387</v>
      </c>
      <c r="D164" s="78" t="s">
        <v>388</v>
      </c>
      <c r="E164" s="84" t="s">
        <v>21</v>
      </c>
      <c r="F164" s="84" t="s">
        <v>7</v>
      </c>
      <c r="G164" s="84" t="s">
        <v>57</v>
      </c>
      <c r="H164" s="84" t="s">
        <v>396</v>
      </c>
      <c r="I164" s="14"/>
      <c r="J164" s="15" t="str">
        <f>IF(E164="Invalid_Segment","Invalid",IFERROR(INDEX(Severity_Matrix!$C$3:$M$10,MATCH('Error Log'!$F164,Severity_Matrix!$B$3:$B$10,0),MATCH('Error Log'!$G164,Severity_Matrix!$C$2:$M$2,0)),"No errors"))</f>
        <v>Critical</v>
      </c>
    </row>
    <row r="165" spans="1:10">
      <c r="A165" s="78" t="s">
        <v>392</v>
      </c>
      <c r="B165" s="18">
        <v>7</v>
      </c>
      <c r="C165" s="78" t="s">
        <v>387</v>
      </c>
      <c r="D165" s="78" t="s">
        <v>388</v>
      </c>
      <c r="E165" s="84" t="s">
        <v>21</v>
      </c>
      <c r="F165" s="84" t="s">
        <v>7</v>
      </c>
      <c r="G165" s="84" t="s">
        <v>57</v>
      </c>
      <c r="H165" s="84" t="s">
        <v>397</v>
      </c>
      <c r="I165" s="14"/>
      <c r="J165" s="15" t="str">
        <f>IF(E165="Invalid_Segment","Invalid",IFERROR(INDEX(Severity_Matrix!$C$3:$M$10,MATCH('Error Log'!$F165,Severity_Matrix!$B$3:$B$10,0),MATCH('Error Log'!$G165,Severity_Matrix!$C$2:$M$2,0)),"No errors"))</f>
        <v>Critical</v>
      </c>
    </row>
    <row r="166" spans="1:10">
      <c r="A166" s="78" t="s">
        <v>398</v>
      </c>
      <c r="B166" s="18">
        <v>1</v>
      </c>
      <c r="C166" s="78" t="s">
        <v>399</v>
      </c>
      <c r="D166" s="78" t="s">
        <v>400</v>
      </c>
      <c r="E166" s="84" t="s">
        <v>21</v>
      </c>
      <c r="F166" s="84" t="s">
        <v>22</v>
      </c>
      <c r="G166" s="84" t="s">
        <v>57</v>
      </c>
      <c r="H166" s="84" t="s">
        <v>401</v>
      </c>
      <c r="I166" s="14"/>
      <c r="J166" s="15" t="str">
        <f>IF(E166="Invalid_Segment","Invalid",IFERROR(INDEX(Severity_Matrix!$C$3:$M$10,MATCH('Error Log'!$F166,Severity_Matrix!$B$3:$B$10,0),MATCH('Error Log'!$G166,Severity_Matrix!$C$2:$M$2,0)),"No errors"))</f>
        <v>Major</v>
      </c>
    </row>
    <row r="167" spans="1:10">
      <c r="A167" s="78" t="s">
        <v>398</v>
      </c>
      <c r="B167" s="18">
        <v>2</v>
      </c>
      <c r="C167" s="78" t="s">
        <v>399</v>
      </c>
      <c r="D167" s="78" t="s">
        <v>400</v>
      </c>
      <c r="E167" s="84" t="s">
        <v>21</v>
      </c>
      <c r="F167" s="84" t="s">
        <v>22</v>
      </c>
      <c r="G167" s="84" t="s">
        <v>57</v>
      </c>
      <c r="H167" s="84" t="s">
        <v>402</v>
      </c>
      <c r="I167" s="14"/>
      <c r="J167" s="15" t="str">
        <f>IF(E167="Invalid_Segment","Invalid",IFERROR(INDEX(Severity_Matrix!$C$3:$M$10,MATCH('Error Log'!$F167,Severity_Matrix!$B$3:$B$10,0),MATCH('Error Log'!$G167,Severity_Matrix!$C$2:$M$2,0)),"No errors"))</f>
        <v>Major</v>
      </c>
    </row>
    <row r="168" spans="1:10">
      <c r="A168" s="78" t="s">
        <v>403</v>
      </c>
      <c r="B168" s="18">
        <v>3</v>
      </c>
      <c r="C168" s="78" t="s">
        <v>399</v>
      </c>
      <c r="D168" s="78" t="s">
        <v>400</v>
      </c>
      <c r="E168" s="84" t="s">
        <v>21</v>
      </c>
      <c r="F168" s="84" t="s">
        <v>7</v>
      </c>
      <c r="G168" s="84" t="s">
        <v>57</v>
      </c>
      <c r="H168" s="84" t="s">
        <v>404</v>
      </c>
      <c r="I168" s="14"/>
      <c r="J168" s="15" t="str">
        <f>IF(E168="Invalid_Segment","Invalid",IFERROR(INDEX(Severity_Matrix!$C$3:$M$10,MATCH('Error Log'!$F168,Severity_Matrix!$B$3:$B$10,0),MATCH('Error Log'!$G168,Severity_Matrix!$C$2:$M$2,0)),"No errors"))</f>
        <v>Critical</v>
      </c>
    </row>
    <row r="169" spans="1:10">
      <c r="A169" s="78" t="s">
        <v>403</v>
      </c>
      <c r="B169" s="18">
        <v>4</v>
      </c>
      <c r="C169" s="78" t="s">
        <v>399</v>
      </c>
      <c r="D169" s="78" t="s">
        <v>400</v>
      </c>
      <c r="E169" s="84" t="s">
        <v>21</v>
      </c>
      <c r="F169" s="84" t="s">
        <v>7</v>
      </c>
      <c r="G169" s="84" t="s">
        <v>57</v>
      </c>
      <c r="H169" s="84" t="s">
        <v>405</v>
      </c>
      <c r="I169" s="14"/>
      <c r="J169" s="15" t="str">
        <f>IF(E169="Invalid_Segment","Invalid",IFERROR(INDEX(Severity_Matrix!$C$3:$M$10,MATCH('Error Log'!$F169,Severity_Matrix!$B$3:$B$10,0),MATCH('Error Log'!$G169,Severity_Matrix!$C$2:$M$2,0)),"No errors"))</f>
        <v>Critical</v>
      </c>
    </row>
    <row r="170" spans="1:10">
      <c r="A170" s="78" t="s">
        <v>406</v>
      </c>
      <c r="B170" s="18">
        <v>1</v>
      </c>
      <c r="C170" s="78" t="s">
        <v>407</v>
      </c>
      <c r="D170" s="78" t="s">
        <v>408</v>
      </c>
      <c r="E170" s="84" t="s">
        <v>21</v>
      </c>
      <c r="F170" s="84" t="s">
        <v>22</v>
      </c>
      <c r="G170" s="84" t="s">
        <v>57</v>
      </c>
      <c r="H170" s="84" t="s">
        <v>409</v>
      </c>
      <c r="I170" s="14"/>
      <c r="J170" s="15" t="str">
        <f>IF(E170="Invalid_Segment","Invalid",IFERROR(INDEX(Severity_Matrix!$C$3:$M$10,MATCH('Error Log'!$F170,Severity_Matrix!$B$3:$B$10,0),MATCH('Error Log'!$G170,Severity_Matrix!$C$2:$M$2,0)),"No errors"))</f>
        <v>Major</v>
      </c>
    </row>
    <row r="171" spans="1:10">
      <c r="A171" s="78" t="s">
        <v>406</v>
      </c>
      <c r="B171" s="18">
        <v>2</v>
      </c>
      <c r="C171" s="78" t="s">
        <v>407</v>
      </c>
      <c r="D171" s="78" t="s">
        <v>408</v>
      </c>
      <c r="E171" s="84" t="s">
        <v>2</v>
      </c>
      <c r="F171" s="84" t="s">
        <v>26</v>
      </c>
      <c r="G171" s="84" t="s">
        <v>57</v>
      </c>
      <c r="H171" s="84" t="s">
        <v>409</v>
      </c>
      <c r="I171" s="14"/>
      <c r="J171" s="15" t="str">
        <f>IF(E171="Invalid_Segment","Invalid",IFERROR(INDEX(Severity_Matrix!$C$3:$M$10,MATCH('Error Log'!$F171,Severity_Matrix!$B$3:$B$10,0),MATCH('Error Log'!$G171,Severity_Matrix!$C$2:$M$2,0)),"No errors"))</f>
        <v>Major</v>
      </c>
    </row>
    <row r="172" spans="1:10">
      <c r="A172" s="78" t="s">
        <v>406</v>
      </c>
      <c r="B172" s="18">
        <v>3</v>
      </c>
      <c r="C172" s="78" t="s">
        <v>407</v>
      </c>
      <c r="D172" s="78" t="s">
        <v>408</v>
      </c>
      <c r="E172" s="84" t="s">
        <v>21</v>
      </c>
      <c r="F172" s="84" t="s">
        <v>7</v>
      </c>
      <c r="G172" s="84" t="s">
        <v>57</v>
      </c>
      <c r="H172" s="84" t="s">
        <v>410</v>
      </c>
      <c r="I172" s="14"/>
      <c r="J172" s="15" t="str">
        <f>IF(E172="Invalid_Segment","Invalid",IFERROR(INDEX(Severity_Matrix!$C$3:$M$10,MATCH('Error Log'!$F172,Severity_Matrix!$B$3:$B$10,0),MATCH('Error Log'!$G172,Severity_Matrix!$C$2:$M$2,0)),"No errors"))</f>
        <v>Critical</v>
      </c>
    </row>
    <row r="173" spans="1:10">
      <c r="A173" s="78" t="s">
        <v>411</v>
      </c>
      <c r="B173" s="18">
        <v>1</v>
      </c>
      <c r="C173" s="78" t="s">
        <v>412</v>
      </c>
      <c r="D173" s="78" t="s">
        <v>413</v>
      </c>
      <c r="E173" s="84" t="s">
        <v>21</v>
      </c>
      <c r="F173" s="84" t="s">
        <v>22</v>
      </c>
      <c r="G173" s="84" t="s">
        <v>57</v>
      </c>
      <c r="H173" s="84" t="s">
        <v>414</v>
      </c>
      <c r="I173" s="14"/>
      <c r="J173" s="15" t="str">
        <f>IF(E173="Invalid_Segment","Invalid",IFERROR(INDEX(Severity_Matrix!$C$3:$M$10,MATCH('Error Log'!$F173,Severity_Matrix!$B$3:$B$10,0),MATCH('Error Log'!$G173,Severity_Matrix!$C$2:$M$2,0)),"No errors"))</f>
        <v>Major</v>
      </c>
    </row>
    <row r="174" spans="1:10">
      <c r="A174" s="78" t="s">
        <v>415</v>
      </c>
      <c r="B174" s="18">
        <v>1</v>
      </c>
      <c r="C174" s="78" t="s">
        <v>416</v>
      </c>
      <c r="D174" s="78" t="s">
        <v>417</v>
      </c>
      <c r="E174" s="84"/>
      <c r="F174" s="84"/>
      <c r="G174" s="84"/>
      <c r="H174" s="84"/>
      <c r="I174" s="14"/>
      <c r="J174" s="15" t="str">
        <f>IF(E174="Invalid_Segment","Invalid",IFERROR(INDEX(Severity_Matrix!$C$3:$M$10,MATCH('Error Log'!$F174,Severity_Matrix!$B$3:$B$10,0),MATCH('Error Log'!$G174,Severity_Matrix!$C$2:$M$2,0)),"No errors"))</f>
        <v>No errors</v>
      </c>
    </row>
    <row r="175" spans="1:10">
      <c r="A175" s="78" t="s">
        <v>418</v>
      </c>
      <c r="B175" s="18">
        <v>1</v>
      </c>
      <c r="C175" s="78" t="s">
        <v>419</v>
      </c>
      <c r="D175" s="78" t="s">
        <v>420</v>
      </c>
      <c r="E175" s="84"/>
      <c r="F175" s="84"/>
      <c r="G175" s="84"/>
      <c r="H175" s="84"/>
      <c r="I175" s="14"/>
      <c r="J175" s="15" t="str">
        <f>IF(E175="Invalid_Segment","Invalid",IFERROR(INDEX(Severity_Matrix!$C$3:$M$10,MATCH('Error Log'!$F175,Severity_Matrix!$B$3:$B$10,0),MATCH('Error Log'!$G175,Severity_Matrix!$C$2:$M$2,0)),"No errors"))</f>
        <v>No errors</v>
      </c>
    </row>
    <row r="176" spans="1:10">
      <c r="A176" s="79" t="s">
        <v>421</v>
      </c>
      <c r="B176" s="18">
        <v>1</v>
      </c>
      <c r="C176" s="85" t="s">
        <v>422</v>
      </c>
      <c r="D176" s="85" t="s">
        <v>423</v>
      </c>
      <c r="E176" s="84" t="s">
        <v>21</v>
      </c>
      <c r="F176" s="84" t="s">
        <v>7</v>
      </c>
      <c r="G176" s="84" t="s">
        <v>57</v>
      </c>
      <c r="H176" s="84" t="s">
        <v>424</v>
      </c>
      <c r="I176" s="84"/>
      <c r="J176" s="15" t="str">
        <f>IF(E176="Invalid_Segment","Invalid",IFERROR(INDEX(Severity_Matrix!$C$3:$M$10,MATCH('Error Log'!$F176,Severity_Matrix!$B$3:$B$10,0),MATCH('Error Log'!$G176,Severity_Matrix!$C$2:$M$2,0)),"No errors"))</f>
        <v>Critical</v>
      </c>
    </row>
    <row r="177" spans="1:10">
      <c r="A177" s="79" t="s">
        <v>421</v>
      </c>
      <c r="B177" s="18">
        <v>2</v>
      </c>
      <c r="C177" s="85" t="s">
        <v>422</v>
      </c>
      <c r="D177" s="85" t="s">
        <v>423</v>
      </c>
      <c r="E177" s="84" t="s">
        <v>21</v>
      </c>
      <c r="F177" s="84" t="s">
        <v>7</v>
      </c>
      <c r="G177" s="84" t="s">
        <v>57</v>
      </c>
      <c r="H177" s="84" t="s">
        <v>425</v>
      </c>
      <c r="I177" s="84"/>
      <c r="J177" s="15" t="str">
        <f>IF(E177="Invalid_Segment","Invalid",IFERROR(INDEX(Severity_Matrix!$C$3:$M$10,MATCH('Error Log'!$F177,Severity_Matrix!$B$3:$B$10,0),MATCH('Error Log'!$G177,Severity_Matrix!$C$2:$M$2,0)),"No errors"))</f>
        <v>Critical</v>
      </c>
    </row>
    <row r="178" spans="1:10">
      <c r="A178" s="79" t="s">
        <v>426</v>
      </c>
      <c r="B178" s="18">
        <v>3</v>
      </c>
      <c r="C178" s="85" t="s">
        <v>422</v>
      </c>
      <c r="D178" s="85" t="s">
        <v>423</v>
      </c>
      <c r="E178" s="84" t="s">
        <v>21</v>
      </c>
      <c r="F178" s="84" t="s">
        <v>7</v>
      </c>
      <c r="G178" s="84" t="s">
        <v>57</v>
      </c>
      <c r="H178" s="84" t="s">
        <v>427</v>
      </c>
      <c r="I178" s="84"/>
      <c r="J178" s="15" t="str">
        <f>IF(E178="Invalid_Segment","Invalid",IFERROR(INDEX(Severity_Matrix!$C$3:$M$10,MATCH('Error Log'!$F178,Severity_Matrix!$B$3:$B$10,0),MATCH('Error Log'!$G178,Severity_Matrix!$C$2:$M$2,0)),"No errors"))</f>
        <v>Critical</v>
      </c>
    </row>
    <row r="179" spans="1:10">
      <c r="A179" s="79" t="s">
        <v>428</v>
      </c>
      <c r="B179" s="18">
        <v>1</v>
      </c>
      <c r="C179" s="85" t="s">
        <v>429</v>
      </c>
      <c r="D179" s="85" t="s">
        <v>430</v>
      </c>
      <c r="E179" s="84" t="s">
        <v>21</v>
      </c>
      <c r="F179" s="84" t="s">
        <v>22</v>
      </c>
      <c r="G179" s="84" t="s">
        <v>57</v>
      </c>
      <c r="H179" s="84" t="s">
        <v>431</v>
      </c>
      <c r="I179" s="84"/>
      <c r="J179" s="15" t="str">
        <f>IF(E179="Invalid_Segment","Invalid",IFERROR(INDEX(Severity_Matrix!$C$3:$M$10,MATCH('Error Log'!$F179,Severity_Matrix!$B$3:$B$10,0),MATCH('Error Log'!$G179,Severity_Matrix!$C$2:$M$2,0)),"No errors"))</f>
        <v>Major</v>
      </c>
    </row>
    <row r="180" spans="1:10">
      <c r="A180" s="79" t="s">
        <v>428</v>
      </c>
      <c r="B180" s="18">
        <v>2</v>
      </c>
      <c r="C180" s="85" t="s">
        <v>429</v>
      </c>
      <c r="D180" s="85" t="s">
        <v>430</v>
      </c>
      <c r="E180" s="84" t="s">
        <v>21</v>
      </c>
      <c r="F180" s="84" t="s">
        <v>7</v>
      </c>
      <c r="G180" s="84" t="s">
        <v>57</v>
      </c>
      <c r="H180" s="84" t="s">
        <v>432</v>
      </c>
      <c r="I180" s="84"/>
      <c r="J180" s="15" t="str">
        <f>IF(E180="Invalid_Segment","Invalid",IFERROR(INDEX(Severity_Matrix!$C$3:$M$10,MATCH('Error Log'!$F180,Severity_Matrix!$B$3:$B$10,0),MATCH('Error Log'!$G180,Severity_Matrix!$C$2:$M$2,0)),"No errors"))</f>
        <v>Critical</v>
      </c>
    </row>
    <row r="181" spans="1:10">
      <c r="A181" s="79" t="s">
        <v>433</v>
      </c>
      <c r="B181" s="18">
        <v>3</v>
      </c>
      <c r="C181" s="85" t="s">
        <v>429</v>
      </c>
      <c r="D181" s="85" t="s">
        <v>430</v>
      </c>
      <c r="E181" s="84" t="s">
        <v>21</v>
      </c>
      <c r="F181" s="84" t="s">
        <v>7</v>
      </c>
      <c r="G181" s="84" t="s">
        <v>57</v>
      </c>
      <c r="H181" s="84" t="s">
        <v>434</v>
      </c>
      <c r="I181" s="84"/>
      <c r="J181" s="15" t="str">
        <f>IF(E181="Invalid_Segment","Invalid",IFERROR(INDEX(Severity_Matrix!$C$3:$M$10,MATCH('Error Log'!$F181,Severity_Matrix!$B$3:$B$10,0),MATCH('Error Log'!$G181,Severity_Matrix!$C$2:$M$2,0)),"No errors"))</f>
        <v>Critical</v>
      </c>
    </row>
    <row r="182" spans="1:10">
      <c r="A182" s="79" t="s">
        <v>435</v>
      </c>
      <c r="B182" s="18">
        <v>1</v>
      </c>
      <c r="C182" s="85" t="s">
        <v>436</v>
      </c>
      <c r="D182" s="85" t="s">
        <v>437</v>
      </c>
      <c r="E182" s="84" t="s">
        <v>21</v>
      </c>
      <c r="F182" s="84" t="s">
        <v>7</v>
      </c>
      <c r="G182" s="84" t="s">
        <v>28</v>
      </c>
      <c r="H182" s="84" t="s">
        <v>438</v>
      </c>
      <c r="I182" s="84"/>
      <c r="J182" s="15" t="str">
        <f>IF(E182="Invalid_Segment","Invalid",IFERROR(INDEX(Severity_Matrix!$C$3:$M$10,MATCH('Error Log'!$F182,Severity_Matrix!$B$3:$B$10,0),MATCH('Error Log'!$G182,Severity_Matrix!$C$2:$M$2,0)),"No errors"))</f>
        <v>Major</v>
      </c>
    </row>
    <row r="183" spans="1:10">
      <c r="A183" s="79" t="s">
        <v>435</v>
      </c>
      <c r="B183" s="18">
        <v>2</v>
      </c>
      <c r="C183" s="85" t="s">
        <v>436</v>
      </c>
      <c r="D183" s="85" t="s">
        <v>437</v>
      </c>
      <c r="E183" s="84" t="s">
        <v>21</v>
      </c>
      <c r="F183" s="84" t="s">
        <v>7</v>
      </c>
      <c r="G183" s="84" t="s">
        <v>27</v>
      </c>
      <c r="H183" s="84" t="s">
        <v>439</v>
      </c>
      <c r="I183" s="84"/>
      <c r="J183" s="15" t="str">
        <f>IF(E183="Invalid_Segment","Invalid",IFERROR(INDEX(Severity_Matrix!$C$3:$M$10,MATCH('Error Log'!$F183,Severity_Matrix!$B$3:$B$10,0),MATCH('Error Log'!$G183,Severity_Matrix!$C$2:$M$2,0)),"No errors"))</f>
        <v>Major</v>
      </c>
    </row>
    <row r="184" spans="1:10">
      <c r="A184" s="79" t="s">
        <v>440</v>
      </c>
      <c r="B184" s="18">
        <v>3</v>
      </c>
      <c r="C184" s="85" t="s">
        <v>436</v>
      </c>
      <c r="D184" s="85" t="s">
        <v>437</v>
      </c>
      <c r="E184" s="84" t="s">
        <v>21</v>
      </c>
      <c r="F184" s="84" t="s">
        <v>63</v>
      </c>
      <c r="G184" s="84" t="s">
        <v>56</v>
      </c>
      <c r="H184" s="84" t="s">
        <v>441</v>
      </c>
      <c r="I184" s="84"/>
      <c r="J184" s="15" t="str">
        <f>IF(E184="Invalid_Segment","Invalid",IFERROR(INDEX(Severity_Matrix!$C$3:$M$10,MATCH('Error Log'!$F184,Severity_Matrix!$B$3:$B$10,0),MATCH('Error Log'!$G184,Severity_Matrix!$C$2:$M$2,0)),"No errors"))</f>
        <v>Critical</v>
      </c>
    </row>
    <row r="185" spans="1:10">
      <c r="A185" s="79" t="s">
        <v>440</v>
      </c>
      <c r="B185" s="18">
        <v>4</v>
      </c>
      <c r="C185" s="85" t="s">
        <v>436</v>
      </c>
      <c r="D185" s="85" t="s">
        <v>437</v>
      </c>
      <c r="E185" s="84" t="s">
        <v>21</v>
      </c>
      <c r="F185" s="84" t="s">
        <v>22</v>
      </c>
      <c r="G185" s="84" t="s">
        <v>57</v>
      </c>
      <c r="H185" s="84" t="s">
        <v>442</v>
      </c>
      <c r="I185" s="84"/>
      <c r="J185" s="15" t="str">
        <f>IF(E185="Invalid_Segment","Invalid",IFERROR(INDEX(Severity_Matrix!$C$3:$M$10,MATCH('Error Log'!$F185,Severity_Matrix!$B$3:$B$10,0),MATCH('Error Log'!$G185,Severity_Matrix!$C$2:$M$2,0)),"No errors"))</f>
        <v>Major</v>
      </c>
    </row>
    <row r="186" spans="1:10">
      <c r="A186" s="79" t="s">
        <v>440</v>
      </c>
      <c r="B186" s="18">
        <v>5</v>
      </c>
      <c r="C186" s="85" t="s">
        <v>436</v>
      </c>
      <c r="D186" s="85" t="s">
        <v>437</v>
      </c>
      <c r="E186" s="84" t="s">
        <v>21</v>
      </c>
      <c r="F186" s="84" t="s">
        <v>7</v>
      </c>
      <c r="G186" s="84" t="s">
        <v>57</v>
      </c>
      <c r="H186" s="84" t="s">
        <v>443</v>
      </c>
      <c r="I186" s="84"/>
      <c r="J186" s="15" t="str">
        <f>IF(E186="Invalid_Segment","Invalid",IFERROR(INDEX(Severity_Matrix!$C$3:$M$10,MATCH('Error Log'!$F186,Severity_Matrix!$B$3:$B$10,0),MATCH('Error Log'!$G186,Severity_Matrix!$C$2:$M$2,0)),"No errors"))</f>
        <v>Critical</v>
      </c>
    </row>
    <row r="187" spans="1:10">
      <c r="A187" s="79" t="s">
        <v>440</v>
      </c>
      <c r="B187" s="18">
        <v>6</v>
      </c>
      <c r="C187" s="85" t="s">
        <v>436</v>
      </c>
      <c r="D187" s="85" t="s">
        <v>437</v>
      </c>
      <c r="E187" s="84" t="s">
        <v>21</v>
      </c>
      <c r="F187" s="84" t="s">
        <v>7</v>
      </c>
      <c r="G187" s="84" t="s">
        <v>57</v>
      </c>
      <c r="H187" s="84" t="s">
        <v>444</v>
      </c>
      <c r="I187" s="84"/>
      <c r="J187" s="15" t="str">
        <f>IF(E187="Invalid_Segment","Invalid",IFERROR(INDEX(Severity_Matrix!$C$3:$M$10,MATCH('Error Log'!$F187,Severity_Matrix!$B$3:$B$10,0),MATCH('Error Log'!$G187,Severity_Matrix!$C$2:$M$2,0)),"No errors"))</f>
        <v>Critical</v>
      </c>
    </row>
    <row r="188" spans="1:10">
      <c r="A188" s="79" t="s">
        <v>440</v>
      </c>
      <c r="B188" s="18">
        <v>7</v>
      </c>
      <c r="C188" s="85" t="s">
        <v>436</v>
      </c>
      <c r="D188" s="85" t="s">
        <v>437</v>
      </c>
      <c r="E188" s="84" t="s">
        <v>21</v>
      </c>
      <c r="F188" s="84" t="s">
        <v>7</v>
      </c>
      <c r="G188" s="84" t="s">
        <v>57</v>
      </c>
      <c r="H188" s="84" t="s">
        <v>445</v>
      </c>
      <c r="I188" s="84"/>
      <c r="J188" s="15" t="str">
        <f>IF(E188="Invalid_Segment","Invalid",IFERROR(INDEX(Severity_Matrix!$C$3:$M$10,MATCH('Error Log'!$F188,Severity_Matrix!$B$3:$B$10,0),MATCH('Error Log'!$G188,Severity_Matrix!$C$2:$M$2,0)),"No errors"))</f>
        <v>Critical</v>
      </c>
    </row>
    <row r="189" spans="1:10">
      <c r="A189" s="79" t="s">
        <v>446</v>
      </c>
      <c r="B189" s="18">
        <v>1</v>
      </c>
      <c r="C189" s="85" t="s">
        <v>447</v>
      </c>
      <c r="D189" s="85" t="s">
        <v>448</v>
      </c>
      <c r="E189" s="84" t="s">
        <v>21</v>
      </c>
      <c r="F189" s="84" t="s">
        <v>22</v>
      </c>
      <c r="G189" s="84" t="s">
        <v>57</v>
      </c>
      <c r="H189" s="84" t="s">
        <v>449</v>
      </c>
      <c r="I189" s="84"/>
      <c r="J189" s="15" t="str">
        <f>IF(E189="Invalid_Segment","Invalid",IFERROR(INDEX(Severity_Matrix!$C$3:$M$10,MATCH('Error Log'!$F189,Severity_Matrix!$B$3:$B$10,0),MATCH('Error Log'!$G189,Severity_Matrix!$C$2:$M$2,0)),"No errors"))</f>
        <v>Major</v>
      </c>
    </row>
    <row r="190" spans="1:10">
      <c r="A190" s="79" t="s">
        <v>446</v>
      </c>
      <c r="B190" s="18">
        <v>2</v>
      </c>
      <c r="C190" s="85" t="s">
        <v>447</v>
      </c>
      <c r="D190" s="85" t="s">
        <v>448</v>
      </c>
      <c r="E190" s="84" t="s">
        <v>21</v>
      </c>
      <c r="F190" s="84" t="s">
        <v>7</v>
      </c>
      <c r="G190" s="84" t="s">
        <v>57</v>
      </c>
      <c r="H190" s="84" t="s">
        <v>450</v>
      </c>
      <c r="I190" s="84"/>
      <c r="J190" s="15" t="str">
        <f>IF(E190="Invalid_Segment","Invalid",IFERROR(INDEX(Severity_Matrix!$C$3:$M$10,MATCH('Error Log'!$F190,Severity_Matrix!$B$3:$B$10,0),MATCH('Error Log'!$G190,Severity_Matrix!$C$2:$M$2,0)),"No errors"))</f>
        <v>Critical</v>
      </c>
    </row>
    <row r="191" spans="1:10">
      <c r="A191" s="79" t="s">
        <v>451</v>
      </c>
      <c r="B191" s="18">
        <v>1</v>
      </c>
      <c r="C191" s="85" t="s">
        <v>452</v>
      </c>
      <c r="D191" s="85" t="s">
        <v>453</v>
      </c>
      <c r="E191" s="84" t="s">
        <v>21</v>
      </c>
      <c r="F191" s="84" t="s">
        <v>7</v>
      </c>
      <c r="G191" s="84" t="s">
        <v>57</v>
      </c>
      <c r="H191" s="84" t="s">
        <v>454</v>
      </c>
      <c r="I191" s="84"/>
      <c r="J191" s="15" t="str">
        <f>IF(E191="Invalid_Segment","Invalid",IFERROR(INDEX(Severity_Matrix!$C$3:$M$10,MATCH('Error Log'!$F191,Severity_Matrix!$B$3:$B$10,0),MATCH('Error Log'!$G191,Severity_Matrix!$C$2:$M$2,0)),"No errors"))</f>
        <v>Critical</v>
      </c>
    </row>
    <row r="192" spans="1:10">
      <c r="A192" s="79" t="s">
        <v>451</v>
      </c>
      <c r="B192" s="18">
        <v>2</v>
      </c>
      <c r="C192" s="85" t="s">
        <v>452</v>
      </c>
      <c r="D192" s="85" t="s">
        <v>453</v>
      </c>
      <c r="E192" s="84" t="s">
        <v>21</v>
      </c>
      <c r="F192" s="84" t="s">
        <v>22</v>
      </c>
      <c r="G192" s="84" t="s">
        <v>57</v>
      </c>
      <c r="H192" s="84" t="s">
        <v>455</v>
      </c>
      <c r="I192" s="84"/>
      <c r="J192" s="15" t="str">
        <f>IF(E192="Invalid_Segment","Invalid",IFERROR(INDEX(Severity_Matrix!$C$3:$M$10,MATCH('Error Log'!$F192,Severity_Matrix!$B$3:$B$10,0),MATCH('Error Log'!$G192,Severity_Matrix!$C$2:$M$2,0)),"No errors"))</f>
        <v>Major</v>
      </c>
    </row>
    <row r="193" spans="1:10">
      <c r="A193" s="79" t="s">
        <v>456</v>
      </c>
      <c r="B193" s="18">
        <v>3</v>
      </c>
      <c r="C193" s="85" t="s">
        <v>452</v>
      </c>
      <c r="D193" s="85" t="s">
        <v>453</v>
      </c>
      <c r="E193" s="84" t="s">
        <v>21</v>
      </c>
      <c r="F193" s="84" t="s">
        <v>7</v>
      </c>
      <c r="G193" s="84" t="s">
        <v>57</v>
      </c>
      <c r="H193" s="84" t="s">
        <v>457</v>
      </c>
      <c r="I193" s="84"/>
      <c r="J193" s="15" t="str">
        <f>IF(E193="Invalid_Segment","Invalid",IFERROR(INDEX(Severity_Matrix!$C$3:$M$10,MATCH('Error Log'!$F193,Severity_Matrix!$B$3:$B$10,0),MATCH('Error Log'!$G193,Severity_Matrix!$C$2:$M$2,0)),"No errors"))</f>
        <v>Critical</v>
      </c>
    </row>
    <row r="194" spans="1:10">
      <c r="A194" s="79" t="s">
        <v>458</v>
      </c>
      <c r="B194" s="18">
        <v>1</v>
      </c>
      <c r="C194" s="85" t="s">
        <v>459</v>
      </c>
      <c r="D194" s="85" t="s">
        <v>460</v>
      </c>
      <c r="E194" s="84" t="s">
        <v>21</v>
      </c>
      <c r="F194" s="84" t="s">
        <v>22</v>
      </c>
      <c r="G194" s="84" t="s">
        <v>57</v>
      </c>
      <c r="H194" s="84" t="s">
        <v>461</v>
      </c>
      <c r="I194" s="84"/>
      <c r="J194" s="15" t="str">
        <f>IF(E194="Invalid_Segment","Invalid",IFERROR(INDEX(Severity_Matrix!$C$3:$M$10,MATCH('Error Log'!$F194,Severity_Matrix!$B$3:$B$10,0),MATCH('Error Log'!$G194,Severity_Matrix!$C$2:$M$2,0)),"No errors"))</f>
        <v>Major</v>
      </c>
    </row>
    <row r="195" spans="1:10">
      <c r="A195" s="79" t="s">
        <v>458</v>
      </c>
      <c r="B195" s="18">
        <v>2</v>
      </c>
      <c r="C195" s="85" t="s">
        <v>459</v>
      </c>
      <c r="D195" s="85" t="s">
        <v>460</v>
      </c>
      <c r="E195" s="84" t="s">
        <v>21</v>
      </c>
      <c r="F195" s="84" t="s">
        <v>22</v>
      </c>
      <c r="G195" s="84" t="s">
        <v>57</v>
      </c>
      <c r="H195" s="84" t="s">
        <v>462</v>
      </c>
      <c r="I195" s="84"/>
      <c r="J195" s="15" t="str">
        <f>IF(E195="Invalid_Segment","Invalid",IFERROR(INDEX(Severity_Matrix!$C$3:$M$10,MATCH('Error Log'!$F195,Severity_Matrix!$B$3:$B$10,0),MATCH('Error Log'!$G195,Severity_Matrix!$C$2:$M$2,0)),"No errors"))</f>
        <v>Major</v>
      </c>
    </row>
    <row r="196" spans="1:10">
      <c r="A196" s="79" t="s">
        <v>463</v>
      </c>
      <c r="B196" s="18">
        <v>3</v>
      </c>
      <c r="C196" s="85" t="s">
        <v>459</v>
      </c>
      <c r="D196" s="85" t="s">
        <v>460</v>
      </c>
      <c r="E196" s="84" t="s">
        <v>21</v>
      </c>
      <c r="F196" s="84" t="s">
        <v>7</v>
      </c>
      <c r="G196" s="84" t="s">
        <v>57</v>
      </c>
      <c r="H196" s="84" t="s">
        <v>464</v>
      </c>
      <c r="I196" s="84"/>
      <c r="J196" s="15" t="str">
        <f>IF(E196="Invalid_Segment","Invalid",IFERROR(INDEX(Severity_Matrix!$C$3:$M$10,MATCH('Error Log'!$F196,Severity_Matrix!$B$3:$B$10,0),MATCH('Error Log'!$G196,Severity_Matrix!$C$2:$M$2,0)),"No errors"))</f>
        <v>Critical</v>
      </c>
    </row>
    <row r="197" spans="1:10">
      <c r="A197" s="79" t="s">
        <v>463</v>
      </c>
      <c r="B197" s="18">
        <v>4</v>
      </c>
      <c r="C197" s="85" t="s">
        <v>459</v>
      </c>
      <c r="D197" s="85" t="s">
        <v>460</v>
      </c>
      <c r="E197" s="84" t="s">
        <v>21</v>
      </c>
      <c r="F197" s="84" t="s">
        <v>7</v>
      </c>
      <c r="G197" s="84" t="s">
        <v>57</v>
      </c>
      <c r="H197" s="84" t="s">
        <v>465</v>
      </c>
      <c r="I197" s="84"/>
      <c r="J197" s="15" t="str">
        <f>IF(E197="Invalid_Segment","Invalid",IFERROR(INDEX(Severity_Matrix!$C$3:$M$10,MATCH('Error Log'!$F197,Severity_Matrix!$B$3:$B$10,0),MATCH('Error Log'!$G197,Severity_Matrix!$C$2:$M$2,0)),"No errors"))</f>
        <v>Critical</v>
      </c>
    </row>
    <row r="198" spans="1:10">
      <c r="A198" s="79" t="s">
        <v>466</v>
      </c>
      <c r="B198" s="18">
        <v>1</v>
      </c>
      <c r="C198" s="85" t="s">
        <v>467</v>
      </c>
      <c r="D198" s="85" t="s">
        <v>468</v>
      </c>
      <c r="E198" s="84" t="s">
        <v>21</v>
      </c>
      <c r="F198" s="84" t="s">
        <v>22</v>
      </c>
      <c r="G198" s="84" t="s">
        <v>57</v>
      </c>
      <c r="H198" s="84" t="s">
        <v>469</v>
      </c>
      <c r="I198" s="14"/>
      <c r="J198" s="15" t="str">
        <f>IF(E198="Invalid_Segment","Invalid",IFERROR(INDEX(Severity_Matrix!$C$3:$M$10,MATCH('Error Log'!$F198,Severity_Matrix!$B$3:$B$10,0),MATCH('Error Log'!$G198,Severity_Matrix!$C$2:$M$2,0)),"No errors"))</f>
        <v>Major</v>
      </c>
    </row>
    <row r="199" spans="1:10">
      <c r="A199" s="79" t="s">
        <v>466</v>
      </c>
      <c r="B199" s="18">
        <v>2</v>
      </c>
      <c r="C199" s="85" t="s">
        <v>467</v>
      </c>
      <c r="D199" s="85" t="s">
        <v>468</v>
      </c>
      <c r="E199" s="84" t="s">
        <v>21</v>
      </c>
      <c r="F199" s="84" t="s">
        <v>22</v>
      </c>
      <c r="G199" s="84" t="s">
        <v>57</v>
      </c>
      <c r="H199" s="84" t="s">
        <v>470</v>
      </c>
      <c r="I199" s="14"/>
      <c r="J199" s="15" t="str">
        <f>IF(E199="Invalid_Segment","Invalid",IFERROR(INDEX(Severity_Matrix!$C$3:$M$10,MATCH('Error Log'!$F199,Severity_Matrix!$B$3:$B$10,0),MATCH('Error Log'!$G199,Severity_Matrix!$C$2:$M$2,0)),"No errors"))</f>
        <v>Major</v>
      </c>
    </row>
    <row r="200" spans="1:10">
      <c r="A200" s="79" t="s">
        <v>471</v>
      </c>
      <c r="B200" s="18">
        <v>3</v>
      </c>
      <c r="C200" s="85" t="s">
        <v>467</v>
      </c>
      <c r="D200" s="85" t="s">
        <v>468</v>
      </c>
      <c r="E200" s="84" t="s">
        <v>21</v>
      </c>
      <c r="F200" s="84" t="s">
        <v>7</v>
      </c>
      <c r="G200" s="84" t="s">
        <v>57</v>
      </c>
      <c r="H200" s="84" t="s">
        <v>472</v>
      </c>
      <c r="I200" s="14"/>
      <c r="J200" s="15" t="str">
        <f>IF(E200="Invalid_Segment","Invalid",IFERROR(INDEX(Severity_Matrix!$C$3:$M$10,MATCH('Error Log'!$F200,Severity_Matrix!$B$3:$B$10,0),MATCH('Error Log'!$G200,Severity_Matrix!$C$2:$M$2,0)),"No errors"))</f>
        <v>Critical</v>
      </c>
    </row>
    <row r="201" spans="1:10">
      <c r="A201" s="79" t="s">
        <v>471</v>
      </c>
      <c r="B201" s="18">
        <v>4</v>
      </c>
      <c r="C201" s="85" t="s">
        <v>467</v>
      </c>
      <c r="D201" s="85" t="s">
        <v>468</v>
      </c>
      <c r="E201" s="84" t="s">
        <v>21</v>
      </c>
      <c r="F201" s="84" t="s">
        <v>7</v>
      </c>
      <c r="G201" s="84" t="s">
        <v>57</v>
      </c>
      <c r="H201" s="84" t="s">
        <v>473</v>
      </c>
      <c r="I201" s="14"/>
      <c r="J201" s="15" t="str">
        <f>IF(E201="Invalid_Segment","Invalid",IFERROR(INDEX(Severity_Matrix!$C$3:$M$10,MATCH('Error Log'!$F201,Severity_Matrix!$B$3:$B$10,0),MATCH('Error Log'!$G201,Severity_Matrix!$C$2:$M$2,0)),"No errors"))</f>
        <v>Critical</v>
      </c>
    </row>
    <row r="202" spans="1:10">
      <c r="A202" s="79" t="s">
        <v>474</v>
      </c>
      <c r="B202" s="18">
        <v>1</v>
      </c>
      <c r="C202" s="85" t="s">
        <v>475</v>
      </c>
      <c r="D202" s="85" t="s">
        <v>476</v>
      </c>
      <c r="E202" s="84" t="s">
        <v>21</v>
      </c>
      <c r="F202" s="84" t="s">
        <v>63</v>
      </c>
      <c r="G202" s="84" t="s">
        <v>27</v>
      </c>
      <c r="H202" s="84" t="s">
        <v>477</v>
      </c>
      <c r="I202" s="14"/>
      <c r="J202" s="15" t="str">
        <f>IF(E202="Invalid_Segment","Invalid",IFERROR(INDEX(Severity_Matrix!$C$3:$M$10,MATCH('Error Log'!$F202,Severity_Matrix!$B$3:$B$10,0),MATCH('Error Log'!$G202,Severity_Matrix!$C$2:$M$2,0)),"No errors"))</f>
        <v>Critical</v>
      </c>
    </row>
    <row r="203" spans="1:10">
      <c r="A203" s="79" t="s">
        <v>474</v>
      </c>
      <c r="B203" s="18">
        <v>2</v>
      </c>
      <c r="C203" s="85" t="s">
        <v>478</v>
      </c>
      <c r="D203" s="85" t="s">
        <v>479</v>
      </c>
      <c r="E203" s="84" t="s">
        <v>21</v>
      </c>
      <c r="F203" s="84" t="s">
        <v>63</v>
      </c>
      <c r="G203" s="84" t="s">
        <v>27</v>
      </c>
      <c r="H203" s="84" t="s">
        <v>480</v>
      </c>
      <c r="I203" s="14"/>
      <c r="J203" s="15" t="str">
        <f>IF(E203="Invalid_Segment","Invalid",IFERROR(INDEX(Severity_Matrix!$C$3:$M$10,MATCH('Error Log'!$F203,Severity_Matrix!$B$3:$B$10,0),MATCH('Error Log'!$G203,Severity_Matrix!$C$2:$M$2,0)),"No errors"))</f>
        <v>Critical</v>
      </c>
    </row>
    <row r="204" spans="1:10">
      <c r="A204" s="79" t="s">
        <v>481</v>
      </c>
      <c r="B204" s="18">
        <v>3</v>
      </c>
      <c r="C204" s="85" t="s">
        <v>482</v>
      </c>
      <c r="D204" s="85" t="s">
        <v>483</v>
      </c>
      <c r="E204" s="84" t="s">
        <v>21</v>
      </c>
      <c r="F204" s="84" t="s">
        <v>22</v>
      </c>
      <c r="G204" s="84" t="s">
        <v>57</v>
      </c>
      <c r="H204" s="84" t="s">
        <v>484</v>
      </c>
      <c r="I204" s="14"/>
      <c r="J204" s="15" t="str">
        <f>IF(E204="Invalid_Segment","Invalid",IFERROR(INDEX(Severity_Matrix!$C$3:$M$10,MATCH('Error Log'!$F204,Severity_Matrix!$B$3:$B$10,0),MATCH('Error Log'!$G204,Severity_Matrix!$C$2:$M$2,0)),"No errors"))</f>
        <v>Major</v>
      </c>
    </row>
    <row r="205" spans="1:10">
      <c r="A205" s="79" t="s">
        <v>481</v>
      </c>
      <c r="B205" s="18">
        <v>4</v>
      </c>
      <c r="C205" s="85" t="s">
        <v>485</v>
      </c>
      <c r="D205" s="85" t="s">
        <v>486</v>
      </c>
      <c r="E205" s="84" t="s">
        <v>21</v>
      </c>
      <c r="F205" s="84" t="s">
        <v>22</v>
      </c>
      <c r="G205" s="84" t="s">
        <v>57</v>
      </c>
      <c r="H205" s="84" t="s">
        <v>487</v>
      </c>
      <c r="I205" s="14"/>
      <c r="J205" s="15" t="str">
        <f>IF(E205="Invalid_Segment","Invalid",IFERROR(INDEX(Severity_Matrix!$C$3:$M$10,MATCH('Error Log'!$F205,Severity_Matrix!$B$3:$B$10,0),MATCH('Error Log'!$G205,Severity_Matrix!$C$2:$M$2,0)),"No errors"))</f>
        <v>Major</v>
      </c>
    </row>
    <row r="206" spans="1:10">
      <c r="A206" s="79" t="s">
        <v>481</v>
      </c>
      <c r="B206" s="18">
        <v>5</v>
      </c>
      <c r="C206" s="85" t="s">
        <v>488</v>
      </c>
      <c r="D206" s="85" t="s">
        <v>489</v>
      </c>
      <c r="E206" s="84" t="s">
        <v>21</v>
      </c>
      <c r="F206" s="84" t="s">
        <v>7</v>
      </c>
      <c r="G206" s="84" t="s">
        <v>57</v>
      </c>
      <c r="H206" s="84" t="s">
        <v>490</v>
      </c>
      <c r="I206" s="14"/>
      <c r="J206" s="15" t="str">
        <f>IF(E206="Invalid_Segment","Invalid",IFERROR(INDEX(Severity_Matrix!$C$3:$M$10,MATCH('Error Log'!$F206,Severity_Matrix!$B$3:$B$10,0),MATCH('Error Log'!$G206,Severity_Matrix!$C$2:$M$2,0)),"No errors"))</f>
        <v>Critical</v>
      </c>
    </row>
    <row r="207" spans="1:10">
      <c r="A207" s="79" t="s">
        <v>481</v>
      </c>
      <c r="B207" s="18">
        <v>6</v>
      </c>
      <c r="C207" s="85" t="s">
        <v>491</v>
      </c>
      <c r="D207" s="85" t="s">
        <v>492</v>
      </c>
      <c r="E207" s="84" t="s">
        <v>21</v>
      </c>
      <c r="F207" s="84" t="s">
        <v>7</v>
      </c>
      <c r="G207" s="84" t="s">
        <v>57</v>
      </c>
      <c r="H207" s="84" t="s">
        <v>493</v>
      </c>
      <c r="I207" s="14"/>
      <c r="J207" s="15" t="str">
        <f>IF(E207="Invalid_Segment","Invalid",IFERROR(INDEX(Severity_Matrix!$C$3:$M$10,MATCH('Error Log'!$F207,Severity_Matrix!$B$3:$B$10,0),MATCH('Error Log'!$G207,Severity_Matrix!$C$2:$M$2,0)),"No errors"))</f>
        <v>Critical</v>
      </c>
    </row>
    <row r="208" spans="1:10">
      <c r="A208" s="79" t="s">
        <v>494</v>
      </c>
      <c r="B208" s="18">
        <v>1</v>
      </c>
      <c r="C208" s="85" t="s">
        <v>495</v>
      </c>
      <c r="D208" s="85" t="s">
        <v>496</v>
      </c>
      <c r="E208" s="84"/>
      <c r="F208" s="84"/>
      <c r="G208" s="84"/>
      <c r="H208" s="84"/>
      <c r="I208" s="14"/>
      <c r="J208" s="15" t="str">
        <f>IF(E208="Invalid_Segment","Invalid",IFERROR(INDEX(Severity_Matrix!$C$3:$M$10,MATCH('Error Log'!$F208,Severity_Matrix!$B$3:$B$10,0),MATCH('Error Log'!$G208,Severity_Matrix!$C$2:$M$2,0)),"No errors"))</f>
        <v>No errors</v>
      </c>
    </row>
    <row r="209" spans="1:10">
      <c r="A209" s="79" t="s">
        <v>497</v>
      </c>
      <c r="B209" s="18">
        <v>1</v>
      </c>
      <c r="C209" s="85" t="s">
        <v>498</v>
      </c>
      <c r="D209" s="85" t="s">
        <v>499</v>
      </c>
      <c r="E209" s="84" t="s">
        <v>21</v>
      </c>
      <c r="F209" s="84" t="s">
        <v>22</v>
      </c>
      <c r="G209" s="84" t="s">
        <v>57</v>
      </c>
      <c r="H209" s="84" t="s">
        <v>500</v>
      </c>
      <c r="I209" s="14"/>
      <c r="J209" s="15" t="str">
        <f>IF(E209="Invalid_Segment","Invalid",IFERROR(INDEX(Severity_Matrix!$C$3:$M$10,MATCH('Error Log'!$F209,Severity_Matrix!$B$3:$B$10,0),MATCH('Error Log'!$G209,Severity_Matrix!$C$2:$M$2,0)),"No errors"))</f>
        <v>Major</v>
      </c>
    </row>
    <row r="210" spans="1:10">
      <c r="A210" s="79" t="s">
        <v>497</v>
      </c>
      <c r="B210" s="18">
        <v>2</v>
      </c>
      <c r="C210" s="85" t="s">
        <v>498</v>
      </c>
      <c r="D210" s="85" t="s">
        <v>501</v>
      </c>
      <c r="E210" s="84" t="s">
        <v>21</v>
      </c>
      <c r="F210" s="84" t="s">
        <v>7</v>
      </c>
      <c r="G210" s="84" t="s">
        <v>57</v>
      </c>
      <c r="H210" s="84" t="s">
        <v>502</v>
      </c>
      <c r="I210" s="14"/>
      <c r="J210" s="15" t="str">
        <f>IF(E210="Invalid_Segment","Invalid",IFERROR(INDEX(Severity_Matrix!$C$3:$M$10,MATCH('Error Log'!$F210,Severity_Matrix!$B$3:$B$10,0),MATCH('Error Log'!$G210,Severity_Matrix!$C$2:$M$2,0)),"No errors"))</f>
        <v>Critical</v>
      </c>
    </row>
    <row r="211" spans="1:10">
      <c r="A211" s="78" t="s">
        <v>503</v>
      </c>
      <c r="B211" s="18">
        <v>1</v>
      </c>
      <c r="C211" s="78" t="s">
        <v>504</v>
      </c>
      <c r="D211" s="78" t="s">
        <v>505</v>
      </c>
      <c r="E211" s="84" t="s">
        <v>21</v>
      </c>
      <c r="F211" s="84" t="s">
        <v>22</v>
      </c>
      <c r="G211" s="84" t="s">
        <v>57</v>
      </c>
      <c r="H211" s="84" t="s">
        <v>506</v>
      </c>
      <c r="I211" s="14"/>
      <c r="J211" s="15" t="str">
        <f>IF(E211="Invalid_Segment","Invalid",IFERROR(INDEX(Severity_Matrix!$C$3:$M$10,MATCH('Error Log'!$F211,Severity_Matrix!$B$3:$B$10,0),MATCH('Error Log'!$G211,Severity_Matrix!$C$2:$M$2,0)),"No errors"))</f>
        <v>Major</v>
      </c>
    </row>
    <row r="212" spans="1:10">
      <c r="A212" s="78" t="s">
        <v>503</v>
      </c>
      <c r="B212" s="18">
        <v>2</v>
      </c>
      <c r="C212" s="78" t="s">
        <v>504</v>
      </c>
      <c r="D212" s="78" t="s">
        <v>505</v>
      </c>
      <c r="E212" s="84" t="s">
        <v>21</v>
      </c>
      <c r="F212" s="84" t="s">
        <v>22</v>
      </c>
      <c r="G212" s="84" t="s">
        <v>57</v>
      </c>
      <c r="H212" s="84" t="s">
        <v>507</v>
      </c>
      <c r="I212" s="14"/>
      <c r="J212" s="15" t="str">
        <f>IF(E212="Invalid_Segment","Invalid",IFERROR(INDEX(Severity_Matrix!$C$3:$M$10,MATCH('Error Log'!$F212,Severity_Matrix!$B$3:$B$10,0),MATCH('Error Log'!$G212,Severity_Matrix!$C$2:$M$2,0)),"No errors"))</f>
        <v>Major</v>
      </c>
    </row>
    <row r="213" spans="1:10">
      <c r="A213" s="78" t="s">
        <v>508</v>
      </c>
      <c r="B213" s="18">
        <v>3</v>
      </c>
      <c r="C213" s="78" t="s">
        <v>504</v>
      </c>
      <c r="D213" s="78" t="s">
        <v>505</v>
      </c>
      <c r="E213" s="84" t="s">
        <v>21</v>
      </c>
      <c r="F213" s="84" t="s">
        <v>7</v>
      </c>
      <c r="G213" s="84" t="s">
        <v>57</v>
      </c>
      <c r="H213" s="84" t="s">
        <v>509</v>
      </c>
      <c r="I213" s="14"/>
      <c r="J213" s="15" t="str">
        <f>IF(E213="Invalid_Segment","Invalid",IFERROR(INDEX(Severity_Matrix!$C$3:$M$10,MATCH('Error Log'!$F213,Severity_Matrix!$B$3:$B$10,0),MATCH('Error Log'!$G213,Severity_Matrix!$C$2:$M$2,0)),"No errors"))</f>
        <v>Critical</v>
      </c>
    </row>
    <row r="214" spans="1:10">
      <c r="A214" s="78" t="s">
        <v>508</v>
      </c>
      <c r="B214" s="18">
        <v>4</v>
      </c>
      <c r="C214" s="78" t="s">
        <v>504</v>
      </c>
      <c r="D214" s="78" t="s">
        <v>505</v>
      </c>
      <c r="E214" s="84" t="s">
        <v>21</v>
      </c>
      <c r="F214" s="84" t="s">
        <v>7</v>
      </c>
      <c r="G214" s="84" t="s">
        <v>57</v>
      </c>
      <c r="H214" s="84" t="s">
        <v>510</v>
      </c>
      <c r="I214" s="14"/>
      <c r="J214" s="15" t="str">
        <f>IF(E214="Invalid_Segment","Invalid",IFERROR(INDEX(Severity_Matrix!$C$3:$M$10,MATCH('Error Log'!$F214,Severity_Matrix!$B$3:$B$10,0),MATCH('Error Log'!$G214,Severity_Matrix!$C$2:$M$2,0)),"No errors"))</f>
        <v>Critical</v>
      </c>
    </row>
    <row r="215" spans="1:10">
      <c r="A215" s="78" t="s">
        <v>511</v>
      </c>
      <c r="B215" s="18">
        <v>1</v>
      </c>
      <c r="C215" s="78" t="s">
        <v>512</v>
      </c>
      <c r="D215" s="78" t="s">
        <v>513</v>
      </c>
      <c r="E215" s="84" t="s">
        <v>21</v>
      </c>
      <c r="F215" s="84" t="s">
        <v>22</v>
      </c>
      <c r="G215" s="84" t="s">
        <v>57</v>
      </c>
      <c r="H215" s="84" t="s">
        <v>514</v>
      </c>
      <c r="I215" s="14"/>
      <c r="J215" s="15" t="str">
        <f>IF(E215="Invalid_Segment","Invalid",IFERROR(INDEX(Severity_Matrix!$C$3:$M$10,MATCH('Error Log'!$F215,Severity_Matrix!$B$3:$B$10,0),MATCH('Error Log'!$G215,Severity_Matrix!$C$2:$M$2,0)),"No errors"))</f>
        <v>Major</v>
      </c>
    </row>
    <row r="216" spans="1:10">
      <c r="A216" s="78" t="s">
        <v>511</v>
      </c>
      <c r="B216" s="18">
        <v>2</v>
      </c>
      <c r="C216" s="78" t="s">
        <v>515</v>
      </c>
      <c r="D216" s="78" t="s">
        <v>516</v>
      </c>
      <c r="E216" s="84" t="s">
        <v>21</v>
      </c>
      <c r="F216" s="84" t="s">
        <v>7</v>
      </c>
      <c r="G216" s="84" t="s">
        <v>57</v>
      </c>
      <c r="H216" s="84" t="s">
        <v>517</v>
      </c>
      <c r="I216" s="14"/>
      <c r="J216" s="15" t="str">
        <f>IF(E216="Invalid_Segment","Invalid",IFERROR(INDEX(Severity_Matrix!$C$3:$M$10,MATCH('Error Log'!$F216,Severity_Matrix!$B$3:$B$10,0),MATCH('Error Log'!$G216,Severity_Matrix!$C$2:$M$2,0)),"No errors"))</f>
        <v>Critical</v>
      </c>
    </row>
    <row r="217" spans="1:10">
      <c r="A217" s="78" t="s">
        <v>518</v>
      </c>
      <c r="B217" s="18">
        <v>3</v>
      </c>
      <c r="C217" s="78" t="s">
        <v>519</v>
      </c>
      <c r="D217" s="78" t="s">
        <v>520</v>
      </c>
      <c r="E217" s="84" t="s">
        <v>21</v>
      </c>
      <c r="F217" s="84" t="s">
        <v>7</v>
      </c>
      <c r="G217" s="84" t="s">
        <v>57</v>
      </c>
      <c r="H217" s="84" t="s">
        <v>521</v>
      </c>
      <c r="I217" s="14"/>
      <c r="J217" s="15" t="str">
        <f>IF(E217="Invalid_Segment","Invalid",IFERROR(INDEX(Severity_Matrix!$C$3:$M$10,MATCH('Error Log'!$F217,Severity_Matrix!$B$3:$B$10,0),MATCH('Error Log'!$G217,Severity_Matrix!$C$2:$M$2,0)),"No errors"))</f>
        <v>Critical</v>
      </c>
    </row>
    <row r="218" spans="1:10">
      <c r="A218" s="78" t="s">
        <v>518</v>
      </c>
      <c r="B218" s="18">
        <v>4</v>
      </c>
      <c r="C218" s="78" t="s">
        <v>522</v>
      </c>
      <c r="D218" s="78" t="s">
        <v>523</v>
      </c>
      <c r="E218" s="84" t="s">
        <v>21</v>
      </c>
      <c r="F218" s="84" t="s">
        <v>7</v>
      </c>
      <c r="G218" s="84" t="s">
        <v>57</v>
      </c>
      <c r="H218" s="84" t="s">
        <v>524</v>
      </c>
      <c r="I218" s="14"/>
      <c r="J218" s="15" t="str">
        <f>IF(E218="Invalid_Segment","Invalid",IFERROR(INDEX(Severity_Matrix!$C$3:$M$10,MATCH('Error Log'!$F218,Severity_Matrix!$B$3:$B$10,0),MATCH('Error Log'!$G218,Severity_Matrix!$C$2:$M$2,0)),"No errors"))</f>
        <v>Critical</v>
      </c>
    </row>
    <row r="219" spans="1:10">
      <c r="A219" s="78" t="s">
        <v>518</v>
      </c>
      <c r="B219" s="18">
        <v>5</v>
      </c>
      <c r="C219" s="78" t="s">
        <v>525</v>
      </c>
      <c r="D219" s="78" t="s">
        <v>526</v>
      </c>
      <c r="E219" s="84" t="s">
        <v>21</v>
      </c>
      <c r="F219" s="84" t="s">
        <v>7</v>
      </c>
      <c r="G219" s="84" t="s">
        <v>57</v>
      </c>
      <c r="H219" s="84" t="s">
        <v>527</v>
      </c>
      <c r="I219" s="14"/>
      <c r="J219" s="15" t="str">
        <f>IF(E219="Invalid_Segment","Invalid",IFERROR(INDEX(Severity_Matrix!$C$3:$M$10,MATCH('Error Log'!$F219,Severity_Matrix!$B$3:$B$10,0),MATCH('Error Log'!$G219,Severity_Matrix!$C$2:$M$2,0)),"No errors"))</f>
        <v>Critical</v>
      </c>
    </row>
    <row r="220" spans="1:10">
      <c r="A220" s="78" t="s">
        <v>528</v>
      </c>
      <c r="B220" s="18">
        <v>1</v>
      </c>
      <c r="C220" s="78" t="s">
        <v>529</v>
      </c>
      <c r="D220" s="78" t="s">
        <v>530</v>
      </c>
      <c r="E220" s="84" t="s">
        <v>21</v>
      </c>
      <c r="F220" s="84" t="s">
        <v>22</v>
      </c>
      <c r="G220" s="84" t="s">
        <v>57</v>
      </c>
      <c r="H220" s="84" t="s">
        <v>531</v>
      </c>
      <c r="I220" s="14"/>
      <c r="J220" s="15" t="str">
        <f>IF(E220="Invalid_Segment","Invalid",IFERROR(INDEX(Severity_Matrix!$C$3:$M$10,MATCH('Error Log'!$F220,Severity_Matrix!$B$3:$B$10,0),MATCH('Error Log'!$G220,Severity_Matrix!$C$2:$M$2,0)),"No errors"))</f>
        <v>Major</v>
      </c>
    </row>
    <row r="221" spans="1:10">
      <c r="A221" s="78" t="s">
        <v>528</v>
      </c>
      <c r="B221" s="18">
        <v>2</v>
      </c>
      <c r="C221" s="78" t="s">
        <v>532</v>
      </c>
      <c r="D221" s="78" t="s">
        <v>533</v>
      </c>
      <c r="E221" s="84" t="s">
        <v>21</v>
      </c>
      <c r="F221" s="84" t="s">
        <v>22</v>
      </c>
      <c r="G221" s="84" t="s">
        <v>57</v>
      </c>
      <c r="H221" s="84" t="s">
        <v>534</v>
      </c>
      <c r="I221" s="14"/>
      <c r="J221" s="15" t="str">
        <f>IF(E221="Invalid_Segment","Invalid",IFERROR(INDEX(Severity_Matrix!$C$3:$M$10,MATCH('Error Log'!$F221,Severity_Matrix!$B$3:$B$10,0),MATCH('Error Log'!$G221,Severity_Matrix!$C$2:$M$2,0)),"No errors"))</f>
        <v>Major</v>
      </c>
    </row>
    <row r="222" spans="1:10">
      <c r="A222" s="78" t="s">
        <v>535</v>
      </c>
      <c r="B222" s="18">
        <v>3</v>
      </c>
      <c r="C222" s="78" t="s">
        <v>536</v>
      </c>
      <c r="D222" s="78" t="s">
        <v>537</v>
      </c>
      <c r="E222" s="84" t="s">
        <v>21</v>
      </c>
      <c r="F222" s="84" t="s">
        <v>7</v>
      </c>
      <c r="G222" s="84" t="s">
        <v>57</v>
      </c>
      <c r="H222" s="84" t="s">
        <v>538</v>
      </c>
      <c r="I222" s="14"/>
      <c r="J222" s="15" t="str">
        <f>IF(E222="Invalid_Segment","Invalid",IFERROR(INDEX(Severity_Matrix!$C$3:$M$10,MATCH('Error Log'!$F222,Severity_Matrix!$B$3:$B$10,0),MATCH('Error Log'!$G222,Severity_Matrix!$C$2:$M$2,0)),"No errors"))</f>
        <v>Critical</v>
      </c>
    </row>
    <row r="223" spans="1:10">
      <c r="A223" s="78" t="s">
        <v>539</v>
      </c>
      <c r="B223" s="18">
        <v>1</v>
      </c>
      <c r="C223" s="78" t="s">
        <v>540</v>
      </c>
      <c r="D223" s="78" t="s">
        <v>541</v>
      </c>
      <c r="E223" s="84" t="s">
        <v>21</v>
      </c>
      <c r="F223" s="84" t="s">
        <v>22</v>
      </c>
      <c r="G223" s="84" t="s">
        <v>57</v>
      </c>
      <c r="H223" s="84" t="s">
        <v>542</v>
      </c>
      <c r="I223" s="14"/>
      <c r="J223" s="15" t="str">
        <f>IF(E223="Invalid_Segment","Invalid",IFERROR(INDEX(Severity_Matrix!$C$3:$M$10,MATCH('Error Log'!$F223,Severity_Matrix!$B$3:$B$10,0),MATCH('Error Log'!$G223,Severity_Matrix!$C$2:$M$2,0)),"No errors"))</f>
        <v>Major</v>
      </c>
    </row>
    <row r="224" spans="1:10">
      <c r="A224" s="78" t="s">
        <v>539</v>
      </c>
      <c r="B224" s="18">
        <v>2</v>
      </c>
      <c r="C224" s="78" t="s">
        <v>540</v>
      </c>
      <c r="D224" s="78" t="s">
        <v>541</v>
      </c>
      <c r="E224" s="84" t="s">
        <v>21</v>
      </c>
      <c r="F224" s="84" t="s">
        <v>7</v>
      </c>
      <c r="G224" s="84" t="s">
        <v>57</v>
      </c>
      <c r="H224" s="84" t="s">
        <v>543</v>
      </c>
      <c r="I224" s="14"/>
      <c r="J224" s="15" t="str">
        <f>IF(E224="Invalid_Segment","Invalid",IFERROR(INDEX(Severity_Matrix!$C$3:$M$10,MATCH('Error Log'!$F224,Severity_Matrix!$B$3:$B$10,0),MATCH('Error Log'!$G224,Severity_Matrix!$C$2:$M$2,0)),"No errors"))</f>
        <v>Critical</v>
      </c>
    </row>
    <row r="225" spans="1:10">
      <c r="A225" s="78" t="s">
        <v>544</v>
      </c>
      <c r="B225" s="18">
        <v>1</v>
      </c>
      <c r="C225" s="78" t="s">
        <v>545</v>
      </c>
      <c r="D225" s="78" t="s">
        <v>546</v>
      </c>
      <c r="E225" s="84" t="s">
        <v>21</v>
      </c>
      <c r="F225" s="84" t="s">
        <v>22</v>
      </c>
      <c r="G225" s="84" t="s">
        <v>57</v>
      </c>
      <c r="H225" s="84" t="s">
        <v>547</v>
      </c>
      <c r="I225" s="14"/>
      <c r="J225" s="15" t="str">
        <f>IF(E225="Invalid_Segment","Invalid",IFERROR(INDEX(Severity_Matrix!$C$3:$M$10,MATCH('Error Log'!$F225,Severity_Matrix!$B$3:$B$10,0),MATCH('Error Log'!$G225,Severity_Matrix!$C$2:$M$2,0)),"No errors"))</f>
        <v>Major</v>
      </c>
    </row>
    <row r="226" spans="1:10">
      <c r="A226" s="78" t="s">
        <v>544</v>
      </c>
      <c r="B226" s="18">
        <v>2</v>
      </c>
      <c r="C226" s="78" t="s">
        <v>545</v>
      </c>
      <c r="D226" s="78" t="s">
        <v>546</v>
      </c>
      <c r="E226" s="84" t="s">
        <v>21</v>
      </c>
      <c r="F226" s="84" t="s">
        <v>22</v>
      </c>
      <c r="G226" s="84" t="s">
        <v>57</v>
      </c>
      <c r="H226" s="84" t="s">
        <v>548</v>
      </c>
      <c r="I226" s="14"/>
      <c r="J226" s="15" t="str">
        <f>IF(E226="Invalid_Segment","Invalid",IFERROR(INDEX(Severity_Matrix!$C$3:$M$10,MATCH('Error Log'!$F226,Severity_Matrix!$B$3:$B$10,0),MATCH('Error Log'!$G226,Severity_Matrix!$C$2:$M$2,0)),"No errors"))</f>
        <v>Major</v>
      </c>
    </row>
    <row r="227" spans="1:10">
      <c r="A227" s="78" t="s">
        <v>549</v>
      </c>
      <c r="B227" s="18">
        <v>3</v>
      </c>
      <c r="C227" s="78" t="s">
        <v>545</v>
      </c>
      <c r="D227" s="78" t="s">
        <v>546</v>
      </c>
      <c r="E227" s="84" t="s">
        <v>21</v>
      </c>
      <c r="F227" s="84" t="s">
        <v>7</v>
      </c>
      <c r="G227" s="84" t="s">
        <v>57</v>
      </c>
      <c r="H227" s="84" t="s">
        <v>550</v>
      </c>
      <c r="I227" s="14"/>
      <c r="J227" s="15" t="str">
        <f>IF(E227="Invalid_Segment","Invalid",IFERROR(INDEX(Severity_Matrix!$C$3:$M$10,MATCH('Error Log'!$F227,Severity_Matrix!$B$3:$B$10,0),MATCH('Error Log'!$G227,Severity_Matrix!$C$2:$M$2,0)),"No errors"))</f>
        <v>Critical</v>
      </c>
    </row>
    <row r="228" spans="1:10">
      <c r="A228" s="78" t="s">
        <v>549</v>
      </c>
      <c r="B228" s="18">
        <v>4</v>
      </c>
      <c r="C228" s="78" t="s">
        <v>545</v>
      </c>
      <c r="D228" s="78" t="s">
        <v>546</v>
      </c>
      <c r="E228" s="84" t="s">
        <v>21</v>
      </c>
      <c r="F228" s="84" t="s">
        <v>7</v>
      </c>
      <c r="G228" s="84" t="s">
        <v>57</v>
      </c>
      <c r="H228" s="84" t="s">
        <v>551</v>
      </c>
      <c r="I228" s="14"/>
      <c r="J228" s="15" t="str">
        <f>IF(E228="Invalid_Segment","Invalid",IFERROR(INDEX(Severity_Matrix!$C$3:$M$10,MATCH('Error Log'!$F228,Severity_Matrix!$B$3:$B$10,0),MATCH('Error Log'!$G228,Severity_Matrix!$C$2:$M$2,0)),"No errors"))</f>
        <v>Critical</v>
      </c>
    </row>
    <row r="229" spans="1:10">
      <c r="A229" s="78" t="s">
        <v>552</v>
      </c>
      <c r="B229" s="18">
        <v>1</v>
      </c>
      <c r="C229" s="78" t="s">
        <v>553</v>
      </c>
      <c r="D229" s="78" t="s">
        <v>554</v>
      </c>
      <c r="E229" s="84" t="s">
        <v>21</v>
      </c>
      <c r="F229" s="84" t="s">
        <v>22</v>
      </c>
      <c r="G229" s="84" t="s">
        <v>57</v>
      </c>
      <c r="H229" s="84" t="s">
        <v>555</v>
      </c>
      <c r="I229" s="14"/>
      <c r="J229" s="15" t="str">
        <f>IF(E229="Invalid_Segment","Invalid",IFERROR(INDEX(Severity_Matrix!$C$3:$M$10,MATCH('Error Log'!$F229,Severity_Matrix!$B$3:$B$10,0),MATCH('Error Log'!$G229,Severity_Matrix!$C$2:$M$2,0)),"No errors"))</f>
        <v>Major</v>
      </c>
    </row>
    <row r="230" spans="1:10">
      <c r="A230" s="78" t="s">
        <v>552</v>
      </c>
      <c r="B230" s="18">
        <v>2</v>
      </c>
      <c r="C230" s="78" t="s">
        <v>553</v>
      </c>
      <c r="D230" s="78" t="s">
        <v>554</v>
      </c>
      <c r="E230" s="84" t="s">
        <v>21</v>
      </c>
      <c r="F230" s="84" t="s">
        <v>7</v>
      </c>
      <c r="G230" s="84" t="s">
        <v>57</v>
      </c>
      <c r="H230" s="84" t="s">
        <v>556</v>
      </c>
      <c r="I230" s="14"/>
      <c r="J230" s="15" t="str">
        <f>IF(E230="Invalid_Segment","Invalid",IFERROR(INDEX(Severity_Matrix!$C$3:$M$10,MATCH('Error Log'!$F230,Severity_Matrix!$B$3:$B$10,0),MATCH('Error Log'!$G230,Severity_Matrix!$C$2:$M$2,0)),"No errors"))</f>
        <v>Critical</v>
      </c>
    </row>
    <row r="231" spans="1:10">
      <c r="A231" s="78" t="s">
        <v>557</v>
      </c>
      <c r="B231" s="18">
        <v>3</v>
      </c>
      <c r="C231" s="78" t="s">
        <v>553</v>
      </c>
      <c r="D231" s="78" t="s">
        <v>554</v>
      </c>
      <c r="E231" s="84" t="s">
        <v>21</v>
      </c>
      <c r="F231" s="84" t="s">
        <v>7</v>
      </c>
      <c r="G231" s="84" t="s">
        <v>57</v>
      </c>
      <c r="H231" s="84" t="s">
        <v>558</v>
      </c>
      <c r="I231" s="14"/>
      <c r="J231" s="15" t="str">
        <f>IF(E231="Invalid_Segment","Invalid",IFERROR(INDEX(Severity_Matrix!$C$3:$M$10,MATCH('Error Log'!$F231,Severity_Matrix!$B$3:$B$10,0),MATCH('Error Log'!$G231,Severity_Matrix!$C$2:$M$2,0)),"No errors"))</f>
        <v>Critical</v>
      </c>
    </row>
    <row r="232" spans="1:10">
      <c r="A232" s="78" t="s">
        <v>559</v>
      </c>
      <c r="B232" s="18">
        <v>1</v>
      </c>
      <c r="C232" s="78" t="s">
        <v>560</v>
      </c>
      <c r="D232" s="78" t="s">
        <v>561</v>
      </c>
      <c r="E232" s="84" t="s">
        <v>21</v>
      </c>
      <c r="F232" s="84" t="s">
        <v>22</v>
      </c>
      <c r="G232" s="84" t="s">
        <v>57</v>
      </c>
      <c r="H232" s="84" t="s">
        <v>562</v>
      </c>
      <c r="I232" s="14"/>
      <c r="J232" s="15" t="str">
        <f>IF(E232="Invalid_Segment","Invalid",IFERROR(INDEX(Severity_Matrix!$C$3:$M$10,MATCH('Error Log'!$F232,Severity_Matrix!$B$3:$B$10,0),MATCH('Error Log'!$G232,Severity_Matrix!$C$2:$M$2,0)),"No errors"))</f>
        <v>Major</v>
      </c>
    </row>
    <row r="233" spans="1:10">
      <c r="A233" s="78" t="s">
        <v>559</v>
      </c>
      <c r="B233" s="18">
        <v>2</v>
      </c>
      <c r="C233" s="78" t="s">
        <v>563</v>
      </c>
      <c r="D233" s="78" t="s">
        <v>561</v>
      </c>
      <c r="E233" s="84" t="s">
        <v>21</v>
      </c>
      <c r="F233" s="84" t="s">
        <v>22</v>
      </c>
      <c r="G233" s="84" t="s">
        <v>57</v>
      </c>
      <c r="H233" s="87" t="s">
        <v>564</v>
      </c>
      <c r="I233" s="14"/>
      <c r="J233" s="15" t="str">
        <f>IF(E233="Invalid_Segment","Invalid",IFERROR(INDEX(Severity_Matrix!$C$3:$M$10,MATCH('Error Log'!$F233,Severity_Matrix!$B$3:$B$10,0),MATCH('Error Log'!$G233,Severity_Matrix!$C$2:$M$2,0)),"No errors"))</f>
        <v>Major</v>
      </c>
    </row>
    <row r="234" spans="1:10">
      <c r="A234" s="78" t="s">
        <v>565</v>
      </c>
      <c r="B234" s="18">
        <v>3</v>
      </c>
      <c r="C234" s="78" t="s">
        <v>566</v>
      </c>
      <c r="D234" s="78" t="s">
        <v>561</v>
      </c>
      <c r="E234" s="84" t="s">
        <v>21</v>
      </c>
      <c r="F234" s="84" t="s">
        <v>22</v>
      </c>
      <c r="G234" s="84" t="s">
        <v>57</v>
      </c>
      <c r="H234" s="87" t="s">
        <v>567</v>
      </c>
      <c r="I234" s="14"/>
      <c r="J234" s="15" t="str">
        <f>IF(E234="Invalid_Segment","Invalid",IFERROR(INDEX(Severity_Matrix!$C$3:$M$10,MATCH('Error Log'!$F234,Severity_Matrix!$B$3:$B$10,0),MATCH('Error Log'!$G234,Severity_Matrix!$C$2:$M$2,0)),"No errors"))</f>
        <v>Major</v>
      </c>
    </row>
    <row r="235" spans="1:10">
      <c r="A235" s="78" t="s">
        <v>565</v>
      </c>
      <c r="B235" s="18">
        <v>4</v>
      </c>
      <c r="C235" s="78" t="s">
        <v>568</v>
      </c>
      <c r="D235" s="78" t="s">
        <v>561</v>
      </c>
      <c r="E235" s="84" t="s">
        <v>21</v>
      </c>
      <c r="F235" s="84" t="s">
        <v>7</v>
      </c>
      <c r="G235" s="84" t="s">
        <v>57</v>
      </c>
      <c r="H235" s="87" t="s">
        <v>569</v>
      </c>
      <c r="I235" s="14"/>
      <c r="J235" s="15" t="str">
        <f>IF(E235="Invalid_Segment","Invalid",IFERROR(INDEX(Severity_Matrix!$C$3:$M$10,MATCH('Error Log'!$F235,Severity_Matrix!$B$3:$B$10,0),MATCH('Error Log'!$G235,Severity_Matrix!$C$2:$M$2,0)),"No errors"))</f>
        <v>Critical</v>
      </c>
    </row>
    <row r="236" spans="1:10">
      <c r="A236" s="78" t="s">
        <v>565</v>
      </c>
      <c r="B236" s="18">
        <v>5</v>
      </c>
      <c r="C236" s="78" t="s">
        <v>570</v>
      </c>
      <c r="D236" s="78" t="s">
        <v>561</v>
      </c>
      <c r="E236" s="84" t="s">
        <v>21</v>
      </c>
      <c r="F236" s="84" t="s">
        <v>7</v>
      </c>
      <c r="G236" s="84" t="s">
        <v>57</v>
      </c>
      <c r="H236" s="84" t="s">
        <v>571</v>
      </c>
      <c r="I236" s="14"/>
      <c r="J236" s="15" t="str">
        <f>IF(E236="Invalid_Segment","Invalid",IFERROR(INDEX(Severity_Matrix!$C$3:$M$10,MATCH('Error Log'!$F236,Severity_Matrix!$B$3:$B$10,0),MATCH('Error Log'!$G236,Severity_Matrix!$C$2:$M$2,0)),"No errors"))</f>
        <v>Critical</v>
      </c>
    </row>
    <row r="237" spans="1:10">
      <c r="A237" s="78" t="s">
        <v>572</v>
      </c>
      <c r="B237" s="18">
        <v>1</v>
      </c>
      <c r="C237" s="78" t="s">
        <v>573</v>
      </c>
      <c r="D237" s="78" t="s">
        <v>574</v>
      </c>
      <c r="E237" s="84" t="s">
        <v>21</v>
      </c>
      <c r="F237" s="84" t="s">
        <v>22</v>
      </c>
      <c r="G237" s="84" t="s">
        <v>28</v>
      </c>
      <c r="H237" s="84" t="s">
        <v>575</v>
      </c>
      <c r="I237" s="14"/>
      <c r="J237" s="15" t="str">
        <f>IF(E237="Invalid_Segment","Invalid",IFERROR(INDEX(Severity_Matrix!$C$3:$M$10,MATCH('Error Log'!$F237,Severity_Matrix!$B$3:$B$10,0),MATCH('Error Log'!$G237,Severity_Matrix!$C$2:$M$2,0)),"No errors"))</f>
        <v>Major</v>
      </c>
    </row>
    <row r="238" spans="1:10">
      <c r="A238" s="78" t="s">
        <v>572</v>
      </c>
      <c r="B238" s="18">
        <v>2</v>
      </c>
      <c r="C238" s="78" t="s">
        <v>576</v>
      </c>
      <c r="D238" s="78" t="s">
        <v>574</v>
      </c>
      <c r="E238" s="84" t="s">
        <v>21</v>
      </c>
      <c r="F238" s="84" t="s">
        <v>22</v>
      </c>
      <c r="G238" s="84" t="s">
        <v>28</v>
      </c>
      <c r="H238" s="84" t="s">
        <v>577</v>
      </c>
      <c r="I238" s="14"/>
      <c r="J238" s="15" t="str">
        <f>IF(E238="Invalid_Segment","Invalid",IFERROR(INDEX(Severity_Matrix!$C$3:$M$10,MATCH('Error Log'!$F238,Severity_Matrix!$B$3:$B$10,0),MATCH('Error Log'!$G238,Severity_Matrix!$C$2:$M$2,0)),"No errors"))</f>
        <v>Major</v>
      </c>
    </row>
    <row r="239" spans="1:10">
      <c r="A239" s="78" t="s">
        <v>578</v>
      </c>
      <c r="B239" s="18">
        <v>3</v>
      </c>
      <c r="C239" s="78" t="s">
        <v>579</v>
      </c>
      <c r="D239" s="78" t="s">
        <v>574</v>
      </c>
      <c r="E239" s="84" t="s">
        <v>21</v>
      </c>
      <c r="F239" s="84" t="s">
        <v>22</v>
      </c>
      <c r="G239" s="84" t="s">
        <v>57</v>
      </c>
      <c r="H239" s="84" t="s">
        <v>580</v>
      </c>
      <c r="I239" s="14"/>
      <c r="J239" s="15" t="str">
        <f>IF(E239="Invalid_Segment","Invalid",IFERROR(INDEX(Severity_Matrix!$C$3:$M$10,MATCH('Error Log'!$F239,Severity_Matrix!$B$3:$B$10,0),MATCH('Error Log'!$G239,Severity_Matrix!$C$2:$M$2,0)),"No errors"))</f>
        <v>Major</v>
      </c>
    </row>
    <row r="240" spans="1:10">
      <c r="A240" s="78" t="s">
        <v>578</v>
      </c>
      <c r="B240" s="18">
        <v>4</v>
      </c>
      <c r="C240" s="78" t="s">
        <v>581</v>
      </c>
      <c r="D240" s="78" t="s">
        <v>574</v>
      </c>
      <c r="E240" s="84" t="s">
        <v>21</v>
      </c>
      <c r="F240" s="84" t="s">
        <v>22</v>
      </c>
      <c r="G240" s="84" t="s">
        <v>57</v>
      </c>
      <c r="H240" s="84" t="s">
        <v>582</v>
      </c>
      <c r="I240" s="14"/>
      <c r="J240" s="15" t="str">
        <f>IF(E240="Invalid_Segment","Invalid",IFERROR(INDEX(Severity_Matrix!$C$3:$M$10,MATCH('Error Log'!$F240,Severity_Matrix!$B$3:$B$10,0),MATCH('Error Log'!$G240,Severity_Matrix!$C$2:$M$2,0)),"No errors"))</f>
        <v>Major</v>
      </c>
    </row>
    <row r="241" spans="1:10">
      <c r="A241" s="78" t="s">
        <v>578</v>
      </c>
      <c r="B241" s="18">
        <v>5</v>
      </c>
      <c r="C241" s="78" t="s">
        <v>583</v>
      </c>
      <c r="D241" s="78" t="s">
        <v>574</v>
      </c>
      <c r="E241" s="84" t="s">
        <v>21</v>
      </c>
      <c r="F241" s="84" t="s">
        <v>7</v>
      </c>
      <c r="G241" s="84" t="s">
        <v>57</v>
      </c>
      <c r="H241" s="84" t="s">
        <v>584</v>
      </c>
      <c r="I241" s="14"/>
      <c r="J241" s="15" t="str">
        <f>IF(E241="Invalid_Segment","Invalid",IFERROR(INDEX(Severity_Matrix!$C$3:$M$10,MATCH('Error Log'!$F241,Severity_Matrix!$B$3:$B$10,0),MATCH('Error Log'!$G241,Severity_Matrix!$C$2:$M$2,0)),"No errors"))</f>
        <v>Critical</v>
      </c>
    </row>
    <row r="242" spans="1:10">
      <c r="A242" s="78" t="s">
        <v>585</v>
      </c>
      <c r="B242" s="18">
        <v>1</v>
      </c>
      <c r="C242" s="78" t="s">
        <v>586</v>
      </c>
      <c r="D242" s="78" t="s">
        <v>587</v>
      </c>
      <c r="E242" s="84" t="s">
        <v>21</v>
      </c>
      <c r="F242" s="84" t="s">
        <v>22</v>
      </c>
      <c r="G242" s="84" t="s">
        <v>57</v>
      </c>
      <c r="H242" s="84" t="s">
        <v>588</v>
      </c>
      <c r="I242" s="14"/>
      <c r="J242" s="15" t="str">
        <f>IF(E242="Invalid_Segment","Invalid",IFERROR(INDEX(Severity_Matrix!$C$3:$M$10,MATCH('Error Log'!$F242,Severity_Matrix!$B$3:$B$10,0),MATCH('Error Log'!$G242,Severity_Matrix!$C$2:$M$2,0)),"No errors"))</f>
        <v>Major</v>
      </c>
    </row>
    <row r="243" spans="1:10">
      <c r="A243" s="78" t="s">
        <v>585</v>
      </c>
      <c r="B243" s="18">
        <v>2</v>
      </c>
      <c r="C243" s="78" t="s">
        <v>589</v>
      </c>
      <c r="D243" s="78" t="s">
        <v>587</v>
      </c>
      <c r="E243" s="84" t="s">
        <v>21</v>
      </c>
      <c r="F243" s="84" t="s">
        <v>7</v>
      </c>
      <c r="G243" s="84" t="s">
        <v>57</v>
      </c>
      <c r="H243" s="84" t="s">
        <v>590</v>
      </c>
      <c r="I243" s="14"/>
      <c r="J243" s="15" t="str">
        <f>IF(E243="Invalid_Segment","Invalid",IFERROR(INDEX(Severity_Matrix!$C$3:$M$10,MATCH('Error Log'!$F243,Severity_Matrix!$B$3:$B$10,0),MATCH('Error Log'!$G243,Severity_Matrix!$C$2:$M$2,0)),"No errors"))</f>
        <v>Critical</v>
      </c>
    </row>
    <row r="244" spans="1:10">
      <c r="A244" s="78" t="s">
        <v>591</v>
      </c>
      <c r="B244" s="18">
        <v>3</v>
      </c>
      <c r="C244" s="78" t="s">
        <v>592</v>
      </c>
      <c r="D244" s="78" t="s">
        <v>587</v>
      </c>
      <c r="E244" s="84" t="s">
        <v>21</v>
      </c>
      <c r="F244" s="84" t="s">
        <v>7</v>
      </c>
      <c r="G244" s="84" t="s">
        <v>57</v>
      </c>
      <c r="H244" s="84" t="s">
        <v>593</v>
      </c>
      <c r="I244" s="14"/>
      <c r="J244" s="15" t="str">
        <f>IF(E244="Invalid_Segment","Invalid",IFERROR(INDEX(Severity_Matrix!$C$3:$M$10,MATCH('Error Log'!$F244,Severity_Matrix!$B$3:$B$10,0),MATCH('Error Log'!$G244,Severity_Matrix!$C$2:$M$2,0)),"No errors"))</f>
        <v>Critical</v>
      </c>
    </row>
    <row r="245" spans="1:10">
      <c r="A245" s="79" t="s">
        <v>594</v>
      </c>
      <c r="B245" s="18">
        <v>1</v>
      </c>
      <c r="C245" s="78" t="s">
        <v>595</v>
      </c>
      <c r="D245" s="85" t="s">
        <v>596</v>
      </c>
      <c r="E245" s="84" t="s">
        <v>21</v>
      </c>
      <c r="F245" s="84" t="s">
        <v>22</v>
      </c>
      <c r="G245" s="84" t="s">
        <v>57</v>
      </c>
      <c r="H245" s="84" t="s">
        <v>597</v>
      </c>
      <c r="I245" s="14"/>
      <c r="J245" s="15" t="str">
        <f>IF(E245="Invalid_Segment","Invalid",IFERROR(INDEX(Severity_Matrix!$C$3:$M$10,MATCH('Error Log'!$F245,Severity_Matrix!$B$3:$B$10,0),MATCH('Error Log'!$G245,Severity_Matrix!$C$2:$M$2,0)),"No errors"))</f>
        <v>Major</v>
      </c>
    </row>
    <row r="246" spans="1:10">
      <c r="A246" s="79" t="s">
        <v>594</v>
      </c>
      <c r="B246" s="18">
        <v>2</v>
      </c>
      <c r="C246" s="78" t="s">
        <v>595</v>
      </c>
      <c r="D246" s="85" t="s">
        <v>596</v>
      </c>
      <c r="E246" s="88" t="s">
        <v>21</v>
      </c>
      <c r="F246" s="88" t="s">
        <v>7</v>
      </c>
      <c r="G246" s="88" t="s">
        <v>57</v>
      </c>
      <c r="H246" s="88" t="s">
        <v>598</v>
      </c>
      <c r="I246" s="14"/>
      <c r="J246" s="15" t="str">
        <f>IF(E246="Invalid_Segment","Invalid",IFERROR(INDEX(Severity_Matrix!$C$3:$M$10,MATCH('Error Log'!$F246,Severity_Matrix!$B$3:$B$10,0),MATCH('Error Log'!$G246,Severity_Matrix!$C$2:$M$2,0)),"No errors"))</f>
        <v>Critical</v>
      </c>
    </row>
    <row r="247" spans="1:10">
      <c r="A247" s="79" t="s">
        <v>599</v>
      </c>
      <c r="B247" s="18">
        <v>1</v>
      </c>
      <c r="C247" s="85" t="s">
        <v>600</v>
      </c>
      <c r="D247" s="85" t="s">
        <v>601</v>
      </c>
      <c r="E247" s="84" t="s">
        <v>21</v>
      </c>
      <c r="F247" s="84" t="s">
        <v>22</v>
      </c>
      <c r="G247" s="84" t="s">
        <v>57</v>
      </c>
      <c r="H247" s="84" t="s">
        <v>602</v>
      </c>
      <c r="I247" s="14"/>
      <c r="J247" s="15" t="str">
        <f>IF(E247="Invalid_Segment","Invalid",IFERROR(INDEX(Severity_Matrix!$C$3:$M$10,MATCH('Error Log'!$F247,Severity_Matrix!$B$3:$B$10,0),MATCH('Error Log'!$G247,Severity_Matrix!$C$2:$M$2,0)),"No errors"))</f>
        <v>Major</v>
      </c>
    </row>
    <row r="248" spans="1:10">
      <c r="A248" s="79" t="s">
        <v>603</v>
      </c>
      <c r="B248" s="18">
        <v>1</v>
      </c>
      <c r="C248" s="85" t="s">
        <v>604</v>
      </c>
      <c r="D248" s="85" t="s">
        <v>605</v>
      </c>
      <c r="E248" s="84" t="s">
        <v>21</v>
      </c>
      <c r="F248" s="84" t="s">
        <v>22</v>
      </c>
      <c r="G248" s="84" t="s">
        <v>57</v>
      </c>
      <c r="H248" s="84" t="s">
        <v>606</v>
      </c>
      <c r="I248" s="14"/>
      <c r="J248" s="15" t="str">
        <f>IF(E248="Invalid_Segment","Invalid",IFERROR(INDEX(Severity_Matrix!$C$3:$M$10,MATCH('Error Log'!$F248,Severity_Matrix!$B$3:$B$10,0),MATCH('Error Log'!$G248,Severity_Matrix!$C$2:$M$2,0)),"No errors"))</f>
        <v>Major</v>
      </c>
    </row>
    <row r="249" spans="1:10">
      <c r="A249" s="79" t="s">
        <v>607</v>
      </c>
      <c r="B249" s="18">
        <v>1</v>
      </c>
      <c r="C249" s="85" t="s">
        <v>608</v>
      </c>
      <c r="D249" s="85" t="s">
        <v>609</v>
      </c>
      <c r="E249" s="84"/>
      <c r="F249" s="84"/>
      <c r="G249" s="84"/>
      <c r="H249" s="84"/>
      <c r="I249" s="14"/>
      <c r="J249" s="15" t="str">
        <f>IF(E249="Invalid_Segment","Invalid",IFERROR(INDEX(Severity_Matrix!$C$3:$M$10,MATCH('Error Log'!$F249,Severity_Matrix!$B$3:$B$10,0),MATCH('Error Log'!$G249,Severity_Matrix!$C$2:$M$2,0)),"No errors"))</f>
        <v>No errors</v>
      </c>
    </row>
    <row r="250" spans="1:10">
      <c r="A250" s="79" t="s">
        <v>610</v>
      </c>
      <c r="B250" s="18">
        <v>1</v>
      </c>
      <c r="C250" s="85" t="s">
        <v>611</v>
      </c>
      <c r="D250" s="85" t="s">
        <v>612</v>
      </c>
      <c r="E250" s="84" t="s">
        <v>21</v>
      </c>
      <c r="F250" s="84" t="s">
        <v>22</v>
      </c>
      <c r="G250" s="84" t="s">
        <v>57</v>
      </c>
      <c r="H250" s="84" t="s">
        <v>613</v>
      </c>
      <c r="I250" s="14"/>
      <c r="J250" s="15" t="str">
        <f>IF(E250="Invalid_Segment","Invalid",IFERROR(INDEX(Severity_Matrix!$C$3:$M$10,MATCH('Error Log'!$F250,Severity_Matrix!$B$3:$B$10,0),MATCH('Error Log'!$G250,Severity_Matrix!$C$2:$M$2,0)),"No errors"))</f>
        <v>Major</v>
      </c>
    </row>
    <row r="251" spans="1:10">
      <c r="A251" s="79" t="s">
        <v>610</v>
      </c>
      <c r="B251" s="18">
        <v>2</v>
      </c>
      <c r="C251" s="85" t="s">
        <v>611</v>
      </c>
      <c r="D251" s="85" t="s">
        <v>612</v>
      </c>
      <c r="E251" s="84" t="s">
        <v>21</v>
      </c>
      <c r="F251" s="84" t="s">
        <v>7</v>
      </c>
      <c r="G251" s="84" t="s">
        <v>57</v>
      </c>
      <c r="H251" s="84" t="s">
        <v>614</v>
      </c>
      <c r="I251" s="14"/>
      <c r="J251" s="15" t="str">
        <f>IF(E251="Invalid_Segment","Invalid",IFERROR(INDEX(Severity_Matrix!$C$3:$M$10,MATCH('Error Log'!$F251,Severity_Matrix!$B$3:$B$10,0),MATCH('Error Log'!$G251,Severity_Matrix!$C$2:$M$2,0)),"No errors"))</f>
        <v>Critical</v>
      </c>
    </row>
    <row r="252" spans="1:10">
      <c r="A252" s="79" t="s">
        <v>615</v>
      </c>
      <c r="B252" s="18">
        <v>1</v>
      </c>
      <c r="C252" s="85" t="s">
        <v>616</v>
      </c>
      <c r="D252" s="85" t="s">
        <v>617</v>
      </c>
      <c r="E252" s="84" t="s">
        <v>21</v>
      </c>
      <c r="F252" s="84" t="s">
        <v>22</v>
      </c>
      <c r="G252" s="84" t="s">
        <v>57</v>
      </c>
      <c r="H252" s="84" t="s">
        <v>618</v>
      </c>
      <c r="I252" s="14"/>
      <c r="J252" s="15" t="str">
        <f>IF(E252="Invalid_Segment","Invalid",IFERROR(INDEX(Severity_Matrix!$C$3:$M$10,MATCH('Error Log'!$F252,Severity_Matrix!$B$3:$B$10,0),MATCH('Error Log'!$G252,Severity_Matrix!$C$2:$M$2,0)),"No errors"))</f>
        <v>Major</v>
      </c>
    </row>
    <row r="253" spans="1:10">
      <c r="A253" s="79" t="s">
        <v>615</v>
      </c>
      <c r="B253" s="18">
        <v>2</v>
      </c>
      <c r="C253" s="85" t="s">
        <v>619</v>
      </c>
      <c r="D253" s="85" t="s">
        <v>617</v>
      </c>
      <c r="E253" s="84" t="s">
        <v>21</v>
      </c>
      <c r="F253" s="84" t="s">
        <v>22</v>
      </c>
      <c r="G253" s="84" t="s">
        <v>57</v>
      </c>
      <c r="H253" s="84" t="s">
        <v>620</v>
      </c>
      <c r="I253" s="14"/>
      <c r="J253" s="15" t="str">
        <f>IF(E253="Invalid_Segment","Invalid",IFERROR(INDEX(Severity_Matrix!$C$3:$M$10,MATCH('Error Log'!$F253,Severity_Matrix!$B$3:$B$10,0),MATCH('Error Log'!$G253,Severity_Matrix!$C$2:$M$2,0)),"No errors"))</f>
        <v>Major</v>
      </c>
    </row>
    <row r="254" spans="1:10">
      <c r="A254" s="79" t="s">
        <v>621</v>
      </c>
      <c r="B254" s="18">
        <v>3</v>
      </c>
      <c r="C254" s="85" t="s">
        <v>622</v>
      </c>
      <c r="D254" s="85" t="s">
        <v>617</v>
      </c>
      <c r="E254" s="84" t="s">
        <v>21</v>
      </c>
      <c r="F254" s="84" t="s">
        <v>7</v>
      </c>
      <c r="G254" s="84" t="s">
        <v>57</v>
      </c>
      <c r="H254" s="84" t="s">
        <v>623</v>
      </c>
      <c r="I254" s="14"/>
      <c r="J254" s="15" t="str">
        <f>IF(E254="Invalid_Segment","Invalid",IFERROR(INDEX(Severity_Matrix!$C$3:$M$10,MATCH('Error Log'!$F254,Severity_Matrix!$B$3:$B$10,0),MATCH('Error Log'!$G254,Severity_Matrix!$C$2:$M$2,0)),"No errors"))</f>
        <v>Critical</v>
      </c>
    </row>
    <row r="255" spans="1:10">
      <c r="A255" s="79" t="s">
        <v>621</v>
      </c>
      <c r="B255" s="18">
        <v>4</v>
      </c>
      <c r="C255" s="85" t="s">
        <v>624</v>
      </c>
      <c r="D255" s="85" t="s">
        <v>617</v>
      </c>
      <c r="E255" s="84" t="s">
        <v>21</v>
      </c>
      <c r="F255" s="84" t="s">
        <v>7</v>
      </c>
      <c r="G255" s="84" t="s">
        <v>57</v>
      </c>
      <c r="H255" s="84" t="s">
        <v>625</v>
      </c>
      <c r="I255" s="14"/>
      <c r="J255" s="15" t="str">
        <f>IF(E255="Invalid_Segment","Invalid",IFERROR(INDEX(Severity_Matrix!$C$3:$M$10,MATCH('Error Log'!$F255,Severity_Matrix!$B$3:$B$10,0),MATCH('Error Log'!$G255,Severity_Matrix!$C$2:$M$2,0)),"No errors"))</f>
        <v>Critical</v>
      </c>
    </row>
    <row r="256" spans="1:10">
      <c r="A256" s="79" t="s">
        <v>626</v>
      </c>
      <c r="B256" s="18">
        <v>1</v>
      </c>
      <c r="C256" s="85" t="s">
        <v>627</v>
      </c>
      <c r="D256" s="85" t="s">
        <v>628</v>
      </c>
      <c r="E256" s="84" t="s">
        <v>21</v>
      </c>
      <c r="F256" s="84" t="s">
        <v>22</v>
      </c>
      <c r="G256" s="84" t="s">
        <v>57</v>
      </c>
      <c r="H256" s="84" t="s">
        <v>629</v>
      </c>
      <c r="I256" s="14"/>
      <c r="J256" s="15" t="str">
        <f>IF(E256="Invalid_Segment","Invalid",IFERROR(INDEX(Severity_Matrix!$C$3:$M$10,MATCH('Error Log'!$F256,Severity_Matrix!$B$3:$B$10,0),MATCH('Error Log'!$G256,Severity_Matrix!$C$2:$M$2,0)),"No errors"))</f>
        <v>Major</v>
      </c>
    </row>
    <row r="257" spans="1:10">
      <c r="A257" s="79" t="s">
        <v>626</v>
      </c>
      <c r="B257" s="18">
        <v>2</v>
      </c>
      <c r="C257" s="85" t="s">
        <v>630</v>
      </c>
      <c r="D257" s="85" t="s">
        <v>631</v>
      </c>
      <c r="E257" s="84" t="s">
        <v>21</v>
      </c>
      <c r="F257" s="84" t="s">
        <v>22</v>
      </c>
      <c r="G257" s="84" t="s">
        <v>57</v>
      </c>
      <c r="H257" s="84" t="s">
        <v>632</v>
      </c>
      <c r="I257" s="14"/>
      <c r="J257" s="15" t="str">
        <f>IF(E257="Invalid_Segment","Invalid",IFERROR(INDEX(Severity_Matrix!$C$3:$M$10,MATCH('Error Log'!$F257,Severity_Matrix!$B$3:$B$10,0),MATCH('Error Log'!$G257,Severity_Matrix!$C$2:$M$2,0)),"No errors"))</f>
        <v>Major</v>
      </c>
    </row>
    <row r="258" spans="1:10">
      <c r="A258" s="79" t="s">
        <v>633</v>
      </c>
      <c r="B258" s="18">
        <v>3</v>
      </c>
      <c r="C258" s="85" t="s">
        <v>634</v>
      </c>
      <c r="D258" s="85" t="s">
        <v>635</v>
      </c>
      <c r="E258" s="84" t="s">
        <v>21</v>
      </c>
      <c r="F258" s="84" t="s">
        <v>22</v>
      </c>
      <c r="G258" s="84" t="s">
        <v>57</v>
      </c>
      <c r="H258" s="84" t="s">
        <v>636</v>
      </c>
      <c r="I258" s="14"/>
      <c r="J258" s="15" t="str">
        <f>IF(E258="Invalid_Segment","Invalid",IFERROR(INDEX(Severity_Matrix!$C$3:$M$10,MATCH('Error Log'!$F258,Severity_Matrix!$B$3:$B$10,0),MATCH('Error Log'!$G258,Severity_Matrix!$C$2:$M$2,0)),"No errors"))</f>
        <v>Major</v>
      </c>
    </row>
    <row r="259" spans="1:10">
      <c r="A259" s="79" t="s">
        <v>633</v>
      </c>
      <c r="B259" s="18">
        <v>4</v>
      </c>
      <c r="C259" s="85" t="s">
        <v>637</v>
      </c>
      <c r="D259" s="85" t="s">
        <v>638</v>
      </c>
      <c r="E259" s="84" t="s">
        <v>21</v>
      </c>
      <c r="F259" s="84" t="s">
        <v>7</v>
      </c>
      <c r="G259" s="84" t="s">
        <v>57</v>
      </c>
      <c r="H259" s="84" t="s">
        <v>639</v>
      </c>
      <c r="I259" s="14"/>
      <c r="J259" s="15" t="str">
        <f>IF(E259="Invalid_Segment","Invalid",IFERROR(INDEX(Severity_Matrix!$C$3:$M$10,MATCH('Error Log'!$F259,Severity_Matrix!$B$3:$B$10,0),MATCH('Error Log'!$G259,Severity_Matrix!$C$2:$M$2,0)),"No errors"))</f>
        <v>Critical</v>
      </c>
    </row>
    <row r="260" spans="1:10" ht="14.4">
      <c r="A260" s="79" t="s">
        <v>633</v>
      </c>
      <c r="B260" s="18">
        <v>5</v>
      </c>
      <c r="C260" s="85" t="s">
        <v>640</v>
      </c>
      <c r="D260" s="85" t="s">
        <v>641</v>
      </c>
      <c r="E260" s="84" t="s">
        <v>21</v>
      </c>
      <c r="F260" s="84" t="s">
        <v>7</v>
      </c>
      <c r="G260" s="84" t="s">
        <v>57</v>
      </c>
      <c r="H260" s="84" t="s">
        <v>642</v>
      </c>
      <c r="I260" s="14"/>
      <c r="J260" s="15" t="str">
        <f>IF(E260="Invalid_Segment","Invalid",IFERROR(INDEX(Severity_Matrix!$C$3:$M$10,MATCH('Error Log'!$F260,Severity_Matrix!$B$3:$B$10,0),MATCH('Error Log'!$G260,Severity_Matrix!$C$2:$M$2,0)),"No errors"))</f>
        <v>Critical</v>
      </c>
    </row>
    <row r="261" spans="1:10">
      <c r="A261" s="79" t="s">
        <v>643</v>
      </c>
      <c r="B261" s="18">
        <v>1</v>
      </c>
      <c r="C261" s="85" t="s">
        <v>644</v>
      </c>
      <c r="D261" s="85" t="s">
        <v>645</v>
      </c>
      <c r="E261" s="84" t="s">
        <v>21</v>
      </c>
      <c r="F261" s="84" t="s">
        <v>7</v>
      </c>
      <c r="G261" s="84" t="s">
        <v>57</v>
      </c>
      <c r="H261" s="84" t="s">
        <v>646</v>
      </c>
      <c r="I261" s="14"/>
      <c r="J261" s="15" t="str">
        <f>IF(E261="Invalid_Segment","Invalid",IFERROR(INDEX(Severity_Matrix!$C$3:$M$10,MATCH('Error Log'!$F261,Severity_Matrix!$B$3:$B$10,0),MATCH('Error Log'!$G261,Severity_Matrix!$C$2:$M$2,0)),"No errors"))</f>
        <v>Critical</v>
      </c>
    </row>
    <row r="262" spans="1:10">
      <c r="A262" s="79" t="s">
        <v>647</v>
      </c>
      <c r="B262" s="18">
        <v>1</v>
      </c>
      <c r="C262" s="85" t="s">
        <v>648</v>
      </c>
      <c r="D262" s="85" t="s">
        <v>649</v>
      </c>
      <c r="E262" s="84" t="s">
        <v>21</v>
      </c>
      <c r="F262" s="84" t="s">
        <v>22</v>
      </c>
      <c r="G262" s="84" t="s">
        <v>57</v>
      </c>
      <c r="H262" s="86" t="s">
        <v>650</v>
      </c>
      <c r="I262" s="14"/>
      <c r="J262" s="15" t="str">
        <f>IF(E262="Invalid_Segment","Invalid",IFERROR(INDEX(Severity_Matrix!$C$3:$M$10,MATCH('Error Log'!$F262,Severity_Matrix!$B$3:$B$10,0),MATCH('Error Log'!$G262,Severity_Matrix!$C$2:$M$2,0)),"No errors"))</f>
        <v>Major</v>
      </c>
    </row>
    <row r="263" spans="1:10">
      <c r="A263" s="79" t="s">
        <v>647</v>
      </c>
      <c r="B263" s="18">
        <v>2</v>
      </c>
      <c r="C263" s="85" t="s">
        <v>648</v>
      </c>
      <c r="D263" s="85" t="s">
        <v>649</v>
      </c>
      <c r="E263" s="84" t="s">
        <v>21</v>
      </c>
      <c r="F263" s="84" t="s">
        <v>22</v>
      </c>
      <c r="G263" s="84" t="s">
        <v>57</v>
      </c>
      <c r="H263" s="84" t="s">
        <v>651</v>
      </c>
      <c r="I263" s="14"/>
      <c r="J263" s="15" t="str">
        <f>IF(E263="Invalid_Segment","Invalid",IFERROR(INDEX(Severity_Matrix!$C$3:$M$10,MATCH('Error Log'!$F263,Severity_Matrix!$B$3:$B$10,0),MATCH('Error Log'!$G263,Severity_Matrix!$C$2:$M$2,0)),"No errors"))</f>
        <v>Major</v>
      </c>
    </row>
    <row r="264" spans="1:10">
      <c r="A264" s="79" t="s">
        <v>652</v>
      </c>
      <c r="B264" s="18">
        <v>3</v>
      </c>
      <c r="C264" s="85" t="s">
        <v>648</v>
      </c>
      <c r="D264" s="85" t="s">
        <v>649</v>
      </c>
      <c r="E264" s="84" t="s">
        <v>21</v>
      </c>
      <c r="F264" s="84" t="s">
        <v>7</v>
      </c>
      <c r="G264" s="84" t="s">
        <v>57</v>
      </c>
      <c r="H264" s="84" t="s">
        <v>653</v>
      </c>
      <c r="I264" s="14"/>
      <c r="J264" s="15" t="str">
        <f>IF(E264="Invalid_Segment","Invalid",IFERROR(INDEX(Severity_Matrix!$C$3:$M$10,MATCH('Error Log'!$F264,Severity_Matrix!$B$3:$B$10,0),MATCH('Error Log'!$G264,Severity_Matrix!$C$2:$M$2,0)),"No errors"))</f>
        <v>Critical</v>
      </c>
    </row>
    <row r="265" spans="1:10">
      <c r="A265" s="79" t="s">
        <v>652</v>
      </c>
      <c r="B265" s="18">
        <v>4</v>
      </c>
      <c r="C265" s="85" t="s">
        <v>648</v>
      </c>
      <c r="D265" s="85" t="s">
        <v>649</v>
      </c>
      <c r="E265" s="84" t="s">
        <v>21</v>
      </c>
      <c r="F265" s="84" t="s">
        <v>7</v>
      </c>
      <c r="G265" s="84" t="s">
        <v>57</v>
      </c>
      <c r="H265" s="84" t="s">
        <v>654</v>
      </c>
      <c r="I265" s="14"/>
      <c r="J265" s="15" t="str">
        <f>IF(E265="Invalid_Segment","Invalid",IFERROR(INDEX(Severity_Matrix!$C$3:$M$10,MATCH('Error Log'!$F265,Severity_Matrix!$B$3:$B$10,0),MATCH('Error Log'!$G265,Severity_Matrix!$C$2:$M$2,0)),"No errors"))</f>
        <v>Critical</v>
      </c>
    </row>
    <row r="266" spans="1:10">
      <c r="A266" s="79" t="s">
        <v>655</v>
      </c>
      <c r="B266" s="18">
        <v>1</v>
      </c>
      <c r="C266" s="85" t="s">
        <v>656</v>
      </c>
      <c r="D266" s="85" t="s">
        <v>657</v>
      </c>
      <c r="E266" s="84" t="s">
        <v>21</v>
      </c>
      <c r="F266" s="84" t="s">
        <v>7</v>
      </c>
      <c r="G266" s="84" t="s">
        <v>57</v>
      </c>
      <c r="H266" s="84" t="s">
        <v>658</v>
      </c>
      <c r="I266" s="14"/>
      <c r="J266" s="15" t="str">
        <f>IF(E266="Invalid_Segment","Invalid",IFERROR(INDEX(Severity_Matrix!$C$3:$M$10,MATCH('Error Log'!$F266,Severity_Matrix!$B$3:$B$10,0),MATCH('Error Log'!$G266,Severity_Matrix!$C$2:$M$2,0)),"No errors"))</f>
        <v>Critical</v>
      </c>
    </row>
    <row r="267" spans="1:10">
      <c r="A267" s="79" t="s">
        <v>659</v>
      </c>
      <c r="B267" s="18">
        <v>1</v>
      </c>
      <c r="C267" s="85" t="s">
        <v>660</v>
      </c>
      <c r="D267" s="85" t="s">
        <v>661</v>
      </c>
      <c r="E267" s="84" t="s">
        <v>21</v>
      </c>
      <c r="F267" s="84" t="s">
        <v>22</v>
      </c>
      <c r="G267" s="84" t="s">
        <v>57</v>
      </c>
      <c r="H267" s="84" t="s">
        <v>662</v>
      </c>
      <c r="I267" s="14"/>
      <c r="J267" s="15" t="str">
        <f>IF(E267="Invalid_Segment","Invalid",IFERROR(INDEX(Severity_Matrix!$C$3:$M$10,MATCH('Error Log'!$F267,Severity_Matrix!$B$3:$B$10,0),MATCH('Error Log'!$G267,Severity_Matrix!$C$2:$M$2,0)),"No errors"))</f>
        <v>Major</v>
      </c>
    </row>
    <row r="268" spans="1:10">
      <c r="A268" s="79" t="s">
        <v>659</v>
      </c>
      <c r="B268" s="18">
        <v>2</v>
      </c>
      <c r="C268" s="85" t="s">
        <v>660</v>
      </c>
      <c r="D268" s="85" t="s">
        <v>661</v>
      </c>
      <c r="E268" s="84" t="s">
        <v>21</v>
      </c>
      <c r="F268" s="84" t="s">
        <v>7</v>
      </c>
      <c r="G268" s="84" t="s">
        <v>57</v>
      </c>
      <c r="H268" s="84" t="s">
        <v>663</v>
      </c>
      <c r="I268" s="14"/>
      <c r="J268" s="15" t="str">
        <f>IF(E268="Invalid_Segment","Invalid",IFERROR(INDEX(Severity_Matrix!$C$3:$M$10,MATCH('Error Log'!$F268,Severity_Matrix!$B$3:$B$10,0),MATCH('Error Log'!$G268,Severity_Matrix!$C$2:$M$2,0)),"No errors"))</f>
        <v>Critical</v>
      </c>
    </row>
    <row r="269" spans="1:10">
      <c r="A269" s="79" t="s">
        <v>664</v>
      </c>
      <c r="B269" s="18">
        <v>1</v>
      </c>
      <c r="C269" s="85" t="s">
        <v>665</v>
      </c>
      <c r="D269" s="85" t="s">
        <v>666</v>
      </c>
      <c r="E269" s="84" t="s">
        <v>21</v>
      </c>
      <c r="F269" s="84" t="s">
        <v>7</v>
      </c>
      <c r="G269" s="84" t="s">
        <v>28</v>
      </c>
      <c r="H269" s="84" t="s">
        <v>667</v>
      </c>
      <c r="I269" s="14"/>
      <c r="J269" s="15" t="str">
        <f>IF(E269="Invalid_Segment","Invalid",IFERROR(INDEX(Severity_Matrix!$C$3:$M$10,MATCH('Error Log'!$F269,Severity_Matrix!$B$3:$B$10,0),MATCH('Error Log'!$G269,Severity_Matrix!$C$2:$M$2,0)),"No errors"))</f>
        <v>Major</v>
      </c>
    </row>
    <row r="270" spans="1:10">
      <c r="A270" s="79" t="s">
        <v>664</v>
      </c>
      <c r="B270" s="18">
        <v>2</v>
      </c>
      <c r="C270" s="85" t="s">
        <v>668</v>
      </c>
      <c r="D270" s="85" t="s">
        <v>669</v>
      </c>
      <c r="E270" s="84" t="s">
        <v>21</v>
      </c>
      <c r="F270" s="84" t="s">
        <v>7</v>
      </c>
      <c r="G270" s="84" t="s">
        <v>29</v>
      </c>
      <c r="H270" s="86">
        <v>18</v>
      </c>
      <c r="I270" s="14"/>
      <c r="J270" s="15" t="str">
        <f>IF(E270="Invalid_Segment","Invalid",IFERROR(INDEX(Severity_Matrix!$C$3:$M$10,MATCH('Error Log'!$F270,Severity_Matrix!$B$3:$B$10,0),MATCH('Error Log'!$G270,Severity_Matrix!$C$2:$M$2,0)),"No errors"))</f>
        <v>Critical</v>
      </c>
    </row>
    <row r="271" spans="1:10">
      <c r="A271" s="79" t="s">
        <v>670</v>
      </c>
      <c r="B271" s="18">
        <v>3</v>
      </c>
      <c r="C271" s="85" t="s">
        <v>671</v>
      </c>
      <c r="D271" s="85" t="s">
        <v>672</v>
      </c>
      <c r="E271" s="84" t="s">
        <v>21</v>
      </c>
      <c r="F271" s="84" t="s">
        <v>22</v>
      </c>
      <c r="G271" s="84" t="s">
        <v>57</v>
      </c>
      <c r="H271" s="84" t="s">
        <v>673</v>
      </c>
      <c r="I271" s="14"/>
      <c r="J271" s="15" t="str">
        <f>IF(E271="Invalid_Segment","Invalid",IFERROR(INDEX(Severity_Matrix!$C$3:$M$10,MATCH('Error Log'!$F271,Severity_Matrix!$B$3:$B$10,0),MATCH('Error Log'!$G271,Severity_Matrix!$C$2:$M$2,0)),"No errors"))</f>
        <v>Major</v>
      </c>
    </row>
    <row r="272" spans="1:10">
      <c r="A272" s="79" t="s">
        <v>670</v>
      </c>
      <c r="B272" s="18">
        <v>4</v>
      </c>
      <c r="C272" s="85" t="s">
        <v>674</v>
      </c>
      <c r="D272" s="85" t="s">
        <v>675</v>
      </c>
      <c r="E272" s="84" t="s">
        <v>21</v>
      </c>
      <c r="F272" s="84" t="s">
        <v>22</v>
      </c>
      <c r="G272" s="84" t="s">
        <v>57</v>
      </c>
      <c r="H272" s="84" t="s">
        <v>676</v>
      </c>
      <c r="I272" s="14"/>
      <c r="J272" s="15" t="str">
        <f>IF(E272="Invalid_Segment","Invalid",IFERROR(INDEX(Severity_Matrix!$C$3:$M$10,MATCH('Error Log'!$F272,Severity_Matrix!$B$3:$B$10,0),MATCH('Error Log'!$G272,Severity_Matrix!$C$2:$M$2,0)),"No errors"))</f>
        <v>Major</v>
      </c>
    </row>
    <row r="273" spans="1:10">
      <c r="A273" s="79" t="s">
        <v>670</v>
      </c>
      <c r="B273" s="18">
        <v>5</v>
      </c>
      <c r="C273" s="85" t="s">
        <v>677</v>
      </c>
      <c r="D273" s="85" t="s">
        <v>678</v>
      </c>
      <c r="E273" s="84" t="s">
        <v>21</v>
      </c>
      <c r="F273" s="84" t="s">
        <v>7</v>
      </c>
      <c r="G273" s="84" t="s">
        <v>57</v>
      </c>
      <c r="H273" s="84" t="s">
        <v>679</v>
      </c>
      <c r="I273" s="14"/>
      <c r="J273" s="15" t="str">
        <f>IF(E273="Invalid_Segment","Invalid",IFERROR(INDEX(Severity_Matrix!$C$3:$M$10,MATCH('Error Log'!$F273,Severity_Matrix!$B$3:$B$10,0),MATCH('Error Log'!$G273,Severity_Matrix!$C$2:$M$2,0)),"No errors"))</f>
        <v>Critical</v>
      </c>
    </row>
    <row r="274" spans="1:10">
      <c r="A274" s="79" t="s">
        <v>670</v>
      </c>
      <c r="B274" s="18">
        <v>6</v>
      </c>
      <c r="C274" s="85" t="s">
        <v>680</v>
      </c>
      <c r="D274" s="85" t="s">
        <v>681</v>
      </c>
      <c r="E274" s="84" t="s">
        <v>21</v>
      </c>
      <c r="F274" s="84" t="s">
        <v>7</v>
      </c>
      <c r="G274" s="84" t="s">
        <v>57</v>
      </c>
      <c r="H274" s="84" t="s">
        <v>682</v>
      </c>
      <c r="I274" s="14"/>
      <c r="J274" s="15" t="str">
        <f>IF(E274="Invalid_Segment","Invalid",IFERROR(INDEX(Severity_Matrix!$C$3:$M$10,MATCH('Error Log'!$F274,Severity_Matrix!$B$3:$B$10,0),MATCH('Error Log'!$G274,Severity_Matrix!$C$2:$M$2,0)),"No errors"))</f>
        <v>Critical</v>
      </c>
    </row>
    <row r="275" spans="1:10">
      <c r="A275" s="79" t="s">
        <v>683</v>
      </c>
      <c r="B275" s="18">
        <v>1</v>
      </c>
      <c r="C275" s="85" t="s">
        <v>684</v>
      </c>
      <c r="D275" s="85" t="s">
        <v>685</v>
      </c>
      <c r="E275" s="84" t="s">
        <v>21</v>
      </c>
      <c r="F275" s="84" t="s">
        <v>22</v>
      </c>
      <c r="G275" s="84" t="s">
        <v>57</v>
      </c>
      <c r="H275" s="84" t="s">
        <v>686</v>
      </c>
      <c r="I275" s="14"/>
      <c r="J275" s="15" t="str">
        <f>IF(E275="Invalid_Segment","Invalid",IFERROR(INDEX(Severity_Matrix!$C$3:$M$10,MATCH('Error Log'!$F275,Severity_Matrix!$B$3:$B$10,0),MATCH('Error Log'!$G275,Severity_Matrix!$C$2:$M$2,0)),"No errors"))</f>
        <v>Major</v>
      </c>
    </row>
    <row r="276" spans="1:10">
      <c r="A276" s="79" t="s">
        <v>683</v>
      </c>
      <c r="B276" s="18">
        <v>2</v>
      </c>
      <c r="C276" s="85" t="s">
        <v>684</v>
      </c>
      <c r="D276" s="85" t="s">
        <v>685</v>
      </c>
      <c r="E276" s="84" t="s">
        <v>21</v>
      </c>
      <c r="F276" s="84" t="s">
        <v>22</v>
      </c>
      <c r="G276" s="84" t="s">
        <v>57</v>
      </c>
      <c r="H276" s="84" t="s">
        <v>687</v>
      </c>
      <c r="I276" s="14"/>
      <c r="J276" s="15" t="str">
        <f>IF(E276="Invalid_Segment","Invalid",IFERROR(INDEX(Severity_Matrix!$C$3:$M$10,MATCH('Error Log'!$F276,Severity_Matrix!$B$3:$B$10,0),MATCH('Error Log'!$G276,Severity_Matrix!$C$2:$M$2,0)),"No errors"))</f>
        <v>Major</v>
      </c>
    </row>
    <row r="277" spans="1:10">
      <c r="A277" s="79" t="s">
        <v>688</v>
      </c>
      <c r="B277" s="18">
        <v>3</v>
      </c>
      <c r="C277" s="85" t="s">
        <v>684</v>
      </c>
      <c r="D277" s="85" t="s">
        <v>685</v>
      </c>
      <c r="E277" s="84" t="s">
        <v>21</v>
      </c>
      <c r="F277" s="84" t="s">
        <v>22</v>
      </c>
      <c r="G277" s="84" t="s">
        <v>57</v>
      </c>
      <c r="H277" s="84" t="s">
        <v>689</v>
      </c>
      <c r="I277" s="14"/>
      <c r="J277" s="15" t="str">
        <f>IF(E277="Invalid_Segment","Invalid",IFERROR(INDEX(Severity_Matrix!$C$3:$M$10,MATCH('Error Log'!$F277,Severity_Matrix!$B$3:$B$10,0),MATCH('Error Log'!$G277,Severity_Matrix!$C$2:$M$2,0)),"No errors"))</f>
        <v>Major</v>
      </c>
    </row>
    <row r="278" spans="1:10">
      <c r="A278" s="79" t="s">
        <v>688</v>
      </c>
      <c r="B278" s="18">
        <v>4</v>
      </c>
      <c r="C278" s="85" t="s">
        <v>684</v>
      </c>
      <c r="D278" s="85" t="s">
        <v>685</v>
      </c>
      <c r="E278" s="84" t="s">
        <v>21</v>
      </c>
      <c r="F278" s="84" t="s">
        <v>7</v>
      </c>
      <c r="G278" s="84" t="s">
        <v>57</v>
      </c>
      <c r="H278" s="84" t="s">
        <v>690</v>
      </c>
      <c r="I278" s="14"/>
      <c r="J278" s="15" t="str">
        <f>IF(E278="Invalid_Segment","Invalid",IFERROR(INDEX(Severity_Matrix!$C$3:$M$10,MATCH('Error Log'!$F278,Severity_Matrix!$B$3:$B$10,0),MATCH('Error Log'!$G278,Severity_Matrix!$C$2:$M$2,0)),"No errors"))</f>
        <v>Critical</v>
      </c>
    </row>
    <row r="279" spans="1:10">
      <c r="A279" s="79" t="s">
        <v>688</v>
      </c>
      <c r="B279" s="18">
        <v>5</v>
      </c>
      <c r="C279" s="85" t="s">
        <v>684</v>
      </c>
      <c r="D279" s="85" t="s">
        <v>685</v>
      </c>
      <c r="E279" s="84" t="s">
        <v>21</v>
      </c>
      <c r="F279" s="84" t="s">
        <v>7</v>
      </c>
      <c r="G279" s="84" t="s">
        <v>57</v>
      </c>
      <c r="H279" s="84" t="s">
        <v>691</v>
      </c>
      <c r="I279" s="14"/>
      <c r="J279" s="15" t="str">
        <f>IF(E279="Invalid_Segment","Invalid",IFERROR(INDEX(Severity_Matrix!$C$3:$M$10,MATCH('Error Log'!$F279,Severity_Matrix!$B$3:$B$10,0),MATCH('Error Log'!$G279,Severity_Matrix!$C$2:$M$2,0)),"No errors"))</f>
        <v>Critical</v>
      </c>
    </row>
    <row r="280" spans="1:10">
      <c r="A280" s="79" t="s">
        <v>688</v>
      </c>
      <c r="B280" s="18">
        <v>6</v>
      </c>
      <c r="C280" s="85" t="s">
        <v>684</v>
      </c>
      <c r="D280" s="85" t="s">
        <v>685</v>
      </c>
      <c r="E280" s="84" t="s">
        <v>21</v>
      </c>
      <c r="F280" s="84" t="s">
        <v>7</v>
      </c>
      <c r="G280" s="84" t="s">
        <v>57</v>
      </c>
      <c r="H280" s="84" t="s">
        <v>692</v>
      </c>
      <c r="I280" s="14"/>
      <c r="J280" s="15" t="str">
        <f>IF(E280="Invalid_Segment","Invalid",IFERROR(INDEX(Severity_Matrix!$C$3:$M$10,MATCH('Error Log'!$F280,Severity_Matrix!$B$3:$B$10,0),MATCH('Error Log'!$G280,Severity_Matrix!$C$2:$M$2,0)),"No errors"))</f>
        <v>Critical</v>
      </c>
    </row>
    <row r="281" spans="1:10">
      <c r="A281" s="79" t="s">
        <v>693</v>
      </c>
      <c r="B281" s="18">
        <v>1</v>
      </c>
      <c r="C281" s="85" t="s">
        <v>694</v>
      </c>
      <c r="D281" s="85" t="s">
        <v>695</v>
      </c>
      <c r="E281" s="84" t="s">
        <v>21</v>
      </c>
      <c r="F281" s="84" t="s">
        <v>22</v>
      </c>
      <c r="G281" s="84" t="s">
        <v>57</v>
      </c>
      <c r="H281" s="84" t="s">
        <v>696</v>
      </c>
      <c r="I281" s="14"/>
      <c r="J281" s="15" t="str">
        <f>IF(E281="Invalid_Segment","Invalid",IFERROR(INDEX(Severity_Matrix!$C$3:$M$10,MATCH('Error Log'!$F281,Severity_Matrix!$B$3:$B$10,0),MATCH('Error Log'!$G281,Severity_Matrix!$C$2:$M$2,0)),"No errors"))</f>
        <v>Major</v>
      </c>
    </row>
    <row r="282" spans="1:10">
      <c r="A282" s="79" t="s">
        <v>693</v>
      </c>
      <c r="B282" s="18">
        <v>2</v>
      </c>
      <c r="C282" s="85" t="s">
        <v>694</v>
      </c>
      <c r="D282" s="85" t="s">
        <v>695</v>
      </c>
      <c r="E282" s="84" t="s">
        <v>21</v>
      </c>
      <c r="F282" s="84" t="s">
        <v>7</v>
      </c>
      <c r="G282" s="84" t="s">
        <v>57</v>
      </c>
      <c r="H282" s="84" t="s">
        <v>697</v>
      </c>
      <c r="I282" s="14"/>
      <c r="J282" s="15" t="str">
        <f>IF(E282="Invalid_Segment","Invalid",IFERROR(INDEX(Severity_Matrix!$C$3:$M$10,MATCH('Error Log'!$F282,Severity_Matrix!$B$3:$B$10,0),MATCH('Error Log'!$G282,Severity_Matrix!$C$2:$M$2,0)),"No errors"))</f>
        <v>Critical</v>
      </c>
    </row>
    <row r="283" spans="1:10">
      <c r="A283" s="79" t="s">
        <v>698</v>
      </c>
      <c r="B283" s="18">
        <v>3</v>
      </c>
      <c r="C283" s="85" t="s">
        <v>694</v>
      </c>
      <c r="D283" s="85" t="s">
        <v>695</v>
      </c>
      <c r="E283" s="84" t="s">
        <v>21</v>
      </c>
      <c r="F283" s="84" t="s">
        <v>7</v>
      </c>
      <c r="G283" s="84" t="s">
        <v>57</v>
      </c>
      <c r="H283" s="84" t="s">
        <v>699</v>
      </c>
      <c r="I283" s="14"/>
      <c r="J283" s="15" t="str">
        <f>IF(E283="Invalid_Segment","Invalid",IFERROR(INDEX(Severity_Matrix!$C$3:$M$10,MATCH('Error Log'!$F283,Severity_Matrix!$B$3:$B$10,0),MATCH('Error Log'!$G283,Severity_Matrix!$C$2:$M$2,0)),"No errors"))</f>
        <v>Critical</v>
      </c>
    </row>
    <row r="284" spans="1:10">
      <c r="A284" s="79" t="s">
        <v>700</v>
      </c>
      <c r="B284" s="18">
        <v>1</v>
      </c>
      <c r="C284" s="85" t="s">
        <v>701</v>
      </c>
      <c r="D284" s="85" t="s">
        <v>702</v>
      </c>
      <c r="E284" s="84" t="s">
        <v>21</v>
      </c>
      <c r="F284" s="84" t="s">
        <v>22</v>
      </c>
      <c r="G284" s="84" t="s">
        <v>57</v>
      </c>
      <c r="H284" s="84" t="s">
        <v>703</v>
      </c>
      <c r="I284" s="14"/>
      <c r="J284" s="15" t="str">
        <f>IF(E284="Invalid_Segment","Invalid",IFERROR(INDEX(Severity_Matrix!$C$3:$M$10,MATCH('Error Log'!$F284,Severity_Matrix!$B$3:$B$10,0),MATCH('Error Log'!$G284,Severity_Matrix!$C$2:$M$2,0)),"No errors"))</f>
        <v>Major</v>
      </c>
    </row>
    <row r="285" spans="1:10">
      <c r="A285" s="79" t="s">
        <v>700</v>
      </c>
      <c r="B285" s="18">
        <v>2</v>
      </c>
      <c r="C285" s="85" t="s">
        <v>701</v>
      </c>
      <c r="D285" s="85" t="s">
        <v>702</v>
      </c>
      <c r="E285" s="84" t="s">
        <v>21</v>
      </c>
      <c r="F285" s="84" t="s">
        <v>7</v>
      </c>
      <c r="G285" s="84" t="s">
        <v>57</v>
      </c>
      <c r="H285" s="84" t="s">
        <v>704</v>
      </c>
      <c r="I285" s="14"/>
      <c r="J285" s="15" t="str">
        <f>IF(E285="Invalid_Segment","Invalid",IFERROR(INDEX(Severity_Matrix!$C$3:$M$10,MATCH('Error Log'!$F285,Severity_Matrix!$B$3:$B$10,0),MATCH('Error Log'!$G285,Severity_Matrix!$C$2:$M$2,0)),"No errors"))</f>
        <v>Critical</v>
      </c>
    </row>
    <row r="286" spans="1:10">
      <c r="A286" s="79" t="s">
        <v>705</v>
      </c>
      <c r="B286" s="18">
        <v>1</v>
      </c>
      <c r="C286" s="85" t="s">
        <v>706</v>
      </c>
      <c r="D286" s="85" t="s">
        <v>707</v>
      </c>
      <c r="E286" s="84"/>
      <c r="F286" s="84"/>
      <c r="G286" s="84"/>
      <c r="H286" s="84"/>
      <c r="I286" s="14"/>
      <c r="J286" s="15" t="str">
        <f>IF(E286="Invalid_Segment","Invalid",IFERROR(INDEX(Severity_Matrix!$C$3:$M$10,MATCH('Error Log'!$F286,Severity_Matrix!$B$3:$B$10,0),MATCH('Error Log'!$G286,Severity_Matrix!$C$2:$M$2,0)),"No errors"))</f>
        <v>No errors</v>
      </c>
    </row>
    <row r="287" spans="1:10">
      <c r="A287" s="79" t="s">
        <v>708</v>
      </c>
      <c r="B287" s="18">
        <v>1</v>
      </c>
      <c r="C287" s="85" t="s">
        <v>709</v>
      </c>
      <c r="D287" s="85" t="s">
        <v>710</v>
      </c>
      <c r="E287" s="84" t="s">
        <v>21</v>
      </c>
      <c r="F287" s="84" t="s">
        <v>22</v>
      </c>
      <c r="G287" s="84" t="s">
        <v>57</v>
      </c>
      <c r="H287" s="84" t="s">
        <v>711</v>
      </c>
      <c r="I287" s="14"/>
      <c r="J287" s="15" t="str">
        <f>IF(E287="Invalid_Segment","Invalid",IFERROR(INDEX(Severity_Matrix!$C$3:$M$10,MATCH('Error Log'!$F287,Severity_Matrix!$B$3:$B$10,0),MATCH('Error Log'!$G287,Severity_Matrix!$C$2:$M$2,0)),"No errors"))</f>
        <v>Major</v>
      </c>
    </row>
    <row r="288" spans="1:10">
      <c r="A288" s="79" t="s">
        <v>708</v>
      </c>
      <c r="B288" s="18">
        <v>2</v>
      </c>
      <c r="C288" s="85" t="s">
        <v>712</v>
      </c>
      <c r="D288" s="85" t="s">
        <v>713</v>
      </c>
      <c r="E288" s="84" t="s">
        <v>21</v>
      </c>
      <c r="F288" s="84" t="s">
        <v>22</v>
      </c>
      <c r="G288" s="84" t="s">
        <v>57</v>
      </c>
      <c r="H288" s="84" t="s">
        <v>714</v>
      </c>
      <c r="I288" s="14"/>
      <c r="J288" s="15" t="str">
        <f>IF(E288="Invalid_Segment","Invalid",IFERROR(INDEX(Severity_Matrix!$C$3:$M$10,MATCH('Error Log'!$F288,Severity_Matrix!$B$3:$B$10,0),MATCH('Error Log'!$G288,Severity_Matrix!$C$2:$M$2,0)),"No errors"))</f>
        <v>Major</v>
      </c>
    </row>
    <row r="289" spans="1:10">
      <c r="A289" s="79" t="s">
        <v>715</v>
      </c>
      <c r="B289" s="18">
        <v>3</v>
      </c>
      <c r="C289" s="85" t="s">
        <v>716</v>
      </c>
      <c r="D289" s="85" t="s">
        <v>717</v>
      </c>
      <c r="E289" s="84" t="s">
        <v>183</v>
      </c>
      <c r="F289" s="84" t="s">
        <v>7</v>
      </c>
      <c r="G289" s="84" t="s">
        <v>57</v>
      </c>
      <c r="H289" s="84" t="s">
        <v>718</v>
      </c>
      <c r="I289" s="14"/>
      <c r="J289" s="15" t="str">
        <f>IF(E289="Invalid_Segment","Invalid",IFERROR(INDEX(Severity_Matrix!$C$3:$M$10,MATCH('Error Log'!$F289,Severity_Matrix!$B$3:$B$10,0),MATCH('Error Log'!$G289,Severity_Matrix!$C$2:$M$2,0)),"No errors"))</f>
        <v>Critical</v>
      </c>
    </row>
    <row r="290" spans="1:10">
      <c r="A290" s="79" t="s">
        <v>715</v>
      </c>
      <c r="B290" s="18">
        <v>4</v>
      </c>
      <c r="C290" s="85" t="s">
        <v>719</v>
      </c>
      <c r="D290" s="85" t="s">
        <v>720</v>
      </c>
      <c r="E290" s="84" t="s">
        <v>183</v>
      </c>
      <c r="F290" s="84" t="s">
        <v>7</v>
      </c>
      <c r="G290" s="84" t="s">
        <v>57</v>
      </c>
      <c r="H290" s="84" t="s">
        <v>721</v>
      </c>
      <c r="I290" s="14"/>
      <c r="J290" s="15" t="str">
        <f>IF(E290="Invalid_Segment","Invalid",IFERROR(INDEX(Severity_Matrix!$C$3:$M$10,MATCH('Error Log'!$F290,Severity_Matrix!$B$3:$B$10,0),MATCH('Error Log'!$G290,Severity_Matrix!$C$2:$M$2,0)),"No errors"))</f>
        <v>Critical</v>
      </c>
    </row>
    <row r="291" spans="1:10">
      <c r="A291" s="79" t="s">
        <v>715</v>
      </c>
      <c r="B291" s="18">
        <v>5</v>
      </c>
      <c r="C291" s="85" t="s">
        <v>722</v>
      </c>
      <c r="D291" s="85" t="s">
        <v>723</v>
      </c>
      <c r="E291" s="84" t="s">
        <v>183</v>
      </c>
      <c r="F291" s="84" t="s">
        <v>7</v>
      </c>
      <c r="G291" s="84" t="s">
        <v>57</v>
      </c>
      <c r="H291" s="84" t="s">
        <v>724</v>
      </c>
      <c r="I291" s="14"/>
      <c r="J291" s="15" t="str">
        <f>IF(E291="Invalid_Segment","Invalid",IFERROR(INDEX(Severity_Matrix!$C$3:$M$10,MATCH('Error Log'!$F291,Severity_Matrix!$B$3:$B$10,0),MATCH('Error Log'!$G291,Severity_Matrix!$C$2:$M$2,0)),"No errors"))</f>
        <v>Critical</v>
      </c>
    </row>
    <row r="292" spans="1:10">
      <c r="A292" s="89" t="s">
        <v>931</v>
      </c>
      <c r="B292" s="18">
        <v>1</v>
      </c>
      <c r="C292" s="89" t="s">
        <v>725</v>
      </c>
      <c r="D292" s="89" t="s">
        <v>726</v>
      </c>
      <c r="E292" s="84" t="s">
        <v>21</v>
      </c>
      <c r="F292" s="84" t="s">
        <v>22</v>
      </c>
      <c r="G292" s="84" t="s">
        <v>57</v>
      </c>
      <c r="H292" s="84" t="s">
        <v>727</v>
      </c>
      <c r="I292" s="14"/>
      <c r="J292" s="15" t="str">
        <f>IF(E292="Invalid_Segment","Invalid",IFERROR(INDEX(Severity_Matrix!$C$3:$M$10,MATCH('Error Log'!$F292,Severity_Matrix!$B$3:$B$10,0),MATCH('Error Log'!$G292,Severity_Matrix!$C$2:$M$2,0)),"No errors"))</f>
        <v>Major</v>
      </c>
    </row>
    <row r="293" spans="1:10">
      <c r="A293" s="89" t="s">
        <v>931</v>
      </c>
      <c r="B293" s="18">
        <v>2</v>
      </c>
      <c r="C293" s="89" t="s">
        <v>725</v>
      </c>
      <c r="D293" s="89" t="s">
        <v>726</v>
      </c>
      <c r="E293" s="84" t="s">
        <v>21</v>
      </c>
      <c r="F293" s="84" t="s">
        <v>22</v>
      </c>
      <c r="G293" s="84" t="s">
        <v>57</v>
      </c>
      <c r="H293" s="84" t="s">
        <v>728</v>
      </c>
      <c r="I293" s="14"/>
      <c r="J293" s="15" t="str">
        <f>IF(E293="Invalid_Segment","Invalid",IFERROR(INDEX(Severity_Matrix!$C$3:$M$10,MATCH('Error Log'!$F293,Severity_Matrix!$B$3:$B$10,0),MATCH('Error Log'!$G293,Severity_Matrix!$C$2:$M$2,0)),"No errors"))</f>
        <v>Major</v>
      </c>
    </row>
    <row r="294" spans="1:10">
      <c r="A294" s="89" t="s">
        <v>931</v>
      </c>
      <c r="B294" s="18">
        <v>3</v>
      </c>
      <c r="C294" s="89" t="s">
        <v>725</v>
      </c>
      <c r="D294" s="89" t="s">
        <v>726</v>
      </c>
      <c r="E294" s="84" t="s">
        <v>21</v>
      </c>
      <c r="F294" s="84" t="s">
        <v>7</v>
      </c>
      <c r="G294" s="84" t="s">
        <v>57</v>
      </c>
      <c r="H294" s="90" t="s">
        <v>729</v>
      </c>
      <c r="I294" s="14"/>
      <c r="J294" s="15" t="str">
        <f>IF(E294="Invalid_Segment","Invalid",IFERROR(INDEX(Severity_Matrix!$C$3:$M$10,MATCH('Error Log'!$F294,Severity_Matrix!$B$3:$B$10,0),MATCH('Error Log'!$G294,Severity_Matrix!$C$2:$M$2,0)),"No errors"))</f>
        <v>Critical</v>
      </c>
    </row>
    <row r="295" spans="1:10">
      <c r="A295" s="89" t="s">
        <v>932</v>
      </c>
      <c r="B295" s="18">
        <v>1</v>
      </c>
      <c r="C295" s="89" t="s">
        <v>730</v>
      </c>
      <c r="D295" s="89" t="s">
        <v>731</v>
      </c>
      <c r="E295" s="84" t="s">
        <v>21</v>
      </c>
      <c r="F295" s="84" t="s">
        <v>7</v>
      </c>
      <c r="G295" s="84" t="s">
        <v>57</v>
      </c>
      <c r="H295" s="84" t="s">
        <v>732</v>
      </c>
      <c r="I295" s="14"/>
      <c r="J295" s="15" t="str">
        <f>IF(E295="Invalid_Segment","Invalid",IFERROR(INDEX(Severity_Matrix!$C$3:$M$10,MATCH('Error Log'!$F295,Severity_Matrix!$B$3:$B$10,0),MATCH('Error Log'!$G295,Severity_Matrix!$C$2:$M$2,0)),"No errors"))</f>
        <v>Critical</v>
      </c>
    </row>
    <row r="296" spans="1:10">
      <c r="A296" s="89" t="s">
        <v>933</v>
      </c>
      <c r="B296" s="18">
        <v>1</v>
      </c>
      <c r="C296" s="89" t="s">
        <v>733</v>
      </c>
      <c r="D296" s="89" t="s">
        <v>734</v>
      </c>
      <c r="E296" s="84" t="s">
        <v>21</v>
      </c>
      <c r="F296" s="84" t="s">
        <v>22</v>
      </c>
      <c r="G296" s="84" t="s">
        <v>57</v>
      </c>
      <c r="H296" s="84" t="s">
        <v>735</v>
      </c>
      <c r="I296" s="14"/>
      <c r="J296" s="15" t="str">
        <f>IF(E296="Invalid_Segment","Invalid",IFERROR(INDEX(Severity_Matrix!$C$3:$M$10,MATCH('Error Log'!$F296,Severity_Matrix!$B$3:$B$10,0),MATCH('Error Log'!$G296,Severity_Matrix!$C$2:$M$2,0)),"No errors"))</f>
        <v>Major</v>
      </c>
    </row>
    <row r="297" spans="1:10">
      <c r="A297" s="89" t="s">
        <v>933</v>
      </c>
      <c r="B297" s="18">
        <v>2</v>
      </c>
      <c r="C297" s="89" t="s">
        <v>733</v>
      </c>
      <c r="D297" s="89" t="s">
        <v>734</v>
      </c>
      <c r="E297" s="84" t="s">
        <v>21</v>
      </c>
      <c r="F297" s="84" t="s">
        <v>63</v>
      </c>
      <c r="G297" s="84" t="s">
        <v>29</v>
      </c>
      <c r="H297" s="91">
        <v>0.12</v>
      </c>
      <c r="I297" s="14"/>
      <c r="J297" s="15" t="str">
        <f>IF(E297="Invalid_Segment","Invalid",IFERROR(INDEX(Severity_Matrix!$C$3:$M$10,MATCH('Error Log'!$F297,Severity_Matrix!$B$3:$B$10,0),MATCH('Error Log'!$G297,Severity_Matrix!$C$2:$M$2,0)),"No errors"))</f>
        <v>Critical</v>
      </c>
    </row>
    <row r="298" spans="1:10">
      <c r="A298" s="89" t="s">
        <v>933</v>
      </c>
      <c r="B298" s="18">
        <v>3</v>
      </c>
      <c r="C298" s="89" t="s">
        <v>733</v>
      </c>
      <c r="D298" s="89" t="s">
        <v>734</v>
      </c>
      <c r="E298" s="84" t="s">
        <v>21</v>
      </c>
      <c r="F298" s="84" t="s">
        <v>22</v>
      </c>
      <c r="G298" s="84" t="s">
        <v>57</v>
      </c>
      <c r="H298" s="84" t="s">
        <v>736</v>
      </c>
      <c r="I298" s="14"/>
      <c r="J298" s="15" t="str">
        <f>IF(E298="Invalid_Segment","Invalid",IFERROR(INDEX(Severity_Matrix!$C$3:$M$10,MATCH('Error Log'!$F298,Severity_Matrix!$B$3:$B$10,0),MATCH('Error Log'!$G298,Severity_Matrix!$C$2:$M$2,0)),"No errors"))</f>
        <v>Major</v>
      </c>
    </row>
    <row r="299" spans="1:10">
      <c r="A299" s="89" t="s">
        <v>933</v>
      </c>
      <c r="B299" s="18">
        <v>4</v>
      </c>
      <c r="C299" s="89" t="s">
        <v>733</v>
      </c>
      <c r="D299" s="89" t="s">
        <v>734</v>
      </c>
      <c r="E299" s="84" t="s">
        <v>21</v>
      </c>
      <c r="F299" s="84" t="s">
        <v>7</v>
      </c>
      <c r="G299" s="84" t="s">
        <v>57</v>
      </c>
      <c r="H299" s="84" t="s">
        <v>737</v>
      </c>
      <c r="I299" s="14"/>
      <c r="J299" s="15" t="str">
        <f>IF(E299="Invalid_Segment","Invalid",IFERROR(INDEX(Severity_Matrix!$C$3:$M$10,MATCH('Error Log'!$F299,Severity_Matrix!$B$3:$B$10,0),MATCH('Error Log'!$G299,Severity_Matrix!$C$2:$M$2,0)),"No errors"))</f>
        <v>Critical</v>
      </c>
    </row>
    <row r="300" spans="1:10">
      <c r="A300" s="89" t="s">
        <v>934</v>
      </c>
      <c r="B300" s="18">
        <v>1</v>
      </c>
      <c r="C300" s="89" t="s">
        <v>738</v>
      </c>
      <c r="D300" s="89" t="s">
        <v>739</v>
      </c>
      <c r="E300" s="84" t="s">
        <v>21</v>
      </c>
      <c r="F300" s="84" t="s">
        <v>22</v>
      </c>
      <c r="G300" s="84" t="s">
        <v>57</v>
      </c>
      <c r="H300" s="84" t="s">
        <v>740</v>
      </c>
      <c r="I300" s="14"/>
      <c r="J300" s="15" t="str">
        <f>IF(E300="Invalid_Segment","Invalid",IFERROR(INDEX(Severity_Matrix!$C$3:$M$10,MATCH('Error Log'!$F300,Severity_Matrix!$B$3:$B$10,0),MATCH('Error Log'!$G300,Severity_Matrix!$C$2:$M$2,0)),"No errors"))</f>
        <v>Major</v>
      </c>
    </row>
    <row r="301" spans="1:10">
      <c r="A301" s="89" t="s">
        <v>934</v>
      </c>
      <c r="B301" s="18">
        <v>2</v>
      </c>
      <c r="C301" s="89" t="s">
        <v>738</v>
      </c>
      <c r="D301" s="89" t="s">
        <v>739</v>
      </c>
      <c r="E301" s="84" t="s">
        <v>21</v>
      </c>
      <c r="F301" s="84" t="s">
        <v>7</v>
      </c>
      <c r="G301" s="84" t="s">
        <v>57</v>
      </c>
      <c r="H301" s="84" t="s">
        <v>741</v>
      </c>
      <c r="I301" s="14"/>
      <c r="J301" s="15" t="str">
        <f>IF(E301="Invalid_Segment","Invalid",IFERROR(INDEX(Severity_Matrix!$C$3:$M$10,MATCH('Error Log'!$F301,Severity_Matrix!$B$3:$B$10,0),MATCH('Error Log'!$G301,Severity_Matrix!$C$2:$M$2,0)),"No errors"))</f>
        <v>Critical</v>
      </c>
    </row>
    <row r="302" spans="1:10">
      <c r="A302" s="89" t="s">
        <v>935</v>
      </c>
      <c r="B302" s="18">
        <v>1</v>
      </c>
      <c r="C302" s="89" t="s">
        <v>742</v>
      </c>
      <c r="D302" s="89" t="s">
        <v>743</v>
      </c>
      <c r="E302" s="84" t="s">
        <v>21</v>
      </c>
      <c r="F302" s="84" t="s">
        <v>22</v>
      </c>
      <c r="G302" s="84" t="s">
        <v>57</v>
      </c>
      <c r="H302" s="84" t="s">
        <v>744</v>
      </c>
      <c r="I302" s="14"/>
      <c r="J302" s="15" t="str">
        <f>IF(E302="Invalid_Segment","Invalid",IFERROR(INDEX(Severity_Matrix!$C$3:$M$10,MATCH('Error Log'!$F302,Severity_Matrix!$B$3:$B$10,0),MATCH('Error Log'!$G302,Severity_Matrix!$C$2:$M$2,0)),"No errors"))</f>
        <v>Major</v>
      </c>
    </row>
    <row r="303" spans="1:10">
      <c r="A303" s="89" t="s">
        <v>935</v>
      </c>
      <c r="B303" s="18">
        <v>2</v>
      </c>
      <c r="C303" s="89" t="s">
        <v>742</v>
      </c>
      <c r="D303" s="89" t="s">
        <v>743</v>
      </c>
      <c r="E303" s="84" t="s">
        <v>21</v>
      </c>
      <c r="F303" s="84" t="s">
        <v>22</v>
      </c>
      <c r="G303" s="84" t="s">
        <v>57</v>
      </c>
      <c r="H303" s="84" t="s">
        <v>745</v>
      </c>
      <c r="I303" s="14"/>
      <c r="J303" s="15" t="str">
        <f>IF(E303="Invalid_Segment","Invalid",IFERROR(INDEX(Severity_Matrix!$C$3:$M$10,MATCH('Error Log'!$F303,Severity_Matrix!$B$3:$B$10,0),MATCH('Error Log'!$G303,Severity_Matrix!$C$2:$M$2,0)),"No errors"))</f>
        <v>Major</v>
      </c>
    </row>
    <row r="304" spans="1:10">
      <c r="A304" s="89" t="s">
        <v>935</v>
      </c>
      <c r="B304" s="18">
        <v>3</v>
      </c>
      <c r="C304" s="89" t="s">
        <v>742</v>
      </c>
      <c r="D304" s="89" t="s">
        <v>743</v>
      </c>
      <c r="E304" s="84" t="s">
        <v>21</v>
      </c>
      <c r="F304" s="84" t="s">
        <v>7</v>
      </c>
      <c r="G304" s="84" t="s">
        <v>57</v>
      </c>
      <c r="H304" s="84" t="s">
        <v>746</v>
      </c>
      <c r="I304" s="14"/>
      <c r="J304" s="15" t="str">
        <f>IF(E304="Invalid_Segment","Invalid",IFERROR(INDEX(Severity_Matrix!$C$3:$M$10,MATCH('Error Log'!$F304,Severity_Matrix!$B$3:$B$10,0),MATCH('Error Log'!$G304,Severity_Matrix!$C$2:$M$2,0)),"No errors"))</f>
        <v>Critical</v>
      </c>
    </row>
    <row r="305" spans="1:10">
      <c r="A305" s="89" t="s">
        <v>936</v>
      </c>
      <c r="B305" s="18">
        <v>1</v>
      </c>
      <c r="C305" s="89" t="s">
        <v>747</v>
      </c>
      <c r="D305" s="89" t="s">
        <v>748</v>
      </c>
      <c r="E305" s="84"/>
      <c r="F305" s="84"/>
      <c r="G305" s="84"/>
      <c r="H305" s="84"/>
      <c r="I305" s="14"/>
      <c r="J305" s="15" t="str">
        <f>IF(E305="Invalid_Segment","Invalid",IFERROR(INDEX(Severity_Matrix!$C$3:$M$10,MATCH('Error Log'!$F305,Severity_Matrix!$B$3:$B$10,0),MATCH('Error Log'!$G305,Severity_Matrix!$C$2:$M$2,0)),"No errors"))</f>
        <v>No errors</v>
      </c>
    </row>
    <row r="306" spans="1:10">
      <c r="A306" s="89" t="s">
        <v>937</v>
      </c>
      <c r="B306" s="18">
        <v>1</v>
      </c>
      <c r="C306" s="89" t="s">
        <v>749</v>
      </c>
      <c r="D306" s="89" t="s">
        <v>750</v>
      </c>
      <c r="E306" s="84"/>
      <c r="F306" s="84"/>
      <c r="G306" s="84"/>
      <c r="H306" s="84"/>
      <c r="I306" s="14"/>
      <c r="J306" s="15" t="str">
        <f>IF(E306="Invalid_Segment","Invalid",IFERROR(INDEX(Severity_Matrix!$C$3:$M$10,MATCH('Error Log'!$F306,Severity_Matrix!$B$3:$B$10,0),MATCH('Error Log'!$G306,Severity_Matrix!$C$2:$M$2,0)),"No errors"))</f>
        <v>No errors</v>
      </c>
    </row>
    <row r="307" spans="1:10">
      <c r="A307" s="89" t="s">
        <v>938</v>
      </c>
      <c r="B307" s="18">
        <v>1</v>
      </c>
      <c r="C307" s="89" t="s">
        <v>751</v>
      </c>
      <c r="D307" s="89" t="s">
        <v>752</v>
      </c>
      <c r="E307" s="84" t="s">
        <v>21</v>
      </c>
      <c r="F307" s="84" t="s">
        <v>22</v>
      </c>
      <c r="G307" s="84" t="s">
        <v>57</v>
      </c>
      <c r="H307" s="84" t="s">
        <v>753</v>
      </c>
      <c r="I307" s="14"/>
      <c r="J307" s="15" t="str">
        <f>IF(E307="Invalid_Segment","Invalid",IFERROR(INDEX(Severity_Matrix!$C$3:$M$10,MATCH('Error Log'!$F307,Severity_Matrix!$B$3:$B$10,0),MATCH('Error Log'!$G307,Severity_Matrix!$C$2:$M$2,0)),"No errors"))</f>
        <v>Major</v>
      </c>
    </row>
    <row r="308" spans="1:10">
      <c r="A308" s="89" t="s">
        <v>938</v>
      </c>
      <c r="B308" s="18">
        <v>2</v>
      </c>
      <c r="C308" s="89" t="s">
        <v>751</v>
      </c>
      <c r="D308" s="89" t="s">
        <v>752</v>
      </c>
      <c r="E308" s="84" t="s">
        <v>21</v>
      </c>
      <c r="F308" s="84" t="s">
        <v>7</v>
      </c>
      <c r="G308" s="84" t="s">
        <v>57</v>
      </c>
      <c r="H308" s="84" t="s">
        <v>754</v>
      </c>
      <c r="I308" s="14"/>
      <c r="J308" s="15" t="str">
        <f>IF(E308="Invalid_Segment","Invalid",IFERROR(INDEX(Severity_Matrix!$C$3:$M$10,MATCH('Error Log'!$F308,Severity_Matrix!$B$3:$B$10,0),MATCH('Error Log'!$G308,Severity_Matrix!$C$2:$M$2,0)),"No errors"))</f>
        <v>Critical</v>
      </c>
    </row>
    <row r="309" spans="1:10">
      <c r="A309" s="89" t="s">
        <v>939</v>
      </c>
      <c r="B309" s="18">
        <v>1</v>
      </c>
      <c r="C309" s="89" t="s">
        <v>755</v>
      </c>
      <c r="D309" s="89" t="s">
        <v>756</v>
      </c>
      <c r="E309" s="84" t="s">
        <v>21</v>
      </c>
      <c r="F309" s="84" t="s">
        <v>22</v>
      </c>
      <c r="G309" s="84" t="s">
        <v>57</v>
      </c>
      <c r="H309" s="84" t="s">
        <v>757</v>
      </c>
      <c r="I309" s="14"/>
      <c r="J309" s="15" t="str">
        <f>IF(E309="Invalid_Segment","Invalid",IFERROR(INDEX(Severity_Matrix!$C$3:$M$10,MATCH('Error Log'!$F309,Severity_Matrix!$B$3:$B$10,0),MATCH('Error Log'!$G309,Severity_Matrix!$C$2:$M$2,0)),"No errors"))</f>
        <v>Major</v>
      </c>
    </row>
    <row r="310" spans="1:10">
      <c r="A310" s="89" t="s">
        <v>939</v>
      </c>
      <c r="B310" s="18">
        <v>2</v>
      </c>
      <c r="C310" s="89" t="s">
        <v>755</v>
      </c>
      <c r="D310" s="89" t="s">
        <v>756</v>
      </c>
      <c r="E310" s="84" t="s">
        <v>21</v>
      </c>
      <c r="F310" s="84" t="s">
        <v>7</v>
      </c>
      <c r="G310" s="84" t="s">
        <v>57</v>
      </c>
      <c r="H310" s="84" t="s">
        <v>758</v>
      </c>
      <c r="I310" s="14"/>
      <c r="J310" s="15" t="str">
        <f>IF(E310="Invalid_Segment","Invalid",IFERROR(INDEX(Severity_Matrix!$C$3:$M$10,MATCH('Error Log'!$F310,Severity_Matrix!$B$3:$B$10,0),MATCH('Error Log'!$G310,Severity_Matrix!$C$2:$M$2,0)),"No errors"))</f>
        <v>Critical</v>
      </c>
    </row>
    <row r="311" spans="1:10">
      <c r="A311" s="89" t="s">
        <v>940</v>
      </c>
      <c r="B311" s="18">
        <v>1</v>
      </c>
      <c r="C311" s="89" t="s">
        <v>759</v>
      </c>
      <c r="D311" s="89" t="s">
        <v>760</v>
      </c>
      <c r="E311" s="84" t="s">
        <v>21</v>
      </c>
      <c r="F311" s="84" t="s">
        <v>22</v>
      </c>
      <c r="G311" s="84" t="s">
        <v>57</v>
      </c>
      <c r="H311" s="84" t="s">
        <v>761</v>
      </c>
      <c r="I311" s="14"/>
      <c r="J311" s="15" t="str">
        <f>IF(E311="Invalid_Segment","Invalid",IFERROR(INDEX(Severity_Matrix!$C$3:$M$10,MATCH('Error Log'!$F311,Severity_Matrix!$B$3:$B$10,0),MATCH('Error Log'!$G311,Severity_Matrix!$C$2:$M$2,0)),"No errors"))</f>
        <v>Major</v>
      </c>
    </row>
    <row r="312" spans="1:10">
      <c r="A312" s="89" t="s">
        <v>940</v>
      </c>
      <c r="B312" s="18">
        <v>2</v>
      </c>
      <c r="C312" s="89" t="s">
        <v>759</v>
      </c>
      <c r="D312" s="89" t="s">
        <v>760</v>
      </c>
      <c r="E312" s="84" t="s">
        <v>21</v>
      </c>
      <c r="F312" s="84" t="s">
        <v>7</v>
      </c>
      <c r="G312" s="84" t="s">
        <v>57</v>
      </c>
      <c r="H312" s="84" t="s">
        <v>762</v>
      </c>
      <c r="I312" s="14"/>
      <c r="J312" s="15" t="str">
        <f>IF(E312="Invalid_Segment","Invalid",IFERROR(INDEX(Severity_Matrix!$C$3:$M$10,MATCH('Error Log'!$F312,Severity_Matrix!$B$3:$B$10,0),MATCH('Error Log'!$G312,Severity_Matrix!$C$2:$M$2,0)),"No errors"))</f>
        <v>Critical</v>
      </c>
    </row>
    <row r="313" spans="1:10">
      <c r="A313" s="89" t="s">
        <v>941</v>
      </c>
      <c r="B313" s="18">
        <v>1</v>
      </c>
      <c r="C313" s="89" t="s">
        <v>763</v>
      </c>
      <c r="D313" s="89" t="s">
        <v>764</v>
      </c>
      <c r="E313" s="84" t="s">
        <v>21</v>
      </c>
      <c r="F313" s="84" t="s">
        <v>22</v>
      </c>
      <c r="G313" s="84" t="s">
        <v>57</v>
      </c>
      <c r="H313" s="84" t="s">
        <v>765</v>
      </c>
      <c r="I313" s="14"/>
      <c r="J313" s="15" t="str">
        <f>IF(E313="Invalid_Segment","Invalid",IFERROR(INDEX(Severity_Matrix!$C$3:$M$10,MATCH('Error Log'!$F313,Severity_Matrix!$B$3:$B$10,0),MATCH('Error Log'!$G313,Severity_Matrix!$C$2:$M$2,0)),"No errors"))</f>
        <v>Major</v>
      </c>
    </row>
    <row r="314" spans="1:10">
      <c r="A314" s="89" t="s">
        <v>942</v>
      </c>
      <c r="B314" s="18">
        <v>1</v>
      </c>
      <c r="C314" s="89" t="s">
        <v>766</v>
      </c>
      <c r="D314" s="89" t="s">
        <v>767</v>
      </c>
      <c r="E314" s="84" t="s">
        <v>21</v>
      </c>
      <c r="F314" s="84" t="s">
        <v>22</v>
      </c>
      <c r="G314" s="84" t="s">
        <v>57</v>
      </c>
      <c r="H314" s="84" t="s">
        <v>768</v>
      </c>
      <c r="I314" s="14"/>
      <c r="J314" s="15" t="str">
        <f>IF(E314="Invalid_Segment","Invalid",IFERROR(INDEX(Severity_Matrix!$C$3:$M$10,MATCH('Error Log'!$F314,Severity_Matrix!$B$3:$B$10,0),MATCH('Error Log'!$G314,Severity_Matrix!$C$2:$M$2,0)),"No errors"))</f>
        <v>Major</v>
      </c>
    </row>
    <row r="315" spans="1:10">
      <c r="A315" s="89" t="s">
        <v>942</v>
      </c>
      <c r="B315" s="18">
        <v>2</v>
      </c>
      <c r="C315" s="89" t="s">
        <v>766</v>
      </c>
      <c r="D315" s="89" t="s">
        <v>767</v>
      </c>
      <c r="E315" s="84" t="s">
        <v>21</v>
      </c>
      <c r="F315" s="84" t="s">
        <v>22</v>
      </c>
      <c r="G315" s="84" t="s">
        <v>57</v>
      </c>
      <c r="H315" s="84" t="s">
        <v>769</v>
      </c>
      <c r="I315" s="14"/>
      <c r="J315" s="15" t="str">
        <f>IF(E315="Invalid_Segment","Invalid",IFERROR(INDEX(Severity_Matrix!$C$3:$M$10,MATCH('Error Log'!$F315,Severity_Matrix!$B$3:$B$10,0),MATCH('Error Log'!$G315,Severity_Matrix!$C$2:$M$2,0)),"No errors"))</f>
        <v>Major</v>
      </c>
    </row>
    <row r="316" spans="1:10">
      <c r="A316" s="89" t="s">
        <v>942</v>
      </c>
      <c r="B316" s="18">
        <v>3</v>
      </c>
      <c r="C316" s="89" t="s">
        <v>766</v>
      </c>
      <c r="D316" s="89" t="s">
        <v>767</v>
      </c>
      <c r="E316" s="84" t="s">
        <v>21</v>
      </c>
      <c r="F316" s="84" t="s">
        <v>7</v>
      </c>
      <c r="G316" s="84" t="s">
        <v>57</v>
      </c>
      <c r="H316" s="84" t="s">
        <v>770</v>
      </c>
      <c r="I316" s="14"/>
      <c r="J316" s="15" t="str">
        <f>IF(E316="Invalid_Segment","Invalid",IFERROR(INDEX(Severity_Matrix!$C$3:$M$10,MATCH('Error Log'!$F316,Severity_Matrix!$B$3:$B$10,0),MATCH('Error Log'!$G316,Severity_Matrix!$C$2:$M$2,0)),"No errors"))</f>
        <v>Critical</v>
      </c>
    </row>
    <row r="317" spans="1:10">
      <c r="A317" s="89" t="s">
        <v>942</v>
      </c>
      <c r="B317" s="18">
        <v>4</v>
      </c>
      <c r="C317" s="89" t="s">
        <v>766</v>
      </c>
      <c r="D317" s="89" t="s">
        <v>767</v>
      </c>
      <c r="E317" s="84" t="s">
        <v>21</v>
      </c>
      <c r="F317" s="84" t="s">
        <v>7</v>
      </c>
      <c r="G317" s="84" t="s">
        <v>57</v>
      </c>
      <c r="H317" s="84" t="s">
        <v>771</v>
      </c>
      <c r="I317" s="14"/>
      <c r="J317" s="15" t="str">
        <f>IF(E317="Invalid_Segment","Invalid",IFERROR(INDEX(Severity_Matrix!$C$3:$M$10,MATCH('Error Log'!$F317,Severity_Matrix!$B$3:$B$10,0),MATCH('Error Log'!$G317,Severity_Matrix!$C$2:$M$2,0)),"No errors"))</f>
        <v>Critical</v>
      </c>
    </row>
    <row r="318" spans="1:10">
      <c r="A318" s="89" t="s">
        <v>942</v>
      </c>
      <c r="B318" s="18">
        <v>5</v>
      </c>
      <c r="C318" s="89" t="s">
        <v>766</v>
      </c>
      <c r="D318" s="89" t="s">
        <v>767</v>
      </c>
      <c r="E318" s="84" t="s">
        <v>21</v>
      </c>
      <c r="F318" s="84" t="s">
        <v>7</v>
      </c>
      <c r="G318" s="84" t="s">
        <v>57</v>
      </c>
      <c r="H318" s="84" t="s">
        <v>772</v>
      </c>
      <c r="I318" s="14"/>
      <c r="J318" s="15" t="str">
        <f>IF(E318="Invalid_Segment","Invalid",IFERROR(INDEX(Severity_Matrix!$C$3:$M$10,MATCH('Error Log'!$F318,Severity_Matrix!$B$3:$B$10,0),MATCH('Error Log'!$G318,Severity_Matrix!$C$2:$M$2,0)),"No errors"))</f>
        <v>Critical</v>
      </c>
    </row>
    <row r="319" spans="1:10">
      <c r="A319" s="89" t="s">
        <v>943</v>
      </c>
      <c r="B319" s="18">
        <v>1</v>
      </c>
      <c r="C319" s="89" t="s">
        <v>773</v>
      </c>
      <c r="D319" s="89" t="s">
        <v>774</v>
      </c>
      <c r="E319" s="84" t="s">
        <v>21</v>
      </c>
      <c r="F319" s="84" t="s">
        <v>22</v>
      </c>
      <c r="G319" s="84" t="s">
        <v>57</v>
      </c>
      <c r="H319" s="84" t="s">
        <v>775</v>
      </c>
      <c r="I319" s="14"/>
      <c r="J319" s="15" t="str">
        <f>IF(E319="Invalid_Segment","Invalid",IFERROR(INDEX(Severity_Matrix!$C$3:$M$10,MATCH('Error Log'!$F319,Severity_Matrix!$B$3:$B$10,0),MATCH('Error Log'!$G319,Severity_Matrix!$C$2:$M$2,0)),"No errors"))</f>
        <v>Major</v>
      </c>
    </row>
    <row r="320" spans="1:10">
      <c r="A320" s="79" t="s">
        <v>944</v>
      </c>
      <c r="B320" s="18">
        <v>1</v>
      </c>
      <c r="C320" s="89" t="s">
        <v>776</v>
      </c>
      <c r="D320" s="92" t="s">
        <v>777</v>
      </c>
      <c r="E320" s="84" t="s">
        <v>21</v>
      </c>
      <c r="F320" s="84" t="s">
        <v>63</v>
      </c>
      <c r="G320" s="84" t="s">
        <v>29</v>
      </c>
      <c r="H320" s="84" t="s">
        <v>778</v>
      </c>
      <c r="I320" s="14"/>
      <c r="J320" s="15" t="str">
        <f>IF(E320="Invalid_Segment","Invalid",IFERROR(INDEX(Severity_Matrix!$C$3:$M$10,MATCH('Error Log'!$F320,Severity_Matrix!$B$3:$B$10,0),MATCH('Error Log'!$G320,Severity_Matrix!$C$2:$M$2,0)),"No errors"))</f>
        <v>Critical</v>
      </c>
    </row>
    <row r="321" spans="1:10">
      <c r="A321" s="79" t="s">
        <v>944</v>
      </c>
      <c r="B321" s="18">
        <v>2</v>
      </c>
      <c r="C321" s="89" t="s">
        <v>776</v>
      </c>
      <c r="D321" s="92" t="s">
        <v>777</v>
      </c>
      <c r="E321" s="84" t="s">
        <v>21</v>
      </c>
      <c r="F321" s="84" t="s">
        <v>22</v>
      </c>
      <c r="G321" s="84" t="s">
        <v>57</v>
      </c>
      <c r="H321" s="84" t="s">
        <v>779</v>
      </c>
      <c r="I321" s="14"/>
      <c r="J321" s="15" t="str">
        <f>IF(E321="Invalid_Segment","Invalid",IFERROR(INDEX(Severity_Matrix!$C$3:$M$10,MATCH('Error Log'!$F321,Severity_Matrix!$B$3:$B$10,0),MATCH('Error Log'!$G321,Severity_Matrix!$C$2:$M$2,0)),"No errors"))</f>
        <v>Major</v>
      </c>
    </row>
    <row r="322" spans="1:10">
      <c r="A322" s="79" t="s">
        <v>944</v>
      </c>
      <c r="B322" s="18">
        <v>3</v>
      </c>
      <c r="C322" s="89" t="s">
        <v>776</v>
      </c>
      <c r="D322" s="92" t="s">
        <v>777</v>
      </c>
      <c r="E322" s="84" t="s">
        <v>21</v>
      </c>
      <c r="F322" s="84" t="s">
        <v>7</v>
      </c>
      <c r="G322" s="84" t="s">
        <v>57</v>
      </c>
      <c r="H322" s="84" t="s">
        <v>780</v>
      </c>
      <c r="I322" s="14"/>
      <c r="J322" s="15" t="str">
        <f>IF(E322="Invalid_Segment","Invalid",IFERROR(INDEX(Severity_Matrix!$C$3:$M$10,MATCH('Error Log'!$F322,Severity_Matrix!$B$3:$B$10,0),MATCH('Error Log'!$G322,Severity_Matrix!$C$2:$M$2,0)),"No errors"))</f>
        <v>Critical</v>
      </c>
    </row>
    <row r="323" spans="1:10">
      <c r="A323" s="79" t="s">
        <v>945</v>
      </c>
      <c r="B323" s="18">
        <v>1</v>
      </c>
      <c r="C323" s="92" t="s">
        <v>781</v>
      </c>
      <c r="D323" s="92" t="s">
        <v>782</v>
      </c>
      <c r="E323" s="84" t="s">
        <v>21</v>
      </c>
      <c r="F323" s="84" t="s">
        <v>22</v>
      </c>
      <c r="G323" s="84" t="s">
        <v>57</v>
      </c>
      <c r="H323" s="84" t="s">
        <v>783</v>
      </c>
      <c r="I323" s="14"/>
      <c r="J323" s="15" t="str">
        <f>IF(E323="Invalid_Segment","Invalid",IFERROR(INDEX(Severity_Matrix!$C$3:$M$10,MATCH('Error Log'!$F323,Severity_Matrix!$B$3:$B$10,0),MATCH('Error Log'!$G323,Severity_Matrix!$C$2:$M$2,0)),"No errors"))</f>
        <v>Major</v>
      </c>
    </row>
    <row r="324" spans="1:10">
      <c r="A324" s="79" t="s">
        <v>945</v>
      </c>
      <c r="B324" s="18">
        <v>2</v>
      </c>
      <c r="C324" s="92" t="s">
        <v>781</v>
      </c>
      <c r="D324" s="92" t="s">
        <v>782</v>
      </c>
      <c r="E324" s="84" t="s">
        <v>21</v>
      </c>
      <c r="F324" s="84" t="s">
        <v>7</v>
      </c>
      <c r="G324" s="84" t="s">
        <v>57</v>
      </c>
      <c r="H324" s="84" t="s">
        <v>784</v>
      </c>
      <c r="I324" s="14"/>
      <c r="J324" s="15" t="str">
        <f>IF(E324="Invalid_Segment","Invalid",IFERROR(INDEX(Severity_Matrix!$C$3:$M$10,MATCH('Error Log'!$F324,Severity_Matrix!$B$3:$B$10,0),MATCH('Error Log'!$G324,Severity_Matrix!$C$2:$M$2,0)),"No errors"))</f>
        <v>Critical</v>
      </c>
    </row>
    <row r="325" spans="1:10">
      <c r="A325" s="79" t="s">
        <v>945</v>
      </c>
      <c r="B325" s="18">
        <v>3</v>
      </c>
      <c r="C325" s="92" t="s">
        <v>781</v>
      </c>
      <c r="D325" s="92" t="s">
        <v>782</v>
      </c>
      <c r="E325" s="84" t="s">
        <v>21</v>
      </c>
      <c r="F325" s="84" t="s">
        <v>7</v>
      </c>
      <c r="G325" s="84" t="s">
        <v>57</v>
      </c>
      <c r="H325" s="90" t="s">
        <v>785</v>
      </c>
      <c r="I325" s="14"/>
      <c r="J325" s="15" t="str">
        <f>IF(E325="Invalid_Segment","Invalid",IFERROR(INDEX(Severity_Matrix!$C$3:$M$10,MATCH('Error Log'!$F325,Severity_Matrix!$B$3:$B$10,0),MATCH('Error Log'!$G325,Severity_Matrix!$C$2:$M$2,0)),"No errors"))</f>
        <v>Critical</v>
      </c>
    </row>
    <row r="326" spans="1:10">
      <c r="A326" s="79" t="s">
        <v>946</v>
      </c>
      <c r="B326" s="18">
        <v>1</v>
      </c>
      <c r="C326" s="92" t="s">
        <v>786</v>
      </c>
      <c r="D326" s="92" t="s">
        <v>787</v>
      </c>
      <c r="E326" s="84" t="s">
        <v>21</v>
      </c>
      <c r="F326" s="84" t="s">
        <v>22</v>
      </c>
      <c r="G326" s="84" t="s">
        <v>57</v>
      </c>
      <c r="H326" s="84" t="s">
        <v>788</v>
      </c>
      <c r="I326" s="14"/>
      <c r="J326" s="15" t="str">
        <f>IF(E326="Invalid_Segment","Invalid",IFERROR(INDEX(Severity_Matrix!$C$3:$M$10,MATCH('Error Log'!$F326,Severity_Matrix!$B$3:$B$10,0),MATCH('Error Log'!$G326,Severity_Matrix!$C$2:$M$2,0)),"No errors"))</f>
        <v>Major</v>
      </c>
    </row>
    <row r="327" spans="1:10">
      <c r="A327" s="79" t="s">
        <v>947</v>
      </c>
      <c r="B327" s="18">
        <v>1</v>
      </c>
      <c r="C327" s="92" t="s">
        <v>789</v>
      </c>
      <c r="D327" s="92" t="s">
        <v>790</v>
      </c>
      <c r="E327" s="84" t="s">
        <v>21</v>
      </c>
      <c r="F327" s="84" t="s">
        <v>22</v>
      </c>
      <c r="G327" s="84" t="s">
        <v>57</v>
      </c>
      <c r="H327" s="90" t="s">
        <v>791</v>
      </c>
      <c r="I327" s="14"/>
      <c r="J327" s="15" t="str">
        <f>IF(E327="Invalid_Segment","Invalid",IFERROR(INDEX(Severity_Matrix!$C$3:$M$10,MATCH('Error Log'!$F327,Severity_Matrix!$B$3:$B$10,0),MATCH('Error Log'!$G327,Severity_Matrix!$C$2:$M$2,0)),"No errors"))</f>
        <v>Major</v>
      </c>
    </row>
    <row r="328" spans="1:10">
      <c r="A328" s="79" t="s">
        <v>947</v>
      </c>
      <c r="B328" s="18">
        <v>2</v>
      </c>
      <c r="C328" s="92" t="s">
        <v>789</v>
      </c>
      <c r="D328" s="92" t="s">
        <v>790</v>
      </c>
      <c r="E328" s="84" t="s">
        <v>21</v>
      </c>
      <c r="F328" s="84" t="s">
        <v>7</v>
      </c>
      <c r="G328" s="84" t="s">
        <v>57</v>
      </c>
      <c r="H328" s="84" t="s">
        <v>792</v>
      </c>
      <c r="I328" s="14"/>
      <c r="J328" s="15" t="str">
        <f>IF(E328="Invalid_Segment","Invalid",IFERROR(INDEX(Severity_Matrix!$C$3:$M$10,MATCH('Error Log'!$F328,Severity_Matrix!$B$3:$B$10,0),MATCH('Error Log'!$G328,Severity_Matrix!$C$2:$M$2,0)),"No errors"))</f>
        <v>Critical</v>
      </c>
    </row>
    <row r="329" spans="1:10">
      <c r="A329" s="79" t="s">
        <v>948</v>
      </c>
      <c r="B329" s="18">
        <v>1</v>
      </c>
      <c r="C329" s="92" t="s">
        <v>793</v>
      </c>
      <c r="D329" s="92" t="s">
        <v>794</v>
      </c>
      <c r="E329" s="84"/>
      <c r="F329" s="84"/>
      <c r="G329" s="84"/>
      <c r="H329" s="84" t="s">
        <v>795</v>
      </c>
      <c r="I329" s="14"/>
      <c r="J329" s="15" t="str">
        <f>IF(E329="Invalid_Segment","Invalid",IFERROR(INDEX(Severity_Matrix!$C$3:$M$10,MATCH('Error Log'!$F329,Severity_Matrix!$B$3:$B$10,0),MATCH('Error Log'!$G329,Severity_Matrix!$C$2:$M$2,0)),"No errors"))</f>
        <v>No errors</v>
      </c>
    </row>
    <row r="330" spans="1:10">
      <c r="A330" s="79" t="s">
        <v>949</v>
      </c>
      <c r="B330" s="18">
        <v>1</v>
      </c>
      <c r="C330" s="92" t="s">
        <v>796</v>
      </c>
      <c r="D330" s="92" t="s">
        <v>797</v>
      </c>
      <c r="E330" s="84" t="s">
        <v>21</v>
      </c>
      <c r="F330" s="84" t="s">
        <v>22</v>
      </c>
      <c r="G330" s="84" t="s">
        <v>57</v>
      </c>
      <c r="H330" s="84" t="s">
        <v>798</v>
      </c>
      <c r="I330" s="14"/>
      <c r="J330" s="15" t="str">
        <f>IF(E330="Invalid_Segment","Invalid",IFERROR(INDEX(Severity_Matrix!$C$3:$M$10,MATCH('Error Log'!$F330,Severity_Matrix!$B$3:$B$10,0),MATCH('Error Log'!$G330,Severity_Matrix!$C$2:$M$2,0)),"No errors"))</f>
        <v>Major</v>
      </c>
    </row>
    <row r="331" spans="1:10">
      <c r="A331" s="79" t="s">
        <v>949</v>
      </c>
      <c r="B331" s="18">
        <v>2</v>
      </c>
      <c r="C331" s="92" t="s">
        <v>796</v>
      </c>
      <c r="D331" s="92" t="s">
        <v>797</v>
      </c>
      <c r="E331" s="84" t="s">
        <v>21</v>
      </c>
      <c r="F331" s="84" t="s">
        <v>22</v>
      </c>
      <c r="G331" s="84" t="s">
        <v>57</v>
      </c>
      <c r="H331" s="84" t="s">
        <v>799</v>
      </c>
      <c r="I331" s="14"/>
      <c r="J331" s="15" t="str">
        <f>IF(E331="Invalid_Segment","Invalid",IFERROR(INDEX(Severity_Matrix!$C$3:$M$10,MATCH('Error Log'!$F331,Severity_Matrix!$B$3:$B$10,0),MATCH('Error Log'!$G331,Severity_Matrix!$C$2:$M$2,0)),"No errors"))</f>
        <v>Major</v>
      </c>
    </row>
    <row r="332" spans="1:10">
      <c r="A332" s="79" t="s">
        <v>949</v>
      </c>
      <c r="B332" s="18">
        <v>3</v>
      </c>
      <c r="C332" s="92" t="s">
        <v>796</v>
      </c>
      <c r="D332" s="92" t="s">
        <v>797</v>
      </c>
      <c r="E332" s="84" t="s">
        <v>21</v>
      </c>
      <c r="F332" s="84" t="s">
        <v>22</v>
      </c>
      <c r="G332" s="84" t="s">
        <v>57</v>
      </c>
      <c r="H332" s="84" t="s">
        <v>800</v>
      </c>
      <c r="I332" s="14"/>
      <c r="J332" s="15" t="str">
        <f>IF(E332="Invalid_Segment","Invalid",IFERROR(INDEX(Severity_Matrix!$C$3:$M$10,MATCH('Error Log'!$F332,Severity_Matrix!$B$3:$B$10,0),MATCH('Error Log'!$G332,Severity_Matrix!$C$2:$M$2,0)),"No errors"))</f>
        <v>Major</v>
      </c>
    </row>
    <row r="333" spans="1:10">
      <c r="A333" s="79" t="s">
        <v>949</v>
      </c>
      <c r="B333" s="18">
        <v>4</v>
      </c>
      <c r="C333" s="92" t="s">
        <v>796</v>
      </c>
      <c r="D333" s="92" t="s">
        <v>797</v>
      </c>
      <c r="E333" s="84" t="s">
        <v>21</v>
      </c>
      <c r="F333" s="84" t="s">
        <v>7</v>
      </c>
      <c r="G333" s="84" t="s">
        <v>57</v>
      </c>
      <c r="H333" s="84" t="s">
        <v>801</v>
      </c>
      <c r="I333" s="14"/>
      <c r="J333" s="15" t="str">
        <f>IF(E333="Invalid_Segment","Invalid",IFERROR(INDEX(Severity_Matrix!$C$3:$M$10,MATCH('Error Log'!$F333,Severity_Matrix!$B$3:$B$10,0),MATCH('Error Log'!$G333,Severity_Matrix!$C$2:$M$2,0)),"No errors"))</f>
        <v>Critical</v>
      </c>
    </row>
    <row r="334" spans="1:10">
      <c r="A334" s="79" t="s">
        <v>950</v>
      </c>
      <c r="B334" s="18">
        <v>1</v>
      </c>
      <c r="C334" s="92" t="s">
        <v>802</v>
      </c>
      <c r="D334" s="92" t="s">
        <v>803</v>
      </c>
      <c r="E334" s="84" t="s">
        <v>21</v>
      </c>
      <c r="F334" s="84" t="s">
        <v>22</v>
      </c>
      <c r="G334" s="84" t="s">
        <v>57</v>
      </c>
      <c r="H334" s="84" t="s">
        <v>804</v>
      </c>
      <c r="I334" s="14"/>
      <c r="J334" s="15" t="str">
        <f>IF(E334="Invalid_Segment","Invalid",IFERROR(INDEX(Severity_Matrix!$C$3:$M$10,MATCH('Error Log'!$F334,Severity_Matrix!$B$3:$B$10,0),MATCH('Error Log'!$G334,Severity_Matrix!$C$2:$M$2,0)),"No errors"))</f>
        <v>Major</v>
      </c>
    </row>
    <row r="335" spans="1:10">
      <c r="A335" s="79" t="s">
        <v>950</v>
      </c>
      <c r="B335" s="18">
        <v>2</v>
      </c>
      <c r="C335" s="92" t="s">
        <v>802</v>
      </c>
      <c r="D335" s="92" t="s">
        <v>803</v>
      </c>
      <c r="E335" s="84" t="s">
        <v>21</v>
      </c>
      <c r="F335" s="84" t="s">
        <v>22</v>
      </c>
      <c r="G335" s="84" t="s">
        <v>57</v>
      </c>
      <c r="H335" s="84" t="s">
        <v>805</v>
      </c>
      <c r="I335" s="14"/>
      <c r="J335" s="15" t="str">
        <f>IF(E335="Invalid_Segment","Invalid",IFERROR(INDEX(Severity_Matrix!$C$3:$M$10,MATCH('Error Log'!$F335,Severity_Matrix!$B$3:$B$10,0),MATCH('Error Log'!$G335,Severity_Matrix!$C$2:$M$2,0)),"No errors"))</f>
        <v>Major</v>
      </c>
    </row>
    <row r="336" spans="1:10">
      <c r="A336" s="79" t="s">
        <v>950</v>
      </c>
      <c r="B336" s="18">
        <v>3</v>
      </c>
      <c r="C336" s="92" t="s">
        <v>802</v>
      </c>
      <c r="D336" s="92" t="s">
        <v>803</v>
      </c>
      <c r="E336" s="84" t="s">
        <v>21</v>
      </c>
      <c r="F336" s="84" t="s">
        <v>7</v>
      </c>
      <c r="G336" s="84" t="s">
        <v>57</v>
      </c>
      <c r="H336" s="84" t="s">
        <v>806</v>
      </c>
      <c r="I336" s="14"/>
      <c r="J336" s="15" t="str">
        <f>IF(E336="Invalid_Segment","Invalid",IFERROR(INDEX(Severity_Matrix!$C$3:$M$10,MATCH('Error Log'!$F336,Severity_Matrix!$B$3:$B$10,0),MATCH('Error Log'!$G336,Severity_Matrix!$C$2:$M$2,0)),"No errors"))</f>
        <v>Critical</v>
      </c>
    </row>
    <row r="337" spans="1:10">
      <c r="A337" s="79" t="s">
        <v>951</v>
      </c>
      <c r="B337" s="18">
        <v>1</v>
      </c>
      <c r="C337" s="92" t="s">
        <v>807</v>
      </c>
      <c r="D337" s="92" t="s">
        <v>808</v>
      </c>
      <c r="E337" s="84"/>
      <c r="F337" s="84"/>
      <c r="G337" s="84"/>
      <c r="H337" s="84"/>
      <c r="I337" s="14"/>
      <c r="J337" s="15" t="str">
        <f>IF(E337="Invalid_Segment","Invalid",IFERROR(INDEX(Severity_Matrix!$C$3:$M$10,MATCH('Error Log'!$F337,Severity_Matrix!$B$3:$B$10,0),MATCH('Error Log'!$G337,Severity_Matrix!$C$2:$M$2,0)),"No errors"))</f>
        <v>No errors</v>
      </c>
    </row>
    <row r="338" spans="1:10">
      <c r="A338" s="79" t="s">
        <v>952</v>
      </c>
      <c r="B338" s="18">
        <v>1</v>
      </c>
      <c r="C338" s="92" t="s">
        <v>809</v>
      </c>
      <c r="D338" s="92" t="s">
        <v>810</v>
      </c>
      <c r="E338" s="84" t="s">
        <v>21</v>
      </c>
      <c r="F338" s="84" t="s">
        <v>22</v>
      </c>
      <c r="G338" s="84" t="s">
        <v>57</v>
      </c>
      <c r="H338" s="84" t="s">
        <v>811</v>
      </c>
      <c r="I338" s="14"/>
      <c r="J338" s="15" t="str">
        <f>IF(E338="Invalid_Segment","Invalid",IFERROR(INDEX(Severity_Matrix!$C$3:$M$10,MATCH('Error Log'!$F338,Severity_Matrix!$B$3:$B$10,0),MATCH('Error Log'!$G338,Severity_Matrix!$C$2:$M$2,0)),"No errors"))</f>
        <v>Major</v>
      </c>
    </row>
    <row r="339" spans="1:10">
      <c r="A339" s="79" t="s">
        <v>953</v>
      </c>
      <c r="B339" s="18">
        <v>1</v>
      </c>
      <c r="C339" s="92" t="s">
        <v>812</v>
      </c>
      <c r="D339" s="92" t="s">
        <v>813</v>
      </c>
      <c r="E339" s="84" t="s">
        <v>21</v>
      </c>
      <c r="F339" s="84" t="s">
        <v>22</v>
      </c>
      <c r="G339" s="84" t="s">
        <v>57</v>
      </c>
      <c r="H339" s="84" t="s">
        <v>814</v>
      </c>
      <c r="I339" s="14"/>
      <c r="J339" s="15" t="str">
        <f>IF(E339="Invalid_Segment","Invalid",IFERROR(INDEX(Severity_Matrix!$C$3:$M$10,MATCH('Error Log'!$F339,Severity_Matrix!$B$3:$B$10,0),MATCH('Error Log'!$G339,Severity_Matrix!$C$2:$M$2,0)),"No errors"))</f>
        <v>Major</v>
      </c>
    </row>
    <row r="340" spans="1:10">
      <c r="A340" s="79" t="s">
        <v>953</v>
      </c>
      <c r="B340" s="18">
        <v>2</v>
      </c>
      <c r="C340" s="92" t="s">
        <v>812</v>
      </c>
      <c r="D340" s="92" t="s">
        <v>813</v>
      </c>
      <c r="E340" s="84" t="s">
        <v>21</v>
      </c>
      <c r="F340" s="84" t="s">
        <v>7</v>
      </c>
      <c r="G340" s="84" t="s">
        <v>57</v>
      </c>
      <c r="H340" s="84" t="s">
        <v>815</v>
      </c>
      <c r="I340" s="14"/>
      <c r="J340" s="15" t="str">
        <f>IF(E340="Invalid_Segment","Invalid",IFERROR(INDEX(Severity_Matrix!$C$3:$M$10,MATCH('Error Log'!$F340,Severity_Matrix!$B$3:$B$10,0),MATCH('Error Log'!$G340,Severity_Matrix!$C$2:$M$2,0)),"No errors"))</f>
        <v>Critical</v>
      </c>
    </row>
    <row r="341" spans="1:10">
      <c r="A341" s="79" t="s">
        <v>954</v>
      </c>
      <c r="B341" s="18">
        <v>1</v>
      </c>
      <c r="C341" s="92" t="s">
        <v>816</v>
      </c>
      <c r="D341" s="92" t="s">
        <v>817</v>
      </c>
      <c r="E341" s="84" t="s">
        <v>21</v>
      </c>
      <c r="F341" s="84" t="s">
        <v>22</v>
      </c>
      <c r="G341" s="84" t="s">
        <v>57</v>
      </c>
      <c r="H341" s="84" t="s">
        <v>818</v>
      </c>
      <c r="I341" s="14"/>
      <c r="J341" s="15" t="str">
        <f>IF(E341="Invalid_Segment","Invalid",IFERROR(INDEX(Severity_Matrix!$C$3:$M$10,MATCH('Error Log'!$F341,Severity_Matrix!$B$3:$B$10,0),MATCH('Error Log'!$G341,Severity_Matrix!$C$2:$M$2,0)),"No errors"))</f>
        <v>Major</v>
      </c>
    </row>
    <row r="342" spans="1:10">
      <c r="A342" s="79" t="s">
        <v>954</v>
      </c>
      <c r="B342" s="18">
        <v>2</v>
      </c>
      <c r="C342" s="92" t="s">
        <v>816</v>
      </c>
      <c r="D342" s="92" t="s">
        <v>817</v>
      </c>
      <c r="E342" s="84" t="s">
        <v>21</v>
      </c>
      <c r="F342" s="84" t="s">
        <v>22</v>
      </c>
      <c r="G342" s="84" t="s">
        <v>57</v>
      </c>
      <c r="H342" s="84" t="s">
        <v>819</v>
      </c>
      <c r="I342" s="14"/>
      <c r="J342" s="15" t="str">
        <f>IF(E342="Invalid_Segment","Invalid",IFERROR(INDEX(Severity_Matrix!$C$3:$M$10,MATCH('Error Log'!$F342,Severity_Matrix!$B$3:$B$10,0),MATCH('Error Log'!$G342,Severity_Matrix!$C$2:$M$2,0)),"No errors"))</f>
        <v>Major</v>
      </c>
    </row>
    <row r="343" spans="1:10">
      <c r="A343" s="79" t="s">
        <v>954</v>
      </c>
      <c r="B343" s="18">
        <v>3</v>
      </c>
      <c r="C343" s="92" t="s">
        <v>816</v>
      </c>
      <c r="D343" s="92" t="s">
        <v>817</v>
      </c>
      <c r="E343" s="84" t="s">
        <v>21</v>
      </c>
      <c r="F343" s="84" t="s">
        <v>7</v>
      </c>
      <c r="G343" s="84" t="s">
        <v>28</v>
      </c>
      <c r="H343" s="84" t="s">
        <v>820</v>
      </c>
      <c r="I343" s="14"/>
      <c r="J343" s="15" t="str">
        <f>IF(E343="Invalid_Segment","Invalid",IFERROR(INDEX(Severity_Matrix!$C$3:$M$10,MATCH('Error Log'!$F343,Severity_Matrix!$B$3:$B$10,0),MATCH('Error Log'!$G343,Severity_Matrix!$C$2:$M$2,0)),"No errors"))</f>
        <v>Major</v>
      </c>
    </row>
    <row r="344" spans="1:10">
      <c r="A344" s="79" t="s">
        <v>955</v>
      </c>
      <c r="B344" s="18">
        <v>1</v>
      </c>
      <c r="C344" s="92" t="s">
        <v>821</v>
      </c>
      <c r="D344" s="92" t="s">
        <v>822</v>
      </c>
      <c r="E344" s="84" t="s">
        <v>21</v>
      </c>
      <c r="F344" s="84" t="s">
        <v>22</v>
      </c>
      <c r="G344" s="84" t="s">
        <v>57</v>
      </c>
      <c r="H344" s="84" t="s">
        <v>823</v>
      </c>
      <c r="I344" s="14"/>
      <c r="J344" s="15" t="str">
        <f>IF(E344="Invalid_Segment","Invalid",IFERROR(INDEX(Severity_Matrix!$C$3:$M$10,MATCH('Error Log'!$F344,Severity_Matrix!$B$3:$B$10,0),MATCH('Error Log'!$G344,Severity_Matrix!$C$2:$M$2,0)),"No errors"))</f>
        <v>Major</v>
      </c>
    </row>
    <row r="345" spans="1:10">
      <c r="A345" s="79" t="s">
        <v>955</v>
      </c>
      <c r="B345" s="18">
        <v>2</v>
      </c>
      <c r="C345" s="92" t="s">
        <v>821</v>
      </c>
      <c r="D345" s="92" t="s">
        <v>822</v>
      </c>
      <c r="E345" s="84" t="s">
        <v>21</v>
      </c>
      <c r="F345" s="84" t="s">
        <v>22</v>
      </c>
      <c r="G345" s="84" t="s">
        <v>57</v>
      </c>
      <c r="H345" s="84" t="s">
        <v>824</v>
      </c>
      <c r="I345" s="14"/>
      <c r="J345" s="15" t="str">
        <f>IF(E345="Invalid_Segment","Invalid",IFERROR(INDEX(Severity_Matrix!$C$3:$M$10,MATCH('Error Log'!$F345,Severity_Matrix!$B$3:$B$10,0),MATCH('Error Log'!$G345,Severity_Matrix!$C$2:$M$2,0)),"No errors"))</f>
        <v>Major</v>
      </c>
    </row>
    <row r="346" spans="1:10">
      <c r="A346" s="79" t="s">
        <v>955</v>
      </c>
      <c r="B346" s="18">
        <v>3</v>
      </c>
      <c r="C346" s="92" t="s">
        <v>821</v>
      </c>
      <c r="D346" s="92" t="s">
        <v>822</v>
      </c>
      <c r="E346" s="84" t="s">
        <v>21</v>
      </c>
      <c r="F346" s="84" t="s">
        <v>22</v>
      </c>
      <c r="G346" s="84" t="s">
        <v>57</v>
      </c>
      <c r="H346" s="84" t="s">
        <v>825</v>
      </c>
      <c r="I346" s="14"/>
      <c r="J346" s="15" t="str">
        <f>IF(E346="Invalid_Segment","Invalid",IFERROR(INDEX(Severity_Matrix!$C$3:$M$10,MATCH('Error Log'!$F346,Severity_Matrix!$B$3:$B$10,0),MATCH('Error Log'!$G346,Severity_Matrix!$C$2:$M$2,0)),"No errors"))</f>
        <v>Major</v>
      </c>
    </row>
    <row r="347" spans="1:10">
      <c r="A347" s="79" t="s">
        <v>955</v>
      </c>
      <c r="B347" s="18">
        <v>4</v>
      </c>
      <c r="C347" s="92" t="s">
        <v>821</v>
      </c>
      <c r="D347" s="92" t="s">
        <v>822</v>
      </c>
      <c r="E347" s="84" t="s">
        <v>21</v>
      </c>
      <c r="F347" s="84" t="s">
        <v>7</v>
      </c>
      <c r="G347" s="84" t="s">
        <v>57</v>
      </c>
      <c r="H347" s="84" t="s">
        <v>826</v>
      </c>
      <c r="I347" s="14"/>
      <c r="J347" s="15" t="str">
        <f>IF(E347="Invalid_Segment","Invalid",IFERROR(INDEX(Severity_Matrix!$C$3:$M$10,MATCH('Error Log'!$F347,Severity_Matrix!$B$3:$B$10,0),MATCH('Error Log'!$G347,Severity_Matrix!$C$2:$M$2,0)),"No errors"))</f>
        <v>Critical</v>
      </c>
    </row>
    <row r="348" spans="1:10">
      <c r="A348" s="79" t="s">
        <v>956</v>
      </c>
      <c r="B348" s="18">
        <v>1</v>
      </c>
      <c r="C348" s="92" t="s">
        <v>827</v>
      </c>
      <c r="D348" s="92" t="s">
        <v>828</v>
      </c>
      <c r="E348" s="84" t="s">
        <v>21</v>
      </c>
      <c r="F348" s="84" t="s">
        <v>22</v>
      </c>
      <c r="G348" s="84" t="s">
        <v>57</v>
      </c>
      <c r="H348" s="84" t="s">
        <v>829</v>
      </c>
      <c r="I348" s="14"/>
      <c r="J348" s="15" t="str">
        <f>IF(E348="Invalid_Segment","Invalid",IFERROR(INDEX(Severity_Matrix!$C$3:$M$10,MATCH('Error Log'!$F348,Severity_Matrix!$B$3:$B$10,0),MATCH('Error Log'!$G348,Severity_Matrix!$C$2:$M$2,0)),"No errors"))</f>
        <v>Major</v>
      </c>
    </row>
    <row r="349" spans="1:10">
      <c r="A349" s="79" t="s">
        <v>956</v>
      </c>
      <c r="B349" s="18">
        <v>2</v>
      </c>
      <c r="C349" s="92" t="s">
        <v>827</v>
      </c>
      <c r="D349" s="92" t="s">
        <v>828</v>
      </c>
      <c r="E349" s="84" t="s">
        <v>21</v>
      </c>
      <c r="F349" s="84" t="s">
        <v>22</v>
      </c>
      <c r="G349" s="84" t="s">
        <v>57</v>
      </c>
      <c r="H349" s="84" t="s">
        <v>830</v>
      </c>
      <c r="I349" s="14"/>
      <c r="J349" s="15" t="str">
        <f>IF(E349="Invalid_Segment","Invalid",IFERROR(INDEX(Severity_Matrix!$C$3:$M$10,MATCH('Error Log'!$F349,Severity_Matrix!$B$3:$B$10,0),MATCH('Error Log'!$G349,Severity_Matrix!$C$2:$M$2,0)),"No errors"))</f>
        <v>Major</v>
      </c>
    </row>
    <row r="350" spans="1:10">
      <c r="A350" s="79" t="s">
        <v>956</v>
      </c>
      <c r="B350" s="18">
        <v>3</v>
      </c>
      <c r="C350" s="92" t="s">
        <v>827</v>
      </c>
      <c r="D350" s="92" t="s">
        <v>828</v>
      </c>
      <c r="E350" s="84" t="s">
        <v>21</v>
      </c>
      <c r="F350" s="84" t="s">
        <v>7</v>
      </c>
      <c r="G350" s="84" t="s">
        <v>57</v>
      </c>
      <c r="H350" s="84" t="s">
        <v>831</v>
      </c>
      <c r="I350" s="14"/>
      <c r="J350" s="15" t="str">
        <f>IF(E350="Invalid_Segment","Invalid",IFERROR(INDEX(Severity_Matrix!$C$3:$M$10,MATCH('Error Log'!$F350,Severity_Matrix!$B$3:$B$10,0),MATCH('Error Log'!$G350,Severity_Matrix!$C$2:$M$2,0)),"No errors"))</f>
        <v>Critical</v>
      </c>
    </row>
    <row r="351" spans="1:10">
      <c r="A351" s="79" t="s">
        <v>956</v>
      </c>
      <c r="B351" s="18">
        <v>4</v>
      </c>
      <c r="C351" s="92" t="s">
        <v>827</v>
      </c>
      <c r="D351" s="92" t="s">
        <v>828</v>
      </c>
      <c r="E351" s="84" t="s">
        <v>21</v>
      </c>
      <c r="F351" s="84" t="s">
        <v>7</v>
      </c>
      <c r="G351" s="84" t="s">
        <v>57</v>
      </c>
      <c r="H351" s="84" t="s">
        <v>832</v>
      </c>
      <c r="I351" s="14"/>
      <c r="J351" s="15" t="str">
        <f>IF(E351="Invalid_Segment","Invalid",IFERROR(INDEX(Severity_Matrix!$C$3:$M$10,MATCH('Error Log'!$F351,Severity_Matrix!$B$3:$B$10,0),MATCH('Error Log'!$G351,Severity_Matrix!$C$2:$M$2,0)),"No errors"))</f>
        <v>Critical</v>
      </c>
    </row>
    <row r="352" spans="1:10">
      <c r="A352" s="79" t="s">
        <v>957</v>
      </c>
      <c r="B352" s="18">
        <v>1</v>
      </c>
      <c r="C352" s="92" t="s">
        <v>833</v>
      </c>
      <c r="D352" s="92" t="s">
        <v>834</v>
      </c>
      <c r="E352" s="84" t="s">
        <v>21</v>
      </c>
      <c r="F352" s="84" t="s">
        <v>22</v>
      </c>
      <c r="G352" s="84" t="s">
        <v>57</v>
      </c>
      <c r="H352" s="84" t="s">
        <v>835</v>
      </c>
      <c r="I352" s="14"/>
      <c r="J352" s="15" t="str">
        <f>IF(E352="Invalid_Segment","Invalid",IFERROR(INDEX(Severity_Matrix!$C$3:$M$10,MATCH('Error Log'!$F352,Severity_Matrix!$B$3:$B$10,0),MATCH('Error Log'!$G352,Severity_Matrix!$C$2:$M$2,0)),"No errors"))</f>
        <v>Major</v>
      </c>
    </row>
    <row r="353" spans="1:10">
      <c r="A353" s="79" t="s">
        <v>957</v>
      </c>
      <c r="B353" s="18">
        <v>2</v>
      </c>
      <c r="C353" s="92" t="s">
        <v>833</v>
      </c>
      <c r="D353" s="92" t="s">
        <v>834</v>
      </c>
      <c r="E353" s="84" t="s">
        <v>21</v>
      </c>
      <c r="F353" s="84" t="s">
        <v>22</v>
      </c>
      <c r="G353" s="84" t="s">
        <v>57</v>
      </c>
      <c r="H353" s="84" t="s">
        <v>836</v>
      </c>
      <c r="I353" s="14"/>
      <c r="J353" s="15" t="str">
        <f>IF(E353="Invalid_Segment","Invalid",IFERROR(INDEX(Severity_Matrix!$C$3:$M$10,MATCH('Error Log'!$F353,Severity_Matrix!$B$3:$B$10,0),MATCH('Error Log'!$G353,Severity_Matrix!$C$2:$M$2,0)),"No errors"))</f>
        <v>Major</v>
      </c>
    </row>
    <row r="354" spans="1:10">
      <c r="A354" s="79" t="s">
        <v>957</v>
      </c>
      <c r="B354" s="18">
        <v>3</v>
      </c>
      <c r="C354" s="92" t="s">
        <v>833</v>
      </c>
      <c r="D354" s="92" t="s">
        <v>834</v>
      </c>
      <c r="E354" s="84" t="s">
        <v>21</v>
      </c>
      <c r="F354" s="84" t="s">
        <v>7</v>
      </c>
      <c r="G354" s="84" t="s">
        <v>57</v>
      </c>
      <c r="H354" s="84" t="s">
        <v>837</v>
      </c>
      <c r="I354" s="14"/>
      <c r="J354" s="15" t="str">
        <f>IF(E354="Invalid_Segment","Invalid",IFERROR(INDEX(Severity_Matrix!$C$3:$M$10,MATCH('Error Log'!$F354,Severity_Matrix!$B$3:$B$10,0),MATCH('Error Log'!$G354,Severity_Matrix!$C$2:$M$2,0)),"No errors"))</f>
        <v>Critical</v>
      </c>
    </row>
    <row r="355" spans="1:10">
      <c r="A355" s="79" t="s">
        <v>957</v>
      </c>
      <c r="B355" s="18">
        <v>4</v>
      </c>
      <c r="C355" s="92" t="s">
        <v>833</v>
      </c>
      <c r="D355" s="92" t="s">
        <v>834</v>
      </c>
      <c r="E355" s="84" t="s">
        <v>21</v>
      </c>
      <c r="F355" s="84" t="s">
        <v>7</v>
      </c>
      <c r="G355" s="84" t="s">
        <v>57</v>
      </c>
      <c r="H355" s="84" t="s">
        <v>838</v>
      </c>
      <c r="I355" s="14"/>
      <c r="J355" s="15" t="str">
        <f>IF(E355="Invalid_Segment","Invalid",IFERROR(INDEX(Severity_Matrix!$C$3:$M$10,MATCH('Error Log'!$F355,Severity_Matrix!$B$3:$B$10,0),MATCH('Error Log'!$G355,Severity_Matrix!$C$2:$M$2,0)),"No errors"))</f>
        <v>Critical</v>
      </c>
    </row>
    <row r="356" spans="1:10">
      <c r="A356" s="79" t="s">
        <v>958</v>
      </c>
      <c r="B356" s="18">
        <v>1</v>
      </c>
      <c r="C356" s="92" t="s">
        <v>839</v>
      </c>
      <c r="D356" s="92" t="s">
        <v>840</v>
      </c>
      <c r="E356" s="84" t="s">
        <v>21</v>
      </c>
      <c r="F356" s="84" t="s">
        <v>22</v>
      </c>
      <c r="G356" s="84" t="s">
        <v>57</v>
      </c>
      <c r="H356" s="84" t="s">
        <v>841</v>
      </c>
      <c r="I356" s="14"/>
      <c r="J356" s="15" t="str">
        <f>IF(E356="Invalid_Segment","Invalid",IFERROR(INDEX(Severity_Matrix!$C$3:$M$10,MATCH('Error Log'!$F356,Severity_Matrix!$B$3:$B$10,0),MATCH('Error Log'!$G356,Severity_Matrix!$C$2:$M$2,0)),"No errors"))</f>
        <v>Major</v>
      </c>
    </row>
    <row r="357" spans="1:10">
      <c r="A357" s="79" t="s">
        <v>959</v>
      </c>
      <c r="B357" s="18">
        <v>1</v>
      </c>
      <c r="C357" s="92" t="s">
        <v>842</v>
      </c>
      <c r="D357" s="92" t="s">
        <v>843</v>
      </c>
      <c r="E357" s="84"/>
      <c r="F357" s="84"/>
      <c r="G357" s="84"/>
      <c r="H357" s="84"/>
      <c r="I357" s="14"/>
      <c r="J357" s="15" t="str">
        <f>IF(E357="Invalid_Segment","Invalid",IFERROR(INDEX(Severity_Matrix!$C$3:$M$10,MATCH('Error Log'!$F357,Severity_Matrix!$B$3:$B$10,0),MATCH('Error Log'!$G357,Severity_Matrix!$C$2:$M$2,0)),"No errors"))</f>
        <v>No errors</v>
      </c>
    </row>
    <row r="358" spans="1:10">
      <c r="A358" s="79" t="s">
        <v>960</v>
      </c>
      <c r="B358" s="18">
        <v>1</v>
      </c>
      <c r="C358" s="92" t="s">
        <v>844</v>
      </c>
      <c r="D358" s="92" t="s">
        <v>845</v>
      </c>
      <c r="E358" s="84" t="s">
        <v>21</v>
      </c>
      <c r="F358" s="84" t="s">
        <v>22</v>
      </c>
      <c r="G358" s="84" t="s">
        <v>57</v>
      </c>
      <c r="H358" s="84" t="s">
        <v>846</v>
      </c>
      <c r="I358" s="14"/>
      <c r="J358" s="15" t="str">
        <f>IF(E358="Invalid_Segment","Invalid",IFERROR(INDEX(Severity_Matrix!$C$3:$M$10,MATCH('Error Log'!$F358,Severity_Matrix!$B$3:$B$10,0),MATCH('Error Log'!$G358,Severity_Matrix!$C$2:$M$2,0)),"No errors"))</f>
        <v>Major</v>
      </c>
    </row>
    <row r="359" spans="1:10">
      <c r="A359" s="79" t="s">
        <v>961</v>
      </c>
      <c r="B359" s="18">
        <v>1</v>
      </c>
      <c r="C359" s="92" t="s">
        <v>847</v>
      </c>
      <c r="D359" s="92" t="s">
        <v>848</v>
      </c>
      <c r="E359" s="84" t="s">
        <v>21</v>
      </c>
      <c r="F359" s="84" t="s">
        <v>22</v>
      </c>
      <c r="G359" s="84" t="s">
        <v>57</v>
      </c>
      <c r="H359" s="84" t="s">
        <v>849</v>
      </c>
      <c r="I359" s="14"/>
      <c r="J359" s="15" t="str">
        <f>IF(E359="Invalid_Segment","Invalid",IFERROR(INDEX(Severity_Matrix!$C$3:$M$10,MATCH('Error Log'!$F359,Severity_Matrix!$B$3:$B$10,0),MATCH('Error Log'!$G359,Severity_Matrix!$C$2:$M$2,0)),"No errors"))</f>
        <v>Major</v>
      </c>
    </row>
    <row r="360" spans="1:10">
      <c r="A360" s="79" t="s">
        <v>961</v>
      </c>
      <c r="B360" s="18">
        <v>2</v>
      </c>
      <c r="C360" s="92" t="s">
        <v>847</v>
      </c>
      <c r="D360" s="92" t="s">
        <v>848</v>
      </c>
      <c r="E360" s="84" t="s">
        <v>21</v>
      </c>
      <c r="F360" s="84" t="s">
        <v>7</v>
      </c>
      <c r="G360" s="84" t="s">
        <v>57</v>
      </c>
      <c r="H360" s="84" t="s">
        <v>850</v>
      </c>
      <c r="I360" s="14"/>
      <c r="J360" s="15" t="str">
        <f>IF(E360="Invalid_Segment","Invalid",IFERROR(INDEX(Severity_Matrix!$C$3:$M$10,MATCH('Error Log'!$F360,Severity_Matrix!$B$3:$B$10,0),MATCH('Error Log'!$G360,Severity_Matrix!$C$2:$M$2,0)),"No errors"))</f>
        <v>Critical</v>
      </c>
    </row>
    <row r="361" spans="1:10">
      <c r="A361" s="79" t="s">
        <v>962</v>
      </c>
      <c r="B361" s="18">
        <v>1</v>
      </c>
      <c r="C361" s="92" t="s">
        <v>851</v>
      </c>
      <c r="D361" s="92" t="s">
        <v>852</v>
      </c>
      <c r="E361" s="84" t="s">
        <v>21</v>
      </c>
      <c r="F361" s="84" t="s">
        <v>22</v>
      </c>
      <c r="G361" s="84" t="s">
        <v>57</v>
      </c>
      <c r="H361" s="84" t="s">
        <v>853</v>
      </c>
      <c r="I361" s="14"/>
      <c r="J361" s="15" t="str">
        <f>IF(E361="Invalid_Segment","Invalid",IFERROR(INDEX(Severity_Matrix!$C$3:$M$10,MATCH('Error Log'!$F361,Severity_Matrix!$B$3:$B$10,0),MATCH('Error Log'!$G361,Severity_Matrix!$C$2:$M$2,0)),"No errors"))</f>
        <v>Major</v>
      </c>
    </row>
    <row r="362" spans="1:10">
      <c r="A362" s="79" t="s">
        <v>962</v>
      </c>
      <c r="B362" s="18">
        <v>2</v>
      </c>
      <c r="C362" s="92" t="s">
        <v>851</v>
      </c>
      <c r="D362" s="92" t="s">
        <v>852</v>
      </c>
      <c r="E362" s="84" t="s">
        <v>21</v>
      </c>
      <c r="F362" s="84" t="s">
        <v>7</v>
      </c>
      <c r="G362" s="84" t="s">
        <v>57</v>
      </c>
      <c r="H362" s="84" t="s">
        <v>854</v>
      </c>
      <c r="I362" s="14"/>
      <c r="J362" s="15" t="str">
        <f>IF(E362="Invalid_Segment","Invalid",IFERROR(INDEX(Severity_Matrix!$C$3:$M$10,MATCH('Error Log'!$F362,Severity_Matrix!$B$3:$B$10,0),MATCH('Error Log'!$G362,Severity_Matrix!$C$2:$M$2,0)),"No errors"))</f>
        <v>Critical</v>
      </c>
    </row>
    <row r="363" spans="1:10">
      <c r="A363" s="79" t="s">
        <v>962</v>
      </c>
      <c r="B363" s="18">
        <v>3</v>
      </c>
      <c r="C363" s="92" t="s">
        <v>851</v>
      </c>
      <c r="D363" s="92" t="s">
        <v>852</v>
      </c>
      <c r="E363" s="84" t="s">
        <v>21</v>
      </c>
      <c r="F363" s="84" t="s">
        <v>7</v>
      </c>
      <c r="G363" s="84" t="s">
        <v>57</v>
      </c>
      <c r="H363" s="84" t="s">
        <v>855</v>
      </c>
      <c r="I363" s="14"/>
      <c r="J363" s="15" t="str">
        <f>IF(E363="Invalid_Segment","Invalid",IFERROR(INDEX(Severity_Matrix!$C$3:$M$10,MATCH('Error Log'!$F363,Severity_Matrix!$B$3:$B$10,0),MATCH('Error Log'!$G363,Severity_Matrix!$C$2:$M$2,0)),"No errors"))</f>
        <v>Critical</v>
      </c>
    </row>
    <row r="364" spans="1:10">
      <c r="A364" s="79" t="s">
        <v>963</v>
      </c>
      <c r="B364" s="18">
        <v>1</v>
      </c>
      <c r="C364" s="92" t="s">
        <v>856</v>
      </c>
      <c r="D364" s="92" t="s">
        <v>857</v>
      </c>
      <c r="E364" s="84" t="s">
        <v>2</v>
      </c>
      <c r="F364" s="84" t="s">
        <v>26</v>
      </c>
      <c r="G364" s="84" t="s">
        <v>57</v>
      </c>
      <c r="H364" s="84" t="s">
        <v>858</v>
      </c>
      <c r="I364" s="14"/>
      <c r="J364" s="15" t="str">
        <f>IF(E364="Invalid_Segment","Invalid",IFERROR(INDEX(Severity_Matrix!$C$3:$M$10,MATCH('Error Log'!$F364,Severity_Matrix!$B$3:$B$10,0),MATCH('Error Log'!$G364,Severity_Matrix!$C$2:$M$2,0)),"No errors"))</f>
        <v>Major</v>
      </c>
    </row>
    <row r="365" spans="1:10">
      <c r="A365" s="79" t="s">
        <v>964</v>
      </c>
      <c r="B365" s="18">
        <v>1</v>
      </c>
      <c r="C365" s="92" t="s">
        <v>859</v>
      </c>
      <c r="D365" s="92" t="s">
        <v>860</v>
      </c>
      <c r="E365" s="84" t="s">
        <v>21</v>
      </c>
      <c r="F365" s="84" t="s">
        <v>7</v>
      </c>
      <c r="G365" s="84" t="s">
        <v>57</v>
      </c>
      <c r="H365" s="84" t="s">
        <v>861</v>
      </c>
      <c r="I365" s="14"/>
      <c r="J365" s="15" t="str">
        <f>IF(E365="Invalid_Segment","Invalid",IFERROR(INDEX(Severity_Matrix!$C$3:$M$10,MATCH('Error Log'!$F365,Severity_Matrix!$B$3:$B$10,0),MATCH('Error Log'!$G365,Severity_Matrix!$C$2:$M$2,0)),"No errors"))</f>
        <v>Critical</v>
      </c>
    </row>
    <row r="366" spans="1:10">
      <c r="A366" s="93" t="s">
        <v>965</v>
      </c>
      <c r="B366" s="18">
        <v>1</v>
      </c>
      <c r="C366" s="89" t="s">
        <v>862</v>
      </c>
      <c r="D366" s="89" t="s">
        <v>863</v>
      </c>
      <c r="E366" s="84" t="s">
        <v>21</v>
      </c>
      <c r="F366" s="84" t="s">
        <v>22</v>
      </c>
      <c r="G366" s="84" t="s">
        <v>57</v>
      </c>
      <c r="H366" s="90" t="s">
        <v>864</v>
      </c>
      <c r="I366" s="14"/>
      <c r="J366" s="15" t="str">
        <f>IF(E366="Invalid_Segment","Invalid",IFERROR(INDEX(Severity_Matrix!$C$3:$M$10,MATCH('Error Log'!$F366,Severity_Matrix!$B$3:$B$10,0),MATCH('Error Log'!$G366,Severity_Matrix!$C$2:$M$2,0)),"No errors"))</f>
        <v>Major</v>
      </c>
    </row>
    <row r="367" spans="1:10">
      <c r="A367" s="93" t="s">
        <v>965</v>
      </c>
      <c r="B367" s="18">
        <v>2</v>
      </c>
      <c r="C367" s="89" t="s">
        <v>862</v>
      </c>
      <c r="D367" s="89" t="s">
        <v>863</v>
      </c>
      <c r="E367" s="84" t="s">
        <v>21</v>
      </c>
      <c r="F367" s="84" t="s">
        <v>22</v>
      </c>
      <c r="G367" s="84" t="s">
        <v>57</v>
      </c>
      <c r="H367" s="84" t="s">
        <v>865</v>
      </c>
      <c r="I367" s="14"/>
      <c r="J367" s="15" t="str">
        <f>IF(E367="Invalid_Segment","Invalid",IFERROR(INDEX(Severity_Matrix!$C$3:$M$10,MATCH('Error Log'!$F367,Severity_Matrix!$B$3:$B$10,0),MATCH('Error Log'!$G367,Severity_Matrix!$C$2:$M$2,0)),"No errors"))</f>
        <v>Major</v>
      </c>
    </row>
    <row r="368" spans="1:10">
      <c r="A368" s="93" t="s">
        <v>965</v>
      </c>
      <c r="B368" s="18">
        <v>3</v>
      </c>
      <c r="C368" s="89" t="s">
        <v>862</v>
      </c>
      <c r="D368" s="89" t="s">
        <v>863</v>
      </c>
      <c r="E368" s="84" t="s">
        <v>21</v>
      </c>
      <c r="F368" s="84" t="s">
        <v>7</v>
      </c>
      <c r="G368" s="84" t="s">
        <v>28</v>
      </c>
      <c r="H368" s="90" t="s">
        <v>866</v>
      </c>
      <c r="I368" s="14"/>
      <c r="J368" s="15" t="str">
        <f>IF(E368="Invalid_Segment","Invalid",IFERROR(INDEX(Severity_Matrix!$C$3:$M$10,MATCH('Error Log'!$F368,Severity_Matrix!$B$3:$B$10,0),MATCH('Error Log'!$G368,Severity_Matrix!$C$2:$M$2,0)),"No errors"))</f>
        <v>Major</v>
      </c>
    </row>
    <row r="369" spans="1:10">
      <c r="A369" s="93" t="s">
        <v>965</v>
      </c>
      <c r="B369" s="18">
        <v>4</v>
      </c>
      <c r="C369" s="89" t="s">
        <v>862</v>
      </c>
      <c r="D369" s="89" t="s">
        <v>863</v>
      </c>
      <c r="E369" s="84" t="s">
        <v>21</v>
      </c>
      <c r="F369" s="84" t="s">
        <v>7</v>
      </c>
      <c r="G369" s="84" t="s">
        <v>57</v>
      </c>
      <c r="H369" s="84" t="s">
        <v>867</v>
      </c>
      <c r="I369" s="14"/>
      <c r="J369" s="15" t="str">
        <f>IF(E369="Invalid_Segment","Invalid",IFERROR(INDEX(Severity_Matrix!$C$3:$M$10,MATCH('Error Log'!$F369,Severity_Matrix!$B$3:$B$10,0),MATCH('Error Log'!$G369,Severity_Matrix!$C$2:$M$2,0)),"No errors"))</f>
        <v>Critical</v>
      </c>
    </row>
    <row r="370" spans="1:10">
      <c r="A370" s="93" t="s">
        <v>965</v>
      </c>
      <c r="B370" s="18">
        <v>5</v>
      </c>
      <c r="C370" s="89" t="s">
        <v>862</v>
      </c>
      <c r="D370" s="89" t="s">
        <v>863</v>
      </c>
      <c r="E370" s="84" t="s">
        <v>21</v>
      </c>
      <c r="F370" s="84" t="s">
        <v>7</v>
      </c>
      <c r="G370" s="84" t="s">
        <v>57</v>
      </c>
      <c r="H370" s="84" t="s">
        <v>868</v>
      </c>
      <c r="I370" s="14"/>
      <c r="J370" s="15" t="str">
        <f>IF(E370="Invalid_Segment","Invalid",IFERROR(INDEX(Severity_Matrix!$C$3:$M$10,MATCH('Error Log'!$F370,Severity_Matrix!$B$3:$B$10,0),MATCH('Error Log'!$G370,Severity_Matrix!$C$2:$M$2,0)),"No errors"))</f>
        <v>Critical</v>
      </c>
    </row>
    <row r="371" spans="1:10">
      <c r="A371" s="93" t="s">
        <v>966</v>
      </c>
      <c r="B371" s="18">
        <v>1</v>
      </c>
      <c r="C371" s="89" t="s">
        <v>869</v>
      </c>
      <c r="D371" s="89" t="s">
        <v>870</v>
      </c>
      <c r="E371" s="84" t="s">
        <v>21</v>
      </c>
      <c r="F371" s="84" t="s">
        <v>22</v>
      </c>
      <c r="G371" s="84" t="s">
        <v>57</v>
      </c>
      <c r="H371" s="84" t="s">
        <v>871</v>
      </c>
      <c r="I371" s="14"/>
      <c r="J371" s="15" t="str">
        <f>IF(E371="Invalid_Segment","Invalid",IFERROR(INDEX(Severity_Matrix!$C$3:$M$10,MATCH('Error Log'!$F371,Severity_Matrix!$B$3:$B$10,0),MATCH('Error Log'!$G371,Severity_Matrix!$C$2:$M$2,0)),"No errors"))</f>
        <v>Major</v>
      </c>
    </row>
    <row r="372" spans="1:10">
      <c r="A372" s="93" t="s">
        <v>966</v>
      </c>
      <c r="B372" s="18">
        <v>2</v>
      </c>
      <c r="C372" s="89" t="s">
        <v>869</v>
      </c>
      <c r="D372" s="89" t="s">
        <v>870</v>
      </c>
      <c r="E372" s="84" t="s">
        <v>21</v>
      </c>
      <c r="F372" s="84" t="s">
        <v>22</v>
      </c>
      <c r="G372" s="84" t="s">
        <v>57</v>
      </c>
      <c r="H372" s="84" t="s">
        <v>872</v>
      </c>
      <c r="I372" s="14"/>
      <c r="J372" s="15" t="str">
        <f>IF(E372="Invalid_Segment","Invalid",IFERROR(INDEX(Severity_Matrix!$C$3:$M$10,MATCH('Error Log'!$F372,Severity_Matrix!$B$3:$B$10,0),MATCH('Error Log'!$G372,Severity_Matrix!$C$2:$M$2,0)),"No errors"))</f>
        <v>Major</v>
      </c>
    </row>
    <row r="373" spans="1:10">
      <c r="A373" s="93" t="s">
        <v>967</v>
      </c>
      <c r="B373" s="18">
        <v>1</v>
      </c>
      <c r="C373" s="89" t="s">
        <v>873</v>
      </c>
      <c r="D373" s="89" t="s">
        <v>874</v>
      </c>
      <c r="E373" s="84" t="s">
        <v>21</v>
      </c>
      <c r="F373" s="84" t="s">
        <v>22</v>
      </c>
      <c r="G373" s="84" t="s">
        <v>57</v>
      </c>
      <c r="H373" s="84" t="s">
        <v>875</v>
      </c>
      <c r="I373" s="14"/>
      <c r="J373" s="15" t="str">
        <f>IF(E373="Invalid_Segment","Invalid",IFERROR(INDEX(Severity_Matrix!$C$3:$M$10,MATCH('Error Log'!$F373,Severity_Matrix!$B$3:$B$10,0),MATCH('Error Log'!$G373,Severity_Matrix!$C$2:$M$2,0)),"No errors"))</f>
        <v>Major</v>
      </c>
    </row>
    <row r="374" spans="1:10">
      <c r="A374" s="93" t="s">
        <v>967</v>
      </c>
      <c r="B374" s="18">
        <v>2</v>
      </c>
      <c r="C374" s="89" t="s">
        <v>873</v>
      </c>
      <c r="D374" s="89" t="s">
        <v>874</v>
      </c>
      <c r="E374" s="84" t="s">
        <v>21</v>
      </c>
      <c r="F374" s="84" t="s">
        <v>22</v>
      </c>
      <c r="G374" s="84" t="s">
        <v>57</v>
      </c>
      <c r="H374" s="84" t="s">
        <v>876</v>
      </c>
      <c r="I374" s="14"/>
      <c r="J374" s="15" t="str">
        <f>IF(E374="Invalid_Segment","Invalid",IFERROR(INDEX(Severity_Matrix!$C$3:$M$10,MATCH('Error Log'!$F374,Severity_Matrix!$B$3:$B$10,0),MATCH('Error Log'!$G374,Severity_Matrix!$C$2:$M$2,0)),"No errors"))</f>
        <v>Major</v>
      </c>
    </row>
    <row r="375" spans="1:10">
      <c r="A375" s="93" t="s">
        <v>967</v>
      </c>
      <c r="B375" s="18">
        <v>3</v>
      </c>
      <c r="C375" s="89" t="s">
        <v>873</v>
      </c>
      <c r="D375" s="89" t="s">
        <v>874</v>
      </c>
      <c r="E375" s="84" t="s">
        <v>21</v>
      </c>
      <c r="F375" s="84" t="s">
        <v>7</v>
      </c>
      <c r="G375" s="84" t="s">
        <v>57</v>
      </c>
      <c r="H375" s="84" t="s">
        <v>877</v>
      </c>
      <c r="I375" s="14"/>
      <c r="J375" s="15" t="str">
        <f>IF(E375="Invalid_Segment","Invalid",IFERROR(INDEX(Severity_Matrix!$C$3:$M$10,MATCH('Error Log'!$F375,Severity_Matrix!$B$3:$B$10,0),MATCH('Error Log'!$G375,Severity_Matrix!$C$2:$M$2,0)),"No errors"))</f>
        <v>Critical</v>
      </c>
    </row>
    <row r="376" spans="1:10">
      <c r="A376" s="93" t="s">
        <v>967</v>
      </c>
      <c r="B376" s="18">
        <v>4</v>
      </c>
      <c r="C376" s="89" t="s">
        <v>873</v>
      </c>
      <c r="D376" s="89" t="s">
        <v>874</v>
      </c>
      <c r="E376" s="84" t="s">
        <v>21</v>
      </c>
      <c r="F376" s="84" t="s">
        <v>7</v>
      </c>
      <c r="G376" s="84" t="s">
        <v>57</v>
      </c>
      <c r="H376" s="84" t="s">
        <v>878</v>
      </c>
      <c r="I376" s="14"/>
      <c r="J376" s="15" t="str">
        <f>IF(E376="Invalid_Segment","Invalid",IFERROR(INDEX(Severity_Matrix!$C$3:$M$10,MATCH('Error Log'!$F376,Severity_Matrix!$B$3:$B$10,0),MATCH('Error Log'!$G376,Severity_Matrix!$C$2:$M$2,0)),"No errors"))</f>
        <v>Critical</v>
      </c>
    </row>
    <row r="377" spans="1:10">
      <c r="A377" s="93" t="s">
        <v>968</v>
      </c>
      <c r="B377" s="18">
        <v>1</v>
      </c>
      <c r="C377" s="89" t="s">
        <v>879</v>
      </c>
      <c r="D377" s="89" t="s">
        <v>880</v>
      </c>
      <c r="E377" s="84" t="s">
        <v>21</v>
      </c>
      <c r="F377" s="84" t="s">
        <v>22</v>
      </c>
      <c r="G377" s="84" t="s">
        <v>57</v>
      </c>
      <c r="H377" s="84" t="s">
        <v>881</v>
      </c>
      <c r="I377" s="14"/>
      <c r="J377" s="15" t="str">
        <f>IF(E377="Invalid_Segment","Invalid",IFERROR(INDEX(Severity_Matrix!$C$3:$M$10,MATCH('Error Log'!$F377,Severity_Matrix!$B$3:$B$10,0),MATCH('Error Log'!$G377,Severity_Matrix!$C$2:$M$2,0)),"No errors"))</f>
        <v>Major</v>
      </c>
    </row>
    <row r="378" spans="1:10">
      <c r="A378" s="93" t="s">
        <v>968</v>
      </c>
      <c r="B378" s="18">
        <v>2</v>
      </c>
      <c r="C378" s="89" t="s">
        <v>879</v>
      </c>
      <c r="D378" s="89" t="s">
        <v>880</v>
      </c>
      <c r="E378" s="84" t="s">
        <v>21</v>
      </c>
      <c r="F378" s="84" t="s">
        <v>7</v>
      </c>
      <c r="G378" s="84" t="s">
        <v>57</v>
      </c>
      <c r="H378" s="84" t="s">
        <v>882</v>
      </c>
      <c r="I378" s="14"/>
      <c r="J378" s="15" t="str">
        <f>IF(E378="Invalid_Segment","Invalid",IFERROR(INDEX(Severity_Matrix!$C$3:$M$10,MATCH('Error Log'!$F378,Severity_Matrix!$B$3:$B$10,0),MATCH('Error Log'!$G378,Severity_Matrix!$C$2:$M$2,0)),"No errors"))</f>
        <v>Critical</v>
      </c>
    </row>
    <row r="379" spans="1:10">
      <c r="A379" s="93" t="s">
        <v>969</v>
      </c>
      <c r="B379" s="18">
        <v>1</v>
      </c>
      <c r="C379" s="89" t="s">
        <v>883</v>
      </c>
      <c r="D379" s="89" t="s">
        <v>884</v>
      </c>
      <c r="E379" s="84" t="s">
        <v>21</v>
      </c>
      <c r="F379" s="84" t="s">
        <v>22</v>
      </c>
      <c r="G379" s="84" t="s">
        <v>57</v>
      </c>
      <c r="H379" s="84" t="s">
        <v>885</v>
      </c>
      <c r="I379" s="14"/>
      <c r="J379" s="15" t="str">
        <f>IF(E379="Invalid_Segment","Invalid",IFERROR(INDEX(Severity_Matrix!$C$3:$M$10,MATCH('Error Log'!$F379,Severity_Matrix!$B$3:$B$10,0),MATCH('Error Log'!$G379,Severity_Matrix!$C$2:$M$2,0)),"No errors"))</f>
        <v>Major</v>
      </c>
    </row>
    <row r="380" spans="1:10">
      <c r="A380" s="93" t="s">
        <v>970</v>
      </c>
      <c r="B380" s="18">
        <v>1</v>
      </c>
      <c r="C380" s="89" t="s">
        <v>886</v>
      </c>
      <c r="D380" s="89" t="s">
        <v>887</v>
      </c>
      <c r="E380" s="84" t="s">
        <v>21</v>
      </c>
      <c r="F380" s="84" t="s">
        <v>22</v>
      </c>
      <c r="G380" s="84" t="s">
        <v>57</v>
      </c>
      <c r="H380" s="84" t="s">
        <v>888</v>
      </c>
      <c r="I380" s="14"/>
      <c r="J380" s="15" t="str">
        <f>IF(E380="Invalid_Segment","Invalid",IFERROR(INDEX(Severity_Matrix!$C$3:$M$10,MATCH('Error Log'!$F380,Severity_Matrix!$B$3:$B$10,0),MATCH('Error Log'!$G380,Severity_Matrix!$C$2:$M$2,0)),"No errors"))</f>
        <v>Major</v>
      </c>
    </row>
    <row r="381" spans="1:10">
      <c r="A381" s="93" t="s">
        <v>970</v>
      </c>
      <c r="B381" s="18">
        <v>2</v>
      </c>
      <c r="C381" s="89" t="s">
        <v>886</v>
      </c>
      <c r="D381" s="89" t="s">
        <v>887</v>
      </c>
      <c r="E381" s="84" t="s">
        <v>21</v>
      </c>
      <c r="F381" s="84" t="s">
        <v>7</v>
      </c>
      <c r="G381" s="84" t="s">
        <v>57</v>
      </c>
      <c r="H381" s="84" t="s">
        <v>889</v>
      </c>
      <c r="I381" s="14"/>
      <c r="J381" s="15" t="str">
        <f>IF(E381="Invalid_Segment","Invalid",IFERROR(INDEX(Severity_Matrix!$C$3:$M$10,MATCH('Error Log'!$F381,Severity_Matrix!$B$3:$B$10,0),MATCH('Error Log'!$G381,Severity_Matrix!$C$2:$M$2,0)),"No errors"))</f>
        <v>Critical</v>
      </c>
    </row>
    <row r="382" spans="1:10">
      <c r="A382" s="93" t="s">
        <v>971</v>
      </c>
      <c r="B382" s="18">
        <v>1</v>
      </c>
      <c r="C382" s="89" t="s">
        <v>890</v>
      </c>
      <c r="D382" s="89" t="s">
        <v>891</v>
      </c>
      <c r="E382" s="84"/>
      <c r="F382" s="84"/>
      <c r="G382" s="84"/>
      <c r="H382" s="84"/>
      <c r="I382" s="14"/>
      <c r="J382" s="15" t="str">
        <f>IF(E382="Invalid_Segment","Invalid",IFERROR(INDEX(Severity_Matrix!$C$3:$M$10,MATCH('Error Log'!$F382,Severity_Matrix!$B$3:$B$10,0),MATCH('Error Log'!$G382,Severity_Matrix!$C$2:$M$2,0)),"No errors"))</f>
        <v>No errors</v>
      </c>
    </row>
    <row r="383" spans="1:10">
      <c r="A383" s="93" t="s">
        <v>972</v>
      </c>
      <c r="B383" s="18">
        <v>1</v>
      </c>
      <c r="C383" s="89" t="s">
        <v>892</v>
      </c>
      <c r="D383" s="89" t="s">
        <v>893</v>
      </c>
      <c r="E383" s="84" t="s">
        <v>21</v>
      </c>
      <c r="F383" s="84" t="s">
        <v>7</v>
      </c>
      <c r="G383" s="84" t="s">
        <v>57</v>
      </c>
      <c r="H383" s="84" t="s">
        <v>894</v>
      </c>
      <c r="I383" s="14"/>
      <c r="J383" s="15" t="str">
        <f>IF(E383="Invalid_Segment","Invalid",IFERROR(INDEX(Severity_Matrix!$C$3:$M$10,MATCH('Error Log'!$F383,Severity_Matrix!$B$3:$B$10,0),MATCH('Error Log'!$G383,Severity_Matrix!$C$2:$M$2,0)),"No errors"))</f>
        <v>Critical</v>
      </c>
    </row>
    <row r="384" spans="1:10">
      <c r="A384" s="93" t="s">
        <v>973</v>
      </c>
      <c r="B384" s="18">
        <v>1</v>
      </c>
      <c r="C384" s="89" t="s">
        <v>895</v>
      </c>
      <c r="D384" s="89" t="s">
        <v>896</v>
      </c>
      <c r="E384" s="84" t="s">
        <v>21</v>
      </c>
      <c r="F384" s="84" t="s">
        <v>7</v>
      </c>
      <c r="G384" s="84" t="s">
        <v>27</v>
      </c>
      <c r="H384" s="84" t="s">
        <v>897</v>
      </c>
      <c r="I384" s="14"/>
      <c r="J384" s="15" t="str">
        <f>IF(E384="Invalid_Segment","Invalid",IFERROR(INDEX(Severity_Matrix!$C$3:$M$10,MATCH('Error Log'!$F384,Severity_Matrix!$B$3:$B$10,0),MATCH('Error Log'!$G384,Severity_Matrix!$C$2:$M$2,0)),"No errors"))</f>
        <v>Major</v>
      </c>
    </row>
    <row r="385" spans="1:10">
      <c r="A385" s="93" t="s">
        <v>973</v>
      </c>
      <c r="B385" s="18">
        <v>2</v>
      </c>
      <c r="C385" s="89" t="s">
        <v>895</v>
      </c>
      <c r="D385" s="89" t="s">
        <v>896</v>
      </c>
      <c r="E385" s="84" t="s">
        <v>21</v>
      </c>
      <c r="F385" s="84" t="s">
        <v>7</v>
      </c>
      <c r="G385" s="84" t="s">
        <v>57</v>
      </c>
      <c r="H385" s="84" t="s">
        <v>898</v>
      </c>
      <c r="I385" s="14"/>
      <c r="J385" s="15" t="str">
        <f>IF(E385="Invalid_Segment","Invalid",IFERROR(INDEX(Severity_Matrix!$C$3:$M$10,MATCH('Error Log'!$F385,Severity_Matrix!$B$3:$B$10,0),MATCH('Error Log'!$G385,Severity_Matrix!$C$2:$M$2,0)),"No errors"))</f>
        <v>Critical</v>
      </c>
    </row>
    <row r="386" spans="1:10">
      <c r="A386" s="93" t="s">
        <v>973</v>
      </c>
      <c r="B386" s="18">
        <v>3</v>
      </c>
      <c r="C386" s="89" t="s">
        <v>895</v>
      </c>
      <c r="D386" s="89" t="s">
        <v>896</v>
      </c>
      <c r="E386" s="84" t="s">
        <v>21</v>
      </c>
      <c r="F386" s="84" t="s">
        <v>7</v>
      </c>
      <c r="G386" s="84" t="s">
        <v>57</v>
      </c>
      <c r="H386" s="84" t="s">
        <v>899</v>
      </c>
      <c r="I386" s="14"/>
      <c r="J386" s="15" t="str">
        <f>IF(E386="Invalid_Segment","Invalid",IFERROR(INDEX(Severity_Matrix!$C$3:$M$10,MATCH('Error Log'!$F386,Severity_Matrix!$B$3:$B$10,0),MATCH('Error Log'!$G386,Severity_Matrix!$C$2:$M$2,0)),"No errors"))</f>
        <v>Critical</v>
      </c>
    </row>
    <row r="387" spans="1:10">
      <c r="A387" s="93" t="s">
        <v>974</v>
      </c>
      <c r="B387" s="18">
        <v>1</v>
      </c>
      <c r="C387" s="89" t="s">
        <v>900</v>
      </c>
      <c r="D387" s="89" t="s">
        <v>901</v>
      </c>
      <c r="E387" s="84" t="s">
        <v>21</v>
      </c>
      <c r="F387" s="84" t="s">
        <v>22</v>
      </c>
      <c r="G387" s="84" t="s">
        <v>57</v>
      </c>
      <c r="H387" s="84" t="s">
        <v>902</v>
      </c>
      <c r="I387" s="14"/>
      <c r="J387" s="15" t="str">
        <f>IF(E387="Invalid_Segment","Invalid",IFERROR(INDEX(Severity_Matrix!$C$3:$M$10,MATCH('Error Log'!$F387,Severity_Matrix!$B$3:$B$10,0),MATCH('Error Log'!$G387,Severity_Matrix!$C$2:$M$2,0)),"No errors"))</f>
        <v>Major</v>
      </c>
    </row>
    <row r="388" spans="1:10">
      <c r="A388" s="93" t="s">
        <v>974</v>
      </c>
      <c r="B388" s="18">
        <v>2</v>
      </c>
      <c r="C388" s="89" t="s">
        <v>900</v>
      </c>
      <c r="D388" s="89" t="s">
        <v>901</v>
      </c>
      <c r="E388" s="84" t="s">
        <v>21</v>
      </c>
      <c r="F388" s="84" t="s">
        <v>22</v>
      </c>
      <c r="G388" s="84" t="s">
        <v>57</v>
      </c>
      <c r="H388" s="90" t="s">
        <v>903</v>
      </c>
      <c r="I388" s="14"/>
      <c r="J388" s="15" t="str">
        <f>IF(E388="Invalid_Segment","Invalid",IFERROR(INDEX(Severity_Matrix!$C$3:$M$10,MATCH('Error Log'!$F388,Severity_Matrix!$B$3:$B$10,0),MATCH('Error Log'!$G388,Severity_Matrix!$C$2:$M$2,0)),"No errors"))</f>
        <v>Major</v>
      </c>
    </row>
    <row r="389" spans="1:10">
      <c r="A389" s="93" t="s">
        <v>974</v>
      </c>
      <c r="B389" s="18">
        <v>3</v>
      </c>
      <c r="C389" s="89" t="s">
        <v>900</v>
      </c>
      <c r="D389" s="89" t="s">
        <v>901</v>
      </c>
      <c r="E389" s="84" t="s">
        <v>21</v>
      </c>
      <c r="F389" s="84" t="s">
        <v>22</v>
      </c>
      <c r="G389" s="84" t="s">
        <v>57</v>
      </c>
      <c r="H389" s="94" t="s">
        <v>904</v>
      </c>
      <c r="I389" s="14"/>
      <c r="J389" s="15" t="str">
        <f>IF(E389="Invalid_Segment","Invalid",IFERROR(INDEX(Severity_Matrix!$C$3:$M$10,MATCH('Error Log'!$F389,Severity_Matrix!$B$3:$B$10,0),MATCH('Error Log'!$G389,Severity_Matrix!$C$2:$M$2,0)),"No errors"))</f>
        <v>Major</v>
      </c>
    </row>
    <row r="390" spans="1:10">
      <c r="A390" s="93" t="s">
        <v>974</v>
      </c>
      <c r="B390" s="18">
        <v>4</v>
      </c>
      <c r="C390" s="89" t="s">
        <v>900</v>
      </c>
      <c r="D390" s="89" t="s">
        <v>901</v>
      </c>
      <c r="E390" s="84" t="s">
        <v>21</v>
      </c>
      <c r="F390" s="84" t="s">
        <v>7</v>
      </c>
      <c r="G390" s="84" t="s">
        <v>57</v>
      </c>
      <c r="H390" s="84" t="s">
        <v>905</v>
      </c>
      <c r="I390" s="14"/>
      <c r="J390" s="15" t="str">
        <f>IF(E390="Invalid_Segment","Invalid",IFERROR(INDEX(Severity_Matrix!$C$3:$M$10,MATCH('Error Log'!$F390,Severity_Matrix!$B$3:$B$10,0),MATCH('Error Log'!$G390,Severity_Matrix!$C$2:$M$2,0)),"No errors"))</f>
        <v>Critical</v>
      </c>
    </row>
    <row r="391" spans="1:10">
      <c r="A391" s="93" t="s">
        <v>974</v>
      </c>
      <c r="B391" s="18">
        <v>5</v>
      </c>
      <c r="C391" s="89" t="s">
        <v>900</v>
      </c>
      <c r="D391" s="89" t="s">
        <v>901</v>
      </c>
      <c r="E391" s="84" t="s">
        <v>21</v>
      </c>
      <c r="F391" s="84" t="s">
        <v>7</v>
      </c>
      <c r="G391" s="84" t="s">
        <v>57</v>
      </c>
      <c r="H391" s="84" t="s">
        <v>906</v>
      </c>
      <c r="I391" s="14"/>
      <c r="J391" s="15" t="str">
        <f>IF(E391="Invalid_Segment","Invalid",IFERROR(INDEX(Severity_Matrix!$C$3:$M$10,MATCH('Error Log'!$F391,Severity_Matrix!$B$3:$B$10,0),MATCH('Error Log'!$G391,Severity_Matrix!$C$2:$M$2,0)),"No errors"))</f>
        <v>Critical</v>
      </c>
    </row>
    <row r="392" spans="1:10">
      <c r="A392" s="93" t="s">
        <v>975</v>
      </c>
      <c r="B392" s="18">
        <v>1</v>
      </c>
      <c r="C392" s="89" t="s">
        <v>907</v>
      </c>
      <c r="D392" s="89" t="s">
        <v>908</v>
      </c>
      <c r="E392" s="84" t="s">
        <v>21</v>
      </c>
      <c r="F392" s="84" t="s">
        <v>7</v>
      </c>
      <c r="G392" s="84" t="s">
        <v>57</v>
      </c>
      <c r="H392" s="84" t="s">
        <v>909</v>
      </c>
      <c r="I392" s="14"/>
      <c r="J392" s="15" t="str">
        <f>IF(E392="Invalid_Segment","Invalid",IFERROR(INDEX(Severity_Matrix!$C$3:$M$10,MATCH('Error Log'!$F392,Severity_Matrix!$B$3:$B$10,0),MATCH('Error Log'!$G392,Severity_Matrix!$C$2:$M$2,0)),"No errors"))</f>
        <v>Critical</v>
      </c>
    </row>
    <row r="393" spans="1:10">
      <c r="A393" s="93" t="s">
        <v>976</v>
      </c>
      <c r="B393" s="18">
        <v>1</v>
      </c>
      <c r="C393" s="89" t="s">
        <v>910</v>
      </c>
      <c r="D393" s="89" t="s">
        <v>911</v>
      </c>
      <c r="E393" s="84"/>
      <c r="F393" s="84"/>
      <c r="G393" s="84"/>
      <c r="H393" s="84"/>
      <c r="I393" s="14"/>
      <c r="J393" s="15" t="str">
        <f>IF(E393="Invalid_Segment","Invalid",IFERROR(INDEX(Severity_Matrix!$C$3:$M$10,MATCH('Error Log'!$F393,Severity_Matrix!$B$3:$B$10,0),MATCH('Error Log'!$G393,Severity_Matrix!$C$2:$M$2,0)),"No errors"))</f>
        <v>No errors</v>
      </c>
    </row>
    <row r="394" spans="1:10">
      <c r="A394" s="93" t="s">
        <v>977</v>
      </c>
      <c r="B394" s="18">
        <v>1</v>
      </c>
      <c r="C394" s="89" t="s">
        <v>912</v>
      </c>
      <c r="D394" s="89" t="s">
        <v>913</v>
      </c>
      <c r="E394" s="84" t="s">
        <v>21</v>
      </c>
      <c r="F394" s="84" t="s">
        <v>22</v>
      </c>
      <c r="G394" s="84" t="s">
        <v>57</v>
      </c>
      <c r="H394" s="90" t="s">
        <v>914</v>
      </c>
      <c r="I394" s="14"/>
      <c r="J394" s="15" t="str">
        <f>IF(E394="Invalid_Segment","Invalid",IFERROR(INDEX(Severity_Matrix!$C$3:$M$10,MATCH('Error Log'!$F394,Severity_Matrix!$B$3:$B$10,0),MATCH('Error Log'!$G394,Severity_Matrix!$C$2:$M$2,0)),"No errors"))</f>
        <v>Major</v>
      </c>
    </row>
    <row r="395" spans="1:10">
      <c r="A395" s="93" t="s">
        <v>977</v>
      </c>
      <c r="B395" s="18">
        <v>2</v>
      </c>
      <c r="C395" s="89" t="s">
        <v>912</v>
      </c>
      <c r="D395" s="89" t="s">
        <v>913</v>
      </c>
      <c r="E395" s="84" t="s">
        <v>21</v>
      </c>
      <c r="F395" s="84" t="s">
        <v>22</v>
      </c>
      <c r="G395" s="84" t="s">
        <v>57</v>
      </c>
      <c r="H395" s="84" t="s">
        <v>915</v>
      </c>
      <c r="I395" s="14"/>
      <c r="J395" s="15" t="str">
        <f>IF(E395="Invalid_Segment","Invalid",IFERROR(INDEX(Severity_Matrix!$C$3:$M$10,MATCH('Error Log'!$F395,Severity_Matrix!$B$3:$B$10,0),MATCH('Error Log'!$G395,Severity_Matrix!$C$2:$M$2,0)),"No errors"))</f>
        <v>Major</v>
      </c>
    </row>
    <row r="396" spans="1:10">
      <c r="A396" s="93" t="s">
        <v>977</v>
      </c>
      <c r="B396" s="18">
        <v>3</v>
      </c>
      <c r="C396" s="89" t="s">
        <v>912</v>
      </c>
      <c r="D396" s="89" t="s">
        <v>913</v>
      </c>
      <c r="E396" s="84" t="s">
        <v>21</v>
      </c>
      <c r="F396" s="84" t="s">
        <v>7</v>
      </c>
      <c r="G396" s="84" t="s">
        <v>57</v>
      </c>
      <c r="H396" s="84" t="s">
        <v>916</v>
      </c>
      <c r="I396" s="14"/>
      <c r="J396" s="15" t="str">
        <f>IF(E396="Invalid_Segment","Invalid",IFERROR(INDEX(Severity_Matrix!$C$3:$M$10,MATCH('Error Log'!$F396,Severity_Matrix!$B$3:$B$10,0),MATCH('Error Log'!$G396,Severity_Matrix!$C$2:$M$2,0)),"No errors"))</f>
        <v>Critical</v>
      </c>
    </row>
    <row r="397" spans="1:10">
      <c r="A397" s="93" t="s">
        <v>977</v>
      </c>
      <c r="B397" s="18">
        <v>4</v>
      </c>
      <c r="C397" s="89" t="s">
        <v>912</v>
      </c>
      <c r="D397" s="89" t="s">
        <v>913</v>
      </c>
      <c r="E397" s="84" t="s">
        <v>21</v>
      </c>
      <c r="F397" s="84" t="s">
        <v>7</v>
      </c>
      <c r="G397" s="84" t="s">
        <v>57</v>
      </c>
      <c r="H397" s="84" t="s">
        <v>917</v>
      </c>
      <c r="I397" s="14"/>
      <c r="J397" s="15" t="str">
        <f>IF(E397="Invalid_Segment","Invalid",IFERROR(INDEX(Severity_Matrix!$C$3:$M$10,MATCH('Error Log'!$F397,Severity_Matrix!$B$3:$B$10,0),MATCH('Error Log'!$G397,Severity_Matrix!$C$2:$M$2,0)),"No errors"))</f>
        <v>Critical</v>
      </c>
    </row>
    <row r="398" spans="1:10">
      <c r="A398" s="93" t="s">
        <v>977</v>
      </c>
      <c r="B398" s="18">
        <v>5</v>
      </c>
      <c r="C398" s="89" t="s">
        <v>912</v>
      </c>
      <c r="D398" s="89" t="s">
        <v>913</v>
      </c>
      <c r="E398" s="84" t="s">
        <v>21</v>
      </c>
      <c r="F398" s="84" t="s">
        <v>7</v>
      </c>
      <c r="G398" s="84" t="s">
        <v>57</v>
      </c>
      <c r="H398" s="84" t="s">
        <v>918</v>
      </c>
      <c r="I398" s="14"/>
      <c r="J398" s="15" t="str">
        <f>IF(E398="Invalid_Segment","Invalid",IFERROR(INDEX(Severity_Matrix!$C$3:$M$10,MATCH('Error Log'!$F398,Severity_Matrix!$B$3:$B$10,0),MATCH('Error Log'!$G398,Severity_Matrix!$C$2:$M$2,0)),"No errors"))</f>
        <v>Critical</v>
      </c>
    </row>
    <row r="399" spans="1:10">
      <c r="A399" s="93" t="s">
        <v>978</v>
      </c>
      <c r="B399" s="18">
        <v>1</v>
      </c>
      <c r="C399" s="89" t="s">
        <v>919</v>
      </c>
      <c r="D399" s="92" t="s">
        <v>920</v>
      </c>
      <c r="E399" s="84" t="s">
        <v>21</v>
      </c>
      <c r="F399" s="84" t="s">
        <v>22</v>
      </c>
      <c r="G399" s="84" t="s">
        <v>57</v>
      </c>
      <c r="H399" s="88" t="s">
        <v>921</v>
      </c>
      <c r="I399" s="14"/>
      <c r="J399" s="15" t="str">
        <f>IF(E399="Invalid_Segment","Invalid",IFERROR(INDEX(Severity_Matrix!$C$3:$M$10,MATCH('Error Log'!$F399,Severity_Matrix!$B$3:$B$10,0),MATCH('Error Log'!$G399,Severity_Matrix!$C$2:$M$2,0)),"No errors"))</f>
        <v>Major</v>
      </c>
    </row>
    <row r="400" spans="1:10">
      <c r="A400" s="93" t="s">
        <v>978</v>
      </c>
      <c r="B400" s="18">
        <v>2</v>
      </c>
      <c r="C400" s="89" t="s">
        <v>919</v>
      </c>
      <c r="D400" s="92" t="s">
        <v>920</v>
      </c>
      <c r="E400" s="84" t="s">
        <v>21</v>
      </c>
      <c r="F400" s="84" t="s">
        <v>7</v>
      </c>
      <c r="G400" s="84" t="s">
        <v>57</v>
      </c>
      <c r="H400" s="88" t="s">
        <v>922</v>
      </c>
      <c r="I400" s="14"/>
      <c r="J400" s="15" t="str">
        <f>IF(E400="Invalid_Segment","Invalid",IFERROR(INDEX(Severity_Matrix!$C$3:$M$10,MATCH('Error Log'!$F400,Severity_Matrix!$B$3:$B$10,0),MATCH('Error Log'!$G400,Severity_Matrix!$C$2:$M$2,0)),"No errors"))</f>
        <v>Critical</v>
      </c>
    </row>
    <row r="401" spans="1:10">
      <c r="A401" s="93" t="s">
        <v>979</v>
      </c>
      <c r="B401" s="18">
        <v>1</v>
      </c>
      <c r="C401" s="89" t="s">
        <v>923</v>
      </c>
      <c r="D401" s="92" t="s">
        <v>924</v>
      </c>
      <c r="E401" s="84" t="s">
        <v>21</v>
      </c>
      <c r="F401" s="84" t="s">
        <v>22</v>
      </c>
      <c r="G401" s="84" t="s">
        <v>57</v>
      </c>
      <c r="H401" s="84" t="s">
        <v>925</v>
      </c>
      <c r="I401" s="14"/>
      <c r="J401" s="15" t="str">
        <f>IF(E401="Invalid_Segment","Invalid",IFERROR(INDEX(Severity_Matrix!$C$3:$M$10,MATCH('Error Log'!$F401,Severity_Matrix!$B$3:$B$10,0),MATCH('Error Log'!$G401,Severity_Matrix!$C$2:$M$2,0)),"No errors"))</f>
        <v>Major</v>
      </c>
    </row>
    <row r="402" spans="1:10">
      <c r="A402" s="93" t="s">
        <v>979</v>
      </c>
      <c r="B402" s="18">
        <v>2</v>
      </c>
      <c r="C402" s="89" t="s">
        <v>923</v>
      </c>
      <c r="D402" s="92" t="s">
        <v>924</v>
      </c>
      <c r="E402" s="84" t="s">
        <v>21</v>
      </c>
      <c r="F402" s="84" t="s">
        <v>7</v>
      </c>
      <c r="G402" s="84" t="s">
        <v>57</v>
      </c>
      <c r="H402" s="90" t="s">
        <v>926</v>
      </c>
      <c r="I402" s="14"/>
      <c r="J402" s="15" t="str">
        <f>IF(E402="Invalid_Segment","Invalid",IFERROR(INDEX(Severity_Matrix!$C$3:$M$10,MATCH('Error Log'!$F402,Severity_Matrix!$B$3:$B$10,0),MATCH('Error Log'!$G402,Severity_Matrix!$C$2:$M$2,0)),"No errors"))</f>
        <v>Critical</v>
      </c>
    </row>
    <row r="403" spans="1:10">
      <c r="A403" s="93" t="s">
        <v>980</v>
      </c>
      <c r="B403" s="18">
        <v>1</v>
      </c>
      <c r="C403" s="92" t="s">
        <v>927</v>
      </c>
      <c r="D403" s="92" t="s">
        <v>928</v>
      </c>
      <c r="E403" s="84" t="s">
        <v>21</v>
      </c>
      <c r="F403" s="84" t="s">
        <v>7</v>
      </c>
      <c r="G403" s="84" t="s">
        <v>57</v>
      </c>
      <c r="H403" s="84" t="s">
        <v>929</v>
      </c>
      <c r="I403" s="14"/>
      <c r="J403" s="15" t="str">
        <f>IF(E403="Invalid_Segment","Invalid",IFERROR(INDEX(Severity_Matrix!$C$3:$M$10,MATCH('Error Log'!$F403,Severity_Matrix!$B$3:$B$10,0),MATCH('Error Log'!$G403,Severity_Matrix!$C$2:$M$2,0)),"No errors"))</f>
        <v>Critical</v>
      </c>
    </row>
    <row r="404" spans="1:10">
      <c r="A404" s="93" t="s">
        <v>980</v>
      </c>
      <c r="B404" s="18">
        <v>2</v>
      </c>
      <c r="C404" s="92" t="s">
        <v>927</v>
      </c>
      <c r="D404" s="92" t="s">
        <v>928</v>
      </c>
      <c r="E404" s="84" t="s">
        <v>21</v>
      </c>
      <c r="F404" s="84" t="s">
        <v>7</v>
      </c>
      <c r="G404" s="84" t="s">
        <v>57</v>
      </c>
      <c r="H404" s="84" t="s">
        <v>930</v>
      </c>
      <c r="I404" s="14"/>
      <c r="J404" s="15" t="str">
        <f>IF(E404="Invalid_Segment","Invalid",IFERROR(INDEX(Severity_Matrix!$C$3:$M$10,MATCH('Error Log'!$F404,Severity_Matrix!$B$3:$B$10,0),MATCH('Error Log'!$G404,Severity_Matrix!$C$2:$M$2,0)),"No errors"))</f>
        <v>Critical</v>
      </c>
    </row>
    <row r="405" spans="1:10">
      <c r="A405" s="79" t="s">
        <v>981</v>
      </c>
      <c r="B405" s="18">
        <v>1</v>
      </c>
      <c r="C405" s="89" t="s">
        <v>982</v>
      </c>
      <c r="D405" s="89" t="s">
        <v>983</v>
      </c>
      <c r="E405" s="84" t="s">
        <v>21</v>
      </c>
      <c r="F405" s="84" t="s">
        <v>22</v>
      </c>
      <c r="G405" s="84" t="s">
        <v>57</v>
      </c>
      <c r="H405" s="84" t="s">
        <v>984</v>
      </c>
      <c r="I405" s="84"/>
      <c r="J405" s="15" t="str">
        <f>IF(E405="Invalid_Segment","Invalid",IFERROR(INDEX(Severity_Matrix!$C$3:$M$10,MATCH('Error Log'!$F405,Severity_Matrix!$B$3:$B$10,0),MATCH('Error Log'!$G405,Severity_Matrix!$C$2:$M$2,0)),"No errors"))</f>
        <v>Major</v>
      </c>
    </row>
    <row r="406" spans="1:10">
      <c r="A406" s="79" t="s">
        <v>981</v>
      </c>
      <c r="B406" s="18">
        <v>2</v>
      </c>
      <c r="C406" s="89" t="s">
        <v>982</v>
      </c>
      <c r="D406" s="89" t="s">
        <v>983</v>
      </c>
      <c r="E406" s="84" t="s">
        <v>21</v>
      </c>
      <c r="F406" s="84" t="s">
        <v>22</v>
      </c>
      <c r="G406" s="84" t="s">
        <v>57</v>
      </c>
      <c r="H406" s="84" t="s">
        <v>985</v>
      </c>
      <c r="I406" s="84"/>
      <c r="J406" s="15" t="str">
        <f>IF(E406="Invalid_Segment","Invalid",IFERROR(INDEX(Severity_Matrix!$C$3:$M$10,MATCH('Error Log'!$F406,Severity_Matrix!$B$3:$B$10,0),MATCH('Error Log'!$G406,Severity_Matrix!$C$2:$M$2,0)),"No errors"))</f>
        <v>Major</v>
      </c>
    </row>
    <row r="407" spans="1:10">
      <c r="A407" s="79" t="s">
        <v>981</v>
      </c>
      <c r="B407" s="18">
        <v>3</v>
      </c>
      <c r="C407" s="89" t="s">
        <v>982</v>
      </c>
      <c r="D407" s="89" t="s">
        <v>983</v>
      </c>
      <c r="E407" s="84" t="s">
        <v>21</v>
      </c>
      <c r="F407" s="84" t="s">
        <v>22</v>
      </c>
      <c r="G407" s="84" t="s">
        <v>57</v>
      </c>
      <c r="H407" s="84" t="s">
        <v>986</v>
      </c>
      <c r="I407" s="84"/>
      <c r="J407" s="15" t="str">
        <f>IF(E407="Invalid_Segment","Invalid",IFERROR(INDEX(Severity_Matrix!$C$3:$M$10,MATCH('Error Log'!$F407,Severity_Matrix!$B$3:$B$10,0),MATCH('Error Log'!$G407,Severity_Matrix!$C$2:$M$2,0)),"No errors"))</f>
        <v>Major</v>
      </c>
    </row>
    <row r="408" spans="1:10">
      <c r="A408" s="79" t="s">
        <v>981</v>
      </c>
      <c r="B408" s="18">
        <v>4</v>
      </c>
      <c r="C408" s="89" t="s">
        <v>982</v>
      </c>
      <c r="D408" s="89" t="s">
        <v>983</v>
      </c>
      <c r="E408" s="84" t="s">
        <v>21</v>
      </c>
      <c r="F408" s="84" t="s">
        <v>22</v>
      </c>
      <c r="G408" s="84" t="s">
        <v>57</v>
      </c>
      <c r="H408" s="84" t="s">
        <v>987</v>
      </c>
      <c r="I408" s="84"/>
      <c r="J408" s="15" t="str">
        <f>IF(E408="Invalid_Segment","Invalid",IFERROR(INDEX(Severity_Matrix!$C$3:$M$10,MATCH('Error Log'!$F408,Severity_Matrix!$B$3:$B$10,0),MATCH('Error Log'!$G408,Severity_Matrix!$C$2:$M$2,0)),"No errors"))</f>
        <v>Major</v>
      </c>
    </row>
    <row r="409" spans="1:10">
      <c r="A409" s="79" t="s">
        <v>981</v>
      </c>
      <c r="B409" s="18">
        <v>5</v>
      </c>
      <c r="C409" s="89" t="s">
        <v>982</v>
      </c>
      <c r="D409" s="89" t="s">
        <v>983</v>
      </c>
      <c r="E409" s="84" t="s">
        <v>21</v>
      </c>
      <c r="F409" s="84" t="s">
        <v>7</v>
      </c>
      <c r="G409" s="84" t="s">
        <v>57</v>
      </c>
      <c r="H409" s="84" t="s">
        <v>988</v>
      </c>
      <c r="I409" s="84"/>
      <c r="J409" s="15" t="str">
        <f>IF(E409="Invalid_Segment","Invalid",IFERROR(INDEX(Severity_Matrix!$C$3:$M$10,MATCH('Error Log'!$F409,Severity_Matrix!$B$3:$B$10,0),MATCH('Error Log'!$G409,Severity_Matrix!$C$2:$M$2,0)),"No errors"))</f>
        <v>Critical</v>
      </c>
    </row>
    <row r="410" spans="1:10">
      <c r="A410" s="79" t="s">
        <v>981</v>
      </c>
      <c r="B410" s="18">
        <v>6</v>
      </c>
      <c r="C410" s="89" t="s">
        <v>982</v>
      </c>
      <c r="D410" s="89" t="s">
        <v>983</v>
      </c>
      <c r="E410" s="84" t="s">
        <v>21</v>
      </c>
      <c r="F410" s="84" t="s">
        <v>7</v>
      </c>
      <c r="G410" s="84" t="s">
        <v>57</v>
      </c>
      <c r="H410" s="84" t="s">
        <v>989</v>
      </c>
      <c r="I410" s="84"/>
      <c r="J410" s="15" t="str">
        <f>IF(E410="Invalid_Segment","Invalid",IFERROR(INDEX(Severity_Matrix!$C$3:$M$10,MATCH('Error Log'!$F410,Severity_Matrix!$B$3:$B$10,0),MATCH('Error Log'!$G410,Severity_Matrix!$C$2:$M$2,0)),"No errors"))</f>
        <v>Critical</v>
      </c>
    </row>
    <row r="411" spans="1:10" ht="15.6">
      <c r="A411" s="95" t="s">
        <v>990</v>
      </c>
      <c r="B411" s="96">
        <v>1</v>
      </c>
      <c r="C411" s="89" t="s">
        <v>991</v>
      </c>
      <c r="D411" s="89" t="s">
        <v>992</v>
      </c>
      <c r="E411" s="84" t="s">
        <v>21</v>
      </c>
      <c r="F411" s="84" t="s">
        <v>22</v>
      </c>
      <c r="G411" s="84" t="s">
        <v>57</v>
      </c>
      <c r="H411" s="97" t="s">
        <v>993</v>
      </c>
      <c r="I411" s="84"/>
      <c r="J411" s="15" t="str">
        <f>IF(E411="Invalid_Segment","Invalid",IFERROR(INDEX(Severity_Matrix!$C$3:$M$10,MATCH('Error Log'!$F411,Severity_Matrix!$B$3:$B$10,0),MATCH('Error Log'!$G411,Severity_Matrix!$C$2:$M$2,0)),"No errors"))</f>
        <v>Major</v>
      </c>
    </row>
    <row r="412" spans="1:10" ht="15.6">
      <c r="A412" s="95" t="s">
        <v>990</v>
      </c>
      <c r="B412" s="96">
        <v>2</v>
      </c>
      <c r="C412" s="89" t="s">
        <v>991</v>
      </c>
      <c r="D412" s="89" t="s">
        <v>992</v>
      </c>
      <c r="E412" s="84" t="s">
        <v>21</v>
      </c>
      <c r="F412" s="84" t="s">
        <v>22</v>
      </c>
      <c r="G412" s="84" t="s">
        <v>57</v>
      </c>
      <c r="H412" s="97" t="s">
        <v>994</v>
      </c>
      <c r="I412" s="84"/>
      <c r="J412" s="15" t="str">
        <f>IF(E412="Invalid_Segment","Invalid",IFERROR(INDEX(Severity_Matrix!$C$3:$M$10,MATCH('Error Log'!$F412,Severity_Matrix!$B$3:$B$10,0),MATCH('Error Log'!$G412,Severity_Matrix!$C$2:$M$2,0)),"No errors"))</f>
        <v>Major</v>
      </c>
    </row>
    <row r="413" spans="1:10" ht="15.6">
      <c r="A413" s="95" t="s">
        <v>990</v>
      </c>
      <c r="B413" s="96">
        <v>3</v>
      </c>
      <c r="C413" s="89" t="s">
        <v>991</v>
      </c>
      <c r="D413" s="89" t="s">
        <v>992</v>
      </c>
      <c r="E413" s="84" t="s">
        <v>21</v>
      </c>
      <c r="F413" s="84" t="s">
        <v>7</v>
      </c>
      <c r="G413" s="84" t="s">
        <v>57</v>
      </c>
      <c r="H413" s="97" t="s">
        <v>995</v>
      </c>
      <c r="I413" s="84"/>
      <c r="J413" s="15" t="str">
        <f>IF(E413="Invalid_Segment","Invalid",IFERROR(INDEX(Severity_Matrix!$C$3:$M$10,MATCH('Error Log'!$F413,Severity_Matrix!$B$3:$B$10,0),MATCH('Error Log'!$G413,Severity_Matrix!$C$2:$M$2,0)),"No errors"))</f>
        <v>Critical</v>
      </c>
    </row>
    <row r="414" spans="1:10" ht="15.6">
      <c r="A414" s="95" t="s">
        <v>990</v>
      </c>
      <c r="B414" s="96">
        <v>4</v>
      </c>
      <c r="C414" s="89" t="s">
        <v>991</v>
      </c>
      <c r="D414" s="89" t="s">
        <v>992</v>
      </c>
      <c r="E414" s="84" t="s">
        <v>21</v>
      </c>
      <c r="F414" s="84" t="s">
        <v>7</v>
      </c>
      <c r="G414" s="84" t="s">
        <v>57</v>
      </c>
      <c r="H414" s="97" t="s">
        <v>996</v>
      </c>
      <c r="I414" s="84"/>
      <c r="J414" s="15" t="str">
        <f>IF(E414="Invalid_Segment","Invalid",IFERROR(INDEX(Severity_Matrix!$C$3:$M$10,MATCH('Error Log'!$F414,Severity_Matrix!$B$3:$B$10,0),MATCH('Error Log'!$G414,Severity_Matrix!$C$2:$M$2,0)),"No errors"))</f>
        <v>Critical</v>
      </c>
    </row>
    <row r="415" spans="1:10">
      <c r="A415" s="98" t="s">
        <v>997</v>
      </c>
      <c r="B415" s="18"/>
      <c r="C415" s="89" t="s">
        <v>998</v>
      </c>
      <c r="D415" s="89" t="s">
        <v>999</v>
      </c>
      <c r="E415" s="84"/>
      <c r="F415" s="84"/>
      <c r="G415" s="84"/>
      <c r="H415" s="90"/>
      <c r="I415" s="84"/>
      <c r="J415" s="15" t="str">
        <f>IF(E415="Invalid_Segment","Invalid",IFERROR(INDEX(Severity_Matrix!$C$3:$M$10,MATCH('Error Log'!$F415,Severity_Matrix!$B$3:$B$10,0),MATCH('Error Log'!$G415,Severity_Matrix!$C$2:$M$2,0)),"No errors"))</f>
        <v>No errors</v>
      </c>
    </row>
    <row r="416" spans="1:10">
      <c r="A416" s="98" t="s">
        <v>1000</v>
      </c>
      <c r="B416" s="18">
        <v>1</v>
      </c>
      <c r="C416" s="92" t="s">
        <v>1001</v>
      </c>
      <c r="D416" s="89" t="s">
        <v>1002</v>
      </c>
      <c r="E416" s="84" t="s">
        <v>21</v>
      </c>
      <c r="F416" s="84" t="s">
        <v>22</v>
      </c>
      <c r="G416" s="84" t="s">
        <v>57</v>
      </c>
      <c r="H416" s="84" t="s">
        <v>1003</v>
      </c>
      <c r="I416" s="84"/>
      <c r="J416" s="15" t="str">
        <f>IF(E416="Invalid_Segment","Invalid",IFERROR(INDEX(Severity_Matrix!$C$3:$M$10,MATCH('Error Log'!$F416,Severity_Matrix!$B$3:$B$10,0),MATCH('Error Log'!$G416,Severity_Matrix!$C$2:$M$2,0)),"No errors"))</f>
        <v>Major</v>
      </c>
    </row>
    <row r="417" spans="1:10">
      <c r="A417" s="98" t="s">
        <v>1000</v>
      </c>
      <c r="B417" s="18">
        <v>2</v>
      </c>
      <c r="C417" s="92" t="s">
        <v>1001</v>
      </c>
      <c r="D417" s="89" t="s">
        <v>1002</v>
      </c>
      <c r="E417" s="84" t="s">
        <v>21</v>
      </c>
      <c r="F417" s="84" t="s">
        <v>22</v>
      </c>
      <c r="G417" s="84" t="s">
        <v>57</v>
      </c>
      <c r="H417" s="84" t="s">
        <v>1004</v>
      </c>
      <c r="I417" s="84"/>
      <c r="J417" s="15" t="str">
        <f>IF(E417="Invalid_Segment","Invalid",IFERROR(INDEX(Severity_Matrix!$C$3:$M$10,MATCH('Error Log'!$F417,Severity_Matrix!$B$3:$B$10,0),MATCH('Error Log'!$G417,Severity_Matrix!$C$2:$M$2,0)),"No errors"))</f>
        <v>Major</v>
      </c>
    </row>
    <row r="418" spans="1:10">
      <c r="A418" s="98" t="s">
        <v>1000</v>
      </c>
      <c r="B418" s="18">
        <v>3</v>
      </c>
      <c r="C418" s="92" t="s">
        <v>1001</v>
      </c>
      <c r="D418" s="89" t="s">
        <v>1002</v>
      </c>
      <c r="E418" s="84" t="s">
        <v>21</v>
      </c>
      <c r="F418" s="84" t="s">
        <v>7</v>
      </c>
      <c r="G418" s="84" t="s">
        <v>57</v>
      </c>
      <c r="H418" s="84" t="s">
        <v>1005</v>
      </c>
      <c r="I418" s="84"/>
      <c r="J418" s="15" t="str">
        <f>IF(E418="Invalid_Segment","Invalid",IFERROR(INDEX(Severity_Matrix!$C$3:$M$10,MATCH('Error Log'!$F418,Severity_Matrix!$B$3:$B$10,0),MATCH('Error Log'!$G418,Severity_Matrix!$C$2:$M$2,0)),"No errors"))</f>
        <v>Critical</v>
      </c>
    </row>
    <row r="419" spans="1:10">
      <c r="A419" s="98" t="s">
        <v>1000</v>
      </c>
      <c r="B419" s="18">
        <v>4</v>
      </c>
      <c r="C419" s="92" t="s">
        <v>1001</v>
      </c>
      <c r="D419" s="89" t="s">
        <v>1002</v>
      </c>
      <c r="E419" s="84" t="s">
        <v>21</v>
      </c>
      <c r="F419" s="84" t="s">
        <v>7</v>
      </c>
      <c r="G419" s="84" t="s">
        <v>57</v>
      </c>
      <c r="H419" s="84" t="s">
        <v>1006</v>
      </c>
      <c r="I419" s="84"/>
      <c r="J419" s="15" t="str">
        <f>IF(E419="Invalid_Segment","Invalid",IFERROR(INDEX(Severity_Matrix!$C$3:$M$10,MATCH('Error Log'!$F419,Severity_Matrix!$B$3:$B$10,0),MATCH('Error Log'!$G419,Severity_Matrix!$C$2:$M$2,0)),"No errors"))</f>
        <v>Critical</v>
      </c>
    </row>
    <row r="420" spans="1:10">
      <c r="A420" s="98" t="s">
        <v>1007</v>
      </c>
      <c r="B420" s="18">
        <v>1</v>
      </c>
      <c r="C420" s="92" t="s">
        <v>1008</v>
      </c>
      <c r="D420" s="89" t="s">
        <v>1009</v>
      </c>
      <c r="E420" s="84" t="s">
        <v>21</v>
      </c>
      <c r="F420" s="84" t="s">
        <v>22</v>
      </c>
      <c r="G420" s="84" t="s">
        <v>57</v>
      </c>
      <c r="H420" s="84" t="s">
        <v>1010</v>
      </c>
      <c r="I420" s="84"/>
      <c r="J420" s="15" t="str">
        <f>IF(E420="Invalid_Segment","Invalid",IFERROR(INDEX(Severity_Matrix!$C$3:$M$10,MATCH('Error Log'!$F420,Severity_Matrix!$B$3:$B$10,0),MATCH('Error Log'!$G420,Severity_Matrix!$C$2:$M$2,0)),"No errors"))</f>
        <v>Major</v>
      </c>
    </row>
    <row r="421" spans="1:10">
      <c r="A421" s="98" t="s">
        <v>1007</v>
      </c>
      <c r="B421" s="18">
        <v>2</v>
      </c>
      <c r="C421" s="92" t="s">
        <v>1008</v>
      </c>
      <c r="D421" s="89" t="s">
        <v>1009</v>
      </c>
      <c r="E421" s="84" t="s">
        <v>21</v>
      </c>
      <c r="F421" s="84" t="s">
        <v>22</v>
      </c>
      <c r="G421" s="84" t="s">
        <v>57</v>
      </c>
      <c r="H421" s="84" t="s">
        <v>1011</v>
      </c>
      <c r="I421" s="84"/>
      <c r="J421" s="15" t="str">
        <f>IF(E421="Invalid_Segment","Invalid",IFERROR(INDEX(Severity_Matrix!$C$3:$M$10,MATCH('Error Log'!$F421,Severity_Matrix!$B$3:$B$10,0),MATCH('Error Log'!$G421,Severity_Matrix!$C$2:$M$2,0)),"No errors"))</f>
        <v>Major</v>
      </c>
    </row>
    <row r="422" spans="1:10">
      <c r="A422" s="99" t="s">
        <v>1012</v>
      </c>
      <c r="B422" s="18">
        <v>1</v>
      </c>
      <c r="C422" s="89" t="s">
        <v>1013</v>
      </c>
      <c r="D422" s="89" t="s">
        <v>1014</v>
      </c>
      <c r="E422" s="84" t="s">
        <v>21</v>
      </c>
      <c r="F422" s="84" t="s">
        <v>22</v>
      </c>
      <c r="G422" s="84" t="s">
        <v>57</v>
      </c>
      <c r="H422" s="84" t="s">
        <v>1015</v>
      </c>
      <c r="I422" s="84"/>
      <c r="J422" s="15" t="str">
        <f>IF(E422="Invalid_Segment","Invalid",IFERROR(INDEX(Severity_Matrix!$C$3:$M$10,MATCH('Error Log'!$F422,Severity_Matrix!$B$3:$B$10,0),MATCH('Error Log'!$G422,Severity_Matrix!$C$2:$M$2,0)),"No errors"))</f>
        <v>Major</v>
      </c>
    </row>
    <row r="423" spans="1:10">
      <c r="A423" s="99" t="s">
        <v>1012</v>
      </c>
      <c r="B423" s="18">
        <v>2</v>
      </c>
      <c r="C423" s="89" t="s">
        <v>1013</v>
      </c>
      <c r="D423" s="89" t="s">
        <v>1014</v>
      </c>
      <c r="E423" s="84" t="s">
        <v>21</v>
      </c>
      <c r="F423" s="84" t="s">
        <v>7</v>
      </c>
      <c r="G423" s="84" t="s">
        <v>57</v>
      </c>
      <c r="H423" s="84" t="s">
        <v>1016</v>
      </c>
      <c r="I423" s="84"/>
      <c r="J423" s="15" t="str">
        <f>IF(E423="Invalid_Segment","Invalid",IFERROR(INDEX(Severity_Matrix!$C$3:$M$10,MATCH('Error Log'!$F423,Severity_Matrix!$B$3:$B$10,0),MATCH('Error Log'!$G423,Severity_Matrix!$C$2:$M$2,0)),"No errors"))</f>
        <v>Critical</v>
      </c>
    </row>
    <row r="424" spans="1:10">
      <c r="A424" s="99" t="s">
        <v>1017</v>
      </c>
      <c r="B424" s="18">
        <v>1</v>
      </c>
      <c r="C424" s="89" t="s">
        <v>1018</v>
      </c>
      <c r="D424" s="89" t="s">
        <v>1019</v>
      </c>
      <c r="E424" s="84" t="s">
        <v>21</v>
      </c>
      <c r="F424" s="84" t="s">
        <v>22</v>
      </c>
      <c r="G424" s="84" t="s">
        <v>57</v>
      </c>
      <c r="H424" s="84" t="s">
        <v>1020</v>
      </c>
      <c r="I424" s="84"/>
      <c r="J424" s="15" t="str">
        <f>IF(E424="Invalid_Segment","Invalid",IFERROR(INDEX(Severity_Matrix!$C$3:$M$10,MATCH('Error Log'!$F424,Severity_Matrix!$B$3:$B$10,0),MATCH('Error Log'!$G424,Severity_Matrix!$C$2:$M$2,0)),"No errors"))</f>
        <v>Major</v>
      </c>
    </row>
    <row r="425" spans="1:10">
      <c r="A425" s="99" t="s">
        <v>1017</v>
      </c>
      <c r="B425" s="18">
        <v>2</v>
      </c>
      <c r="C425" s="89" t="s">
        <v>1018</v>
      </c>
      <c r="D425" s="89" t="s">
        <v>1019</v>
      </c>
      <c r="E425" s="84" t="s">
        <v>21</v>
      </c>
      <c r="F425" s="84" t="s">
        <v>22</v>
      </c>
      <c r="G425" s="84" t="s">
        <v>57</v>
      </c>
      <c r="H425" s="84" t="s">
        <v>1021</v>
      </c>
      <c r="I425" s="84"/>
      <c r="J425" s="15" t="str">
        <f>IF(E425="Invalid_Segment","Invalid",IFERROR(INDEX(Severity_Matrix!$C$3:$M$10,MATCH('Error Log'!$F425,Severity_Matrix!$B$3:$B$10,0),MATCH('Error Log'!$G425,Severity_Matrix!$C$2:$M$2,0)),"No errors"))</f>
        <v>Major</v>
      </c>
    </row>
    <row r="426" spans="1:10">
      <c r="A426" s="99" t="s">
        <v>1017</v>
      </c>
      <c r="B426" s="18">
        <v>3</v>
      </c>
      <c r="C426" s="89" t="s">
        <v>1018</v>
      </c>
      <c r="D426" s="89" t="s">
        <v>1019</v>
      </c>
      <c r="E426" s="84" t="s">
        <v>21</v>
      </c>
      <c r="F426" s="84" t="s">
        <v>7</v>
      </c>
      <c r="G426" s="84" t="s">
        <v>57</v>
      </c>
      <c r="H426" s="84" t="s">
        <v>1022</v>
      </c>
      <c r="I426" s="84"/>
      <c r="J426" s="15" t="str">
        <f>IF(E426="Invalid_Segment","Invalid",IFERROR(INDEX(Severity_Matrix!$C$3:$M$10,MATCH('Error Log'!$F426,Severity_Matrix!$B$3:$B$10,0),MATCH('Error Log'!$G426,Severity_Matrix!$C$2:$M$2,0)),"No errors"))</f>
        <v>Critical</v>
      </c>
    </row>
    <row r="427" spans="1:10">
      <c r="A427" s="99" t="s">
        <v>1017</v>
      </c>
      <c r="B427" s="18">
        <v>4</v>
      </c>
      <c r="C427" s="89" t="s">
        <v>1018</v>
      </c>
      <c r="D427" s="89" t="s">
        <v>1019</v>
      </c>
      <c r="E427" s="84" t="s">
        <v>21</v>
      </c>
      <c r="F427" s="84" t="s">
        <v>7</v>
      </c>
      <c r="G427" s="84" t="s">
        <v>57</v>
      </c>
      <c r="H427" s="84" t="s">
        <v>1023</v>
      </c>
      <c r="I427" s="84"/>
      <c r="J427" s="15" t="str">
        <f>IF(E427="Invalid_Segment","Invalid",IFERROR(INDEX(Severity_Matrix!$C$3:$M$10,MATCH('Error Log'!$F427,Severity_Matrix!$B$3:$B$10,0),MATCH('Error Log'!$G427,Severity_Matrix!$C$2:$M$2,0)),"No errors"))</f>
        <v>Critical</v>
      </c>
    </row>
    <row r="428" spans="1:10">
      <c r="A428" s="99" t="s">
        <v>1024</v>
      </c>
      <c r="B428" s="18">
        <v>1</v>
      </c>
      <c r="C428" s="89" t="s">
        <v>1025</v>
      </c>
      <c r="D428" s="89" t="s">
        <v>1026</v>
      </c>
      <c r="E428" s="84" t="s">
        <v>21</v>
      </c>
      <c r="F428" s="84" t="s">
        <v>22</v>
      </c>
      <c r="G428" s="84" t="s">
        <v>57</v>
      </c>
      <c r="H428" s="90" t="s">
        <v>1027</v>
      </c>
      <c r="I428" s="84"/>
      <c r="J428" s="15" t="str">
        <f>IF(E428="Invalid_Segment","Invalid",IFERROR(INDEX(Severity_Matrix!$C$3:$M$10,MATCH('Error Log'!$F428,Severity_Matrix!$B$3:$B$10,0),MATCH('Error Log'!$G428,Severity_Matrix!$C$2:$M$2,0)),"No errors"))</f>
        <v>Major</v>
      </c>
    </row>
    <row r="429" spans="1:10">
      <c r="A429" s="99" t="s">
        <v>1024</v>
      </c>
      <c r="B429" s="18">
        <v>2</v>
      </c>
      <c r="C429" s="89" t="s">
        <v>1025</v>
      </c>
      <c r="D429" s="89" t="s">
        <v>1026</v>
      </c>
      <c r="E429" s="84" t="s">
        <v>21</v>
      </c>
      <c r="F429" s="84" t="s">
        <v>7</v>
      </c>
      <c r="G429" s="84" t="s">
        <v>57</v>
      </c>
      <c r="H429" s="84" t="s">
        <v>1028</v>
      </c>
      <c r="I429" s="84"/>
      <c r="J429" s="15" t="str">
        <f>IF(E429="Invalid_Segment","Invalid",IFERROR(INDEX(Severity_Matrix!$C$3:$M$10,MATCH('Error Log'!$F429,Severity_Matrix!$B$3:$B$10,0),MATCH('Error Log'!$G429,Severity_Matrix!$C$2:$M$2,0)),"No errors"))</f>
        <v>Critical</v>
      </c>
    </row>
    <row r="430" spans="1:10">
      <c r="A430" s="99" t="s">
        <v>1029</v>
      </c>
      <c r="B430" s="18">
        <v>1</v>
      </c>
      <c r="C430" s="89" t="s">
        <v>1030</v>
      </c>
      <c r="D430" s="89" t="s">
        <v>1031</v>
      </c>
      <c r="E430" s="84" t="s">
        <v>21</v>
      </c>
      <c r="F430" s="84" t="s">
        <v>22</v>
      </c>
      <c r="G430" s="84" t="s">
        <v>57</v>
      </c>
      <c r="H430" s="84" t="s">
        <v>1032</v>
      </c>
      <c r="I430" s="84"/>
      <c r="J430" s="15" t="str">
        <f>IF(E430="Invalid_Segment","Invalid",IFERROR(INDEX(Severity_Matrix!$C$3:$M$10,MATCH('Error Log'!$F430,Severity_Matrix!$B$3:$B$10,0),MATCH('Error Log'!$G430,Severity_Matrix!$C$2:$M$2,0)),"No errors"))</f>
        <v>Major</v>
      </c>
    </row>
    <row r="431" spans="1:10">
      <c r="A431" s="99" t="s">
        <v>1029</v>
      </c>
      <c r="B431" s="18">
        <v>2</v>
      </c>
      <c r="C431" s="89" t="s">
        <v>1030</v>
      </c>
      <c r="D431" s="89" t="s">
        <v>1031</v>
      </c>
      <c r="E431" s="84" t="s">
        <v>21</v>
      </c>
      <c r="F431" s="84" t="s">
        <v>7</v>
      </c>
      <c r="G431" s="84" t="s">
        <v>57</v>
      </c>
      <c r="H431" s="84" t="s">
        <v>1033</v>
      </c>
      <c r="I431" s="84"/>
      <c r="J431" s="15" t="str">
        <f>IF(E431="Invalid_Segment","Invalid",IFERROR(INDEX(Severity_Matrix!$C$3:$M$10,MATCH('Error Log'!$F431,Severity_Matrix!$B$3:$B$10,0),MATCH('Error Log'!$G431,Severity_Matrix!$C$2:$M$2,0)),"No errors"))</f>
        <v>Critical</v>
      </c>
    </row>
    <row r="432" spans="1:10">
      <c r="A432" s="98" t="s">
        <v>1034</v>
      </c>
      <c r="B432" s="18">
        <v>1</v>
      </c>
      <c r="C432" s="92" t="s">
        <v>1035</v>
      </c>
      <c r="D432" s="89" t="s">
        <v>1036</v>
      </c>
      <c r="E432" s="84" t="s">
        <v>21</v>
      </c>
      <c r="F432" s="84" t="s">
        <v>22</v>
      </c>
      <c r="G432" s="84" t="s">
        <v>57</v>
      </c>
      <c r="H432" s="84" t="s">
        <v>1037</v>
      </c>
      <c r="I432" s="84"/>
      <c r="J432" s="15" t="str">
        <f>IF(E432="Invalid_Segment","Invalid",IFERROR(INDEX(Severity_Matrix!$C$3:$M$10,MATCH('Error Log'!$F432,Severity_Matrix!$B$3:$B$10,0),MATCH('Error Log'!$G432,Severity_Matrix!$C$2:$M$2,0)),"No errors"))</f>
        <v>Major</v>
      </c>
    </row>
    <row r="433" spans="1:10">
      <c r="A433" s="98" t="s">
        <v>1034</v>
      </c>
      <c r="B433" s="18">
        <v>2</v>
      </c>
      <c r="C433" s="92" t="s">
        <v>1035</v>
      </c>
      <c r="D433" s="89" t="s">
        <v>1036</v>
      </c>
      <c r="E433" s="84" t="s">
        <v>21</v>
      </c>
      <c r="F433" s="84" t="s">
        <v>7</v>
      </c>
      <c r="G433" s="84" t="s">
        <v>57</v>
      </c>
      <c r="H433" s="84" t="s">
        <v>1038</v>
      </c>
      <c r="I433" s="84"/>
      <c r="J433" s="15" t="str">
        <f>IF(E433="Invalid_Segment","Invalid",IFERROR(INDEX(Severity_Matrix!$C$3:$M$10,MATCH('Error Log'!$F433,Severity_Matrix!$B$3:$B$10,0),MATCH('Error Log'!$G433,Severity_Matrix!$C$2:$M$2,0)),"No errors"))</f>
        <v>Critical</v>
      </c>
    </row>
    <row r="434" spans="1:10">
      <c r="A434" s="98" t="s">
        <v>1039</v>
      </c>
      <c r="B434" s="18">
        <v>1</v>
      </c>
      <c r="C434" s="92" t="s">
        <v>1040</v>
      </c>
      <c r="D434" s="89" t="s">
        <v>1041</v>
      </c>
      <c r="E434" s="84" t="s">
        <v>21</v>
      </c>
      <c r="F434" s="84" t="s">
        <v>22</v>
      </c>
      <c r="G434" s="84" t="s">
        <v>57</v>
      </c>
      <c r="H434" s="84" t="s">
        <v>1042</v>
      </c>
      <c r="I434" s="84"/>
      <c r="J434" s="15" t="str">
        <f>IF(E434="Invalid_Segment","Invalid",IFERROR(INDEX(Severity_Matrix!$C$3:$M$10,MATCH('Error Log'!$F434,Severity_Matrix!$B$3:$B$10,0),MATCH('Error Log'!$G434,Severity_Matrix!$C$2:$M$2,0)),"No errors"))</f>
        <v>Major</v>
      </c>
    </row>
    <row r="435" spans="1:10">
      <c r="A435" s="98" t="s">
        <v>1039</v>
      </c>
      <c r="B435" s="18">
        <v>2</v>
      </c>
      <c r="C435" s="92" t="s">
        <v>1040</v>
      </c>
      <c r="D435" s="89" t="s">
        <v>1041</v>
      </c>
      <c r="E435" s="84" t="s">
        <v>21</v>
      </c>
      <c r="F435" s="84" t="s">
        <v>22</v>
      </c>
      <c r="G435" s="84" t="s">
        <v>57</v>
      </c>
      <c r="H435" s="84" t="s">
        <v>1043</v>
      </c>
      <c r="I435" s="84"/>
      <c r="J435" s="15" t="str">
        <f>IF(E435="Invalid_Segment","Invalid",IFERROR(INDEX(Severity_Matrix!$C$3:$M$10,MATCH('Error Log'!$F435,Severity_Matrix!$B$3:$B$10,0),MATCH('Error Log'!$G435,Severity_Matrix!$C$2:$M$2,0)),"No errors"))</f>
        <v>Major</v>
      </c>
    </row>
    <row r="436" spans="1:10">
      <c r="A436" s="98" t="s">
        <v>1039</v>
      </c>
      <c r="B436" s="18">
        <v>3</v>
      </c>
      <c r="C436" s="92" t="s">
        <v>1040</v>
      </c>
      <c r="D436" s="89" t="s">
        <v>1041</v>
      </c>
      <c r="E436" s="84" t="s">
        <v>21</v>
      </c>
      <c r="F436" s="84" t="s">
        <v>7</v>
      </c>
      <c r="G436" s="84" t="s">
        <v>57</v>
      </c>
      <c r="H436" s="84" t="s">
        <v>1044</v>
      </c>
      <c r="I436" s="84"/>
      <c r="J436" s="15" t="str">
        <f>IF(E436="Invalid_Segment","Invalid",IFERROR(INDEX(Severity_Matrix!$C$3:$M$10,MATCH('Error Log'!$F436,Severity_Matrix!$B$3:$B$10,0),MATCH('Error Log'!$G436,Severity_Matrix!$C$2:$M$2,0)),"No errors"))</f>
        <v>Critical</v>
      </c>
    </row>
    <row r="437" spans="1:10">
      <c r="A437" s="98" t="s">
        <v>1045</v>
      </c>
      <c r="B437" s="18">
        <v>1</v>
      </c>
      <c r="C437" s="92" t="s">
        <v>1046</v>
      </c>
      <c r="D437" s="89" t="s">
        <v>1047</v>
      </c>
      <c r="E437" s="84" t="s">
        <v>21</v>
      </c>
      <c r="F437" s="84" t="s">
        <v>7</v>
      </c>
      <c r="G437" s="84" t="s">
        <v>57</v>
      </c>
      <c r="H437" s="84" t="s">
        <v>1048</v>
      </c>
      <c r="I437" s="84"/>
      <c r="J437" s="15" t="str">
        <f>IF(E437="Invalid_Segment","Invalid",IFERROR(INDEX(Severity_Matrix!$C$3:$M$10,MATCH('Error Log'!$F437,Severity_Matrix!$B$3:$B$10,0),MATCH('Error Log'!$G437,Severity_Matrix!$C$2:$M$2,0)),"No errors"))</f>
        <v>Critical</v>
      </c>
    </row>
    <row r="438" spans="1:10">
      <c r="A438" s="19"/>
      <c r="B438" s="18"/>
      <c r="C438" s="20"/>
      <c r="D438" s="20"/>
      <c r="E438" s="14"/>
      <c r="F438" s="14"/>
      <c r="G438" s="14"/>
      <c r="H438" s="14"/>
      <c r="I438" s="14"/>
      <c r="J438" s="15"/>
    </row>
    <row r="439" spans="1:10">
      <c r="A439" s="19"/>
      <c r="B439" s="18"/>
      <c r="C439" s="20"/>
      <c r="D439" s="20"/>
      <c r="E439" s="14"/>
      <c r="F439" s="14"/>
      <c r="G439" s="14"/>
      <c r="H439" s="14"/>
      <c r="I439" s="14"/>
      <c r="J439" s="15"/>
    </row>
    <row r="440" spans="1:10">
      <c r="A440" s="19"/>
      <c r="B440" s="18"/>
      <c r="C440" s="20"/>
      <c r="D440" s="20"/>
      <c r="E440" s="14"/>
      <c r="F440" s="14"/>
      <c r="G440" s="14"/>
      <c r="H440" s="14"/>
      <c r="I440" s="14"/>
      <c r="J440" s="15"/>
    </row>
    <row r="441" spans="1:10">
      <c r="A441" s="19"/>
      <c r="B441" s="18"/>
      <c r="C441" s="20"/>
      <c r="D441" s="20"/>
      <c r="E441" s="14"/>
      <c r="F441" s="14"/>
      <c r="G441" s="14"/>
      <c r="H441" s="14"/>
      <c r="I441" s="14"/>
      <c r="J441" s="15"/>
    </row>
    <row r="442" spans="1:10">
      <c r="A442" s="19"/>
      <c r="B442" s="18"/>
      <c r="C442" s="20"/>
      <c r="D442" s="20"/>
      <c r="E442" s="14"/>
      <c r="F442" s="14"/>
      <c r="G442" s="14"/>
      <c r="H442" s="14"/>
      <c r="I442" s="14"/>
      <c r="J442" s="15"/>
    </row>
    <row r="443" spans="1:10">
      <c r="A443" s="19"/>
      <c r="B443" s="18"/>
      <c r="C443" s="20"/>
      <c r="D443" s="20"/>
      <c r="E443" s="14"/>
      <c r="F443" s="14"/>
      <c r="G443" s="14"/>
      <c r="H443" s="14"/>
      <c r="I443" s="14"/>
      <c r="J443" s="15"/>
    </row>
    <row r="444" spans="1:10">
      <c r="A444" s="19"/>
      <c r="B444" s="18"/>
      <c r="C444" s="20"/>
      <c r="D444" s="20"/>
      <c r="E444" s="14"/>
      <c r="F444" s="14"/>
      <c r="G444" s="14"/>
      <c r="H444" s="14"/>
      <c r="I444" s="14"/>
      <c r="J444" s="15"/>
    </row>
    <row r="445" spans="1:10">
      <c r="A445" s="19"/>
      <c r="B445" s="18"/>
      <c r="C445" s="20"/>
      <c r="D445" s="20"/>
      <c r="E445" s="14"/>
      <c r="F445" s="14"/>
      <c r="G445" s="14"/>
      <c r="H445" s="14"/>
      <c r="I445" s="14"/>
      <c r="J445" s="15"/>
    </row>
    <row r="446" spans="1:10">
      <c r="A446" s="19"/>
      <c r="B446" s="18"/>
      <c r="C446" s="20"/>
      <c r="D446" s="20"/>
      <c r="E446" s="14"/>
      <c r="F446" s="14"/>
      <c r="G446" s="14"/>
      <c r="H446" s="14"/>
      <c r="I446" s="14"/>
      <c r="J446" s="15"/>
    </row>
    <row r="447" spans="1:10">
      <c r="A447" s="19"/>
      <c r="B447" s="18"/>
      <c r="C447" s="20"/>
      <c r="D447" s="20"/>
      <c r="E447" s="14"/>
      <c r="F447" s="14"/>
      <c r="G447" s="14"/>
      <c r="H447" s="14"/>
      <c r="I447" s="14"/>
      <c r="J447" s="15"/>
    </row>
    <row r="448" spans="1:10">
      <c r="A448" s="19"/>
      <c r="B448" s="18"/>
      <c r="C448" s="20"/>
      <c r="D448" s="20"/>
      <c r="E448" s="14"/>
      <c r="F448" s="14"/>
      <c r="G448" s="14"/>
      <c r="H448" s="14"/>
      <c r="I448" s="14"/>
      <c r="J448" s="15"/>
    </row>
    <row r="449" spans="1:10">
      <c r="A449" s="19"/>
      <c r="B449" s="18"/>
      <c r="C449" s="20"/>
      <c r="D449" s="20"/>
      <c r="E449" s="14"/>
      <c r="F449" s="14"/>
      <c r="G449" s="14"/>
      <c r="H449" s="14"/>
      <c r="I449" s="14"/>
      <c r="J449" s="15"/>
    </row>
    <row r="450" spans="1:10">
      <c r="A450" s="19"/>
      <c r="B450" s="18"/>
      <c r="C450" s="20"/>
      <c r="D450" s="20"/>
      <c r="E450" s="14"/>
      <c r="F450" s="14"/>
      <c r="G450" s="14"/>
      <c r="H450" s="14"/>
      <c r="I450" s="14"/>
      <c r="J450" s="15"/>
    </row>
    <row r="451" spans="1:10">
      <c r="A451" s="19"/>
      <c r="B451" s="18"/>
      <c r="C451" s="20"/>
      <c r="D451" s="20"/>
      <c r="E451" s="14"/>
      <c r="F451" s="14"/>
      <c r="G451" s="14"/>
      <c r="H451" s="14"/>
      <c r="I451" s="14"/>
      <c r="J451" s="15"/>
    </row>
    <row r="452" spans="1:10">
      <c r="A452" s="19"/>
      <c r="B452" s="18"/>
      <c r="C452" s="20"/>
      <c r="D452" s="20"/>
      <c r="E452" s="14"/>
      <c r="F452" s="14"/>
      <c r="G452" s="14"/>
      <c r="H452" s="14"/>
      <c r="I452" s="14"/>
      <c r="J452" s="15"/>
    </row>
    <row r="453" spans="1:10">
      <c r="A453" s="19"/>
      <c r="B453" s="18"/>
      <c r="C453" s="20"/>
      <c r="D453" s="20"/>
      <c r="E453" s="14"/>
      <c r="F453" s="14"/>
      <c r="G453" s="14"/>
      <c r="H453" s="14"/>
      <c r="I453" s="14"/>
      <c r="J453" s="15"/>
    </row>
    <row r="454" spans="1:10">
      <c r="A454" s="19"/>
      <c r="B454" s="18"/>
      <c r="C454" s="20"/>
      <c r="D454" s="20"/>
      <c r="E454" s="14"/>
      <c r="F454" s="14"/>
      <c r="G454" s="14"/>
      <c r="H454" s="14"/>
      <c r="I454" s="14"/>
      <c r="J454" s="15"/>
    </row>
    <row r="455" spans="1:10">
      <c r="A455" s="19"/>
      <c r="B455" s="18"/>
      <c r="C455" s="20"/>
      <c r="D455" s="20"/>
      <c r="E455" s="14"/>
      <c r="F455" s="14"/>
      <c r="G455" s="14"/>
      <c r="H455" s="14"/>
      <c r="I455" s="14"/>
      <c r="J455" s="15"/>
    </row>
    <row r="456" spans="1:10">
      <c r="A456" s="19"/>
      <c r="B456" s="18"/>
      <c r="C456" s="20"/>
      <c r="D456" s="20"/>
      <c r="E456" s="14"/>
      <c r="F456" s="14"/>
      <c r="G456" s="14"/>
      <c r="H456" s="14"/>
      <c r="I456" s="14"/>
      <c r="J456" s="15"/>
    </row>
    <row r="457" spans="1:10">
      <c r="A457" s="19"/>
      <c r="B457" s="18"/>
      <c r="C457" s="20"/>
      <c r="D457" s="20"/>
      <c r="E457" s="14"/>
      <c r="F457" s="14"/>
      <c r="G457" s="14"/>
      <c r="H457" s="14"/>
      <c r="I457" s="14"/>
      <c r="J457" s="15"/>
    </row>
    <row r="458" spans="1:10">
      <c r="A458" s="19"/>
      <c r="B458" s="18"/>
      <c r="C458" s="20"/>
      <c r="D458" s="20"/>
      <c r="E458" s="14"/>
      <c r="F458" s="14"/>
      <c r="G458" s="14"/>
      <c r="H458" s="14"/>
      <c r="I458" s="14"/>
      <c r="J458" s="15"/>
    </row>
    <row r="459" spans="1:10">
      <c r="A459" s="19"/>
      <c r="B459" s="18"/>
      <c r="C459" s="20"/>
      <c r="D459" s="20"/>
      <c r="E459" s="14"/>
      <c r="F459" s="14"/>
      <c r="G459" s="14"/>
      <c r="H459" s="14"/>
      <c r="I459" s="14"/>
      <c r="J459" s="15"/>
    </row>
    <row r="460" spans="1:10">
      <c r="A460" s="19"/>
      <c r="B460" s="18"/>
      <c r="C460" s="20"/>
      <c r="D460" s="20"/>
      <c r="E460" s="14"/>
      <c r="F460" s="14"/>
      <c r="G460" s="14"/>
      <c r="H460" s="14"/>
      <c r="I460" s="14"/>
      <c r="J460" s="15"/>
    </row>
    <row r="461" spans="1:10">
      <c r="A461" s="19"/>
      <c r="B461" s="18"/>
      <c r="C461" s="20"/>
      <c r="D461" s="20"/>
      <c r="E461" s="14"/>
      <c r="F461" s="14"/>
      <c r="G461" s="14"/>
      <c r="H461" s="14"/>
      <c r="I461" s="14"/>
      <c r="J461" s="15"/>
    </row>
    <row r="462" spans="1:10">
      <c r="A462" s="19"/>
      <c r="B462" s="18"/>
      <c r="C462" s="20"/>
      <c r="D462" s="20"/>
      <c r="E462" s="14"/>
      <c r="F462" s="14"/>
      <c r="G462" s="14"/>
      <c r="H462" s="14"/>
      <c r="I462" s="14"/>
      <c r="J462" s="15"/>
    </row>
    <row r="463" spans="1:10">
      <c r="A463" s="19"/>
      <c r="B463" s="18"/>
      <c r="C463" s="20"/>
      <c r="D463" s="20"/>
      <c r="E463" s="14"/>
      <c r="F463" s="14"/>
      <c r="G463" s="14"/>
      <c r="H463" s="14"/>
      <c r="I463" s="14"/>
      <c r="J463" s="15"/>
    </row>
    <row r="464" spans="1:10">
      <c r="A464" s="19"/>
      <c r="B464" s="18"/>
      <c r="C464" s="20"/>
      <c r="D464" s="20"/>
      <c r="E464" s="14"/>
      <c r="F464" s="14"/>
      <c r="G464" s="14"/>
      <c r="H464" s="14"/>
      <c r="I464" s="14"/>
      <c r="J464" s="15"/>
    </row>
    <row r="465" spans="1:10">
      <c r="A465" s="19"/>
      <c r="B465" s="18"/>
      <c r="C465" s="20"/>
      <c r="D465" s="20"/>
      <c r="E465" s="14"/>
      <c r="F465" s="14"/>
      <c r="G465" s="14"/>
      <c r="H465" s="14"/>
      <c r="I465" s="14"/>
      <c r="J465" s="15"/>
    </row>
    <row r="466" spans="1:10">
      <c r="A466" s="19"/>
      <c r="B466" s="18"/>
      <c r="C466" s="20"/>
      <c r="D466" s="20"/>
      <c r="E466" s="14"/>
      <c r="F466" s="14"/>
      <c r="G466" s="14"/>
      <c r="H466" s="14"/>
      <c r="I466" s="14"/>
      <c r="J466" s="15"/>
    </row>
    <row r="467" spans="1:10">
      <c r="A467" s="19"/>
      <c r="B467" s="18"/>
      <c r="C467" s="20"/>
      <c r="D467" s="20"/>
      <c r="E467" s="14"/>
      <c r="F467" s="14"/>
      <c r="G467" s="14"/>
      <c r="H467" s="14"/>
      <c r="I467" s="14"/>
      <c r="J467" s="15"/>
    </row>
    <row r="468" spans="1:10">
      <c r="A468" s="19"/>
      <c r="B468" s="18"/>
      <c r="C468" s="20"/>
      <c r="D468" s="20"/>
      <c r="E468" s="14"/>
      <c r="F468" s="14"/>
      <c r="G468" s="14"/>
      <c r="H468" s="14"/>
      <c r="I468" s="14"/>
      <c r="J468" s="15"/>
    </row>
    <row r="469" spans="1:10">
      <c r="A469" s="19"/>
      <c r="B469" s="18"/>
      <c r="C469" s="20"/>
      <c r="D469" s="20"/>
      <c r="E469" s="14"/>
      <c r="F469" s="14"/>
      <c r="G469" s="14"/>
      <c r="H469" s="14"/>
      <c r="I469" s="14"/>
      <c r="J469" s="15"/>
    </row>
    <row r="470" spans="1:10">
      <c r="A470" s="19"/>
      <c r="B470" s="18"/>
      <c r="C470" s="20"/>
      <c r="D470" s="20"/>
      <c r="E470" s="14"/>
      <c r="F470" s="14"/>
      <c r="G470" s="14"/>
      <c r="H470" s="14"/>
      <c r="I470" s="14"/>
      <c r="J470" s="15"/>
    </row>
    <row r="471" spans="1:10">
      <c r="A471" s="19"/>
      <c r="B471" s="18"/>
      <c r="C471" s="20"/>
      <c r="D471" s="20"/>
      <c r="E471" s="14"/>
      <c r="F471" s="14"/>
      <c r="G471" s="14"/>
      <c r="H471" s="14"/>
      <c r="I471" s="14"/>
      <c r="J471" s="15"/>
    </row>
    <row r="472" spans="1:10">
      <c r="A472" s="19"/>
      <c r="B472" s="18"/>
      <c r="C472" s="20"/>
      <c r="D472" s="20"/>
      <c r="E472" s="14"/>
      <c r="F472" s="14"/>
      <c r="G472" s="14"/>
      <c r="H472" s="14"/>
      <c r="I472" s="14"/>
      <c r="J472" s="15"/>
    </row>
    <row r="473" spans="1:10">
      <c r="A473" s="19"/>
      <c r="B473" s="18"/>
      <c r="C473" s="20"/>
      <c r="D473" s="20"/>
      <c r="E473" s="14"/>
      <c r="F473" s="14"/>
      <c r="G473" s="14"/>
      <c r="H473" s="14"/>
      <c r="I473" s="14"/>
      <c r="J473" s="15"/>
    </row>
    <row r="474" spans="1:10">
      <c r="A474" s="19"/>
      <c r="B474" s="18"/>
      <c r="C474" s="20"/>
      <c r="D474" s="20"/>
      <c r="E474" s="14"/>
      <c r="F474" s="14"/>
      <c r="G474" s="14"/>
      <c r="H474" s="14"/>
      <c r="I474" s="14"/>
      <c r="J474" s="15"/>
    </row>
    <row r="475" spans="1:10">
      <c r="A475" s="19"/>
      <c r="B475" s="18"/>
      <c r="C475" s="20"/>
      <c r="D475" s="20"/>
      <c r="E475" s="14"/>
      <c r="F475" s="14"/>
      <c r="G475" s="14"/>
      <c r="H475" s="14"/>
      <c r="I475" s="14"/>
      <c r="J475" s="15"/>
    </row>
    <row r="476" spans="1:10">
      <c r="A476" s="19"/>
      <c r="B476" s="18"/>
      <c r="C476" s="20"/>
      <c r="D476" s="20"/>
      <c r="E476" s="14"/>
      <c r="F476" s="14"/>
      <c r="G476" s="14"/>
      <c r="H476" s="14"/>
      <c r="I476" s="14"/>
      <c r="J476" s="15"/>
    </row>
    <row r="477" spans="1:10">
      <c r="A477" s="19"/>
      <c r="B477" s="18"/>
      <c r="C477" s="20"/>
      <c r="D477" s="20"/>
      <c r="E477" s="14"/>
      <c r="F477" s="14"/>
      <c r="G477" s="14"/>
      <c r="H477" s="14"/>
      <c r="I477" s="14"/>
      <c r="J477" s="15"/>
    </row>
    <row r="478" spans="1:10">
      <c r="A478" s="19"/>
      <c r="B478" s="18"/>
      <c r="C478" s="20"/>
      <c r="D478" s="20"/>
      <c r="E478" s="14"/>
      <c r="F478" s="14"/>
      <c r="G478" s="14"/>
      <c r="H478" s="14"/>
      <c r="I478" s="14"/>
      <c r="J478" s="15"/>
    </row>
    <row r="479" spans="1:10">
      <c r="A479" s="19"/>
      <c r="B479" s="18"/>
      <c r="C479" s="20"/>
      <c r="D479" s="20"/>
      <c r="E479" s="14"/>
      <c r="F479" s="14"/>
      <c r="G479" s="14"/>
      <c r="H479" s="14"/>
      <c r="I479" s="14"/>
      <c r="J479" s="15"/>
    </row>
    <row r="480" spans="1:10">
      <c r="A480" s="19"/>
      <c r="B480" s="18"/>
      <c r="C480" s="20"/>
      <c r="D480" s="20"/>
      <c r="E480" s="14"/>
      <c r="F480" s="14"/>
      <c r="G480" s="14"/>
      <c r="H480" s="14"/>
      <c r="I480" s="14"/>
      <c r="J480" s="15"/>
    </row>
    <row r="481" spans="1:10">
      <c r="A481" s="19"/>
      <c r="B481" s="18"/>
      <c r="C481" s="20"/>
      <c r="D481" s="20"/>
      <c r="E481" s="14"/>
      <c r="F481" s="14"/>
      <c r="G481" s="14"/>
      <c r="H481" s="14"/>
      <c r="I481" s="14"/>
      <c r="J481" s="15"/>
    </row>
    <row r="482" spans="1:10">
      <c r="A482" s="19"/>
      <c r="B482" s="18"/>
      <c r="C482" s="20"/>
      <c r="D482" s="20"/>
      <c r="E482" s="14"/>
      <c r="F482" s="14"/>
      <c r="G482" s="14"/>
      <c r="H482" s="14"/>
      <c r="I482" s="14"/>
      <c r="J482" s="15"/>
    </row>
    <row r="483" spans="1:10">
      <c r="A483" s="19"/>
      <c r="B483" s="18"/>
      <c r="C483" s="20"/>
      <c r="D483" s="20"/>
      <c r="E483" s="14"/>
      <c r="F483" s="14"/>
      <c r="G483" s="14"/>
      <c r="H483" s="14"/>
      <c r="I483" s="14"/>
      <c r="J483" s="15"/>
    </row>
    <row r="484" spans="1:10">
      <c r="A484" s="19"/>
      <c r="B484" s="18"/>
      <c r="C484" s="20"/>
      <c r="D484" s="20"/>
      <c r="E484" s="14"/>
      <c r="F484" s="14"/>
      <c r="G484" s="14"/>
      <c r="H484" s="14"/>
      <c r="I484" s="14"/>
      <c r="J484" s="15"/>
    </row>
    <row r="485" spans="1:10">
      <c r="A485" s="19"/>
      <c r="B485" s="18"/>
      <c r="C485" s="20"/>
      <c r="D485" s="20"/>
      <c r="E485" s="14"/>
      <c r="F485" s="14"/>
      <c r="G485" s="14"/>
      <c r="H485" s="14"/>
      <c r="I485" s="14"/>
      <c r="J485" s="15"/>
    </row>
    <row r="486" spans="1:10">
      <c r="A486" s="19"/>
      <c r="B486" s="18"/>
      <c r="C486" s="20"/>
      <c r="D486" s="20"/>
      <c r="E486" s="14"/>
      <c r="F486" s="14"/>
      <c r="G486" s="14"/>
      <c r="H486" s="14"/>
      <c r="I486" s="14"/>
      <c r="J486" s="15"/>
    </row>
    <row r="487" spans="1:10">
      <c r="A487" s="19"/>
      <c r="B487" s="18"/>
      <c r="C487" s="20"/>
      <c r="D487" s="20"/>
      <c r="E487" s="14"/>
      <c r="F487" s="14"/>
      <c r="G487" s="14"/>
      <c r="H487" s="14"/>
      <c r="I487" s="14"/>
      <c r="J487" s="15"/>
    </row>
    <row r="488" spans="1:10">
      <c r="A488" s="19"/>
      <c r="B488" s="18"/>
      <c r="C488" s="20"/>
      <c r="D488" s="20"/>
      <c r="E488" s="14"/>
      <c r="F488" s="14"/>
      <c r="G488" s="14"/>
      <c r="H488" s="14"/>
      <c r="I488" s="14"/>
      <c r="J488" s="15"/>
    </row>
    <row r="489" spans="1:10">
      <c r="A489" s="19"/>
      <c r="B489" s="18"/>
      <c r="C489" s="20"/>
      <c r="D489" s="20"/>
      <c r="E489" s="14"/>
      <c r="F489" s="14"/>
      <c r="G489" s="14"/>
      <c r="H489" s="14"/>
      <c r="I489" s="14"/>
      <c r="J489" s="15"/>
    </row>
    <row r="490" spans="1:10">
      <c r="A490" s="19"/>
      <c r="B490" s="18"/>
      <c r="C490" s="20"/>
      <c r="D490" s="20"/>
      <c r="E490" s="14"/>
      <c r="F490" s="14"/>
      <c r="G490" s="14"/>
      <c r="H490" s="14"/>
      <c r="I490" s="14"/>
      <c r="J490" s="15"/>
    </row>
    <row r="491" spans="1:10">
      <c r="A491" s="19"/>
      <c r="B491" s="18"/>
      <c r="C491" s="20"/>
      <c r="D491" s="20"/>
      <c r="E491" s="14"/>
      <c r="F491" s="14"/>
      <c r="G491" s="14"/>
      <c r="H491" s="14"/>
      <c r="I491" s="14"/>
      <c r="J491" s="15"/>
    </row>
    <row r="492" spans="1:10">
      <c r="A492" s="19"/>
      <c r="B492" s="18"/>
      <c r="C492" s="20"/>
      <c r="D492" s="20"/>
      <c r="E492" s="14"/>
      <c r="F492" s="14"/>
      <c r="G492" s="14"/>
      <c r="H492" s="14"/>
      <c r="I492" s="14"/>
      <c r="J492" s="15"/>
    </row>
    <row r="493" spans="1:10">
      <c r="A493" s="19"/>
      <c r="B493" s="18"/>
      <c r="C493" s="20"/>
      <c r="D493" s="20"/>
      <c r="E493" s="14"/>
      <c r="F493" s="14"/>
      <c r="G493" s="14"/>
      <c r="H493" s="14"/>
      <c r="I493" s="14"/>
      <c r="J493" s="15"/>
    </row>
    <row r="494" spans="1:10">
      <c r="A494" s="19"/>
      <c r="B494" s="18"/>
      <c r="C494" s="20"/>
      <c r="D494" s="20"/>
      <c r="E494" s="14"/>
      <c r="F494" s="14"/>
      <c r="G494" s="14"/>
      <c r="H494" s="14"/>
      <c r="I494" s="14"/>
      <c r="J494" s="15"/>
    </row>
    <row r="495" spans="1:10">
      <c r="A495" s="19"/>
      <c r="B495" s="18"/>
      <c r="C495" s="20"/>
      <c r="D495" s="20"/>
      <c r="E495" s="14"/>
      <c r="F495" s="14"/>
      <c r="G495" s="14"/>
      <c r="H495" s="14"/>
      <c r="I495" s="14"/>
      <c r="J495" s="15"/>
    </row>
    <row r="496" spans="1:10">
      <c r="A496" s="19"/>
      <c r="B496" s="18"/>
      <c r="C496" s="20"/>
      <c r="D496" s="20"/>
      <c r="E496" s="14"/>
      <c r="F496" s="14"/>
      <c r="G496" s="14"/>
      <c r="H496" s="14"/>
      <c r="I496" s="14"/>
      <c r="J496" s="15"/>
    </row>
    <row r="497" spans="1:10">
      <c r="A497" s="19"/>
      <c r="B497" s="18"/>
      <c r="C497" s="20"/>
      <c r="D497" s="20"/>
      <c r="E497" s="14"/>
      <c r="F497" s="14"/>
      <c r="G497" s="14"/>
      <c r="H497" s="14"/>
      <c r="I497" s="14"/>
      <c r="J497" s="15"/>
    </row>
    <row r="498" spans="1:10">
      <c r="A498" s="19"/>
      <c r="B498" s="18"/>
      <c r="C498" s="20"/>
      <c r="D498" s="20"/>
      <c r="E498" s="14"/>
      <c r="F498" s="14"/>
      <c r="G498" s="14"/>
      <c r="H498" s="14"/>
      <c r="I498" s="14"/>
      <c r="J498" s="15"/>
    </row>
    <row r="499" spans="1:10">
      <c r="A499" s="19"/>
      <c r="B499" s="18"/>
      <c r="C499" s="20"/>
      <c r="D499" s="20"/>
      <c r="E499" s="14"/>
      <c r="F499" s="14"/>
      <c r="G499" s="14"/>
      <c r="H499" s="14"/>
      <c r="I499" s="14"/>
      <c r="J499" s="15"/>
    </row>
    <row r="500" spans="1:10">
      <c r="A500" s="19"/>
      <c r="B500" s="18"/>
      <c r="C500" s="20"/>
      <c r="D500" s="20"/>
      <c r="E500" s="14"/>
      <c r="F500" s="14"/>
      <c r="G500" s="14"/>
      <c r="H500" s="14"/>
      <c r="I500" s="14"/>
      <c r="J500" s="15"/>
    </row>
    <row r="501" spans="1:10">
      <c r="A501" s="19"/>
      <c r="B501" s="18"/>
      <c r="C501" s="20"/>
      <c r="D501" s="20"/>
      <c r="E501" s="14"/>
      <c r="F501" s="14"/>
      <c r="G501" s="14"/>
      <c r="H501" s="14"/>
      <c r="I501" s="14"/>
      <c r="J501" s="15"/>
    </row>
    <row r="502" spans="1:10">
      <c r="A502" s="19"/>
      <c r="B502" s="18"/>
      <c r="C502" s="20"/>
      <c r="D502" s="20"/>
      <c r="E502" s="14"/>
      <c r="F502" s="14"/>
      <c r="G502" s="14"/>
      <c r="H502" s="14"/>
      <c r="I502" s="14"/>
      <c r="J502" s="15"/>
    </row>
    <row r="503" spans="1:10">
      <c r="A503" s="19"/>
      <c r="B503" s="18"/>
      <c r="C503" s="20"/>
      <c r="D503" s="20"/>
      <c r="E503" s="14"/>
      <c r="F503" s="14"/>
      <c r="G503" s="14"/>
      <c r="H503" s="14"/>
      <c r="I503" s="14"/>
      <c r="J503" s="15"/>
    </row>
    <row r="504" spans="1:10">
      <c r="A504" s="19"/>
      <c r="B504" s="18"/>
      <c r="C504" s="20"/>
      <c r="D504" s="20"/>
      <c r="E504" s="14"/>
      <c r="F504" s="14"/>
      <c r="G504" s="14"/>
      <c r="H504" s="14"/>
      <c r="I504" s="14"/>
      <c r="J504" s="15"/>
    </row>
    <row r="505" spans="1:10">
      <c r="A505" s="19"/>
      <c r="B505" s="18"/>
      <c r="C505" s="20"/>
      <c r="D505" s="20"/>
      <c r="E505" s="14"/>
      <c r="F505" s="14"/>
      <c r="G505" s="14"/>
      <c r="H505" s="14"/>
      <c r="I505" s="14"/>
      <c r="J505" s="15"/>
    </row>
    <row r="506" spans="1:10">
      <c r="A506" s="19"/>
      <c r="B506" s="18"/>
      <c r="C506" s="20"/>
      <c r="D506" s="20"/>
      <c r="E506" s="14"/>
      <c r="F506" s="14"/>
      <c r="G506" s="14"/>
      <c r="H506" s="14"/>
      <c r="I506" s="14"/>
      <c r="J506" s="15"/>
    </row>
    <row r="507" spans="1:10">
      <c r="A507" s="19"/>
      <c r="B507" s="18"/>
      <c r="C507" s="20"/>
      <c r="D507" s="20"/>
      <c r="E507" s="14"/>
      <c r="F507" s="14"/>
      <c r="G507" s="14"/>
      <c r="H507" s="14"/>
      <c r="I507" s="14"/>
      <c r="J507" s="15"/>
    </row>
    <row r="508" spans="1:10">
      <c r="A508" s="19"/>
      <c r="B508" s="18"/>
      <c r="C508" s="20"/>
      <c r="D508" s="20"/>
      <c r="E508" s="14"/>
      <c r="F508" s="14"/>
      <c r="G508" s="14"/>
      <c r="H508" s="14"/>
      <c r="I508" s="14"/>
      <c r="J508" s="15"/>
    </row>
    <row r="509" spans="1:10">
      <c r="A509" s="19"/>
      <c r="B509" s="18"/>
      <c r="C509" s="20"/>
      <c r="D509" s="20"/>
      <c r="E509" s="14"/>
      <c r="F509" s="14"/>
      <c r="G509" s="14"/>
      <c r="H509" s="14"/>
      <c r="I509" s="14"/>
      <c r="J509" s="15"/>
    </row>
    <row r="510" spans="1:10">
      <c r="A510" s="19"/>
      <c r="B510" s="18"/>
      <c r="C510" s="20"/>
      <c r="D510" s="20"/>
      <c r="E510" s="14"/>
      <c r="F510" s="14"/>
      <c r="G510" s="14"/>
      <c r="H510" s="14"/>
      <c r="I510" s="14"/>
      <c r="J510" s="15"/>
    </row>
    <row r="511" spans="1:10">
      <c r="A511" s="19"/>
      <c r="B511" s="18"/>
      <c r="C511" s="20"/>
      <c r="D511" s="20"/>
      <c r="E511" s="14"/>
      <c r="F511" s="14"/>
      <c r="G511" s="14"/>
      <c r="H511" s="14"/>
      <c r="I511" s="14"/>
      <c r="J511" s="15"/>
    </row>
    <row r="512" spans="1:10">
      <c r="A512" s="19"/>
      <c r="B512" s="18"/>
      <c r="C512" s="20"/>
      <c r="D512" s="20"/>
      <c r="E512" s="14"/>
      <c r="F512" s="14"/>
      <c r="G512" s="14"/>
      <c r="H512" s="14"/>
      <c r="I512" s="14"/>
      <c r="J512" s="15"/>
    </row>
    <row r="513" spans="1:10">
      <c r="A513" s="19"/>
      <c r="B513" s="18"/>
      <c r="C513" s="20"/>
      <c r="D513" s="20"/>
      <c r="E513" s="14"/>
      <c r="F513" s="14"/>
      <c r="G513" s="14"/>
      <c r="H513" s="14"/>
      <c r="I513" s="14"/>
      <c r="J513" s="15"/>
    </row>
    <row r="514" spans="1:10">
      <c r="A514" s="19"/>
      <c r="B514" s="18"/>
      <c r="C514" s="20"/>
      <c r="D514" s="20"/>
      <c r="E514" s="14"/>
      <c r="F514" s="14"/>
      <c r="G514" s="14"/>
      <c r="H514" s="14"/>
      <c r="I514" s="14"/>
      <c r="J514" s="15"/>
    </row>
    <row r="515" spans="1:10">
      <c r="A515" s="19"/>
      <c r="B515" s="18"/>
      <c r="C515" s="20"/>
      <c r="D515" s="20"/>
      <c r="E515" s="14"/>
      <c r="F515" s="14"/>
      <c r="G515" s="14"/>
      <c r="H515" s="14"/>
      <c r="I515" s="14"/>
      <c r="J515" s="15"/>
    </row>
    <row r="516" spans="1:10">
      <c r="A516" s="19"/>
      <c r="B516" s="18"/>
      <c r="C516" s="20"/>
      <c r="D516" s="20"/>
      <c r="E516" s="14"/>
      <c r="F516" s="14"/>
      <c r="G516" s="14"/>
      <c r="H516" s="14"/>
      <c r="I516" s="14"/>
      <c r="J516" s="15"/>
    </row>
    <row r="517" spans="1:10">
      <c r="A517" s="19"/>
      <c r="B517" s="18"/>
      <c r="C517" s="20"/>
      <c r="D517" s="20"/>
      <c r="E517" s="14"/>
      <c r="F517" s="14"/>
      <c r="G517" s="14"/>
      <c r="H517" s="14"/>
      <c r="I517" s="14"/>
      <c r="J517" s="15"/>
    </row>
    <row r="518" spans="1:10">
      <c r="A518" s="19"/>
      <c r="B518" s="18"/>
      <c r="C518" s="20"/>
      <c r="D518" s="20"/>
      <c r="E518" s="14"/>
      <c r="F518" s="14"/>
      <c r="G518" s="14"/>
      <c r="H518" s="14"/>
      <c r="I518" s="14"/>
      <c r="J518" s="15"/>
    </row>
    <row r="519" spans="1:10">
      <c r="A519" s="19"/>
      <c r="B519" s="18"/>
      <c r="C519" s="20"/>
      <c r="D519" s="20"/>
      <c r="E519" s="14"/>
      <c r="F519" s="14"/>
      <c r="G519" s="14"/>
      <c r="H519" s="14"/>
      <c r="I519" s="14"/>
      <c r="J519" s="15"/>
    </row>
    <row r="520" spans="1:10">
      <c r="A520" s="19"/>
      <c r="B520" s="18"/>
      <c r="C520" s="20"/>
      <c r="D520" s="20"/>
      <c r="E520" s="14"/>
      <c r="F520" s="14"/>
      <c r="G520" s="14"/>
      <c r="H520" s="14"/>
      <c r="I520" s="14"/>
      <c r="J520" s="15"/>
    </row>
    <row r="521" spans="1:10">
      <c r="A521" s="19"/>
      <c r="B521" s="18"/>
      <c r="C521" s="20"/>
      <c r="D521" s="20"/>
      <c r="E521" s="14"/>
      <c r="F521" s="14"/>
      <c r="G521" s="14"/>
      <c r="H521" s="14"/>
      <c r="I521" s="14"/>
      <c r="J521" s="15"/>
    </row>
    <row r="522" spans="1:10">
      <c r="A522" s="19"/>
      <c r="B522" s="18"/>
      <c r="C522" s="20"/>
      <c r="D522" s="20"/>
      <c r="E522" s="14"/>
      <c r="F522" s="14"/>
      <c r="G522" s="14"/>
      <c r="H522" s="14"/>
      <c r="I522" s="14"/>
      <c r="J522" s="15"/>
    </row>
    <row r="523" spans="1:10">
      <c r="A523" s="19"/>
      <c r="B523" s="18"/>
      <c r="C523" s="20"/>
      <c r="D523" s="20"/>
      <c r="E523" s="14"/>
      <c r="F523" s="14"/>
      <c r="G523" s="14"/>
      <c r="H523" s="14"/>
      <c r="I523" s="14"/>
      <c r="J523" s="15"/>
    </row>
    <row r="524" spans="1:10">
      <c r="A524" s="19"/>
      <c r="B524" s="18"/>
      <c r="C524" s="20"/>
      <c r="D524" s="20"/>
      <c r="E524" s="14"/>
      <c r="F524" s="14"/>
      <c r="G524" s="14"/>
      <c r="H524" s="14"/>
      <c r="I524" s="14"/>
      <c r="J524" s="15"/>
    </row>
    <row r="525" spans="1:10">
      <c r="A525" s="19"/>
      <c r="B525" s="18"/>
      <c r="C525" s="20"/>
      <c r="D525" s="20"/>
      <c r="E525" s="14"/>
      <c r="F525" s="14"/>
      <c r="G525" s="14"/>
      <c r="H525" s="14"/>
      <c r="I525" s="14"/>
      <c r="J525" s="15"/>
    </row>
    <row r="526" spans="1:10">
      <c r="A526" s="19"/>
      <c r="B526" s="18"/>
      <c r="C526" s="20"/>
      <c r="D526" s="20"/>
      <c r="E526" s="14"/>
      <c r="F526" s="14"/>
      <c r="G526" s="14"/>
      <c r="H526" s="14"/>
      <c r="I526" s="14"/>
      <c r="J526" s="15"/>
    </row>
    <row r="527" spans="1:10">
      <c r="A527" s="19"/>
      <c r="B527" s="18"/>
      <c r="C527" s="20"/>
      <c r="D527" s="20"/>
      <c r="E527" s="14"/>
      <c r="F527" s="14"/>
      <c r="G527" s="14"/>
      <c r="H527" s="14"/>
      <c r="I527" s="14"/>
      <c r="J527" s="15"/>
    </row>
    <row r="528" spans="1:10">
      <c r="A528" s="19"/>
      <c r="B528" s="18"/>
      <c r="C528" s="20"/>
      <c r="D528" s="20"/>
      <c r="E528" s="14"/>
      <c r="F528" s="14"/>
      <c r="G528" s="14"/>
      <c r="H528" s="14"/>
      <c r="I528" s="14"/>
      <c r="J528" s="15"/>
    </row>
    <row r="529" spans="1:10">
      <c r="A529" s="19"/>
      <c r="B529" s="18"/>
      <c r="C529" s="20"/>
      <c r="D529" s="20"/>
      <c r="E529" s="14"/>
      <c r="F529" s="14"/>
      <c r="G529" s="14"/>
      <c r="H529" s="14"/>
      <c r="I529" s="14"/>
      <c r="J529" s="15"/>
    </row>
    <row r="530" spans="1:10">
      <c r="A530" s="19"/>
      <c r="B530" s="18"/>
      <c r="C530" s="20"/>
      <c r="D530" s="20"/>
      <c r="E530" s="14"/>
      <c r="F530" s="14"/>
      <c r="G530" s="14"/>
      <c r="H530" s="14"/>
      <c r="I530" s="14"/>
      <c r="J530" s="15"/>
    </row>
    <row r="531" spans="1:10">
      <c r="A531" s="19"/>
      <c r="B531" s="18"/>
      <c r="C531" s="20"/>
      <c r="D531" s="20"/>
      <c r="E531" s="14"/>
      <c r="F531" s="14"/>
      <c r="G531" s="14"/>
      <c r="H531" s="14"/>
      <c r="I531" s="14"/>
      <c r="J531" s="15"/>
    </row>
    <row r="532" spans="1:10">
      <c r="A532" s="19"/>
      <c r="B532" s="18"/>
      <c r="C532" s="20"/>
      <c r="D532" s="20"/>
      <c r="E532" s="14"/>
      <c r="F532" s="14"/>
      <c r="G532" s="14"/>
      <c r="H532" s="14"/>
      <c r="I532" s="14"/>
      <c r="J532" s="15"/>
    </row>
    <row r="533" spans="1:10">
      <c r="A533" s="19"/>
      <c r="B533" s="18"/>
      <c r="C533" s="20"/>
      <c r="D533" s="20"/>
      <c r="E533" s="14"/>
      <c r="F533" s="14"/>
      <c r="G533" s="14"/>
      <c r="H533" s="14"/>
      <c r="I533" s="14"/>
      <c r="J533" s="15"/>
    </row>
    <row r="534" spans="1:10">
      <c r="A534" s="19"/>
      <c r="B534" s="18"/>
      <c r="C534" s="20"/>
      <c r="D534" s="20"/>
      <c r="E534" s="14"/>
      <c r="F534" s="14"/>
      <c r="G534" s="14"/>
      <c r="H534" s="14"/>
      <c r="I534" s="14"/>
      <c r="J534" s="15"/>
    </row>
    <row r="535" spans="1:10">
      <c r="A535" s="19"/>
      <c r="B535" s="18"/>
      <c r="C535" s="20"/>
      <c r="D535" s="20"/>
      <c r="E535" s="14"/>
      <c r="F535" s="14"/>
      <c r="G535" s="14"/>
      <c r="H535" s="14"/>
      <c r="I535" s="14"/>
      <c r="J535" s="15"/>
    </row>
    <row r="536" spans="1:10">
      <c r="A536" s="19"/>
      <c r="B536" s="18"/>
      <c r="C536" s="20"/>
      <c r="D536" s="20"/>
      <c r="E536" s="14"/>
      <c r="F536" s="14"/>
      <c r="G536" s="14"/>
      <c r="H536" s="14"/>
      <c r="I536" s="14"/>
      <c r="J536" s="15"/>
    </row>
    <row r="537" spans="1:10">
      <c r="A537" s="19"/>
      <c r="B537" s="18"/>
      <c r="C537" s="20"/>
      <c r="D537" s="20"/>
      <c r="E537" s="14"/>
      <c r="F537" s="14"/>
      <c r="G537" s="14"/>
      <c r="H537" s="14"/>
      <c r="I537" s="14"/>
      <c r="J537" s="15"/>
    </row>
    <row r="538" spans="1:10">
      <c r="A538" s="19"/>
      <c r="B538" s="18"/>
      <c r="C538" s="20"/>
      <c r="D538" s="20"/>
      <c r="E538" s="14"/>
      <c r="F538" s="14"/>
      <c r="G538" s="14"/>
      <c r="H538" s="14"/>
      <c r="I538" s="14"/>
      <c r="J538" s="15"/>
    </row>
    <row r="539" spans="1:10">
      <c r="A539" s="19"/>
      <c r="B539" s="18"/>
      <c r="C539" s="20"/>
      <c r="D539" s="20"/>
      <c r="E539" s="14"/>
      <c r="F539" s="14"/>
      <c r="G539" s="14"/>
      <c r="H539" s="14"/>
      <c r="I539" s="14"/>
      <c r="J539" s="15"/>
    </row>
    <row r="540" spans="1:10">
      <c r="A540" s="19"/>
      <c r="B540" s="18"/>
      <c r="C540" s="20"/>
      <c r="D540" s="20"/>
      <c r="E540" s="14"/>
      <c r="F540" s="14"/>
      <c r="G540" s="14"/>
      <c r="H540" s="14"/>
      <c r="I540" s="14"/>
      <c r="J540" s="15"/>
    </row>
    <row r="541" spans="1:10">
      <c r="A541" s="19"/>
      <c r="B541" s="18"/>
      <c r="C541" s="20"/>
      <c r="D541" s="20"/>
      <c r="E541" s="14"/>
      <c r="F541" s="14"/>
      <c r="G541" s="14"/>
      <c r="H541" s="14"/>
      <c r="I541" s="14"/>
      <c r="J541" s="15"/>
    </row>
    <row r="542" spans="1:10">
      <c r="A542" s="19"/>
      <c r="B542" s="18"/>
      <c r="C542" s="20"/>
      <c r="D542" s="20"/>
      <c r="E542" s="14"/>
      <c r="F542" s="14"/>
      <c r="G542" s="14"/>
      <c r="H542" s="14"/>
      <c r="I542" s="14"/>
      <c r="J542" s="15"/>
    </row>
    <row r="543" spans="1:10">
      <c r="A543" s="19"/>
      <c r="B543" s="18"/>
      <c r="C543" s="20"/>
      <c r="D543" s="20"/>
      <c r="E543" s="14"/>
      <c r="F543" s="14"/>
      <c r="G543" s="14"/>
      <c r="H543" s="14"/>
      <c r="I543" s="14"/>
      <c r="J543" s="15"/>
    </row>
    <row r="544" spans="1:10">
      <c r="A544" s="19"/>
      <c r="B544" s="18"/>
      <c r="C544" s="20"/>
      <c r="D544" s="20"/>
      <c r="E544" s="14"/>
      <c r="F544" s="14"/>
      <c r="G544" s="14"/>
      <c r="H544" s="14"/>
      <c r="I544" s="14"/>
      <c r="J544" s="15"/>
    </row>
    <row r="545" spans="1:10">
      <c r="A545" s="19"/>
      <c r="B545" s="18"/>
      <c r="C545" s="20"/>
      <c r="D545" s="20"/>
      <c r="E545" s="14"/>
      <c r="F545" s="14"/>
      <c r="G545" s="14"/>
      <c r="H545" s="14"/>
      <c r="I545" s="14"/>
      <c r="J545" s="15"/>
    </row>
    <row r="546" spans="1:10">
      <c r="A546" s="19"/>
      <c r="B546" s="18"/>
      <c r="C546" s="20"/>
      <c r="D546" s="20"/>
      <c r="E546" s="14"/>
      <c r="F546" s="14"/>
      <c r="G546" s="14"/>
      <c r="H546" s="14"/>
      <c r="I546" s="14"/>
      <c r="J546" s="15"/>
    </row>
    <row r="547" spans="1:10">
      <c r="A547" s="19"/>
      <c r="B547" s="18"/>
      <c r="C547" s="20"/>
      <c r="D547" s="20"/>
      <c r="E547" s="14"/>
      <c r="F547" s="14"/>
      <c r="G547" s="14"/>
      <c r="H547" s="14"/>
      <c r="I547" s="14"/>
      <c r="J547" s="15"/>
    </row>
    <row r="548" spans="1:10">
      <c r="A548" s="19"/>
      <c r="B548" s="18"/>
      <c r="C548" s="20"/>
      <c r="D548" s="20"/>
      <c r="E548" s="14"/>
      <c r="F548" s="14"/>
      <c r="G548" s="14"/>
      <c r="H548" s="14"/>
      <c r="I548" s="14"/>
      <c r="J548" s="15"/>
    </row>
    <row r="549" spans="1:10">
      <c r="A549" s="19"/>
      <c r="B549" s="18"/>
      <c r="C549" s="20"/>
      <c r="D549" s="20"/>
      <c r="E549" s="14"/>
      <c r="F549" s="14"/>
      <c r="G549" s="14"/>
      <c r="H549" s="14"/>
      <c r="I549" s="14"/>
      <c r="J549" s="15"/>
    </row>
    <row r="550" spans="1:10">
      <c r="A550" s="19"/>
      <c r="B550" s="18"/>
      <c r="C550" s="20"/>
      <c r="D550" s="20"/>
      <c r="E550" s="14"/>
      <c r="F550" s="14"/>
      <c r="G550" s="14"/>
      <c r="H550" s="14"/>
      <c r="I550" s="14"/>
      <c r="J550" s="15"/>
    </row>
    <row r="551" spans="1:10">
      <c r="A551" s="19"/>
      <c r="B551" s="18"/>
      <c r="C551" s="20"/>
      <c r="D551" s="20"/>
      <c r="E551" s="14"/>
      <c r="F551" s="14"/>
      <c r="G551" s="14"/>
      <c r="H551" s="14"/>
      <c r="I551" s="14"/>
      <c r="J551" s="15"/>
    </row>
    <row r="552" spans="1:10">
      <c r="A552" s="19"/>
      <c r="B552" s="18"/>
      <c r="C552" s="20"/>
      <c r="D552" s="20"/>
      <c r="E552" s="14"/>
      <c r="F552" s="14"/>
      <c r="G552" s="14"/>
      <c r="H552" s="14"/>
      <c r="I552" s="14"/>
      <c r="J552" s="15"/>
    </row>
    <row r="553" spans="1:10">
      <c r="A553" s="19"/>
      <c r="B553" s="18"/>
      <c r="C553" s="20"/>
      <c r="D553" s="20"/>
      <c r="E553" s="14"/>
      <c r="F553" s="14"/>
      <c r="G553" s="14"/>
      <c r="H553" s="14"/>
      <c r="I553" s="14"/>
      <c r="J553" s="15"/>
    </row>
    <row r="554" spans="1:10">
      <c r="A554" s="19"/>
      <c r="B554" s="18"/>
      <c r="C554" s="20"/>
      <c r="D554" s="20"/>
      <c r="E554" s="14"/>
      <c r="F554" s="14"/>
      <c r="G554" s="14"/>
      <c r="H554" s="14"/>
      <c r="I554" s="14"/>
      <c r="J554" s="15"/>
    </row>
    <row r="555" spans="1:10">
      <c r="A555" s="19"/>
      <c r="B555" s="18"/>
      <c r="C555" s="20"/>
      <c r="D555" s="20"/>
      <c r="E555" s="14"/>
      <c r="F555" s="14"/>
      <c r="G555" s="14"/>
      <c r="H555" s="14"/>
      <c r="I555" s="14"/>
      <c r="J555" s="15"/>
    </row>
    <row r="556" spans="1:10">
      <c r="A556" s="19"/>
      <c r="B556" s="18"/>
      <c r="C556" s="20"/>
      <c r="D556" s="20"/>
      <c r="E556" s="14"/>
      <c r="F556" s="14"/>
      <c r="G556" s="14"/>
      <c r="H556" s="14"/>
      <c r="I556" s="14"/>
      <c r="J556" s="15"/>
    </row>
    <row r="557" spans="1:10">
      <c r="A557" s="19"/>
      <c r="B557" s="18"/>
      <c r="C557" s="20"/>
      <c r="D557" s="20"/>
      <c r="E557" s="14"/>
      <c r="F557" s="14"/>
      <c r="G557" s="14"/>
      <c r="H557" s="14"/>
      <c r="I557" s="14"/>
      <c r="J557" s="15"/>
    </row>
    <row r="558" spans="1:10">
      <c r="A558" s="19"/>
      <c r="B558" s="18"/>
      <c r="C558" s="20"/>
      <c r="D558" s="20"/>
      <c r="E558" s="14"/>
      <c r="F558" s="14"/>
      <c r="G558" s="14"/>
      <c r="H558" s="14"/>
      <c r="I558" s="14"/>
      <c r="J558" s="15"/>
    </row>
    <row r="559" spans="1:10">
      <c r="A559" s="19"/>
      <c r="B559" s="18"/>
      <c r="C559" s="20"/>
      <c r="D559" s="20"/>
      <c r="E559" s="14"/>
      <c r="F559" s="14"/>
      <c r="G559" s="14"/>
      <c r="H559" s="14"/>
      <c r="I559" s="14"/>
      <c r="J559" s="15"/>
    </row>
    <row r="560" spans="1:10">
      <c r="A560" s="19"/>
      <c r="B560" s="18"/>
      <c r="C560" s="20"/>
      <c r="D560" s="20"/>
      <c r="E560" s="14"/>
      <c r="F560" s="14"/>
      <c r="G560" s="14"/>
      <c r="H560" s="14"/>
      <c r="I560" s="14"/>
      <c r="J560" s="15"/>
    </row>
    <row r="561" spans="1:10">
      <c r="A561" s="19"/>
      <c r="B561" s="18"/>
      <c r="C561" s="20"/>
      <c r="D561" s="20"/>
      <c r="E561" s="14"/>
      <c r="F561" s="14"/>
      <c r="G561" s="14"/>
      <c r="H561" s="14"/>
      <c r="I561" s="14"/>
      <c r="J561" s="15"/>
    </row>
    <row r="562" spans="1:10">
      <c r="A562" s="19"/>
      <c r="B562" s="18"/>
      <c r="C562" s="20"/>
      <c r="D562" s="20"/>
      <c r="E562" s="14"/>
      <c r="F562" s="14"/>
      <c r="G562" s="14"/>
      <c r="H562" s="14"/>
      <c r="I562" s="14"/>
      <c r="J562" s="15"/>
    </row>
    <row r="563" spans="1:10">
      <c r="A563" s="19"/>
      <c r="B563" s="18"/>
      <c r="C563" s="20"/>
      <c r="D563" s="20"/>
      <c r="E563" s="14"/>
      <c r="F563" s="14"/>
      <c r="G563" s="14"/>
      <c r="H563" s="14"/>
      <c r="I563" s="14"/>
      <c r="J563" s="15"/>
    </row>
    <row r="564" spans="1:10">
      <c r="A564" s="19"/>
      <c r="B564" s="18"/>
      <c r="C564" s="20"/>
      <c r="D564" s="20"/>
      <c r="E564" s="14"/>
      <c r="F564" s="14"/>
      <c r="G564" s="14"/>
      <c r="H564" s="14"/>
      <c r="I564" s="14"/>
      <c r="J564" s="15"/>
    </row>
    <row r="565" spans="1:10">
      <c r="A565" s="19"/>
      <c r="B565" s="18"/>
      <c r="C565" s="20"/>
      <c r="D565" s="20"/>
      <c r="E565" s="14"/>
      <c r="F565" s="14"/>
      <c r="G565" s="14"/>
      <c r="H565" s="14"/>
      <c r="I565" s="14"/>
      <c r="J565" s="15"/>
    </row>
    <row r="566" spans="1:10">
      <c r="A566" s="19"/>
      <c r="B566" s="18"/>
      <c r="C566" s="20"/>
      <c r="D566" s="20"/>
      <c r="E566" s="14"/>
      <c r="F566" s="14"/>
      <c r="G566" s="14"/>
      <c r="H566" s="14"/>
      <c r="I566" s="14"/>
      <c r="J566" s="15"/>
    </row>
    <row r="567" spans="1:10">
      <c r="A567" s="19"/>
      <c r="B567" s="18"/>
      <c r="C567" s="20"/>
      <c r="D567" s="20"/>
      <c r="E567" s="14"/>
      <c r="F567" s="14"/>
      <c r="G567" s="14"/>
      <c r="H567" s="14"/>
      <c r="I567" s="14"/>
      <c r="J567" s="15"/>
    </row>
    <row r="568" spans="1:10">
      <c r="A568" s="19"/>
      <c r="B568" s="18"/>
      <c r="C568" s="20"/>
      <c r="D568" s="20"/>
      <c r="E568" s="14"/>
      <c r="F568" s="14"/>
      <c r="G568" s="14"/>
      <c r="H568" s="14"/>
      <c r="I568" s="14"/>
      <c r="J568" s="15"/>
    </row>
    <row r="569" spans="1:10">
      <c r="A569" s="19"/>
      <c r="B569" s="18"/>
      <c r="C569" s="20"/>
      <c r="D569" s="20"/>
      <c r="E569" s="14"/>
      <c r="F569" s="14"/>
      <c r="G569" s="14"/>
      <c r="H569" s="14"/>
      <c r="I569" s="14"/>
      <c r="J569" s="15"/>
    </row>
    <row r="570" spans="1:10">
      <c r="A570" s="19"/>
      <c r="B570" s="18"/>
      <c r="C570" s="20"/>
      <c r="D570" s="20"/>
      <c r="E570" s="14"/>
      <c r="F570" s="14"/>
      <c r="G570" s="14"/>
      <c r="H570" s="14"/>
      <c r="I570" s="14"/>
      <c r="J570" s="15"/>
    </row>
    <row r="571" spans="1:10">
      <c r="A571" s="19"/>
      <c r="B571" s="18"/>
      <c r="C571" s="20"/>
      <c r="D571" s="20"/>
      <c r="E571" s="14"/>
      <c r="F571" s="14"/>
      <c r="G571" s="14"/>
      <c r="H571" s="14"/>
      <c r="I571" s="14"/>
      <c r="J571" s="15"/>
    </row>
    <row r="572" spans="1:10">
      <c r="A572" s="19"/>
      <c r="B572" s="18"/>
      <c r="C572" s="20"/>
      <c r="D572" s="20"/>
      <c r="E572" s="14"/>
      <c r="F572" s="14"/>
      <c r="G572" s="14"/>
      <c r="H572" s="14"/>
      <c r="I572" s="14"/>
      <c r="J572" s="15"/>
    </row>
    <row r="573" spans="1:10">
      <c r="A573" s="19"/>
      <c r="B573" s="18"/>
      <c r="C573" s="20"/>
      <c r="D573" s="20"/>
      <c r="E573" s="14"/>
      <c r="F573" s="14"/>
      <c r="G573" s="14"/>
      <c r="H573" s="14"/>
      <c r="I573" s="14"/>
      <c r="J573" s="15"/>
    </row>
    <row r="574" spans="1:10">
      <c r="A574" s="19"/>
      <c r="B574" s="18"/>
      <c r="C574" s="20"/>
      <c r="D574" s="20"/>
      <c r="E574" s="14"/>
      <c r="F574" s="14"/>
      <c r="G574" s="14"/>
      <c r="H574" s="14"/>
      <c r="I574" s="14"/>
      <c r="J574" s="15"/>
    </row>
    <row r="575" spans="1:10">
      <c r="A575" s="19"/>
      <c r="B575" s="18"/>
      <c r="C575" s="20"/>
      <c r="D575" s="20"/>
      <c r="E575" s="14"/>
      <c r="F575" s="14"/>
      <c r="G575" s="14"/>
      <c r="H575" s="14"/>
      <c r="I575" s="14"/>
      <c r="J575" s="15"/>
    </row>
    <row r="576" spans="1:10">
      <c r="A576" s="19"/>
      <c r="B576" s="18"/>
      <c r="C576" s="20"/>
      <c r="D576" s="20"/>
      <c r="E576" s="14"/>
      <c r="F576" s="14"/>
      <c r="G576" s="14"/>
      <c r="H576" s="14"/>
      <c r="I576" s="14"/>
      <c r="J576" s="15"/>
    </row>
    <row r="577" spans="1:10">
      <c r="A577" s="19"/>
      <c r="B577" s="18"/>
      <c r="C577" s="20"/>
      <c r="D577" s="20"/>
      <c r="E577" s="14"/>
      <c r="F577" s="14"/>
      <c r="G577" s="14"/>
      <c r="H577" s="14"/>
      <c r="I577" s="14"/>
      <c r="J577" s="15"/>
    </row>
    <row r="578" spans="1:10">
      <c r="A578" s="19"/>
      <c r="B578" s="18"/>
      <c r="C578" s="20"/>
      <c r="D578" s="20"/>
      <c r="E578" s="14"/>
      <c r="F578" s="14"/>
      <c r="G578" s="14"/>
      <c r="H578" s="14"/>
      <c r="I578" s="14"/>
      <c r="J578" s="15"/>
    </row>
    <row r="579" spans="1:10">
      <c r="A579" s="19"/>
      <c r="B579" s="18"/>
      <c r="C579" s="20"/>
      <c r="D579" s="20"/>
      <c r="E579" s="14"/>
      <c r="F579" s="14"/>
      <c r="G579" s="14"/>
      <c r="H579" s="14"/>
      <c r="I579" s="14"/>
      <c r="J579" s="15"/>
    </row>
    <row r="580" spans="1:10">
      <c r="A580" s="19"/>
      <c r="B580" s="18"/>
      <c r="C580" s="20"/>
      <c r="D580" s="20"/>
      <c r="E580" s="14"/>
      <c r="F580" s="14"/>
      <c r="G580" s="14"/>
      <c r="H580" s="14"/>
      <c r="I580" s="14"/>
      <c r="J580" s="15"/>
    </row>
    <row r="581" spans="1:10">
      <c r="A581" s="19"/>
      <c r="B581" s="18"/>
      <c r="C581" s="20"/>
      <c r="D581" s="20"/>
      <c r="E581" s="14"/>
      <c r="F581" s="14"/>
      <c r="G581" s="14"/>
      <c r="H581" s="14"/>
      <c r="I581" s="14"/>
      <c r="J581" s="15"/>
    </row>
    <row r="582" spans="1:10">
      <c r="A582" s="19"/>
      <c r="B582" s="18"/>
      <c r="C582" s="20"/>
      <c r="D582" s="20"/>
      <c r="E582" s="14"/>
      <c r="F582" s="14"/>
      <c r="G582" s="14"/>
      <c r="H582" s="14"/>
      <c r="I582" s="14"/>
      <c r="J582" s="15"/>
    </row>
    <row r="583" spans="1:10">
      <c r="A583" s="19"/>
      <c r="B583" s="18"/>
      <c r="C583" s="20"/>
      <c r="D583" s="20"/>
      <c r="E583" s="14"/>
      <c r="F583" s="14"/>
      <c r="G583" s="14"/>
      <c r="H583" s="14"/>
      <c r="I583" s="14"/>
      <c r="J583" s="15"/>
    </row>
    <row r="584" spans="1:10">
      <c r="A584" s="19"/>
      <c r="B584" s="18"/>
      <c r="C584" s="20"/>
      <c r="D584" s="20"/>
      <c r="E584" s="14"/>
      <c r="F584" s="14"/>
      <c r="G584" s="14"/>
      <c r="H584" s="14"/>
      <c r="I584" s="14"/>
      <c r="J584" s="15"/>
    </row>
    <row r="585" spans="1:10">
      <c r="A585" s="19"/>
      <c r="B585" s="18"/>
      <c r="C585" s="20"/>
      <c r="D585" s="20"/>
      <c r="E585" s="14"/>
      <c r="F585" s="14"/>
      <c r="G585" s="14"/>
      <c r="H585" s="14"/>
      <c r="I585" s="14"/>
      <c r="J585" s="15"/>
    </row>
    <row r="586" spans="1:10">
      <c r="A586" s="19"/>
      <c r="B586" s="18"/>
      <c r="C586" s="20"/>
      <c r="D586" s="20"/>
      <c r="E586" s="14"/>
      <c r="F586" s="14"/>
      <c r="G586" s="14"/>
      <c r="H586" s="14"/>
      <c r="I586" s="14"/>
      <c r="J586" s="15"/>
    </row>
    <row r="587" spans="1:10">
      <c r="A587" s="19"/>
      <c r="B587" s="18"/>
      <c r="C587" s="20"/>
      <c r="D587" s="20"/>
      <c r="E587" s="14"/>
      <c r="F587" s="14"/>
      <c r="G587" s="14"/>
      <c r="H587" s="14"/>
      <c r="I587" s="14"/>
      <c r="J587" s="15"/>
    </row>
    <row r="588" spans="1:10">
      <c r="A588" s="19"/>
      <c r="B588" s="18"/>
      <c r="C588" s="20"/>
      <c r="D588" s="20"/>
      <c r="E588" s="14"/>
      <c r="F588" s="14"/>
      <c r="G588" s="14"/>
      <c r="H588" s="14"/>
      <c r="I588" s="14"/>
      <c r="J588" s="15"/>
    </row>
    <row r="589" spans="1:10">
      <c r="A589" s="19"/>
      <c r="B589" s="18"/>
      <c r="C589" s="20"/>
      <c r="D589" s="20"/>
      <c r="E589" s="14"/>
      <c r="F589" s="14"/>
      <c r="G589" s="14"/>
      <c r="H589" s="14"/>
      <c r="I589" s="14"/>
      <c r="J589" s="15"/>
    </row>
    <row r="590" spans="1:10">
      <c r="A590" s="19"/>
      <c r="B590" s="18"/>
      <c r="C590" s="20"/>
      <c r="D590" s="20"/>
      <c r="E590" s="14"/>
      <c r="F590" s="14"/>
      <c r="G590" s="14"/>
      <c r="H590" s="14"/>
      <c r="I590" s="14"/>
      <c r="J590" s="15"/>
    </row>
    <row r="591" spans="1:10">
      <c r="A591" s="19"/>
      <c r="B591" s="18"/>
      <c r="C591" s="20"/>
      <c r="D591" s="20"/>
      <c r="E591" s="14"/>
      <c r="F591" s="14"/>
      <c r="G591" s="14"/>
      <c r="H591" s="14"/>
      <c r="I591" s="14"/>
      <c r="J591" s="15"/>
    </row>
    <row r="592" spans="1:10">
      <c r="A592" s="19"/>
      <c r="B592" s="18"/>
      <c r="C592" s="20"/>
      <c r="D592" s="20"/>
      <c r="E592" s="14"/>
      <c r="F592" s="14"/>
      <c r="G592" s="14"/>
      <c r="H592" s="14"/>
      <c r="I592" s="14"/>
      <c r="J592" s="15"/>
    </row>
    <row r="593" spans="1:10">
      <c r="A593" s="19"/>
      <c r="B593" s="18"/>
      <c r="C593" s="20"/>
      <c r="D593" s="20"/>
      <c r="E593" s="14"/>
      <c r="F593" s="14"/>
      <c r="G593" s="14"/>
      <c r="H593" s="14"/>
      <c r="I593" s="14"/>
      <c r="J593" s="15"/>
    </row>
    <row r="594" spans="1:10">
      <c r="A594" s="19"/>
      <c r="B594" s="18"/>
      <c r="C594" s="20"/>
      <c r="D594" s="20"/>
      <c r="E594" s="14"/>
      <c r="F594" s="14"/>
      <c r="G594" s="14"/>
      <c r="H594" s="14"/>
      <c r="I594" s="14"/>
      <c r="J594" s="15"/>
    </row>
    <row r="595" spans="1:10">
      <c r="A595" s="19"/>
      <c r="B595" s="18"/>
      <c r="C595" s="20"/>
      <c r="D595" s="20"/>
      <c r="E595" s="14"/>
      <c r="F595" s="14"/>
      <c r="G595" s="14"/>
      <c r="H595" s="14"/>
      <c r="I595" s="14"/>
      <c r="J595" s="15"/>
    </row>
    <row r="596" spans="1:10">
      <c r="A596" s="19"/>
      <c r="B596" s="18"/>
      <c r="C596" s="20"/>
      <c r="D596" s="20"/>
      <c r="E596" s="14"/>
      <c r="F596" s="14"/>
      <c r="G596" s="14"/>
      <c r="H596" s="14"/>
      <c r="I596" s="14"/>
      <c r="J596" s="15"/>
    </row>
    <row r="597" spans="1:10">
      <c r="A597" s="19"/>
      <c r="B597" s="18"/>
      <c r="C597" s="20"/>
      <c r="D597" s="20"/>
      <c r="E597" s="14"/>
      <c r="F597" s="14"/>
      <c r="G597" s="14"/>
      <c r="H597" s="14"/>
      <c r="I597" s="14"/>
      <c r="J597" s="15"/>
    </row>
    <row r="598" spans="1:10">
      <c r="A598" s="19"/>
      <c r="B598" s="18"/>
      <c r="C598" s="20"/>
      <c r="D598" s="20"/>
      <c r="E598" s="14"/>
      <c r="F598" s="14"/>
      <c r="G598" s="14"/>
      <c r="H598" s="14"/>
      <c r="I598" s="14"/>
      <c r="J598" s="15"/>
    </row>
    <row r="599" spans="1:10">
      <c r="A599" s="19"/>
      <c r="B599" s="18"/>
      <c r="C599" s="20"/>
      <c r="D599" s="20"/>
      <c r="E599" s="14"/>
      <c r="F599" s="14"/>
      <c r="G599" s="14"/>
      <c r="H599" s="14"/>
      <c r="I599" s="14"/>
      <c r="J599" s="15"/>
    </row>
    <row r="600" spans="1:10">
      <c r="A600" s="19"/>
      <c r="B600" s="18"/>
      <c r="C600" s="20"/>
      <c r="D600" s="20"/>
      <c r="E600" s="14"/>
      <c r="F600" s="14"/>
      <c r="G600" s="14"/>
      <c r="H600" s="14"/>
      <c r="I600" s="14"/>
      <c r="J600" s="15"/>
    </row>
    <row r="601" spans="1:10">
      <c r="A601" s="19"/>
      <c r="B601" s="18"/>
      <c r="C601" s="20"/>
      <c r="D601" s="20"/>
      <c r="E601" s="14"/>
      <c r="F601" s="14"/>
      <c r="G601" s="14"/>
      <c r="H601" s="14"/>
      <c r="I601" s="14"/>
      <c r="J601" s="15"/>
    </row>
    <row r="602" spans="1:10">
      <c r="A602" s="19"/>
      <c r="B602" s="18"/>
      <c r="C602" s="20"/>
      <c r="D602" s="20"/>
      <c r="E602" s="14"/>
      <c r="F602" s="14"/>
      <c r="G602" s="14"/>
      <c r="H602" s="14"/>
      <c r="I602" s="14"/>
      <c r="J602" s="15"/>
    </row>
    <row r="603" spans="1:10">
      <c r="A603" s="19"/>
      <c r="B603" s="18"/>
      <c r="C603" s="20"/>
      <c r="D603" s="20"/>
      <c r="E603" s="14"/>
      <c r="F603" s="14"/>
      <c r="G603" s="14"/>
      <c r="H603" s="14"/>
      <c r="I603" s="14"/>
      <c r="J603" s="15"/>
    </row>
    <row r="604" spans="1:10">
      <c r="A604" s="19"/>
      <c r="B604" s="18"/>
      <c r="C604" s="20"/>
      <c r="D604" s="20"/>
      <c r="E604" s="14"/>
      <c r="F604" s="14"/>
      <c r="G604" s="14"/>
      <c r="H604" s="14"/>
      <c r="I604" s="14"/>
      <c r="J604" s="15"/>
    </row>
    <row r="605" spans="1:10">
      <c r="A605" s="19"/>
      <c r="B605" s="18"/>
      <c r="C605" s="20"/>
      <c r="D605" s="20"/>
      <c r="E605" s="14"/>
      <c r="F605" s="14"/>
      <c r="G605" s="14"/>
      <c r="H605" s="14"/>
      <c r="I605" s="14"/>
      <c r="J605" s="15"/>
    </row>
    <row r="606" spans="1:10">
      <c r="A606" s="19"/>
      <c r="B606" s="18"/>
      <c r="C606" s="20"/>
      <c r="D606" s="20"/>
      <c r="E606" s="14"/>
      <c r="F606" s="14"/>
      <c r="G606" s="14"/>
      <c r="H606" s="14"/>
      <c r="I606" s="14"/>
      <c r="J606" s="15"/>
    </row>
    <row r="607" spans="1:10">
      <c r="A607" s="19"/>
      <c r="B607" s="18"/>
      <c r="C607" s="20"/>
      <c r="D607" s="20"/>
      <c r="E607" s="14"/>
      <c r="F607" s="14"/>
      <c r="G607" s="14"/>
      <c r="H607" s="14"/>
      <c r="I607" s="14"/>
      <c r="J607" s="15"/>
    </row>
    <row r="608" spans="1:10">
      <c r="A608" s="19"/>
      <c r="B608" s="18"/>
      <c r="C608" s="20"/>
      <c r="D608" s="20"/>
      <c r="E608" s="14"/>
      <c r="F608" s="14"/>
      <c r="G608" s="14"/>
      <c r="H608" s="14"/>
      <c r="I608" s="14"/>
      <c r="J608" s="15"/>
    </row>
    <row r="609" spans="1:10">
      <c r="A609" s="19"/>
      <c r="B609" s="18"/>
      <c r="C609" s="20"/>
      <c r="D609" s="20"/>
      <c r="E609" s="14"/>
      <c r="F609" s="14"/>
      <c r="G609" s="14"/>
      <c r="H609" s="14"/>
      <c r="I609" s="14"/>
      <c r="J609" s="15"/>
    </row>
    <row r="610" spans="1:10">
      <c r="A610" s="19"/>
      <c r="B610" s="18"/>
      <c r="C610" s="20"/>
      <c r="D610" s="20"/>
      <c r="E610" s="14"/>
      <c r="F610" s="14"/>
      <c r="G610" s="14"/>
      <c r="H610" s="14"/>
      <c r="I610" s="14"/>
      <c r="J610" s="15"/>
    </row>
    <row r="611" spans="1:10">
      <c r="A611" s="19"/>
      <c r="B611" s="18"/>
      <c r="C611" s="20"/>
      <c r="D611" s="20"/>
      <c r="E611" s="14"/>
      <c r="F611" s="14"/>
      <c r="G611" s="14"/>
      <c r="H611" s="14"/>
      <c r="I611" s="14"/>
      <c r="J611" s="15"/>
    </row>
    <row r="612" spans="1:10">
      <c r="A612" s="19"/>
      <c r="B612" s="18"/>
      <c r="C612" s="20"/>
      <c r="D612" s="20"/>
      <c r="E612" s="14"/>
      <c r="F612" s="14"/>
      <c r="G612" s="14"/>
      <c r="H612" s="14"/>
      <c r="I612" s="14"/>
      <c r="J612" s="15"/>
    </row>
    <row r="613" spans="1:10">
      <c r="A613" s="19"/>
      <c r="B613" s="18"/>
      <c r="C613" s="20"/>
      <c r="D613" s="20"/>
      <c r="E613" s="14"/>
      <c r="F613" s="14"/>
      <c r="G613" s="14"/>
      <c r="H613" s="14"/>
      <c r="I613" s="14"/>
      <c r="J613" s="15"/>
    </row>
    <row r="614" spans="1:10">
      <c r="A614" s="19"/>
      <c r="B614" s="18"/>
      <c r="C614" s="20"/>
      <c r="D614" s="20"/>
      <c r="E614" s="14"/>
      <c r="F614" s="14"/>
      <c r="G614" s="14"/>
      <c r="H614" s="14"/>
      <c r="I614" s="14"/>
      <c r="J614" s="15"/>
    </row>
    <row r="615" spans="1:10">
      <c r="A615" s="19"/>
      <c r="B615" s="18"/>
      <c r="C615" s="20"/>
      <c r="D615" s="20"/>
      <c r="E615" s="14"/>
      <c r="F615" s="14"/>
      <c r="G615" s="14"/>
      <c r="H615" s="14"/>
      <c r="I615" s="14"/>
      <c r="J615" s="15"/>
    </row>
    <row r="616" spans="1:10">
      <c r="A616" s="19"/>
      <c r="B616" s="18"/>
      <c r="C616" s="20"/>
      <c r="D616" s="20"/>
      <c r="E616" s="14"/>
      <c r="F616" s="14"/>
      <c r="G616" s="14"/>
      <c r="H616" s="14"/>
      <c r="I616" s="14"/>
      <c r="J616" s="15"/>
    </row>
    <row r="617" spans="1:10">
      <c r="A617" s="19"/>
      <c r="B617" s="18"/>
      <c r="C617" s="20"/>
      <c r="D617" s="20"/>
      <c r="E617" s="14"/>
      <c r="F617" s="14"/>
      <c r="G617" s="14"/>
      <c r="H617" s="14"/>
      <c r="I617" s="14"/>
      <c r="J617" s="15"/>
    </row>
    <row r="618" spans="1:10">
      <c r="A618" s="19"/>
      <c r="B618" s="18"/>
      <c r="C618" s="20"/>
      <c r="D618" s="20"/>
      <c r="E618" s="14"/>
      <c r="F618" s="14"/>
      <c r="G618" s="14"/>
      <c r="H618" s="14"/>
      <c r="I618" s="14"/>
      <c r="J618" s="15"/>
    </row>
    <row r="619" spans="1:10">
      <c r="A619" s="19"/>
      <c r="B619" s="18"/>
      <c r="C619" s="20"/>
      <c r="D619" s="20"/>
      <c r="E619" s="14"/>
      <c r="F619" s="14"/>
      <c r="G619" s="14"/>
      <c r="H619" s="14"/>
      <c r="I619" s="14"/>
      <c r="J619" s="15"/>
    </row>
    <row r="620" spans="1:10">
      <c r="A620" s="19"/>
      <c r="B620" s="18"/>
      <c r="C620" s="20"/>
      <c r="D620" s="20"/>
      <c r="E620" s="14"/>
      <c r="F620" s="14"/>
      <c r="G620" s="14"/>
      <c r="H620" s="14"/>
      <c r="I620" s="14"/>
      <c r="J620" s="15"/>
    </row>
    <row r="621" spans="1:10">
      <c r="A621" s="19"/>
      <c r="B621" s="18"/>
      <c r="C621" s="20"/>
      <c r="D621" s="20"/>
      <c r="E621" s="14"/>
      <c r="F621" s="14"/>
      <c r="G621" s="14"/>
      <c r="H621" s="14"/>
      <c r="I621" s="14"/>
      <c r="J621" s="15"/>
    </row>
    <row r="622" spans="1:10">
      <c r="A622" s="19"/>
      <c r="B622" s="18"/>
      <c r="C622" s="20"/>
      <c r="D622" s="20"/>
      <c r="E622" s="14"/>
      <c r="F622" s="14"/>
      <c r="G622" s="14"/>
      <c r="H622" s="14"/>
      <c r="I622" s="14"/>
      <c r="J622" s="15"/>
    </row>
    <row r="623" spans="1:10">
      <c r="A623" s="19"/>
      <c r="B623" s="18"/>
      <c r="C623" s="20"/>
      <c r="D623" s="20"/>
      <c r="E623" s="14"/>
      <c r="F623" s="14"/>
      <c r="G623" s="14"/>
      <c r="H623" s="14"/>
      <c r="I623" s="14"/>
      <c r="J623" s="15"/>
    </row>
    <row r="624" spans="1:10">
      <c r="A624" s="19"/>
      <c r="B624" s="18"/>
      <c r="C624" s="20"/>
      <c r="D624" s="20"/>
      <c r="E624" s="14"/>
      <c r="F624" s="14"/>
      <c r="G624" s="14"/>
      <c r="H624" s="14"/>
      <c r="I624" s="14"/>
      <c r="J624" s="15"/>
    </row>
    <row r="625" spans="1:10">
      <c r="A625" s="19"/>
      <c r="B625" s="18"/>
      <c r="C625" s="20"/>
      <c r="D625" s="20"/>
      <c r="E625" s="14"/>
      <c r="F625" s="14"/>
      <c r="G625" s="14"/>
      <c r="H625" s="14"/>
      <c r="I625" s="14"/>
      <c r="J625" s="15"/>
    </row>
    <row r="626" spans="1:10">
      <c r="A626" s="19"/>
      <c r="B626" s="18"/>
      <c r="C626" s="20"/>
      <c r="D626" s="20"/>
      <c r="E626" s="14"/>
      <c r="F626" s="14"/>
      <c r="G626" s="14"/>
      <c r="H626" s="14"/>
      <c r="I626" s="14"/>
      <c r="J626" s="15"/>
    </row>
    <row r="627" spans="1:10">
      <c r="A627" s="19"/>
      <c r="B627" s="18"/>
      <c r="C627" s="20"/>
      <c r="D627" s="20"/>
      <c r="E627" s="14"/>
      <c r="F627" s="14"/>
      <c r="G627" s="14"/>
      <c r="H627" s="14"/>
      <c r="I627" s="14"/>
      <c r="J627" s="15"/>
    </row>
    <row r="628" spans="1:10">
      <c r="A628" s="19"/>
      <c r="B628" s="18"/>
      <c r="C628" s="20"/>
      <c r="D628" s="20"/>
      <c r="E628" s="14"/>
      <c r="F628" s="14"/>
      <c r="G628" s="14"/>
      <c r="H628" s="14"/>
      <c r="I628" s="14"/>
      <c r="J628" s="15"/>
    </row>
    <row r="629" spans="1:10">
      <c r="A629" s="19"/>
      <c r="B629" s="18"/>
      <c r="C629" s="20"/>
      <c r="D629" s="20"/>
      <c r="E629" s="14"/>
      <c r="F629" s="14"/>
      <c r="G629" s="14"/>
      <c r="H629" s="14"/>
      <c r="I629" s="14"/>
      <c r="J629" s="15"/>
    </row>
    <row r="630" spans="1:10">
      <c r="A630" s="19"/>
      <c r="B630" s="18"/>
      <c r="C630" s="20"/>
      <c r="D630" s="20"/>
      <c r="E630" s="14"/>
      <c r="F630" s="14"/>
      <c r="G630" s="14"/>
      <c r="H630" s="14"/>
      <c r="I630" s="14"/>
      <c r="J630" s="15"/>
    </row>
    <row r="631" spans="1:10">
      <c r="A631" s="19"/>
      <c r="B631" s="18"/>
      <c r="C631" s="20"/>
      <c r="D631" s="20"/>
      <c r="E631" s="14"/>
      <c r="F631" s="14"/>
      <c r="G631" s="14"/>
      <c r="H631" s="14"/>
      <c r="I631" s="14"/>
      <c r="J631" s="15"/>
    </row>
    <row r="632" spans="1:10">
      <c r="A632" s="19"/>
      <c r="B632" s="18"/>
      <c r="C632" s="20"/>
      <c r="D632" s="20"/>
      <c r="E632" s="14"/>
      <c r="F632" s="14"/>
      <c r="G632" s="14"/>
      <c r="H632" s="14"/>
      <c r="I632" s="14"/>
      <c r="J632" s="15"/>
    </row>
    <row r="633" spans="1:10">
      <c r="A633" s="19"/>
      <c r="B633" s="18"/>
      <c r="C633" s="20"/>
      <c r="D633" s="20"/>
      <c r="E633" s="14"/>
      <c r="F633" s="14"/>
      <c r="G633" s="14"/>
      <c r="H633" s="14"/>
      <c r="I633" s="14"/>
      <c r="J633" s="15"/>
    </row>
    <row r="634" spans="1:10">
      <c r="A634" s="19"/>
      <c r="B634" s="18"/>
      <c r="C634" s="20"/>
      <c r="D634" s="20"/>
      <c r="E634" s="14"/>
      <c r="F634" s="14"/>
      <c r="G634" s="14"/>
      <c r="H634" s="14"/>
      <c r="I634" s="14"/>
      <c r="J634" s="15"/>
    </row>
    <row r="635" spans="1:10">
      <c r="A635" s="19"/>
      <c r="B635" s="18"/>
      <c r="C635" s="20"/>
      <c r="D635" s="20"/>
      <c r="E635" s="14"/>
      <c r="F635" s="14"/>
      <c r="G635" s="14"/>
      <c r="H635" s="14"/>
      <c r="I635" s="14"/>
      <c r="J635" s="15"/>
    </row>
    <row r="636" spans="1:10">
      <c r="A636" s="19"/>
      <c r="B636" s="18"/>
      <c r="C636" s="20"/>
      <c r="D636" s="20"/>
      <c r="E636" s="14"/>
      <c r="F636" s="14"/>
      <c r="G636" s="14"/>
      <c r="H636" s="14"/>
      <c r="I636" s="14"/>
      <c r="J636" s="15"/>
    </row>
    <row r="637" spans="1:10">
      <c r="A637" s="19"/>
      <c r="B637" s="18"/>
      <c r="C637" s="20"/>
      <c r="D637" s="20"/>
      <c r="E637" s="14"/>
      <c r="F637" s="14"/>
      <c r="G637" s="14"/>
      <c r="H637" s="14"/>
      <c r="I637" s="14"/>
      <c r="J637" s="15"/>
    </row>
    <row r="638" spans="1:10">
      <c r="A638" s="19"/>
      <c r="B638" s="18"/>
      <c r="C638" s="20"/>
      <c r="D638" s="20"/>
      <c r="E638" s="14"/>
      <c r="F638" s="14"/>
      <c r="G638" s="14"/>
      <c r="H638" s="14"/>
      <c r="I638" s="14"/>
      <c r="J638" s="15"/>
    </row>
    <row r="639" spans="1:10">
      <c r="A639" s="19"/>
      <c r="B639" s="18"/>
      <c r="C639" s="20"/>
      <c r="D639" s="20"/>
      <c r="E639" s="14"/>
      <c r="F639" s="14"/>
      <c r="G639" s="14"/>
      <c r="H639" s="14"/>
      <c r="I639" s="14"/>
      <c r="J639" s="15"/>
    </row>
    <row r="640" spans="1:10">
      <c r="A640" s="19"/>
      <c r="B640" s="18"/>
      <c r="C640" s="20"/>
      <c r="D640" s="20"/>
      <c r="E640" s="14"/>
      <c r="F640" s="14"/>
      <c r="G640" s="14"/>
      <c r="H640" s="14"/>
      <c r="I640" s="14"/>
      <c r="J640" s="15"/>
    </row>
    <row r="641" spans="1:10">
      <c r="A641" s="19"/>
      <c r="B641" s="18"/>
      <c r="C641" s="20"/>
      <c r="D641" s="20"/>
      <c r="E641" s="14"/>
      <c r="F641" s="14"/>
      <c r="G641" s="14"/>
      <c r="H641" s="14"/>
      <c r="I641" s="14"/>
      <c r="J641" s="15"/>
    </row>
    <row r="642" spans="1:10">
      <c r="A642" s="19"/>
      <c r="B642" s="18"/>
      <c r="C642" s="20"/>
      <c r="D642" s="20"/>
      <c r="E642" s="14"/>
      <c r="F642" s="14"/>
      <c r="G642" s="14"/>
      <c r="H642" s="14"/>
      <c r="I642" s="14"/>
      <c r="J642" s="15"/>
    </row>
    <row r="643" spans="1:10">
      <c r="A643" s="19"/>
      <c r="B643" s="18"/>
      <c r="C643" s="20"/>
      <c r="D643" s="20"/>
      <c r="E643" s="14"/>
      <c r="F643" s="14"/>
      <c r="G643" s="14"/>
      <c r="H643" s="14"/>
      <c r="I643" s="14"/>
      <c r="J643" s="15"/>
    </row>
    <row r="644" spans="1:10">
      <c r="A644" s="19"/>
      <c r="B644" s="18"/>
      <c r="C644" s="20"/>
      <c r="D644" s="20"/>
      <c r="E644" s="14"/>
      <c r="F644" s="14"/>
      <c r="G644" s="14"/>
      <c r="H644" s="14"/>
      <c r="I644" s="14"/>
      <c r="J644" s="15"/>
    </row>
    <row r="645" spans="1:10">
      <c r="A645" s="19"/>
      <c r="B645" s="18"/>
      <c r="C645" s="20"/>
      <c r="D645" s="20"/>
      <c r="E645" s="14"/>
      <c r="F645" s="14"/>
      <c r="G645" s="14"/>
      <c r="H645" s="14"/>
      <c r="I645" s="14"/>
      <c r="J645" s="15"/>
    </row>
    <row r="646" spans="1:10">
      <c r="A646" s="19"/>
      <c r="B646" s="18"/>
      <c r="C646" s="20"/>
      <c r="D646" s="20"/>
      <c r="E646" s="14"/>
      <c r="F646" s="14"/>
      <c r="G646" s="14"/>
      <c r="H646" s="14"/>
      <c r="I646" s="14"/>
      <c r="J646" s="15"/>
    </row>
    <row r="647" spans="1:10">
      <c r="A647" s="19"/>
      <c r="B647" s="18"/>
      <c r="C647" s="20"/>
      <c r="D647" s="20"/>
      <c r="E647" s="14"/>
      <c r="F647" s="14"/>
      <c r="G647" s="14"/>
      <c r="H647" s="14"/>
      <c r="I647" s="14"/>
      <c r="J647" s="15"/>
    </row>
    <row r="648" spans="1:10">
      <c r="A648" s="19"/>
      <c r="B648" s="18"/>
      <c r="C648" s="20"/>
      <c r="D648" s="20"/>
      <c r="E648" s="14"/>
      <c r="F648" s="14"/>
      <c r="G648" s="14"/>
      <c r="H648" s="14"/>
      <c r="I648" s="14"/>
      <c r="J648" s="15"/>
    </row>
    <row r="649" spans="1:10">
      <c r="A649" s="19"/>
      <c r="B649" s="18"/>
      <c r="C649" s="20"/>
      <c r="D649" s="20"/>
      <c r="E649" s="14"/>
      <c r="F649" s="14"/>
      <c r="G649" s="14"/>
      <c r="H649" s="14"/>
      <c r="I649" s="14"/>
      <c r="J649" s="15"/>
    </row>
    <row r="650" spans="1:10">
      <c r="A650" s="19"/>
      <c r="B650" s="18"/>
      <c r="C650" s="20"/>
      <c r="D650" s="20"/>
      <c r="E650" s="14"/>
      <c r="F650" s="14"/>
      <c r="G650" s="14"/>
      <c r="H650" s="14"/>
      <c r="I650" s="14"/>
      <c r="J650" s="15"/>
    </row>
    <row r="651" spans="1:10">
      <c r="A651" s="19"/>
      <c r="B651" s="18"/>
      <c r="C651" s="20"/>
      <c r="D651" s="20"/>
      <c r="E651" s="14"/>
      <c r="F651" s="14"/>
      <c r="G651" s="14"/>
      <c r="H651" s="14"/>
      <c r="I651" s="14"/>
      <c r="J651" s="15"/>
    </row>
    <row r="652" spans="1:10">
      <c r="A652" s="19"/>
      <c r="B652" s="18"/>
      <c r="C652" s="20"/>
      <c r="D652" s="20"/>
      <c r="E652" s="14"/>
      <c r="F652" s="14"/>
      <c r="G652" s="14"/>
      <c r="H652" s="14"/>
      <c r="I652" s="14"/>
      <c r="J652" s="15"/>
    </row>
    <row r="653" spans="1:10">
      <c r="A653" s="19"/>
      <c r="B653" s="18"/>
      <c r="C653" s="20"/>
      <c r="D653" s="20"/>
      <c r="E653" s="14"/>
      <c r="F653" s="14"/>
      <c r="G653" s="14"/>
      <c r="H653" s="14"/>
      <c r="I653" s="14"/>
      <c r="J653" s="15"/>
    </row>
    <row r="654" spans="1:10">
      <c r="A654" s="19"/>
      <c r="B654" s="18"/>
      <c r="C654" s="20"/>
      <c r="D654" s="20"/>
      <c r="E654" s="14"/>
      <c r="F654" s="14"/>
      <c r="G654" s="14"/>
      <c r="H654" s="14"/>
      <c r="I654" s="14"/>
      <c r="J654" s="15"/>
    </row>
    <row r="655" spans="1:10">
      <c r="A655" s="19"/>
      <c r="B655" s="18"/>
      <c r="C655" s="20"/>
      <c r="D655" s="20"/>
      <c r="E655" s="14"/>
      <c r="F655" s="14"/>
      <c r="G655" s="14"/>
      <c r="H655" s="14"/>
      <c r="I655" s="14"/>
      <c r="J655" s="15"/>
    </row>
    <row r="656" spans="1:10">
      <c r="A656" s="19"/>
      <c r="B656" s="18"/>
      <c r="C656" s="20"/>
      <c r="D656" s="20"/>
      <c r="E656" s="14"/>
      <c r="F656" s="14"/>
      <c r="G656" s="14"/>
      <c r="H656" s="14"/>
      <c r="I656" s="14"/>
      <c r="J656" s="15"/>
    </row>
    <row r="657" spans="1:10">
      <c r="A657" s="19"/>
      <c r="B657" s="18"/>
      <c r="C657" s="20"/>
      <c r="D657" s="20"/>
      <c r="E657" s="14"/>
      <c r="F657" s="14"/>
      <c r="G657" s="14"/>
      <c r="H657" s="14"/>
      <c r="I657" s="14"/>
      <c r="J657" s="15"/>
    </row>
    <row r="658" spans="1:10">
      <c r="A658" s="19"/>
      <c r="B658" s="18"/>
      <c r="C658" s="20"/>
      <c r="D658" s="20"/>
      <c r="E658" s="14"/>
      <c r="F658" s="14"/>
      <c r="G658" s="14"/>
      <c r="H658" s="14"/>
      <c r="I658" s="14"/>
      <c r="J658" s="15"/>
    </row>
    <row r="659" spans="1:10">
      <c r="A659" s="19"/>
      <c r="B659" s="18"/>
      <c r="C659" s="20"/>
      <c r="D659" s="20"/>
      <c r="E659" s="14"/>
      <c r="F659" s="14"/>
      <c r="G659" s="14"/>
      <c r="H659" s="14"/>
      <c r="I659" s="14"/>
      <c r="J659" s="15"/>
    </row>
    <row r="660" spans="1:10">
      <c r="A660" s="19"/>
      <c r="B660" s="18"/>
      <c r="C660" s="20"/>
      <c r="D660" s="20"/>
      <c r="E660" s="14"/>
      <c r="F660" s="14"/>
      <c r="G660" s="14"/>
      <c r="H660" s="14"/>
      <c r="I660" s="14"/>
      <c r="J660" s="15"/>
    </row>
    <row r="661" spans="1:10">
      <c r="A661" s="19"/>
      <c r="B661" s="18"/>
      <c r="C661" s="20"/>
      <c r="D661" s="20"/>
      <c r="E661" s="14"/>
      <c r="F661" s="14"/>
      <c r="G661" s="14"/>
      <c r="H661" s="14"/>
      <c r="I661" s="14"/>
      <c r="J661" s="15"/>
    </row>
    <row r="662" spans="1:10">
      <c r="A662" s="19"/>
      <c r="B662" s="18"/>
      <c r="C662" s="20"/>
      <c r="D662" s="20"/>
      <c r="E662" s="14"/>
      <c r="F662" s="14"/>
      <c r="G662" s="14"/>
      <c r="H662" s="14"/>
      <c r="I662" s="14"/>
      <c r="J662" s="15"/>
    </row>
    <row r="663" spans="1:10">
      <c r="A663" s="19"/>
      <c r="B663" s="18"/>
      <c r="C663" s="20"/>
      <c r="D663" s="20"/>
      <c r="E663" s="14"/>
      <c r="F663" s="14"/>
      <c r="G663" s="14"/>
      <c r="H663" s="14"/>
      <c r="I663" s="14"/>
      <c r="J663" s="15"/>
    </row>
    <row r="664" spans="1:10">
      <c r="A664" s="19"/>
      <c r="B664" s="18"/>
      <c r="C664" s="20"/>
      <c r="D664" s="20"/>
      <c r="E664" s="14"/>
      <c r="F664" s="14"/>
      <c r="G664" s="14"/>
      <c r="H664" s="14"/>
      <c r="I664" s="14"/>
      <c r="J664" s="15"/>
    </row>
    <row r="665" spans="1:10">
      <c r="A665" s="19"/>
      <c r="B665" s="18"/>
      <c r="C665" s="20"/>
      <c r="D665" s="20"/>
      <c r="E665" s="14"/>
      <c r="F665" s="14"/>
      <c r="G665" s="14"/>
      <c r="H665" s="14"/>
      <c r="I665" s="14"/>
      <c r="J665" s="15"/>
    </row>
    <row r="666" spans="1:10">
      <c r="A666" s="19"/>
      <c r="B666" s="18"/>
      <c r="C666" s="20"/>
      <c r="D666" s="20"/>
      <c r="E666" s="14"/>
      <c r="F666" s="14"/>
      <c r="G666" s="14"/>
      <c r="H666" s="14"/>
      <c r="I666" s="14"/>
      <c r="J666" s="15"/>
    </row>
    <row r="667" spans="1:10">
      <c r="A667" s="19"/>
      <c r="B667" s="18"/>
      <c r="C667" s="20"/>
      <c r="D667" s="20"/>
      <c r="E667" s="14"/>
      <c r="F667" s="14"/>
      <c r="G667" s="14"/>
      <c r="H667" s="14"/>
      <c r="I667" s="14"/>
      <c r="J667" s="15"/>
    </row>
    <row r="668" spans="1:10">
      <c r="A668" s="19"/>
      <c r="B668" s="18"/>
      <c r="C668" s="20"/>
      <c r="D668" s="20"/>
      <c r="E668" s="14"/>
      <c r="F668" s="14"/>
      <c r="G668" s="14"/>
      <c r="H668" s="14"/>
      <c r="I668" s="14"/>
      <c r="J668" s="15"/>
    </row>
    <row r="669" spans="1:10">
      <c r="A669" s="19"/>
      <c r="B669" s="18"/>
      <c r="C669" s="20"/>
      <c r="D669" s="20"/>
      <c r="E669" s="14"/>
      <c r="F669" s="14"/>
      <c r="G669" s="14"/>
      <c r="H669" s="14"/>
      <c r="I669" s="14"/>
      <c r="J669" s="15"/>
    </row>
    <row r="670" spans="1:10">
      <c r="A670" s="19"/>
      <c r="B670" s="18"/>
      <c r="C670" s="20"/>
      <c r="D670" s="20"/>
      <c r="E670" s="14"/>
      <c r="F670" s="14"/>
      <c r="G670" s="14"/>
      <c r="H670" s="14"/>
      <c r="I670" s="14"/>
      <c r="J670" s="15"/>
    </row>
    <row r="671" spans="1:10">
      <c r="A671" s="19"/>
      <c r="B671" s="18"/>
      <c r="C671" s="20"/>
      <c r="D671" s="20"/>
      <c r="E671" s="14"/>
      <c r="F671" s="14"/>
      <c r="G671" s="14"/>
      <c r="H671" s="14"/>
      <c r="I671" s="14"/>
      <c r="J671" s="15"/>
    </row>
    <row r="672" spans="1:10">
      <c r="A672" s="19"/>
      <c r="B672" s="18"/>
      <c r="C672" s="20"/>
      <c r="D672" s="20"/>
      <c r="E672" s="14"/>
      <c r="F672" s="14"/>
      <c r="G672" s="14"/>
      <c r="H672" s="14"/>
      <c r="I672" s="14"/>
      <c r="J672" s="15"/>
    </row>
    <row r="673" spans="1:10">
      <c r="A673" s="19"/>
      <c r="B673" s="18"/>
      <c r="C673" s="20"/>
      <c r="D673" s="20"/>
      <c r="E673" s="14"/>
      <c r="F673" s="14"/>
      <c r="G673" s="14"/>
      <c r="H673" s="14"/>
      <c r="I673" s="14"/>
      <c r="J673" s="15"/>
    </row>
    <row r="674" spans="1:10">
      <c r="A674" s="19"/>
      <c r="B674" s="18"/>
      <c r="C674" s="20"/>
      <c r="D674" s="20"/>
      <c r="E674" s="14"/>
      <c r="F674" s="14"/>
      <c r="G674" s="14"/>
      <c r="H674" s="14"/>
      <c r="I674" s="14"/>
      <c r="J674" s="15"/>
    </row>
    <row r="675" spans="1:10">
      <c r="A675" s="19"/>
      <c r="B675" s="18"/>
      <c r="C675" s="20"/>
      <c r="D675" s="20"/>
      <c r="E675" s="14"/>
      <c r="F675" s="14"/>
      <c r="G675" s="14"/>
      <c r="H675" s="14"/>
      <c r="I675" s="14"/>
      <c r="J675" s="15"/>
    </row>
    <row r="676" spans="1:10">
      <c r="A676" s="19"/>
      <c r="B676" s="18"/>
      <c r="C676" s="20"/>
      <c r="D676" s="20"/>
      <c r="E676" s="14"/>
      <c r="F676" s="14"/>
      <c r="G676" s="14"/>
      <c r="H676" s="14"/>
      <c r="I676" s="14"/>
      <c r="J676" s="15"/>
    </row>
    <row r="677" spans="1:10">
      <c r="A677" s="19"/>
      <c r="B677" s="18"/>
      <c r="C677" s="20"/>
      <c r="D677" s="20"/>
      <c r="E677" s="14"/>
      <c r="F677" s="14"/>
      <c r="G677" s="14"/>
      <c r="H677" s="14"/>
      <c r="I677" s="14"/>
      <c r="J677" s="15"/>
    </row>
    <row r="678" spans="1:10">
      <c r="A678" s="19"/>
      <c r="B678" s="18"/>
      <c r="C678" s="20"/>
      <c r="D678" s="20"/>
      <c r="E678" s="14"/>
      <c r="F678" s="14"/>
      <c r="G678" s="14"/>
      <c r="H678" s="14"/>
      <c r="I678" s="14"/>
      <c r="J678" s="15"/>
    </row>
    <row r="679" spans="1:10">
      <c r="A679" s="19"/>
      <c r="B679" s="18"/>
      <c r="C679" s="20"/>
      <c r="D679" s="20"/>
      <c r="E679" s="14"/>
      <c r="F679" s="14"/>
      <c r="G679" s="14"/>
      <c r="H679" s="14"/>
      <c r="I679" s="14"/>
      <c r="J679" s="15"/>
    </row>
    <row r="680" spans="1:10">
      <c r="A680" s="19"/>
      <c r="B680" s="18"/>
      <c r="C680" s="20"/>
      <c r="D680" s="20"/>
      <c r="E680" s="14"/>
      <c r="F680" s="14"/>
      <c r="G680" s="14"/>
      <c r="H680" s="14"/>
      <c r="I680" s="14"/>
      <c r="J680" s="15"/>
    </row>
    <row r="681" spans="1:10">
      <c r="A681" s="19"/>
      <c r="B681" s="18"/>
      <c r="C681" s="20"/>
      <c r="D681" s="20"/>
      <c r="E681" s="14"/>
      <c r="F681" s="14"/>
      <c r="G681" s="14"/>
      <c r="H681" s="14"/>
      <c r="I681" s="14"/>
      <c r="J681" s="15"/>
    </row>
    <row r="682" spans="1:10">
      <c r="A682" s="19"/>
      <c r="B682" s="18"/>
      <c r="C682" s="20"/>
      <c r="D682" s="20"/>
      <c r="E682" s="14"/>
      <c r="F682" s="14"/>
      <c r="G682" s="14"/>
      <c r="H682" s="14"/>
      <c r="I682" s="14"/>
      <c r="J682" s="15"/>
    </row>
    <row r="683" spans="1:10">
      <c r="A683" s="19"/>
      <c r="B683" s="18"/>
      <c r="C683" s="20"/>
      <c r="D683" s="20"/>
      <c r="E683" s="14"/>
      <c r="F683" s="14"/>
      <c r="G683" s="14"/>
      <c r="H683" s="14"/>
      <c r="I683" s="14"/>
      <c r="J683" s="15"/>
    </row>
    <row r="684" spans="1:10">
      <c r="A684" s="19"/>
      <c r="B684" s="18"/>
      <c r="C684" s="20"/>
      <c r="D684" s="20"/>
      <c r="E684" s="14"/>
      <c r="F684" s="14"/>
      <c r="G684" s="14"/>
      <c r="H684" s="14"/>
      <c r="I684" s="14"/>
      <c r="J684" s="15"/>
    </row>
    <row r="685" spans="1:10">
      <c r="A685" s="19"/>
      <c r="B685" s="18"/>
      <c r="C685" s="20"/>
      <c r="D685" s="20"/>
      <c r="E685" s="14"/>
      <c r="F685" s="14"/>
      <c r="G685" s="14"/>
      <c r="H685" s="14"/>
      <c r="I685" s="14"/>
      <c r="J685" s="15"/>
    </row>
    <row r="686" spans="1:10">
      <c r="A686" s="19"/>
      <c r="B686" s="18"/>
      <c r="C686" s="20"/>
      <c r="D686" s="20"/>
      <c r="E686" s="14"/>
      <c r="F686" s="14"/>
      <c r="G686" s="14"/>
      <c r="H686" s="14"/>
      <c r="I686" s="14"/>
      <c r="J686" s="15"/>
    </row>
    <row r="687" spans="1:10">
      <c r="A687" s="19"/>
      <c r="B687" s="18"/>
      <c r="C687" s="20"/>
      <c r="D687" s="20"/>
      <c r="E687" s="14"/>
      <c r="F687" s="14"/>
      <c r="G687" s="14"/>
      <c r="H687" s="14"/>
      <c r="I687" s="14"/>
      <c r="J687" s="15"/>
    </row>
    <row r="688" spans="1:10">
      <c r="A688" s="19"/>
      <c r="B688" s="18"/>
      <c r="C688" s="20"/>
      <c r="D688" s="20"/>
      <c r="E688" s="14"/>
      <c r="F688" s="14"/>
      <c r="G688" s="14"/>
      <c r="H688" s="14"/>
      <c r="I688" s="14"/>
      <c r="J688" s="15"/>
    </row>
    <row r="689" spans="1:10">
      <c r="A689" s="19"/>
      <c r="B689" s="18"/>
      <c r="C689" s="20"/>
      <c r="D689" s="20"/>
      <c r="E689" s="14"/>
      <c r="F689" s="14"/>
      <c r="G689" s="14"/>
      <c r="H689" s="14"/>
      <c r="I689" s="14"/>
      <c r="J689" s="15"/>
    </row>
    <row r="690" spans="1:10">
      <c r="A690" s="19"/>
      <c r="B690" s="18"/>
      <c r="C690" s="20"/>
      <c r="D690" s="20"/>
      <c r="E690" s="14"/>
      <c r="F690" s="14"/>
      <c r="G690" s="14"/>
      <c r="H690" s="14"/>
      <c r="I690" s="14"/>
      <c r="J690" s="15"/>
    </row>
    <row r="691" spans="1:10">
      <c r="A691" s="19"/>
      <c r="B691" s="18"/>
      <c r="C691" s="20"/>
      <c r="D691" s="20"/>
      <c r="E691" s="14"/>
      <c r="F691" s="14"/>
      <c r="G691" s="14"/>
      <c r="H691" s="14"/>
      <c r="I691" s="14"/>
      <c r="J691" s="15"/>
    </row>
    <row r="692" spans="1:10">
      <c r="A692" s="19"/>
      <c r="B692" s="18"/>
      <c r="C692" s="20"/>
      <c r="D692" s="20"/>
      <c r="E692" s="14"/>
      <c r="F692" s="14"/>
      <c r="G692" s="14"/>
      <c r="H692" s="14"/>
      <c r="I692" s="14"/>
      <c r="J692" s="15"/>
    </row>
    <row r="693" spans="1:10">
      <c r="A693" s="19"/>
      <c r="B693" s="18"/>
      <c r="C693" s="20"/>
      <c r="D693" s="20"/>
      <c r="E693" s="14"/>
      <c r="F693" s="14"/>
      <c r="G693" s="14"/>
      <c r="H693" s="14"/>
      <c r="I693" s="14"/>
      <c r="J693" s="15"/>
    </row>
    <row r="694" spans="1:10">
      <c r="A694" s="19"/>
      <c r="B694" s="18"/>
      <c r="C694" s="20"/>
      <c r="D694" s="20"/>
      <c r="E694" s="14"/>
      <c r="F694" s="14"/>
      <c r="G694" s="14"/>
      <c r="H694" s="14"/>
      <c r="I694" s="14"/>
      <c r="J694" s="15"/>
    </row>
    <row r="695" spans="1:10">
      <c r="A695" s="19"/>
      <c r="B695" s="18"/>
      <c r="C695" s="20"/>
      <c r="D695" s="20"/>
      <c r="E695" s="14"/>
      <c r="F695" s="14"/>
      <c r="G695" s="14"/>
      <c r="H695" s="14"/>
      <c r="I695" s="14"/>
      <c r="J695" s="15"/>
    </row>
    <row r="696" spans="1:10">
      <c r="A696" s="19"/>
      <c r="B696" s="18"/>
      <c r="C696" s="20"/>
      <c r="D696" s="20"/>
      <c r="E696" s="14"/>
      <c r="F696" s="14"/>
      <c r="G696" s="14"/>
      <c r="H696" s="14"/>
      <c r="I696" s="14"/>
      <c r="J696" s="15"/>
    </row>
    <row r="697" spans="1:10">
      <c r="A697" s="19"/>
      <c r="B697" s="18"/>
      <c r="C697" s="20"/>
      <c r="D697" s="20"/>
      <c r="E697" s="14"/>
      <c r="F697" s="14"/>
      <c r="G697" s="14"/>
      <c r="H697" s="14"/>
      <c r="I697" s="14"/>
      <c r="J697" s="15"/>
    </row>
    <row r="698" spans="1:10">
      <c r="A698" s="19"/>
      <c r="B698" s="18"/>
      <c r="C698" s="20"/>
      <c r="D698" s="20"/>
      <c r="E698" s="14"/>
      <c r="F698" s="14"/>
      <c r="G698" s="14"/>
      <c r="H698" s="14"/>
      <c r="I698" s="14"/>
      <c r="J698" s="15"/>
    </row>
    <row r="699" spans="1:10">
      <c r="A699" s="19"/>
      <c r="B699" s="18"/>
      <c r="C699" s="20"/>
      <c r="D699" s="20"/>
      <c r="E699" s="14"/>
      <c r="F699" s="14"/>
      <c r="G699" s="14"/>
      <c r="H699" s="14"/>
      <c r="I699" s="14"/>
      <c r="J699" s="15"/>
    </row>
    <row r="700" spans="1:10">
      <c r="A700" s="19"/>
      <c r="B700" s="18"/>
      <c r="C700" s="20"/>
      <c r="D700" s="20"/>
      <c r="E700" s="14"/>
      <c r="F700" s="14"/>
      <c r="G700" s="14"/>
      <c r="H700" s="14"/>
      <c r="I700" s="14"/>
      <c r="J700" s="15"/>
    </row>
    <row r="701" spans="1:10">
      <c r="A701" s="19"/>
      <c r="B701" s="18"/>
      <c r="C701" s="20"/>
      <c r="D701" s="20"/>
      <c r="E701" s="14"/>
      <c r="F701" s="14"/>
      <c r="G701" s="14"/>
      <c r="H701" s="14"/>
      <c r="I701" s="14"/>
      <c r="J701" s="15"/>
    </row>
    <row r="702" spans="1:10">
      <c r="A702" s="19"/>
      <c r="B702" s="18"/>
      <c r="C702" s="20"/>
      <c r="D702" s="20"/>
      <c r="E702" s="14"/>
      <c r="F702" s="14"/>
      <c r="G702" s="14"/>
      <c r="H702" s="14"/>
      <c r="I702" s="14"/>
      <c r="J702" s="15"/>
    </row>
    <row r="703" spans="1:10">
      <c r="A703" s="19"/>
      <c r="B703" s="18"/>
      <c r="C703" s="20"/>
      <c r="D703" s="20"/>
      <c r="E703" s="14"/>
      <c r="F703" s="14"/>
      <c r="G703" s="14"/>
      <c r="H703" s="14"/>
      <c r="I703" s="14"/>
      <c r="J703" s="15"/>
    </row>
    <row r="704" spans="1:10">
      <c r="A704" s="19"/>
      <c r="B704" s="18"/>
      <c r="C704" s="20"/>
      <c r="D704" s="20"/>
      <c r="E704" s="14"/>
      <c r="F704" s="14"/>
      <c r="G704" s="14"/>
      <c r="H704" s="14"/>
      <c r="I704" s="14"/>
      <c r="J704" s="15"/>
    </row>
    <row r="705" spans="1:10">
      <c r="A705" s="19"/>
      <c r="B705" s="18"/>
      <c r="C705" s="20"/>
      <c r="D705" s="20"/>
      <c r="E705" s="14"/>
      <c r="F705" s="14"/>
      <c r="G705" s="14"/>
      <c r="H705" s="14"/>
      <c r="I705" s="14"/>
      <c r="J705" s="15"/>
    </row>
    <row r="706" spans="1:10">
      <c r="A706" s="19"/>
      <c r="B706" s="18"/>
      <c r="C706" s="20"/>
      <c r="D706" s="20"/>
      <c r="E706" s="14"/>
      <c r="F706" s="14"/>
      <c r="G706" s="14"/>
      <c r="H706" s="14"/>
      <c r="I706" s="14"/>
      <c r="J706" s="15"/>
    </row>
    <row r="707" spans="1:10">
      <c r="A707" s="19"/>
      <c r="B707" s="18"/>
      <c r="C707" s="20"/>
      <c r="D707" s="20"/>
      <c r="E707" s="14"/>
      <c r="F707" s="14"/>
      <c r="G707" s="14"/>
      <c r="H707" s="14"/>
      <c r="I707" s="14"/>
      <c r="J707" s="15"/>
    </row>
    <row r="708" spans="1:10">
      <c r="A708" s="19"/>
      <c r="B708" s="18"/>
      <c r="C708" s="20"/>
      <c r="D708" s="20"/>
      <c r="E708" s="14"/>
      <c r="F708" s="14"/>
      <c r="G708" s="14"/>
      <c r="H708" s="14"/>
      <c r="I708" s="14"/>
      <c r="J708" s="15"/>
    </row>
    <row r="709" spans="1:10">
      <c r="A709" s="19"/>
      <c r="B709" s="18"/>
      <c r="C709" s="20"/>
      <c r="D709" s="20"/>
      <c r="E709" s="14"/>
      <c r="F709" s="14"/>
      <c r="G709" s="14"/>
      <c r="H709" s="14"/>
      <c r="I709" s="14"/>
      <c r="J709" s="15"/>
    </row>
    <row r="710" spans="1:10">
      <c r="A710" s="19"/>
      <c r="B710" s="18"/>
      <c r="C710" s="20"/>
      <c r="D710" s="20"/>
      <c r="E710" s="14"/>
      <c r="F710" s="14"/>
      <c r="G710" s="14"/>
      <c r="H710" s="14"/>
      <c r="I710" s="14"/>
      <c r="J710" s="15"/>
    </row>
    <row r="711" spans="1:10">
      <c r="A711" s="19"/>
      <c r="B711" s="18"/>
      <c r="C711" s="20"/>
      <c r="D711" s="20"/>
      <c r="E711" s="14"/>
      <c r="F711" s="14"/>
      <c r="G711" s="14"/>
      <c r="H711" s="14"/>
      <c r="I711" s="14"/>
      <c r="J711" s="15"/>
    </row>
    <row r="712" spans="1:10">
      <c r="A712" s="19"/>
      <c r="B712" s="18"/>
      <c r="C712" s="20"/>
      <c r="D712" s="20"/>
      <c r="E712" s="14"/>
      <c r="F712" s="14"/>
      <c r="G712" s="14"/>
      <c r="H712" s="14"/>
      <c r="I712" s="14"/>
      <c r="J712" s="15"/>
    </row>
    <row r="713" spans="1:10">
      <c r="A713" s="19"/>
      <c r="B713" s="18"/>
      <c r="C713" s="20"/>
      <c r="D713" s="20"/>
      <c r="E713" s="14"/>
      <c r="F713" s="14"/>
      <c r="G713" s="14"/>
      <c r="H713" s="14"/>
      <c r="I713" s="14"/>
      <c r="J713" s="15"/>
    </row>
    <row r="714" spans="1:10">
      <c r="A714" s="19"/>
      <c r="B714" s="18"/>
      <c r="C714" s="20"/>
      <c r="D714" s="20"/>
      <c r="E714" s="14"/>
      <c r="F714" s="14"/>
      <c r="G714" s="14"/>
      <c r="H714" s="14"/>
      <c r="I714" s="14"/>
      <c r="J714" s="15"/>
    </row>
    <row r="715" spans="1:10">
      <c r="A715" s="19"/>
      <c r="B715" s="18"/>
      <c r="C715" s="20"/>
      <c r="D715" s="20"/>
      <c r="E715" s="14"/>
      <c r="F715" s="14"/>
      <c r="G715" s="14"/>
      <c r="H715" s="14"/>
      <c r="I715" s="14"/>
      <c r="J715" s="15"/>
    </row>
    <row r="716" spans="1:10">
      <c r="A716" s="19"/>
      <c r="B716" s="18"/>
      <c r="C716" s="20"/>
      <c r="D716" s="20"/>
      <c r="E716" s="14"/>
      <c r="F716" s="14"/>
      <c r="G716" s="14"/>
      <c r="H716" s="14"/>
      <c r="I716" s="14"/>
      <c r="J716" s="15"/>
    </row>
    <row r="717" spans="1:10">
      <c r="A717" s="19"/>
      <c r="B717" s="18"/>
      <c r="C717" s="20"/>
      <c r="D717" s="20"/>
      <c r="E717" s="14"/>
      <c r="F717" s="14"/>
      <c r="G717" s="14"/>
      <c r="H717" s="14"/>
      <c r="I717" s="14"/>
      <c r="J717" s="15"/>
    </row>
    <row r="718" spans="1:10">
      <c r="A718" s="19"/>
      <c r="B718" s="18"/>
      <c r="C718" s="20"/>
      <c r="D718" s="20"/>
      <c r="E718" s="14"/>
      <c r="F718" s="14"/>
      <c r="G718" s="14"/>
      <c r="H718" s="14"/>
      <c r="I718" s="14"/>
      <c r="J718" s="15"/>
    </row>
    <row r="719" spans="1:10">
      <c r="A719" s="19"/>
      <c r="B719" s="18"/>
      <c r="C719" s="20"/>
      <c r="D719" s="20"/>
      <c r="E719" s="14"/>
      <c r="F719" s="14"/>
      <c r="G719" s="14"/>
      <c r="H719" s="14"/>
      <c r="I719" s="14"/>
      <c r="J719" s="15"/>
    </row>
    <row r="720" spans="1:10">
      <c r="A720" s="19"/>
      <c r="B720" s="18"/>
      <c r="C720" s="20"/>
      <c r="D720" s="20"/>
      <c r="E720" s="14"/>
      <c r="F720" s="14"/>
      <c r="G720" s="14"/>
      <c r="H720" s="14"/>
      <c r="I720" s="14"/>
      <c r="J720" s="15"/>
    </row>
    <row r="721" spans="1:10">
      <c r="A721" s="19"/>
      <c r="B721" s="18"/>
      <c r="C721" s="20"/>
      <c r="D721" s="20"/>
      <c r="E721" s="14"/>
      <c r="F721" s="14"/>
      <c r="G721" s="14"/>
      <c r="H721" s="14"/>
      <c r="I721" s="14"/>
      <c r="J721" s="15"/>
    </row>
    <row r="722" spans="1:10">
      <c r="A722" s="19"/>
      <c r="B722" s="18"/>
      <c r="C722" s="20"/>
      <c r="D722" s="20"/>
      <c r="E722" s="14"/>
      <c r="F722" s="14"/>
      <c r="G722" s="14"/>
      <c r="H722" s="14"/>
      <c r="I722" s="14"/>
      <c r="J722" s="15"/>
    </row>
    <row r="723" spans="1:10">
      <c r="A723" s="19"/>
      <c r="B723" s="18"/>
      <c r="C723" s="20"/>
      <c r="D723" s="20"/>
      <c r="E723" s="14"/>
      <c r="F723" s="14"/>
      <c r="G723" s="14"/>
      <c r="H723" s="14"/>
      <c r="I723" s="14"/>
      <c r="J723" s="15"/>
    </row>
    <row r="724" spans="1:10">
      <c r="A724" s="19"/>
      <c r="B724" s="18"/>
      <c r="C724" s="20"/>
      <c r="D724" s="20"/>
      <c r="E724" s="14"/>
      <c r="F724" s="14"/>
      <c r="G724" s="14"/>
      <c r="H724" s="14"/>
      <c r="I724" s="14"/>
      <c r="J724" s="15"/>
    </row>
    <row r="725" spans="1:10">
      <c r="A725" s="19"/>
      <c r="B725" s="18"/>
      <c r="C725" s="20"/>
      <c r="D725" s="20"/>
      <c r="E725" s="14"/>
      <c r="F725" s="14"/>
      <c r="G725" s="14"/>
      <c r="H725" s="14"/>
      <c r="I725" s="14"/>
      <c r="J725" s="15"/>
    </row>
    <row r="726" spans="1:10">
      <c r="A726" s="19"/>
      <c r="B726" s="18"/>
      <c r="C726" s="20"/>
      <c r="D726" s="20"/>
      <c r="E726" s="14"/>
      <c r="F726" s="14"/>
      <c r="G726" s="14"/>
      <c r="H726" s="14"/>
      <c r="I726" s="14"/>
      <c r="J726" s="15"/>
    </row>
    <row r="727" spans="1:10">
      <c r="A727" s="19"/>
      <c r="B727" s="18"/>
      <c r="C727" s="20"/>
      <c r="D727" s="20"/>
      <c r="E727" s="14"/>
      <c r="F727" s="14"/>
      <c r="G727" s="14"/>
      <c r="H727" s="14"/>
      <c r="I727" s="14"/>
      <c r="J727" s="15"/>
    </row>
    <row r="728" spans="1:10">
      <c r="A728" s="19"/>
      <c r="B728" s="18"/>
      <c r="C728" s="20"/>
      <c r="D728" s="20"/>
      <c r="E728" s="14"/>
      <c r="F728" s="14"/>
      <c r="G728" s="14"/>
      <c r="H728" s="14"/>
      <c r="I728" s="14"/>
      <c r="J728" s="15"/>
    </row>
    <row r="729" spans="1:10">
      <c r="A729" s="19"/>
      <c r="B729" s="18"/>
      <c r="C729" s="20"/>
      <c r="D729" s="20"/>
      <c r="E729" s="14"/>
      <c r="F729" s="14"/>
      <c r="G729" s="14"/>
      <c r="H729" s="14"/>
      <c r="I729" s="14"/>
      <c r="J729" s="15"/>
    </row>
    <row r="730" spans="1:10">
      <c r="A730" s="19"/>
      <c r="B730" s="18"/>
      <c r="C730" s="20"/>
      <c r="D730" s="20"/>
      <c r="E730" s="14"/>
      <c r="F730" s="14"/>
      <c r="G730" s="14"/>
      <c r="H730" s="14"/>
      <c r="I730" s="14"/>
      <c r="J730" s="15"/>
    </row>
    <row r="731" spans="1:10">
      <c r="A731" s="19"/>
      <c r="B731" s="18"/>
      <c r="C731" s="20"/>
      <c r="D731" s="20"/>
      <c r="E731" s="14"/>
      <c r="F731" s="14"/>
      <c r="G731" s="14"/>
      <c r="H731" s="14"/>
      <c r="I731" s="14"/>
      <c r="J731" s="15"/>
    </row>
    <row r="732" spans="1:10">
      <c r="A732" s="19"/>
      <c r="B732" s="18"/>
      <c r="C732" s="20"/>
      <c r="D732" s="20"/>
      <c r="E732" s="14"/>
      <c r="F732" s="14"/>
      <c r="G732" s="14"/>
      <c r="H732" s="14"/>
      <c r="I732" s="14"/>
      <c r="J732" s="15"/>
    </row>
    <row r="733" spans="1:10">
      <c r="A733" s="19"/>
      <c r="B733" s="18"/>
      <c r="C733" s="20"/>
      <c r="D733" s="20"/>
      <c r="E733" s="14"/>
      <c r="F733" s="14"/>
      <c r="G733" s="14"/>
      <c r="H733" s="14"/>
      <c r="I733" s="14"/>
      <c r="J733" s="15"/>
    </row>
    <row r="734" spans="1:10">
      <c r="A734" s="19"/>
      <c r="B734" s="18"/>
      <c r="C734" s="20"/>
      <c r="D734" s="20"/>
      <c r="E734" s="14"/>
      <c r="F734" s="14"/>
      <c r="G734" s="14"/>
      <c r="H734" s="14"/>
      <c r="I734" s="14"/>
      <c r="J734" s="15"/>
    </row>
    <row r="735" spans="1:10">
      <c r="A735" s="19"/>
      <c r="B735" s="18"/>
      <c r="C735" s="20"/>
      <c r="D735" s="20"/>
      <c r="E735" s="14"/>
      <c r="F735" s="14"/>
      <c r="G735" s="14"/>
      <c r="H735" s="14"/>
      <c r="I735" s="14"/>
      <c r="J735" s="15"/>
    </row>
    <row r="736" spans="1:10">
      <c r="A736" s="19"/>
      <c r="B736" s="18"/>
      <c r="C736" s="20"/>
      <c r="D736" s="20"/>
      <c r="E736" s="14"/>
      <c r="F736" s="14"/>
      <c r="G736" s="14"/>
      <c r="H736" s="14"/>
      <c r="I736" s="14"/>
      <c r="J736" s="15"/>
    </row>
    <row r="737" spans="1:10">
      <c r="A737" s="19"/>
      <c r="B737" s="18"/>
      <c r="C737" s="20"/>
      <c r="D737" s="20"/>
      <c r="E737" s="14"/>
      <c r="F737" s="14"/>
      <c r="G737" s="14"/>
      <c r="H737" s="14"/>
      <c r="I737" s="14"/>
      <c r="J737" s="15"/>
    </row>
    <row r="738" spans="1:10">
      <c r="A738" s="19"/>
      <c r="B738" s="18"/>
      <c r="C738" s="20"/>
      <c r="D738" s="20"/>
      <c r="E738" s="14"/>
      <c r="F738" s="14"/>
      <c r="G738" s="14"/>
      <c r="H738" s="14"/>
      <c r="I738" s="14"/>
      <c r="J738" s="15"/>
    </row>
    <row r="739" spans="1:10">
      <c r="A739" s="19"/>
      <c r="B739" s="18"/>
      <c r="C739" s="20"/>
      <c r="D739" s="20"/>
      <c r="E739" s="14"/>
      <c r="F739" s="14"/>
      <c r="G739" s="14"/>
      <c r="H739" s="14"/>
      <c r="I739" s="14"/>
      <c r="J739" s="15"/>
    </row>
    <row r="740" spans="1:10">
      <c r="A740" s="19"/>
      <c r="B740" s="18"/>
      <c r="C740" s="20"/>
      <c r="D740" s="20"/>
      <c r="E740" s="14"/>
      <c r="F740" s="14"/>
      <c r="G740" s="14"/>
      <c r="H740" s="14"/>
      <c r="I740" s="14"/>
      <c r="J740" s="15"/>
    </row>
    <row r="741" spans="1:10">
      <c r="A741" s="19"/>
      <c r="B741" s="18"/>
      <c r="C741" s="20"/>
      <c r="D741" s="20"/>
      <c r="E741" s="14"/>
      <c r="F741" s="14"/>
      <c r="G741" s="14"/>
      <c r="H741" s="14"/>
      <c r="I741" s="14"/>
      <c r="J741" s="15"/>
    </row>
    <row r="742" spans="1:10">
      <c r="A742" s="19"/>
      <c r="B742" s="18"/>
      <c r="C742" s="20"/>
      <c r="D742" s="20"/>
      <c r="E742" s="14"/>
      <c r="F742" s="14"/>
      <c r="G742" s="14"/>
      <c r="H742" s="14"/>
      <c r="I742" s="14"/>
      <c r="J742" s="15"/>
    </row>
    <row r="743" spans="1:10">
      <c r="A743" s="19"/>
      <c r="B743" s="18"/>
      <c r="C743" s="20"/>
      <c r="D743" s="20"/>
      <c r="E743" s="14"/>
      <c r="F743" s="14"/>
      <c r="G743" s="14"/>
      <c r="H743" s="14"/>
      <c r="I743" s="14"/>
      <c r="J743" s="15"/>
    </row>
    <row r="744" spans="1:10">
      <c r="A744" s="19"/>
      <c r="B744" s="18"/>
      <c r="C744" s="20"/>
      <c r="D744" s="20"/>
      <c r="E744" s="14"/>
      <c r="F744" s="14"/>
      <c r="G744" s="14"/>
      <c r="H744" s="14"/>
      <c r="I744" s="14"/>
      <c r="J744" s="15"/>
    </row>
    <row r="745" spans="1:10">
      <c r="A745" s="19"/>
      <c r="B745" s="18"/>
      <c r="C745" s="20"/>
      <c r="D745" s="20"/>
      <c r="E745" s="14"/>
      <c r="F745" s="14"/>
      <c r="G745" s="14"/>
      <c r="H745" s="14"/>
      <c r="I745" s="14"/>
      <c r="J745" s="15"/>
    </row>
    <row r="746" spans="1:10">
      <c r="A746" s="19"/>
      <c r="B746" s="18"/>
      <c r="C746" s="20"/>
      <c r="D746" s="20"/>
      <c r="E746" s="14"/>
      <c r="F746" s="14"/>
      <c r="G746" s="14"/>
      <c r="H746" s="14"/>
      <c r="I746" s="14"/>
      <c r="J746" s="15"/>
    </row>
    <row r="747" spans="1:10">
      <c r="A747" s="19"/>
      <c r="B747" s="18"/>
      <c r="C747" s="20"/>
      <c r="D747" s="20"/>
      <c r="E747" s="14"/>
      <c r="F747" s="14"/>
      <c r="G747" s="14"/>
      <c r="H747" s="14"/>
      <c r="I747" s="14"/>
      <c r="J747" s="15"/>
    </row>
    <row r="748" spans="1:10">
      <c r="A748" s="19"/>
      <c r="B748" s="18"/>
      <c r="C748" s="20"/>
      <c r="D748" s="20"/>
      <c r="E748" s="14"/>
      <c r="F748" s="14"/>
      <c r="G748" s="14"/>
      <c r="H748" s="14"/>
      <c r="I748" s="14"/>
      <c r="J748" s="15"/>
    </row>
    <row r="749" spans="1:10">
      <c r="A749" s="19"/>
      <c r="B749" s="18"/>
      <c r="C749" s="20"/>
      <c r="D749" s="20"/>
      <c r="E749" s="14"/>
      <c r="F749" s="14"/>
      <c r="G749" s="14"/>
      <c r="H749" s="14"/>
      <c r="I749" s="14"/>
      <c r="J749" s="15"/>
    </row>
    <row r="750" spans="1:10">
      <c r="A750" s="19"/>
      <c r="B750" s="18"/>
      <c r="C750" s="20"/>
      <c r="D750" s="20"/>
      <c r="E750" s="14"/>
      <c r="F750" s="14"/>
      <c r="G750" s="14"/>
      <c r="H750" s="14"/>
      <c r="I750" s="14"/>
      <c r="J750" s="15"/>
    </row>
    <row r="751" spans="1:10">
      <c r="A751" s="19"/>
      <c r="B751" s="18"/>
      <c r="C751" s="20"/>
      <c r="D751" s="20"/>
      <c r="E751" s="14"/>
      <c r="F751" s="14"/>
      <c r="G751" s="14"/>
      <c r="H751" s="14"/>
      <c r="I751" s="14"/>
      <c r="J751" s="15"/>
    </row>
    <row r="752" spans="1:10">
      <c r="A752" s="19"/>
      <c r="B752" s="18"/>
      <c r="C752" s="20"/>
      <c r="D752" s="20"/>
      <c r="E752" s="14"/>
      <c r="F752" s="14"/>
      <c r="G752" s="14"/>
      <c r="H752" s="14"/>
      <c r="I752" s="14"/>
      <c r="J752" s="15"/>
    </row>
    <row r="753" spans="1:10">
      <c r="A753" s="19"/>
      <c r="B753" s="18"/>
      <c r="C753" s="20"/>
      <c r="D753" s="20"/>
      <c r="E753" s="14"/>
      <c r="F753" s="14"/>
      <c r="G753" s="14"/>
      <c r="H753" s="14"/>
      <c r="I753" s="14"/>
      <c r="J753" s="15"/>
    </row>
    <row r="754" spans="1:10">
      <c r="A754" s="19"/>
      <c r="B754" s="18"/>
      <c r="C754" s="20"/>
      <c r="D754" s="20"/>
      <c r="E754" s="14"/>
      <c r="F754" s="14"/>
      <c r="G754" s="14"/>
      <c r="H754" s="14"/>
      <c r="I754" s="14"/>
      <c r="J754" s="15"/>
    </row>
    <row r="755" spans="1:10">
      <c r="A755" s="19"/>
      <c r="B755" s="18"/>
      <c r="C755" s="20"/>
      <c r="D755" s="20"/>
      <c r="E755" s="14"/>
      <c r="F755" s="14"/>
      <c r="G755" s="14"/>
      <c r="H755" s="14"/>
      <c r="I755" s="14"/>
      <c r="J755" s="15"/>
    </row>
    <row r="756" spans="1:10">
      <c r="A756" s="19"/>
      <c r="B756" s="18"/>
      <c r="C756" s="20"/>
      <c r="D756" s="20"/>
      <c r="E756" s="14"/>
      <c r="F756" s="14"/>
      <c r="G756" s="14"/>
      <c r="H756" s="14"/>
      <c r="I756" s="14"/>
      <c r="J756" s="15"/>
    </row>
    <row r="757" spans="1:10">
      <c r="A757" s="19"/>
      <c r="B757" s="18"/>
      <c r="C757" s="20"/>
      <c r="D757" s="20"/>
      <c r="E757" s="14"/>
      <c r="F757" s="14"/>
      <c r="G757" s="14"/>
      <c r="H757" s="14"/>
      <c r="I757" s="14"/>
      <c r="J757" s="15"/>
    </row>
    <row r="758" spans="1:10">
      <c r="A758" s="19"/>
      <c r="B758" s="18"/>
      <c r="C758" s="20"/>
      <c r="D758" s="20"/>
      <c r="E758" s="14"/>
      <c r="F758" s="14"/>
      <c r="G758" s="14"/>
      <c r="H758" s="14"/>
      <c r="I758" s="14"/>
      <c r="J758" s="15"/>
    </row>
    <row r="759" spans="1:10">
      <c r="A759" s="19"/>
      <c r="B759" s="18"/>
      <c r="C759" s="20"/>
      <c r="D759" s="20"/>
      <c r="E759" s="14"/>
      <c r="F759" s="14"/>
      <c r="G759" s="14"/>
      <c r="H759" s="14"/>
      <c r="I759" s="14"/>
      <c r="J759" s="15"/>
    </row>
    <row r="760" spans="1:10">
      <c r="A760" s="19"/>
      <c r="B760" s="18"/>
      <c r="C760" s="20"/>
      <c r="D760" s="20"/>
      <c r="E760" s="14"/>
      <c r="F760" s="14"/>
      <c r="G760" s="14"/>
      <c r="H760" s="14"/>
      <c r="I760" s="14"/>
      <c r="J760" s="15"/>
    </row>
    <row r="761" spans="1:10">
      <c r="A761" s="19"/>
      <c r="B761" s="18"/>
      <c r="C761" s="20"/>
      <c r="D761" s="20"/>
      <c r="E761" s="14"/>
      <c r="F761" s="14"/>
      <c r="G761" s="14"/>
      <c r="H761" s="14"/>
      <c r="I761" s="14"/>
      <c r="J761" s="15"/>
    </row>
    <row r="762" spans="1:10">
      <c r="A762" s="19"/>
      <c r="B762" s="18"/>
      <c r="C762" s="20"/>
      <c r="D762" s="20"/>
      <c r="E762" s="14"/>
      <c r="F762" s="14"/>
      <c r="G762" s="14"/>
      <c r="H762" s="14"/>
      <c r="I762" s="14"/>
      <c r="J762" s="15"/>
    </row>
    <row r="763" spans="1:10">
      <c r="A763" s="19"/>
      <c r="B763" s="18"/>
      <c r="C763" s="20"/>
      <c r="D763" s="20"/>
      <c r="E763" s="14"/>
      <c r="F763" s="14"/>
      <c r="G763" s="14"/>
      <c r="H763" s="14"/>
      <c r="I763" s="14"/>
      <c r="J763" s="15"/>
    </row>
    <row r="764" spans="1:10">
      <c r="A764" s="19"/>
      <c r="B764" s="18"/>
      <c r="C764" s="20"/>
      <c r="D764" s="20"/>
      <c r="E764" s="14"/>
      <c r="F764" s="14"/>
      <c r="G764" s="14"/>
      <c r="H764" s="14"/>
      <c r="I764" s="14"/>
      <c r="J764" s="15"/>
    </row>
    <row r="765" spans="1:10">
      <c r="A765" s="19"/>
      <c r="B765" s="18"/>
      <c r="C765" s="20"/>
      <c r="D765" s="20"/>
      <c r="E765" s="14"/>
      <c r="F765" s="14"/>
      <c r="G765" s="14"/>
      <c r="H765" s="14"/>
      <c r="I765" s="14"/>
      <c r="J765" s="15"/>
    </row>
    <row r="766" spans="1:10">
      <c r="A766" s="19"/>
      <c r="B766" s="18"/>
      <c r="C766" s="20"/>
      <c r="D766" s="20"/>
      <c r="E766" s="14"/>
      <c r="F766" s="14"/>
      <c r="G766" s="14"/>
      <c r="H766" s="14"/>
      <c r="I766" s="14"/>
      <c r="J766" s="15"/>
    </row>
    <row r="767" spans="1:10">
      <c r="A767" s="19"/>
      <c r="B767" s="18"/>
      <c r="C767" s="20"/>
      <c r="D767" s="20"/>
      <c r="E767" s="14"/>
      <c r="F767" s="14"/>
      <c r="G767" s="14"/>
      <c r="H767" s="14"/>
      <c r="I767" s="14"/>
      <c r="J767" s="15"/>
    </row>
    <row r="768" spans="1:10">
      <c r="A768" s="19"/>
      <c r="B768" s="18"/>
      <c r="C768" s="20"/>
      <c r="D768" s="20"/>
      <c r="E768" s="14"/>
      <c r="F768" s="14"/>
      <c r="G768" s="14"/>
      <c r="H768" s="14"/>
      <c r="I768" s="14"/>
      <c r="J768" s="15"/>
    </row>
    <row r="769" spans="1:10">
      <c r="A769" s="19"/>
      <c r="B769" s="18"/>
      <c r="C769" s="20"/>
      <c r="D769" s="20"/>
      <c r="E769" s="14"/>
      <c r="F769" s="14"/>
      <c r="G769" s="14"/>
      <c r="H769" s="14"/>
      <c r="I769" s="14"/>
      <c r="J769" s="15"/>
    </row>
    <row r="770" spans="1:10">
      <c r="A770" s="19"/>
      <c r="B770" s="18"/>
      <c r="C770" s="20"/>
      <c r="D770" s="20"/>
      <c r="E770" s="14"/>
      <c r="F770" s="14"/>
      <c r="G770" s="14"/>
      <c r="H770" s="14"/>
      <c r="I770" s="14"/>
      <c r="J770" s="15"/>
    </row>
    <row r="771" spans="1:10">
      <c r="A771" s="19"/>
      <c r="B771" s="18"/>
      <c r="C771" s="20"/>
      <c r="D771" s="20"/>
      <c r="E771" s="14"/>
      <c r="F771" s="14"/>
      <c r="G771" s="14"/>
      <c r="H771" s="14"/>
      <c r="I771" s="14"/>
      <c r="J771" s="15"/>
    </row>
    <row r="772" spans="1:10">
      <c r="A772" s="19"/>
      <c r="B772" s="18"/>
      <c r="C772" s="20"/>
      <c r="D772" s="20"/>
      <c r="E772" s="14"/>
      <c r="F772" s="14"/>
      <c r="G772" s="14"/>
      <c r="H772" s="14"/>
      <c r="I772" s="14"/>
      <c r="J772" s="15"/>
    </row>
    <row r="773" spans="1:10">
      <c r="A773" s="19"/>
      <c r="B773" s="18"/>
      <c r="C773" s="20"/>
      <c r="D773" s="20"/>
      <c r="E773" s="14"/>
      <c r="F773" s="14"/>
      <c r="G773" s="14"/>
      <c r="H773" s="14"/>
      <c r="I773" s="14"/>
      <c r="J773" s="15"/>
    </row>
    <row r="774" spans="1:10">
      <c r="A774" s="19"/>
      <c r="B774" s="18"/>
      <c r="C774" s="20"/>
      <c r="D774" s="20"/>
      <c r="E774" s="14"/>
      <c r="F774" s="14"/>
      <c r="G774" s="14"/>
      <c r="H774" s="14"/>
      <c r="I774" s="14"/>
      <c r="J774" s="15"/>
    </row>
    <row r="775" spans="1:10">
      <c r="A775" s="19"/>
      <c r="B775" s="18"/>
      <c r="C775" s="20"/>
      <c r="D775" s="20"/>
      <c r="E775" s="14"/>
      <c r="F775" s="14"/>
      <c r="G775" s="14"/>
      <c r="H775" s="14"/>
      <c r="I775" s="14"/>
      <c r="J775" s="15"/>
    </row>
    <row r="776" spans="1:10">
      <c r="A776" s="19"/>
      <c r="B776" s="18"/>
      <c r="C776" s="20"/>
      <c r="D776" s="20"/>
      <c r="E776" s="14"/>
      <c r="F776" s="14"/>
      <c r="G776" s="14"/>
      <c r="H776" s="14"/>
      <c r="I776" s="14"/>
      <c r="J776" s="15"/>
    </row>
    <row r="777" spans="1:10">
      <c r="A777" s="19"/>
      <c r="B777" s="18"/>
      <c r="C777" s="20"/>
      <c r="D777" s="20"/>
      <c r="E777" s="14"/>
      <c r="F777" s="14"/>
      <c r="G777" s="14"/>
      <c r="H777" s="14"/>
      <c r="I777" s="14"/>
      <c r="J777" s="15"/>
    </row>
    <row r="778" spans="1:10">
      <c r="A778" s="19"/>
      <c r="B778" s="18"/>
      <c r="C778" s="20"/>
      <c r="D778" s="20"/>
      <c r="E778" s="14"/>
      <c r="F778" s="14"/>
      <c r="G778" s="14"/>
      <c r="H778" s="14"/>
      <c r="I778" s="14"/>
      <c r="J778" s="15"/>
    </row>
    <row r="779" spans="1:10">
      <c r="A779" s="19"/>
      <c r="B779" s="18"/>
      <c r="C779" s="20"/>
      <c r="D779" s="20"/>
      <c r="E779" s="14"/>
      <c r="F779" s="14"/>
      <c r="G779" s="14"/>
      <c r="H779" s="14"/>
      <c r="I779" s="14"/>
      <c r="J779" s="15"/>
    </row>
    <row r="780" spans="1:10">
      <c r="A780" s="19"/>
      <c r="B780" s="18"/>
      <c r="C780" s="20"/>
      <c r="D780" s="20"/>
      <c r="E780" s="14"/>
      <c r="F780" s="14"/>
      <c r="G780" s="14"/>
      <c r="H780" s="14"/>
      <c r="I780" s="14"/>
      <c r="J780" s="15"/>
    </row>
    <row r="781" spans="1:10">
      <c r="A781" s="19"/>
      <c r="B781" s="18"/>
      <c r="C781" s="20"/>
      <c r="D781" s="20"/>
      <c r="E781" s="14"/>
      <c r="F781" s="14"/>
      <c r="G781" s="14"/>
      <c r="H781" s="14"/>
      <c r="I781" s="14"/>
      <c r="J781" s="15"/>
    </row>
    <row r="782" spans="1:10">
      <c r="A782" s="19"/>
      <c r="B782" s="18"/>
      <c r="C782" s="20"/>
      <c r="D782" s="20"/>
      <c r="E782" s="14"/>
      <c r="F782" s="14"/>
      <c r="G782" s="14"/>
      <c r="H782" s="14"/>
      <c r="I782" s="14"/>
      <c r="J782" s="15"/>
    </row>
    <row r="783" spans="1:10">
      <c r="A783" s="19"/>
      <c r="B783" s="18"/>
      <c r="C783" s="20"/>
      <c r="D783" s="20"/>
      <c r="E783" s="14"/>
      <c r="F783" s="14"/>
      <c r="G783" s="14"/>
      <c r="H783" s="14"/>
      <c r="I783" s="14"/>
      <c r="J783" s="15"/>
    </row>
    <row r="784" spans="1:10">
      <c r="A784" s="19"/>
      <c r="B784" s="18"/>
      <c r="C784" s="20"/>
      <c r="D784" s="20"/>
      <c r="E784" s="14"/>
      <c r="F784" s="14"/>
      <c r="G784" s="14"/>
      <c r="H784" s="14"/>
      <c r="I784" s="14"/>
      <c r="J784" s="15"/>
    </row>
    <row r="785" spans="1:10">
      <c r="A785" s="19"/>
      <c r="B785" s="18"/>
      <c r="C785" s="20"/>
      <c r="D785" s="20"/>
      <c r="E785" s="14"/>
      <c r="F785" s="14"/>
      <c r="G785" s="14"/>
      <c r="H785" s="14"/>
      <c r="I785" s="14"/>
      <c r="J785" s="15"/>
    </row>
    <row r="786" spans="1:10">
      <c r="A786" s="19"/>
      <c r="B786" s="18"/>
      <c r="C786" s="20"/>
      <c r="D786" s="20"/>
      <c r="E786" s="14"/>
      <c r="F786" s="14"/>
      <c r="G786" s="14"/>
      <c r="H786" s="14"/>
      <c r="I786" s="14"/>
      <c r="J786" s="15"/>
    </row>
    <row r="787" spans="1:10">
      <c r="A787" s="19"/>
      <c r="B787" s="18"/>
      <c r="C787" s="20"/>
      <c r="D787" s="20"/>
      <c r="E787" s="14"/>
      <c r="F787" s="14"/>
      <c r="G787" s="14"/>
      <c r="H787" s="14"/>
      <c r="I787" s="14"/>
      <c r="J787" s="15"/>
    </row>
    <row r="788" spans="1:10">
      <c r="A788" s="19"/>
      <c r="B788" s="18"/>
      <c r="C788" s="20"/>
      <c r="D788" s="20"/>
      <c r="E788" s="14"/>
      <c r="F788" s="14"/>
      <c r="G788" s="14"/>
      <c r="H788" s="14"/>
      <c r="I788" s="14"/>
      <c r="J788" s="15"/>
    </row>
    <row r="789" spans="1:10">
      <c r="A789" s="19"/>
      <c r="B789" s="18"/>
      <c r="C789" s="20"/>
      <c r="D789" s="20"/>
      <c r="E789" s="14"/>
      <c r="F789" s="14"/>
      <c r="G789" s="14"/>
      <c r="H789" s="14"/>
      <c r="I789" s="14"/>
      <c r="J789" s="15"/>
    </row>
    <row r="790" spans="1:10">
      <c r="A790" s="19"/>
      <c r="B790" s="18"/>
      <c r="C790" s="20"/>
      <c r="D790" s="20"/>
      <c r="E790" s="14"/>
      <c r="F790" s="14"/>
      <c r="G790" s="14"/>
      <c r="H790" s="14"/>
      <c r="I790" s="14"/>
      <c r="J790" s="15"/>
    </row>
    <row r="791" spans="1:10">
      <c r="A791" s="19"/>
      <c r="B791" s="18"/>
      <c r="C791" s="20"/>
      <c r="D791" s="20"/>
      <c r="E791" s="14"/>
      <c r="F791" s="14"/>
      <c r="G791" s="14"/>
      <c r="H791" s="14"/>
      <c r="I791" s="14"/>
      <c r="J791" s="15"/>
    </row>
    <row r="792" spans="1:10">
      <c r="A792" s="19"/>
      <c r="B792" s="18"/>
      <c r="C792" s="20"/>
      <c r="D792" s="20"/>
      <c r="E792" s="14"/>
      <c r="F792" s="14"/>
      <c r="G792" s="14"/>
      <c r="H792" s="14"/>
      <c r="I792" s="14"/>
      <c r="J792" s="15"/>
    </row>
    <row r="793" spans="1:10">
      <c r="A793" s="19"/>
      <c r="B793" s="18"/>
      <c r="C793" s="20"/>
      <c r="D793" s="20"/>
      <c r="E793" s="14"/>
      <c r="F793" s="14"/>
      <c r="G793" s="14"/>
      <c r="H793" s="14"/>
      <c r="I793" s="14"/>
      <c r="J793" s="15"/>
    </row>
    <row r="794" spans="1:10">
      <c r="A794" s="19"/>
      <c r="B794" s="18"/>
      <c r="C794" s="20"/>
      <c r="D794" s="20"/>
      <c r="E794" s="14"/>
      <c r="F794" s="14"/>
      <c r="G794" s="14"/>
      <c r="H794" s="14"/>
      <c r="I794" s="14"/>
      <c r="J794" s="15"/>
    </row>
    <row r="795" spans="1:10">
      <c r="A795" s="19"/>
      <c r="B795" s="18"/>
      <c r="C795" s="20"/>
      <c r="D795" s="20"/>
      <c r="E795" s="14"/>
      <c r="F795" s="14"/>
      <c r="G795" s="14"/>
      <c r="H795" s="14"/>
      <c r="I795" s="14"/>
      <c r="J795" s="15"/>
    </row>
    <row r="796" spans="1:10">
      <c r="A796" s="19"/>
      <c r="B796" s="18"/>
      <c r="C796" s="20"/>
      <c r="D796" s="20"/>
      <c r="E796" s="14"/>
      <c r="F796" s="14"/>
      <c r="G796" s="14"/>
      <c r="H796" s="14"/>
      <c r="I796" s="14"/>
      <c r="J796" s="15"/>
    </row>
    <row r="797" spans="1:10">
      <c r="A797" s="19"/>
      <c r="B797" s="18"/>
      <c r="C797" s="20"/>
      <c r="D797" s="20"/>
      <c r="E797" s="14"/>
      <c r="F797" s="14"/>
      <c r="G797" s="14"/>
      <c r="H797" s="14"/>
      <c r="I797" s="14"/>
      <c r="J797" s="15"/>
    </row>
    <row r="798" spans="1:10">
      <c r="A798" s="19"/>
      <c r="B798" s="18"/>
      <c r="C798" s="20"/>
      <c r="D798" s="20"/>
      <c r="E798" s="14"/>
      <c r="F798" s="14"/>
      <c r="G798" s="14"/>
      <c r="H798" s="14"/>
      <c r="I798" s="14"/>
      <c r="J798" s="15"/>
    </row>
    <row r="799" spans="1:10">
      <c r="A799" s="19"/>
      <c r="B799" s="18"/>
      <c r="C799" s="20"/>
      <c r="D799" s="20"/>
      <c r="E799" s="14"/>
      <c r="F799" s="14"/>
      <c r="G799" s="14"/>
      <c r="H799" s="14"/>
      <c r="I799" s="14"/>
      <c r="J799" s="15"/>
    </row>
    <row r="800" spans="1:10">
      <c r="A800" s="19"/>
      <c r="B800" s="18"/>
      <c r="C800" s="20"/>
      <c r="D800" s="20"/>
      <c r="E800" s="14"/>
      <c r="F800" s="14"/>
      <c r="G800" s="14"/>
      <c r="H800" s="14"/>
      <c r="I800" s="14"/>
      <c r="J800" s="15"/>
    </row>
    <row r="801" spans="1:10">
      <c r="A801" s="19"/>
      <c r="B801" s="18"/>
      <c r="C801" s="20"/>
      <c r="D801" s="20"/>
      <c r="E801" s="14"/>
      <c r="F801" s="14"/>
      <c r="G801" s="14"/>
      <c r="H801" s="14"/>
      <c r="I801" s="14"/>
      <c r="J801" s="15"/>
    </row>
    <row r="802" spans="1:10">
      <c r="A802" s="19"/>
      <c r="B802" s="18"/>
      <c r="C802" s="20"/>
      <c r="D802" s="20"/>
      <c r="E802" s="14"/>
      <c r="F802" s="14"/>
      <c r="G802" s="14"/>
      <c r="H802" s="14"/>
      <c r="I802" s="14"/>
      <c r="J802" s="15"/>
    </row>
    <row r="803" spans="1:10">
      <c r="A803" s="19"/>
      <c r="B803" s="18"/>
      <c r="C803" s="20"/>
      <c r="D803" s="20"/>
      <c r="E803" s="14"/>
      <c r="F803" s="14"/>
      <c r="G803" s="14"/>
      <c r="H803" s="14"/>
      <c r="I803" s="14"/>
      <c r="J803" s="15"/>
    </row>
    <row r="804" spans="1:10">
      <c r="A804" s="19"/>
      <c r="B804" s="18"/>
      <c r="C804" s="20"/>
      <c r="D804" s="20"/>
      <c r="E804" s="14"/>
      <c r="F804" s="14"/>
      <c r="G804" s="14"/>
      <c r="H804" s="14"/>
      <c r="I804" s="14"/>
      <c r="J804" s="15"/>
    </row>
    <row r="805" spans="1:10">
      <c r="A805" s="19"/>
      <c r="B805" s="18"/>
      <c r="C805" s="20"/>
      <c r="D805" s="20"/>
      <c r="E805" s="14"/>
      <c r="F805" s="14"/>
      <c r="G805" s="14"/>
      <c r="H805" s="14"/>
      <c r="I805" s="14"/>
      <c r="J805" s="15"/>
    </row>
    <row r="806" spans="1:10">
      <c r="A806" s="19"/>
      <c r="B806" s="18"/>
      <c r="C806" s="20"/>
      <c r="D806" s="20"/>
      <c r="E806" s="14"/>
      <c r="F806" s="14"/>
      <c r="G806" s="14"/>
      <c r="H806" s="14"/>
      <c r="I806" s="14"/>
      <c r="J806" s="15"/>
    </row>
    <row r="807" spans="1:10">
      <c r="A807" s="19"/>
      <c r="B807" s="18"/>
      <c r="C807" s="20"/>
      <c r="D807" s="20"/>
      <c r="E807" s="14"/>
      <c r="F807" s="14"/>
      <c r="G807" s="14"/>
      <c r="H807" s="14"/>
      <c r="I807" s="14"/>
      <c r="J807" s="15"/>
    </row>
    <row r="808" spans="1:10">
      <c r="A808" s="19"/>
      <c r="B808" s="18"/>
      <c r="C808" s="20"/>
      <c r="D808" s="20"/>
      <c r="E808" s="14"/>
      <c r="F808" s="14"/>
      <c r="G808" s="14"/>
      <c r="H808" s="14"/>
      <c r="I808" s="14"/>
      <c r="J808" s="15"/>
    </row>
    <row r="809" spans="1:10">
      <c r="A809" s="19"/>
      <c r="B809" s="18"/>
      <c r="C809" s="20"/>
      <c r="D809" s="20"/>
      <c r="E809" s="14"/>
      <c r="F809" s="14"/>
      <c r="G809" s="14"/>
      <c r="H809" s="14"/>
      <c r="I809" s="14"/>
      <c r="J809" s="15"/>
    </row>
    <row r="810" spans="1:10">
      <c r="A810" s="19"/>
      <c r="B810" s="18"/>
      <c r="C810" s="20"/>
      <c r="D810" s="20"/>
      <c r="E810" s="14"/>
      <c r="F810" s="14"/>
      <c r="G810" s="14"/>
      <c r="H810" s="14"/>
      <c r="I810" s="14"/>
      <c r="J810" s="15"/>
    </row>
    <row r="811" spans="1:10">
      <c r="A811" s="19"/>
      <c r="B811" s="18"/>
      <c r="C811" s="20"/>
      <c r="D811" s="20"/>
      <c r="E811" s="14"/>
      <c r="F811" s="14"/>
      <c r="G811" s="14"/>
      <c r="H811" s="14"/>
      <c r="I811" s="14"/>
      <c r="J811" s="15"/>
    </row>
    <row r="812" spans="1:10">
      <c r="A812" s="19"/>
      <c r="B812" s="18"/>
      <c r="C812" s="20"/>
      <c r="D812" s="20"/>
      <c r="E812" s="14"/>
      <c r="F812" s="14"/>
      <c r="G812" s="14"/>
      <c r="H812" s="14"/>
      <c r="I812" s="14"/>
      <c r="J812" s="15"/>
    </row>
    <row r="813" spans="1:10">
      <c r="A813" s="19"/>
      <c r="B813" s="18"/>
      <c r="C813" s="20"/>
      <c r="D813" s="20"/>
      <c r="E813" s="14"/>
      <c r="F813" s="14"/>
      <c r="G813" s="14"/>
      <c r="H813" s="14"/>
      <c r="I813" s="14"/>
      <c r="J813" s="15"/>
    </row>
    <row r="814" spans="1:10">
      <c r="A814" s="19"/>
      <c r="B814" s="18"/>
      <c r="C814" s="20"/>
      <c r="D814" s="20"/>
      <c r="E814" s="14"/>
      <c r="F814" s="14"/>
      <c r="G814" s="14"/>
      <c r="H814" s="14"/>
      <c r="I814" s="14"/>
      <c r="J814" s="15"/>
    </row>
    <row r="815" spans="1:10">
      <c r="A815" s="19"/>
      <c r="B815" s="18"/>
      <c r="C815" s="20"/>
      <c r="D815" s="20"/>
      <c r="E815" s="14"/>
      <c r="F815" s="14"/>
      <c r="G815" s="14"/>
      <c r="H815" s="14"/>
      <c r="I815" s="14"/>
      <c r="J815" s="15"/>
    </row>
    <row r="816" spans="1:10">
      <c r="A816" s="19"/>
      <c r="B816" s="18"/>
      <c r="C816" s="20"/>
      <c r="D816" s="20"/>
      <c r="E816" s="14"/>
      <c r="F816" s="14"/>
      <c r="G816" s="14"/>
      <c r="H816" s="14"/>
      <c r="I816" s="14"/>
      <c r="J816" s="15"/>
    </row>
    <row r="817" spans="1:10">
      <c r="A817" s="19"/>
      <c r="B817" s="18"/>
      <c r="C817" s="20"/>
      <c r="D817" s="20"/>
      <c r="E817" s="14"/>
      <c r="F817" s="14"/>
      <c r="G817" s="14"/>
      <c r="H817" s="14"/>
      <c r="I817" s="14"/>
      <c r="J817" s="15"/>
    </row>
    <row r="818" spans="1:10">
      <c r="A818" s="19"/>
      <c r="B818" s="18"/>
      <c r="C818" s="20"/>
      <c r="D818" s="20"/>
      <c r="E818" s="14"/>
      <c r="F818" s="14"/>
      <c r="G818" s="14"/>
      <c r="H818" s="14"/>
      <c r="I818" s="14"/>
      <c r="J818" s="15"/>
    </row>
    <row r="819" spans="1:10">
      <c r="A819" s="19"/>
      <c r="B819" s="18"/>
      <c r="C819" s="20"/>
      <c r="D819" s="20"/>
      <c r="E819" s="14"/>
      <c r="F819" s="14"/>
      <c r="G819" s="14"/>
      <c r="H819" s="14"/>
      <c r="I819" s="14"/>
      <c r="J819" s="15"/>
    </row>
    <row r="820" spans="1:10">
      <c r="A820" s="19"/>
      <c r="B820" s="18"/>
      <c r="C820" s="20"/>
      <c r="D820" s="20"/>
      <c r="E820" s="14"/>
      <c r="F820" s="14"/>
      <c r="G820" s="14"/>
      <c r="H820" s="14"/>
      <c r="I820" s="14"/>
      <c r="J820" s="15"/>
    </row>
    <row r="821" spans="1:10">
      <c r="A821" s="19"/>
      <c r="B821" s="18"/>
      <c r="C821" s="20"/>
      <c r="D821" s="20"/>
      <c r="E821" s="14"/>
      <c r="F821" s="14"/>
      <c r="G821" s="14"/>
      <c r="H821" s="14"/>
      <c r="I821" s="14"/>
      <c r="J821" s="15"/>
    </row>
    <row r="822" spans="1:10">
      <c r="A822" s="19"/>
      <c r="B822" s="18"/>
      <c r="C822" s="20"/>
      <c r="D822" s="20"/>
      <c r="E822" s="14"/>
      <c r="F822" s="14"/>
      <c r="G822" s="14"/>
      <c r="H822" s="14"/>
      <c r="I822" s="14"/>
      <c r="J822" s="15"/>
    </row>
    <row r="823" spans="1:10">
      <c r="A823" s="19"/>
      <c r="B823" s="18"/>
      <c r="C823" s="20"/>
      <c r="D823" s="20"/>
      <c r="E823" s="14"/>
      <c r="F823" s="14"/>
      <c r="G823" s="14"/>
      <c r="H823" s="14"/>
      <c r="I823" s="14"/>
      <c r="J823" s="15"/>
    </row>
    <row r="824" spans="1:10">
      <c r="A824" s="19"/>
      <c r="B824" s="18"/>
      <c r="C824" s="20"/>
      <c r="D824" s="20"/>
      <c r="E824" s="14"/>
      <c r="F824" s="14"/>
      <c r="G824" s="14"/>
      <c r="H824" s="14"/>
      <c r="I824" s="14"/>
      <c r="J824" s="15"/>
    </row>
    <row r="825" spans="1:10">
      <c r="A825" s="19"/>
      <c r="B825" s="18"/>
      <c r="C825" s="20"/>
      <c r="D825" s="20"/>
      <c r="E825" s="14"/>
      <c r="F825" s="14"/>
      <c r="G825" s="14"/>
      <c r="H825" s="14"/>
      <c r="I825" s="14"/>
      <c r="J825" s="15"/>
    </row>
    <row r="826" spans="1:10">
      <c r="A826" s="19"/>
      <c r="B826" s="18"/>
      <c r="C826" s="20"/>
      <c r="D826" s="20"/>
      <c r="E826" s="14"/>
      <c r="F826" s="14"/>
      <c r="G826" s="14"/>
      <c r="H826" s="14"/>
      <c r="I826" s="14"/>
      <c r="J826" s="15"/>
    </row>
  </sheetData>
  <sheetProtection formatCells="0" formatColumns="0" formatRows="0" insertRows="0" deleteRows="0" autoFilter="0"/>
  <phoneticPr fontId="4" type="noConversion"/>
  <conditionalFormatting sqref="E438:G826 E1 E438:E1048576">
    <cfRule type="expression" dxfId="696" priority="2977">
      <formula>IF(OR(AND(E1="",F1="",OR(G1="Critical",G1="Major",G1="Minor"))),1,0)</formula>
    </cfRule>
  </conditionalFormatting>
  <conditionalFormatting sqref="F1 F438:F1048576">
    <cfRule type="expression" dxfId="695" priority="2976">
      <formula>IF(AND(F1="",OR(E1="Accuracy",E1="Fluency",E1="Segment",E1="Other")),1,0)</formula>
    </cfRule>
  </conditionalFormatting>
  <conditionalFormatting sqref="G1 G438:G1048576">
    <cfRule type="expression" dxfId="694" priority="2975">
      <formula>IF(AND(OR(G1="",E1="Segment"),OR(E1="Accuracy",E1="Fluency",E1="Other")),1,0)</formula>
    </cfRule>
  </conditionalFormatting>
  <conditionalFormatting sqref="G133 E135:G135 G127 E130:G130 E118:G120 G107 E89:G89 E85:G85 E72:G72 E68:G68 G58 G44 E25:G26 E19:G23 G17:G18 E15:E18 E13:F14 F2:G7 G27 G42 E42:E45 G86:G87 E24:F24 E27:F28 E29:G41 F42:F44 E48:G49 E52:G52 E55:G55 E61:G64 E66:F67 E73:F75 E80:F80 E86:F88 E96:G98 E103:F103 E107:F108 E112:F114 E117:F117 E121:F123 E127:F129 E133:F134 E138:G140 E142:F144 E147:F147 E149:F151 E155:F156 E159:F162 E166:F167 E170:F170 E173:F173 E179:F179 E185:F185 E189:F189 E192:F192 E194:F195 E198:F199 E204:F205 E209:F209 E211:F212 E215:F215 E220:F221 E223:F223 E225:F226 E229:F229 E232:F234 E239:F240 E242:F242 E245:F245 E247:F248 E250:F250 E252:F253 E256:F258 E262:F263 E267:F267 E271:F272 E275:F277 E281:F281 E284:F284 E287:F288 E292:F293 E296:F296 E298:F298 E300:F300 E302:F303 E307:F307 E309:F309 E311:F311 E313:F315 E319:F319 E321:F321 E323:F323 E326:F327 E330:F332 E334:F335 E338:F339 E341:F342 E344:F346 E348:F349 E352:F353 E356:F356 E358:F359 E361:F361 E366:F367 E371:F374 E377:F377 E379:F380 E387:F389 E394:F395 E399:F399 E401:F401">
    <cfRule type="expression" dxfId="693" priority="778">
      <formula>IF(OR(AND(E2="",F2="",OR(G2="Critical",G2="Major",G2="Minor"))),1,0)</formula>
    </cfRule>
  </conditionalFormatting>
  <conditionalFormatting sqref="F2:F7 F13:F44 F48:F49 F52 F55 F61:F64 F66:F68 F72:F75 F80 F85:F89 F96:F98 F103 F107:F108 F112:F114 F117:F123 F127:F130 F133:F135 F138:F140 F142:F144 F147 F149:F151 F155:F156 F159:F162 F166:F167 F170 F173 F179 F185 F189 F192 F194:F195 F198:F199 F204:F205 F209 F211:F212 F215 F220:F221 F223 F225:F226 F229 F232:F234 F239:F240 F242 F245 F247:F248 F250 F252:F253 F256:F258 F262:F263 F267 F271:F272 F275:F277 F281 F284 F287:F288 F292:F293 F296 F298 F300 F302:F303 F307 F309 F311 F313:F315 F319 F321 F323 F326:F327 F330:F332 F334:F335 F338:F339 F341:F342 F344:F346 F348:F349 F352:F353 F356 F358:F359 F361 F366:F367 F371:F374 F377 F379:F380 F387:F389 F394:F395 F399 F401">
    <cfRule type="expression" dxfId="692" priority="777">
      <formula>IF(AND(F2="",OR(E2="Accuracy",E2="Fluency",E2="Segment",E2="Other")),1,0)</formula>
    </cfRule>
  </conditionalFormatting>
  <conditionalFormatting sqref="G2:G7">
    <cfRule type="expression" dxfId="691" priority="776">
      <formula>IF(AND(OR(G2="",E2="Segment"),OR(E2="Accuracy",E2="Fluency",E2="Other")),1,0)</formula>
    </cfRule>
  </conditionalFormatting>
  <conditionalFormatting sqref="E2:E7">
    <cfRule type="expression" dxfId="690" priority="775">
      <formula>IF(OR(AND(E2="",F2="",OR(G2="Critical",G2="Major",G2="Minor"))),1,0)</formula>
    </cfRule>
  </conditionalFormatting>
  <conditionalFormatting sqref="G8">
    <cfRule type="expression" dxfId="689" priority="774">
      <formula>IF(OR(AND(G8="",H8="",OR(I8="Critical",I8="Major",I8="Minor"))),1,0)</formula>
    </cfRule>
  </conditionalFormatting>
  <conditionalFormatting sqref="G8">
    <cfRule type="expression" dxfId="688" priority="773">
      <formula>IF(AND(OR(G8="",E8="Segment"),OR(E8="Accuracy",E8="Fluency",E8="Other")),1,0)</formula>
    </cfRule>
  </conditionalFormatting>
  <conditionalFormatting sqref="E8:F8">
    <cfRule type="expression" dxfId="687" priority="772">
      <formula>IF(OR(AND(E8="",F8="",OR(G8="Critical",G8="Major",G8="Minor"))),1,0)</formula>
    </cfRule>
  </conditionalFormatting>
  <conditionalFormatting sqref="F8">
    <cfRule type="expression" dxfId="686" priority="771">
      <formula>IF(AND(F8="",OR(E8="Accuracy",E8="Fluency",E8="Segment",E8="Other")),1,0)</formula>
    </cfRule>
  </conditionalFormatting>
  <conditionalFormatting sqref="E9:G12">
    <cfRule type="expression" dxfId="685" priority="770">
      <formula>IF(OR(AND(E9="",F9="",OR(G9="Critical",G9="Major",G9="Minor"))),1,0)</formula>
    </cfRule>
  </conditionalFormatting>
  <conditionalFormatting sqref="F9:F12">
    <cfRule type="expression" dxfId="684" priority="769">
      <formula>IF(AND(F9="",OR(E9="Accuracy",E9="Fluency",E9="Segment",E9="Other")),1,0)</formula>
    </cfRule>
  </conditionalFormatting>
  <conditionalFormatting sqref="G9:G12">
    <cfRule type="expression" dxfId="683" priority="768">
      <formula>IF(AND(OR(G9="",E9="Segment"),OR(E9="Accuracy",E9="Fluency",E9="Other")),1,0)</formula>
    </cfRule>
  </conditionalFormatting>
  <conditionalFormatting sqref="G13:G14">
    <cfRule type="expression" dxfId="682" priority="767">
      <formula>IF(OR(AND(G13="",H13="",OR(I13="Critical",I13="Major",I13="Minor"))),1,0)</formula>
    </cfRule>
  </conditionalFormatting>
  <conditionalFormatting sqref="G13:G14">
    <cfRule type="expression" dxfId="681" priority="766">
      <formula>IF(AND(OR(G13="",E13="Segment"),OR(E13="Accuracy",E13="Fluency",E13="Other")),1,0)</formula>
    </cfRule>
  </conditionalFormatting>
  <conditionalFormatting sqref="G15:G16">
    <cfRule type="expression" dxfId="680" priority="764">
      <formula>IF(OR(AND(G15="",H15="",OR(I15="Critical",I15="Major",I15="Minor"))),1,0)</formula>
    </cfRule>
  </conditionalFormatting>
  <conditionalFormatting sqref="G15:G16">
    <cfRule type="expression" dxfId="679" priority="763">
      <formula>IF(AND(OR(G15="",E15="Segment"),OR(E15="Accuracy",E15="Fluency",E15="Other")),1,0)</formula>
    </cfRule>
  </conditionalFormatting>
  <conditionalFormatting sqref="F15:F16">
    <cfRule type="expression" dxfId="678" priority="765">
      <formula>IF(OR(AND(F15="",G15="",OR(H38="Critical",H38="Major",H38="Minor"))),1,0)</formula>
    </cfRule>
  </conditionalFormatting>
  <conditionalFormatting sqref="H17:H18">
    <cfRule type="expression" dxfId="677" priority="760">
      <formula>IF(OR(AND(H17="",J17="",OR(#REF!="Critical",#REF!="Major",#REF!="Minor"))),1,0)</formula>
    </cfRule>
  </conditionalFormatting>
  <conditionalFormatting sqref="G138:G140 G133 G135 G127 G130 G118:G120 G107 G96:G98 G89 G85:G87 G80 G72 G68 G61:G64 G55 G58 G52 G48:G49 G29:G42 G25:G27 G17:G23">
    <cfRule type="expression" dxfId="676" priority="761">
      <formula>IF(AND(OR(G17="",#REF!="Segment"),OR(#REF!="Accuracy",#REF!="Fluency",#REF!="Other")),1,0)</formula>
    </cfRule>
  </conditionalFormatting>
  <conditionalFormatting sqref="F17:F18">
    <cfRule type="expression" dxfId="675" priority="762">
      <formula>IF(OR(AND(F17="",G17="",OR(H38="Critical",H38="Major",H38="Minor"))),1,0)</formula>
    </cfRule>
  </conditionalFormatting>
  <conditionalFormatting sqref="G24">
    <cfRule type="expression" dxfId="674" priority="758">
      <formula>IF(OR(AND(G24="",H24="",OR(I24="Critical",I24="Major",I24="Minor"))),1,0)</formula>
    </cfRule>
  </conditionalFormatting>
  <conditionalFormatting sqref="G24">
    <cfRule type="expression" dxfId="673" priority="759">
      <formula>IF(AND(OR(G24="",#REF!="Segment"),OR(#REF!="Accuracy",#REF!="Fluency",#REF!="Other")),1,0)</formula>
    </cfRule>
  </conditionalFormatting>
  <conditionalFormatting sqref="G28">
    <cfRule type="expression" dxfId="672" priority="755">
      <formula>IF(OR(AND(G28="",H28="",OR(I28="Critical",I28="Major",I28="Minor"))),1,0)</formula>
    </cfRule>
  </conditionalFormatting>
  <conditionalFormatting sqref="G28">
    <cfRule type="expression" dxfId="671" priority="756">
      <formula>IF(AND(OR(G28="",#REF!="Segment"),OR(#REF!="Accuracy",#REF!="Fluency",#REF!="Other")),1,0)</formula>
    </cfRule>
  </conditionalFormatting>
  <conditionalFormatting sqref="F45">
    <cfRule type="expression" dxfId="670" priority="747">
      <formula>IF(AND(F45="",OR(E45="Accuracy",E45="Fluency",E45="Segment",E45="Other")),1,0)</formula>
    </cfRule>
  </conditionalFormatting>
  <conditionalFormatting sqref="G44:G45">
    <cfRule type="expression" dxfId="669" priority="748">
      <formula>IF(AND(OR(G44="",#REF!="Segment"),OR(#REF!="Accuracy",#REF!="Fluency",#REF!="Other")),1,0)</formula>
    </cfRule>
  </conditionalFormatting>
  <conditionalFormatting sqref="G43">
    <cfRule type="expression" dxfId="668" priority="750">
      <formula>IF(OR(AND(G43="",H43="",OR(I43="Critical",I43="Major",I43="Minor"))),1,0)</formula>
    </cfRule>
  </conditionalFormatting>
  <conditionalFormatting sqref="G43">
    <cfRule type="expression" dxfId="667" priority="751">
      <formula>IF(AND(OR(G43="",#REF!="Segment"),OR(#REF!="Accuracy",#REF!="Fluency",#REF!="Other")),1,0)</formula>
    </cfRule>
  </conditionalFormatting>
  <conditionalFormatting sqref="G45">
    <cfRule type="expression" dxfId="666" priority="752">
      <formula>IF(OR(AND(G45="",#REF!="",OR(I45="Critical",I45="Major",I45="Minor"))),1,0)</formula>
    </cfRule>
  </conditionalFormatting>
  <conditionalFormatting sqref="F45">
    <cfRule type="expression" dxfId="665" priority="753">
      <formula>IF(OR(AND(F45="",G45="",OR(#REF!="Critical",#REF!="Major",#REF!="Minor"))),1,0)</formula>
    </cfRule>
  </conditionalFormatting>
  <conditionalFormatting sqref="E46">
    <cfRule type="expression" dxfId="664" priority="744">
      <formula>IF(OR(AND(E46="",F46="",OR(G46="Critical",G46="Major",G46="Minor"))),1,0)</formula>
    </cfRule>
  </conditionalFormatting>
  <conditionalFormatting sqref="F46">
    <cfRule type="expression" dxfId="663" priority="742">
      <formula>IF(AND(F46="",OR(E46="Accuracy",E46="Fluency",E46="Segment",E46="Other")),1,0)</formula>
    </cfRule>
  </conditionalFormatting>
  <conditionalFormatting sqref="G46">
    <cfRule type="expression" dxfId="662" priority="743">
      <formula>IF(AND(OR(G46="",#REF!="Segment"),OR(#REF!="Accuracy",#REF!="Fluency",#REF!="Other")),1,0)</formula>
    </cfRule>
  </conditionalFormatting>
  <conditionalFormatting sqref="G46">
    <cfRule type="expression" dxfId="661" priority="745">
      <formula>IF(OR(AND(G46="",#REF!="",OR(I46="Critical",I46="Major",I46="Minor"))),1,0)</formula>
    </cfRule>
  </conditionalFormatting>
  <conditionalFormatting sqref="F46">
    <cfRule type="expression" dxfId="660" priority="746">
      <formula>IF(OR(AND(F46="",G46="",OR(#REF!="Critical",#REF!="Major",#REF!="Minor"))),1,0)</formula>
    </cfRule>
  </conditionalFormatting>
  <conditionalFormatting sqref="E47">
    <cfRule type="expression" dxfId="659" priority="739">
      <formula>IF(OR(AND(E47="",F47="",OR(G47="Critical",G47="Major",G47="Minor"))),1,0)</formula>
    </cfRule>
  </conditionalFormatting>
  <conditionalFormatting sqref="F47">
    <cfRule type="expression" dxfId="658" priority="737">
      <formula>IF(AND(F47="",OR(E47="Accuracy",E47="Fluency",E47="Segment",E47="Other")),1,0)</formula>
    </cfRule>
  </conditionalFormatting>
  <conditionalFormatting sqref="G47">
    <cfRule type="expression" dxfId="657" priority="738">
      <formula>IF(AND(OR(G47="",#REF!="Segment"),OR(#REF!="Accuracy",#REF!="Fluency",#REF!="Other")),1,0)</formula>
    </cfRule>
  </conditionalFormatting>
  <conditionalFormatting sqref="G47">
    <cfRule type="expression" dxfId="656" priority="740">
      <formula>IF(OR(AND(G47="",#REF!="",OR(I47="Critical",I47="Major",I47="Minor"))),1,0)</formula>
    </cfRule>
  </conditionalFormatting>
  <conditionalFormatting sqref="F47">
    <cfRule type="expression" dxfId="655" priority="741">
      <formula>IF(OR(AND(F47="",G47="",OR(#REF!="Critical",#REF!="Major",#REF!="Minor"))),1,0)</formula>
    </cfRule>
  </conditionalFormatting>
  <conditionalFormatting sqref="E50:G50">
    <cfRule type="expression" dxfId="654" priority="735">
      <formula>IF(OR(AND(E50="",F50="",OR(G50="Critical",G50="Major",G50="Minor"))),1,0)</formula>
    </cfRule>
  </conditionalFormatting>
  <conditionalFormatting sqref="F50">
    <cfRule type="expression" dxfId="653" priority="734">
      <formula>IF(AND(F50="",OR(E50="Accuracy",E50="Fluency",E50="Segment",E50="Other")),1,0)</formula>
    </cfRule>
  </conditionalFormatting>
  <conditionalFormatting sqref="G50">
    <cfRule type="expression" dxfId="652" priority="736">
      <formula>IF(AND(OR(G50="",#REF!="Segment"),OR(#REF!="Accuracy",#REF!="Fluency",#REF!="Other")),1,0)</formula>
    </cfRule>
  </conditionalFormatting>
  <conditionalFormatting sqref="E51:G51">
    <cfRule type="expression" dxfId="651" priority="732">
      <formula>IF(OR(AND(E51="",F51="",OR(G51="Critical",G51="Major",G51="Minor"))),1,0)</formula>
    </cfRule>
  </conditionalFormatting>
  <conditionalFormatting sqref="F51">
    <cfRule type="expression" dxfId="650" priority="731">
      <formula>IF(AND(F51="",OR(E51="Accuracy",E51="Fluency",E51="Segment",E51="Other")),1,0)</formula>
    </cfRule>
  </conditionalFormatting>
  <conditionalFormatting sqref="G51">
    <cfRule type="expression" dxfId="649" priority="733">
      <formula>IF(AND(OR(G51="",#REF!="Segment"),OR(#REF!="Accuracy",#REF!="Fluency",#REF!="Other")),1,0)</formula>
    </cfRule>
  </conditionalFormatting>
  <conditionalFormatting sqref="E53:G53">
    <cfRule type="expression" dxfId="648" priority="729">
      <formula>IF(OR(AND(E53="",F53="",OR(G53="Critical",G53="Major",G53="Minor"))),1,0)</formula>
    </cfRule>
  </conditionalFormatting>
  <conditionalFormatting sqref="F53">
    <cfRule type="expression" dxfId="647" priority="728">
      <formula>IF(AND(F53="",OR(E53="Accuracy",E53="Fluency",E53="Segment",E53="Other")),1,0)</formula>
    </cfRule>
  </conditionalFormatting>
  <conditionalFormatting sqref="G53">
    <cfRule type="expression" dxfId="646" priority="730">
      <formula>IF(AND(OR(G53="",#REF!="Segment"),OR(#REF!="Accuracy",#REF!="Fluency",#REF!="Other")),1,0)</formula>
    </cfRule>
  </conditionalFormatting>
  <conditionalFormatting sqref="E54:G54">
    <cfRule type="expression" dxfId="645" priority="726">
      <formula>IF(OR(AND(E54="",F54="",OR(G54="Critical",G54="Major",G54="Minor"))),1,0)</formula>
    </cfRule>
  </conditionalFormatting>
  <conditionalFormatting sqref="F54">
    <cfRule type="expression" dxfId="644" priority="725">
      <formula>IF(AND(F54="",OR(E54="Accuracy",E54="Fluency",E54="Segment",E54="Other")),1,0)</formula>
    </cfRule>
  </conditionalFormatting>
  <conditionalFormatting sqref="G54">
    <cfRule type="expression" dxfId="643" priority="727">
      <formula>IF(AND(OR(G54="",#REF!="Segment"),OR(#REF!="Accuracy",#REF!="Fluency",#REF!="Other")),1,0)</formula>
    </cfRule>
  </conditionalFormatting>
  <conditionalFormatting sqref="E56:G56">
    <cfRule type="expression" dxfId="642" priority="723">
      <formula>IF(OR(AND(E56="",F56="",OR(G56="Critical",G56="Major",G56="Minor"))),1,0)</formula>
    </cfRule>
  </conditionalFormatting>
  <conditionalFormatting sqref="F56">
    <cfRule type="expression" dxfId="641" priority="722">
      <formula>IF(AND(F56="",OR(E56="Accuracy",E56="Fluency",E56="Segment",E56="Other")),1,0)</formula>
    </cfRule>
  </conditionalFormatting>
  <conditionalFormatting sqref="G56">
    <cfRule type="expression" dxfId="640" priority="724">
      <formula>IF(AND(OR(G56="",#REF!="Segment"),OR(#REF!="Accuracy",#REF!="Fluency",#REF!="Other")),1,0)</formula>
    </cfRule>
  </conditionalFormatting>
  <conditionalFormatting sqref="E57:G57">
    <cfRule type="expression" dxfId="639" priority="720">
      <formula>IF(OR(AND(E57="",F57="",OR(G57="Critical",G57="Major",G57="Minor"))),1,0)</formula>
    </cfRule>
  </conditionalFormatting>
  <conditionalFormatting sqref="F57">
    <cfRule type="expression" dxfId="638" priority="719">
      <formula>IF(AND(F57="",OR(E57="Accuracy",E57="Fluency",E57="Segment",E57="Other")),1,0)</formula>
    </cfRule>
  </conditionalFormatting>
  <conditionalFormatting sqref="G57">
    <cfRule type="expression" dxfId="637" priority="721">
      <formula>IF(AND(OR(G57="",#REF!="Segment"),OR(#REF!="Accuracy",#REF!="Fluency",#REF!="Other")),1,0)</formula>
    </cfRule>
  </conditionalFormatting>
  <conditionalFormatting sqref="E58:F58">
    <cfRule type="expression" dxfId="636" priority="718">
      <formula>IF(OR(AND(E58="",F58="",OR(G58="Critical",G58="Major",G58="Minor"))),1,0)</formula>
    </cfRule>
  </conditionalFormatting>
  <conditionalFormatting sqref="F58">
    <cfRule type="expression" dxfId="635" priority="717">
      <formula>IF(AND(F58="",OR(E58="Accuracy",E58="Fluency",E58="Segment",E58="Other")),1,0)</formula>
    </cfRule>
  </conditionalFormatting>
  <conditionalFormatting sqref="G59">
    <cfRule type="expression" dxfId="634" priority="715">
      <formula>IF(OR(AND(G59="",H59="",OR(I59="Critical",I59="Major",I59="Minor"))),1,0)</formula>
    </cfRule>
  </conditionalFormatting>
  <conditionalFormatting sqref="G59">
    <cfRule type="expression" dxfId="633" priority="716">
      <formula>IF(AND(OR(G59="",#REF!="Segment"),OR(#REF!="Accuracy",#REF!="Fluency",#REF!="Other")),1,0)</formula>
    </cfRule>
  </conditionalFormatting>
  <conditionalFormatting sqref="E59:F59">
    <cfRule type="expression" dxfId="632" priority="714">
      <formula>IF(OR(AND(E59="",F59="",OR(G59="Critical",G59="Major",G59="Minor"))),1,0)</formula>
    </cfRule>
  </conditionalFormatting>
  <conditionalFormatting sqref="F59">
    <cfRule type="expression" dxfId="631" priority="713">
      <formula>IF(AND(F59="",OR(E59="Accuracy",E59="Fluency",E59="Segment",E59="Other")),1,0)</formula>
    </cfRule>
  </conditionalFormatting>
  <conditionalFormatting sqref="E60:G60">
    <cfRule type="expression" dxfId="630" priority="711">
      <formula>IF(OR(AND(E60="",F60="",OR(G60="Critical",G60="Major",G60="Minor"))),1,0)</formula>
    </cfRule>
  </conditionalFormatting>
  <conditionalFormatting sqref="F60">
    <cfRule type="expression" dxfId="629" priority="710">
      <formula>IF(AND(F60="",OR(E60="Accuracy",E60="Fluency",E60="Segment",E60="Other")),1,0)</formula>
    </cfRule>
  </conditionalFormatting>
  <conditionalFormatting sqref="G60">
    <cfRule type="expression" dxfId="628" priority="712">
      <formula>IF(AND(OR(G60="",#REF!="Segment"),OR(#REF!="Accuracy",#REF!="Fluency",#REF!="Other")),1,0)</formula>
    </cfRule>
  </conditionalFormatting>
  <conditionalFormatting sqref="E65:G65">
    <cfRule type="expression" dxfId="627" priority="708">
      <formula>IF(OR(AND(E65="",F65="",OR(G65="Critical",G65="Major",G65="Minor"))),1,0)</formula>
    </cfRule>
  </conditionalFormatting>
  <conditionalFormatting sqref="F65">
    <cfRule type="expression" dxfId="626" priority="707">
      <formula>IF(AND(F65="",OR(E65="Accuracy",E65="Fluency",E65="Segment",E65="Other")),1,0)</formula>
    </cfRule>
  </conditionalFormatting>
  <conditionalFormatting sqref="G65">
    <cfRule type="expression" dxfId="625" priority="709">
      <formula>IF(AND(OR(G65="",#REF!="Segment"),OR(#REF!="Accuracy",#REF!="Fluency",#REF!="Other")),1,0)</formula>
    </cfRule>
  </conditionalFormatting>
  <conditionalFormatting sqref="G66:G67">
    <cfRule type="expression" dxfId="624" priority="705">
      <formula>IF(OR(AND(G66="",H66="",OR(I66="Critical",I66="Major",I66="Minor"))),1,0)</formula>
    </cfRule>
  </conditionalFormatting>
  <conditionalFormatting sqref="G66:G67">
    <cfRule type="expression" dxfId="623" priority="706">
      <formula>IF(AND(OR(G66="",#REF!="Segment"),OR(#REF!="Accuracy",#REF!="Fluency",#REF!="Other")),1,0)</formula>
    </cfRule>
  </conditionalFormatting>
  <conditionalFormatting sqref="E69:G69">
    <cfRule type="expression" dxfId="622" priority="702">
      <formula>IF(OR(AND(E69="",F69="",OR(G69="Critical",G69="Major",G69="Minor"))),1,0)</formula>
    </cfRule>
  </conditionalFormatting>
  <conditionalFormatting sqref="F69">
    <cfRule type="expression" dxfId="621" priority="701">
      <formula>IF(AND(F69="",OR(E69="Accuracy",E69="Fluency",E69="Segment",E69="Other")),1,0)</formula>
    </cfRule>
  </conditionalFormatting>
  <conditionalFormatting sqref="G69">
    <cfRule type="expression" dxfId="620" priority="703">
      <formula>IF(AND(OR(G69="",#REF!="Segment"),OR(#REF!="Accuracy",#REF!="Fluency",#REF!="Other")),1,0)</formula>
    </cfRule>
  </conditionalFormatting>
  <conditionalFormatting sqref="E70:G70">
    <cfRule type="expression" dxfId="619" priority="699">
      <formula>IF(OR(AND(E70="",F70="",OR(G70="Critical",G70="Major",G70="Minor"))),1,0)</formula>
    </cfRule>
  </conditionalFormatting>
  <conditionalFormatting sqref="F70">
    <cfRule type="expression" dxfId="618" priority="698">
      <formula>IF(AND(F70="",OR(E70="Accuracy",E70="Fluency",E70="Segment",E70="Other")),1,0)</formula>
    </cfRule>
  </conditionalFormatting>
  <conditionalFormatting sqref="G70">
    <cfRule type="expression" dxfId="617" priority="700">
      <formula>IF(AND(OR(G70="",#REF!="Segment"),OR(#REF!="Accuracy",#REF!="Fluency",#REF!="Other")),1,0)</formula>
    </cfRule>
  </conditionalFormatting>
  <conditionalFormatting sqref="E71:G71">
    <cfRule type="expression" dxfId="616" priority="696">
      <formula>IF(OR(AND(E71="",F71="",OR(G71="Critical",G71="Major",G71="Minor"))),1,0)</formula>
    </cfRule>
  </conditionalFormatting>
  <conditionalFormatting sqref="F71">
    <cfRule type="expression" dxfId="615" priority="695">
      <formula>IF(AND(F71="",OR(E71="Accuracy",E71="Fluency",E71="Segment",E71="Other")),1,0)</formula>
    </cfRule>
  </conditionalFormatting>
  <conditionalFormatting sqref="G71">
    <cfRule type="expression" dxfId="614" priority="697">
      <formula>IF(AND(OR(G71="",#REF!="Segment"),OR(#REF!="Accuracy",#REF!="Fluency",#REF!="Other")),1,0)</formula>
    </cfRule>
  </conditionalFormatting>
  <conditionalFormatting sqref="G73">
    <cfRule type="expression" dxfId="613" priority="693">
      <formula>IF(OR(AND(G73="",H73="",OR(I73="Critical",I73="Major",I73="Minor"))),1,0)</formula>
    </cfRule>
  </conditionalFormatting>
  <conditionalFormatting sqref="G73">
    <cfRule type="expression" dxfId="612" priority="694">
      <formula>IF(AND(OR(G73="",#REF!="Segment"),OR(#REF!="Accuracy",#REF!="Fluency",#REF!="Other")),1,0)</formula>
    </cfRule>
  </conditionalFormatting>
  <conditionalFormatting sqref="G74">
    <cfRule type="expression" dxfId="611" priority="689">
      <formula>IF(OR(AND(G74="",H74="",OR(I74="Critical",I74="Major",I74="Minor"))),1,0)</formula>
    </cfRule>
  </conditionalFormatting>
  <conditionalFormatting sqref="G74">
    <cfRule type="expression" dxfId="610" priority="690">
      <formula>IF(AND(OR(G74="",#REF!="Segment"),OR(#REF!="Accuracy",#REF!="Fluency",#REF!="Other")),1,0)</formula>
    </cfRule>
  </conditionalFormatting>
  <conditionalFormatting sqref="G75:G76">
    <cfRule type="expression" dxfId="609" priority="685">
      <formula>IF(OR(AND(G75="",H75="",OR(I75="Critical",I75="Major",I75="Minor"))),1,0)</formula>
    </cfRule>
  </conditionalFormatting>
  <conditionalFormatting sqref="G75:G76">
    <cfRule type="expression" dxfId="608" priority="686">
      <formula>IF(AND(OR(G75="",#REF!="Segment"),OR(#REF!="Accuracy",#REF!="Fluency",#REF!="Other")),1,0)</formula>
    </cfRule>
  </conditionalFormatting>
  <conditionalFormatting sqref="E76:F76">
    <cfRule type="expression" dxfId="607" priority="684">
      <formula>IF(OR(AND(E76="",F76="",OR(G76="Critical",G76="Major",G76="Minor"))),1,0)</formula>
    </cfRule>
  </conditionalFormatting>
  <conditionalFormatting sqref="F76">
    <cfRule type="expression" dxfId="606" priority="683">
      <formula>IF(AND(F76="",OR(E76="Accuracy",E76="Fluency",E76="Segment",E76="Other")),1,0)</formula>
    </cfRule>
  </conditionalFormatting>
  <conditionalFormatting sqref="E77:G77">
    <cfRule type="expression" dxfId="605" priority="681">
      <formula>IF(OR(AND(E77="",F77="",OR(G77="Critical",G77="Major",G77="Minor"))),1,0)</formula>
    </cfRule>
  </conditionalFormatting>
  <conditionalFormatting sqref="F77">
    <cfRule type="expression" dxfId="604" priority="680">
      <formula>IF(AND(F77="",OR(E77="Accuracy",E77="Fluency",E77="Segment",E77="Other")),1,0)</formula>
    </cfRule>
  </conditionalFormatting>
  <conditionalFormatting sqref="G77">
    <cfRule type="expression" dxfId="603" priority="682">
      <formula>IF(AND(OR(G77="",#REF!="Segment"),OR(#REF!="Accuracy",#REF!="Fluency",#REF!="Other")),1,0)</formula>
    </cfRule>
  </conditionalFormatting>
  <conditionalFormatting sqref="E78:G79">
    <cfRule type="expression" dxfId="602" priority="678">
      <formula>IF(OR(AND(E78="",F78="",OR(G78="Critical",G78="Major",G78="Minor"))),1,0)</formula>
    </cfRule>
  </conditionalFormatting>
  <conditionalFormatting sqref="F78:F79">
    <cfRule type="expression" dxfId="601" priority="677">
      <formula>IF(AND(F78="",OR(E78="Accuracy",E78="Fluency",E78="Segment",E78="Other")),1,0)</formula>
    </cfRule>
  </conditionalFormatting>
  <conditionalFormatting sqref="G78:G79">
    <cfRule type="expression" dxfId="600" priority="679">
      <formula>IF(AND(OR(G78="",#REF!="Segment"),OR(#REF!="Accuracy",#REF!="Fluency",#REF!="Other")),1,0)</formula>
    </cfRule>
  </conditionalFormatting>
  <conditionalFormatting sqref="G80">
    <cfRule type="expression" dxfId="599" priority="676">
      <formula>IF(OR(AND(G80="",H80="",OR(I81="Critical",I81="Major",I81="Minor"))),1,0)</formula>
    </cfRule>
  </conditionalFormatting>
  <conditionalFormatting sqref="E81:G81">
    <cfRule type="expression" dxfId="598" priority="674">
      <formula>IF(OR(AND(E81="",F81="",OR(G81="Critical",G81="Major",G81="Minor"))),1,0)</formula>
    </cfRule>
  </conditionalFormatting>
  <conditionalFormatting sqref="F81">
    <cfRule type="expression" dxfId="597" priority="673">
      <formula>IF(AND(F81="",OR(E81="Accuracy",E81="Fluency",E81="Segment",E81="Other")),1,0)</formula>
    </cfRule>
  </conditionalFormatting>
  <conditionalFormatting sqref="G81">
    <cfRule type="expression" dxfId="596" priority="675">
      <formula>IF(AND(OR(G81="",#REF!="Segment"),OR(#REF!="Accuracy",#REF!="Fluency",#REF!="Other")),1,0)</formula>
    </cfRule>
  </conditionalFormatting>
  <conditionalFormatting sqref="E82:G82">
    <cfRule type="expression" dxfId="595" priority="671">
      <formula>IF(OR(AND(E82="",F82="",OR(G82="Critical",G82="Major",G82="Minor"))),1,0)</formula>
    </cfRule>
  </conditionalFormatting>
  <conditionalFormatting sqref="F82">
    <cfRule type="expression" dxfId="594" priority="670">
      <formula>IF(AND(F82="",OR(E82="Accuracy",E82="Fluency",E82="Segment",E82="Other")),1,0)</formula>
    </cfRule>
  </conditionalFormatting>
  <conditionalFormatting sqref="G82">
    <cfRule type="expression" dxfId="593" priority="672">
      <formula>IF(AND(OR(G82="",#REF!="Segment"),OR(#REF!="Accuracy",#REF!="Fluency",#REF!="Other")),1,0)</formula>
    </cfRule>
  </conditionalFormatting>
  <conditionalFormatting sqref="E83:G84">
    <cfRule type="expression" dxfId="592" priority="668">
      <formula>IF(OR(AND(E83="",F83="",OR(G83="Critical",G83="Major",G83="Minor"))),1,0)</formula>
    </cfRule>
  </conditionalFormatting>
  <conditionalFormatting sqref="F83:F84">
    <cfRule type="expression" dxfId="591" priority="667">
      <formula>IF(AND(F83="",OR(E83="Accuracy",E83="Fluency",E83="Segment",E83="Other")),1,0)</formula>
    </cfRule>
  </conditionalFormatting>
  <conditionalFormatting sqref="G83:G84">
    <cfRule type="expression" dxfId="590" priority="669">
      <formula>IF(AND(OR(G83="",#REF!="Segment"),OR(#REF!="Accuracy",#REF!="Fluency",#REF!="Other")),1,0)</formula>
    </cfRule>
  </conditionalFormatting>
  <conditionalFormatting sqref="G88">
    <cfRule type="expression" dxfId="589" priority="665">
      <formula>IF(OR(AND(G88="",H88="",OR(I88="Critical",I88="Major",I88="Minor"))),1,0)</formula>
    </cfRule>
  </conditionalFormatting>
  <conditionalFormatting sqref="G88">
    <cfRule type="expression" dxfId="588" priority="666">
      <formula>IF(AND(OR(G88="",#REF!="Segment"),OR(#REF!="Accuracy",#REF!="Fluency",#REF!="Other")),1,0)</formula>
    </cfRule>
  </conditionalFormatting>
  <conditionalFormatting sqref="E90:G90">
    <cfRule type="expression" dxfId="587" priority="662">
      <formula>IF(OR(AND(E90="",F90="",OR(G90="Critical",G90="Major",G90="Minor"))),1,0)</formula>
    </cfRule>
  </conditionalFormatting>
  <conditionalFormatting sqref="F90">
    <cfRule type="expression" dxfId="586" priority="661">
      <formula>IF(AND(F90="",OR(E90="Accuracy",E90="Fluency",E90="Segment",E90="Other")),1,0)</formula>
    </cfRule>
  </conditionalFormatting>
  <conditionalFormatting sqref="G90">
    <cfRule type="expression" dxfId="585" priority="663">
      <formula>IF(AND(OR(G90="",#REF!="Segment"),OR(#REF!="Accuracy",#REF!="Fluency",#REF!="Other")),1,0)</formula>
    </cfRule>
  </conditionalFormatting>
  <conditionalFormatting sqref="E91:G95">
    <cfRule type="expression" dxfId="584" priority="659">
      <formula>IF(OR(AND(E91="",F91="",OR(G91="Critical",G91="Major",G91="Minor"))),1,0)</formula>
    </cfRule>
  </conditionalFormatting>
  <conditionalFormatting sqref="F91:F95">
    <cfRule type="expression" dxfId="583" priority="658">
      <formula>IF(AND(F91="",OR(E91="Accuracy",E91="Fluency",E91="Segment",E91="Other")),1,0)</formula>
    </cfRule>
  </conditionalFormatting>
  <conditionalFormatting sqref="G91:G95">
    <cfRule type="expression" dxfId="582" priority="660">
      <formula>IF(AND(OR(G91="",#REF!="Segment"),OR(#REF!="Accuracy",#REF!="Fluency",#REF!="Other")),1,0)</formula>
    </cfRule>
  </conditionalFormatting>
  <conditionalFormatting sqref="E99:G99">
    <cfRule type="expression" dxfId="581" priority="656">
      <formula>IF(OR(AND(E99="",F99="",OR(G99="Critical",G99="Major",G99="Minor"))),1,0)</formula>
    </cfRule>
  </conditionalFormatting>
  <conditionalFormatting sqref="F99">
    <cfRule type="expression" dxfId="580" priority="655">
      <formula>IF(AND(F99="",OR(E99="Accuracy",E99="Fluency",E99="Segment",E99="Other")),1,0)</formula>
    </cfRule>
  </conditionalFormatting>
  <conditionalFormatting sqref="G99">
    <cfRule type="expression" dxfId="579" priority="657">
      <formula>IF(AND(OR(G99="",#REF!="Segment"),OR(#REF!="Accuracy",#REF!="Fluency",#REF!="Other")),1,0)</formula>
    </cfRule>
  </conditionalFormatting>
  <conditionalFormatting sqref="E100:G101">
    <cfRule type="expression" dxfId="578" priority="653">
      <formula>IF(OR(AND(E100="",F100="",OR(G100="Critical",G100="Major",G100="Minor"))),1,0)</formula>
    </cfRule>
  </conditionalFormatting>
  <conditionalFormatting sqref="F100:F101">
    <cfRule type="expression" dxfId="577" priority="652">
      <formula>IF(AND(F100="",OR(E100="Accuracy",E100="Fluency",E100="Segment",E100="Other")),1,0)</formula>
    </cfRule>
  </conditionalFormatting>
  <conditionalFormatting sqref="G100:G101">
    <cfRule type="expression" dxfId="576" priority="654">
      <formula>IF(AND(OR(G100="",#REF!="Segment"),OR(#REF!="Accuracy",#REF!="Fluency",#REF!="Other")),1,0)</formula>
    </cfRule>
  </conditionalFormatting>
  <conditionalFormatting sqref="E102:G102">
    <cfRule type="expression" dxfId="575" priority="650">
      <formula>IF(OR(AND(E102="",F102="",OR(G102="Critical",G102="Major",G102="Minor"))),1,0)</formula>
    </cfRule>
  </conditionalFormatting>
  <conditionalFormatting sqref="F102">
    <cfRule type="expression" dxfId="574" priority="649">
      <formula>IF(AND(F102="",OR(E102="Accuracy",E102="Fluency",E102="Segment",E102="Other")),1,0)</formula>
    </cfRule>
  </conditionalFormatting>
  <conditionalFormatting sqref="G102">
    <cfRule type="expression" dxfId="573" priority="651">
      <formula>IF(AND(OR(G102="",#REF!="Segment"),OR(#REF!="Accuracy",#REF!="Fluency",#REF!="Other")),1,0)</formula>
    </cfRule>
  </conditionalFormatting>
  <conditionalFormatting sqref="E104:G104 G103">
    <cfRule type="expression" dxfId="572" priority="647">
      <formula>IF(OR(AND(E103="",F103="",OR(G103="Critical",G103="Major",G103="Minor"))),1,0)</formula>
    </cfRule>
  </conditionalFormatting>
  <conditionalFormatting sqref="F104">
    <cfRule type="expression" dxfId="571" priority="646">
      <formula>IF(AND(F104="",OR(E104="Accuracy",E104="Fluency",E104="Segment",E104="Other")),1,0)</formula>
    </cfRule>
  </conditionalFormatting>
  <conditionalFormatting sqref="G103:G104">
    <cfRule type="expression" dxfId="570" priority="648">
      <formula>IF(AND(OR(G103="",#REF!="Segment"),OR(#REF!="Accuracy",#REF!="Fluency",#REF!="Other")),1,0)</formula>
    </cfRule>
  </conditionalFormatting>
  <conditionalFormatting sqref="E105:G105">
    <cfRule type="expression" dxfId="569" priority="644">
      <formula>IF(OR(AND(E105="",F105="",OR(G105="Critical",G105="Major",G105="Minor"))),1,0)</formula>
    </cfRule>
  </conditionalFormatting>
  <conditionalFormatting sqref="F105">
    <cfRule type="expression" dxfId="568" priority="643">
      <formula>IF(AND(F105="",OR(E105="Accuracy",E105="Fluency",E105="Segment",E105="Other")),1,0)</formula>
    </cfRule>
  </conditionalFormatting>
  <conditionalFormatting sqref="G105">
    <cfRule type="expression" dxfId="567" priority="645">
      <formula>IF(AND(OR(G105="",#REF!="Segment"),OR(#REF!="Accuracy",#REF!="Fluency",#REF!="Other")),1,0)</formula>
    </cfRule>
  </conditionalFormatting>
  <conditionalFormatting sqref="E106:G106">
    <cfRule type="expression" dxfId="566" priority="641">
      <formula>IF(OR(AND(E106="",F106="",OR(G106="Critical",G106="Major",G106="Minor"))),1,0)</formula>
    </cfRule>
  </conditionalFormatting>
  <conditionalFormatting sqref="F106">
    <cfRule type="expression" dxfId="565" priority="640">
      <formula>IF(AND(F106="",OR(E106="Accuracy",E106="Fluency",E106="Segment",E106="Other")),1,0)</formula>
    </cfRule>
  </conditionalFormatting>
  <conditionalFormatting sqref="G106">
    <cfRule type="expression" dxfId="564" priority="642">
      <formula>IF(AND(OR(G106="",#REF!="Segment"),OR(#REF!="Accuracy",#REF!="Fluency",#REF!="Other")),1,0)</formula>
    </cfRule>
  </conditionalFormatting>
  <conditionalFormatting sqref="G108">
    <cfRule type="expression" dxfId="563" priority="638">
      <formula>IF(OR(AND(G108="",H108="",OR(I108="Critical",I108="Major",I108="Minor"))),1,0)</formula>
    </cfRule>
  </conditionalFormatting>
  <conditionalFormatting sqref="G108">
    <cfRule type="expression" dxfId="562" priority="639">
      <formula>IF(AND(OR(G108="",#REF!="Segment"),OR(#REF!="Accuracy",#REF!="Fluency",#REF!="Other")),1,0)</formula>
    </cfRule>
  </conditionalFormatting>
  <conditionalFormatting sqref="E109:G109">
    <cfRule type="expression" dxfId="561" priority="635">
      <formula>IF(OR(AND(E109="",F109="",OR(G109="Critical",G109="Major",G109="Minor"))),1,0)</formula>
    </cfRule>
  </conditionalFormatting>
  <conditionalFormatting sqref="F109">
    <cfRule type="expression" dxfId="560" priority="634">
      <formula>IF(AND(F109="",OR(E109="Accuracy",E109="Fluency",E109="Segment",E109="Other")),1,0)</formula>
    </cfRule>
  </conditionalFormatting>
  <conditionalFormatting sqref="G109">
    <cfRule type="expression" dxfId="559" priority="636">
      <formula>IF(AND(OR(G109="",#REF!="Segment"),OR(#REF!="Accuracy",#REF!="Fluency",#REF!="Other")),1,0)</formula>
    </cfRule>
  </conditionalFormatting>
  <conditionalFormatting sqref="E110:G110">
    <cfRule type="expression" dxfId="558" priority="632">
      <formula>IF(OR(AND(E110="",F110="",OR(G110="Critical",G110="Major",G110="Minor"))),1,0)</formula>
    </cfRule>
  </conditionalFormatting>
  <conditionalFormatting sqref="F110">
    <cfRule type="expression" dxfId="557" priority="631">
      <formula>IF(AND(F110="",OR(E110="Accuracy",E110="Fluency",E110="Segment",E110="Other")),1,0)</formula>
    </cfRule>
  </conditionalFormatting>
  <conditionalFormatting sqref="G110">
    <cfRule type="expression" dxfId="556" priority="633">
      <formula>IF(AND(OR(G110="",#REF!="Segment"),OR(#REF!="Accuracy",#REF!="Fluency",#REF!="Other")),1,0)</formula>
    </cfRule>
  </conditionalFormatting>
  <conditionalFormatting sqref="E111:G111">
    <cfRule type="expression" dxfId="555" priority="629">
      <formula>IF(OR(AND(E111="",F111="",OR(G111="Critical",G111="Major",G111="Minor"))),1,0)</formula>
    </cfRule>
  </conditionalFormatting>
  <conditionalFormatting sqref="F111">
    <cfRule type="expression" dxfId="554" priority="628">
      <formula>IF(AND(F111="",OR(E111="Accuracy",E111="Fluency",E111="Segment",E111="Other")),1,0)</formula>
    </cfRule>
  </conditionalFormatting>
  <conditionalFormatting sqref="G111">
    <cfRule type="expression" dxfId="553" priority="630">
      <formula>IF(AND(OR(G111="",#REF!="Segment"),OR(#REF!="Accuracy",#REF!="Fluency",#REF!="Other")),1,0)</formula>
    </cfRule>
  </conditionalFormatting>
  <conditionalFormatting sqref="G112">
    <cfRule type="expression" dxfId="552" priority="626">
      <formula>IF(OR(AND(G112="",H112="",OR(I112="Critical",I112="Major",I112="Minor"))),1,0)</formula>
    </cfRule>
  </conditionalFormatting>
  <conditionalFormatting sqref="G112">
    <cfRule type="expression" dxfId="551" priority="627">
      <formula>IF(AND(OR(G112="",#REF!="Segment"),OR(#REF!="Accuracy",#REF!="Fluency",#REF!="Other")),1,0)</formula>
    </cfRule>
  </conditionalFormatting>
  <conditionalFormatting sqref="G113">
    <cfRule type="expression" dxfId="550" priority="623">
      <formula>IF(OR(AND(G113="",H113="",OR(I113="Critical",I113="Major",I113="Minor"))),1,0)</formula>
    </cfRule>
  </conditionalFormatting>
  <conditionalFormatting sqref="G113">
    <cfRule type="expression" dxfId="549" priority="624">
      <formula>IF(AND(OR(G113="",#REF!="Segment"),OR(#REF!="Accuracy",#REF!="Fluency",#REF!="Other")),1,0)</formula>
    </cfRule>
  </conditionalFormatting>
  <conditionalFormatting sqref="G114">
    <cfRule type="expression" dxfId="548" priority="620">
      <formula>IF(OR(AND(G114="",H114="",OR(I114="Critical",I114="Major",I114="Minor"))),1,0)</formula>
    </cfRule>
  </conditionalFormatting>
  <conditionalFormatting sqref="G114">
    <cfRule type="expression" dxfId="547" priority="621">
      <formula>IF(AND(OR(G114="",#REF!="Segment"),OR(#REF!="Accuracy",#REF!="Fluency",#REF!="Other")),1,0)</formula>
    </cfRule>
  </conditionalFormatting>
  <conditionalFormatting sqref="E115:G115">
    <cfRule type="expression" dxfId="546" priority="617">
      <formula>IF(OR(AND(E115="",F115="",OR(G115="Critical",G115="Major",G115="Minor"))),1,0)</formula>
    </cfRule>
  </conditionalFormatting>
  <conditionalFormatting sqref="F115">
    <cfRule type="expression" dxfId="545" priority="616">
      <formula>IF(AND(F115="",OR(E115="Accuracy",E115="Fluency",E115="Segment",E115="Other")),1,0)</formula>
    </cfRule>
  </conditionalFormatting>
  <conditionalFormatting sqref="G115">
    <cfRule type="expression" dxfId="544" priority="618">
      <formula>IF(AND(OR(G115="",#REF!="Segment"),OR(#REF!="Accuracy",#REF!="Fluency",#REF!="Other")),1,0)</formula>
    </cfRule>
  </conditionalFormatting>
  <conditionalFormatting sqref="F116">
    <cfRule type="expression" dxfId="543" priority="613">
      <formula>IF(AND(F116="",OR(E116="Accuracy",E116="Fluency",E116="Segment",E116="Other")),1,0)</formula>
    </cfRule>
  </conditionalFormatting>
  <conditionalFormatting sqref="E116:G116 G117">
    <cfRule type="expression" dxfId="542" priority="614">
      <formula>IF(OR(AND(E116="",F116="",OR(G116="Critical",G116="Major",G116="Minor"))),1,0)</formula>
    </cfRule>
  </conditionalFormatting>
  <conditionalFormatting sqref="G116:G117">
    <cfRule type="expression" dxfId="541" priority="615">
      <formula>IF(AND(OR(G116="",#REF!="Segment"),OR(#REF!="Accuracy",#REF!="Fluency",#REF!="Other")),1,0)</formula>
    </cfRule>
  </conditionalFormatting>
  <conditionalFormatting sqref="E124:G126 G121:G123">
    <cfRule type="expression" dxfId="540" priority="611">
      <formula>IF(OR(AND(E121="",F121="",OR(G121="Critical",G121="Major",G121="Minor"))),1,0)</formula>
    </cfRule>
  </conditionalFormatting>
  <conditionalFormatting sqref="F124:F126">
    <cfRule type="expression" dxfId="539" priority="610">
      <formula>IF(AND(F124="",OR(E124="Accuracy",E124="Fluency",E124="Segment",E124="Other")),1,0)</formula>
    </cfRule>
  </conditionalFormatting>
  <conditionalFormatting sqref="G121:G126">
    <cfRule type="expression" dxfId="538" priority="612">
      <formula>IF(AND(OR(G121="",#REF!="Segment"),OR(#REF!="Accuracy",#REF!="Fluency",#REF!="Other")),1,0)</formula>
    </cfRule>
  </conditionalFormatting>
  <conditionalFormatting sqref="G128">
    <cfRule type="expression" dxfId="537" priority="608">
      <formula>IF(OR(AND(G128="",H128="",OR(I128="Critical",I128="Major",I128="Minor"))),1,0)</formula>
    </cfRule>
  </conditionalFormatting>
  <conditionalFormatting sqref="G128">
    <cfRule type="expression" dxfId="536" priority="609">
      <formula>IF(AND(OR(G128="",#REF!="Segment"),OR(#REF!="Accuracy",#REF!="Fluency",#REF!="Other")),1,0)</formula>
    </cfRule>
  </conditionalFormatting>
  <conditionalFormatting sqref="G129">
    <cfRule type="expression" dxfId="535" priority="605">
      <formula>IF(OR(AND(G129="",H129="",OR(I129="Critical",I129="Major",I129="Minor"))),1,0)</formula>
    </cfRule>
  </conditionalFormatting>
  <conditionalFormatting sqref="G129">
    <cfRule type="expression" dxfId="534" priority="606">
      <formula>IF(AND(OR(G129="",#REF!="Segment"),OR(#REF!="Accuracy",#REF!="Fluency",#REF!="Other")),1,0)</formula>
    </cfRule>
  </conditionalFormatting>
  <conditionalFormatting sqref="E131:G131">
    <cfRule type="expression" dxfId="533" priority="602">
      <formula>IF(OR(AND(E131="",F131="",OR(G131="Critical",G131="Major",G131="Minor"))),1,0)</formula>
    </cfRule>
  </conditionalFormatting>
  <conditionalFormatting sqref="F131">
    <cfRule type="expression" dxfId="532" priority="601">
      <formula>IF(AND(F131="",OR(E131="Accuracy",E131="Fluency",E131="Segment",E131="Other")),1,0)</formula>
    </cfRule>
  </conditionalFormatting>
  <conditionalFormatting sqref="G131">
    <cfRule type="expression" dxfId="531" priority="603">
      <formula>IF(AND(OR(G131="",#REF!="Segment"),OR(#REF!="Accuracy",#REF!="Fluency",#REF!="Other")),1,0)</formula>
    </cfRule>
  </conditionalFormatting>
  <conditionalFormatting sqref="E132:G132">
    <cfRule type="expression" dxfId="530" priority="599">
      <formula>IF(OR(AND(E132="",F132="",OR(G132="Critical",G132="Major",G132="Minor"))),1,0)</formula>
    </cfRule>
  </conditionalFormatting>
  <conditionalFormatting sqref="F132">
    <cfRule type="expression" dxfId="529" priority="598">
      <formula>IF(AND(F132="",OR(E132="Accuracy",E132="Fluency",E132="Segment",E132="Other")),1,0)</formula>
    </cfRule>
  </conditionalFormatting>
  <conditionalFormatting sqref="G132">
    <cfRule type="expression" dxfId="528" priority="600">
      <formula>IF(AND(OR(G132="",#REF!="Segment"),OR(#REF!="Accuracy",#REF!="Fluency",#REF!="Other")),1,0)</formula>
    </cfRule>
  </conditionalFormatting>
  <conditionalFormatting sqref="G134">
    <cfRule type="expression" dxfId="527" priority="596">
      <formula>IF(OR(AND(G134="",H134="",OR(I134="Critical",I134="Major",I134="Minor"))),1,0)</formula>
    </cfRule>
  </conditionalFormatting>
  <conditionalFormatting sqref="G134">
    <cfRule type="expression" dxfId="526" priority="597">
      <formula>IF(AND(OR(G134="",#REF!="Segment"),OR(#REF!="Accuracy",#REF!="Fluency",#REF!="Other")),1,0)</formula>
    </cfRule>
  </conditionalFormatting>
  <conditionalFormatting sqref="E136:G136">
    <cfRule type="expression" dxfId="525" priority="593">
      <formula>IF(OR(AND(E136="",F136="",OR(G136="Critical",G136="Major",G136="Minor"))),1,0)</formula>
    </cfRule>
  </conditionalFormatting>
  <conditionalFormatting sqref="F136">
    <cfRule type="expression" dxfId="524" priority="592">
      <formula>IF(AND(F136="",OR(E136="Accuracy",E136="Fluency",E136="Segment",E136="Other")),1,0)</formula>
    </cfRule>
  </conditionalFormatting>
  <conditionalFormatting sqref="G136">
    <cfRule type="expression" dxfId="523" priority="594">
      <formula>IF(AND(OR(G136="",#REF!="Segment"),OR(#REF!="Accuracy",#REF!="Fluency",#REF!="Other")),1,0)</formula>
    </cfRule>
  </conditionalFormatting>
  <conditionalFormatting sqref="E137:G137">
    <cfRule type="expression" dxfId="522" priority="590">
      <formula>IF(OR(AND(E137="",F137="",OR(G137="Critical",G137="Major",G137="Minor"))),1,0)</formula>
    </cfRule>
  </conditionalFormatting>
  <conditionalFormatting sqref="F137">
    <cfRule type="expression" dxfId="521" priority="589">
      <formula>IF(AND(F137="",OR(E137="Accuracy",E137="Fluency",E137="Segment",E137="Other")),1,0)</formula>
    </cfRule>
  </conditionalFormatting>
  <conditionalFormatting sqref="G137">
    <cfRule type="expression" dxfId="520" priority="591">
      <formula>IF(AND(OR(G137="",#REF!="Segment"),OR(#REF!="Accuracy",#REF!="Fluency",#REF!="Other")),1,0)</formula>
    </cfRule>
  </conditionalFormatting>
  <conditionalFormatting sqref="E141:G141">
    <cfRule type="expression" dxfId="519" priority="587">
      <formula>IF(OR(AND(E141="",F141="",OR(G141="Critical",G141="Major",G141="Minor"))),1,0)</formula>
    </cfRule>
  </conditionalFormatting>
  <conditionalFormatting sqref="F141">
    <cfRule type="expression" dxfId="518" priority="586">
      <formula>IF(AND(F141="",OR(E141="Accuracy",E141="Fluency",E141="Segment",E141="Other")),1,0)</formula>
    </cfRule>
  </conditionalFormatting>
  <conditionalFormatting sqref="G141">
    <cfRule type="expression" dxfId="517" priority="588">
      <formula>IF(AND(OR(G141="",#REF!="Segment"),OR(#REF!="Accuracy",#REF!="Fluency",#REF!="Other")),1,0)</formula>
    </cfRule>
  </conditionalFormatting>
  <conditionalFormatting sqref="E208:G208 E202:G203 E206:G206 E193:G193 E190:G190 E182:G184 E180:G180 E171:G172 E157:G158 E152:E154 G148 F145:G146 G155:G156 E163:G165 G159:G162 G166:G167 G170 G173 G179 E186:G186 G185 G189 G192 G204 G142:G144">
    <cfRule type="expression" dxfId="516" priority="585">
      <formula>IF(OR(AND(E142="",F142="",OR(G142="Critical",G142="Major",G142="Minor"))),1,0)</formula>
    </cfRule>
  </conditionalFormatting>
  <conditionalFormatting sqref="F208 F202:F203 F206 F193 F190 F182:F184 F180 F171:F172 F152:F154 F145:F146 F157:F158 F163:F165 F186">
    <cfRule type="expression" dxfId="515" priority="584">
      <formula>IF(AND(F145="",OR(E145="Accuracy",E145="Fluency",E145="Segment",E145="Other")),1,0)</formula>
    </cfRule>
  </conditionalFormatting>
  <conditionalFormatting sqref="G148 G142:G146">
    <cfRule type="expression" dxfId="514" priority="583">
      <formula>IF(AND(OR(G142="",E142="Segment"),OR(E142="Accuracy",E142="Fluency",E142="Other")),1,0)</formula>
    </cfRule>
  </conditionalFormatting>
  <conditionalFormatting sqref="E145:E146">
    <cfRule type="expression" dxfId="513" priority="582">
      <formula>IF(OR(AND(E145="",F145="",OR(G145="Critical",G145="Major",G145="Minor"))),1,0)</formula>
    </cfRule>
  </conditionalFormatting>
  <conditionalFormatting sqref="E148:F148">
    <cfRule type="expression" dxfId="512" priority="581">
      <formula>IF(OR(AND(E148="",F148="",OR(G148="Critical",G148="Major",G148="Minor"))),1,0)</formula>
    </cfRule>
  </conditionalFormatting>
  <conditionalFormatting sqref="F148">
    <cfRule type="expression" dxfId="511" priority="580">
      <formula>IF(AND(F148="",OR(E148="Accuracy",E148="Fluency",E148="Segment",E148="Other")),1,0)</formula>
    </cfRule>
  </conditionalFormatting>
  <conditionalFormatting sqref="G147">
    <cfRule type="expression" dxfId="510" priority="579">
      <formula>IF(OR(AND(G147="",H147="",OR(I147="Critical",I147="Major",I147="Minor"))),1,0)</formula>
    </cfRule>
  </conditionalFormatting>
  <conditionalFormatting sqref="G147">
    <cfRule type="expression" dxfId="509" priority="577">
      <formula>IF(AND(OR(G147="",E147="Segment"),OR(E147="Accuracy",E147="Fluency",E147="Other")),1,0)</formula>
    </cfRule>
  </conditionalFormatting>
  <conditionalFormatting sqref="F152:F154">
    <cfRule type="expression" dxfId="508" priority="576">
      <formula>IF(OR(AND(F152="",G152="",OR(H171="Critical",H171="Major",H171="Minor"))),1,0)</formula>
    </cfRule>
  </conditionalFormatting>
  <conditionalFormatting sqref="G149 G152:G154">
    <cfRule type="expression" dxfId="507" priority="574">
      <formula>IF(OR(AND(G149="",H149="",OR(I149="Critical",I149="Major",I149="Minor"))),1,0)</formula>
    </cfRule>
  </conditionalFormatting>
  <conditionalFormatting sqref="G149 G152:G154">
    <cfRule type="expression" dxfId="506" priority="573">
      <formula>IF(AND(OR(G149="",E149="Segment"),OR(E149="Accuracy",E149="Fluency",E149="Other")),1,0)</formula>
    </cfRule>
  </conditionalFormatting>
  <conditionalFormatting sqref="G150">
    <cfRule type="expression" dxfId="505" priority="569">
      <formula>IF(OR(AND(G150="",H150="",OR(I150="Critical",I150="Major",I150="Minor"))),1,0)</formula>
    </cfRule>
  </conditionalFormatting>
  <conditionalFormatting sqref="G150">
    <cfRule type="expression" dxfId="504" priority="568">
      <formula>IF(AND(OR(G150="",E150="Segment"),OR(E150="Accuracy",E150="Fluency",E150="Other")),1,0)</formula>
    </cfRule>
  </conditionalFormatting>
  <conditionalFormatting sqref="G151">
    <cfRule type="expression" dxfId="503" priority="564">
      <formula>IF(OR(AND(G151="",H151="",OR(I151="Critical",I151="Major",I151="Minor"))),1,0)</formula>
    </cfRule>
  </conditionalFormatting>
  <conditionalFormatting sqref="G151">
    <cfRule type="expression" dxfId="502" priority="563">
      <formula>IF(AND(OR(G151="",E151="Segment"),OR(E151="Accuracy",E151="Fluency",E151="Other")),1,0)</formula>
    </cfRule>
  </conditionalFormatting>
  <conditionalFormatting sqref="H155:H158">
    <cfRule type="expression" dxfId="501" priority="561">
      <formula>IF(OR(AND(H155="",J155="",OR(#REF!="Critical",#REF!="Major",#REF!="Minor"))),1,0)</formula>
    </cfRule>
  </conditionalFormatting>
  <conditionalFormatting sqref="G208 G202:G204 G206 G192:G193 G189:G190 G182:G186 G179:G180 G170:G173 G155:G167">
    <cfRule type="expression" dxfId="500" priority="562">
      <formula>IF(AND(OR(G155="",#REF!="Segment"),OR(#REF!="Accuracy",#REF!="Fluency",#REF!="Other")),1,0)</formula>
    </cfRule>
  </conditionalFormatting>
  <conditionalFormatting sqref="E168:G168">
    <cfRule type="expression" dxfId="499" priority="559">
      <formula>IF(OR(AND(E168="",F168="",OR(G168="Critical",G168="Major",G168="Minor"))),1,0)</formula>
    </cfRule>
  </conditionalFormatting>
  <conditionalFormatting sqref="F168">
    <cfRule type="expression" dxfId="498" priority="558">
      <formula>IF(AND(F168="",OR(E168="Accuracy",E168="Fluency",E168="Segment",E168="Other")),1,0)</formula>
    </cfRule>
  </conditionalFormatting>
  <conditionalFormatting sqref="G168">
    <cfRule type="expression" dxfId="497" priority="560">
      <formula>IF(AND(OR(G168="",#REF!="Segment"),OR(#REF!="Accuracy",#REF!="Fluency",#REF!="Other")),1,0)</formula>
    </cfRule>
  </conditionalFormatting>
  <conditionalFormatting sqref="E169:G169">
    <cfRule type="expression" dxfId="496" priority="556">
      <formula>IF(OR(AND(E169="",F169="",OR(G169="Critical",G169="Major",G169="Minor"))),1,0)</formula>
    </cfRule>
  </conditionalFormatting>
  <conditionalFormatting sqref="F169">
    <cfRule type="expression" dxfId="495" priority="555">
      <formula>IF(AND(F169="",OR(E169="Accuracy",E169="Fluency",E169="Segment",E169="Other")),1,0)</formula>
    </cfRule>
  </conditionalFormatting>
  <conditionalFormatting sqref="G169">
    <cfRule type="expression" dxfId="494" priority="557">
      <formula>IF(AND(OR(G169="",#REF!="Segment"),OR(#REF!="Accuracy",#REF!="Fluency",#REF!="Other")),1,0)</formula>
    </cfRule>
  </conditionalFormatting>
  <conditionalFormatting sqref="E174:G174">
    <cfRule type="expression" dxfId="493" priority="553">
      <formula>IF(OR(AND(E174="",F174="",OR(G174="Critical",G174="Major",G174="Minor"))),1,0)</formula>
    </cfRule>
  </conditionalFormatting>
  <conditionalFormatting sqref="F174">
    <cfRule type="expression" dxfId="492" priority="552">
      <formula>IF(AND(F174="",OR(E174="Accuracy",E174="Fluency",E174="Segment",E174="Other")),1,0)</formula>
    </cfRule>
  </conditionalFormatting>
  <conditionalFormatting sqref="G174">
    <cfRule type="expression" dxfId="491" priority="554">
      <formula>IF(AND(OR(G174="",#REF!="Segment"),OR(#REF!="Accuracy",#REF!="Fluency",#REF!="Other")),1,0)</formula>
    </cfRule>
  </conditionalFormatting>
  <conditionalFormatting sqref="E175:G175">
    <cfRule type="expression" dxfId="490" priority="550">
      <formula>IF(OR(AND(E175="",F175="",OR(G175="Critical",G175="Major",G175="Minor"))),1,0)</formula>
    </cfRule>
  </conditionalFormatting>
  <conditionalFormatting sqref="F175">
    <cfRule type="expression" dxfId="489" priority="549">
      <formula>IF(AND(F175="",OR(E175="Accuracy",E175="Fluency",E175="Segment",E175="Other")),1,0)</formula>
    </cfRule>
  </conditionalFormatting>
  <conditionalFormatting sqref="G175">
    <cfRule type="expression" dxfId="488" priority="551">
      <formula>IF(AND(OR(G175="",#REF!="Segment"),OR(#REF!="Accuracy",#REF!="Fluency",#REF!="Other")),1,0)</formula>
    </cfRule>
  </conditionalFormatting>
  <conditionalFormatting sqref="E176:G176">
    <cfRule type="expression" dxfId="487" priority="547">
      <formula>IF(OR(AND(E176="",F176="",OR(G176="Critical",G176="Major",G176="Minor"))),1,0)</formula>
    </cfRule>
  </conditionalFormatting>
  <conditionalFormatting sqref="F176">
    <cfRule type="expression" dxfId="486" priority="546">
      <formula>IF(AND(F176="",OR(E176="Accuracy",E176="Fluency",E176="Segment",E176="Other")),1,0)</formula>
    </cfRule>
  </conditionalFormatting>
  <conditionalFormatting sqref="G176">
    <cfRule type="expression" dxfId="485" priority="548">
      <formula>IF(AND(OR(G176="",#REF!="Segment"),OR(#REF!="Accuracy",#REF!="Fluency",#REF!="Other")),1,0)</formula>
    </cfRule>
  </conditionalFormatting>
  <conditionalFormatting sqref="E177:G177">
    <cfRule type="expression" dxfId="484" priority="544">
      <formula>IF(OR(AND(E177="",F177="",OR(G177="Critical",G177="Major",G177="Minor"))),1,0)</formula>
    </cfRule>
  </conditionalFormatting>
  <conditionalFormatting sqref="F177">
    <cfRule type="expression" dxfId="483" priority="543">
      <formula>IF(AND(F177="",OR(E177="Accuracy",E177="Fluency",E177="Segment",E177="Other")),1,0)</formula>
    </cfRule>
  </conditionalFormatting>
  <conditionalFormatting sqref="G177">
    <cfRule type="expression" dxfId="482" priority="545">
      <formula>IF(AND(OR(G177="",#REF!="Segment"),OR(#REF!="Accuracy",#REF!="Fluency",#REF!="Other")),1,0)</formula>
    </cfRule>
  </conditionalFormatting>
  <conditionalFormatting sqref="E178:G178">
    <cfRule type="expression" dxfId="481" priority="541">
      <formula>IF(OR(AND(E178="",F178="",OR(G178="Critical",G178="Major",G178="Minor"))),1,0)</formula>
    </cfRule>
  </conditionalFormatting>
  <conditionalFormatting sqref="F178">
    <cfRule type="expression" dxfId="480" priority="540">
      <formula>IF(AND(F178="",OR(E178="Accuracy",E178="Fluency",E178="Segment",E178="Other")),1,0)</formula>
    </cfRule>
  </conditionalFormatting>
  <conditionalFormatting sqref="G178">
    <cfRule type="expression" dxfId="479" priority="542">
      <formula>IF(AND(OR(G178="",#REF!="Segment"),OR(#REF!="Accuracy",#REF!="Fluency",#REF!="Other")),1,0)</formula>
    </cfRule>
  </conditionalFormatting>
  <conditionalFormatting sqref="E181:G181">
    <cfRule type="expression" dxfId="478" priority="538">
      <formula>IF(OR(AND(E181="",F181="",OR(G181="Critical",G181="Major",G181="Minor"))),1,0)</formula>
    </cfRule>
  </conditionalFormatting>
  <conditionalFormatting sqref="F181">
    <cfRule type="expression" dxfId="477" priority="537">
      <formula>IF(AND(F181="",OR(E181="Accuracy",E181="Fluency",E181="Segment",E181="Other")),1,0)</formula>
    </cfRule>
  </conditionalFormatting>
  <conditionalFormatting sqref="G181">
    <cfRule type="expression" dxfId="476" priority="539">
      <formula>IF(AND(OR(G181="",#REF!="Segment"),OR(#REF!="Accuracy",#REF!="Fluency",#REF!="Other")),1,0)</formula>
    </cfRule>
  </conditionalFormatting>
  <conditionalFormatting sqref="E187:G187">
    <cfRule type="expression" dxfId="475" priority="535">
      <formula>IF(OR(AND(E187="",F187="",OR(G187="Critical",G187="Major",G187="Minor"))),1,0)</formula>
    </cfRule>
  </conditionalFormatting>
  <conditionalFormatting sqref="F187">
    <cfRule type="expression" dxfId="474" priority="534">
      <formula>IF(AND(F187="",OR(E187="Accuracy",E187="Fluency",E187="Segment",E187="Other")),1,0)</formula>
    </cfRule>
  </conditionalFormatting>
  <conditionalFormatting sqref="G187">
    <cfRule type="expression" dxfId="473" priority="536">
      <formula>IF(AND(OR(G187="",#REF!="Segment"),OR(#REF!="Accuracy",#REF!="Fluency",#REF!="Other")),1,0)</formula>
    </cfRule>
  </conditionalFormatting>
  <conditionalFormatting sqref="E188:G188">
    <cfRule type="expression" dxfId="472" priority="532">
      <formula>IF(OR(AND(E188="",F188="",OR(G188="Critical",G188="Major",G188="Minor"))),1,0)</formula>
    </cfRule>
  </conditionalFormatting>
  <conditionalFormatting sqref="F188">
    <cfRule type="expression" dxfId="471" priority="531">
      <formula>IF(AND(F188="",OR(E188="Accuracy",E188="Fluency",E188="Segment",E188="Other")),1,0)</formula>
    </cfRule>
  </conditionalFormatting>
  <conditionalFormatting sqref="G188">
    <cfRule type="expression" dxfId="470" priority="533">
      <formula>IF(AND(OR(G188="",#REF!="Segment"),OR(#REF!="Accuracy",#REF!="Fluency",#REF!="Other")),1,0)</formula>
    </cfRule>
  </conditionalFormatting>
  <conditionalFormatting sqref="E191:G191">
    <cfRule type="expression" dxfId="469" priority="529">
      <formula>IF(OR(AND(E191="",F191="",OR(G191="Critical",G191="Major",G191="Minor"))),1,0)</formula>
    </cfRule>
  </conditionalFormatting>
  <conditionalFormatting sqref="F191">
    <cfRule type="expression" dxfId="468" priority="528">
      <formula>IF(AND(F191="",OR(E191="Accuracy",E191="Fluency",E191="Segment",E191="Other")),1,0)</formula>
    </cfRule>
  </conditionalFormatting>
  <conditionalFormatting sqref="G191">
    <cfRule type="expression" dxfId="467" priority="530">
      <formula>IF(AND(OR(G191="",#REF!="Segment"),OR(#REF!="Accuracy",#REF!="Fluency",#REF!="Other")),1,0)</formula>
    </cfRule>
  </conditionalFormatting>
  <conditionalFormatting sqref="G194">
    <cfRule type="expression" dxfId="466" priority="525">
      <formula>IF(AND(OR(G194="",#REF!="Segment"),OR(#REF!="Accuracy",#REF!="Fluency",#REF!="Other")),1,0)</formula>
    </cfRule>
  </conditionalFormatting>
  <conditionalFormatting sqref="G194">
    <cfRule type="expression" dxfId="465" priority="526">
      <formula>IF(OR(AND(G194="",H193="",OR(I194="Critical",I194="Major",I194="Minor"))),1,0)</formula>
    </cfRule>
  </conditionalFormatting>
  <conditionalFormatting sqref="G195">
    <cfRule type="expression" dxfId="464" priority="520">
      <formula>IF(AND(OR(G195="",#REF!="Segment"),OR(#REF!="Accuracy",#REF!="Fluency",#REF!="Other")),1,0)</formula>
    </cfRule>
  </conditionalFormatting>
  <conditionalFormatting sqref="G195">
    <cfRule type="expression" dxfId="463" priority="521">
      <formula>IF(OR(AND(G195="",H194="",OR(I195="Critical",I195="Major",I195="Minor"))),1,0)</formula>
    </cfRule>
  </conditionalFormatting>
  <conditionalFormatting sqref="E196:G196">
    <cfRule type="expression" dxfId="462" priority="516">
      <formula>IF(OR(AND(E196="",F196="",OR(G196="Critical",G196="Major",G196="Minor"))),1,0)</formula>
    </cfRule>
  </conditionalFormatting>
  <conditionalFormatting sqref="F196">
    <cfRule type="expression" dxfId="461" priority="515">
      <formula>IF(AND(F196="",OR(E196="Accuracy",E196="Fluency",E196="Segment",E196="Other")),1,0)</formula>
    </cfRule>
  </conditionalFormatting>
  <conditionalFormatting sqref="G196">
    <cfRule type="expression" dxfId="460" priority="517">
      <formula>IF(AND(OR(G196="",#REF!="Segment"),OR(#REF!="Accuracy",#REF!="Fluency",#REF!="Other")),1,0)</formula>
    </cfRule>
  </conditionalFormatting>
  <conditionalFormatting sqref="E197:G197">
    <cfRule type="expression" dxfId="459" priority="513">
      <formula>IF(OR(AND(E197="",F197="",OR(G197="Critical",G197="Major",G197="Minor"))),1,0)</formula>
    </cfRule>
  </conditionalFormatting>
  <conditionalFormatting sqref="F197">
    <cfRule type="expression" dxfId="458" priority="512">
      <formula>IF(AND(F197="",OR(E197="Accuracy",E197="Fluency",E197="Segment",E197="Other")),1,0)</formula>
    </cfRule>
  </conditionalFormatting>
  <conditionalFormatting sqref="G197">
    <cfRule type="expression" dxfId="457" priority="514">
      <formula>IF(AND(OR(G197="",#REF!="Segment"),OR(#REF!="Accuracy",#REF!="Fluency",#REF!="Other")),1,0)</formula>
    </cfRule>
  </conditionalFormatting>
  <conditionalFormatting sqref="G198">
    <cfRule type="expression" dxfId="456" priority="510">
      <formula>IF(OR(AND(G198="",H198="",OR(I198="Critical",I198="Major",I198="Minor"))),1,0)</formula>
    </cfRule>
  </conditionalFormatting>
  <conditionalFormatting sqref="G198">
    <cfRule type="expression" dxfId="455" priority="511">
      <formula>IF(AND(OR(G198="",#REF!="Segment"),OR(#REF!="Accuracy",#REF!="Fluency",#REF!="Other")),1,0)</formula>
    </cfRule>
  </conditionalFormatting>
  <conditionalFormatting sqref="G199">
    <cfRule type="expression" dxfId="454" priority="507">
      <formula>IF(OR(AND(G199="",H199="",OR(I199="Critical",I199="Major",I199="Minor"))),1,0)</formula>
    </cfRule>
  </conditionalFormatting>
  <conditionalFormatting sqref="G199">
    <cfRule type="expression" dxfId="453" priority="508">
      <formula>IF(AND(OR(G199="",#REF!="Segment"),OR(#REF!="Accuracy",#REF!="Fluency",#REF!="Other")),1,0)</formula>
    </cfRule>
  </conditionalFormatting>
  <conditionalFormatting sqref="E200:G200">
    <cfRule type="expression" dxfId="452" priority="504">
      <formula>IF(OR(AND(E200="",F200="",OR(G200="Critical",G200="Major",G200="Minor"))),1,0)</formula>
    </cfRule>
  </conditionalFormatting>
  <conditionalFormatting sqref="F200">
    <cfRule type="expression" dxfId="451" priority="503">
      <formula>IF(AND(F200="",OR(E200="Accuracy",E200="Fluency",E200="Segment",E200="Other")),1,0)</formula>
    </cfRule>
  </conditionalFormatting>
  <conditionalFormatting sqref="G200">
    <cfRule type="expression" dxfId="450" priority="505">
      <formula>IF(AND(OR(G200="",#REF!="Segment"),OR(#REF!="Accuracy",#REF!="Fluency",#REF!="Other")),1,0)</formula>
    </cfRule>
  </conditionalFormatting>
  <conditionalFormatting sqref="E201:G201">
    <cfRule type="expression" dxfId="449" priority="501">
      <formula>IF(OR(AND(E201="",F201="",OR(G201="Critical",G201="Major",G201="Minor"))),1,0)</formula>
    </cfRule>
  </conditionalFormatting>
  <conditionalFormatting sqref="F201">
    <cfRule type="expression" dxfId="448" priority="500">
      <formula>IF(AND(F201="",OR(E201="Accuracy",E201="Fluency",E201="Segment",E201="Other")),1,0)</formula>
    </cfRule>
  </conditionalFormatting>
  <conditionalFormatting sqref="G201">
    <cfRule type="expression" dxfId="447" priority="502">
      <formula>IF(AND(OR(G201="",#REF!="Segment"),OR(#REF!="Accuracy",#REF!="Fluency",#REF!="Other")),1,0)</formula>
    </cfRule>
  </conditionalFormatting>
  <conditionalFormatting sqref="G205">
    <cfRule type="expression" dxfId="446" priority="498">
      <formula>IF(OR(AND(G205="",H205="",OR(I205="Critical",I205="Major",I205="Minor"))),1,0)</formula>
    </cfRule>
  </conditionalFormatting>
  <conditionalFormatting sqref="G205">
    <cfRule type="expression" dxfId="445" priority="499">
      <formula>IF(AND(OR(G205="",#REF!="Segment"),OR(#REF!="Accuracy",#REF!="Fluency",#REF!="Other")),1,0)</formula>
    </cfRule>
  </conditionalFormatting>
  <conditionalFormatting sqref="E207:G207">
    <cfRule type="expression" dxfId="444" priority="495">
      <formula>IF(OR(AND(E207="",F207="",OR(G207="Critical",G207="Major",G207="Minor"))),1,0)</formula>
    </cfRule>
  </conditionalFormatting>
  <conditionalFormatting sqref="F207">
    <cfRule type="expression" dxfId="443" priority="494">
      <formula>IF(AND(F207="",OR(E207="Accuracy",E207="Fluency",E207="Segment",E207="Other")),1,0)</formula>
    </cfRule>
  </conditionalFormatting>
  <conditionalFormatting sqref="G207">
    <cfRule type="expression" dxfId="442" priority="496">
      <formula>IF(AND(OR(G207="",#REF!="Segment"),OR(#REF!="Accuracy",#REF!="Fluency",#REF!="Other")),1,0)</formula>
    </cfRule>
  </conditionalFormatting>
  <conditionalFormatting sqref="G209">
    <cfRule type="expression" dxfId="441" priority="492">
      <formula>IF(OR(AND(G209="",H209="",OR(I209="Critical",I209="Major",I209="Minor"))),1,0)</formula>
    </cfRule>
  </conditionalFormatting>
  <conditionalFormatting sqref="G209">
    <cfRule type="expression" dxfId="440" priority="493">
      <formula>IF(AND(OR(G209="",#REF!="Segment"),OR(#REF!="Accuracy",#REF!="Fluency",#REF!="Other")),1,0)</formula>
    </cfRule>
  </conditionalFormatting>
  <conditionalFormatting sqref="E210:G210">
    <cfRule type="expression" dxfId="439" priority="489">
      <formula>IF(OR(AND(E210="",F210="",OR(G210="Critical",G210="Major",G210="Minor"))),1,0)</formula>
    </cfRule>
  </conditionalFormatting>
  <conditionalFormatting sqref="F210">
    <cfRule type="expression" dxfId="438" priority="488">
      <formula>IF(AND(F210="",OR(E210="Accuracy",E210="Fluency",E210="Segment",E210="Other")),1,0)</formula>
    </cfRule>
  </conditionalFormatting>
  <conditionalFormatting sqref="G210">
    <cfRule type="expression" dxfId="437" priority="490">
      <formula>IF(AND(OR(G210="",#REF!="Segment"),OR(#REF!="Accuracy",#REF!="Fluency",#REF!="Other")),1,0)</formula>
    </cfRule>
  </conditionalFormatting>
  <conditionalFormatting sqref="E213:G214">
    <cfRule type="expression" dxfId="436" priority="486">
      <formula>IF(OR(AND(E213="",F213="",OR(G213="Critical",G213="Major",G213="Minor"))),1,0)</formula>
    </cfRule>
  </conditionalFormatting>
  <conditionalFormatting sqref="F213:F214">
    <cfRule type="expression" dxfId="435" priority="485">
      <formula>IF(AND(F213="",OR(E213="Accuracy",E213="Fluency",E213="Segment",E213="Other")),1,0)</formula>
    </cfRule>
  </conditionalFormatting>
  <conditionalFormatting sqref="G213:G214">
    <cfRule type="expression" dxfId="434" priority="487">
      <formula>IF(AND(OR(G213="",#REF!="Segment"),OR(#REF!="Accuracy",#REF!="Fluency",#REF!="Other")),1,0)</formula>
    </cfRule>
  </conditionalFormatting>
  <conditionalFormatting sqref="G211">
    <cfRule type="expression" dxfId="433" priority="481">
      <formula>IF(AND(OR(G211="",#REF!="Segment"),OR(#REF!="Accuracy",#REF!="Fluency",#REF!="Other")),1,0)</formula>
    </cfRule>
  </conditionalFormatting>
  <conditionalFormatting sqref="G211">
    <cfRule type="expression" dxfId="432" priority="483">
      <formula>IF(OR(AND(G211="",H210="",OR(I211="Critical",I211="Major",I211="Minor"))),1,0)</formula>
    </cfRule>
  </conditionalFormatting>
  <conditionalFormatting sqref="G212">
    <cfRule type="expression" dxfId="431" priority="476">
      <formula>IF(AND(OR(G212="",#REF!="Segment"),OR(#REF!="Accuracy",#REF!="Fluency",#REF!="Other")),1,0)</formula>
    </cfRule>
  </conditionalFormatting>
  <conditionalFormatting sqref="G212">
    <cfRule type="expression" dxfId="430" priority="478">
      <formula>IF(OR(AND(G212="",H211="",OR(I212="Critical",I212="Major",I212="Minor"))),1,0)</formula>
    </cfRule>
  </conditionalFormatting>
  <conditionalFormatting sqref="G215">
    <cfRule type="expression" dxfId="429" priority="473">
      <formula>IF(OR(AND(G215="",H215="",OR(I215="Critical",I215="Major",I215="Minor"))),1,0)</formula>
    </cfRule>
  </conditionalFormatting>
  <conditionalFormatting sqref="G215">
    <cfRule type="expression" dxfId="428" priority="474">
      <formula>IF(AND(OR(G215="",#REF!="Segment"),OR(#REF!="Accuracy",#REF!="Fluency",#REF!="Other")),1,0)</formula>
    </cfRule>
  </conditionalFormatting>
  <conditionalFormatting sqref="E216:G216">
    <cfRule type="expression" dxfId="427" priority="470">
      <formula>IF(OR(AND(E216="",F216="",OR(G216="Critical",G216="Major",G216="Minor"))),1,0)</formula>
    </cfRule>
  </conditionalFormatting>
  <conditionalFormatting sqref="F216">
    <cfRule type="expression" dxfId="426" priority="469">
      <formula>IF(AND(F216="",OR(E216="Accuracy",E216="Fluency",E216="Segment",E216="Other")),1,0)</formula>
    </cfRule>
  </conditionalFormatting>
  <conditionalFormatting sqref="G216">
    <cfRule type="expression" dxfId="425" priority="471">
      <formula>IF(AND(OR(G216="",#REF!="Segment"),OR(#REF!="Accuracy",#REF!="Fluency",#REF!="Other")),1,0)</formula>
    </cfRule>
  </conditionalFormatting>
  <conditionalFormatting sqref="E217:G217">
    <cfRule type="expression" dxfId="424" priority="467">
      <formula>IF(OR(AND(E217="",F217="",OR(G217="Critical",G217="Major",G217="Minor"))),1,0)</formula>
    </cfRule>
  </conditionalFormatting>
  <conditionalFormatting sqref="F217">
    <cfRule type="expression" dxfId="423" priority="466">
      <formula>IF(AND(F217="",OR(E217="Accuracy",E217="Fluency",E217="Segment",E217="Other")),1,0)</formula>
    </cfRule>
  </conditionalFormatting>
  <conditionalFormatting sqref="G217">
    <cfRule type="expression" dxfId="422" priority="468">
      <formula>IF(AND(OR(G217="",#REF!="Segment"),OR(#REF!="Accuracy",#REF!="Fluency",#REF!="Other")),1,0)</formula>
    </cfRule>
  </conditionalFormatting>
  <conditionalFormatting sqref="E218:G218">
    <cfRule type="expression" dxfId="421" priority="464">
      <formula>IF(OR(AND(E218="",F218="",OR(G218="Critical",G218="Major",G218="Minor"))),1,0)</formula>
    </cfRule>
  </conditionalFormatting>
  <conditionalFormatting sqref="F218">
    <cfRule type="expression" dxfId="420" priority="463">
      <formula>IF(AND(F218="",OR(E218="Accuracy",E218="Fluency",E218="Segment",E218="Other")),1,0)</formula>
    </cfRule>
  </conditionalFormatting>
  <conditionalFormatting sqref="G218">
    <cfRule type="expression" dxfId="419" priority="465">
      <formula>IF(AND(OR(G218="",#REF!="Segment"),OR(#REF!="Accuracy",#REF!="Fluency",#REF!="Other")),1,0)</formula>
    </cfRule>
  </conditionalFormatting>
  <conditionalFormatting sqref="E219:G219">
    <cfRule type="expression" dxfId="418" priority="461">
      <formula>IF(OR(AND(E219="",F219="",OR(G219="Critical",G219="Major",G219="Minor"))),1,0)</formula>
    </cfRule>
  </conditionalFormatting>
  <conditionalFormatting sqref="F219">
    <cfRule type="expression" dxfId="417" priority="460">
      <formula>IF(AND(F219="",OR(E219="Accuracy",E219="Fluency",E219="Segment",E219="Other")),1,0)</formula>
    </cfRule>
  </conditionalFormatting>
  <conditionalFormatting sqref="G219">
    <cfRule type="expression" dxfId="416" priority="462">
      <formula>IF(AND(OR(G219="",#REF!="Segment"),OR(#REF!="Accuracy",#REF!="Fluency",#REF!="Other")),1,0)</formula>
    </cfRule>
  </conditionalFormatting>
  <conditionalFormatting sqref="E286:G286 G256:G258 E254:E255 G248 G245 E241:G241 E235:G236 E227:G228 E222:G222 G220:G221 G225:G226 G239:G240">
    <cfRule type="expression" dxfId="415" priority="458">
      <formula>IF(OR(AND(E220="",F220="",OR(G220="Critical",G220="Major",G220="Minor"))),1,0)</formula>
    </cfRule>
  </conditionalFormatting>
  <conditionalFormatting sqref="F286 F241 F235:F236 F227:F228 F222">
    <cfRule type="expression" dxfId="414" priority="457">
      <formula>IF(AND(F222="",OR(E222="Accuracy",E222="Fluency",E222="Segment",E222="Other")),1,0)</formula>
    </cfRule>
  </conditionalFormatting>
  <conditionalFormatting sqref="G286 G262 G256:G258 G248 G245 G239:G241 G235:G236 G225:G228 G220:G222">
    <cfRule type="expression" dxfId="413" priority="459">
      <formula>IF(AND(OR(G220="",#REF!="Segment"),OR(#REF!="Accuracy",#REF!="Fluency",#REF!="Other")),1,0)</formula>
    </cfRule>
  </conditionalFormatting>
  <conditionalFormatting sqref="G223">
    <cfRule type="expression" dxfId="412" priority="455">
      <formula>IF(OR(AND(G223="",H223="",OR(I223="Critical",I223="Major",I223="Minor"))),1,0)</formula>
    </cfRule>
  </conditionalFormatting>
  <conditionalFormatting sqref="G223">
    <cfRule type="expression" dxfId="411" priority="456">
      <formula>IF(AND(OR(G223="",#REF!="Segment"),OR(#REF!="Accuracy",#REF!="Fluency",#REF!="Other")),1,0)</formula>
    </cfRule>
  </conditionalFormatting>
  <conditionalFormatting sqref="E224:G224">
    <cfRule type="expression" dxfId="410" priority="452">
      <formula>IF(OR(AND(E224="",F224="",OR(G224="Critical",G224="Major",G224="Minor"))),1,0)</formula>
    </cfRule>
  </conditionalFormatting>
  <conditionalFormatting sqref="F224">
    <cfRule type="expression" dxfId="409" priority="451">
      <formula>IF(AND(F224="",OR(E224="Accuracy",E224="Fluency",E224="Segment",E224="Other")),1,0)</formula>
    </cfRule>
  </conditionalFormatting>
  <conditionalFormatting sqref="G224">
    <cfRule type="expression" dxfId="408" priority="453">
      <formula>IF(AND(OR(G224="",#REF!="Segment"),OR(#REF!="Accuracy",#REF!="Fluency",#REF!="Other")),1,0)</formula>
    </cfRule>
  </conditionalFormatting>
  <conditionalFormatting sqref="G229">
    <cfRule type="expression" dxfId="407" priority="449">
      <formula>IF(OR(AND(G229="",H229="",OR(I229="Critical",I229="Major",I229="Minor"))),1,0)</formula>
    </cfRule>
  </conditionalFormatting>
  <conditionalFormatting sqref="G229">
    <cfRule type="expression" dxfId="406" priority="450">
      <formula>IF(AND(OR(G229="",#REF!="Segment"),OR(#REF!="Accuracy",#REF!="Fluency",#REF!="Other")),1,0)</formula>
    </cfRule>
  </conditionalFormatting>
  <conditionalFormatting sqref="E230:G230">
    <cfRule type="expression" dxfId="405" priority="446">
      <formula>IF(OR(AND(E230="",F230="",OR(G230="Critical",G230="Major",G230="Minor"))),1,0)</formula>
    </cfRule>
  </conditionalFormatting>
  <conditionalFormatting sqref="F230">
    <cfRule type="expression" dxfId="404" priority="445">
      <formula>IF(AND(F230="",OR(E230="Accuracy",E230="Fluency",E230="Segment",E230="Other")),1,0)</formula>
    </cfRule>
  </conditionalFormatting>
  <conditionalFormatting sqref="G230">
    <cfRule type="expression" dxfId="403" priority="447">
      <formula>IF(AND(OR(G230="",#REF!="Segment"),OR(#REF!="Accuracy",#REF!="Fluency",#REF!="Other")),1,0)</formula>
    </cfRule>
  </conditionalFormatting>
  <conditionalFormatting sqref="E231:G231">
    <cfRule type="expression" dxfId="402" priority="443">
      <formula>IF(OR(AND(E231="",F231="",OR(G231="Critical",G231="Major",G231="Minor"))),1,0)</formula>
    </cfRule>
  </conditionalFormatting>
  <conditionalFormatting sqref="F231">
    <cfRule type="expression" dxfId="401" priority="442">
      <formula>IF(AND(F231="",OR(E231="Accuracy",E231="Fluency",E231="Segment",E231="Other")),1,0)</formula>
    </cfRule>
  </conditionalFormatting>
  <conditionalFormatting sqref="G231">
    <cfRule type="expression" dxfId="400" priority="444">
      <formula>IF(AND(OR(G231="",#REF!="Segment"),OR(#REF!="Accuracy",#REF!="Fluency",#REF!="Other")),1,0)</formula>
    </cfRule>
  </conditionalFormatting>
  <conditionalFormatting sqref="G232:G234">
    <cfRule type="expression" dxfId="399" priority="440">
      <formula>IF(OR(AND(G232="",H232="",OR(I232="Critical",I232="Major",I232="Minor"))),1,0)</formula>
    </cfRule>
  </conditionalFormatting>
  <conditionalFormatting sqref="G232:G234">
    <cfRule type="expression" dxfId="398" priority="441">
      <formula>IF(AND(OR(G232="",#REF!="Segment"),OR(#REF!="Accuracy",#REF!="Fluency",#REF!="Other")),1,0)</formula>
    </cfRule>
  </conditionalFormatting>
  <conditionalFormatting sqref="F237:F238">
    <cfRule type="expression" dxfId="397" priority="436">
      <formula>IF(AND(F237="",OR(E237="Accuracy",E237="Fluency",E237="Segment",E237="Other")),1,0)</formula>
    </cfRule>
  </conditionalFormatting>
  <conditionalFormatting sqref="E237:G238">
    <cfRule type="expression" dxfId="396" priority="437">
      <formula>IF(OR(AND(E237="",F237="",OR(G237="Critical",G237="Major",G237="Minor"))),1,0)</formula>
    </cfRule>
  </conditionalFormatting>
  <conditionalFormatting sqref="G237:G238">
    <cfRule type="expression" dxfId="395" priority="438">
      <formula>IF(AND(OR(G237="",#REF!="Segment"),OR(#REF!="Accuracy",#REF!="Fluency",#REF!="Other")),1,0)</formula>
    </cfRule>
  </conditionalFormatting>
  <conditionalFormatting sqref="G242">
    <cfRule type="expression" dxfId="394" priority="434">
      <formula>IF(OR(AND(G242="",H242="",OR(I242="Critical",I242="Major",I242="Minor"))),1,0)</formula>
    </cfRule>
  </conditionalFormatting>
  <conditionalFormatting sqref="G242">
    <cfRule type="expression" dxfId="393" priority="435">
      <formula>IF(AND(OR(G242="",#REF!="Segment"),OR(#REF!="Accuracy",#REF!="Fluency",#REF!="Other")),1,0)</formula>
    </cfRule>
  </conditionalFormatting>
  <conditionalFormatting sqref="E244">
    <cfRule type="expression" dxfId="392" priority="430">
      <formula>IF(OR(AND(E244="",F244="",OR(G244="Critical",G244="Major",G244="Minor"))),1,0)</formula>
    </cfRule>
  </conditionalFormatting>
  <conditionalFormatting sqref="F244">
    <cfRule type="expression" dxfId="391" priority="428">
      <formula>IF(AND(F244="",OR(E244="Accuracy",E244="Fluency",E244="Segment",E244="Other")),1,0)</formula>
    </cfRule>
  </conditionalFormatting>
  <conditionalFormatting sqref="G244">
    <cfRule type="expression" dxfId="390" priority="429">
      <formula>IF(AND(OR(G244="",#REF!="Segment"),OR(#REF!="Accuracy",#REF!="Fluency",#REF!="Other")),1,0)</formula>
    </cfRule>
  </conditionalFormatting>
  <conditionalFormatting sqref="F244">
    <cfRule type="expression" dxfId="389" priority="431">
      <formula>IF(OR(AND(F244="",G244="",OR(H243="Critical",H243="Major",H243="Minor"))),1,0)</formula>
    </cfRule>
  </conditionalFormatting>
  <conditionalFormatting sqref="G244">
    <cfRule type="expression" dxfId="388" priority="432">
      <formula>IF(OR(AND(G244="",H243="",OR(I243="Critical",I243="Major",I243="Minor"))),1,0)</formula>
    </cfRule>
  </conditionalFormatting>
  <conditionalFormatting sqref="E243">
    <cfRule type="expression" dxfId="387" priority="425">
      <formula>IF(OR(AND(E243="",F243="",OR(G243="Critical",G243="Major",G243="Minor"))),1,0)</formula>
    </cfRule>
  </conditionalFormatting>
  <conditionalFormatting sqref="F243">
    <cfRule type="expression" dxfId="386" priority="423">
      <formula>IF(AND(F243="",OR(E243="Accuracy",E243="Fluency",E243="Segment",E243="Other")),1,0)</formula>
    </cfRule>
  </conditionalFormatting>
  <conditionalFormatting sqref="G243">
    <cfRule type="expression" dxfId="385" priority="424">
      <formula>IF(AND(OR(G243="",#REF!="Segment"),OR(#REF!="Accuracy",#REF!="Fluency",#REF!="Other")),1,0)</formula>
    </cfRule>
  </conditionalFormatting>
  <conditionalFormatting sqref="F243">
    <cfRule type="expression" dxfId="384" priority="426">
      <formula>IF(OR(AND(F243="",G243="",OR(H242="Critical",H242="Major",H242="Minor"))),1,0)</formula>
    </cfRule>
  </conditionalFormatting>
  <conditionalFormatting sqref="G243">
    <cfRule type="expression" dxfId="383" priority="427">
      <formula>IF(OR(AND(G243="",H242="",OR(I242="Critical",I242="Major",I242="Minor"))),1,0)</formula>
    </cfRule>
  </conditionalFormatting>
  <conditionalFormatting sqref="G246">
    <cfRule type="expression" dxfId="382" priority="421">
      <formula>IF(OR(AND(G246="",H246="",OR(I246="Critical",I246="Major",I246="Minor"))),1,0)</formula>
    </cfRule>
  </conditionalFormatting>
  <conditionalFormatting sqref="G246">
    <cfRule type="expression" dxfId="381" priority="422">
      <formula>IF(AND(OR(G246="",#REF!="Segment"),OR(#REF!="Accuracy",#REF!="Fluency",#REF!="Other")),1,0)</formula>
    </cfRule>
  </conditionalFormatting>
  <conditionalFormatting sqref="E246:F246">
    <cfRule type="expression" dxfId="380" priority="420">
      <formula>IF(OR(AND(E246="",F246="",OR(G246="Critical",G246="Major",G246="Minor"))),1,0)</formula>
    </cfRule>
  </conditionalFormatting>
  <conditionalFormatting sqref="F246">
    <cfRule type="expression" dxfId="379" priority="419">
      <formula>IF(AND(F246="",OR(E246="Accuracy",E246="Fluency",E246="Segment",E246="Other")),1,0)</formula>
    </cfRule>
  </conditionalFormatting>
  <conditionalFormatting sqref="G247">
    <cfRule type="expression" dxfId="378" priority="415">
      <formula>IF(AND(OR(G247="",#REF!="Segment"),OR(#REF!="Accuracy",#REF!="Fluency",#REF!="Other")),1,0)</formula>
    </cfRule>
  </conditionalFormatting>
  <conditionalFormatting sqref="G247">
    <cfRule type="expression" dxfId="377" priority="417">
      <formula>IF(OR(AND(G247="",H246="",OR(I247="Critical",I247="Major",I247="Minor"))),1,0)</formula>
    </cfRule>
  </conditionalFormatting>
  <conditionalFormatting sqref="E249:G249">
    <cfRule type="expression" dxfId="376" priority="412">
      <formula>IF(OR(AND(E249="",F249="",OR(G249="Critical",G249="Major",G249="Minor"))),1,0)</formula>
    </cfRule>
  </conditionalFormatting>
  <conditionalFormatting sqref="F249">
    <cfRule type="expression" dxfId="375" priority="411">
      <formula>IF(AND(F249="",OR(E249="Accuracy",E249="Fluency",E249="Segment",E249="Other")),1,0)</formula>
    </cfRule>
  </conditionalFormatting>
  <conditionalFormatting sqref="G249">
    <cfRule type="expression" dxfId="374" priority="413">
      <formula>IF(AND(OR(G249="",#REF!="Segment"),OR(#REF!="Accuracy",#REF!="Fluency",#REF!="Other")),1,0)</formula>
    </cfRule>
  </conditionalFormatting>
  <conditionalFormatting sqref="G250">
    <cfRule type="expression" dxfId="373" priority="408">
      <formula>IF(AND(OR(G250="",#REF!="Segment"),OR(#REF!="Accuracy",#REF!="Fluency",#REF!="Other")),1,0)</formula>
    </cfRule>
  </conditionalFormatting>
  <conditionalFormatting sqref="G250">
    <cfRule type="expression" dxfId="372" priority="409">
      <formula>IF(OR(AND(G250="",#REF!="",OR(I250="Critical",I250="Major",I250="Minor"))),1,0)</formula>
    </cfRule>
  </conditionalFormatting>
  <conditionalFormatting sqref="E251:G251">
    <cfRule type="expression" dxfId="371" priority="404">
      <formula>IF(OR(AND(E251="",F251="",OR(G251="Critical",G251="Major",G251="Minor"))),1,0)</formula>
    </cfRule>
  </conditionalFormatting>
  <conditionalFormatting sqref="F251">
    <cfRule type="expression" dxfId="370" priority="403">
      <formula>IF(AND(F251="",OR(E251="Accuracy",E251="Fluency",E251="Segment",E251="Other")),1,0)</formula>
    </cfRule>
  </conditionalFormatting>
  <conditionalFormatting sqref="G251">
    <cfRule type="expression" dxfId="369" priority="405">
      <formula>IF(AND(OR(G251="",#REF!="Segment"),OR(#REF!="Accuracy",#REF!="Fluency",#REF!="Other")),1,0)</formula>
    </cfRule>
  </conditionalFormatting>
  <conditionalFormatting sqref="G262 G255">
    <cfRule type="expression" dxfId="368" priority="399">
      <formula>IF(OR(AND(G255="",H254="",OR(I255="Critical",I255="Major",I255="Minor"))),1,0)</formula>
    </cfRule>
  </conditionalFormatting>
  <conditionalFormatting sqref="F255">
    <cfRule type="expression" dxfId="367" priority="400">
      <formula>IF(OR(AND(F255="",G255="",OR(H254="Critical",H254="Major",H254="Minor"))),1,0)</formula>
    </cfRule>
  </conditionalFormatting>
  <conditionalFormatting sqref="G252">
    <cfRule type="expression" dxfId="366" priority="397">
      <formula>IF(OR(AND(G252="",H252="",OR(I252="Critical",I252="Major",I252="Minor"))),1,0)</formula>
    </cfRule>
  </conditionalFormatting>
  <conditionalFormatting sqref="G252">
    <cfRule type="expression" dxfId="365" priority="398">
      <formula>IF(AND(OR(G252="",#REF!="Segment"),OR(#REF!="Accuracy",#REF!="Fluency",#REF!="Other")),1,0)</formula>
    </cfRule>
  </conditionalFormatting>
  <conditionalFormatting sqref="G253">
    <cfRule type="expression" dxfId="364" priority="394">
      <formula>IF(OR(AND(G253="",H253="",OR(I253="Critical",I253="Major",I253="Minor"))),1,0)</formula>
    </cfRule>
  </conditionalFormatting>
  <conditionalFormatting sqref="G253">
    <cfRule type="expression" dxfId="363" priority="395">
      <formula>IF(AND(OR(G253="",#REF!="Segment"),OR(#REF!="Accuracy",#REF!="Fluency",#REF!="Other")),1,0)</formula>
    </cfRule>
  </conditionalFormatting>
  <conditionalFormatting sqref="F254">
    <cfRule type="expression" dxfId="362" priority="391">
      <formula>IF(AND(F254="",OR(E254="Accuracy",E254="Fluency",E254="Segment",E254="Other")),1,0)</formula>
    </cfRule>
  </conditionalFormatting>
  <conditionalFormatting sqref="G254">
    <cfRule type="expression" dxfId="361" priority="392">
      <formula>IF(AND(OR(G254="",#REF!="Segment"),OR(#REF!="Accuracy",#REF!="Fluency",#REF!="Other")),1,0)</formula>
    </cfRule>
  </conditionalFormatting>
  <conditionalFormatting sqref="F255">
    <cfRule type="expression" dxfId="360" priority="389">
      <formula>IF(AND(F255="",OR(E255="Accuracy",E255="Fluency",E255="Segment",E255="Other")),1,0)</formula>
    </cfRule>
  </conditionalFormatting>
  <conditionalFormatting sqref="G255">
    <cfRule type="expression" dxfId="359" priority="390">
      <formula>IF(AND(OR(G255="",#REF!="Segment"),OR(#REF!="Accuracy",#REF!="Fluency",#REF!="Other")),1,0)</formula>
    </cfRule>
  </conditionalFormatting>
  <conditionalFormatting sqref="G254">
    <cfRule type="expression" dxfId="358" priority="401">
      <formula>IF(OR(AND(G254="",#REF!="",OR(I254="Critical",I254="Major",I254="Minor"))),1,0)</formula>
    </cfRule>
  </conditionalFormatting>
  <conditionalFormatting sqref="F254">
    <cfRule type="expression" dxfId="357" priority="402">
      <formula>IF(OR(AND(F254="",G254="",OR(#REF!="Critical",#REF!="Major",#REF!="Minor"))),1,0)</formula>
    </cfRule>
  </conditionalFormatting>
  <conditionalFormatting sqref="E259">
    <cfRule type="expression" dxfId="356" priority="386">
      <formula>IF(OR(AND(E259="",F259="",OR(G259="Critical",G259="Major",G259="Minor"))),1,0)</formula>
    </cfRule>
  </conditionalFormatting>
  <conditionalFormatting sqref="G259">
    <cfRule type="expression" dxfId="355" priority="387">
      <formula>IF(OR(AND(G259="",H258="",OR(I259="Critical",I259="Major",I259="Minor"))),1,0)</formula>
    </cfRule>
  </conditionalFormatting>
  <conditionalFormatting sqref="F259">
    <cfRule type="expression" dxfId="354" priority="388">
      <formula>IF(OR(AND(F259="",G259="",OR(H258="Critical",H258="Major",H258="Minor"))),1,0)</formula>
    </cfRule>
  </conditionalFormatting>
  <conditionalFormatting sqref="F259">
    <cfRule type="expression" dxfId="353" priority="384">
      <formula>IF(AND(F259="",OR(E259="Accuracy",E259="Fluency",E259="Segment",E259="Other")),1,0)</formula>
    </cfRule>
  </conditionalFormatting>
  <conditionalFormatting sqref="G259">
    <cfRule type="expression" dxfId="352" priority="385">
      <formula>IF(AND(OR(G259="",#REF!="Segment"),OR(#REF!="Accuracy",#REF!="Fluency",#REF!="Other")),1,0)</formula>
    </cfRule>
  </conditionalFormatting>
  <conditionalFormatting sqref="E260">
    <cfRule type="expression" dxfId="351" priority="381">
      <formula>IF(OR(AND(E260="",F260="",OR(G260="Critical",G260="Major",G260="Minor"))),1,0)</formula>
    </cfRule>
  </conditionalFormatting>
  <conditionalFormatting sqref="G260">
    <cfRule type="expression" dxfId="350" priority="382">
      <formula>IF(OR(AND(G260="",H259="",OR(I260="Critical",I260="Major",I260="Minor"))),1,0)</formula>
    </cfRule>
  </conditionalFormatting>
  <conditionalFormatting sqref="F260">
    <cfRule type="expression" dxfId="349" priority="383">
      <formula>IF(OR(AND(F260="",G260="",OR(H259="Critical",H259="Major",H259="Minor"))),1,0)</formula>
    </cfRule>
  </conditionalFormatting>
  <conditionalFormatting sqref="F260">
    <cfRule type="expression" dxfId="348" priority="379">
      <formula>IF(AND(F260="",OR(E260="Accuracy",E260="Fluency",E260="Segment",E260="Other")),1,0)</formula>
    </cfRule>
  </conditionalFormatting>
  <conditionalFormatting sqref="G260">
    <cfRule type="expression" dxfId="347" priority="380">
      <formula>IF(AND(OR(G260="",#REF!="Segment"),OR(#REF!="Accuracy",#REF!="Fluency",#REF!="Other")),1,0)</formula>
    </cfRule>
  </conditionalFormatting>
  <conditionalFormatting sqref="E261:F261">
    <cfRule type="expression" dxfId="346" priority="376">
      <formula>IF(OR(AND(E261="",F261="",OR(G261="Critical",G261="Major",G261="Minor"))),1,0)</formula>
    </cfRule>
  </conditionalFormatting>
  <conditionalFormatting sqref="F261">
    <cfRule type="expression" dxfId="345" priority="375">
      <formula>IF(AND(F261="",OR(E261="Accuracy",E261="Fluency",E261="Segment",E261="Other")),1,0)</formula>
    </cfRule>
  </conditionalFormatting>
  <conditionalFormatting sqref="G261">
    <cfRule type="expression" dxfId="344" priority="377">
      <formula>IF(OR(AND(G261="",H261="",OR(I262="Critical",I262="Major",I262="Minor"))),1,0)</formula>
    </cfRule>
  </conditionalFormatting>
  <conditionalFormatting sqref="G261">
    <cfRule type="expression" dxfId="343" priority="378">
      <formula>IF(AND(OR(G261="",#REF!="Segment"),OR(#REF!="Accuracy",#REF!="Fluency",#REF!="Other")),1,0)</formula>
    </cfRule>
  </conditionalFormatting>
  <conditionalFormatting sqref="G263">
    <cfRule type="expression" dxfId="342" priority="372">
      <formula>IF(AND(OR(G263="",#REF!="Segment"),OR(#REF!="Accuracy",#REF!="Fluency",#REF!="Other")),1,0)</formula>
    </cfRule>
  </conditionalFormatting>
  <conditionalFormatting sqref="G263">
    <cfRule type="expression" dxfId="341" priority="373">
      <formula>IF(OR(AND(G263="",H262="",OR(I263="Critical",I263="Major",I263="Minor"))),1,0)</formula>
    </cfRule>
  </conditionalFormatting>
  <conditionalFormatting sqref="E264:G265">
    <cfRule type="expression" dxfId="340" priority="368">
      <formula>IF(OR(AND(E264="",F264="",OR(G264="Critical",G264="Major",G264="Minor"))),1,0)</formula>
    </cfRule>
  </conditionalFormatting>
  <conditionalFormatting sqref="F264:F265">
    <cfRule type="expression" dxfId="339" priority="367">
      <formula>IF(AND(F264="",OR(E264="Accuracy",E264="Fluency",E264="Segment",E264="Other")),1,0)</formula>
    </cfRule>
  </conditionalFormatting>
  <conditionalFormatting sqref="G264:G265">
    <cfRule type="expression" dxfId="338" priority="369">
      <formula>IF(AND(OR(G264="",#REF!="Segment"),OR(#REF!="Accuracy",#REF!="Fluency",#REF!="Other")),1,0)</formula>
    </cfRule>
  </conditionalFormatting>
  <conditionalFormatting sqref="E266:G266">
    <cfRule type="expression" dxfId="337" priority="365">
      <formula>IF(OR(AND(E266="",F266="",OR(G266="Critical",G266="Major",G266="Minor"))),1,0)</formula>
    </cfRule>
  </conditionalFormatting>
  <conditionalFormatting sqref="F266">
    <cfRule type="expression" dxfId="336" priority="364">
      <formula>IF(AND(F266="",OR(E266="Accuracy",E266="Fluency",E266="Segment",E266="Other")),1,0)</formula>
    </cfRule>
  </conditionalFormatting>
  <conditionalFormatting sqref="G266">
    <cfRule type="expression" dxfId="335" priority="366">
      <formula>IF(AND(OR(G266="",#REF!="Segment"),OR(#REF!="Accuracy",#REF!="Fluency",#REF!="Other")),1,0)</formula>
    </cfRule>
  </conditionalFormatting>
  <conditionalFormatting sqref="G268">
    <cfRule type="expression" dxfId="334" priority="362">
      <formula>IF(OR(AND(G268="",H268="",OR(I268="Critical",I268="Major",I268="Minor"))),1,0)</formula>
    </cfRule>
  </conditionalFormatting>
  <conditionalFormatting sqref="G268">
    <cfRule type="expression" dxfId="333" priority="363">
      <formula>IF(AND(OR(G268="",#REF!="Segment"),OR(#REF!="Accuracy",#REF!="Fluency",#REF!="Other")),1,0)</formula>
    </cfRule>
  </conditionalFormatting>
  <conditionalFormatting sqref="E268:F268">
    <cfRule type="expression" dxfId="332" priority="361">
      <formula>IF(OR(AND(E268="",F268="",OR(G268="Critical",G268="Major",G268="Minor"))),1,0)</formula>
    </cfRule>
  </conditionalFormatting>
  <conditionalFormatting sqref="F268">
    <cfRule type="expression" dxfId="331" priority="360">
      <formula>IF(AND(F268="",OR(E268="Accuracy",E268="Fluency",E268="Segment",E268="Other")),1,0)</formula>
    </cfRule>
  </conditionalFormatting>
  <conditionalFormatting sqref="G267">
    <cfRule type="expression" dxfId="330" priority="358">
      <formula>IF(OR(AND(G267="",H267="",OR(I267="Critical",I267="Major",I267="Minor"))),1,0)</formula>
    </cfRule>
  </conditionalFormatting>
  <conditionalFormatting sqref="G267">
    <cfRule type="expression" dxfId="329" priority="359">
      <formula>IF(AND(OR(G267="",#REF!="Segment"),OR(#REF!="Accuracy",#REF!="Fluency",#REF!="Other")),1,0)</formula>
    </cfRule>
  </conditionalFormatting>
  <conditionalFormatting sqref="E269:G269">
    <cfRule type="expression" dxfId="328" priority="355">
      <formula>IF(OR(AND(E269="",F269="",OR(G269="Critical",G269="Major",G269="Minor"))),1,0)</formula>
    </cfRule>
  </conditionalFormatting>
  <conditionalFormatting sqref="F269">
    <cfRule type="expression" dxfId="327" priority="354">
      <formula>IF(AND(F269="",OR(E269="Accuracy",E269="Fluency",E269="Segment",E269="Other")),1,0)</formula>
    </cfRule>
  </conditionalFormatting>
  <conditionalFormatting sqref="G269">
    <cfRule type="expression" dxfId="326" priority="356">
      <formula>IF(AND(OR(G269="",#REF!="Segment"),OR(#REF!="Accuracy",#REF!="Fluency",#REF!="Other")),1,0)</formula>
    </cfRule>
  </conditionalFormatting>
  <conditionalFormatting sqref="E273:G273">
    <cfRule type="expression" dxfId="325" priority="347">
      <formula>IF(OR(AND(E273="",F273="",OR(G273="Critical",G273="Major",G273="Minor"))),1,0)</formula>
    </cfRule>
  </conditionalFormatting>
  <conditionalFormatting sqref="F273">
    <cfRule type="expression" dxfId="324" priority="346">
      <formula>IF(AND(F273="",OR(E273="Accuracy",E273="Fluency",E273="Segment",E273="Other")),1,0)</formula>
    </cfRule>
  </conditionalFormatting>
  <conditionalFormatting sqref="G273">
    <cfRule type="expression" dxfId="323" priority="348">
      <formula>IF(AND(OR(G273="",#REF!="Segment"),OR(#REF!="Accuracy",#REF!="Fluency",#REF!="Other")),1,0)</formula>
    </cfRule>
  </conditionalFormatting>
  <conditionalFormatting sqref="G271">
    <cfRule type="expression" dxfId="322" priority="350">
      <formula>IF(OR(AND(G271="",H271="",OR(I271="Critical",I271="Major",I271="Minor"))),1,0)</formula>
    </cfRule>
  </conditionalFormatting>
  <conditionalFormatting sqref="G271">
    <cfRule type="expression" dxfId="321" priority="351">
      <formula>IF(AND(OR(G271="",#REF!="Segment"),OR(#REF!="Accuracy",#REF!="Fluency",#REF!="Other")),1,0)</formula>
    </cfRule>
  </conditionalFormatting>
  <conditionalFormatting sqref="G270">
    <cfRule type="expression" dxfId="320" priority="352">
      <formula>IF(OR(AND(G270="",H270="",OR(I270="Critical",I270="Major",I270="Minor"))),1,0)</formula>
    </cfRule>
  </conditionalFormatting>
  <conditionalFormatting sqref="G270">
    <cfRule type="expression" dxfId="319" priority="353">
      <formula>IF(AND(OR(G270="",#REF!="Segment"),OR(#REF!="Accuracy",#REF!="Fluency",#REF!="Other")),1,0)</formula>
    </cfRule>
  </conditionalFormatting>
  <conditionalFormatting sqref="G272">
    <cfRule type="expression" dxfId="318" priority="344">
      <formula>IF(OR(AND(G272="",H272="",OR(I272="Critical",I272="Major",I272="Minor"))),1,0)</formula>
    </cfRule>
  </conditionalFormatting>
  <conditionalFormatting sqref="G272">
    <cfRule type="expression" dxfId="317" priority="345">
      <formula>IF(AND(OR(G272="",#REF!="Segment"),OR(#REF!="Accuracy",#REF!="Fluency",#REF!="Other")),1,0)</formula>
    </cfRule>
  </conditionalFormatting>
  <conditionalFormatting sqref="E270:F270">
    <cfRule type="expression" dxfId="316" priority="342">
      <formula>IF(OR(AND(E270="",F270="",OR(G270="Critical",G270="Major",G270="Minor"))),1,0)</formula>
    </cfRule>
  </conditionalFormatting>
  <conditionalFormatting sqref="F270">
    <cfRule type="expression" dxfId="315" priority="341">
      <formula>IF(AND(F270="",OR(E270="Accuracy",E270="Fluency",E270="Segment",E270="Other")),1,0)</formula>
    </cfRule>
  </conditionalFormatting>
  <conditionalFormatting sqref="E274:G274">
    <cfRule type="expression" dxfId="314" priority="339">
      <formula>IF(OR(AND(E274="",F274="",OR(G274="Critical",G274="Major",G274="Minor"))),1,0)</formula>
    </cfRule>
  </conditionalFormatting>
  <conditionalFormatting sqref="F274">
    <cfRule type="expression" dxfId="313" priority="338">
      <formula>IF(AND(F274="",OR(E274="Accuracy",E274="Fluency",E274="Segment",E274="Other")),1,0)</formula>
    </cfRule>
  </conditionalFormatting>
  <conditionalFormatting sqref="G274">
    <cfRule type="expression" dxfId="312" priority="340">
      <formula>IF(AND(OR(G274="",#REF!="Segment"),OR(#REF!="Accuracy",#REF!="Fluency",#REF!="Other")),1,0)</formula>
    </cfRule>
  </conditionalFormatting>
  <conditionalFormatting sqref="G275">
    <cfRule type="expression" dxfId="311" priority="336">
      <formula>IF(OR(AND(G275="",H275="",OR(I275="Critical",I275="Major",I275="Minor"))),1,0)</formula>
    </cfRule>
  </conditionalFormatting>
  <conditionalFormatting sqref="G275">
    <cfRule type="expression" dxfId="310" priority="337">
      <formula>IF(AND(OR(G275="",#REF!="Segment"),OR(#REF!="Accuracy",#REF!="Fluency",#REF!="Other")),1,0)</formula>
    </cfRule>
  </conditionalFormatting>
  <conditionalFormatting sqref="G276">
    <cfRule type="expression" dxfId="309" priority="333">
      <formula>IF(OR(AND(G276="",H276="",OR(I276="Critical",I276="Major",I276="Minor"))),1,0)</formula>
    </cfRule>
  </conditionalFormatting>
  <conditionalFormatting sqref="G276">
    <cfRule type="expression" dxfId="308" priority="334">
      <formula>IF(AND(OR(G276="",#REF!="Segment"),OR(#REF!="Accuracy",#REF!="Fluency",#REF!="Other")),1,0)</formula>
    </cfRule>
  </conditionalFormatting>
  <conditionalFormatting sqref="G277">
    <cfRule type="expression" dxfId="307" priority="330">
      <formula>IF(OR(AND(G277="",H277="",OR(I277="Critical",I277="Major",I277="Minor"))),1,0)</formula>
    </cfRule>
  </conditionalFormatting>
  <conditionalFormatting sqref="G277">
    <cfRule type="expression" dxfId="306" priority="331">
      <formula>IF(AND(OR(G277="",#REF!="Segment"),OR(#REF!="Accuracy",#REF!="Fluency",#REF!="Other")),1,0)</formula>
    </cfRule>
  </conditionalFormatting>
  <conditionalFormatting sqref="E278">
    <cfRule type="expression" dxfId="305" priority="325">
      <formula>IF(OR(AND(E278="",F278="",OR(G278="Critical",G278="Major",G278="Minor"))),1,0)</formula>
    </cfRule>
  </conditionalFormatting>
  <conditionalFormatting sqref="F278">
    <cfRule type="expression" dxfId="304" priority="324">
      <formula>IF(AND(F278="",OR(E278="Accuracy",E278="Fluency",E278="Segment",E278="Other")),1,0)</formula>
    </cfRule>
  </conditionalFormatting>
  <conditionalFormatting sqref="G278">
    <cfRule type="expression" dxfId="303" priority="326">
      <formula>IF(AND(OR(G278="",#REF!="Segment"),OR(#REF!="Accuracy",#REF!="Fluency",#REF!="Other")),1,0)</formula>
    </cfRule>
  </conditionalFormatting>
  <conditionalFormatting sqref="G278">
    <cfRule type="expression" dxfId="302" priority="327">
      <formula>IF(OR(AND(G278="",H277="",OR(I278="Critical",I278="Major",I278="Minor"))),1,0)</formula>
    </cfRule>
  </conditionalFormatting>
  <conditionalFormatting sqref="F278">
    <cfRule type="expression" dxfId="301" priority="328">
      <formula>IF(OR(AND(F278="",G278="",OR(H277="Critical",H277="Major",H277="Minor"))),1,0)</formula>
    </cfRule>
  </conditionalFormatting>
  <conditionalFormatting sqref="E279">
    <cfRule type="expression" dxfId="300" priority="320">
      <formula>IF(OR(AND(E279="",F279="",OR(G279="Critical",G279="Major",G279="Minor"))),1,0)</formula>
    </cfRule>
  </conditionalFormatting>
  <conditionalFormatting sqref="F279">
    <cfRule type="expression" dxfId="299" priority="319">
      <formula>IF(AND(F279="",OR(E279="Accuracy",E279="Fluency",E279="Segment",E279="Other")),1,0)</formula>
    </cfRule>
  </conditionalFormatting>
  <conditionalFormatting sqref="G279">
    <cfRule type="expression" dxfId="298" priority="321">
      <formula>IF(AND(OR(G279="",#REF!="Segment"),OR(#REF!="Accuracy",#REF!="Fluency",#REF!="Other")),1,0)</formula>
    </cfRule>
  </conditionalFormatting>
  <conditionalFormatting sqref="G279">
    <cfRule type="expression" dxfId="297" priority="322">
      <formula>IF(OR(AND(G279="",H278="",OR(I279="Critical",I279="Major",I279="Minor"))),1,0)</formula>
    </cfRule>
  </conditionalFormatting>
  <conditionalFormatting sqref="F279">
    <cfRule type="expression" dxfId="296" priority="323">
      <formula>IF(OR(AND(F279="",G279="",OR(H278="Critical",H278="Major",H278="Minor"))),1,0)</formula>
    </cfRule>
  </conditionalFormatting>
  <conditionalFormatting sqref="E280">
    <cfRule type="expression" dxfId="295" priority="315">
      <formula>IF(OR(AND(E280="",F280="",OR(G280="Critical",G280="Major",G280="Minor"))),1,0)</formula>
    </cfRule>
  </conditionalFormatting>
  <conditionalFormatting sqref="F280">
    <cfRule type="expression" dxfId="294" priority="314">
      <formula>IF(AND(F280="",OR(E280="Accuracy",E280="Fluency",E280="Segment",E280="Other")),1,0)</formula>
    </cfRule>
  </conditionalFormatting>
  <conditionalFormatting sqref="G280">
    <cfRule type="expression" dxfId="293" priority="316">
      <formula>IF(AND(OR(G280="",#REF!="Segment"),OR(#REF!="Accuracy",#REF!="Fluency",#REF!="Other")),1,0)</formula>
    </cfRule>
  </conditionalFormatting>
  <conditionalFormatting sqref="G280">
    <cfRule type="expression" dxfId="292" priority="317">
      <formula>IF(OR(AND(G280="",H279="",OR(I280="Critical",I280="Major",I280="Minor"))),1,0)</formula>
    </cfRule>
  </conditionalFormatting>
  <conditionalFormatting sqref="F280">
    <cfRule type="expression" dxfId="291" priority="318">
      <formula>IF(OR(AND(F280="",G280="",OR(H279="Critical",H279="Major",H279="Minor"))),1,0)</formula>
    </cfRule>
  </conditionalFormatting>
  <conditionalFormatting sqref="G281">
    <cfRule type="expression" dxfId="290" priority="312">
      <formula>IF(OR(AND(G281="",H281="",OR(I281="Critical",I281="Major",I281="Minor"))),1,0)</formula>
    </cfRule>
  </conditionalFormatting>
  <conditionalFormatting sqref="G281">
    <cfRule type="expression" dxfId="289" priority="313">
      <formula>IF(AND(OR(G281="",#REF!="Segment"),OR(#REF!="Accuracy",#REF!="Fluency",#REF!="Other")),1,0)</formula>
    </cfRule>
  </conditionalFormatting>
  <conditionalFormatting sqref="E282">
    <cfRule type="expression" dxfId="288" priority="307">
      <formula>IF(OR(AND(E282="",F282="",OR(G282="Critical",G282="Major",G282="Minor"))),1,0)</formula>
    </cfRule>
  </conditionalFormatting>
  <conditionalFormatting sqref="F282">
    <cfRule type="expression" dxfId="287" priority="306">
      <formula>IF(AND(F282="",OR(E282="Accuracy",E282="Fluency",E282="Segment",E282="Other")),1,0)</formula>
    </cfRule>
  </conditionalFormatting>
  <conditionalFormatting sqref="G282">
    <cfRule type="expression" dxfId="286" priority="308">
      <formula>IF(AND(OR(G282="",#REF!="Segment"),OR(#REF!="Accuracy",#REF!="Fluency",#REF!="Other")),1,0)</formula>
    </cfRule>
  </conditionalFormatting>
  <conditionalFormatting sqref="G282">
    <cfRule type="expression" dxfId="285" priority="309">
      <formula>IF(OR(AND(G282="",H281="",OR(I282="Critical",I282="Major",I282="Minor"))),1,0)</formula>
    </cfRule>
  </conditionalFormatting>
  <conditionalFormatting sqref="F282">
    <cfRule type="expression" dxfId="284" priority="310">
      <formula>IF(OR(AND(F282="",G282="",OR(H281="Critical",H281="Major",H281="Minor"))),1,0)</formula>
    </cfRule>
  </conditionalFormatting>
  <conditionalFormatting sqref="E283">
    <cfRule type="expression" dxfId="283" priority="302">
      <formula>IF(OR(AND(E283="",F283="",OR(G283="Critical",G283="Major",G283="Minor"))),1,0)</formula>
    </cfRule>
  </conditionalFormatting>
  <conditionalFormatting sqref="F283">
    <cfRule type="expression" dxfId="282" priority="301">
      <formula>IF(AND(F283="",OR(E283="Accuracy",E283="Fluency",E283="Segment",E283="Other")),1,0)</formula>
    </cfRule>
  </conditionalFormatting>
  <conditionalFormatting sqref="G283">
    <cfRule type="expression" dxfId="281" priority="303">
      <formula>IF(AND(OR(G283="",#REF!="Segment"),OR(#REF!="Accuracy",#REF!="Fluency",#REF!="Other")),1,0)</formula>
    </cfRule>
  </conditionalFormatting>
  <conditionalFormatting sqref="G283">
    <cfRule type="expression" dxfId="280" priority="304">
      <formula>IF(OR(AND(G283="",H282="",OR(I283="Critical",I283="Major",I283="Minor"))),1,0)</formula>
    </cfRule>
  </conditionalFormatting>
  <conditionalFormatting sqref="F283">
    <cfRule type="expression" dxfId="279" priority="305">
      <formula>IF(OR(AND(F283="",G283="",OR(H282="Critical",H282="Major",H282="Minor"))),1,0)</formula>
    </cfRule>
  </conditionalFormatting>
  <conditionalFormatting sqref="G284">
    <cfRule type="expression" dxfId="278" priority="299">
      <formula>IF(OR(AND(G284="",H284="",OR(I284="Critical",I284="Major",I284="Minor"))),1,0)</formula>
    </cfRule>
  </conditionalFormatting>
  <conditionalFormatting sqref="G284">
    <cfRule type="expression" dxfId="277" priority="300">
      <formula>IF(AND(OR(G284="",#REF!="Segment"),OR(#REF!="Accuracy",#REF!="Fluency",#REF!="Other")),1,0)</formula>
    </cfRule>
  </conditionalFormatting>
  <conditionalFormatting sqref="E285">
    <cfRule type="expression" dxfId="276" priority="294">
      <formula>IF(OR(AND(E285="",F285="",OR(G285="Critical",G285="Major",G285="Minor"))),1,0)</formula>
    </cfRule>
  </conditionalFormatting>
  <conditionalFormatting sqref="F285">
    <cfRule type="expression" dxfId="275" priority="293">
      <formula>IF(AND(F285="",OR(E285="Accuracy",E285="Fluency",E285="Segment",E285="Other")),1,0)</formula>
    </cfRule>
  </conditionalFormatting>
  <conditionalFormatting sqref="G285">
    <cfRule type="expression" dxfId="274" priority="295">
      <formula>IF(AND(OR(G285="",#REF!="Segment"),OR(#REF!="Accuracy",#REF!="Fluency",#REF!="Other")),1,0)</formula>
    </cfRule>
  </conditionalFormatting>
  <conditionalFormatting sqref="G285">
    <cfRule type="expression" dxfId="273" priority="296">
      <formula>IF(OR(AND(G285="",H284="",OR(I285="Critical",I285="Major",I285="Minor"))),1,0)</formula>
    </cfRule>
  </conditionalFormatting>
  <conditionalFormatting sqref="F285">
    <cfRule type="expression" dxfId="272" priority="297">
      <formula>IF(OR(AND(F285="",G285="",OR(H284="Critical",H284="Major",H284="Minor"))),1,0)</formula>
    </cfRule>
  </conditionalFormatting>
  <conditionalFormatting sqref="G287:G288">
    <cfRule type="expression" dxfId="271" priority="291">
      <formula>IF(OR(AND(G287="",H287="",OR(I287="Critical",I287="Major",I287="Minor"))),1,0)</formula>
    </cfRule>
  </conditionalFormatting>
  <conditionalFormatting sqref="G287:G288">
    <cfRule type="expression" dxfId="270" priority="292">
      <formula>IF(AND(OR(G287="",#REF!="Segment"),OR(#REF!="Accuracy",#REF!="Fluency",#REF!="Other")),1,0)</formula>
    </cfRule>
  </conditionalFormatting>
  <conditionalFormatting sqref="E289:G289">
    <cfRule type="expression" dxfId="269" priority="288">
      <formula>IF(OR(AND(E289="",F289="",OR(G289="Critical",G289="Major",G289="Minor"))),1,0)</formula>
    </cfRule>
  </conditionalFormatting>
  <conditionalFormatting sqref="F289">
    <cfRule type="expression" dxfId="268" priority="287">
      <formula>IF(AND(F289="",OR(E289="Accuracy",E289="Fluency",E289="Segment",E289="Other")),1,0)</formula>
    </cfRule>
  </conditionalFormatting>
  <conditionalFormatting sqref="G289">
    <cfRule type="expression" dxfId="267" priority="289">
      <formula>IF(AND(OR(G289="",#REF!="Segment"),OR(#REF!="Accuracy",#REF!="Fluency",#REF!="Other")),1,0)</formula>
    </cfRule>
  </conditionalFormatting>
  <conditionalFormatting sqref="E290:G290">
    <cfRule type="expression" dxfId="266" priority="285">
      <formula>IF(OR(AND(E290="",F290="",OR(G290="Critical",G290="Major",G290="Minor"))),1,0)</formula>
    </cfRule>
  </conditionalFormatting>
  <conditionalFormatting sqref="F290">
    <cfRule type="expression" dxfId="265" priority="284">
      <formula>IF(AND(F290="",OR(E290="Accuracy",E290="Fluency",E290="Segment",E290="Other")),1,0)</formula>
    </cfRule>
  </conditionalFormatting>
  <conditionalFormatting sqref="G290">
    <cfRule type="expression" dxfId="264" priority="286">
      <formula>IF(AND(OR(G290="",#REF!="Segment"),OR(#REF!="Accuracy",#REF!="Fluency",#REF!="Other")),1,0)</formula>
    </cfRule>
  </conditionalFormatting>
  <conditionalFormatting sqref="E291:G291">
    <cfRule type="expression" dxfId="263" priority="282">
      <formula>IF(OR(AND(E291="",F291="",OR(G291="Critical",G291="Major",G291="Minor"))),1,0)</formula>
    </cfRule>
  </conditionalFormatting>
  <conditionalFormatting sqref="F291">
    <cfRule type="expression" dxfId="262" priority="281">
      <formula>IF(AND(F291="",OR(E291="Accuracy",E291="Fluency",E291="Segment",E291="Other")),1,0)</formula>
    </cfRule>
  </conditionalFormatting>
  <conditionalFormatting sqref="G291">
    <cfRule type="expression" dxfId="261" priority="283">
      <formula>IF(AND(OR(G291="",#REF!="Segment"),OR(#REF!="Accuracy",#REF!="Fluency",#REF!="Other")),1,0)</formula>
    </cfRule>
  </conditionalFormatting>
  <conditionalFormatting sqref="E340:G340 E337 E333:G333 E329:F329 E328:G328 E324:E325 E312:G312 E295:G295 E294 G292:G293 E297:G297 G296 E299:G299 G298 E301:G301 G300 E304:G306 G302:G303 E308:G308 G307 E310:G310 G309 E316:G318 G313:G315 E320:G320 G319 E322:G322 G321 G323 G326:G327 G330:G332 E336:G336 G334:G335 G338:G339 E343:G343 G341:G342 E347:G347 G344:G346 E350:G351 G348:G349 E354:G355 G352:G353">
    <cfRule type="expression" dxfId="260" priority="277">
      <formula>IF(OR(AND(E292="",F292="",OR(G292="Critical",G292="Major",G292="Minor"))),1,0)</formula>
    </cfRule>
  </conditionalFormatting>
  <conditionalFormatting sqref="F294:F295 F297 F299 F301 F304:F306 F308 F310 F312 F316:F318 F320 F322 F324:F325 F328:F329 F333 F336:F337 F340 F343 F347 F350:F351 F354:F355">
    <cfRule type="expression" dxfId="259" priority="276">
      <formula>IF(AND(F294="",OR(E294="Accuracy",E294="Fluency",E294="Segment",E294="Other")),1,0)</formula>
    </cfRule>
  </conditionalFormatting>
  <conditionalFormatting sqref="H292">
    <cfRule type="expression" dxfId="258" priority="278">
      <formula>IF(OR(AND(H292="",J292="",OR(#REF!="Critical",#REF!="Major",#REF!="Minor"))),1,0)</formula>
    </cfRule>
  </conditionalFormatting>
  <conditionalFormatting sqref="G292">
    <cfRule type="expression" dxfId="257" priority="275">
      <formula>IF(AND(OR(G292="",#REF!="Segment"),OR(#REF!="Accuracy",#REF!="Fluency",#REF!="Other")),1,0)</formula>
    </cfRule>
  </conditionalFormatting>
  <conditionalFormatting sqref="G294">
    <cfRule type="expression" dxfId="256" priority="274">
      <formula>IF(AND(OR(G294="",#REF!="Segment"),OR(#REF!="Accuracy",#REF!="Fluency",#REF!="Other")),1,0)</formula>
    </cfRule>
  </conditionalFormatting>
  <conditionalFormatting sqref="G337 G324:G325 G294">
    <cfRule type="expression" dxfId="255" priority="279">
      <formula>IF(OR(AND(G294="",H293="",OR(I294="Critical",I294="Major",I294="Minor"))),1,0)</formula>
    </cfRule>
  </conditionalFormatting>
  <conditionalFormatting sqref="F337 F324:F325 F294">
    <cfRule type="expression" dxfId="254" priority="280">
      <formula>IF(OR(AND(F294="",G294="",OR(H293="Critical",H293="Major",H293="Minor"))),1,0)</formula>
    </cfRule>
  </conditionalFormatting>
  <conditionalFormatting sqref="G293">
    <cfRule type="expression" dxfId="253" priority="273">
      <formula>IF(AND(OR(G293="",#REF!="Segment"),OR(#REF!="Accuracy",#REF!="Fluency",#REF!="Other")),1,0)</formula>
    </cfRule>
  </conditionalFormatting>
  <conditionalFormatting sqref="G295">
    <cfRule type="expression" dxfId="252" priority="272">
      <formula>IF(AND(OR(G295="",#REF!="Segment"),OR(#REF!="Accuracy",#REF!="Fluency",#REF!="Other")),1,0)</formula>
    </cfRule>
  </conditionalFormatting>
  <conditionalFormatting sqref="G296">
    <cfRule type="expression" dxfId="251" priority="271">
      <formula>IF(AND(OR(G296="",#REF!="Segment"),OR(#REF!="Accuracy",#REF!="Fluency",#REF!="Other")),1,0)</formula>
    </cfRule>
  </conditionalFormatting>
  <conditionalFormatting sqref="G297">
    <cfRule type="expression" dxfId="250" priority="270">
      <formula>IF(AND(OR(G297="",#REF!="Segment"),OR(#REF!="Accuracy",#REF!="Fluency",#REF!="Other")),1,0)</formula>
    </cfRule>
  </conditionalFormatting>
  <conditionalFormatting sqref="G298">
    <cfRule type="expression" dxfId="249" priority="269">
      <formula>IF(AND(OR(G298="",#REF!="Segment"),OR(#REF!="Accuracy",#REF!="Fluency",#REF!="Other")),1,0)</formula>
    </cfRule>
  </conditionalFormatting>
  <conditionalFormatting sqref="G299">
    <cfRule type="expression" dxfId="248" priority="268">
      <formula>IF(AND(OR(G299="",#REF!="Segment"),OR(#REF!="Accuracy",#REF!="Fluency",#REF!="Other")),1,0)</formula>
    </cfRule>
  </conditionalFormatting>
  <conditionalFormatting sqref="G344 G342 G339 G305:G306 G300:G301">
    <cfRule type="expression" dxfId="247" priority="267">
      <formula>IF(AND(OR(G300="",#REF!="Segment"),OR(#REF!="Accuracy",#REF!="Fluency",#REF!="Other")),1,0)</formula>
    </cfRule>
  </conditionalFormatting>
  <conditionalFormatting sqref="G302">
    <cfRule type="expression" dxfId="246" priority="266">
      <formula>IF(AND(OR(G302="",#REF!="Segment"),OR(#REF!="Accuracy",#REF!="Fluency",#REF!="Other")),1,0)</formula>
    </cfRule>
  </conditionalFormatting>
  <conditionalFormatting sqref="G304">
    <cfRule type="expression" dxfId="245" priority="265">
      <formula>IF(AND(OR(G304="",#REF!="Segment"),OR(#REF!="Accuracy",#REF!="Fluency",#REF!="Other")),1,0)</formula>
    </cfRule>
  </conditionalFormatting>
  <conditionalFormatting sqref="G303">
    <cfRule type="expression" dxfId="244" priority="264">
      <formula>IF(AND(OR(G303="",#REF!="Segment"),OR(#REF!="Accuracy",#REF!="Fluency",#REF!="Other")),1,0)</formula>
    </cfRule>
  </conditionalFormatting>
  <conditionalFormatting sqref="G308">
    <cfRule type="expression" dxfId="243" priority="263">
      <formula>IF(AND(OR(G308="",#REF!="Segment"),OR(#REF!="Accuracy",#REF!="Fluency",#REF!="Other")),1,0)</formula>
    </cfRule>
  </conditionalFormatting>
  <conditionalFormatting sqref="G307">
    <cfRule type="expression" dxfId="242" priority="262">
      <formula>IF(AND(OR(G307="",#REF!="Segment"),OR(#REF!="Accuracy",#REF!="Fluency",#REF!="Other")),1,0)</formula>
    </cfRule>
  </conditionalFormatting>
  <conditionalFormatting sqref="G309">
    <cfRule type="expression" dxfId="241" priority="261">
      <formula>IF(AND(OR(G309="",#REF!="Segment"),OR(#REF!="Accuracy",#REF!="Fluency",#REF!="Other")),1,0)</formula>
    </cfRule>
  </conditionalFormatting>
  <conditionalFormatting sqref="G310">
    <cfRule type="expression" dxfId="240" priority="260">
      <formula>IF(AND(OR(G310="",#REF!="Segment"),OR(#REF!="Accuracy",#REF!="Fluency",#REF!="Other")),1,0)</formula>
    </cfRule>
  </conditionalFormatting>
  <conditionalFormatting sqref="G311">
    <cfRule type="expression" dxfId="239" priority="258">
      <formula>IF(OR(AND(G311="",#REF!="",OR(I311="Critical",I311="Major",I311="Minor"))),1,0)</formula>
    </cfRule>
  </conditionalFormatting>
  <conditionalFormatting sqref="G311">
    <cfRule type="expression" dxfId="238" priority="257">
      <formula>IF(AND(OR(G311="",#REF!="Segment"),OR(#REF!="Accuracy",#REF!="Fluency",#REF!="Other")),1,0)</formula>
    </cfRule>
  </conditionalFormatting>
  <conditionalFormatting sqref="G312">
    <cfRule type="expression" dxfId="237" priority="256">
      <formula>IF(AND(OR(G312="",#REF!="Segment"),OR(#REF!="Accuracy",#REF!="Fluency",#REF!="Other")),1,0)</formula>
    </cfRule>
  </conditionalFormatting>
  <conditionalFormatting sqref="G313">
    <cfRule type="expression" dxfId="236" priority="255">
      <formula>IF(AND(OR(G313="",#REF!="Segment"),OR(#REF!="Accuracy",#REF!="Fluency",#REF!="Other")),1,0)</formula>
    </cfRule>
  </conditionalFormatting>
  <conditionalFormatting sqref="G314">
    <cfRule type="expression" dxfId="235" priority="254">
      <formula>IF(AND(OR(G314="",#REF!="Segment"),OR(#REF!="Accuracy",#REF!="Fluency",#REF!="Other")),1,0)</formula>
    </cfRule>
  </conditionalFormatting>
  <conditionalFormatting sqref="G315">
    <cfRule type="expression" dxfId="234" priority="253">
      <formula>IF(AND(OR(G315="",#REF!="Segment"),OR(#REF!="Accuracy",#REF!="Fluency",#REF!="Other")),1,0)</formula>
    </cfRule>
  </conditionalFormatting>
  <conditionalFormatting sqref="G316">
    <cfRule type="expression" dxfId="233" priority="252">
      <formula>IF(AND(OR(G316="",#REF!="Segment"),OR(#REF!="Accuracy",#REF!="Fluency",#REF!="Other")),1,0)</formula>
    </cfRule>
  </conditionalFormatting>
  <conditionalFormatting sqref="G317:G318">
    <cfRule type="expression" dxfId="232" priority="251">
      <formula>IF(AND(OR(G317="",#REF!="Segment"),OR(#REF!="Accuracy",#REF!="Fluency",#REF!="Other")),1,0)</formula>
    </cfRule>
  </conditionalFormatting>
  <conditionalFormatting sqref="G319">
    <cfRule type="expression" dxfId="231" priority="250">
      <formula>IF(AND(OR(G319="",#REF!="Segment"),OR(#REF!="Accuracy",#REF!="Fluency",#REF!="Other")),1,0)</formula>
    </cfRule>
  </conditionalFormatting>
  <conditionalFormatting sqref="G320">
    <cfRule type="expression" dxfId="230" priority="249">
      <formula>IF(AND(OR(G320="",#REF!="Segment"),OR(#REF!="Accuracy",#REF!="Fluency",#REF!="Other")),1,0)</formula>
    </cfRule>
  </conditionalFormatting>
  <conditionalFormatting sqref="G321">
    <cfRule type="expression" dxfId="229" priority="248">
      <formula>IF(AND(OR(G321="",#REF!="Segment"),OR(#REF!="Accuracy",#REF!="Fluency",#REF!="Other")),1,0)</formula>
    </cfRule>
  </conditionalFormatting>
  <conditionalFormatting sqref="G322">
    <cfRule type="expression" dxfId="228" priority="247">
      <formula>IF(AND(OR(G322="",#REF!="Segment"),OR(#REF!="Accuracy",#REF!="Fluency",#REF!="Other")),1,0)</formula>
    </cfRule>
  </conditionalFormatting>
  <conditionalFormatting sqref="G323">
    <cfRule type="expression" dxfId="227" priority="246">
      <formula>IF(AND(OR(G323="",#REF!="Segment"),OR(#REF!="Accuracy",#REF!="Fluency",#REF!="Other")),1,0)</formula>
    </cfRule>
  </conditionalFormatting>
  <conditionalFormatting sqref="G324">
    <cfRule type="expression" dxfId="226" priority="245">
      <formula>IF(AND(OR(G324="",#REF!="Segment"),OR(#REF!="Accuracy",#REF!="Fluency",#REF!="Other")),1,0)</formula>
    </cfRule>
  </conditionalFormatting>
  <conditionalFormatting sqref="G325">
    <cfRule type="expression" dxfId="225" priority="244">
      <formula>IF(AND(OR(G325="",#REF!="Segment"),OR(#REF!="Accuracy",#REF!="Fluency",#REF!="Other")),1,0)</formula>
    </cfRule>
  </conditionalFormatting>
  <conditionalFormatting sqref="G326">
    <cfRule type="expression" dxfId="224" priority="243">
      <formula>IF(AND(OR(G326="",#REF!="Segment"),OR(#REF!="Accuracy",#REF!="Fluency",#REF!="Other")),1,0)</formula>
    </cfRule>
  </conditionalFormatting>
  <conditionalFormatting sqref="G328">
    <cfRule type="expression" dxfId="223" priority="242">
      <formula>IF(AND(OR(G328="",#REF!="Segment"),OR(#REF!="Accuracy",#REF!="Fluency",#REF!="Other")),1,0)</formula>
    </cfRule>
  </conditionalFormatting>
  <conditionalFormatting sqref="G327">
    <cfRule type="expression" dxfId="222" priority="241">
      <formula>IF(AND(OR(G327="",#REF!="Segment"),OR(#REF!="Accuracy",#REF!="Fluency",#REF!="Other")),1,0)</formula>
    </cfRule>
  </conditionalFormatting>
  <conditionalFormatting sqref="G329">
    <cfRule type="expression" dxfId="221" priority="240">
      <formula>IF(OR(AND(G329="",H329="",OR(I331="Critical",I331="Major",I331="Minor"))),1,0)</formula>
    </cfRule>
  </conditionalFormatting>
  <conditionalFormatting sqref="G329">
    <cfRule type="expression" dxfId="220" priority="239">
      <formula>IF(AND(OR(G329="",#REF!="Segment"),OR(#REF!="Accuracy",#REF!="Fluency",#REF!="Other")),1,0)</formula>
    </cfRule>
  </conditionalFormatting>
  <conditionalFormatting sqref="G330">
    <cfRule type="expression" dxfId="219" priority="238">
      <formula>IF(AND(OR(G330="",#REF!="Segment"),OR(#REF!="Accuracy",#REF!="Fluency",#REF!="Other")),1,0)</formula>
    </cfRule>
  </conditionalFormatting>
  <conditionalFormatting sqref="G331">
    <cfRule type="expression" dxfId="218" priority="237">
      <formula>IF(AND(OR(G331="",#REF!="Segment"),OR(#REF!="Accuracy",#REF!="Fluency",#REF!="Other")),1,0)</formula>
    </cfRule>
  </conditionalFormatting>
  <conditionalFormatting sqref="G332">
    <cfRule type="expression" dxfId="217" priority="236">
      <formula>IF(AND(OR(G332="",#REF!="Segment"),OR(#REF!="Accuracy",#REF!="Fluency",#REF!="Other")),1,0)</formula>
    </cfRule>
  </conditionalFormatting>
  <conditionalFormatting sqref="G333">
    <cfRule type="expression" dxfId="216" priority="235">
      <formula>IF(AND(OR(G333="",#REF!="Segment"),OR(#REF!="Accuracy",#REF!="Fluency",#REF!="Other")),1,0)</formula>
    </cfRule>
  </conditionalFormatting>
  <conditionalFormatting sqref="G334">
    <cfRule type="expression" dxfId="215" priority="234">
      <formula>IF(AND(OR(G334="",#REF!="Segment"),OR(#REF!="Accuracy",#REF!="Fluency",#REF!="Other")),1,0)</formula>
    </cfRule>
  </conditionalFormatting>
  <conditionalFormatting sqref="G335">
    <cfRule type="expression" dxfId="214" priority="233">
      <formula>IF(AND(OR(G335="",#REF!="Segment"),OR(#REF!="Accuracy",#REF!="Fluency",#REF!="Other")),1,0)</formula>
    </cfRule>
  </conditionalFormatting>
  <conditionalFormatting sqref="G336">
    <cfRule type="expression" dxfId="213" priority="232">
      <formula>IF(AND(OR(G336="",#REF!="Segment"),OR(#REF!="Accuracy",#REF!="Fluency",#REF!="Other")),1,0)</formula>
    </cfRule>
  </conditionalFormatting>
  <conditionalFormatting sqref="G337">
    <cfRule type="expression" dxfId="212" priority="231">
      <formula>IF(AND(OR(G337="",#REF!="Segment"),OR(#REF!="Accuracy",#REF!="Fluency",#REF!="Other")),1,0)</formula>
    </cfRule>
  </conditionalFormatting>
  <conditionalFormatting sqref="G338">
    <cfRule type="expression" dxfId="211" priority="230">
      <formula>IF(AND(OR(G338="",#REF!="Segment"),OR(#REF!="Accuracy",#REF!="Fluency",#REF!="Other")),1,0)</formula>
    </cfRule>
  </conditionalFormatting>
  <conditionalFormatting sqref="G340">
    <cfRule type="expression" dxfId="210" priority="229">
      <formula>IF(AND(OR(G340="",#REF!="Segment"),OR(#REF!="Accuracy",#REF!="Fluency",#REF!="Other")),1,0)</formula>
    </cfRule>
  </conditionalFormatting>
  <conditionalFormatting sqref="G341">
    <cfRule type="expression" dxfId="209" priority="228">
      <formula>IF(AND(OR(G341="",#REF!="Segment"),OR(#REF!="Accuracy",#REF!="Fluency",#REF!="Other")),1,0)</formula>
    </cfRule>
  </conditionalFormatting>
  <conditionalFormatting sqref="G343">
    <cfRule type="expression" dxfId="208" priority="227">
      <formula>IF(AND(OR(G343="",#REF!="Segment"),OR(#REF!="Accuracy",#REF!="Fluency",#REF!="Other")),1,0)</formula>
    </cfRule>
  </conditionalFormatting>
  <conditionalFormatting sqref="G345">
    <cfRule type="expression" dxfId="207" priority="226">
      <formula>IF(AND(OR(G345="",#REF!="Segment"),OR(#REF!="Accuracy",#REF!="Fluency",#REF!="Other")),1,0)</formula>
    </cfRule>
  </conditionalFormatting>
  <conditionalFormatting sqref="G346">
    <cfRule type="expression" dxfId="206" priority="225">
      <formula>IF(AND(OR(G346="",#REF!="Segment"),OR(#REF!="Accuracy",#REF!="Fluency",#REF!="Other")),1,0)</formula>
    </cfRule>
  </conditionalFormatting>
  <conditionalFormatting sqref="G347">
    <cfRule type="expression" dxfId="205" priority="224">
      <formula>IF(AND(OR(G347="",#REF!="Segment"),OR(#REF!="Accuracy",#REF!="Fluency",#REF!="Other")),1,0)</formula>
    </cfRule>
  </conditionalFormatting>
  <conditionalFormatting sqref="G348:G349">
    <cfRule type="expression" dxfId="204" priority="223">
      <formula>IF(AND(OR(G348="",#REF!="Segment"),OR(#REF!="Accuracy",#REF!="Fluency",#REF!="Other")),1,0)</formula>
    </cfRule>
  </conditionalFormatting>
  <conditionalFormatting sqref="G350">
    <cfRule type="expression" dxfId="203" priority="222">
      <formula>IF(AND(OR(G350="",#REF!="Segment"),OR(#REF!="Accuracy",#REF!="Fluency",#REF!="Other")),1,0)</formula>
    </cfRule>
  </conditionalFormatting>
  <conditionalFormatting sqref="G351">
    <cfRule type="expression" dxfId="202" priority="221">
      <formula>IF(AND(OR(G351="",#REF!="Segment"),OR(#REF!="Accuracy",#REF!="Fluency",#REF!="Other")),1,0)</formula>
    </cfRule>
  </conditionalFormatting>
  <conditionalFormatting sqref="G352:G353">
    <cfRule type="expression" dxfId="201" priority="220">
      <formula>IF(AND(OR(G352="",#REF!="Segment"),OR(#REF!="Accuracy",#REF!="Fluency",#REF!="Other")),1,0)</formula>
    </cfRule>
  </conditionalFormatting>
  <conditionalFormatting sqref="G354">
    <cfRule type="expression" dxfId="200" priority="219">
      <formula>IF(AND(OR(G354="",#REF!="Segment"),OR(#REF!="Accuracy",#REF!="Fluency",#REF!="Other")),1,0)</formula>
    </cfRule>
  </conditionalFormatting>
  <conditionalFormatting sqref="G355">
    <cfRule type="expression" dxfId="199" priority="218">
      <formula>IF(AND(OR(G355="",#REF!="Segment"),OR(#REF!="Accuracy",#REF!="Fluency",#REF!="Other")),1,0)</formula>
    </cfRule>
  </conditionalFormatting>
  <conditionalFormatting sqref="G356">
    <cfRule type="expression" dxfId="198" priority="216">
      <formula>IF(OR(AND(G356="",H356="",OR(I356="Critical",I356="Major",I356="Minor"))),1,0)</formula>
    </cfRule>
  </conditionalFormatting>
  <conditionalFormatting sqref="G356">
    <cfRule type="expression" dxfId="197" priority="217">
      <formula>IF(AND(OR(G356="",#REF!="Segment"),OR(#REF!="Accuracy",#REF!="Fluency",#REF!="Other")),1,0)</formula>
    </cfRule>
  </conditionalFormatting>
  <conditionalFormatting sqref="E357:G357">
    <cfRule type="expression" dxfId="196" priority="213">
      <formula>IF(OR(AND(E357="",F357="",OR(G357="Critical",G357="Major",G357="Minor"))),1,0)</formula>
    </cfRule>
  </conditionalFormatting>
  <conditionalFormatting sqref="F357">
    <cfRule type="expression" dxfId="195" priority="212">
      <formula>IF(AND(F357="",OR(E357="Accuracy",E357="Fluency",E357="Segment",E357="Other")),1,0)</formula>
    </cfRule>
  </conditionalFormatting>
  <conditionalFormatting sqref="G357">
    <cfRule type="expression" dxfId="194" priority="214">
      <formula>IF(AND(OR(G357="",#REF!="Segment"),OR(#REF!="Accuracy",#REF!="Fluency",#REF!="Other")),1,0)</formula>
    </cfRule>
  </conditionalFormatting>
  <conditionalFormatting sqref="G358">
    <cfRule type="expression" dxfId="193" priority="210">
      <formula>IF(OR(AND(G358="",H358="",OR(I358="Critical",I358="Major",I358="Minor"))),1,0)</formula>
    </cfRule>
  </conditionalFormatting>
  <conditionalFormatting sqref="G358">
    <cfRule type="expression" dxfId="192" priority="211">
      <formula>IF(AND(OR(G358="",#REF!="Segment"),OR(#REF!="Accuracy",#REF!="Fluency",#REF!="Other")),1,0)</formula>
    </cfRule>
  </conditionalFormatting>
  <conditionalFormatting sqref="G359">
    <cfRule type="expression" dxfId="191" priority="207">
      <formula>IF(OR(AND(G359="",H359="",OR(I359="Critical",I359="Major",I359="Minor"))),1,0)</formula>
    </cfRule>
  </conditionalFormatting>
  <conditionalFormatting sqref="G359">
    <cfRule type="expression" dxfId="190" priority="208">
      <formula>IF(AND(OR(G359="",#REF!="Segment"),OR(#REF!="Accuracy",#REF!="Fluency",#REF!="Other")),1,0)</formula>
    </cfRule>
  </conditionalFormatting>
  <conditionalFormatting sqref="E360:G360">
    <cfRule type="expression" dxfId="189" priority="204">
      <formula>IF(OR(AND(E360="",F360="",OR(G360="Critical",G360="Major",G360="Minor"))),1,0)</formula>
    </cfRule>
  </conditionalFormatting>
  <conditionalFormatting sqref="F360">
    <cfRule type="expression" dxfId="188" priority="203">
      <formula>IF(AND(F360="",OR(E360="Accuracy",E360="Fluency",E360="Segment",E360="Other")),1,0)</formula>
    </cfRule>
  </conditionalFormatting>
  <conditionalFormatting sqref="G360">
    <cfRule type="expression" dxfId="187" priority="205">
      <formula>IF(AND(OR(G360="",#REF!="Segment"),OR(#REF!="Accuracy",#REF!="Fluency",#REF!="Other")),1,0)</formula>
    </cfRule>
  </conditionalFormatting>
  <conditionalFormatting sqref="G361">
    <cfRule type="expression" dxfId="186" priority="201">
      <formula>IF(OR(AND(G361="",H361="",OR(I361="Critical",I361="Major",I361="Minor"))),1,0)</formula>
    </cfRule>
  </conditionalFormatting>
  <conditionalFormatting sqref="G361">
    <cfRule type="expression" dxfId="185" priority="202">
      <formula>IF(AND(OR(G361="",#REF!="Segment"),OR(#REF!="Accuracy",#REF!="Fluency",#REF!="Other")),1,0)</formula>
    </cfRule>
  </conditionalFormatting>
  <conditionalFormatting sqref="E362:G362">
    <cfRule type="expression" dxfId="184" priority="197">
      <formula>IF(OR(AND(E362="",F362="",OR(G362="Critical",G362="Major",G362="Minor"))),1,0)</formula>
    </cfRule>
  </conditionalFormatting>
  <conditionalFormatting sqref="F362">
    <cfRule type="expression" dxfId="183" priority="196">
      <formula>IF(AND(F362="",OR(E362="Accuracy",E362="Fluency",E362="Segment",E362="Other")),1,0)</formula>
    </cfRule>
  </conditionalFormatting>
  <conditionalFormatting sqref="G362">
    <cfRule type="expression" dxfId="182" priority="198">
      <formula>IF(AND(OR(G362="",#REF!="Segment"),OR(#REF!="Accuracy",#REF!="Fluency",#REF!="Other")),1,0)</formula>
    </cfRule>
  </conditionalFormatting>
  <conditionalFormatting sqref="E363:G363">
    <cfRule type="expression" dxfId="181" priority="194">
      <formula>IF(OR(AND(E363="",F363="",OR(G363="Critical",G363="Major",G363="Minor"))),1,0)</formula>
    </cfRule>
  </conditionalFormatting>
  <conditionalFormatting sqref="F363">
    <cfRule type="expression" dxfId="180" priority="193">
      <formula>IF(AND(F363="",OR(E363="Accuracy",E363="Fluency",E363="Segment",E363="Other")),1,0)</formula>
    </cfRule>
  </conditionalFormatting>
  <conditionalFormatting sqref="G363">
    <cfRule type="expression" dxfId="179" priority="195">
      <formula>IF(AND(OR(G363="",#REF!="Segment"),OR(#REF!="Accuracy",#REF!="Fluency",#REF!="Other")),1,0)</formula>
    </cfRule>
  </conditionalFormatting>
  <conditionalFormatting sqref="E364:G364">
    <cfRule type="expression" dxfId="178" priority="191">
      <formula>IF(OR(AND(E364="",F364="",OR(G364="Critical",G364="Major",G364="Minor"))),1,0)</formula>
    </cfRule>
  </conditionalFormatting>
  <conditionalFormatting sqref="F364">
    <cfRule type="expression" dxfId="177" priority="190">
      <formula>IF(AND(F364="",OR(E364="Accuracy",E364="Fluency",E364="Segment",E364="Other")),1,0)</formula>
    </cfRule>
  </conditionalFormatting>
  <conditionalFormatting sqref="G364">
    <cfRule type="expression" dxfId="176" priority="192">
      <formula>IF(AND(OR(G364="",#REF!="Segment"),OR(#REF!="Accuracy",#REF!="Fluency",#REF!="Other")),1,0)</formula>
    </cfRule>
  </conditionalFormatting>
  <conditionalFormatting sqref="E365:G365">
    <cfRule type="expression" dxfId="175" priority="188">
      <formula>IF(OR(AND(E365="",F365="",OR(G365="Critical",G365="Major",G365="Minor"))),1,0)</formula>
    </cfRule>
  </conditionalFormatting>
  <conditionalFormatting sqref="F365">
    <cfRule type="expression" dxfId="174" priority="187">
      <formula>IF(AND(F365="",OR(E365="Accuracy",E365="Fluency",E365="Segment",E365="Other")),1,0)</formula>
    </cfRule>
  </conditionalFormatting>
  <conditionalFormatting sqref="G365">
    <cfRule type="expression" dxfId="173" priority="189">
      <formula>IF(AND(OR(G365="",#REF!="Segment"),OR(#REF!="Accuracy",#REF!="Fluency",#REF!="Other")),1,0)</formula>
    </cfRule>
  </conditionalFormatting>
  <conditionalFormatting sqref="H370">
    <cfRule type="expression" dxfId="172" priority="186">
      <formula>IF(OR(AND(H370="",J370="",OR(#REF!="Critical",#REF!="Major",#REF!="Minor"))),1,0)</formula>
    </cfRule>
  </conditionalFormatting>
  <conditionalFormatting sqref="G369">
    <cfRule type="expression" dxfId="171" priority="184">
      <formula>IF(OR(AND(G369="",H369="",OR(I369="Critical",I369="Major",I369="Minor"))),1,0)</formula>
    </cfRule>
  </conditionalFormatting>
  <conditionalFormatting sqref="G369">
    <cfRule type="expression" dxfId="170" priority="185">
      <formula>IF(AND(OR(G369="",#REF!="Segment"),OR(#REF!="Accuracy",#REF!="Fluency",#REF!="Other")),1,0)</formula>
    </cfRule>
  </conditionalFormatting>
  <conditionalFormatting sqref="G366">
    <cfRule type="expression" dxfId="169" priority="182">
      <formula>IF(OR(AND(G366="",H366="",OR(I366="Critical",I366="Major",I366="Minor"))),1,0)</formula>
    </cfRule>
  </conditionalFormatting>
  <conditionalFormatting sqref="G366">
    <cfRule type="expression" dxfId="168" priority="183">
      <formula>IF(AND(OR(G366="",#REF!="Segment"),OR(#REF!="Accuracy",#REF!="Fluency",#REF!="Other")),1,0)</formula>
    </cfRule>
  </conditionalFormatting>
  <conditionalFormatting sqref="G367">
    <cfRule type="expression" dxfId="167" priority="179">
      <formula>IF(OR(AND(G367="",H367="",OR(I367="Critical",I367="Major",I367="Minor"))),1,0)</formula>
    </cfRule>
  </conditionalFormatting>
  <conditionalFormatting sqref="G367">
    <cfRule type="expression" dxfId="166" priority="180">
      <formula>IF(AND(OR(G367="",#REF!="Segment"),OR(#REF!="Accuracy",#REF!="Fluency",#REF!="Other")),1,0)</formula>
    </cfRule>
  </conditionalFormatting>
  <conditionalFormatting sqref="E368:G368">
    <cfRule type="expression" dxfId="165" priority="176">
      <formula>IF(OR(AND(E368="",F368="",OR(G368="Critical",G368="Major",G368="Minor"))),1,0)</formula>
    </cfRule>
  </conditionalFormatting>
  <conditionalFormatting sqref="F368">
    <cfRule type="expression" dxfId="164" priority="175">
      <formula>IF(AND(F368="",OR(E368="Accuracy",E368="Fluency",E368="Segment",E368="Other")),1,0)</formula>
    </cfRule>
  </conditionalFormatting>
  <conditionalFormatting sqref="G368">
    <cfRule type="expression" dxfId="163" priority="177">
      <formula>IF(AND(OR(G368="",#REF!="Segment"),OR(#REF!="Accuracy",#REF!="Fluency",#REF!="Other")),1,0)</formula>
    </cfRule>
  </conditionalFormatting>
  <conditionalFormatting sqref="E369:F369">
    <cfRule type="expression" dxfId="162" priority="174">
      <formula>IF(OR(AND(E369="",F369="",OR(G369="Critical",G369="Major",G369="Minor"))),1,0)</formula>
    </cfRule>
  </conditionalFormatting>
  <conditionalFormatting sqref="F369">
    <cfRule type="expression" dxfId="161" priority="173">
      <formula>IF(AND(F369="",OR(E369="Accuracy",E369="Fluency",E369="Segment",E369="Other")),1,0)</formula>
    </cfRule>
  </conditionalFormatting>
  <conditionalFormatting sqref="G370">
    <cfRule type="expression" dxfId="160" priority="171">
      <formula>IF(OR(AND(G370="",H370="",OR(I370="Critical",I370="Major",I370="Minor"))),1,0)</formula>
    </cfRule>
  </conditionalFormatting>
  <conditionalFormatting sqref="G370">
    <cfRule type="expression" dxfId="159" priority="172">
      <formula>IF(AND(OR(G370="",#REF!="Segment"),OR(#REF!="Accuracy",#REF!="Fluency",#REF!="Other")),1,0)</formula>
    </cfRule>
  </conditionalFormatting>
  <conditionalFormatting sqref="E370:F370">
    <cfRule type="expression" dxfId="158" priority="170">
      <formula>IF(OR(AND(E370="",F370="",OR(G370="Critical",G370="Major",G370="Minor"))),1,0)</formula>
    </cfRule>
  </conditionalFormatting>
  <conditionalFormatting sqref="F370">
    <cfRule type="expression" dxfId="157" priority="169">
      <formula>IF(AND(F370="",OR(E370="Accuracy",E370="Fluency",E370="Segment",E370="Other")),1,0)</formula>
    </cfRule>
  </conditionalFormatting>
  <conditionalFormatting sqref="G371">
    <cfRule type="expression" dxfId="156" priority="167">
      <formula>IF(OR(AND(G371="",H371="",OR(I371="Critical",I371="Major",I371="Minor"))),1,0)</formula>
    </cfRule>
  </conditionalFormatting>
  <conditionalFormatting sqref="G371">
    <cfRule type="expression" dxfId="155" priority="168">
      <formula>IF(AND(OR(G371="",#REF!="Segment"),OR(#REF!="Accuracy",#REF!="Fluency",#REF!="Other")),1,0)</formula>
    </cfRule>
  </conditionalFormatting>
  <conditionalFormatting sqref="G372">
    <cfRule type="expression" dxfId="154" priority="164">
      <formula>IF(OR(AND(G372="",H372="",OR(I372="Critical",I372="Major",I372="Minor"))),1,0)</formula>
    </cfRule>
  </conditionalFormatting>
  <conditionalFormatting sqref="G372">
    <cfRule type="expression" dxfId="153" priority="165">
      <formula>IF(AND(OR(G372="",#REF!="Segment"),OR(#REF!="Accuracy",#REF!="Fluency",#REF!="Other")),1,0)</formula>
    </cfRule>
  </conditionalFormatting>
  <conditionalFormatting sqref="E375:G375 G373:G374">
    <cfRule type="expression" dxfId="152" priority="161">
      <formula>IF(OR(AND(E373="",F373="",OR(G373="Critical",G373="Major",G373="Minor"))),1,0)</formula>
    </cfRule>
  </conditionalFormatting>
  <conditionalFormatting sqref="F375">
    <cfRule type="expression" dxfId="151" priority="160">
      <formula>IF(AND(F375="",OR(E375="Accuracy",E375="Fluency",E375="Segment",E375="Other")),1,0)</formula>
    </cfRule>
  </conditionalFormatting>
  <conditionalFormatting sqref="G373:G375">
    <cfRule type="expression" dxfId="150" priority="162">
      <formula>IF(AND(OR(G373="",#REF!="Segment"),OR(#REF!="Accuracy",#REF!="Fluency",#REF!="Other")),1,0)</formula>
    </cfRule>
  </conditionalFormatting>
  <conditionalFormatting sqref="E376:G376">
    <cfRule type="expression" dxfId="149" priority="158">
      <formula>IF(OR(AND(E376="",F376="",OR(G376="Critical",G376="Major",G376="Minor"))),1,0)</formula>
    </cfRule>
  </conditionalFormatting>
  <conditionalFormatting sqref="F376">
    <cfRule type="expression" dxfId="148" priority="157">
      <formula>IF(AND(F376="",OR(E376="Accuracy",E376="Fluency",E376="Segment",E376="Other")),1,0)</formula>
    </cfRule>
  </conditionalFormatting>
  <conditionalFormatting sqref="G376">
    <cfRule type="expression" dxfId="147" priority="159">
      <formula>IF(AND(OR(G376="",#REF!="Segment"),OR(#REF!="Accuracy",#REF!="Fluency",#REF!="Other")),1,0)</formula>
    </cfRule>
  </conditionalFormatting>
  <conditionalFormatting sqref="G377">
    <cfRule type="expression" dxfId="146" priority="155">
      <formula>IF(OR(AND(G377="",H377="",OR(I377="Critical",I377="Major",I377="Minor"))),1,0)</formula>
    </cfRule>
  </conditionalFormatting>
  <conditionalFormatting sqref="G377">
    <cfRule type="expression" dxfId="145" priority="156">
      <formula>IF(AND(OR(G377="",#REF!="Segment"),OR(#REF!="Accuracy",#REF!="Fluency",#REF!="Other")),1,0)</formula>
    </cfRule>
  </conditionalFormatting>
  <conditionalFormatting sqref="E378">
    <cfRule type="expression" dxfId="144" priority="153">
      <formula>IF(OR(AND(E378="",F378="",OR(G378="Critical",G378="Major",G378="Minor"))),1,0)</formula>
    </cfRule>
  </conditionalFormatting>
  <conditionalFormatting sqref="F378:G378">
    <cfRule type="expression" dxfId="143" priority="151">
      <formula>IF(OR(AND(F378="",G378="",OR(H378="Critical",H378="Major",H378="Minor"))),1,0)</formula>
    </cfRule>
  </conditionalFormatting>
  <conditionalFormatting sqref="F378">
    <cfRule type="expression" dxfId="142" priority="150">
      <formula>IF(AND(F378="",OR(E378="Accuracy",E378="Fluency",E378="Segment",E378="Other")),1,0)</formula>
    </cfRule>
  </conditionalFormatting>
  <conditionalFormatting sqref="G378">
    <cfRule type="expression" dxfId="141" priority="152">
      <formula>IF(AND(OR(G378="",#REF!="Segment"),OR(#REF!="Accuracy",#REF!="Fluency",#REF!="Other")),1,0)</formula>
    </cfRule>
  </conditionalFormatting>
  <conditionalFormatting sqref="G379">
    <cfRule type="expression" dxfId="140" priority="148">
      <formula>IF(OR(AND(G379="",H379="",OR(I379="Critical",I379="Major",I379="Minor"))),1,0)</formula>
    </cfRule>
  </conditionalFormatting>
  <conditionalFormatting sqref="G379">
    <cfRule type="expression" dxfId="139" priority="149">
      <formula>IF(AND(OR(G379="",#REF!="Segment"),OR(#REF!="Accuracy",#REF!="Fluency",#REF!="Other")),1,0)</formula>
    </cfRule>
  </conditionalFormatting>
  <conditionalFormatting sqref="E381:G382 G380">
    <cfRule type="expression" dxfId="138" priority="145">
      <formula>IF(OR(AND(E380="",F380="",OR(G380="Critical",G380="Major",G380="Minor"))),1,0)</formula>
    </cfRule>
  </conditionalFormatting>
  <conditionalFormatting sqref="F381:F382">
    <cfRule type="expression" dxfId="137" priority="144">
      <formula>IF(AND(F381="",OR(E381="Accuracy",E381="Fluency",E381="Segment",E381="Other")),1,0)</formula>
    </cfRule>
  </conditionalFormatting>
  <conditionalFormatting sqref="G380:G382">
    <cfRule type="expression" dxfId="136" priority="146">
      <formula>IF(AND(OR(G380="",#REF!="Segment"),OR(#REF!="Accuracy",#REF!="Fluency",#REF!="Other")),1,0)</formula>
    </cfRule>
  </conditionalFormatting>
  <conditionalFormatting sqref="G380">
    <cfRule type="expression" dxfId="135" priority="143">
      <formula>IF(AND(OR(G380="",#REF!="Segment"),OR(#REF!="Accuracy",#REF!="Fluency",#REF!="Other")),1,0)</formula>
    </cfRule>
  </conditionalFormatting>
  <conditionalFormatting sqref="G380">
    <cfRule type="expression" dxfId="134" priority="142">
      <formula>IF(AND(OR(G380="",#REF!="Segment"),OR(#REF!="Accuracy",#REF!="Fluency",#REF!="Other")),1,0)</formula>
    </cfRule>
  </conditionalFormatting>
  <conditionalFormatting sqref="G381">
    <cfRule type="expression" dxfId="133" priority="141">
      <formula>IF(AND(OR(G381="",#REF!="Segment"),OR(#REF!="Accuracy",#REF!="Fluency",#REF!="Other")),1,0)</formula>
    </cfRule>
  </conditionalFormatting>
  <conditionalFormatting sqref="G381">
    <cfRule type="expression" dxfId="132" priority="140">
      <formula>IF(AND(OR(G381="",#REF!="Segment"),OR(#REF!="Accuracy",#REF!="Fluency",#REF!="Other")),1,0)</formula>
    </cfRule>
  </conditionalFormatting>
  <conditionalFormatting sqref="E383:G383">
    <cfRule type="expression" dxfId="131" priority="138">
      <formula>IF(OR(AND(E383="",F383="",OR(G383="Critical",G383="Major",G383="Minor"))),1,0)</formula>
    </cfRule>
  </conditionalFormatting>
  <conditionalFormatting sqref="F383">
    <cfRule type="expression" dxfId="130" priority="137">
      <formula>IF(AND(F383="",OR(E383="Accuracy",E383="Fluency",E383="Segment",E383="Other")),1,0)</formula>
    </cfRule>
  </conditionalFormatting>
  <conditionalFormatting sqref="G383">
    <cfRule type="expression" dxfId="129" priority="139">
      <formula>IF(AND(OR(G383="",#REF!="Segment"),OR(#REF!="Accuracy",#REF!="Fluency",#REF!="Other")),1,0)</formula>
    </cfRule>
  </conditionalFormatting>
  <conditionalFormatting sqref="E384:G384">
    <cfRule type="expression" dxfId="128" priority="135">
      <formula>IF(OR(AND(E384="",F384="",OR(G384="Critical",G384="Major",G384="Minor"))),1,0)</formula>
    </cfRule>
  </conditionalFormatting>
  <conditionalFormatting sqref="F384">
    <cfRule type="expression" dxfId="127" priority="134">
      <formula>IF(AND(F384="",OR(E384="Accuracy",E384="Fluency",E384="Segment",E384="Other")),1,0)</formula>
    </cfRule>
  </conditionalFormatting>
  <conditionalFormatting sqref="G384">
    <cfRule type="expression" dxfId="126" priority="136">
      <formula>IF(AND(OR(G384="",#REF!="Segment"),OR(#REF!="Accuracy",#REF!="Fluency",#REF!="Other")),1,0)</formula>
    </cfRule>
  </conditionalFormatting>
  <conditionalFormatting sqref="G385">
    <cfRule type="expression" dxfId="125" priority="132">
      <formula>IF(OR(AND(G385="",H385="",OR(I385="Critical",I385="Major",I385="Minor"))),1,0)</formula>
    </cfRule>
  </conditionalFormatting>
  <conditionalFormatting sqref="G385">
    <cfRule type="expression" dxfId="124" priority="133">
      <formula>IF(AND(OR(G385="",#REF!="Segment"),OR(#REF!="Accuracy",#REF!="Fluency",#REF!="Other")),1,0)</formula>
    </cfRule>
  </conditionalFormatting>
  <conditionalFormatting sqref="E385:F385">
    <cfRule type="expression" dxfId="123" priority="131">
      <formula>IF(OR(AND(E385="",F385="",OR(G385="Critical",G385="Major",G385="Minor"))),1,0)</formula>
    </cfRule>
  </conditionalFormatting>
  <conditionalFormatting sqref="F385">
    <cfRule type="expression" dxfId="122" priority="130">
      <formula>IF(AND(F385="",OR(E385="Accuracy",E385="Fluency",E385="Segment",E385="Other")),1,0)</formula>
    </cfRule>
  </conditionalFormatting>
  <conditionalFormatting sqref="G386">
    <cfRule type="expression" dxfId="121" priority="128">
      <formula>IF(OR(AND(G386="",H386="",OR(I386="Critical",I386="Major",I386="Minor"))),1,0)</formula>
    </cfRule>
  </conditionalFormatting>
  <conditionalFormatting sqref="G386">
    <cfRule type="expression" dxfId="120" priority="129">
      <formula>IF(AND(OR(G386="",#REF!="Segment"),OR(#REF!="Accuracy",#REF!="Fluency",#REF!="Other")),1,0)</formula>
    </cfRule>
  </conditionalFormatting>
  <conditionalFormatting sqref="E386:F386">
    <cfRule type="expression" dxfId="119" priority="127">
      <formula>IF(OR(AND(E386="",F386="",OR(G386="Critical",G386="Major",G386="Minor"))),1,0)</formula>
    </cfRule>
  </conditionalFormatting>
  <conditionalFormatting sqref="F386">
    <cfRule type="expression" dxfId="118" priority="126">
      <formula>IF(AND(F386="",OR(E386="Accuracy",E386="Fluency",E386="Segment",E386="Other")),1,0)</formula>
    </cfRule>
  </conditionalFormatting>
  <conditionalFormatting sqref="G387">
    <cfRule type="expression" dxfId="117" priority="124">
      <formula>IF(OR(AND(G387="",H387="",OR(I387="Critical",I387="Major",I387="Minor"))),1,0)</formula>
    </cfRule>
  </conditionalFormatting>
  <conditionalFormatting sqref="G387">
    <cfRule type="expression" dxfId="116" priority="125">
      <formula>IF(AND(OR(G387="",#REF!="Segment"),OR(#REF!="Accuracy",#REF!="Fluency",#REF!="Other")),1,0)</formula>
    </cfRule>
  </conditionalFormatting>
  <conditionalFormatting sqref="G388">
    <cfRule type="expression" dxfId="115" priority="121">
      <formula>IF(OR(AND(G388="",H388="",OR(I388="Critical",I388="Major",I388="Minor"))),1,0)</formula>
    </cfRule>
  </conditionalFormatting>
  <conditionalFormatting sqref="G388">
    <cfRule type="expression" dxfId="114" priority="122">
      <formula>IF(AND(OR(G388="",#REF!="Segment"),OR(#REF!="Accuracy",#REF!="Fluency",#REF!="Other")),1,0)</formula>
    </cfRule>
  </conditionalFormatting>
  <conditionalFormatting sqref="G389">
    <cfRule type="expression" dxfId="113" priority="118">
      <formula>IF(OR(AND(G389="",H389="",OR(I389="Critical",I389="Major",I389="Minor"))),1,0)</formula>
    </cfRule>
  </conditionalFormatting>
  <conditionalFormatting sqref="G389">
    <cfRule type="expression" dxfId="112" priority="119">
      <formula>IF(AND(OR(G389="",#REF!="Segment"),OR(#REF!="Accuracy",#REF!="Fluency",#REF!="Other")),1,0)</formula>
    </cfRule>
  </conditionalFormatting>
  <conditionalFormatting sqref="E390:G391">
    <cfRule type="expression" dxfId="111" priority="115">
      <formula>IF(OR(AND(E390="",F390="",OR(G390="Critical",G390="Major",G390="Minor"))),1,0)</formula>
    </cfRule>
  </conditionalFormatting>
  <conditionalFormatting sqref="F390:F391">
    <cfRule type="expression" dxfId="110" priority="114">
      <formula>IF(AND(F390="",OR(E390="Accuracy",E390="Fluency",E390="Segment",E390="Other")),1,0)</formula>
    </cfRule>
  </conditionalFormatting>
  <conditionalFormatting sqref="G390:G391">
    <cfRule type="expression" dxfId="109" priority="116">
      <formula>IF(AND(OR(G390="",#REF!="Segment"),OR(#REF!="Accuracy",#REF!="Fluency",#REF!="Other")),1,0)</formula>
    </cfRule>
  </conditionalFormatting>
  <conditionalFormatting sqref="E392:G392">
    <cfRule type="expression" dxfId="108" priority="112">
      <formula>IF(OR(AND(E392="",F392="",OR(G392="Critical",G392="Major",G392="Minor"))),1,0)</formula>
    </cfRule>
  </conditionalFormatting>
  <conditionalFormatting sqref="F392">
    <cfRule type="expression" dxfId="107" priority="111">
      <formula>IF(AND(F392="",OR(E392="Accuracy",E392="Fluency",E392="Segment",E392="Other")),1,0)</formula>
    </cfRule>
  </conditionalFormatting>
  <conditionalFormatting sqref="G392">
    <cfRule type="expression" dxfId="106" priority="113">
      <formula>IF(AND(OR(G392="",#REF!="Segment"),OR(#REF!="Accuracy",#REF!="Fluency",#REF!="Other")),1,0)</formula>
    </cfRule>
  </conditionalFormatting>
  <conditionalFormatting sqref="E393:G393">
    <cfRule type="expression" dxfId="105" priority="109">
      <formula>IF(OR(AND(E393="",F393="",OR(G393="Critical",G393="Major",G393="Minor"))),1,0)</formula>
    </cfRule>
  </conditionalFormatting>
  <conditionalFormatting sqref="F393">
    <cfRule type="expression" dxfId="104" priority="108">
      <formula>IF(AND(F393="",OR(E393="Accuracy",E393="Fluency",E393="Segment",E393="Other")),1,0)</formula>
    </cfRule>
  </conditionalFormatting>
  <conditionalFormatting sqref="G393">
    <cfRule type="expression" dxfId="103" priority="110">
      <formula>IF(AND(OR(G393="",#REF!="Segment"),OR(#REF!="Accuracy",#REF!="Fluency",#REF!="Other")),1,0)</formula>
    </cfRule>
  </conditionalFormatting>
  <conditionalFormatting sqref="G394">
    <cfRule type="expression" dxfId="102" priority="106">
      <formula>IF(OR(AND(G394="",H394="",OR(I394="Critical",I394="Major",I394="Minor"))),1,0)</formula>
    </cfRule>
  </conditionalFormatting>
  <conditionalFormatting sqref="G394">
    <cfRule type="expression" dxfId="101" priority="107">
      <formula>IF(AND(OR(G394="",#REF!="Segment"),OR(#REF!="Accuracy",#REF!="Fluency",#REF!="Other")),1,0)</formula>
    </cfRule>
  </conditionalFormatting>
  <conditionalFormatting sqref="G395">
    <cfRule type="expression" dxfId="100" priority="103">
      <formula>IF(OR(AND(G395="",H395="",OR(I395="Critical",I395="Major",I395="Minor"))),1,0)</formula>
    </cfRule>
  </conditionalFormatting>
  <conditionalFormatting sqref="G395">
    <cfRule type="expression" dxfId="99" priority="104">
      <formula>IF(AND(OR(G395="",#REF!="Segment"),OR(#REF!="Accuracy",#REF!="Fluency",#REF!="Other")),1,0)</formula>
    </cfRule>
  </conditionalFormatting>
  <conditionalFormatting sqref="E396:G396">
    <cfRule type="expression" dxfId="98" priority="100">
      <formula>IF(OR(AND(E396="",F396="",OR(G396="Critical",G396="Major",G396="Minor"))),1,0)</formula>
    </cfRule>
  </conditionalFormatting>
  <conditionalFormatting sqref="F396">
    <cfRule type="expression" dxfId="97" priority="99">
      <formula>IF(AND(F396="",OR(E396="Accuracy",E396="Fluency",E396="Segment",E396="Other")),1,0)</formula>
    </cfRule>
  </conditionalFormatting>
  <conditionalFormatting sqref="G396">
    <cfRule type="expression" dxfId="96" priority="101">
      <formula>IF(AND(OR(G396="",#REF!="Segment"),OR(#REF!="Accuracy",#REF!="Fluency",#REF!="Other")),1,0)</formula>
    </cfRule>
  </conditionalFormatting>
  <conditionalFormatting sqref="E397:G397">
    <cfRule type="expression" dxfId="95" priority="97">
      <formula>IF(OR(AND(E397="",F397="",OR(G397="Critical",G397="Major",G397="Minor"))),1,0)</formula>
    </cfRule>
  </conditionalFormatting>
  <conditionalFormatting sqref="F397">
    <cfRule type="expression" dxfId="94" priority="96">
      <formula>IF(AND(F397="",OR(E397="Accuracy",E397="Fluency",E397="Segment",E397="Other")),1,0)</formula>
    </cfRule>
  </conditionalFormatting>
  <conditionalFormatting sqref="G397">
    <cfRule type="expression" dxfId="93" priority="98">
      <formula>IF(AND(OR(G397="",#REF!="Segment"),OR(#REF!="Accuracy",#REF!="Fluency",#REF!="Other")),1,0)</formula>
    </cfRule>
  </conditionalFormatting>
  <conditionalFormatting sqref="E398:G398">
    <cfRule type="expression" dxfId="92" priority="94">
      <formula>IF(OR(AND(E398="",F398="",OR(G398="Critical",G398="Major",G398="Minor"))),1,0)</formula>
    </cfRule>
  </conditionalFormatting>
  <conditionalFormatting sqref="F398">
    <cfRule type="expression" dxfId="91" priority="93">
      <formula>IF(AND(F398="",OR(E398="Accuracy",E398="Fluency",E398="Segment",E398="Other")),1,0)</formula>
    </cfRule>
  </conditionalFormatting>
  <conditionalFormatting sqref="G398">
    <cfRule type="expression" dxfId="90" priority="95">
      <formula>IF(AND(OR(G398="",#REF!="Segment"),OR(#REF!="Accuracy",#REF!="Fluency",#REF!="Other")),1,0)</formula>
    </cfRule>
  </conditionalFormatting>
  <conditionalFormatting sqref="G399">
    <cfRule type="expression" dxfId="89" priority="91">
      <formula>IF(OR(AND(G399="",H399="",OR(I399="Critical",I399="Major",I399="Minor"))),1,0)</formula>
    </cfRule>
  </conditionalFormatting>
  <conditionalFormatting sqref="G399">
    <cfRule type="expression" dxfId="88" priority="92">
      <formula>IF(AND(OR(G399="",#REF!="Segment"),OR(#REF!="Accuracy",#REF!="Fluency",#REF!="Other")),1,0)</formula>
    </cfRule>
  </conditionalFormatting>
  <conditionalFormatting sqref="E400:G400">
    <cfRule type="expression" dxfId="87" priority="88">
      <formula>IF(OR(AND(E400="",F400="",OR(G400="Critical",G400="Major",G400="Minor"))),1,0)</formula>
    </cfRule>
  </conditionalFormatting>
  <conditionalFormatting sqref="F400">
    <cfRule type="expression" dxfId="86" priority="87">
      <formula>IF(AND(F400="",OR(E400="Accuracy",E400="Fluency",E400="Segment",E400="Other")),1,0)</formula>
    </cfRule>
  </conditionalFormatting>
  <conditionalFormatting sqref="G400">
    <cfRule type="expression" dxfId="85" priority="89">
      <formula>IF(AND(OR(G400="",#REF!="Segment"),OR(#REF!="Accuracy",#REF!="Fluency",#REF!="Other")),1,0)</formula>
    </cfRule>
  </conditionalFormatting>
  <conditionalFormatting sqref="G401">
    <cfRule type="expression" dxfId="84" priority="85">
      <formula>IF(OR(AND(G401="",H401="",OR(I401="Critical",I401="Major",I401="Minor"))),1,0)</formula>
    </cfRule>
  </conditionalFormatting>
  <conditionalFormatting sqref="G401">
    <cfRule type="expression" dxfId="83" priority="86">
      <formula>IF(AND(OR(G401="",#REF!="Segment"),OR(#REF!="Accuracy",#REF!="Fluency",#REF!="Other")),1,0)</formula>
    </cfRule>
  </conditionalFormatting>
  <conditionalFormatting sqref="E402:G402">
    <cfRule type="expression" dxfId="82" priority="82">
      <formula>IF(OR(AND(E402="",F402="",OR(G402="Critical",G402="Major",G402="Minor"))),1,0)</formula>
    </cfRule>
  </conditionalFormatting>
  <conditionalFormatting sqref="F402">
    <cfRule type="expression" dxfId="81" priority="81">
      <formula>IF(AND(F402="",OR(E402="Accuracy",E402="Fluency",E402="Segment",E402="Other")),1,0)</formula>
    </cfRule>
  </conditionalFormatting>
  <conditionalFormatting sqref="G402">
    <cfRule type="expression" dxfId="80" priority="83">
      <formula>IF(AND(OR(G402="",#REF!="Segment"),OR(#REF!="Accuracy",#REF!="Fluency",#REF!="Other")),1,0)</formula>
    </cfRule>
  </conditionalFormatting>
  <conditionalFormatting sqref="E403:E404">
    <cfRule type="expression" dxfId="79" priority="80">
      <formula>IF(OR(AND(E403="",F403="",OR(G403="Critical",G403="Major",G403="Minor"))),1,0)</formula>
    </cfRule>
  </conditionalFormatting>
  <conditionalFormatting sqref="F403:F404">
    <cfRule type="expression" dxfId="78" priority="78">
      <formula>IF(OR(AND(F403="",G403="",OR(H401="Critical",H401="Major",H401="Minor"))),1,0)</formula>
    </cfRule>
  </conditionalFormatting>
  <conditionalFormatting sqref="G403:G404">
    <cfRule type="expression" dxfId="77" priority="79">
      <formula>IF(OR(AND(G403="",H401="",OR(I401="Critical",I401="Major",I401="Minor"))),1,0)</formula>
    </cfRule>
  </conditionalFormatting>
  <conditionalFormatting sqref="F403:F404">
    <cfRule type="expression" dxfId="76" priority="76">
      <formula>IF(AND(F403="",OR(E403="Accuracy",E403="Fluency",E403="Segment",E403="Other")),1,0)</formula>
    </cfRule>
  </conditionalFormatting>
  <conditionalFormatting sqref="G403:G404">
    <cfRule type="expression" dxfId="75" priority="77">
      <formula>IF(AND(OR(G403="",#REF!="Segment"),OR(#REF!="Accuracy",#REF!="Fluency",#REF!="Other")),1,0)</formula>
    </cfRule>
  </conditionalFormatting>
  <conditionalFormatting sqref="E430:E431 G430:G431 E405:G410">
    <cfRule type="expression" dxfId="74" priority="75">
      <formula>IF(OR(AND(E405="",F405="",OR(G405="Critical",G405="Major",G405="Minor"))),1,0)</formula>
    </cfRule>
  </conditionalFormatting>
  <conditionalFormatting sqref="F430:F431 F405:F410">
    <cfRule type="expression" dxfId="73" priority="74">
      <formula>IF(AND(F405="",OR(E405="Accuracy",E405="Fluency",E405="Segment",E405="Other")),1,0)</formula>
    </cfRule>
  </conditionalFormatting>
  <conditionalFormatting sqref="H405:H410">
    <cfRule type="expression" dxfId="72" priority="72">
      <formula>IF(OR(AND(H405="",J405="",OR(#REF!="Critical",#REF!="Major",#REF!="Minor"))),1,0)</formula>
    </cfRule>
  </conditionalFormatting>
  <conditionalFormatting sqref="G405:G410">
    <cfRule type="expression" dxfId="71" priority="73">
      <formula>IF(AND(OR(G405="",#REF!="Segment"),OR(#REF!="Accuracy",#REF!="Fluency",#REF!="Other")),1,0)</formula>
    </cfRule>
  </conditionalFormatting>
  <conditionalFormatting sqref="E411:G412">
    <cfRule type="expression" dxfId="70" priority="70">
      <formula>IF(OR(AND(E411="",F411="",OR(G411="Critical",G411="Major",G411="Minor"))),1,0)</formula>
    </cfRule>
  </conditionalFormatting>
  <conditionalFormatting sqref="F411:F412">
    <cfRule type="expression" dxfId="69" priority="69">
      <formula>IF(AND(F411="",OR(E411="Accuracy",E411="Fluency",E411="Segment",E411="Other")),1,0)</formula>
    </cfRule>
  </conditionalFormatting>
  <conditionalFormatting sqref="G411:G412">
    <cfRule type="expression" dxfId="68" priority="71">
      <formula>IF(AND(OR(G411="",#REF!="Segment"),OR(#REF!="Accuracy",#REF!="Fluency",#REF!="Other")),1,0)</formula>
    </cfRule>
  </conditionalFormatting>
  <conditionalFormatting sqref="E413:G414">
    <cfRule type="expression" dxfId="67" priority="67">
      <formula>IF(OR(AND(E413="",F413="",OR(G413="Critical",G413="Major",G413="Minor"))),1,0)</formula>
    </cfRule>
  </conditionalFormatting>
  <conditionalFormatting sqref="F413:F414">
    <cfRule type="expression" dxfId="66" priority="66">
      <formula>IF(AND(F413="",OR(E413="Accuracy",E413="Fluency",E413="Segment",E413="Other")),1,0)</formula>
    </cfRule>
  </conditionalFormatting>
  <conditionalFormatting sqref="G413:G414">
    <cfRule type="expression" dxfId="65" priority="68">
      <formula>IF(AND(OR(G413="",#REF!="Segment"),OR(#REF!="Accuracy",#REF!="Fluency",#REF!="Other")),1,0)</formula>
    </cfRule>
  </conditionalFormatting>
  <conditionalFormatting sqref="E415:F415">
    <cfRule type="expression" dxfId="64" priority="65">
      <formula>IF(OR(AND(E415="",F415="",OR(G415="Critical",G415="Major",G415="Minor"))),1,0)</formula>
    </cfRule>
  </conditionalFormatting>
  <conditionalFormatting sqref="F415">
    <cfRule type="expression" dxfId="63" priority="64">
      <formula>IF(AND(F415="",OR(E415="Accuracy",E415="Fluency",E415="Segment",E415="Other")),1,0)</formula>
    </cfRule>
  </conditionalFormatting>
  <conditionalFormatting sqref="G415">
    <cfRule type="expression" dxfId="62" priority="63">
      <formula>IF(OR(AND(G415="",H415="",OR(I415="Critical",I415="Major",I415="Minor"))),1,0)</formula>
    </cfRule>
  </conditionalFormatting>
  <conditionalFormatting sqref="G415">
    <cfRule type="expression" dxfId="61" priority="62">
      <formula>IF(AND(OR(G415="",#REF!="Segment"),OR(#REF!="Accuracy",#REF!="Fluency",#REF!="Other")),1,0)</formula>
    </cfRule>
  </conditionalFormatting>
  <conditionalFormatting sqref="E416:F416">
    <cfRule type="expression" dxfId="60" priority="61">
      <formula>IF(OR(AND(E416="",F416="",OR(G416="Critical",G416="Major",G416="Minor"))),1,0)</formula>
    </cfRule>
  </conditionalFormatting>
  <conditionalFormatting sqref="F416">
    <cfRule type="expression" dxfId="59" priority="60">
      <formula>IF(AND(F416="",OR(E416="Accuracy",E416="Fluency",E416="Segment",E416="Other")),1,0)</formula>
    </cfRule>
  </conditionalFormatting>
  <conditionalFormatting sqref="G416">
    <cfRule type="expression" dxfId="58" priority="59">
      <formula>IF(OR(AND(G416="",H416="",OR(I416="Critical",I416="Major",I416="Minor"))),1,0)</formula>
    </cfRule>
  </conditionalFormatting>
  <conditionalFormatting sqref="G416">
    <cfRule type="expression" dxfId="57" priority="58">
      <formula>IF(AND(OR(G416="",#REF!="Segment"),OR(#REF!="Accuracy",#REF!="Fluency",#REF!="Other")),1,0)</formula>
    </cfRule>
  </conditionalFormatting>
  <conditionalFormatting sqref="E417:F419">
    <cfRule type="expression" dxfId="56" priority="57">
      <formula>IF(OR(AND(E417="",F417="",OR(G417="Critical",G417="Major",G417="Minor"))),1,0)</formula>
    </cfRule>
  </conditionalFormatting>
  <conditionalFormatting sqref="F417:F419">
    <cfRule type="expression" dxfId="55" priority="56">
      <formula>IF(AND(F417="",OR(E417="Accuracy",E417="Fluency",E417="Segment",E417="Other")),1,0)</formula>
    </cfRule>
  </conditionalFormatting>
  <conditionalFormatting sqref="G417:G419">
    <cfRule type="expression" dxfId="54" priority="55">
      <formula>IF(OR(AND(G417="",H417="",OR(I417="Critical",I417="Major",I417="Minor"))),1,0)</formula>
    </cfRule>
  </conditionalFormatting>
  <conditionalFormatting sqref="G417:G419">
    <cfRule type="expression" dxfId="53" priority="54">
      <formula>IF(AND(OR(G417="",#REF!="Segment"),OR(#REF!="Accuracy",#REF!="Fluency",#REF!="Other")),1,0)</formula>
    </cfRule>
  </conditionalFormatting>
  <conditionalFormatting sqref="F420:F421">
    <cfRule type="expression" dxfId="52" priority="53">
      <formula>IF(AND(F420="",OR(E420="Accuracy",E420="Fluency",E420="Segment",E420="Other")),1,0)</formula>
    </cfRule>
  </conditionalFormatting>
  <conditionalFormatting sqref="E420:E421">
    <cfRule type="expression" dxfId="51" priority="52">
      <formula>IF(OR(AND(E420="",F420="",OR(G420="Critical",G420="Major",G420="Minor"))),1,0)</formula>
    </cfRule>
  </conditionalFormatting>
  <conditionalFormatting sqref="G420:G421">
    <cfRule type="expression" dxfId="50" priority="50">
      <formula>IF(OR(AND(G420="",H419="",OR(I420="Critical",I420="Major",I420="Minor"))),1,0)</formula>
    </cfRule>
  </conditionalFormatting>
  <conditionalFormatting sqref="F420:F421">
    <cfRule type="expression" dxfId="49" priority="51">
      <formula>IF(OR(AND(F420="",G420="",OR(H419="Critical",H419="Major",H419="Minor"))),1,0)</formula>
    </cfRule>
  </conditionalFormatting>
  <conditionalFormatting sqref="G420:G421">
    <cfRule type="expression" dxfId="48" priority="49">
      <formula>IF(AND(OR(G420="",#REF!="Segment"),OR(#REF!="Accuracy",#REF!="Fluency",#REF!="Other")),1,0)</formula>
    </cfRule>
  </conditionalFormatting>
  <conditionalFormatting sqref="E422:G422">
    <cfRule type="expression" dxfId="47" priority="48">
      <formula>IF(OR(AND(E422="",F422="",OR(G422="Critical",G422="Major",G422="Minor"))),1,0)</formula>
    </cfRule>
  </conditionalFormatting>
  <conditionalFormatting sqref="F422">
    <cfRule type="expression" dxfId="46" priority="47">
      <formula>IF(AND(F422="",OR(E422="Accuracy",E422="Fluency",E422="Segment",E422="Other")),1,0)</formula>
    </cfRule>
  </conditionalFormatting>
  <conditionalFormatting sqref="G422">
    <cfRule type="expression" dxfId="45" priority="46">
      <formula>IF(AND(OR(G422="",#REF!="Segment"),OR(#REF!="Accuracy",#REF!="Fluency",#REF!="Other")),1,0)</formula>
    </cfRule>
  </conditionalFormatting>
  <conditionalFormatting sqref="E423:F423">
    <cfRule type="expression" dxfId="44" priority="45">
      <formula>IF(OR(AND(E423="",F423="",OR(G423="Critical",G423="Major",G423="Minor"))),1,0)</formula>
    </cfRule>
  </conditionalFormatting>
  <conditionalFormatting sqref="F423">
    <cfRule type="expression" dxfId="43" priority="44">
      <formula>IF(AND(F423="",OR(E423="Accuracy",E423="Fluency",E423="Segment",E423="Other")),1,0)</formula>
    </cfRule>
  </conditionalFormatting>
  <conditionalFormatting sqref="G423">
    <cfRule type="expression" dxfId="42" priority="43">
      <formula>IF(OR(AND(G423="",H423="",OR(I423="Critical",I423="Major",I423="Minor"))),1,0)</formula>
    </cfRule>
  </conditionalFormatting>
  <conditionalFormatting sqref="G423">
    <cfRule type="expression" dxfId="41" priority="42">
      <formula>IF(AND(OR(G423="",#REF!="Segment"),OR(#REF!="Accuracy",#REF!="Fluency",#REF!="Other")),1,0)</formula>
    </cfRule>
  </conditionalFormatting>
  <conditionalFormatting sqref="G424:G425">
    <cfRule type="expression" dxfId="40" priority="38">
      <formula>IF(AND(OR(G424="",#REF!="Segment"),OR(#REF!="Accuracy",#REF!="Fluency",#REF!="Other")),1,0)</formula>
    </cfRule>
  </conditionalFormatting>
  <conditionalFormatting sqref="E424:F425">
    <cfRule type="expression" dxfId="39" priority="41">
      <formula>IF(OR(AND(E424="",F424="",OR(G424="Critical",G424="Major",G424="Minor"))),1,0)</formula>
    </cfRule>
  </conditionalFormatting>
  <conditionalFormatting sqref="F424:F425">
    <cfRule type="expression" dxfId="38" priority="40">
      <formula>IF(AND(F424="",OR(E424="Accuracy",E424="Fluency",E424="Segment",E424="Other")),1,0)</formula>
    </cfRule>
  </conditionalFormatting>
  <conditionalFormatting sqref="G424:G425">
    <cfRule type="expression" dxfId="37" priority="39">
      <formula>IF(OR(AND(G424="",H424="",OR(I424="Critical",I424="Major",I424="Minor"))),1,0)</formula>
    </cfRule>
  </conditionalFormatting>
  <conditionalFormatting sqref="G424:G425">
    <cfRule type="expression" dxfId="36" priority="37">
      <formula>IF(AND(OR(G424="",#REF!="Segment"),OR(#REF!="Accuracy",#REF!="Fluency",#REF!="Other")),1,0)</formula>
    </cfRule>
  </conditionalFormatting>
  <conditionalFormatting sqref="G426">
    <cfRule type="expression" dxfId="35" priority="33">
      <formula>IF(AND(OR(G426="",#REF!="Segment"),OR(#REF!="Accuracy",#REF!="Fluency",#REF!="Other")),1,0)</formula>
    </cfRule>
  </conditionalFormatting>
  <conditionalFormatting sqref="E426:F426">
    <cfRule type="expression" dxfId="34" priority="36">
      <formula>IF(OR(AND(E426="",F426="",OR(G426="Critical",G426="Major",G426="Minor"))),1,0)</formula>
    </cfRule>
  </conditionalFormatting>
  <conditionalFormatting sqref="F426">
    <cfRule type="expression" dxfId="33" priority="35">
      <formula>IF(AND(F426="",OR(E426="Accuracy",E426="Fluency",E426="Segment",E426="Other")),1,0)</formula>
    </cfRule>
  </conditionalFormatting>
  <conditionalFormatting sqref="G426">
    <cfRule type="expression" dxfId="32" priority="34">
      <formula>IF(OR(AND(G426="",H426="",OR(I426="Critical",I426="Major",I426="Minor"))),1,0)</formula>
    </cfRule>
  </conditionalFormatting>
  <conditionalFormatting sqref="G426">
    <cfRule type="expression" dxfId="31" priority="32">
      <formula>IF(AND(OR(G426="",#REF!="Segment"),OR(#REF!="Accuracy",#REF!="Fluency",#REF!="Other")),1,0)</formula>
    </cfRule>
  </conditionalFormatting>
  <conditionalFormatting sqref="G427">
    <cfRule type="expression" dxfId="30" priority="28">
      <formula>IF(AND(OR(G427="",#REF!="Segment"),OR(#REF!="Accuracy",#REF!="Fluency",#REF!="Other")),1,0)</formula>
    </cfRule>
  </conditionalFormatting>
  <conditionalFormatting sqref="E427:F427">
    <cfRule type="expression" dxfId="29" priority="31">
      <formula>IF(OR(AND(E427="",F427="",OR(G427="Critical",G427="Major",G427="Minor"))),1,0)</formula>
    </cfRule>
  </conditionalFormatting>
  <conditionalFormatting sqref="F427">
    <cfRule type="expression" dxfId="28" priority="30">
      <formula>IF(AND(F427="",OR(E427="Accuracy",E427="Fluency",E427="Segment",E427="Other")),1,0)</formula>
    </cfRule>
  </conditionalFormatting>
  <conditionalFormatting sqref="G427">
    <cfRule type="expression" dxfId="27" priority="29">
      <formula>IF(OR(AND(G427="",H427="",OR(I427="Critical",I427="Major",I427="Minor"))),1,0)</formula>
    </cfRule>
  </conditionalFormatting>
  <conditionalFormatting sqref="G427">
    <cfRule type="expression" dxfId="26" priority="27">
      <formula>IF(AND(OR(G427="",#REF!="Segment"),OR(#REF!="Accuracy",#REF!="Fluency",#REF!="Other")),1,0)</formula>
    </cfRule>
  </conditionalFormatting>
  <conditionalFormatting sqref="G428">
    <cfRule type="expression" dxfId="25" priority="23">
      <formula>IF(OR(AND(G428="",H428="",OR(I428="Critical",I428="Major",I428="Minor"))),1,0)</formula>
    </cfRule>
  </conditionalFormatting>
  <conditionalFormatting sqref="E428:F428">
    <cfRule type="expression" dxfId="24" priority="25">
      <formula>IF(OR(AND(E428="",F428="",OR(G428="Critical",G428="Major",G428="Minor"))),1,0)</formula>
    </cfRule>
  </conditionalFormatting>
  <conditionalFormatting sqref="F428">
    <cfRule type="expression" dxfId="23" priority="24">
      <formula>IF(AND(F428="",OR(E428="Accuracy",E428="Fluency",E428="Segment",E428="Other")),1,0)</formula>
    </cfRule>
  </conditionalFormatting>
  <conditionalFormatting sqref="G428">
    <cfRule type="expression" dxfId="22" priority="22">
      <formula>IF(AND(OR(G428="",#REF!="Segment"),OR(#REF!="Accuracy",#REF!="Fluency",#REF!="Other")),1,0)</formula>
    </cfRule>
  </conditionalFormatting>
  <conditionalFormatting sqref="E429:F429">
    <cfRule type="expression" dxfId="21" priority="21">
      <formula>IF(OR(AND(E429="",F429="",OR(G429="Critical",G429="Major",G429="Minor"))),1,0)</formula>
    </cfRule>
  </conditionalFormatting>
  <conditionalFormatting sqref="F429">
    <cfRule type="expression" dxfId="20" priority="20">
      <formula>IF(AND(F429="",OR(E429="Accuracy",E429="Fluency",E429="Segment",E429="Other")),1,0)</formula>
    </cfRule>
  </conditionalFormatting>
  <conditionalFormatting sqref="G429">
    <cfRule type="expression" dxfId="19" priority="19">
      <formula>IF(AND(OR(G429="",#REF!="Segment"),OR(#REF!="Accuracy",#REF!="Fluency",#REF!="Other")),1,0)</formula>
    </cfRule>
  </conditionalFormatting>
  <conditionalFormatting sqref="G429">
    <cfRule type="expression" dxfId="18" priority="26">
      <formula>IF(OR(AND(G429="",H414="",OR(I429="Critical",I429="Major",I429="Minor"))),1,0)</formula>
    </cfRule>
  </conditionalFormatting>
  <conditionalFormatting sqref="F430:F431">
    <cfRule type="expression" dxfId="17" priority="17">
      <formula>IF(OR(AND(F430="",G430="",OR(H427="Critical",H427="Major",H427="Minor"))),1,0)</formula>
    </cfRule>
  </conditionalFormatting>
  <conditionalFormatting sqref="G430:G431">
    <cfRule type="expression" dxfId="16" priority="18">
      <formula>IF(AND(OR(G430="",#REF!="Segment"),OR(#REF!="Accuracy",#REF!="Fluency",#REF!="Other")),1,0)</formula>
    </cfRule>
  </conditionalFormatting>
  <conditionalFormatting sqref="E432">
    <cfRule type="expression" dxfId="15" priority="16">
      <formula>IF(OR(AND(E432="",F432="",OR(G432="Critical",G432="Major",G432="Minor"))),1,0)</formula>
    </cfRule>
  </conditionalFormatting>
  <conditionalFormatting sqref="F432">
    <cfRule type="expression" dxfId="14" priority="15">
      <formula>IF(AND(F432="",OR(E432="Accuracy",E432="Fluency",E432="Segment",E432="Other")),1,0)</formula>
    </cfRule>
  </conditionalFormatting>
  <conditionalFormatting sqref="F432">
    <cfRule type="expression" dxfId="13" priority="14">
      <formula>IF(OR(AND(F432="",G432="",OR(H431="Critical",H431="Major",H431="Minor"))),1,0)</formula>
    </cfRule>
  </conditionalFormatting>
  <conditionalFormatting sqref="G432">
    <cfRule type="expression" dxfId="12" priority="13">
      <formula>IF(OR(AND(G432="",H431="",OR(I432="Critical",I432="Major",I432="Minor"))),1,0)</formula>
    </cfRule>
  </conditionalFormatting>
  <conditionalFormatting sqref="G432">
    <cfRule type="expression" dxfId="11" priority="12">
      <formula>IF(AND(OR(G432="",#REF!="Segment"),OR(#REF!="Accuracy",#REF!="Fluency",#REF!="Other")),1,0)</formula>
    </cfRule>
  </conditionalFormatting>
  <conditionalFormatting sqref="G433">
    <cfRule type="expression" dxfId="10" priority="11">
      <formula>IF(AND(OR(G433="",#REF!="Segment"),OR(#REF!="Accuracy",#REF!="Fluency",#REF!="Other")),1,0)</formula>
    </cfRule>
  </conditionalFormatting>
  <conditionalFormatting sqref="G433">
    <cfRule type="expression" dxfId="9" priority="10">
      <formula>IF(OR(AND(G433="",H433="",OR(I433="Critical",I433="Major",I433="Minor"))),1,0)</formula>
    </cfRule>
  </conditionalFormatting>
  <conditionalFormatting sqref="E433:F433">
    <cfRule type="expression" dxfId="8" priority="9">
      <formula>IF(OR(AND(E433="",F433="",OR(G433="Critical",G433="Major",G433="Minor"))),1,0)</formula>
    </cfRule>
  </conditionalFormatting>
  <conditionalFormatting sqref="F433">
    <cfRule type="expression" dxfId="7" priority="8">
      <formula>IF(AND(F433="",OR(E433="Accuracy",E433="Fluency",E433="Segment",E433="Other")),1,0)</formula>
    </cfRule>
  </conditionalFormatting>
  <conditionalFormatting sqref="G434:G436">
    <cfRule type="expression" dxfId="6" priority="6">
      <formula>IF(OR(AND(G434="",H434="",OR(I434="Critical",I434="Major",I434="Minor"))),1,0)</formula>
    </cfRule>
  </conditionalFormatting>
  <conditionalFormatting sqref="E434:F436">
    <cfRule type="expression" dxfId="5" priority="5">
      <formula>IF(OR(AND(E434="",F434="",OR(G434="Critical",G434="Major",G434="Minor"))),1,0)</formula>
    </cfRule>
  </conditionalFormatting>
  <conditionalFormatting sqref="F434:F436">
    <cfRule type="expression" dxfId="4" priority="4">
      <formula>IF(AND(F434="",OR(E434="Accuracy",E434="Fluency",E434="Segment",E434="Other")),1,0)</formula>
    </cfRule>
  </conditionalFormatting>
  <conditionalFormatting sqref="G434:G436">
    <cfRule type="expression" dxfId="3" priority="7">
      <formula>IF(AND(OR(G434="",#REF!="Segment"),OR(#REF!="Accuracy",#REF!="Fluency",#REF!="Other")),1,0)</formula>
    </cfRule>
  </conditionalFormatting>
  <conditionalFormatting sqref="E437:G437">
    <cfRule type="expression" dxfId="2" priority="2">
      <formula>IF(OR(AND(E437="",F437="",OR(G437="Critical",G437="Major",G437="Minor"))),1,0)</formula>
    </cfRule>
  </conditionalFormatting>
  <conditionalFormatting sqref="F437">
    <cfRule type="expression" dxfId="1" priority="1">
      <formula>IF(AND(F437="",OR(E437="Accuracy",E437="Fluency",E437="Segment",E437="Other")),1,0)</formula>
    </cfRule>
  </conditionalFormatting>
  <conditionalFormatting sqref="G437">
    <cfRule type="expression" dxfId="0" priority="3">
      <formula>IF(AND(OR(G437="",#REF!="Segment"),OR(#REF!="Accuracy",#REF!="Fluency",#REF!="Other")),1,0)</formula>
    </cfRule>
  </conditionalFormatting>
  <dataValidations count="3">
    <dataValidation allowBlank="1" showDropDown="1" showInputMessage="1" showErrorMessage="1" sqref="E1:G1 H1:H80 H82:H261 H263:H269 H271:H293 H295:H324 H326 H328:H365 H367 H369:H387 H389:H393 H395:H401 H403:H427 I1:I826 H429:H826" xr:uid="{00000000-0002-0000-0100-000000000000}"/>
    <dataValidation type="list" allowBlank="1" showInputMessage="1" showErrorMessage="1" sqref="E2:E826" xr:uid="{00000000-0002-0000-0100-000001000000}">
      <formula1>Issue_Type</formula1>
    </dataValidation>
    <dataValidation type="list" allowBlank="1" showInputMessage="1" showErrorMessage="1" sqref="F2:G826" xr:uid="{00000000-0002-0000-0100-000002000000}">
      <formula1>INDIRECT(E2)</formula1>
    </dataValidation>
  </dataValidation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plicateRows">
                <anchor moveWithCells="1" sizeWithCells="1">
                  <from>
                    <xdr:col>10</xdr:col>
                    <xdr:colOff>152400</xdr:colOff>
                    <xdr:row>0</xdr:row>
                    <xdr:rowOff>22860</xdr:rowOff>
                  </from>
                  <to>
                    <xdr:col>10</xdr:col>
                    <xdr:colOff>1013460</xdr:colOff>
                    <xdr:row>0</xdr:row>
                    <xdr:rowOff>365760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501"/>
  <sheetViews>
    <sheetView zoomScale="90" zoomScaleNormal="90" workbookViewId="0">
      <pane ySplit="1" topLeftCell="A2" activePane="bottomLeft" state="frozen"/>
      <selection pane="bottomLeft" sqref="A1:XFD1"/>
    </sheetView>
  </sheetViews>
  <sheetFormatPr defaultColWidth="9" defaultRowHeight="15"/>
  <cols>
    <col min="1" max="1" width="9" style="82"/>
    <col min="2" max="2" width="23.19921875" style="32" customWidth="1"/>
    <col min="3" max="3" width="47" style="32" customWidth="1"/>
    <col min="4" max="4" width="11" style="32" bestFit="1" customWidth="1"/>
    <col min="5" max="9" width="9" style="32"/>
    <col min="10" max="10" width="17" style="32" bestFit="1" customWidth="1"/>
    <col min="11" max="16384" width="9" style="32"/>
  </cols>
  <sheetData>
    <row r="1" spans="1:10" ht="27.6">
      <c r="A1" s="80" t="s">
        <v>20</v>
      </c>
      <c r="B1" s="13" t="s">
        <v>4</v>
      </c>
      <c r="C1" s="13" t="s">
        <v>5</v>
      </c>
      <c r="D1" s="16" t="s">
        <v>44</v>
      </c>
      <c r="E1" s="12" t="s">
        <v>25</v>
      </c>
      <c r="F1" s="12" t="s">
        <v>23</v>
      </c>
      <c r="G1" s="12" t="s">
        <v>1</v>
      </c>
      <c r="H1" s="12" t="s">
        <v>46</v>
      </c>
      <c r="I1" s="12" t="s">
        <v>47</v>
      </c>
      <c r="J1" s="12" t="s">
        <v>53</v>
      </c>
    </row>
    <row r="2" spans="1:10">
      <c r="A2" s="78" t="s">
        <v>74</v>
      </c>
      <c r="B2" s="70" t="str">
        <f>IF(ISBLANK(A2),"",INDEX('Error Log'!$A:$J,MATCH('Scores per segment'!$A2,'Error Log'!$A:$A,0),MATCH('Scores per segment'!B$1,'Error Log'!$A$1:$J$1,0)))</f>
        <v>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accomplices : sandra ng , 19 ( left ) , campbell 's girlfriend , was sentenced to 23 months in state prison for her role in the shocking assault last year , while another defendant jennifer pratt , 40 , is awaiting trial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i ca n't sleep . '
all three were charged with aggravated assault , conspiracy and false imprisonment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v>
      </c>
      <c r="C2" s="70" t="str">
        <f>IF(ISBLANK(A2),"",INDEX('Error Log'!$A:$J,MATCH('Scores per segment'!$A2,'Error Log'!$A:$A,0),MATCH('Scores per segment'!C$1,'Error Log'!$A$1:$J$1,0)))</f>
        <v>corry ` corey ' campbell , 21 , was the ringleader of the gang dubbed the ` tattoo terrorists '
campbell believed the victim , greg valecce , had hurt his cat , pebbles
valecce , an unemployed drug addict , was staying in the basement of campbell 's mother 's house in mayfair , in the city 's northeast
campbell , his girlfriend sandra ng , 19 , was sentenced to 23 months in state prison for her role in the shocking assault last year
another defendant jennifer pratt , 40 , is awaiting trial</v>
      </c>
      <c r="D2" s="70">
        <f>IF(H2=0,wdct(TRIM(C2)),0)</f>
        <v>79</v>
      </c>
      <c r="E2" s="70">
        <f>COUNTIFS('Error Log'!$A:$A,$A2,'Error Log'!$J:$J,E$1)</f>
        <v>4</v>
      </c>
      <c r="F2" s="70">
        <f>COUNTIFS('Error Log'!$A:$A,$A2,'Error Log'!$J:$J,F$1)</f>
        <v>1</v>
      </c>
      <c r="G2" s="70">
        <f>COUNTIFS('Error Log'!$A:$A,$A2,'Error Log'!$J:$J,G$1)</f>
        <v>1</v>
      </c>
      <c r="H2" s="70">
        <f>COUNTIFS('Error Log'!$A:$A,$A2,'Error Log'!$F:$F,"Source")</f>
        <v>0</v>
      </c>
      <c r="I2" s="70">
        <f>COUNTIFS('Error Log'!$A:$A,$A2,'Error Log'!$F:$F,"Target")</f>
        <v>0</v>
      </c>
      <c r="J2" s="71">
        <f t="shared" ref="J2:J65" si="0">IF(I2=0,IFERROR((((1-((E2*10+F2*5+G2*1)/D2))*100)+100)/2,0),-150)</f>
        <v>70.886075949367097</v>
      </c>
    </row>
    <row r="3" spans="1:10">
      <c r="A3" s="78" t="s">
        <v>82</v>
      </c>
      <c r="B3" s="70" t="str">
        <f>IF(ISBLANK(A3),"",INDEX('Error Log'!$A:$J,MATCH('Scores per segment'!$A3,'Error Log'!$A:$A,0),MATCH('Scores per segment'!B$1,'Error Log'!$A$1:$J$1,0)))</f>
        <v>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nicklaus holds up his ball to an adoring crowd as gary player ( left ) and ben crenshaw salute the great
crenshaw and nicklaus fist pump following his ace on the 130-yard hole at augusta national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v>
      </c>
      <c r="C3" s="70" t="str">
        <f>IF(ISBLANK(A3),"",INDEX('Error Log'!$A:$J,MATCH('Scores per segment'!$A3,'Error Log'!$A:$A,0),MATCH('Scores per segment'!C$1,'Error Log'!$A$1:$J$1,0)))</f>
        <v>jack nicklaus is one of five men to complete the career grand slam
nicklaus was playing alongside gary player and ben crenshaw
the 75-year-old saw his shot sail beyond the flag before spinning back into the hole
nicklaus became the youngest person to wear a green jacket in 1963</v>
      </c>
      <c r="D3" s="70">
        <f>IF(H3=0,wdct(TRIM(C3)),0)</f>
        <v>49</v>
      </c>
      <c r="E3" s="70">
        <f>COUNTIFS('Error Log'!$A:$A,$A3,'Error Log'!$J:$J,E$1)</f>
        <v>5</v>
      </c>
      <c r="F3" s="70">
        <f>COUNTIFS('Error Log'!$A:$A,$A3,'Error Log'!$J:$J,F$1)</f>
        <v>0</v>
      </c>
      <c r="G3" s="70">
        <f>COUNTIFS('Error Log'!$A:$A,$A3,'Error Log'!$J:$J,G$1)</f>
        <v>0</v>
      </c>
      <c r="H3" s="70">
        <f>COUNTIFS('Error Log'!$A:$A,$A3,'Error Log'!$F:$F,"Source")</f>
        <v>0</v>
      </c>
      <c r="I3" s="70">
        <f>COUNTIFS('Error Log'!$A:$A,$A3,'Error Log'!$F:$F,"Target")</f>
        <v>0</v>
      </c>
      <c r="J3" s="71">
        <f t="shared" si="0"/>
        <v>48.979591836734691</v>
      </c>
    </row>
    <row r="4" spans="1:10">
      <c r="A4" s="78" t="s">
        <v>91</v>
      </c>
      <c r="B4" s="70" t="str">
        <f>IF(ISBLANK(A4),"",INDEX('Error Log'!$A:$J,MATCH('Scores per segment'!$A4,'Error Log'!$A:$A,0),MATCH('Scores per segment'!B$1,'Error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cnn 's jason morris and ed lavandera contributed to this report .</v>
      </c>
      <c r="C4" s="70" t="str">
        <f>IF(ISBLANK(A4),"",INDEX('Error Log'!$A:$J,MATCH('Scores per segment'!$A4,'Error Log'!$A:$A,0),MATCH('Scores per segment'!C$1,'Error Log'!$A$1:$J$1,0)))</f>
        <v>robert bates pleads not guilty to charge of second-degree manslaughter
bates says he meant to stun eric harris with a taser after harris fled from officers , but mistakenly shot him with a gun
the tulsa county sheriff 's office denies these allegations</v>
      </c>
      <c r="D4" s="70">
        <f>IF(H4=0,wdct(TRIM(C4)),0)</f>
        <v>42</v>
      </c>
      <c r="E4" s="70">
        <f>COUNTIFS('Error Log'!$A:$A,$A4,'Error Log'!$J:$J,E$1)</f>
        <v>2</v>
      </c>
      <c r="F4" s="70">
        <f>COUNTIFS('Error Log'!$A:$A,$A4,'Error Log'!$J:$J,F$1)</f>
        <v>0</v>
      </c>
      <c r="G4" s="70">
        <f>COUNTIFS('Error Log'!$A:$A,$A4,'Error Log'!$J:$J,G$1)</f>
        <v>0</v>
      </c>
      <c r="H4" s="70">
        <f>COUNTIFS('Error Log'!$A:$A,$A4,'Error Log'!$F:$F,"Source")</f>
        <v>0</v>
      </c>
      <c r="I4" s="70">
        <f>COUNTIFS('Error Log'!$A:$A,$A4,'Error Log'!$F:$F,"Target")</f>
        <v>0</v>
      </c>
      <c r="J4" s="71">
        <f t="shared" si="0"/>
        <v>76.19047619047619</v>
      </c>
    </row>
    <row r="5" spans="1:10">
      <c r="A5" s="78" t="s">
        <v>96</v>
      </c>
      <c r="B5" s="70" t="str">
        <f>IF(ISBLANK(A5),"",INDEX('Error Log'!$A:$J,MATCH('Scores per segment'!$A5,'Error Log'!$A:$A,0),MATCH('Scores per segment'!B$1,'Error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curry ( centre ) hit eight three-pointers to to eclipse his previous nba best of 272 made in a single season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point guard derrick rose ( right ) scored 12 points for the bulls as he continued his comeback from injury</v>
      </c>
      <c r="C5" s="70" t="str">
        <f>IF(ISBLANK(A5),"",INDEX('Error Log'!$A:$J,MATCH('Scores per segment'!$A5,'Error Log'!$A:$A,0),MATCH('Scores per segment'!C$1,'Error Log'!$A$1:$J$1,0)))</f>
        <v>golden state warriors beat portland trail blazers 116-105 on thursday night
stephen curry broke his own nba record for most 3-pointers in a season
he hit six before halftime and eight overall as he teamed with fellow splash brothers star klay thompson to bring the warriors back from 13 points down
pau gasol had 16 points and 15 rebounds for the bulls , who were outscored 33-12 in the second quarter</v>
      </c>
      <c r="D5" s="70">
        <f>IF(H5=0,wdct(TRIM(C5)),0)</f>
        <v>70</v>
      </c>
      <c r="E5" s="70">
        <f>COUNTIFS('Error Log'!$A:$A,$A5,'Error Log'!$J:$J,E$1)</f>
        <v>2</v>
      </c>
      <c r="F5" s="70">
        <f>COUNTIFS('Error Log'!$A:$A,$A5,'Error Log'!$J:$J,F$1)</f>
        <v>0</v>
      </c>
      <c r="G5" s="70">
        <f>COUNTIFS('Error Log'!$A:$A,$A5,'Error Log'!$J:$J,G$1)</f>
        <v>0</v>
      </c>
      <c r="H5" s="70">
        <f>COUNTIFS('Error Log'!$A:$A,$A5,'Error Log'!$F:$F,"Source")</f>
        <v>0</v>
      </c>
      <c r="I5" s="70">
        <f>COUNTIFS('Error Log'!$A:$A,$A5,'Error Log'!$F:$F,"Target")</f>
        <v>0</v>
      </c>
      <c r="J5" s="71">
        <f t="shared" si="0"/>
        <v>85.714285714285722</v>
      </c>
    </row>
    <row r="6" spans="1:10">
      <c r="A6" s="78" t="s">
        <v>101</v>
      </c>
      <c r="B6" s="70" t="str">
        <f>IF(ISBLANK(A6),"",INDEX('Error Log'!$A:$J,MATCH('Scores per segment'!$A6,'Error Log'!$A:$A,0),MATCH('Scores per segment'!B$1,'Error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mcgregor ( left ) poses in the shop with a fan shortly after having his tattoo on his stomach done
mcgregor is challenging jose aldo for his featherweight champion title in las vegas on july 11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mcgregor claims he has greater motivation to win the title than aldo has to defend it for the eighth time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v>
      </c>
      <c r="C6" s="70" t="str">
        <f>IF(ISBLANK(A6),"",INDEX('Error Log'!$A:$J,MATCH('Scores per segment'!$A6,'Error Log'!$A:$A,0),MATCH('Scores per segment'!C$1,'Error Log'!$A$1:$J$1,0)))</f>
        <v>conor mcgregor is gearing up for a featherweight title challenge against jose aldo on july 11
the 26-year-old irishman has already got a picture of a gorilla eating a heart inked upon his chest
mcgregor claims he has greater motivation to win the title than aldo has to defend it for the eighth time</v>
      </c>
      <c r="D6" s="70">
        <f>IF(H6=0,wdct(TRIM(C6)),0)</f>
        <v>54</v>
      </c>
      <c r="E6" s="70">
        <f>COUNTIFS('Error Log'!$A:$A,$A6,'Error Log'!$J:$J,E$1)</f>
        <v>2</v>
      </c>
      <c r="F6" s="70">
        <f>COUNTIFS('Error Log'!$A:$A,$A6,'Error Log'!$J:$J,F$1)</f>
        <v>0</v>
      </c>
      <c r="G6" s="70">
        <f>COUNTIFS('Error Log'!$A:$A,$A6,'Error Log'!$J:$J,G$1)</f>
        <v>0</v>
      </c>
      <c r="H6" s="70">
        <f>COUNTIFS('Error Log'!$A:$A,$A6,'Error Log'!$F:$F,"Source")</f>
        <v>0</v>
      </c>
      <c r="I6" s="70">
        <f>COUNTIFS('Error Log'!$A:$A,$A6,'Error Log'!$F:$F,"Target")</f>
        <v>0</v>
      </c>
      <c r="J6" s="71">
        <f t="shared" si="0"/>
        <v>81.481481481481481</v>
      </c>
    </row>
    <row r="7" spans="1:10">
      <c r="A7" s="78" t="s">
        <v>106</v>
      </c>
      <c r="B7" s="70" t="str">
        <f>IF(ISBLANK(A7),"",INDEX('Error Log'!$A:$J,MATCH('Scores per segment'!$A7,'Error Log'!$A:$A,0),MATCH('Scores per segment'!B$1,'Error Log'!$A$1:$J$1,0)))</f>
        <v>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van velzen lines up his first free-kick of the day as the liverpool stars watch on
balotelli and lambert watch as van velzen showcases his dead-ball skills at melwood
the stand-in keeper was helpless as the youtube star 's strike sailed into the top corner
after a poor first effort , balotelli sends a perfectly-executed free-kick into the top corner
balotelli looks pleased with his effort as markovic ( left ) and van velzen wait for their turn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balotelli wore his famous t-shirt during manchester city 's 6-1 win over united in october 2011</v>
      </c>
      <c r="C7" s="70" t="str">
        <f>IF(ISBLANK(A7),"",INDEX('Error Log'!$A:$J,MATCH('Scores per segment'!$A7,'Error Log'!$A:$A,0),MATCH('Scores per segment'!C$1,'Error Log'!$A$1:$J$1,0)))</f>
        <v>mario balotelli , fabio borini , rickie lambert and lazar markovic meet bas van velzen at melwood
the merseysiders were led to believe the dutch free-kick specialist was a competition winner
van velzen has become a youtube sensation by uploading videos of his free-kick exploits</v>
      </c>
      <c r="D7" s="70">
        <f>IF(H7=0,wdct(TRIM(C7)),0)</f>
        <v>43</v>
      </c>
      <c r="E7" s="70">
        <f>COUNTIFS('Error Log'!$A:$A,$A7,'Error Log'!$J:$J,E$1)</f>
        <v>2</v>
      </c>
      <c r="F7" s="70">
        <f>COUNTIFS('Error Log'!$A:$A,$A7,'Error Log'!$J:$J,F$1)</f>
        <v>1</v>
      </c>
      <c r="G7" s="70">
        <f>COUNTIFS('Error Log'!$A:$A,$A7,'Error Log'!$J:$J,G$1)</f>
        <v>0</v>
      </c>
      <c r="H7" s="70">
        <f>COUNTIFS('Error Log'!$A:$A,$A7,'Error Log'!$F:$F,"Source")</f>
        <v>0</v>
      </c>
      <c r="I7" s="70">
        <f>COUNTIFS('Error Log'!$A:$A,$A7,'Error Log'!$F:$F,"Target")</f>
        <v>0</v>
      </c>
      <c r="J7" s="71">
        <f t="shared" si="0"/>
        <v>70.930232558139537</v>
      </c>
    </row>
    <row r="8" spans="1:10">
      <c r="A8" s="78" t="s">
        <v>112</v>
      </c>
      <c r="B8" s="70" t="str">
        <f>IF(ISBLANK(A8),"",INDEX('Error Log'!$A:$J,MATCH('Scores per segment'!$A8,'Error Log'!$A:$A,0),MATCH('Scores per segment'!B$1,'Error Log'!$A$1:$J$1,0)))</f>
        <v>tony abbott may have thrilled players at an australian rules function by skolling a beer but he 's drawn the ire of anti-drinking campaigners who claim he 's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 n't about socialising with friends , it 's about how quickly and how much you can drink , ' she said .
australian prime minister tony abbott was cheered on by a crowd of about 50 as he skolled a schooner of beer
mr abbott came under fire after the incident as anti-drinking campaigners said he was glorifying binge drinking
` it sets up a culture that drinking is n't about socialising with friends , it 's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 's learning to drink beer without adding lemonade to it ' .
mr abbott was labelled `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it appeared to take the prime minister about six seconds to down the schooner , as players cheered and chanted ` skol ' and ` tony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 'd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 n't necessarily think it 's a partisan thing but i do think the climate has changed and we did n't [ used to ] have the concern over binge drinking that we do now , ' she said .
mr abbott was asked to have a drink by university of technology sydney bats coach simon carradous , and the prime minister happily obliged
` he drank the entire schooner , dribbling bits on his shirt ... he was proud as punch , ' a witness said</v>
      </c>
      <c r="C8" s="70" t="str">
        <f>IF(ISBLANK(A8),"",INDEX('Error Log'!$A:$J,MATCH('Scores per segment'!$A8,'Error Log'!$A:$A,0),MATCH('Scores per segment'!C$1,'Error Log'!$A$1:$J$1,0)))</f>
        <v xml:space="preserve">australian prime minister tony abbott was cheered on by a crowd of about 50 as he skolled a schooner of beer
anti-drinking campaigners said he 's glorifying binge drinking and associating being a man with drinking booze
julie robert , a cultural studies professor at the university of technology sydney , said it was ` problematic ' that the prime minister thought it acceptable to ` showcase his masculinity ' by skolling a beer
</v>
      </c>
      <c r="D8" s="70">
        <f>IF(H8=0,wdct(TRIM(C8)),0)</f>
        <v>68</v>
      </c>
      <c r="E8" s="70">
        <f>COUNTIFS('Error Log'!$A:$A,$A8,'Error Log'!$J:$J,E$1)</f>
        <v>2</v>
      </c>
      <c r="F8" s="70">
        <f>COUNTIFS('Error Log'!$A:$A,$A8,'Error Log'!$J:$J,F$1)</f>
        <v>1</v>
      </c>
      <c r="G8" s="70">
        <f>COUNTIFS('Error Log'!$A:$A,$A8,'Error Log'!$J:$J,G$1)</f>
        <v>0</v>
      </c>
      <c r="H8" s="70">
        <f>COUNTIFS('Error Log'!$A:$A,$A8,'Error Log'!$F:$F,"Source")</f>
        <v>0</v>
      </c>
      <c r="I8" s="70">
        <f>COUNTIFS('Error Log'!$A:$A,$A8,'Error Log'!$F:$F,"Target")</f>
        <v>0</v>
      </c>
      <c r="J8" s="71">
        <f t="shared" si="0"/>
        <v>81.617647058823536</v>
      </c>
    </row>
    <row r="9" spans="1:10">
      <c r="A9" s="78" t="s">
        <v>118</v>
      </c>
      <c r="B9" s="70" t="str">
        <f>IF(ISBLANK(A9),"",INDEX('Error Log'!$A:$J,MATCH('Scores per segment'!$A9,'Error Log'!$A:$A,0),MATCH('Scores per segment'!B$1,'Error Log'!$A$1:$J$1,0)))</f>
        <v>carriers of the brca1 gene , like hollywood star angelina jolie , can reduce their risk of death once they have been diagnosed with breast cancer by having their ovaries removed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 's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v>
      </c>
      <c r="C9" s="70" t="str">
        <f>IF(ISBLANK(A9),"",INDEX('Error Log'!$A:$J,MATCH('Scores per segment'!$A9,'Error Log'!$A:$A,0),MATCH('Scores per segment'!C$1,'Error Log'!$A$1:$J$1,0)))</f>
        <v xml:space="preserve">following the example of angelina jolie cuts their risk of dying from breast cancer by more than 60 per cent
women who carry a mutated gene known as brca2 face a life-time risk of breast cancer of up to 70 per cent if diagnosed , they face a severe threat of ovarian tumours
researchers in canada analysed 676 breast cancer patients who had one of the mutated genes , nearly half ( 345 ) underwent oophorectomy after their diagnosis
</v>
      </c>
      <c r="D9" s="70">
        <f>IF(H9=0,wdct(TRIM(C9)),0)</f>
        <v>75</v>
      </c>
      <c r="E9" s="70">
        <f>COUNTIFS('Error Log'!$A:$A,$A9,'Error Log'!$J:$J,E$1)</f>
        <v>2</v>
      </c>
      <c r="F9" s="70">
        <f>COUNTIFS('Error Log'!$A:$A,$A9,'Error Log'!$J:$J,F$1)</f>
        <v>1</v>
      </c>
      <c r="G9" s="70">
        <f>COUNTIFS('Error Log'!$A:$A,$A9,'Error Log'!$J:$J,G$1)</f>
        <v>0</v>
      </c>
      <c r="H9" s="70">
        <f>COUNTIFS('Error Log'!$A:$A,$A9,'Error Log'!$F:$F,"Source")</f>
        <v>0</v>
      </c>
      <c r="I9" s="70">
        <f>COUNTIFS('Error Log'!$A:$A,$A9,'Error Log'!$F:$F,"Target")</f>
        <v>0</v>
      </c>
      <c r="J9" s="71">
        <f t="shared" si="0"/>
        <v>83.333333333333343</v>
      </c>
    </row>
    <row r="10" spans="1:10">
      <c r="A10" s="78" t="s">
        <v>124</v>
      </c>
      <c r="B10" s="70" t="str">
        <f>IF(ISBLANK(A10),"",INDEX('Error Log'!$A:$J,MATCH('Scores per segment'!$A10,'Error Log'!$A:$A,0),MATCH('Scores per segment'!B$1,'Error Log'!$A$1:$J$1,0)))</f>
        <v xml:space="preserve">indiana has seen a ` significant increase ' in the number of cases of hiv more than two weeks into a short-term needle exchange program approved by gov.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more than two weeks into a short-term needle exchange program approved by gov. mike pence , there are now 120 confirmed hiv cases and 10 preliminary positive cases tied to scott county , about 30 miles north of louisville , kentucky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mike pence in an attempt to curb the state 's largest-ever hiv outbreak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v>
      </c>
      <c r="C10" s="70" t="str">
        <f>IF(ISBLANK(A10),"",INDEX('Error Log'!$A:$J,MATCH('Scores per segment'!$A10,'Error Log'!$A:$A,0),MATCH('Scores per segment'!C$1,'Error Log'!$A$1:$J$1,0)))</f>
        <v>there are now 120 confirmed hiv cases and 10 preliminary positive cases tied to scott county , about 30 miles north of louisville , kentucky
that 's up from 106 last week , said the indiana state department of health
but the growing number could put pressure on pence to extend the 30-day needle exchange program that he approved on march 26
pence is reviewing reports and recommendations from health officials and will make a decision early next week about extending the program beyond april 25</v>
      </c>
      <c r="D10" s="70">
        <f>IF(H10=0,wdct(TRIM(C10)),0)</f>
        <v>83</v>
      </c>
      <c r="E10" s="70">
        <f>COUNTIFS('Error Log'!$A:$A,$A10,'Error Log'!$J:$J,E$1)</f>
        <v>1</v>
      </c>
      <c r="F10" s="70">
        <f>COUNTIFS('Error Log'!$A:$A,$A10,'Error Log'!$J:$J,F$1)</f>
        <v>1</v>
      </c>
      <c r="G10" s="70">
        <f>COUNTIFS('Error Log'!$A:$A,$A10,'Error Log'!$J:$J,G$1)</f>
        <v>0</v>
      </c>
      <c r="H10" s="70">
        <f>COUNTIFS('Error Log'!$A:$A,$A10,'Error Log'!$F:$F,"Source")</f>
        <v>0</v>
      </c>
      <c r="I10" s="70">
        <f>COUNTIFS('Error Log'!$A:$A,$A10,'Error Log'!$F:$F,"Target")</f>
        <v>0</v>
      </c>
      <c r="J10" s="71">
        <f t="shared" si="0"/>
        <v>90.963855421686745</v>
      </c>
    </row>
    <row r="11" spans="1:10">
      <c r="A11" s="78" t="s">
        <v>129</v>
      </c>
      <c r="B11" s="70" t="str">
        <f>IF(ISBLANK(A11),"",INDEX('Error Log'!$A:$J,MATCH('Scores per segment'!$A11,'Error Log'!$A:$A,0),MATCH('Scores per segment'!B$1,'Error Log'!$A$1:$J$1,0)))</f>
        <v xml:space="preserve">
police in north carolina say a married couple is dead after an amtrak train hit them on easter morning as they lingered on the tracks .
derek lowe , 38 , and tina lowe , 33 , were hit shortly before 10 am on sunday in durham by a train heading north .
amtrak spokesman marc magliari said train no. 80 , the carolinian , was headed from charlotte to new york city when the accident occurred on property owned by norfolk-southern .
derek lowe , 38 , and tina lowe , 33 , were struck and killed by an amtrak train shortly before 10 am on easter sunday in durham , north carolina
authorities say none of the 166 passengers on the train were injured , although a man who fell ill during the delay did receive treatment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v>
      </c>
      <c r="C11" s="70" t="str">
        <f>IF(ISBLANK(A11),"",INDEX('Error Log'!$A:$J,MATCH('Scores per segment'!$A11,'Error Log'!$A:$A,0),MATCH('Scores per segment'!C$1,'Error Log'!$A$1:$J$1,0)))</f>
        <v>derek lowe , 38 , and tina lowe , 33 , were hit shortly before 10am on sunday in durham , north carolina by an amtrak train
none of the 166 passengers on the train were injured , although a man who fell ill during the delay did receive treatment</v>
      </c>
      <c r="D11" s="70">
        <f>IF(H11=0,wdct(TRIM(C11)),0)</f>
        <v>44</v>
      </c>
      <c r="E11" s="70">
        <f>COUNTIFS('Error Log'!$A:$A,$A11,'Error Log'!$J:$J,E$1)</f>
        <v>3</v>
      </c>
      <c r="F11" s="70">
        <f>COUNTIFS('Error Log'!$A:$A,$A11,'Error Log'!$J:$J,F$1)</f>
        <v>0</v>
      </c>
      <c r="G11" s="70">
        <f>COUNTIFS('Error Log'!$A:$A,$A11,'Error Log'!$J:$J,G$1)</f>
        <v>0</v>
      </c>
      <c r="H11" s="70">
        <f>COUNTIFS('Error Log'!$A:$A,$A11,'Error Log'!$F:$F,"Source")</f>
        <v>0</v>
      </c>
      <c r="I11" s="70">
        <f>COUNTIFS('Error Log'!$A:$A,$A11,'Error Log'!$F:$F,"Target")</f>
        <v>0</v>
      </c>
      <c r="J11" s="71">
        <f t="shared" si="0"/>
        <v>65.909090909090907</v>
      </c>
    </row>
    <row r="12" spans="1:10">
      <c r="A12" s="78" t="s">
        <v>135</v>
      </c>
      <c r="B12" s="70" t="str">
        <f>IF(ISBLANK(A12),"",INDEX('Error Log'!$A:$J,MATCH('Scores per segment'!$A12,'Error Log'!$A:$A,0),MATCH('Scores per segment'!B$1,'Error Log'!$A$1:$J$1,0)))</f>
        <v>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@saskiaisabxlla , commenting ` boyfriend made me take an @arsenal exam ! '
with emoticons showing she did n't know whether to laugh or cry .
we do n't blame her .
saskia 's football fan boyfriend made her take an arsenal test and did n't dump her thanks to her a grade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why are arsenal the best team to ever grace english football ?
questions put to her in the test included :
` what was the scoreline for the 2014 fa cup final vs hull city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she scored some decent points for her more creative answers .
asked to explain why alexis sanchez is better than eden hazard in her own words , she wrote , ` sanchez is buff , scores lots of goals , hazard is a p *** 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saskia struggled to name all 11 players of the starting squad and got confused on the player positions
saskia 's boyfriend drew an angry face when she got a question wrong - this man means business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scoring 87 % , football fans were impressed with saskia , claiming her as ` proper gf material '
may men felt inspired , with @lewisxweeked warning his girlfriend to ` get revising '
indeed , @gstarrs85 congratulated saskia and stating that she was ` proper gf material ' .
plenty of men felt inspired by the post , with @lewisxweekes telling his girlfriend @laycijade to ` get revising ' and @digsxiii crying ` where can i get this test from ? '
others , though , felt that the boyfriend had taken things a tad too far .
@gunsaured11 stated ` football fans are nuts ' , and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eduardo claims ` football fans are nuts ' despite appearing to be one as he holds what looks suspiciously like the fa cup in his hands ...
some thought saskia 's boyfriend took things too far with @dcslfc creatively naming him a ` biff-head '</v>
      </c>
      <c r="C12" s="70" t="str">
        <f>IF(ISBLANK(A12),"",INDEX('Error Log'!$A:$J,MATCH('Scores per segment'!$A12,'Error Log'!$A:$A,0),MATCH('Scores per segment'!C$1,'Error Log'!$A$1:$J$1,0)))</f>
        <v>saskia 's boyfriend made her take an arsenal test and did n't dump her
the test took the form of a school exam , with multiple choice questions , tables to complete , and ` in your own words ... ' section
there were even ` helpful ' instructions including ` read every question at least twice ' and ` check your answers if you have time at the end '
saskia scored an impressive 87 per cent , but according to her unnamed boyfriend 's feedback she ` could have performed better on q17 '</v>
      </c>
      <c r="D12" s="70">
        <f>IF(H12=0,wdct(TRIM(C12)),0)</f>
        <v>81</v>
      </c>
      <c r="E12" s="70">
        <f>COUNTIFS('Error Log'!$A:$A,$A12,'Error Log'!$J:$J,E$1)</f>
        <v>5</v>
      </c>
      <c r="F12" s="70">
        <f>COUNTIFS('Error Log'!$A:$A,$A12,'Error Log'!$J:$J,F$1)</f>
        <v>2</v>
      </c>
      <c r="G12" s="70">
        <f>COUNTIFS('Error Log'!$A:$A,$A12,'Error Log'!$J:$J,G$1)</f>
        <v>2</v>
      </c>
      <c r="H12" s="70">
        <f>COUNTIFS('Error Log'!$A:$A,$A12,'Error Log'!$F:$F,"Source")</f>
        <v>0</v>
      </c>
      <c r="I12" s="70">
        <f>COUNTIFS('Error Log'!$A:$A,$A12,'Error Log'!$F:$F,"Target")</f>
        <v>0</v>
      </c>
      <c r="J12" s="71">
        <f t="shared" si="0"/>
        <v>61.728395061728399</v>
      </c>
    </row>
    <row r="13" spans="1:10">
      <c r="A13" s="78" t="s">
        <v>148</v>
      </c>
      <c r="B13" s="70" t="str">
        <f>IF(ISBLANK(A13),"",INDEX('Error Log'!$A:$J,MATCH('Scores per segment'!$A13,'Error Log'!$A:$A,0),MATCH('Scores per segment'!B$1,'Error Log'!$A$1:$J$1,0)))</f>
        <v>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carlos toro , seen in 1982 , is facing deportation from the united states after working for the dea for 27 years
toro , 66 , was one of the dea 's strongest assets and helped carry out undercover stings around the world
carlos lehder rivas of colombia was taken down thanks in part to former medellin cartel member toro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many times over , i atoned .
` all i want now is what they promised me . '</v>
      </c>
      <c r="C13" s="70" t="str">
        <f>IF(ISBLANK(A13),"",INDEX('Error Log'!$A:$J,MATCH('Scores per segment'!$A13,'Error Log'!$A:$A,0),MATCH('Scores per segment'!C$1,'Error Log'!$A$1:$J$1,0)))</f>
        <v>carlos toro , 66 , worked as a mid-level member of the medellin cartel in the 1980s
a confrontation with his boss caused him to flee fearing for his life
he came to the united states and began working for the dea as an informant after providing information about a number of his former bosses and associates
his fears sound reasonable considering his work aided in the prosecution of ex-panamanian dictator carlos lehder and former panamanian dictator manuel noriega</v>
      </c>
      <c r="D13" s="70">
        <f>IF(H13=0,wdct(TRIM(C13)),0)</f>
        <v>77</v>
      </c>
      <c r="E13" s="70">
        <f>COUNTIFS('Error Log'!$A:$A,$A13,'Error Log'!$J:$J,E$1)</f>
        <v>3</v>
      </c>
      <c r="F13" s="70">
        <f>COUNTIFS('Error Log'!$A:$A,$A13,'Error Log'!$J:$J,F$1)</f>
        <v>3</v>
      </c>
      <c r="G13" s="70">
        <f>COUNTIFS('Error Log'!$A:$A,$A13,'Error Log'!$J:$J,G$1)</f>
        <v>0</v>
      </c>
      <c r="H13" s="70">
        <f>COUNTIFS('Error Log'!$A:$A,$A13,'Error Log'!$F:$F,"Source")</f>
        <v>0</v>
      </c>
      <c r="I13" s="70">
        <f>COUNTIFS('Error Log'!$A:$A,$A13,'Error Log'!$F:$F,"Target")</f>
        <v>0</v>
      </c>
      <c r="J13" s="71">
        <f t="shared" si="0"/>
        <v>70.779220779220779</v>
      </c>
    </row>
    <row r="14" spans="1:10">
      <c r="A14" s="78" t="s">
        <v>158</v>
      </c>
      <c r="B14" s="70" t="str">
        <f>IF(ISBLANK(A14),"",INDEX('Error Log'!$A:$J,MATCH('Scores per segment'!$A14,'Error Log'!$A:$A,0),MATCH('Scores per segment'!B$1,'Error Log'!$A$1:$J$1,0)))</f>
        <v>world cup winning rugby star mils muliaina has been bailed after being arrested on suspicion of sexual assault .
the former all black , who denies the allegations , was arrested last night after his team was defeated in the quarter finals of the european challenge cup .
he had come off injured during connacht 's 14-7 defeat at gloucester last night when he was approached by police .
the 34-year-old full back , who has 100 caps for the all blacks , was led away by officers at the kingsholm stadium last night in connection with an allegation in cardiff in march .
former all black mils muliaina , pictured last night playing in connacht 's 14-7 defeat against gloucester , was arrested after the game in connection with an allegation of sexual assault in cardiff from march
married muliaina is accused of assaulting the woman in a crowded bar in the brewery quarter of cardiff city centre after his irish team connacht played against cardiff blues last month .
he was held in cells overnight before being questioned for more than six hours by detectives in cardiff yesterday .
his solicitor matthew de maid said : ` he totally denies all the allegations .
he has been helping police with their inquiries and he has n't been charged with anything . '
a spokesperson for gloucestershire police said : ` a man in his 30s was arrested at kingsholm stadium on friday 3rd april on suspicion of sexual assault in relation to an incident in cardiff in march .
muliaina is led away by police following his side 's 14-7 defeat by gloucester on friday night
the former all black was arrested at kingsholm and then led to a police van where he was detained
muliaina 's arrest was captured live on sky sports following the challenge cup quarter-final
` the man has been handed over to officers from south wales police who are investigating the incident . '
muliaina had been playing for the irish provincial team against the cardiff blues on march 6 .
he retired from the all blacks in 2011 .
a spokesperson for the team said : ` connacht rugby can confirm that player mils muliaina is currently assisting the south wales police with enquiries relating to an alleged incident in cardiff in march of this year .
` as this is a legal matter , connacht rugby will be making no further comment at this time . '
the allegation is believed to date from connacht 's visit to the cardiff blues on march 6
muliaina has 100 caps for the all blacks and retired from international rugby after the 2011 world cup victory
sorry we are not currently accepting comments on this article .</v>
      </c>
      <c r="C14" s="70" t="str">
        <f>IF(ISBLANK(A14),"",INDEX('Error Log'!$A:$J,MATCH('Scores per segment'!$A14,'Error Log'!$A:$A,0),MATCH('Scores per segment'!C$1,'Error Log'!$A$1:$J$1,0)))</f>
        <v>mils muliaina has been bailed after being arrested on suspicion of sexual assault
the 34-year-old full back was led away by police at kingsholm stadium last night in connection with an allegation in cardiff in march
muliaina is accused of assaulting the woman in a crowded bar after his irish team connacht played against cardiff blues last month</v>
      </c>
      <c r="D14" s="70">
        <f>IF(H14=0,wdct(TRIM(C14)),0)</f>
        <v>58</v>
      </c>
      <c r="E14" s="70">
        <f>COUNTIFS('Error Log'!$A:$A,$A14,'Error Log'!$J:$J,E$1)</f>
        <v>3</v>
      </c>
      <c r="F14" s="70">
        <f>COUNTIFS('Error Log'!$A:$A,$A14,'Error Log'!$J:$J,F$1)</f>
        <v>1</v>
      </c>
      <c r="G14" s="70">
        <f>COUNTIFS('Error Log'!$A:$A,$A14,'Error Log'!$J:$J,G$1)</f>
        <v>0</v>
      </c>
      <c r="H14" s="70">
        <f>COUNTIFS('Error Log'!$A:$A,$A14,'Error Log'!$F:$F,"Source")</f>
        <v>0</v>
      </c>
      <c r="I14" s="70">
        <f>COUNTIFS('Error Log'!$A:$A,$A14,'Error Log'!$F:$F,"Target")</f>
        <v>0</v>
      </c>
      <c r="J14" s="71">
        <f t="shared" si="0"/>
        <v>69.827586206896555</v>
      </c>
    </row>
    <row r="15" spans="1:10">
      <c r="A15" s="78" t="s">
        <v>166</v>
      </c>
      <c r="B15" s="70" t="str">
        <f>IF(ISBLANK(A15),"",INDEX('Error Log'!$A:$J,MATCH('Scores per segment'!$A15,'Error Log'!$A:$A,0),MATCH('Scores per segment'!B$1,'Error Log'!$A$1:$J$1,0)))</f>
        <v>the us body that regulates internet addresses is looking to crack down on a canadian company using the new ' .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 .
sucks ' domain taken down .
kevin spacey is reportedly among celebrities paying out to have their name removed from one of the ' .
sucks ' domains which opened on 30 march
taylor swift has also had to spend defensively in the past to remove her name from ' .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 .
but it is backtracking after an advisory panel made up of industry groups and companies like microsoft , verizon and ebay complained last month .
vox populi began accepting registrations using ' .
sucks ' on march 30 from trademark holders and celebrities before it is released to public applicants .
taylor swift has also had to spend defensively in the past to remove her name from '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 .
sucks , ' calling it a ` shakedown scheme ' and ` predatory . '
companies like godaddy.com register some domain names for just $ 1 a year , and vox populi will offer consumers the right to secure a ' .
sucks ' address for just $ 10 a year starting in september .
the advisory body says that the threat of opening a ' .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 .
sucks ' site to the average consumer later is ` an essential element of vox populi 's coercive scheme
sucks ' domains for around $ 2,499 a year
#reference: 
kevin spacey among celebrities who 've paid to get the domains removed
youtube , bing , visa , bank of america and yahoo among others targeted
us regulator will see if the actions of vox populi registry ltd. were illegal
owners recommended to resell ' . sucks ' domains for around $ 2,499 a year
#extractive: 
kevin spacey is reportedly among celebrities paying out to have their name removed from one of the ' .
sucks ' domain name to extract exorbitant sums from celebrities such as kevin spacey and companies looking to protect their reputations .
kevin spacey has reportedly paid have his his ' .</v>
      </c>
      <c r="C15" s="70" t="str">
        <f>IF(ISBLANK(A15),"",INDEX('Error Log'!$A:$J,MATCH('Scores per segment'!$A15,'Error Log'!$A:$A,0),MATCH('Scores per segment'!C$1,'Error Log'!$A$1:$J$1,0)))</f>
        <v>the internet corporation for assigned names and numbers , or ` icann , ' sent a letter to the u.s. federal trade commission and canada 's office of consumer affairs to see if the actions of company vox populi registry ltd. were illegal
so far , purchased names include youtube.sucks , bing.sucks , visa.sucks , bankofamerica.sucks , yahoo.sucks , telusmobility.sucks and other major brand names
taylor swift has also had to spend defensively in the past to remove her name from ' . adult ' domains attacking her</v>
      </c>
      <c r="D15" s="70">
        <f>IF(H15=0,wdct(TRIM(C15)),0)</f>
        <v>82</v>
      </c>
      <c r="E15" s="70">
        <f>COUNTIFS('Error Log'!$A:$A,$A15,'Error Log'!$J:$J,E$1)</f>
        <v>2</v>
      </c>
      <c r="F15" s="70">
        <f>COUNTIFS('Error Log'!$A:$A,$A15,'Error Log'!$J:$J,F$1)</f>
        <v>1</v>
      </c>
      <c r="G15" s="70">
        <f>COUNTIFS('Error Log'!$A:$A,$A15,'Error Log'!$J:$J,G$1)</f>
        <v>0</v>
      </c>
      <c r="H15" s="70">
        <f>COUNTIFS('Error Log'!$A:$A,$A15,'Error Log'!$F:$F,"Source")</f>
        <v>0</v>
      </c>
      <c r="I15" s="70">
        <f>COUNTIFS('Error Log'!$A:$A,$A15,'Error Log'!$F:$F,"Target")</f>
        <v>0</v>
      </c>
      <c r="J15" s="71">
        <f t="shared" si="0"/>
        <v>84.756097560975604</v>
      </c>
    </row>
    <row r="16" spans="1:10">
      <c r="A16" s="78" t="s">
        <v>172</v>
      </c>
      <c r="B16" s="70" t="str">
        <f>IF(ISBLANK(A16),"",INDEX('Error Log'!$A:$J,MATCH('Scores per segment'!$A16,'Error Log'!$A:$A,0),MATCH('Scores per segment'!B$1,'Error Log'!$A$1:$J$1,0)))</f>
        <v>a teenager set herself on fire after allegedly being raped by five men from her village in india -- and her family reportedly told her to keep quiet about the attack .
the 14-year-old is now fighting for her life in delhi 's safdarjung hospital with 70 per cent burns .
she was allegedly gang-raped on sunday when she went outside her house in kosi kalan , in uttar pradesh 's mathura district , to relieve herself .
a teenager set herself on fire after allegedly being raped by five men from her village in india .
she is now recovering in delhi 's safdarjung hospital ( pictured )
she was allegedly gang-raped on sunday when she went outside her house in kosi kalan , in uttar pradesh 's mathura district , to relieve herself ( file image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v>
      </c>
      <c r="C16" s="70" t="str">
        <f>IF(ISBLANK(A16),"",INDEX('Error Log'!$A:$J,MATCH('Scores per segment'!$A16,'Error Log'!$A:$A,0),MATCH('Scores per segment'!C$1,'Error Log'!$A$1:$J$1,0)))</f>
        <v>the 14-year-old is now fighting for her life in delhi 's safdarjung hospital
she was allegedly gang-raped on sunday when she went outside her house
on tuesday she set herself on fire using kerosene , according to ndtv
her brother said : ` when i woke up , i saw her in flames ... i poured water on her to put out the flames '</v>
      </c>
      <c r="D16" s="70">
        <f>IF(H16=0,wdct(TRIM(C16)),0)</f>
        <v>59</v>
      </c>
      <c r="E16" s="70">
        <f>COUNTIFS('Error Log'!$A:$A,$A16,'Error Log'!$J:$J,E$1)</f>
        <v>3</v>
      </c>
      <c r="F16" s="70">
        <f>COUNTIFS('Error Log'!$A:$A,$A16,'Error Log'!$J:$J,F$1)</f>
        <v>1</v>
      </c>
      <c r="G16" s="70">
        <f>COUNTIFS('Error Log'!$A:$A,$A16,'Error Log'!$J:$J,G$1)</f>
        <v>1</v>
      </c>
      <c r="H16" s="70">
        <f>COUNTIFS('Error Log'!$A:$A,$A16,'Error Log'!$F:$F,"Source")</f>
        <v>0</v>
      </c>
      <c r="I16" s="70">
        <f>COUNTIFS('Error Log'!$A:$A,$A16,'Error Log'!$F:$F,"Target")</f>
        <v>0</v>
      </c>
      <c r="J16" s="71">
        <f t="shared" si="0"/>
        <v>69.491525423728817</v>
      </c>
    </row>
    <row r="17" spans="1:10">
      <c r="A17" s="78" t="s">
        <v>180</v>
      </c>
      <c r="B17" s="70" t="str">
        <f>IF(ISBLANK(A17),"",INDEX('Error Log'!$A:$J,MATCH('Scores per segment'!$A17,'Error Log'!$A:$A,0),MATCH('Scores per segment'!B$1,'Error Log'!$A$1:$J$1,0)))</f>
        <v>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unsolved case : a police officer searches windmill pit , the norfolk pond where the baby boy 's body was found back in 1988
the boy 's body was exhumed by officers as part of a case review , with dna samples leading police to the boy 's mother .
he has now been reburied at weasenham st peter church , norfolk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v>
      </c>
      <c r="C17" s="70" t="str">
        <f>IF(ISBLANK(A17),"",INDEX('Error Log'!$A:$J,MATCH('Scores per segment'!$A17,'Error Log'!$A:$A,0),MATCH('Scores per segment'!C$1,'Error Log'!$A$1:$J$1,0)))</f>
        <v>police exhumed the boy 's body from his grave in norfolk last year
the woman , who has not been named , was arrested on suspicion of infanticide but the charge was dropped after she explained how the baby had been stillborn and that she had concealed the pregnancy from her family and friends</v>
      </c>
      <c r="D17" s="70">
        <f>IF(H17=0,wdct(TRIM(C17)),0)</f>
        <v>52</v>
      </c>
      <c r="E17" s="70">
        <f>COUNTIFS('Error Log'!$A:$A,$A17,'Error Log'!$J:$J,E$1)</f>
        <v>1</v>
      </c>
      <c r="F17" s="70">
        <f>COUNTIFS('Error Log'!$A:$A,$A17,'Error Log'!$J:$J,F$1)</f>
        <v>0</v>
      </c>
      <c r="G17" s="70">
        <f>COUNTIFS('Error Log'!$A:$A,$A17,'Error Log'!$J:$J,G$1)</f>
        <v>0</v>
      </c>
      <c r="H17" s="70">
        <f>COUNTIFS('Error Log'!$A:$A,$A17,'Error Log'!$F:$F,"Source")</f>
        <v>0</v>
      </c>
      <c r="I17" s="70">
        <f>COUNTIFS('Error Log'!$A:$A,$A17,'Error Log'!$F:$F,"Target")</f>
        <v>0</v>
      </c>
      <c r="J17" s="71">
        <f t="shared" si="0"/>
        <v>90.384615384615387</v>
      </c>
    </row>
    <row r="18" spans="1:10">
      <c r="A18" s="78" t="s">
        <v>185</v>
      </c>
      <c r="B18" s="70" t="str">
        <f>IF(ISBLANK(A18),"",INDEX('Error Log'!$A:$J,MATCH('Scores per segment'!$A18,'Error Log'!$A:$A,0),MATCH('Scores per segment'!B$1,'Error Log'!$A$1:$J$1,0)))</f>
        <v>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louis van gaal explained at his press conference on friday that van persie is not yet fit enough to play
united players train in the sunshine ahead of their game against local rivals city on sunday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manager van gaal ( left ) oversees the training while captain wayne rooney runs with the ball
goalkeeper david de gea ( left ) , winger angel di maria ( centre ) and radamel falcao were in training action
rooney leads the way in training as he runs through some cones in the sunshine on friday in manchester
( left to right ) di maria , juan mata , falcao , marcos rojo and ander herrera prepare to take on city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the united boss also ruled out a potential return for luke shaw .
like van persie , van gaal does not yet consider him fit enough to feature .
` i do n't think shaw is fit enough to play , ' van gaal said .
` but i can not say they are not fit , but in my opinion they are not fit to play .
that is a different question . '
luke shaw is another player yet to be at the standard of match fitness required by van gaal
( left to right ) rooney , ashley young , goalkeeper anders lindegaard and michael carrick have a breather
falcao ( left ) and antonio valencia ( second right ) look in high spirits as they prepare for the derby
herrera will be hoping to continue the fine form that has seen him become one of united 's key players recently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 n't say it .
i say it because i feel it . '</v>
      </c>
      <c r="C18" s="70" t="str">
        <f>IF(ISBLANK(A18),"",INDEX('Error Log'!$A:$J,MATCH('Scores per segment'!$A18,'Error Log'!$A:$A,0),MATCH('Scores per segment'!C$1,'Error Log'!$A$1:$J$1,0)))</f>
        <v>manchester united host manchester city in sunday 's derby at old trafford
robin van persie said he was fit to play after ankle trouble
van gaal has ruled him out of the game but will have to do so without van persie
united have an opportunity to finish as high as second or third</v>
      </c>
      <c r="D18" s="70">
        <f>IF(H18=0,wdct(TRIM(C18)),0)</f>
        <v>54</v>
      </c>
      <c r="E18" s="70">
        <f>COUNTIFS('Error Log'!$A:$A,$A18,'Error Log'!$J:$J,E$1)</f>
        <v>1</v>
      </c>
      <c r="F18" s="70">
        <f>COUNTIFS('Error Log'!$A:$A,$A18,'Error Log'!$J:$J,F$1)</f>
        <v>1</v>
      </c>
      <c r="G18" s="70">
        <f>COUNTIFS('Error Log'!$A:$A,$A18,'Error Log'!$J:$J,G$1)</f>
        <v>0</v>
      </c>
      <c r="H18" s="70">
        <f>COUNTIFS('Error Log'!$A:$A,$A18,'Error Log'!$F:$F,"Source")</f>
        <v>0</v>
      </c>
      <c r="I18" s="70">
        <f>COUNTIFS('Error Log'!$A:$A,$A18,'Error Log'!$F:$F,"Target")</f>
        <v>0</v>
      </c>
      <c r="J18" s="71">
        <f t="shared" si="0"/>
        <v>86.111111111111114</v>
      </c>
    </row>
    <row r="19" spans="1:10">
      <c r="A19" s="78" t="s">
        <v>190</v>
      </c>
      <c r="B19" s="70" t="str">
        <f>IF(ISBLANK(A19),"",INDEX('Error Log'!$A:$J,MATCH('Scores per segment'!$A19,'Error Log'!$A:$A,0),MATCH('Scores per segment'!B$1,'Error Log'!$A$1:$J$1,0)))</f>
        <v>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v>
      </c>
      <c r="C19" s="70" t="str">
        <f>IF(ISBLANK(A19),"",INDEX('Error Log'!$A:$J,MATCH('Scores per segment'!$A19,'Error Log'!$A:$A,0),MATCH('Scores per segment'!C$1,'Error Log'!$A$1:$J$1,0)))</f>
        <v>kristopher hicks , 27 , was on his way home from a night out in bath , somerset , with his girlfriend in a taxi driven by michael young , 56 , five years ago
mr young , a former soldier , had mistakenly believed mr hicks was planning to ` do a runner ' and decided to drive him back to the rank in a bid to teach him a lesson
but when mr hicks objected , the driver continued on for almost a mile , leading him to jump from the vehicle while it was travelling at more than 20mph
he suffered devastating brain injuries , developed epilepsy and now requires round-the-clock care from his mother</v>
      </c>
      <c r="D19" s="70">
        <f>IF(H19=0,wdct(TRIM(C19)),0)</f>
        <v>105</v>
      </c>
      <c r="E19" s="70">
        <f>COUNTIFS('Error Log'!$A:$A,$A19,'Error Log'!$J:$J,E$1)</f>
        <v>1</v>
      </c>
      <c r="F19" s="70">
        <f>COUNTIFS('Error Log'!$A:$A,$A19,'Error Log'!$J:$J,F$1)</f>
        <v>0</v>
      </c>
      <c r="G19" s="70">
        <f>COUNTIFS('Error Log'!$A:$A,$A19,'Error Log'!$J:$J,G$1)</f>
        <v>0</v>
      </c>
      <c r="H19" s="70">
        <f>COUNTIFS('Error Log'!$A:$A,$A19,'Error Log'!$F:$F,"Source")</f>
        <v>0</v>
      </c>
      <c r="I19" s="70">
        <f>COUNTIFS('Error Log'!$A:$A,$A19,'Error Log'!$F:$F,"Target")</f>
        <v>0</v>
      </c>
      <c r="J19" s="71">
        <f t="shared" si="0"/>
        <v>95.238095238095241</v>
      </c>
    </row>
    <row r="20" spans="1:10">
      <c r="A20" s="78" t="s">
        <v>194</v>
      </c>
      <c r="B20" s="70" t="str">
        <f>IF(ISBLANK(A20),"",INDEX('Error Log'!$A:$J,MATCH('Scores per segment'!$A20,'Error Log'!$A:$A,0),MATCH('Scores per segment'!B$1,'Error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£ 5.14 billion tv rights deal with banners held up inside and outside the ground .
with tickets at the sold-out emirates starting from £ 64 for the 12.45 pm kick-off , protesters hope the image of empty seats around the ground will raise awareness of the struggles fans face to meet the rising costs of following their clubs .
fans inside the emirates stadium display a banner reading : ' £ 5bn and what do we get ?
the cheapest tickets for the lunchtime kick-off were £ 64 , some of the highest prices in the premier league
supporters of both sides gathered outside the 60,000-capacity stadium before kick-off to show off banners against the rising costs of modern football .
a banner inside the stadium , held between the home and away ends , read : ' £ 5bn and what do we get ?
£ 64 a ticket ' .
ahead of the game , kelvin meadows of arsenal 's black scarf movement - who organised the event with liverpool 's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fans show off a banner reading ` football without fans is nothing ' outside the stadium before kick-off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v>
      </c>
      <c r="C20" s="70" t="str">
        <f>IF(ISBLANK(A20),"",INDEX('Error Log'!$A:$J,MATCH('Scores per segment'!$A20,'Error Log'!$A:$A,0),MATCH('Scores per segment'!C$1,'Error Log'!$A$1:$J$1,0)))</f>
        <v>arsenal and liverpool fans left their seats empty at the emirates stadium for the first 10 minutes of their lunchtime premier league clash
the cheapest tickets for the lunchtime kick-off were # 64 , some of the highest prices in the premier league
supporters of both sides gathered outside the 60,000-capacity stadium before kick-off to show off banners against the rising costs of modern football</v>
      </c>
      <c r="D20" s="70">
        <f>IF(H20=0,wdct(TRIM(C20)),0)</f>
        <v>63</v>
      </c>
      <c r="E20" s="70">
        <f>COUNTIFS('Error Log'!$A:$A,$A20,'Error Log'!$J:$J,E$1)</f>
        <v>1</v>
      </c>
      <c r="F20" s="70">
        <f>COUNTIFS('Error Log'!$A:$A,$A20,'Error Log'!$J:$J,F$1)</f>
        <v>1</v>
      </c>
      <c r="G20" s="70">
        <f>COUNTIFS('Error Log'!$A:$A,$A20,'Error Log'!$J:$J,G$1)</f>
        <v>0</v>
      </c>
      <c r="H20" s="70">
        <f>COUNTIFS('Error Log'!$A:$A,$A20,'Error Log'!$F:$F,"Source")</f>
        <v>0</v>
      </c>
      <c r="I20" s="70">
        <f>COUNTIFS('Error Log'!$A:$A,$A20,'Error Log'!$F:$F,"Target")</f>
        <v>0</v>
      </c>
      <c r="J20" s="71">
        <f t="shared" si="0"/>
        <v>88.095238095238102</v>
      </c>
    </row>
    <row r="21" spans="1:10">
      <c r="A21" s="79" t="s">
        <v>199</v>
      </c>
      <c r="B21" s="70" t="str">
        <f>IF(ISBLANK(A21),"",INDEX('Error Log'!$A:$J,MATCH('Scores per segment'!$A21,'Error Log'!$A:$A,0),MATCH('Scores per segment'!B$1,'Error Log'!$A$1:$J$1,0)))</f>
        <v>(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v>
      </c>
      <c r="C21" s="70" t="str">
        <f>IF(ISBLANK(A21),"",INDEX('Error Log'!$A:$J,MATCH('Scores per segment'!$A21,'Error Log'!$A:$A,0),MATCH('Scores per segment'!C$1,'Error Log'!$A$1:$J$1,0)))</f>
        <v>" there will be storms ... that pop up all night long , " says cnn severe weather expert chad myers
three of the sightings were near aetna , 125 miles southwest of wichita
a tornado may have touched down in potosi , missouri , about 70 miles from st. louis</v>
      </c>
      <c r="D21" s="70">
        <f>IF(H21=0,wdct(TRIM(C21)),0)</f>
        <v>44</v>
      </c>
      <c r="E21" s="70">
        <f>COUNTIFS('Error Log'!$A:$A,$A21,'Error Log'!$J:$J,E$1)</f>
        <v>2</v>
      </c>
      <c r="F21" s="70">
        <f>COUNTIFS('Error Log'!$A:$A,$A21,'Error Log'!$J:$J,F$1)</f>
        <v>2</v>
      </c>
      <c r="G21" s="70">
        <f>COUNTIFS('Error Log'!$A:$A,$A21,'Error Log'!$J:$J,G$1)</f>
        <v>0</v>
      </c>
      <c r="H21" s="70">
        <f>COUNTIFS('Error Log'!$A:$A,$A21,'Error Log'!$F:$F,"Source")</f>
        <v>0</v>
      </c>
      <c r="I21" s="70">
        <f>COUNTIFS('Error Log'!$A:$A,$A21,'Error Log'!$F:$F,"Target")</f>
        <v>0</v>
      </c>
      <c r="J21" s="71">
        <f t="shared" si="0"/>
        <v>65.909090909090907</v>
      </c>
    </row>
    <row r="22" spans="1:10">
      <c r="A22" s="79" t="s">
        <v>207</v>
      </c>
      <c r="B22" s="70" t="str">
        <f>IF(ISBLANK(A22),"",INDEX('Error Log'!$A:$J,MATCH('Scores per segment'!$A22,'Error Log'!$A:$A,0),MATCH('Scores per segment'!B$1,'Error Log'!$A$1:$J$1,0)))</f>
        <v>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 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while the baby 's mother was not a suitable match , her twin sister proved an ideal candidate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 's all thanks to my twin sister .
i ca n't thank her enough , ' her other added .
speaking of the decision , shanell said : ` i did n't hesitate to step forward to save star .
she 's my niece and i would do anything to help her . '
since the operation in november baby star has made a good recovery as has her aunt shanell who said she did not hesitate when confronted with the choice of giving up part of her liver</v>
      </c>
      <c r="C22" s="70" t="str">
        <f>IF(ISBLANK(A22),"",INDEX('Error Log'!$A:$J,MATCH('Scores per segment'!$A22,'Error Log'!$A:$A,0),MATCH('Scores per segment'!C$1,'Error Log'!$A$1:$J$1,0)))</f>
        <v>star reader was diagnosed with biliary atresia within days of being born
after an operation to have her bile ducts unblocked , her parents were told the baby would need a liver transplant in order to survive
her aunt shanell reader gave up part of her liver and has since saved her niece 's life</v>
      </c>
      <c r="D22" s="70">
        <f>IF(H22=0,wdct(TRIM(C22)),0)</f>
        <v>54</v>
      </c>
      <c r="E22" s="70">
        <f>COUNTIFS('Error Log'!$A:$A,$A22,'Error Log'!$J:$J,E$1)</f>
        <v>2</v>
      </c>
      <c r="F22" s="70">
        <f>COUNTIFS('Error Log'!$A:$A,$A22,'Error Log'!$J:$J,F$1)</f>
        <v>0</v>
      </c>
      <c r="G22" s="70">
        <f>COUNTIFS('Error Log'!$A:$A,$A22,'Error Log'!$J:$J,G$1)</f>
        <v>0</v>
      </c>
      <c r="H22" s="70">
        <f>COUNTIFS('Error Log'!$A:$A,$A22,'Error Log'!$F:$F,"Source")</f>
        <v>0</v>
      </c>
      <c r="I22" s="70">
        <f>COUNTIFS('Error Log'!$A:$A,$A22,'Error Log'!$F:$F,"Target")</f>
        <v>0</v>
      </c>
      <c r="J22" s="71">
        <f t="shared" si="0"/>
        <v>81.481481481481481</v>
      </c>
    </row>
    <row r="23" spans="1:10">
      <c r="A23" s="79" t="s">
        <v>212</v>
      </c>
      <c r="B23" s="70" t="str">
        <f>IF(ISBLANK(A23),"",INDEX('Error Log'!$A:$J,MATCH('Scores per segment'!$A23,'Error Log'!$A:$A,0),MATCH('Scores per segment'!B$1,'Error Log'!$A$1:$J$1,0)))</f>
        <v>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machida lands a side kick as he works out in front of fans and media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machida is also coming off the back of a victory , against cb dollaway in brazil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 to see any mistakes he makes .
` i am very well prepared for this fight .
i had eight weeks of camp and i had great training .
glover [ teixeira ] was there and many , many other fighters .
so i am feeling very well , very calm , and i think i can do a great job . '</v>
      </c>
      <c r="C23" s="70" t="str">
        <f>IF(ISBLANK(A23),"",INDEX('Error Log'!$A:$J,MATCH('Scores per segment'!$A23,'Error Log'!$A:$A,0),MATCH('Scores per segment'!C$1,'Error Log'!$A$1:$J$1,0)))</f>
        <v>luke rockhold and lyoto machida face off in new jersey on saturday
the californian is bidding for his fourth consecutive victory since losing to vitor belfort two years ago
rockhold knows exactly what it will take to beat machida</v>
      </c>
      <c r="D23" s="70">
        <f>IF(H23=0,wdct(TRIM(C23)),0)</f>
        <v>39</v>
      </c>
      <c r="E23" s="70">
        <f>COUNTIFS('Error Log'!$A:$A,$A23,'Error Log'!$J:$J,E$1)</f>
        <v>0</v>
      </c>
      <c r="F23" s="70">
        <f>COUNTIFS('Error Log'!$A:$A,$A23,'Error Log'!$J:$J,F$1)</f>
        <v>0</v>
      </c>
      <c r="G23" s="70">
        <f>COUNTIFS('Error Log'!$A:$A,$A23,'Error Log'!$J:$J,G$1)</f>
        <v>0</v>
      </c>
      <c r="H23" s="70">
        <f>COUNTIFS('Error Log'!$A:$A,$A23,'Error Log'!$F:$F,"Source")</f>
        <v>0</v>
      </c>
      <c r="I23" s="70">
        <f>COUNTIFS('Error Log'!$A:$A,$A23,'Error Log'!$F:$F,"Target")</f>
        <v>0</v>
      </c>
      <c r="J23" s="71">
        <f t="shared" si="0"/>
        <v>100</v>
      </c>
    </row>
    <row r="24" spans="1:10">
      <c r="A24" s="79" t="s">
        <v>215</v>
      </c>
      <c r="B24" s="70" t="str">
        <f>IF(ISBLANK(A24),"",INDEX('Error Log'!$A:$J,MATCH('Scores per segment'!$A24,'Error Log'!$A:$A,0),MATCH('Scores per segment'!B$1,'Error Log'!$A$1:$J$1,0)))</f>
        <v>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17-goal man eden hazard and youngster nathan ake took on blues ' team-mates loic remy and willian
from there , they take to a makeshift tennis court , where the net is replaced by a £ 127,000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£ 127,000 r8 v10 plus audi , which played the part of tennis net in one challenge
the final challenge involved the players shooting at cars from long range , with remy and willian winning
hazard throws footballs up to his team-mate ake , who tries to fire them into the boot of an audi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willian laughs after being allowed to drive one of the audi 's that was part of the football challenge</v>
      </c>
      <c r="C24" s="70" t="str">
        <f>IF(ISBLANK(A24),"",INDEX('Error Log'!$A:$J,MATCH('Scores per segment'!$A24,'Error Log'!$A:$A,0),MATCH('Scores per segment'!C$1,'Error Log'!$A$1:$J$1,0)))</f>
        <v>eden hazard and nathan ake took on loic remy and willian in audi 's football challenge
the blues stars aim to fire balls into the boot of a car from close range
hazard and ake secured the points with a 5-3 win over their team-mates</v>
      </c>
      <c r="D24" s="70">
        <f>IF(H24=0,wdct(TRIM(C24)),0)</f>
        <v>45</v>
      </c>
      <c r="E24" s="70">
        <f>COUNTIFS('Error Log'!$A:$A,$A24,'Error Log'!$J:$J,E$1)</f>
        <v>0</v>
      </c>
      <c r="F24" s="70">
        <f>COUNTIFS('Error Log'!$A:$A,$A24,'Error Log'!$J:$J,F$1)</f>
        <v>4</v>
      </c>
      <c r="G24" s="70">
        <f>COUNTIFS('Error Log'!$A:$A,$A24,'Error Log'!$J:$J,G$1)</f>
        <v>0</v>
      </c>
      <c r="H24" s="70">
        <f>COUNTIFS('Error Log'!$A:$A,$A24,'Error Log'!$F:$F,"Source")</f>
        <v>0</v>
      </c>
      <c r="I24" s="70">
        <f>COUNTIFS('Error Log'!$A:$A,$A24,'Error Log'!$F:$F,"Target")</f>
        <v>0</v>
      </c>
      <c r="J24" s="71">
        <f t="shared" si="0"/>
        <v>77.777777777777771</v>
      </c>
    </row>
    <row r="25" spans="1:10">
      <c r="A25" s="79" t="s">
        <v>222</v>
      </c>
      <c r="B25" s="70" t="str">
        <f>IF(ISBLANK(A25),"",INDEX('Error Log'!$A:$J,MATCH('Scores per segment'!$A25,'Error Log'!$A:$A,0),MATCH('Scores per segment'!B$1,'Error Log'!$A$1:$J$1,0)))</f>
        <v>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the video maker can be heard saying that the plane 's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he added : ` it 's amazing the aeroplane engines did not get destroyed during the propellers impact and the pilot did not stall during the forced take-off with the high angle of attack and damaged propellers . '
according to wpbf 25 news , the plane 's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v>
      </c>
      <c r="C25" s="70" t="str">
        <f>IF(ISBLANK(A25),"",INDEX('Error Log'!$A:$J,MATCH('Scores per segment'!$A25,'Error Log'!$A:$A,0),MATCH('Scores per segment'!C$1,'Error Log'!$A$1:$J$1,0)))</f>
        <v>light general aviation aircraft touches down without landing gear deployed
plane touches down with bump and scratches on the tarmac in fort pierce , florida
video maker can be heard saying that the plane 's propellers have been damaged in the collision with the runway and that more than likely , the pilot will crash</v>
      </c>
      <c r="D25" s="70">
        <f>IF(H25=0,wdct(TRIM(C25)),0)</f>
        <v>53</v>
      </c>
      <c r="E25" s="70">
        <f>COUNTIFS('Error Log'!$A:$A,$A25,'Error Log'!$J:$J,E$1)</f>
        <v>1</v>
      </c>
      <c r="F25" s="70">
        <f>COUNTIFS('Error Log'!$A:$A,$A25,'Error Log'!$J:$J,F$1)</f>
        <v>0</v>
      </c>
      <c r="G25" s="70">
        <f>COUNTIFS('Error Log'!$A:$A,$A25,'Error Log'!$J:$J,G$1)</f>
        <v>0</v>
      </c>
      <c r="H25" s="70">
        <f>COUNTIFS('Error Log'!$A:$A,$A25,'Error Log'!$F:$F,"Source")</f>
        <v>0</v>
      </c>
      <c r="I25" s="70">
        <f>COUNTIFS('Error Log'!$A:$A,$A25,'Error Log'!$F:$F,"Target")</f>
        <v>0</v>
      </c>
      <c r="J25" s="71">
        <f t="shared" si="0"/>
        <v>90.566037735849051</v>
      </c>
    </row>
    <row r="26" spans="1:10">
      <c r="A26" s="79" t="s">
        <v>226</v>
      </c>
      <c r="B26" s="70" t="str">
        <f>IF(ISBLANK(A26),"",INDEX('Error Log'!$A:$J,MATCH('Scores per segment'!$A26,'Error Log'!$A:$A,0),MATCH('Scores per segment'!B$1,'Error Log'!$A$1:$J$1,0)))</f>
        <v>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tragic : john timmons , 29 , and amanda murphy , 24 , were killed instantly in the crash on december 7 , 2013
pregnant : this is an ultrasound of the couple 's unborn baby who they were going to call reagan elizabeth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v>
      </c>
      <c r="C26" s="70" t="str">
        <f>IF(ISBLANK(A26),"",INDEX('Error Log'!$A:$J,MATCH('Scores per segment'!$A26,'Error Log'!$A:$A,0),MATCH('Scores per segment'!C$1,'Error Log'!$A$1:$J$1,0)))</f>
        <v>prosecutors previously said that robert dellinger , 54 , told investigators he was trying to kill himself in december 2013 when he drove his pickup truck across a median at more than 100mph
the crash killed 24-year-old amanda murphy , who was eight months pregnant , and her fiance , 29-year-old jason timmons
dellinger faces 12 to 24 years in prison when sentencing resumes thursday</v>
      </c>
      <c r="D26" s="70">
        <f>IF(H26=0,wdct(TRIM(C26)),0)</f>
        <v>60</v>
      </c>
      <c r="E26" s="70">
        <f>COUNTIFS('Error Log'!$A:$A,$A26,'Error Log'!$J:$J,E$1)</f>
        <v>2</v>
      </c>
      <c r="F26" s="70">
        <f>COUNTIFS('Error Log'!$A:$A,$A26,'Error Log'!$J:$J,F$1)</f>
        <v>0</v>
      </c>
      <c r="G26" s="70">
        <f>COUNTIFS('Error Log'!$A:$A,$A26,'Error Log'!$J:$J,G$1)</f>
        <v>0</v>
      </c>
      <c r="H26" s="70">
        <f>COUNTIFS('Error Log'!$A:$A,$A26,'Error Log'!$F:$F,"Source")</f>
        <v>0</v>
      </c>
      <c r="I26" s="70">
        <f>COUNTIFS('Error Log'!$A:$A,$A26,'Error Log'!$F:$F,"Target")</f>
        <v>0</v>
      </c>
      <c r="J26" s="71">
        <f t="shared" si="0"/>
        <v>83.333333333333343</v>
      </c>
    </row>
    <row r="27" spans="1:10">
      <c r="A27" s="79" t="s">
        <v>231</v>
      </c>
      <c r="B27" s="70" t="str">
        <f>IF(ISBLANK(A27),"",INDEX('Error Log'!$A:$J,MATCH('Scores per segment'!$A27,'Error Log'!$A:$A,0),MATCH('Scores per segment'!B$1,'Error Log'!$A$1:$J$1,0)))</f>
        <v>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manuel pellegrini has admitted he has been disappointed by the ivory coast midfielder 's level
` i do n't think he 's happy with his performance this year -- and nor am i , ' said pellegrini .
` he does n't need a break . '
toure , who has two years left on a £ 220,000-a-week deal , has come in for criticism amid the collapse of city 's premier league defence .
but pellegrini , who faces questions over his own future , said the 31-year-old would be backed .
` he 's a very important player and he will have my support until the end of the season , ' he said .
city , who have taken just 18 points from the last available 39 , take on sam allardyce 's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 we 've let the manager down a few times and we 've baffled ourselves because we feel like we 've got the quality to beat anyone and that 's not been the case . '
city boss pellegrini has vowed to support toure until at least the end of the season
sportsmail revealed that manchester city will listen to offers for toure in the summer
hart added that pellegrini retained the backing of the dressing room .
` he 's been great , ' hart said .
` he 's hard , he kind of says it how it is and you ca 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sam allardyce has warned cresswell not to make same mistake as other english players by moving to city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v>
      </c>
      <c r="C27" s="70" t="str">
        <f>IF(ISBLANK(A27),"",INDEX('Error Log'!$A:$J,MATCH('Scores per segment'!$A27,'Error Log'!$A:$A,0),MATCH('Scores per segment'!C$1,'Error Log'!$A$1:$J$1,0)))</f>
        <v>manuel pellegrini has admitted he is disappointed in yaya toure
the ivory coast midfielder has come in for criticism for his performances this season
sportsmail revealed that manchester city will listen to offers for the midfielder in the summer
pellegrini said the 31-year-old will have my support until the end of the season</v>
      </c>
      <c r="D27" s="70">
        <f>IF(H27=0,wdct(TRIM(C27)),0)</f>
        <v>53</v>
      </c>
      <c r="E27" s="70">
        <f>COUNTIFS('Error Log'!$A:$A,$A27,'Error Log'!$J:$J,E$1)</f>
        <v>2</v>
      </c>
      <c r="F27" s="70">
        <f>COUNTIFS('Error Log'!$A:$A,$A27,'Error Log'!$J:$J,F$1)</f>
        <v>1</v>
      </c>
      <c r="G27" s="70">
        <f>COUNTIFS('Error Log'!$A:$A,$A27,'Error Log'!$J:$J,G$1)</f>
        <v>0</v>
      </c>
      <c r="H27" s="70">
        <f>COUNTIFS('Error Log'!$A:$A,$A27,'Error Log'!$F:$F,"Source")</f>
        <v>0</v>
      </c>
      <c r="I27" s="70">
        <f>COUNTIFS('Error Log'!$A:$A,$A27,'Error Log'!$F:$F,"Target")</f>
        <v>0</v>
      </c>
      <c r="J27" s="71">
        <f t="shared" si="0"/>
        <v>76.415094339622641</v>
      </c>
    </row>
    <row r="28" spans="1:10">
      <c r="A28" s="79" t="s">
        <v>237</v>
      </c>
      <c r="B28" s="70" t="str">
        <f>IF(ISBLANK(A28),"",INDEX('Error Log'!$A:$J,MATCH('Scores per segment'!$A28,'Error Log'!$A:$A,0),MATCH('Scores per segment'!B$1,'Error Log'!$A$1:$J$1,0)))</f>
        <v>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garnett-paul spears ' ( left ) father chris hill ( right ) lashed at his ex and the boy 's mother on facebook this week expressing his hope that she would die in prison
lacey spears of scottsville , kentucky , was found guilty last month of second-degree murder in the death of her son at a suburban new york hospital ( pictured wednesday )
she was spared the maximum 25 years to life and instead received 20 , showing no emotion when she was sentenced
as the conversation continued on his facebook page the father , who said he was tired of crying over the loss of his boy , stated ; ` crazy a ** woman needs to be beat to death in prison . '
he also noted his ex 's complete lack of emotion at her sentencing , writing ; ` no emotion what so ever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spears ' lawyer stephen riebling said she was innocent and blamed the hospital for negligence as he revealed plans to appeal
while awaiting sentencing , she was being held at westchester
county jail in valhalla , said a spokesman for westchester
prosecutors blamed spears , who lived in chestnut ridge ,
about 32 miles north of new york city , for her son 's
prosecutors blamed spears , who lived in chestnut ridge , about 32 miles ( 51 km ) north of new york city , for her son ` sshort and tormented life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spears did not testify at the trial .</v>
      </c>
      <c r="C28" s="70" t="str">
        <f>IF(ISBLANK(A28),"",INDEX('Error Log'!$A:$J,MATCH('Scores per segment'!$A28,'Error Log'!$A:$A,0),MATCH('Scores per segment'!C$1,'Error Log'!$A$1:$J$1,0)))</f>
        <v>lacey spears of scottsville , kentucky , was spared the maximum 25 years to life and instead received 20 , showing no emotion when she was sentenced
the new york judge who sentenced spears on wednesday said she suffers from a mental illness and said the crime was still ` unfathomable in its cruelty '</v>
      </c>
      <c r="D28" s="70">
        <f>IF(H28=0,wdct(TRIM(C28)),0)</f>
        <v>50</v>
      </c>
      <c r="E28" s="70">
        <f>COUNTIFS('Error Log'!$A:$A,$A28,'Error Log'!$J:$J,E$1)</f>
        <v>2</v>
      </c>
      <c r="F28" s="70">
        <f>COUNTIFS('Error Log'!$A:$A,$A28,'Error Log'!$J:$J,F$1)</f>
        <v>0</v>
      </c>
      <c r="G28" s="70">
        <f>COUNTIFS('Error Log'!$A:$A,$A28,'Error Log'!$J:$J,G$1)</f>
        <v>0</v>
      </c>
      <c r="H28" s="70">
        <f>COUNTIFS('Error Log'!$A:$A,$A28,'Error Log'!$F:$F,"Source")</f>
        <v>0</v>
      </c>
      <c r="I28" s="70">
        <f>COUNTIFS('Error Log'!$A:$A,$A28,'Error Log'!$F:$F,"Target")</f>
        <v>0</v>
      </c>
      <c r="J28" s="71">
        <f t="shared" si="0"/>
        <v>80</v>
      </c>
    </row>
    <row r="29" spans="1:10">
      <c r="A29" s="79" t="s">
        <v>242</v>
      </c>
      <c r="B29" s="70" t="str">
        <f>IF(ISBLANK(A29),"",INDEX('Error Log'!$A:$J,MATCH('Scores per segment'!$A29,'Error Log'!$A:$A,0),MATCH('Scores per segment'!B$1,'Error Log'!$A$1:$J$1,0)))</f>
        <v>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asked about the costs of this kind of extradition process , mr grange said they were likely to be in the `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v>
      </c>
      <c r="C29" s="70" t="str">
        <f>IF(ISBLANK(A29),"",INDEX('Error Log'!$A:$J,MATCH('Scores per segment'!$A29,'Error Log'!$A:$A,0),MATCH('Scores per segment'!C$1,'Error Log'!$A$1:$J$1,0)))</f>
        <v>domenico rancadore was convicted in his absence in italy in 1999
he was given a seven-year sentence for being a member of the cosa nostra
in february he lost his year-and-a-half battle against extradition and was told he must return to italy to serve his sentence
today it emerged that the 65-year-old 's case expired last october and his european arrest warrant is to be withdrawn</v>
      </c>
      <c r="D29" s="70">
        <f>IF(H29=0,wdct(TRIM(C29)),0)</f>
        <v>66</v>
      </c>
      <c r="E29" s="70">
        <f>COUNTIFS('Error Log'!$A:$A,$A29,'Error Log'!$J:$J,E$1)</f>
        <v>1</v>
      </c>
      <c r="F29" s="70">
        <f>COUNTIFS('Error Log'!$A:$A,$A29,'Error Log'!$J:$J,F$1)</f>
        <v>0</v>
      </c>
      <c r="G29" s="70">
        <f>COUNTIFS('Error Log'!$A:$A,$A29,'Error Log'!$J:$J,G$1)</f>
        <v>0</v>
      </c>
      <c r="H29" s="70">
        <f>COUNTIFS('Error Log'!$A:$A,$A29,'Error Log'!$F:$F,"Source")</f>
        <v>0</v>
      </c>
      <c r="I29" s="70">
        <f>COUNTIFS('Error Log'!$A:$A,$A29,'Error Log'!$F:$F,"Target")</f>
        <v>0</v>
      </c>
      <c r="J29" s="71">
        <f t="shared" si="0"/>
        <v>92.424242424242422</v>
      </c>
    </row>
    <row r="30" spans="1:10">
      <c r="A30" s="79" t="s">
        <v>246</v>
      </c>
      <c r="B30" s="70" t="str">
        <f>IF(ISBLANK(A30),"",INDEX('Error Log'!$A:$J,MATCH('Scores per segment'!$A30,'Error Log'!$A:$A,0),MATCH('Scores per segment'!B$1,'Error Log'!$A$1:$J$1,0)))</f>
        <v>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v>
      </c>
      <c r="C30" s="70" t="str">
        <f>IF(ISBLANK(A30),"",INDEX('Error Log'!$A:$J,MATCH('Scores per segment'!$A30,'Error Log'!$A:$A,0),MATCH('Scores per segment'!C$1,'Error Log'!$A$1:$J$1,0)))</f>
        <v>stocks of the flu vaccine are arriving a month later than expected
the decision to include both was triggered by a spike in flu-related deaths in the northern hemisphere
high-risk groups will be able to access free , government-funded flu shots from april 20</v>
      </c>
      <c r="D30" s="70">
        <f>IF(H30=0,wdct(TRIM(C30)),0)</f>
        <v>43</v>
      </c>
      <c r="E30" s="70">
        <f>COUNTIFS('Error Log'!$A:$A,$A30,'Error Log'!$J:$J,E$1)</f>
        <v>1</v>
      </c>
      <c r="F30" s="70">
        <f>COUNTIFS('Error Log'!$A:$A,$A30,'Error Log'!$J:$J,F$1)</f>
        <v>0</v>
      </c>
      <c r="G30" s="70">
        <f>COUNTIFS('Error Log'!$A:$A,$A30,'Error Log'!$J:$J,G$1)</f>
        <v>0</v>
      </c>
      <c r="H30" s="70">
        <f>COUNTIFS('Error Log'!$A:$A,$A30,'Error Log'!$F:$F,"Source")</f>
        <v>0</v>
      </c>
      <c r="I30" s="70">
        <f>COUNTIFS('Error Log'!$A:$A,$A30,'Error Log'!$F:$F,"Target")</f>
        <v>0</v>
      </c>
      <c r="J30" s="71">
        <f t="shared" si="0"/>
        <v>88.372093023255815</v>
      </c>
    </row>
    <row r="31" spans="1:10">
      <c r="A31" s="79" t="s">
        <v>250</v>
      </c>
      <c r="B31" s="70" t="str">
        <f>IF(ISBLANK(A31),"",INDEX('Error Log'!$A:$J,MATCH('Scores per segment'!$A31,'Error Log'!$A:$A,0),MATCH('Scores per segment'!B$1,'Error Log'!$A$1:$J$1,0)))</f>
        <v>mr mole , ap mccoy 's mount in the grade one celebration chase at sandown on saturday , has been installed as one of three 7-2 co-favourites in the seven-runner line-up .
paul nicholls-trained mr mole is bracketed with irish raider special tiara and nicky henderson 's sprinter sacre , who will be ridden by cheltenham gold cup winner nico de boinville in the absence of injured barry geraghty .
ap mccoy and mr mole will have six rivals in the grade one celebration chase at sandown on saturday
mr mole will be mccoy 's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v>
      </c>
      <c r="C31" s="70" t="str">
        <f>IF(ISBLANK(A31),"",INDEX('Error Log'!$A:$J,MATCH('Scores per segment'!$A31,'Error Log'!$A:$A,0),MATCH('Scores per segment'!C$1,'Error Log'!$A$1:$J$1,0)))</f>
        <v>ap mccoy and ap mccoy will have six rivals in the grade one celebration chase at sandown on saturday
mr mole will be mccoy 's last ride in a grade one race
his book of rides for his final day as a professional jockey will not be finalised until friday morning</v>
      </c>
      <c r="D31" s="70">
        <f>IF(H31=0,wdct(TRIM(C31)),0)</f>
        <v>51</v>
      </c>
      <c r="E31" s="70">
        <f>COUNTIFS('Error Log'!$A:$A,$A31,'Error Log'!$J:$J,E$1)</f>
        <v>2</v>
      </c>
      <c r="F31" s="70">
        <f>COUNTIFS('Error Log'!$A:$A,$A31,'Error Log'!$J:$J,F$1)</f>
        <v>2</v>
      </c>
      <c r="G31" s="70">
        <f>COUNTIFS('Error Log'!$A:$A,$A31,'Error Log'!$J:$J,G$1)</f>
        <v>0</v>
      </c>
      <c r="H31" s="70">
        <f>COUNTIFS('Error Log'!$A:$A,$A31,'Error Log'!$F:$F,"Source")</f>
        <v>0</v>
      </c>
      <c r="I31" s="70">
        <f>COUNTIFS('Error Log'!$A:$A,$A31,'Error Log'!$F:$F,"Target")</f>
        <v>0</v>
      </c>
      <c r="J31" s="71">
        <f t="shared" si="0"/>
        <v>70.588235294117652</v>
      </c>
    </row>
    <row r="32" spans="1:10">
      <c r="A32" s="79" t="s">
        <v>258</v>
      </c>
      <c r="B32" s="70" t="str">
        <f>IF(ISBLANK(A32),"",INDEX('Error Log'!$A:$J,MATCH('Scores per segment'!$A32,'Error Log'!$A:$A,0),MATCH('Scores per segment'!B$1,'Error Log'!$A$1:$J$1,0)))</f>
        <v>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bruce rauner participates in ceremonies honoring president abraham lincoln at the lincoln tomb in springfield , illinois
leader : a marker is seen over the burial site of abraham lincoln inside lincoln 's tomb within oak ridge cemetery ( november 2013 file photo )
killing : president lincoln was assassinated by john wilkes booth at a performance of the play ` our american cousin ' in april 1865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shrouded in history : caretakers of abraham lincoln 's tomb are on the defensive over an unflattering critique in national geographic magazine and looming budget cuts that could threaten management of the historic site ( february 2014 file photo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lincoln 's tomb was designed by vermont sculptor larkin mead , who won a national contest .
it was dedicated by president ulysses s. grant in 1874 ( november 2013 file photo )</v>
      </c>
      <c r="C32" s="70" t="str">
        <f>IF(ISBLANK(A32),"",INDEX('Error Log'!$A:$J,MATCH('Scores per segment'!$A32,'Error Log'!$A:$A,0),MATCH('Scores per segment'!C$1,'Error Log'!$A$1:$J$1,0)))</f>
        <v>illinois gov. bruce rauner has proposed eliminating the state historic preservation agency that manages sites including the tomb as it currently exists
the site was pilloried in this month 's issue of national geographic magazine as having ` all the historical character of an office lobby '
on tuesday , the 150th anniversary of john wilkes booth 's shooting of lincoln , although the president was pronounced dead the following day</v>
      </c>
      <c r="D32" s="70">
        <f>IF(H32=0,wdct(TRIM(C32)),0)</f>
        <v>67</v>
      </c>
      <c r="E32" s="70">
        <f>COUNTIFS('Error Log'!$A:$A,$A32,'Error Log'!$J:$J,E$1)</f>
        <v>5</v>
      </c>
      <c r="F32" s="70">
        <f>COUNTIFS('Error Log'!$A:$A,$A32,'Error Log'!$J:$J,F$1)</f>
        <v>1</v>
      </c>
      <c r="G32" s="70">
        <f>COUNTIFS('Error Log'!$A:$A,$A32,'Error Log'!$J:$J,G$1)</f>
        <v>0</v>
      </c>
      <c r="H32" s="70">
        <f>COUNTIFS('Error Log'!$A:$A,$A32,'Error Log'!$F:$F,"Source")</f>
        <v>0</v>
      </c>
      <c r="I32" s="70">
        <f>COUNTIFS('Error Log'!$A:$A,$A32,'Error Log'!$F:$F,"Target")</f>
        <v>0</v>
      </c>
      <c r="J32" s="71">
        <f t="shared" si="0"/>
        <v>58.955223880597011</v>
      </c>
    </row>
    <row r="33" spans="1:10">
      <c r="A33" s="79" t="s">
        <v>268</v>
      </c>
      <c r="B33" s="70" t="str">
        <f>IF(ISBLANK(A33),"",INDEX('Error Log'!$A:$J,MATCH('Scores per segment'!$A33,'Error Log'!$A:$A,0),MATCH('Scores per segment'!B$1,'Error Log'!$A$1:$J$1,0)))</f>
        <v>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marcia 's body was found 33 days after she disappeared and ritter 's then-husband advised her against seeing the body and the crime scene photos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v>
      </c>
      <c r="C33" s="70" t="str">
        <f>IF(ISBLANK(A33),"",INDEX('Error Log'!$A:$J,MATCH('Scores per segment'!$A33,'Error Log'!$A:$A,0),MATCH('Scores per segment'!C$1,'Error Log'!$A$1:$J$1,0)))</f>
        <v>virginia trimble ritter 's daughter , marcia , was raped and choked to death by jerome sydney barrett in 1975
her body was found 33 days after she disappeared and ritter 's then-husband advised her against seeing the body and the crime scene photos
she had declined to see the photos for several decades , and not even after barrett was convicted 33 years later</v>
      </c>
      <c r="D33" s="70">
        <f>IF(H33=0,wdct(TRIM(C33)),0)</f>
        <v>62</v>
      </c>
      <c r="E33" s="70">
        <f>COUNTIFS('Error Log'!$A:$A,$A33,'Error Log'!$J:$J,E$1)</f>
        <v>3</v>
      </c>
      <c r="F33" s="70">
        <f>COUNTIFS('Error Log'!$A:$A,$A33,'Error Log'!$J:$J,F$1)</f>
        <v>2</v>
      </c>
      <c r="G33" s="70">
        <f>COUNTIFS('Error Log'!$A:$A,$A33,'Error Log'!$J:$J,G$1)</f>
        <v>0</v>
      </c>
      <c r="H33" s="70">
        <f>COUNTIFS('Error Log'!$A:$A,$A33,'Error Log'!$F:$F,"Source")</f>
        <v>0</v>
      </c>
      <c r="I33" s="70">
        <f>COUNTIFS('Error Log'!$A:$A,$A33,'Error Log'!$F:$F,"Target")</f>
        <v>0</v>
      </c>
      <c r="J33" s="71">
        <f t="shared" si="0"/>
        <v>67.741935483870975</v>
      </c>
    </row>
    <row r="34" spans="1:10">
      <c r="A34" s="79" t="s">
        <v>277</v>
      </c>
      <c r="B34" s="70" t="str">
        <f>IF(ISBLANK(A34),"",INDEX('Error Log'!$A:$J,MATCH('Scores per segment'!$A34,'Error Log'!$A:$A,0),MATCH('Scores per segment'!B$1,'Error Log'!$A$1:$J$1,0)))</f>
        <v>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jcno jeans , popular at nineties raves , are threatening to make a comeback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now : pop star rihanna , 27 , was spotted in july 2014 wearing a floppy bucket hat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then : destiny 's child wore camouflage print in garish variations of bright blue back in 2001
now : jourdan dunn , 24 , attempted to bring back the camouflage look in the form of skinny trousers and a crop top in february 2015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now : 17-year-old reality star kylie jenner sported double denim out and about in los angeles earlier this month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now : nicki minaj stepped out in 2014 in the red version of the juicy couture tracksuit , proving that it 's maintained its popularity since the noughties
rainbow lenses were a nineties favourite for boy bands such as *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now : model cara delevingne and reality star kylie jenner are both fans of coloured sunglasses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not very posh : victoria beckham sported tight corset structured dresses to events such as the mtv movie awards in 2007 ( pictured left ) and the victoria 's secret fashion show in 2007 ( pictured right )
now : selena gomez works a sultry look to an awards ceremony with a corset-based gown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now : supermodel elle macpherson steps out in a pair of leopard print harem trousers</v>
      </c>
      <c r="C34" s="70" t="str">
        <f>IF(ISBLANK(A34),"",INDEX('Error Log'!$A:$J,MATCH('Scores per segment'!$A34,'Error Log'!$A:$A,0),MATCH('Scores per segment'!C$1,'Error Log'!$A$1:$J$1,0)))</f>
        <v>jnco , the brand responsible for the huge wideleg ` rave ' jeans , is set to make a comeback
the return of the highly impractical jeans , which featured giant leg openings approaching 50in , has horrified many of the people who wore the ridiculous pants the first time around  femail rounds up the worst offenders</v>
      </c>
      <c r="D34" s="70">
        <f>IF(H34=0,wdct(TRIM(C34)),0)</f>
        <v>51</v>
      </c>
      <c r="E34" s="70">
        <f>COUNTIFS('Error Log'!$A:$A,$A34,'Error Log'!$J:$J,E$1)</f>
        <v>1</v>
      </c>
      <c r="F34" s="70">
        <f>COUNTIFS('Error Log'!$A:$A,$A34,'Error Log'!$J:$J,F$1)</f>
        <v>0</v>
      </c>
      <c r="G34" s="70">
        <f>COUNTIFS('Error Log'!$A:$A,$A34,'Error Log'!$J:$J,G$1)</f>
        <v>0</v>
      </c>
      <c r="H34" s="70">
        <f>COUNTIFS('Error Log'!$A:$A,$A34,'Error Log'!$F:$F,"Source")</f>
        <v>0</v>
      </c>
      <c r="I34" s="70">
        <f>COUNTIFS('Error Log'!$A:$A,$A34,'Error Log'!$F:$F,"Target")</f>
        <v>0</v>
      </c>
      <c r="J34" s="71">
        <f t="shared" si="0"/>
        <v>90.196078431372541</v>
      </c>
    </row>
    <row r="35" spans="1:10">
      <c r="A35" s="79" t="s">
        <v>281</v>
      </c>
      <c r="B35" s="70" t="str">
        <f>IF(ISBLANK(A35),"",INDEX('Error Log'!$A:$J,MATCH('Scores per segment'!$A35,'Error Log'!$A:$A,0),MATCH('Scores per segment'!B$1,'Error Log'!$A$1:$J$1,0)))</f>
        <v>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v>
      </c>
      <c r="C35" s="70" t="str">
        <f>IF(ISBLANK(A35),"",INDEX('Error Log'!$A:$J,MATCH('Scores per segment'!$A35,'Error Log'!$A:$A,0),MATCH('Scores per segment'!C$1,'Error Log'!$A$1:$J$1,0)))</f>
        <v>rory mcilroy is hoping to complete his grand slam of majors with a victory at augusta later this month
the world number one has just one top-10 finish to his name in six masters appearances
but the 25-year-old can not picture going through his career without slipping on at least one coveted green jacket</v>
      </c>
      <c r="D35" s="70">
        <f>IF(H35=0,wdct(TRIM(C35)),0)</f>
        <v>54</v>
      </c>
      <c r="E35" s="70">
        <f>COUNTIFS('Error Log'!$A:$A,$A35,'Error Log'!$J:$J,E$1)</f>
        <v>3</v>
      </c>
      <c r="F35" s="70">
        <f>COUNTIFS('Error Log'!$A:$A,$A35,'Error Log'!$J:$J,F$1)</f>
        <v>1</v>
      </c>
      <c r="G35" s="70">
        <f>COUNTIFS('Error Log'!$A:$A,$A35,'Error Log'!$J:$J,G$1)</f>
        <v>0</v>
      </c>
      <c r="H35" s="70">
        <f>COUNTIFS('Error Log'!$A:$A,$A35,'Error Log'!$F:$F,"Source")</f>
        <v>0</v>
      </c>
      <c r="I35" s="70">
        <f>COUNTIFS('Error Log'!$A:$A,$A35,'Error Log'!$F:$F,"Target")</f>
        <v>0</v>
      </c>
      <c r="J35" s="71">
        <f t="shared" si="0"/>
        <v>67.592592592592595</v>
      </c>
    </row>
    <row r="36" spans="1:10">
      <c r="A36" s="79" t="s">
        <v>289</v>
      </c>
      <c r="B36" s="70" t="str">
        <f>IF(ISBLANK(A36),"",INDEX('Error Log'!$A:$J,MATCH('Scores per segment'!$A36,'Error Log'!$A:$A,0),MATCH('Scores per segment'!B$1,'Error Log'!$A$1:$J$1,0)))</f>
        <v>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an emotional klopp said he believed dortmund need a change of manager next season
klopp will officially cease to be dortmund manager on june 30 as he looks for a fresh start elsewhere
klopp has enjoyed seven largely successful years in charge at the westfalenstadion
the emotion was clear to see as klopp announced he was leaving the club on wednesday
klopp leaves the press conference after confirming his departure as dortmund boss in the summer
klopp was alongside chief executive hans-joachim watzke ( left ) and sporting director michael zorc ( right )
after the press conference , klopp joined the dortmund squad for a training session
klopp speaks to the players in training , shortly after making the announcement he would be leaving the club
dortmund are preparing for their home bundesliga match with paderborn at the weekend
klopp issues instructions to his defender mats hummels during wednesday 's training session
klopp , wearing a club tracksuit and baseball cap , cuts a lonely figure on the training ground
a downcast klopp during dortmund 's 3-1 loss to borussia monchengladbach at the weekend
man city -- the premier league champions are unlikely to deviate from their top target pep guardiola as speculation continues to surround manuel pellegrini 's future -- 3/10
liverpool -- klopp has been linked with the anfield job on previous occasions but brendan rodgers has come through a difficult spell and appears to be safe -- 5/10
arsenal -- with the gunners on course for second place and the chance to retain the fa cup , it would be a surprise if they looked to replace arsene wenger now -- 4/10
bayern munich -- klopp has appeared on bayern 's radar before and could do so again despite their intense rivalry with dortmund -- 6/10
real madrid -- carlo ancelotti is on thin ice at the bernabeu but klopp has said he wants to work at a club where he speaks the language -- 6/10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dejected dortmund players neven subotic , mats hummels , sokratis and ciro immobile after saturday 's loss
the season has been one of struggle for dortmund , who flirted with relegation from the bundesliga
april 18 paderborn ( h )
april 25 eintracht frankfurt ( h )
april 28 bayern munich ( a )
may 2 hoffenheim ( a )
may 9 hertha berlin ( h )
may 16 wolfsburg ( a )
may 23 werder bremen ( h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the news about klopp 's future will place a number of premier league clubs on alert
german manager of the year 2011 , 2012
pld 309 w 175 d 67 l 67 win % 56.63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v>
      </c>
      <c r="C36" s="70" t="str">
        <f>IF(ISBLANK(A36),"",INDEX('Error Log'!$A:$J,MATCH('Scores per segment'!$A36,'Error Log'!$A:$A,0),MATCH('Scores per segment'!C$1,'Error Log'!$A$1:$J$1,0)))</f>
        <v>jurgen klopp confirmed he will leave borussia dortmund at the end of the season
klopp was immediately installed as the bookmakers ' favourite to replace manuel pellegrini at manchester city
the 47-year-old has been linked with several other english clubs in the past , including liverpool and arsenal
klopp will officially cease to be dortmund manager on june 30</v>
      </c>
      <c r="D36" s="70">
        <f>IF(H36=0,wdct(TRIM(C36)),0)</f>
        <v>57</v>
      </c>
      <c r="E36" s="70">
        <f>COUNTIFS('Error Log'!$A:$A,$A36,'Error Log'!$J:$J,E$1)</f>
        <v>3</v>
      </c>
      <c r="F36" s="70">
        <f>COUNTIFS('Error Log'!$A:$A,$A36,'Error Log'!$J:$J,F$1)</f>
        <v>2</v>
      </c>
      <c r="G36" s="70">
        <f>COUNTIFS('Error Log'!$A:$A,$A36,'Error Log'!$J:$J,G$1)</f>
        <v>0</v>
      </c>
      <c r="H36" s="70">
        <f>COUNTIFS('Error Log'!$A:$A,$A36,'Error Log'!$F:$F,"Source")</f>
        <v>0</v>
      </c>
      <c r="I36" s="70">
        <f>COUNTIFS('Error Log'!$A:$A,$A36,'Error Log'!$F:$F,"Target")</f>
        <v>0</v>
      </c>
      <c r="J36" s="71">
        <f t="shared" si="0"/>
        <v>64.912280701754383</v>
      </c>
    </row>
    <row r="37" spans="1:10">
      <c r="A37" s="79" t="s">
        <v>298</v>
      </c>
      <c r="B37" s="70" t="str">
        <f>IF(ISBLANK(A37),"",INDEX('Error Log'!$A:$J,MATCH('Scores per segment'!$A37,'Error Log'!$A:$A,0),MATCH('Scores per segment'!B$1,'Error Log'!$A$1:$J$1,0)))</f>
        <v>(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families will have to find a new way to cheer up mourners , because the strippers are the latest focus of the country 's crackdown on vice .
rdj grew increasingly agitated as a channel 4 interviewer from the uk asked about his private life on tuesday .
they seem to spawn a new trend every other week .
the latest : lip plumping .
by sucking on a jar .
to look like kylie jenner .
it even has a hashtag : #kyliejennerchallenge .
with help from some filmmakers , 102-year-old alice barker went back in time .
a prom-posal that referenced bombs ?
one school would n't have it , but the prom-poser accuses administrators of racism .
ewan mcgregor to play lumiere in ` beauty and the beast '
this cast continues to draw lots of interest on social media .
johnny depp is nearly unrecognizable in the ` black mass ' trailer
here 's one way to announce you 're pregnant : reference " the fresh prince of bel-air . "
and a military dad photobombs his son ?
kudos for originality this week .
they all trended this week !</v>
      </c>
      <c r="C37" s="70" t="str">
        <f>IF(ISBLANK(A37),"",INDEX('Error Log'!$A:$J,MATCH('Scores per segment'!$A37,'Error Log'!$A:$A,0),MATCH('Scores per segment'!C$1,'Error Log'!$A$1:$J$1,0)))</f>
        <v>four rainbows appeared to stretch across the early morning sky on tuesday
in rural china , hiring exotic dancers to perform at wake is an increasingly common practice
the latest : lip plumping , by sucking on a jar , to look like kylie jenner</v>
      </c>
      <c r="D37" s="70">
        <f>IF(H37=0,wdct(TRIM(C37)),0)</f>
        <v>41</v>
      </c>
      <c r="E37" s="70">
        <f>COUNTIFS('Error Log'!$A:$A,$A37,'Error Log'!$J:$J,E$1)</f>
        <v>1</v>
      </c>
      <c r="F37" s="70">
        <f>COUNTIFS('Error Log'!$A:$A,$A37,'Error Log'!$J:$J,F$1)</f>
        <v>3</v>
      </c>
      <c r="G37" s="70">
        <f>COUNTIFS('Error Log'!$A:$A,$A37,'Error Log'!$J:$J,G$1)</f>
        <v>0</v>
      </c>
      <c r="H37" s="70">
        <f>COUNTIFS('Error Log'!$A:$A,$A37,'Error Log'!$F:$F,"Source")</f>
        <v>0</v>
      </c>
      <c r="I37" s="70">
        <f>COUNTIFS('Error Log'!$A:$A,$A37,'Error Log'!$F:$F,"Target")</f>
        <v>0</v>
      </c>
      <c r="J37" s="71">
        <f t="shared" si="0"/>
        <v>69.512195121951223</v>
      </c>
    </row>
    <row r="38" spans="1:10">
      <c r="A38" s="79" t="s">
        <v>306</v>
      </c>
      <c r="B38" s="70" t="str">
        <f>IF(ISBLANK(A38),"",INDEX('Error Log'!$A:$J,MATCH('Scores per segment'!$A38,'Error Log'!$A:$A,0),MATCH('Scores per segment'!B$1,'Error Log'!$A$1:$J$1,0)))</f>
        <v>the miami open is threatening to turn into national cake week , after serena williams became the latest recipient of a giant celebration present after she clocked her 700th career victory .
the day following andy murray 's 500th win another huge cake was wheeled out to mark williams reaching the semi-final with a 7-6 , 1-6 , 6-3 progression over germany 's sabine lisicki .
williams 's hopes of another meeting with sister venus were dashed by her elder sibling 's defeat to spain 's carla suarez navarro , but the world no 1 was intent on staying alive in what is the nearest thing she has to a hometown event .
serena williams strikes a pose next to her cake after recording her 700th career victory
williams beat sabine lisicki in three sets on wednesday to progress to the semi-finals of the miami open
willaims celebrates as the world no 1 sealed a match against either sloane stephens or simona halep
andy murray pretends to take a bite out a celebratory cake presented to him after winning his 500th match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lisicki and williams shake hands at the net after the tight match at the miami open
simona halep celebrates after beating sloane stephens to reach the miami open semi-finals</v>
      </c>
      <c r="C38" s="70" t="str">
        <f>IF(ISBLANK(A38),"",INDEX('Error Log'!$A:$J,MATCH('Scores per segment'!$A38,'Error Log'!$A:$A,0),MATCH('Scores per segment'!C$1,'Error Log'!$A$1:$J$1,0)))</f>
        <v>serena williams beat sabine lisicki 7-6 , 1-6 , 6-3 on wednesday
world no 1 will face simona halep in the semi-finals of the miami open
williams will face romania 's simona halep for a place in the final after the third-seed beat sloane stephens 6-1 , 7-5</v>
      </c>
      <c r="D38" s="70">
        <f>IF(H38=0,wdct(TRIM(C38)),0)</f>
        <v>45</v>
      </c>
      <c r="E38" s="70">
        <f>COUNTIFS('Error Log'!$A:$A,$A38,'Error Log'!$J:$J,E$1)</f>
        <v>2</v>
      </c>
      <c r="F38" s="70">
        <f>COUNTIFS('Error Log'!$A:$A,$A38,'Error Log'!$J:$J,F$1)</f>
        <v>2</v>
      </c>
      <c r="G38" s="70">
        <f>COUNTIFS('Error Log'!$A:$A,$A38,'Error Log'!$J:$J,G$1)</f>
        <v>0</v>
      </c>
      <c r="H38" s="70">
        <f>COUNTIFS('Error Log'!$A:$A,$A38,'Error Log'!$F:$F,"Source")</f>
        <v>0</v>
      </c>
      <c r="I38" s="70">
        <f>COUNTIFS('Error Log'!$A:$A,$A38,'Error Log'!$F:$F,"Target")</f>
        <v>0</v>
      </c>
      <c r="J38" s="71">
        <f t="shared" si="0"/>
        <v>66.666666666666671</v>
      </c>
    </row>
    <row r="39" spans="1:10">
      <c r="A39" s="79" t="s">
        <v>314</v>
      </c>
      <c r="B39" s="70" t="str">
        <f>IF(ISBLANK(A39),"",INDEX('Error Log'!$A:$J,MATCH('Scores per segment'!$A39,'Error Log'!$A:$A,0),MATCH('Scores per segment'!B$1,'Error Log'!$A$1:$J$1,0)))</f>
        <v>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warning : new figures show that 272 youngsters left disabled by foetal alcohol syndrome were hospitalised in england over the past 12 months , according to the official health and social care information centre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v>
      </c>
      <c r="C39" s="70" t="str">
        <f>IF(ISBLANK(A39),"",INDEX('Error Log'!$A:$J,MATCH('Scores per segment'!$A39,'Error Log'!$A:$A,0),MATCH('Scores per segment'!C$1,'Error Log'!$A$1:$J$1,0)))</f>
        <v>new figures show 272 youngsters left disabled by foetal alcohol syndrome were hospitalised in england over the past 12 months
but the actual number affected by their mother 's drinking could be far greater , experts have warned
research by the world health organisation suggests that at least one in 100 babies born in the uk could suffer learning , behavioural and physical problems such as deformed limbs</v>
      </c>
      <c r="D39" s="70">
        <f>IF(H39=0,wdct(TRIM(C39)),0)</f>
        <v>66</v>
      </c>
      <c r="E39" s="70">
        <f>COUNTIFS('Error Log'!$A:$A,$A39,'Error Log'!$J:$J,E$1)</f>
        <v>0</v>
      </c>
      <c r="F39" s="70">
        <f>COUNTIFS('Error Log'!$A:$A,$A39,'Error Log'!$J:$J,F$1)</f>
        <v>0</v>
      </c>
      <c r="G39" s="70">
        <f>COUNTIFS('Error Log'!$A:$A,$A39,'Error Log'!$J:$J,G$1)</f>
        <v>0</v>
      </c>
      <c r="H39" s="70">
        <f>COUNTIFS('Error Log'!$A:$A,$A39,'Error Log'!$F:$F,"Source")</f>
        <v>0</v>
      </c>
      <c r="I39" s="70">
        <f>COUNTIFS('Error Log'!$A:$A,$A39,'Error Log'!$F:$F,"Target")</f>
        <v>0</v>
      </c>
      <c r="J39" s="71">
        <f t="shared" si="0"/>
        <v>100</v>
      </c>
    </row>
    <row r="40" spans="1:10">
      <c r="A40" s="79" t="s">
        <v>317</v>
      </c>
      <c r="B40" s="70" t="str">
        <f>IF(ISBLANK(A40),"",INDEX('Error Log'!$A:$J,MATCH('Scores per segment'!$A40,'Error Log'!$A:$A,0),MATCH('Scores per segment'!B$1,'Error Log'!$A$1:$J$1,0)))</f>
        <v>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v>
      </c>
      <c r="C40" s="70" t="str">
        <f>IF(ISBLANK(A40),"",INDEX('Error Log'!$A:$J,MATCH('Scores per segment'!$A40,'Error Log'!$A:$A,0),MATCH('Scores per segment'!C$1,'Error Log'!$A$1:$J$1,0)))</f>
        <v>" she really , truly was a success story of the heart , " close friend says
two gunman shot her dead at point-blank range late friday
she is in a hospital but is expected to be released on time for her daughter 's funeral</v>
      </c>
      <c r="D40" s="70">
        <f>IF(H40=0,wdct(TRIM(C40)),0)</f>
        <v>41</v>
      </c>
      <c r="E40" s="70">
        <f>COUNTIFS('Error Log'!$A:$A,$A40,'Error Log'!$J:$J,E$1)</f>
        <v>3</v>
      </c>
      <c r="F40" s="70">
        <f>COUNTIFS('Error Log'!$A:$A,$A40,'Error Log'!$J:$J,F$1)</f>
        <v>3</v>
      </c>
      <c r="G40" s="70">
        <f>COUNTIFS('Error Log'!$A:$A,$A40,'Error Log'!$J:$J,G$1)</f>
        <v>0</v>
      </c>
      <c r="H40" s="70">
        <f>COUNTIFS('Error Log'!$A:$A,$A40,'Error Log'!$F:$F,"Source")</f>
        <v>0</v>
      </c>
      <c r="I40" s="70">
        <f>COUNTIFS('Error Log'!$A:$A,$A40,'Error Log'!$F:$F,"Target")</f>
        <v>0</v>
      </c>
      <c r="J40" s="71">
        <f t="shared" si="0"/>
        <v>45.121951219512191</v>
      </c>
    </row>
    <row r="41" spans="1:10">
      <c r="A41" s="79" t="s">
        <v>327</v>
      </c>
      <c r="B41" s="70" t="str">
        <f>IF(ISBLANK(A41),"",INDEX('Error Log'!$A:$J,MATCH('Scores per segment'!$A41,'Error Log'!$A:$A,0),MATCH('Scores per segment'!B$1,'Error Log'!$A$1:$J$1,0)))</f>
        <v>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 pm on march 15 .
the masked 31-year-old waved an axe as he demanded cash from terrified assistant andrea brighty , but he did not see owner sab dhillon 's rugby tackle which dropped him to the floor , sending shelves and produce tumbling .
as the men wrestled , sab dhillon 's wife sam helped by hitting mckerry with a baseball bat
she struck him twice , helping to disarm him while her husband twisted him around to reveal his face to the cameras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mr dhillon said mckerry was waving the axe around when he jumped on him and wrestled him to the floor</v>
      </c>
      <c r="C41" s="70" t="str">
        <f>IF(ISBLANK(A41),"",INDEX('Error Log'!$A:$J,MATCH('Scores per segment'!$A41,'Error Log'!$A:$A,0),MATCH('Scores per segment'!C$1,'Error Log'!$A$1:$J$1,0)))</f>
        <v>shaun andrew mckerry , 31 , burst into shildon post office and stores , county durham , at 8pm on march 15
he waved an axe as he demanded cash from terrified assistant andrea brighty , but he did not see his rugby tackle which dropped him to the floor
as the men wrestled , and with mckerry still holding the axe , his wife sam helped , hit him twice with a baseball bat to make him drop the weapon
mckerry previously pleaded guilty to attempted robbery and court officials confirmed he had been jailed for six years</v>
      </c>
      <c r="D41" s="70">
        <f>IF(H41=0,wdct(TRIM(C41)),0)</f>
        <v>91</v>
      </c>
      <c r="E41" s="70">
        <f>COUNTIFS('Error Log'!$A:$A,$A41,'Error Log'!$J:$J,E$1)</f>
        <v>3</v>
      </c>
      <c r="F41" s="70">
        <f>COUNTIFS('Error Log'!$A:$A,$A41,'Error Log'!$J:$J,F$1)</f>
        <v>3</v>
      </c>
      <c r="G41" s="70">
        <f>COUNTIFS('Error Log'!$A:$A,$A41,'Error Log'!$J:$J,G$1)</f>
        <v>0</v>
      </c>
      <c r="H41" s="70">
        <f>COUNTIFS('Error Log'!$A:$A,$A41,'Error Log'!$F:$F,"Source")</f>
        <v>0</v>
      </c>
      <c r="I41" s="70">
        <f>COUNTIFS('Error Log'!$A:$A,$A41,'Error Log'!$F:$F,"Target")</f>
        <v>0</v>
      </c>
      <c r="J41" s="71">
        <f t="shared" si="0"/>
        <v>75.27472527472527</v>
      </c>
    </row>
    <row r="42" spans="1:10">
      <c r="A42" s="79" t="s">
        <v>337</v>
      </c>
      <c r="B42" s="70" t="str">
        <f>IF(ISBLANK(A42),"",INDEX('Error Log'!$A:$J,MATCH('Scores per segment'!$A42,'Error Log'!$A:$A,0),MATCH('Scores per segment'!B$1,'Error Log'!$A$1:$J$1,0)))</f>
        <v>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a hindu , traditional healer ram lives a slum house within india 's only muslim-majority state .
its rulers have refused to give the west pakistan refugees ( wprs ) the right to own property or vote in state elections - meaning three generations are caught in abject poverty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 's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ram , aged 82 , with the success of prime minister narendra modi 's hindu nationalist party at a recent state vote , he says he is hopeful change will come for the west pakistan refugees : ` if something can be done , then maybe i will finally have some enjoyment in this life '
around 100,000 people are classified as refugees - despite most of them never visiting pakistan , and living in the jammu region of india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generations of families have become stuck in poverty because of their continuing refugee status .
successive governments have failed to act to due , say commentators , to a fear of upsetting the demographic balance of the state between the muslim and hindu populations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£ 2 , walks in surej chak .
the community live in poverty , while kashmir is one of india 's more prosperous states .
activist labha ram gandhi said : ` granting us state-subject rights is the only way to improve our condition '
with a hindu nationalist party winning a share of power in kashmir , there is hope .
bharatiya janata party are expected to champion the refugees ' cause .
but a veteran activist labha ram ghandi warned the community is not afraid to take matters into their own hands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 ridiculous ' , adding : ` i was born here ( in india )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v>
      </c>
      <c r="C42" s="70" t="str">
        <f>IF(ISBLANK(A42),"",INDEX('Error Log'!$A:$J,MATCH('Scores per segment'!$A42,'Error Log'!$A:$A,0),MATCH('Scores per segment'!C$1,'Error Log'!$A$1:$J$1,0)))</f>
        <v>mangu ram was 14 when he fled the violence that followed the partition of india
he is still regarded as a second class citizen in indian kashmir -- unable to own property or vote in state elections
prime minister narendra modi 's hindu nationalist party won a share of power in india 's only muslim-majority state</v>
      </c>
      <c r="D42" s="70">
        <f>IF(H42=0,wdct(TRIM(C42)),0)</f>
        <v>55</v>
      </c>
      <c r="E42" s="70">
        <f>COUNTIFS('Error Log'!$A:$A,$A42,'Error Log'!$J:$J,E$1)</f>
        <v>3</v>
      </c>
      <c r="F42" s="70">
        <f>COUNTIFS('Error Log'!$A:$A,$A42,'Error Log'!$J:$J,F$1)</f>
        <v>2</v>
      </c>
      <c r="G42" s="70">
        <f>COUNTIFS('Error Log'!$A:$A,$A42,'Error Log'!$J:$J,G$1)</f>
        <v>0</v>
      </c>
      <c r="H42" s="70">
        <f>COUNTIFS('Error Log'!$A:$A,$A42,'Error Log'!$F:$F,"Source")</f>
        <v>0</v>
      </c>
      <c r="I42" s="70">
        <f>COUNTIFS('Error Log'!$A:$A,$A42,'Error Log'!$F:$F,"Target")</f>
        <v>0</v>
      </c>
      <c r="J42" s="71">
        <f t="shared" si="0"/>
        <v>63.636363636363633</v>
      </c>
    </row>
    <row r="43" spans="1:10">
      <c r="A43" s="79" t="s">
        <v>346</v>
      </c>
      <c r="B43" s="70" t="str">
        <f>IF(ISBLANK(A43),"",INDEX('Error Log'!$A:$J,MATCH('Scores per segment'!$A43,'Error Log'!$A:$A,0),MATCH('Scores per segment'!B$1,'Error Log'!$A$1:$J$1,0)))</f>
        <v>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£ 2,000 for each of them but they also agreed to surrender their passports and live at the nearby stadacona naval base in halifax .
accused : joshua finbow , 23 , a submarine engineer from stockbridge , hampshire , arrives at court today
two of the accused , simon radford , 31 , of gosport , hampshire and craig stoner , 24 , from stonehouse , gloucestershire hid their faces as they were led to a provincial court in dartmouth , nova scotia
darren smalley , 35 , of gosport , hampshire , and his co-accused were ordered to surrender their passports as part of their bail conditions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 's questions .
charged : royal navy sailors joshua finbow , 23 , ( left ) and simon radford , 31 , ( right ) appeared in court
held : craig stoner , 24 , ( left ) and darren smalley , 35 , ( right ) are being held by military police in canada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 's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 serious ' but stressed they were as yet only allegations .
naval base : the east coast navy base at halifax , nova scotia , near to where the alleged incident occurred
military base : an aerial view of the shearwater military base where four british sailors are accused of assaulting a civilian
the commander , who drove the car the men left the court in , added : ` we 're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
sorry we are not currently accepting comments on this article .</v>
      </c>
      <c r="C43" s="70" t="str">
        <f>IF(ISBLANK(A43),"",INDEX('Error Log'!$A:$J,MATCH('Scores per segment'!$A43,'Error Log'!$A:$A,0),MATCH('Scores per segment'!C$1,'Error Log'!$A$1:$J$1,0)))</f>
        <v>joshua finbow , 23 , a submarine engineer , craig stoner , 24 , simon radford , 31 , and darren smalley , 35 , appeared in court in dartmouth , nova scotia
they were given identical but unusual bail conditions that could see them having to live on a canadian naval base for the next few years
they also agreed to surrender their passports and live at nearby stadacona naval base in halifax</v>
      </c>
      <c r="D43" s="70">
        <f>IF(H43=0,wdct(TRIM(C43)),0)</f>
        <v>64</v>
      </c>
      <c r="E43" s="70">
        <f>COUNTIFS('Error Log'!$A:$A,$A43,'Error Log'!$J:$J,E$1)</f>
        <v>2</v>
      </c>
      <c r="F43" s="70">
        <f>COUNTIFS('Error Log'!$A:$A,$A43,'Error Log'!$J:$J,F$1)</f>
        <v>2</v>
      </c>
      <c r="G43" s="70">
        <f>COUNTIFS('Error Log'!$A:$A,$A43,'Error Log'!$J:$J,G$1)</f>
        <v>0</v>
      </c>
      <c r="H43" s="70">
        <f>COUNTIFS('Error Log'!$A:$A,$A43,'Error Log'!$F:$F,"Source")</f>
        <v>0</v>
      </c>
      <c r="I43" s="70">
        <f>COUNTIFS('Error Log'!$A:$A,$A43,'Error Log'!$F:$F,"Target")</f>
        <v>0</v>
      </c>
      <c r="J43" s="71">
        <f t="shared" si="0"/>
        <v>76.5625</v>
      </c>
    </row>
    <row r="44" spans="1:10">
      <c r="A44" s="1" t="s">
        <v>354</v>
      </c>
      <c r="B44" s="70" t="str">
        <f>IF(ISBLANK(A44),"",INDEX('Error Log'!$A:$J,MATCH('Scores per segment'!$A44,'Error Log'!$A:$A,0),MATCH('Scores per segment'!B$1,'Error Log'!$A$1:$J$1,0)))</f>
        <v>fc tokyo forward yoshinori muto has admitted that he is still considering whether to join premier league leaders chelsea this summer .
earlier this month club president naoki ogane claimed that the blues have made an offer - believed to be around £ 4million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chelsea have made an offer for muto according to fc tokyo president naoki ogane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he has a lot of confidence .
in our training games muto always had chances .
he had 10 or 12 chances in every game . '
muto says he is still considering a move to chelsea as he wants to join a club where he will ` play and develop '
chelsea boss jose mourinho had admitted that he is aware of the japan international
chelsea signed a £ 200million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v>
      </c>
      <c r="C44" s="70" t="str">
        <f>IF(ISBLANK(A44),"",INDEX('Error Log'!$A:$J,MATCH('Scores per segment'!$A44,'Error Log'!$A:$A,0),MATCH('Scores per segment'!C$1,'Error Log'!$A$1:$J$1,0)))</f>
        <v>chelsea have made an offer for yoshinori muto according to fc tokyo president naoki ogane
chelsea would look to loan muto to partner club vitesse arnhem next season
the 22-year-old is keen to join a club where he will ` play and develop '
chelsea signed a # 200million sponsorship deal with japanese tyre manufacturer yokohama rubber in february</v>
      </c>
      <c r="D44" s="70">
        <f>IF(H44=0,wdct(TRIM(C44)),0)</f>
        <v>56</v>
      </c>
      <c r="E44" s="70">
        <f>COUNTIFS('Error Log'!$A:$A,$A44,'Error Log'!$J:$J,E$1)</f>
        <v>2</v>
      </c>
      <c r="F44" s="70">
        <f>COUNTIFS('Error Log'!$A:$A,$A44,'Error Log'!$J:$J,F$1)</f>
        <v>3</v>
      </c>
      <c r="G44" s="70">
        <f>COUNTIFS('Error Log'!$A:$A,$A44,'Error Log'!$J:$J,G$1)</f>
        <v>0</v>
      </c>
      <c r="H44" s="70">
        <f>COUNTIFS('Error Log'!$A:$A,$A44,'Error Log'!$F:$F,"Source")</f>
        <v>0</v>
      </c>
      <c r="I44" s="70">
        <f>COUNTIFS('Error Log'!$A:$A,$A44,'Error Log'!$F:$F,"Target")</f>
        <v>0</v>
      </c>
      <c r="J44" s="71">
        <f t="shared" si="0"/>
        <v>68.75</v>
      </c>
    </row>
    <row r="45" spans="1:10">
      <c r="A45" s="1" t="s">
        <v>363</v>
      </c>
      <c r="B45" s="70" t="str">
        <f>IF(ISBLANK(A45),"",INDEX('Error Log'!$A:$J,MATCH('Scores per segment'!$A45,'Error Log'!$A:$A,0),MATCH('Scores per segment'!B$1,'Error Log'!$A$1:$J$1,0)))</f>
        <v>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as soon as rj was born , mrs jackson , from las vegas , knew there was something wrong with her son , after noticing a red rash spreading across his tiny chest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while out shopping with rj , mrs jackson , pictured left with her son in hospital , was suddenly surrounded by armed police .
a member of the pubic had called officers reporting the 35-year-old for child abuse
` it just shows the extent of people 's ignorance , ' mrs jackson said .
she said her son has been treated as an outcast , having been denied entry to play centres and facing cruel jibes from people in the street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 ` 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v>
      </c>
      <c r="C45" s="70" t="str">
        <f>IF(ISBLANK(A45),"",INDEX('Error Log'!$A:$J,MATCH('Scores per segment'!$A45,'Error Log'!$A:$A,0),MATCH('Scores per segment'!C$1,'Error Log'!$A$1:$J$1,0)))</f>
        <v>rj jackson is one of just 70 people in the world who suffers netherton 's syndrome
his skin appears red and inflamed , and is often covered in dry skin that appears like scales on his body
his mother valerie jackson has to regularly cover him in creams to try and prevent his skin drying out
but while out shopping recently , mrs jackson was suddenly surrounded by armed police , who had been called by a member of the public</v>
      </c>
      <c r="D45" s="70">
        <f>IF(H45=0,wdct(TRIM(C45)),0)</f>
        <v>78</v>
      </c>
      <c r="E45" s="70">
        <f>COUNTIFS('Error Log'!$A:$A,$A45,'Error Log'!$J:$J,E$1)</f>
        <v>1</v>
      </c>
      <c r="F45" s="70">
        <f>COUNTIFS('Error Log'!$A:$A,$A45,'Error Log'!$J:$J,F$1)</f>
        <v>1</v>
      </c>
      <c r="G45" s="70">
        <f>COUNTIFS('Error Log'!$A:$A,$A45,'Error Log'!$J:$J,G$1)</f>
        <v>0</v>
      </c>
      <c r="H45" s="70">
        <f>COUNTIFS('Error Log'!$A:$A,$A45,'Error Log'!$F:$F,"Source")</f>
        <v>0</v>
      </c>
      <c r="I45" s="70">
        <f>COUNTIFS('Error Log'!$A:$A,$A45,'Error Log'!$F:$F,"Target")</f>
        <v>0</v>
      </c>
      <c r="J45" s="71">
        <f t="shared" si="0"/>
        <v>90.384615384615387</v>
      </c>
    </row>
    <row r="46" spans="1:10">
      <c r="A46" s="1" t="s">
        <v>368</v>
      </c>
      <c r="B46" s="70" t="str">
        <f>IF(ISBLANK(A46),"",INDEX('Error Log'!$A:$J,MATCH('Scores per segment'!$A46,'Error Log'!$A:$A,0),MATCH('Scores per segment'!B$1,'Error Log'!$A$1:$J$1,0)))</f>
        <v>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 's star names moved to bayern munich or barcelona , would the fa tell him not to pick them ?
the same needs to apply to rugby .
matt giteau 's stellar displays for toulon have put him back on the wallabies radar ahead of the world cup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 's best coming together and ridiculous rules like this demean it .
toulon 's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i do n't think armitage would be playing this well if he was still at london irish .
he took a big risk and it paid off , he should n't be penalised for it .
if one or two england back-rowers would n't want to see armitage in the squad , then that confirms he should be !
nick abendanon has also become better since he crossed the channel .
it 's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nick abendanon 's game has drastically improved since the former bath full back made the move to france
as england coach you will be judged on your world cup performance , even more so as the home team .
that 's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 n't want to be left talking about ` what ifs ' .
england head coach stuart lancaster has remained steadfast in his policy not to select overseas players
england players deserve to go on to the field knowing they have been given the best chance of winning .
do the squad truly believe this when such talented players are not considered ?
they should n't be left to doubt they are playing only because of their home address .
this is n't about being disloyal to the clubs .
they benefit from a winning england team , especially in a world cup year .
you simply ca n't let the rfu or premier rugby tie your hands behind your back and dictate who you can or ca n't pick .
at toulon , they 've got bryan habana playing for south africa and leigh halfpenny playing for wales .
they 're among the best players in the world .
it 's just crazy and misguided not to make any englishman available for selection .
bryan habana plays for toulon but the springboks have continued to select the winger for test matches</v>
      </c>
      <c r="C46" s="70" t="str">
        <f>IF(ISBLANK(A46),"",INDEX('Error Log'!$A:$J,MATCH('Scores per segment'!$A46,'Error Log'!$A:$A,0),MATCH('Scores per segment'!C$1,'Error Log'!$A$1:$J$1,0)))</f>
        <v>stuart lancaster must be free to pick his best players , no matter where in the world they ply their trade
if roy hodgson 's star names moved to bayern munich or barcelona , would the fa tell him not to pick them ?
matt giteau 's stellar displays for toulon have put him back on the wallabies radar ahead of the world cup</v>
      </c>
      <c r="D46" s="70">
        <f>IF(H46=0,wdct(TRIM(C46)),0)</f>
        <v>61</v>
      </c>
      <c r="E46" s="70">
        <f>COUNTIFS('Error Log'!$A:$A,$A46,'Error Log'!$J:$J,E$1)</f>
        <v>3</v>
      </c>
      <c r="F46" s="70">
        <f>COUNTIFS('Error Log'!$A:$A,$A46,'Error Log'!$J:$J,F$1)</f>
        <v>3</v>
      </c>
      <c r="G46" s="70">
        <f>COUNTIFS('Error Log'!$A:$A,$A46,'Error Log'!$J:$J,G$1)</f>
        <v>0</v>
      </c>
      <c r="H46" s="70">
        <f>COUNTIFS('Error Log'!$A:$A,$A46,'Error Log'!$F:$F,"Source")</f>
        <v>0</v>
      </c>
      <c r="I46" s="70">
        <f>COUNTIFS('Error Log'!$A:$A,$A46,'Error Log'!$F:$F,"Target")</f>
        <v>0</v>
      </c>
      <c r="J46" s="71">
        <f t="shared" si="0"/>
        <v>63.114754098360656</v>
      </c>
    </row>
    <row r="47" spans="1:10">
      <c r="A47" s="1" t="s">
        <v>378</v>
      </c>
      <c r="B47" s="70" t="str">
        <f>IF(ISBLANK(A47),"",INDEX('Error Log'!$A:$J,MATCH('Scores per segment'!$A47,'Error Log'!$A:$A,0),MATCH('Scores per segment'!B$1,'Error Log'!$A$1:$J$1,0)))</f>
        <v>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security threat : staveley revealed police were investigating a bomb threat made to the company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the company boss revealed protein world has received ` threats on our head office , physical and violent threats ' .
he added : ` we had a bomb threat ... that 's been reported to the police .
it 's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£ 45 per kilogram tub - are rocketing in the uk , growing from £ 73m in 2007 to £ 170m in 2012 .
they are expected to reach £ 358m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 n't an excuse for being fat .
eat less , move more . '
and writer samantha brick , who is open about feeling confident about her looks , posted a provocative update on facebook : ` just ordered my size 8 yellow bikini for my beach hols in june .
i will be bikini ready .
* that * ad totally worked for me . '</v>
      </c>
      <c r="C47" s="70" t="str">
        <f>IF(ISBLANK(A47),"",INDEX('Error Log'!$A:$J,MATCH('Scores per segment'!$A47,'Error Log'!$A:$A,0),MATCH('Scores per segment'!C$1,'Error Log'!$A$1:$J$1,0)))</f>
        <v>posters featuring a bikini-clad model called renee somerfield are being removed
change.org petition calling for the adverts to be removed has already attracted more than 50,000 signatures
the advertising standards authority has also received more than 200 complaints from people saying that the adverts promote an unhealthy body image</v>
      </c>
      <c r="D47" s="70">
        <f>IF(H47=0,wdct(TRIM(C47)),0)</f>
        <v>50</v>
      </c>
      <c r="E47" s="70">
        <f>COUNTIFS('Error Log'!$A:$A,$A47,'Error Log'!$J:$J,E$1)</f>
        <v>2</v>
      </c>
      <c r="F47" s="70">
        <f>COUNTIFS('Error Log'!$A:$A,$A47,'Error Log'!$J:$J,F$1)</f>
        <v>2</v>
      </c>
      <c r="G47" s="70">
        <f>COUNTIFS('Error Log'!$A:$A,$A47,'Error Log'!$J:$J,G$1)</f>
        <v>0</v>
      </c>
      <c r="H47" s="70">
        <f>COUNTIFS('Error Log'!$A:$A,$A47,'Error Log'!$F:$F,"Source")</f>
        <v>0</v>
      </c>
      <c r="I47" s="70">
        <f>COUNTIFS('Error Log'!$A:$A,$A47,'Error Log'!$F:$F,"Target")</f>
        <v>0</v>
      </c>
      <c r="J47" s="71">
        <f t="shared" si="0"/>
        <v>70</v>
      </c>
    </row>
    <row r="48" spans="1:10">
      <c r="A48" s="78" t="s">
        <v>386</v>
      </c>
      <c r="B48" s="70" t="str">
        <f>IF(ISBLANK(A48),"",INDEX('Error Log'!$A:$J,MATCH('Scores per segment'!$A48,'Error Log'!$A:$A,0),MATCH('Scores per segment'!B$1,'Error Log'!$A$1:$J$1,0)))</f>
        <v>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firechat launched last year and has been downloaded more than five million times .
it takes advantage of a feature that launched in apple 's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 's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uses the framework for its airdrop feature , for example , which makes it
easy to send files and data to other connected iphone users .
these messages are sent securely , so the individual nodes ca n't read them .
users can also send messages anonymously to avoid snooping , for example , because data is sent from app usernames , as opposed to mobile numbers .
elsewhere , because the feature does n't use an internet connection , it ca 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are simply a vehicle for passing data along a network .
internet network any device that 's connected to the network is also
firechat ( pictured ) has been downloaded more than five million times and is particularly useful when on a plane , or the underground
for example , if a network has a phone , tablet , two computers and a printer connected to it there are five nodes on the network .
of these devices has a network address which is used to uniquely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v>
      </c>
      <c r="C48" s="70" t="str">
        <f>IF(ISBLANK(A48),"",INDEX('Error Log'!$A:$J,MATCH('Scores per segment'!$A48,'Error Log'!$A:$A,0),MATCH('Scores per segment'!C$1,'Error Log'!$A$1:$J$1,0)))</f>
        <v>apple added to multipeer connectivity framework ( mcf ) to ios 7
it creates what 's called a wireless mesh network that connects phones to each other
instead of sending messages using mobile or data signal , the features lets users send messages to people in close proximity that are in bluetooth or wi-fi direct range - up to 30 feet ( 9 metres )
apple uses the framework for its airdrop feature , which makes it easy to send files and data to other connected iphone users</v>
      </c>
      <c r="D48" s="70">
        <f>IF(H48=0,wdct(TRIM(C48)),0)</f>
        <v>81</v>
      </c>
      <c r="E48" s="70">
        <f>COUNTIFS('Error Log'!$A:$A,$A48,'Error Log'!$J:$J,E$1)</f>
        <v>4</v>
      </c>
      <c r="F48" s="70">
        <f>COUNTIFS('Error Log'!$A:$A,$A48,'Error Log'!$J:$J,F$1)</f>
        <v>3</v>
      </c>
      <c r="G48" s="70">
        <f>COUNTIFS('Error Log'!$A:$A,$A48,'Error Log'!$J:$J,G$1)</f>
        <v>0</v>
      </c>
      <c r="H48" s="70">
        <f>COUNTIFS('Error Log'!$A:$A,$A48,'Error Log'!$F:$F,"Source")</f>
        <v>0</v>
      </c>
      <c r="I48" s="70">
        <f>COUNTIFS('Error Log'!$A:$A,$A48,'Error Log'!$F:$F,"Target")</f>
        <v>0</v>
      </c>
      <c r="J48" s="71">
        <f t="shared" si="0"/>
        <v>66.049382716049379</v>
      </c>
    </row>
    <row r="49" spans="1:10">
      <c r="A49" s="78" t="s">
        <v>398</v>
      </c>
      <c r="B49" s="70" t="str">
        <f>IF(ISBLANK(A49),"",INDEX('Error Log'!$A:$J,MATCH('Scores per segment'!$A49,'Error Log'!$A:$A,0),MATCH('Scores per segment'!B$1,'Error Log'!$A$1:$J$1,0)))</f>
        <v>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sent letter : prime minister david cameron has written to first great western to request it ` urgently reviews ' plans to increase fares on trains running through his witney constituency
passengers travelling from charlbury , the oxfordshire station nearest to his constituency home , can currently purchase an off-peak return to london costing £ 33.30 .
this allows them to leave at 9.42 am , outside the morning peak , but return on one of the four services that go from london during the evening peak period .
but from may 17 , these customers will be forced to pay £ 62.40 if they want to come home on one of these trains - an 87 per cent increase .
the planned changes have angered mr cameron 's constituents - prompting him to personally intervene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£ 20 if they book ahead .
other sharp price hikes to be introduced include an off-peak first-class single from crewe to northampton on london midlands , which will rise from £ 30 to £ 37 , according to trainsplit.com - a website that provides passengers with cheaper ticket options .
the cost of an anytime return between stafford and liverpool , travelling with virgin , will leap from £ 26.50 to £ 33 - a 24.5 per cent hike .
biggest hike : passengers travelling with the rail firm between london and the cotswolds could face increases of up to 87 per cent come may 17
and an anytime first-class day return on virgin from manchester to stoke will go up 22 per cent - rising from £ 29 to £ 35.30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hundreds of ` anytime ' and `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v>
      </c>
      <c r="C49" s="70" t="str">
        <f>IF(ISBLANK(A49),"",INDEX('Error Log'!$A:$J,MATCH('Scores per segment'!$A49,'Error Log'!$A:$A,0),MATCH('Scores per segment'!C$1,'Error Log'!$A$1:$J$1,0)))</f>
        <v>david cameron has written to first great western to request it ` urgently reviews ' plans to increase fares on north cotswolds route
he has promised to freeze fares in real terms for the whole of the next parliament
labour has also pledged to bring in a ` cap ' on price hikes</v>
      </c>
      <c r="D49" s="70">
        <f>IF(H49=0,wdct(TRIM(C49)),0)</f>
        <v>49</v>
      </c>
      <c r="E49" s="70">
        <f>COUNTIFS('Error Log'!$A:$A,$A49,'Error Log'!$J:$J,E$1)</f>
        <v>2</v>
      </c>
      <c r="F49" s="70">
        <f>COUNTIFS('Error Log'!$A:$A,$A49,'Error Log'!$J:$J,F$1)</f>
        <v>2</v>
      </c>
      <c r="G49" s="70">
        <f>COUNTIFS('Error Log'!$A:$A,$A49,'Error Log'!$J:$J,G$1)</f>
        <v>0</v>
      </c>
      <c r="H49" s="70">
        <f>COUNTIFS('Error Log'!$A:$A,$A49,'Error Log'!$F:$F,"Source")</f>
        <v>0</v>
      </c>
      <c r="I49" s="70">
        <f>COUNTIFS('Error Log'!$A:$A,$A49,'Error Log'!$F:$F,"Target")</f>
        <v>0</v>
      </c>
      <c r="J49" s="71">
        <f t="shared" si="0"/>
        <v>69.387755102040813</v>
      </c>
    </row>
    <row r="50" spans="1:10">
      <c r="A50" s="78" t="s">
        <v>406</v>
      </c>
      <c r="B50" s="70" t="str">
        <f>IF(ISBLANK(A50),"",INDEX('Error Log'!$A:$J,MATCH('Scores per segment'!$A50,'Error Log'!$A:$A,0),MATCH('Scores per segment'!B$1,'Error Log'!$A$1:$J$1,0)))</f>
        <v>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 ' 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not-so-tiny dancer : burlesque performer lillian bustle explained in her ted talk that ` fat ' is just another word - and using it does n't have to be an insult
beauty comes in bigger packages , too : during her lecture , lillian explained that ` fat ' should n't mean the same thing as ugly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 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plump crowd-pleaser : while a few people have left nasty comments on the youtube page for her ted talk , lillian said the response has been mostly positive
though lillian gave her ted talk in 2014 , it was only posted on youtube three weeks ago .
since then , the clip has generated nearly 38,000 views - and plenty of positive feedback .
` i 've never been so happy in all my life , ' she wrote for xojane .
` i 've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v>
      </c>
      <c r="C50" s="70" t="str">
        <f>IF(ISBLANK(A50),"",INDEX('Error Log'!$A:$J,MATCH('Scores per segment'!$A50,'Error Log'!$A:$A,0),MATCH('Scores per segment'!C$1,'Error Log'!$A$1:$J$1,0)))</f>
        <v>lillian bustle , from new jersey , said that ` fat ' is just another word - and using it does n't have to be an insult
she also called herself ` short ' , because she is 5 ' 3 " , and ` wife ' , as she is married
lillian also said that she calls herself short , because of her physique because she 's 5 '3 "
she said that the more people are exposed to body diversity , the more they accept , accept , and yes , even prefer , different body types</v>
      </c>
      <c r="D50" s="70">
        <f>IF(H50=0,wdct(TRIM(C50)),0)</f>
        <v>78</v>
      </c>
      <c r="E50" s="70">
        <f>COUNTIFS('Error Log'!$A:$A,$A50,'Error Log'!$J:$J,E$1)</f>
        <v>1</v>
      </c>
      <c r="F50" s="70">
        <f>COUNTIFS('Error Log'!$A:$A,$A50,'Error Log'!$J:$J,F$1)</f>
        <v>2</v>
      </c>
      <c r="G50" s="70">
        <f>COUNTIFS('Error Log'!$A:$A,$A50,'Error Log'!$J:$J,G$1)</f>
        <v>0</v>
      </c>
      <c r="H50" s="70">
        <f>COUNTIFS('Error Log'!$A:$A,$A50,'Error Log'!$F:$F,"Source")</f>
        <v>0</v>
      </c>
      <c r="I50" s="70">
        <f>COUNTIFS('Error Log'!$A:$A,$A50,'Error Log'!$F:$F,"Target")</f>
        <v>0</v>
      </c>
      <c r="J50" s="71">
        <f t="shared" si="0"/>
        <v>87.179487179487182</v>
      </c>
    </row>
    <row r="51" spans="1:10">
      <c r="A51" s="78" t="s">
        <v>411</v>
      </c>
      <c r="B51" s="70" t="str">
        <f>IF(ISBLANK(A51),"",INDEX('Error Log'!$A:$J,MATCH('Scores per segment'!$A51,'Error Log'!$A:$A,0),MATCH('Scores per segment'!B$1,'Error Log'!$A$1:$J$1,0)))</f>
        <v>former soldier john young , 66 , has been left blinded in one eye after thugs through a brick at him through his front door when he confronted them about throwing stones at his property in oldham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 pm on april 18 .
mrs young , who works for the alzheimer 's society charity , said : ` we were sat down writing all of the thanks you cards .
` it was the first time we had been in the house since our wedding and it was getting late , around 11.20 pm .
mr young and his wife elaine , 54 , were sat in the front room of their home in oldham , greater manchester , when thugs began pelting his front window with stones .
he was targeted when he went to confront them
the offenders threw stones at the living room window ( pictured ) before targeting the front door of the house .
mr young was hit by the brick when he opened to the door to question why they had smashed his windows
the glass panel on the front door of mr young 's house was smashed when bricks were thrown at the property last friday .
mr young was taken to hospital after being hit with a brick but doctors could not save his left eye
` we did see a man outside and then there was a crash as a brick hit the window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the couple had been sat quietly in the living room of their oldham home writing thank you notes for the gifts they received on their wedding day - just three weeks ago ( pictured ) - when the attack occurred last friday
police said the brick was thrown ` directly ' at mr young when he answered the door of his home ( pictured ) .
officers said there appeared to be no known motive for the attack and said it could be yobs ` messing around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v>
      </c>
      <c r="C51" s="70" t="str">
        <f>IF(ISBLANK(A51),"",INDEX('Error Log'!$A:$J,MATCH('Scores per segment'!$A51,'Error Log'!$A:$A,0),MATCH('Scores per segment'!C$1,'Error Log'!$A$1:$J$1,0)))</f>
        <v>john young , 66 , and his new wife elaine , 54 , were sat in the front room of their home in oldham , greater manchester , when thugs began pelting his front window with stones
when one brick smashed the glass , mr young went and opened his front door to remonstrate with the attackers only to be struck in his left eye by another brick
doctors were unable to save his eyesight meaning he is now blind in one eye
police have launched an investigation into the attack but said there appears to be no motive</v>
      </c>
      <c r="D51" s="70">
        <f>IF(H51=0,wdct(TRIM(C51)),0)</f>
        <v>92</v>
      </c>
      <c r="E51" s="70">
        <f>COUNTIFS('Error Log'!$A:$A,$A51,'Error Log'!$J:$J,E$1)</f>
        <v>0</v>
      </c>
      <c r="F51" s="70">
        <f>COUNTIFS('Error Log'!$A:$A,$A51,'Error Log'!$J:$J,F$1)</f>
        <v>1</v>
      </c>
      <c r="G51" s="70">
        <f>COUNTIFS('Error Log'!$A:$A,$A51,'Error Log'!$J:$J,G$1)</f>
        <v>0</v>
      </c>
      <c r="H51" s="70">
        <f>COUNTIFS('Error Log'!$A:$A,$A51,'Error Log'!$F:$F,"Source")</f>
        <v>0</v>
      </c>
      <c r="I51" s="70">
        <f>COUNTIFS('Error Log'!$A:$A,$A51,'Error Log'!$F:$F,"Target")</f>
        <v>0</v>
      </c>
      <c r="J51" s="71">
        <f t="shared" si="0"/>
        <v>97.282608695652172</v>
      </c>
    </row>
    <row r="52" spans="1:10">
      <c r="A52" s="78" t="s">
        <v>415</v>
      </c>
      <c r="B52" s="70" t="str">
        <f>IF(ISBLANK(A52),"",INDEX('Error Log'!$A:$J,MATCH('Scores per segment'!$A52,'Error Log'!$A:$A,0),MATCH('Scores per segment'!B$1,'Error Log'!$A$1:$J$1,0)))</f>
        <v>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walcott , pictured with wilshere and wojciech szczesny , has spent much of the season on the bench
the 26-year-old looks on from the bench during arsenal 's 0-0 draw with chelsea at the emirates stadium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v>
      </c>
      <c r="C52" s="70" t="str">
        <f>IF(ISBLANK(A52),"",INDEX('Error Log'!$A:$J,MATCH('Scores per segment'!$A52,'Error Log'!$A:$A,0),MATCH('Scores per segment'!C$1,'Error Log'!$A$1:$J$1,0)))</f>
        <v>theo walcott has been pictured on a different kind of bench with six of his arsenal colleagues
walcott posed for a photoshoot with runway model olga sherer , calum chambers , mikel arteta , david ospina , mathieu flamini and mesut ozil
the 26-year-old has been named on arsenal 's substitutes ' bench for 17 of their 33 premier league games</v>
      </c>
      <c r="D52" s="70">
        <f>IF(H52=0,wdct(TRIM(C52)),0)</f>
        <v>56</v>
      </c>
      <c r="E52" s="70">
        <f>COUNTIFS('Error Log'!$A:$A,$A52,'Error Log'!$J:$J,E$1)</f>
        <v>0</v>
      </c>
      <c r="F52" s="70">
        <f>COUNTIFS('Error Log'!$A:$A,$A52,'Error Log'!$J:$J,F$1)</f>
        <v>0</v>
      </c>
      <c r="G52" s="70">
        <f>COUNTIFS('Error Log'!$A:$A,$A52,'Error Log'!$J:$J,G$1)</f>
        <v>0</v>
      </c>
      <c r="H52" s="70">
        <f>COUNTIFS('Error Log'!$A:$A,$A52,'Error Log'!$F:$F,"Source")</f>
        <v>0</v>
      </c>
      <c r="I52" s="70">
        <f>COUNTIFS('Error Log'!$A:$A,$A52,'Error Log'!$F:$F,"Target")</f>
        <v>0</v>
      </c>
      <c r="J52" s="71">
        <f t="shared" si="0"/>
        <v>100</v>
      </c>
    </row>
    <row r="53" spans="1:10">
      <c r="A53" s="78" t="s">
        <v>418</v>
      </c>
      <c r="B53" s="70" t="str">
        <f>IF(ISBLANK(A53),"",INDEX('Error Log'!$A:$J,MATCH('Scores per segment'!$A53,'Error Log'!$A:$A,0),MATCH('Scores per segment'!B$1,'Error Log'!$A$1:$J$1,0)))</f>
        <v>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v>
      </c>
      <c r="C53" s="70" t="str">
        <f>IF(ISBLANK(A53),"",INDEX('Error Log'!$A:$J,MATCH('Scores per segment'!$A53,'Error Log'!$A:$A,0),MATCH('Scores per segment'!C$1,'Error Log'!$A$1:$J$1,0)))</f>
        <v>tom poynton missed the entire 2014 campaign due to leg injuries
the 25-year-old made his playing comeback during derbyshire 's pre-season tour of abu dhabi
he has now committed himself to the county until the end of the 2016 season</v>
      </c>
      <c r="D53" s="70">
        <f>IF(H53=0,wdct(TRIM(C53)),0)</f>
        <v>40</v>
      </c>
      <c r="E53" s="70">
        <f>COUNTIFS('Error Log'!$A:$A,$A53,'Error Log'!$J:$J,E$1)</f>
        <v>0</v>
      </c>
      <c r="F53" s="70">
        <f>COUNTIFS('Error Log'!$A:$A,$A53,'Error Log'!$J:$J,F$1)</f>
        <v>0</v>
      </c>
      <c r="G53" s="70">
        <f>COUNTIFS('Error Log'!$A:$A,$A53,'Error Log'!$J:$J,G$1)</f>
        <v>0</v>
      </c>
      <c r="H53" s="70">
        <f>COUNTIFS('Error Log'!$A:$A,$A53,'Error Log'!$F:$F,"Source")</f>
        <v>0</v>
      </c>
      <c r="I53" s="70">
        <f>COUNTIFS('Error Log'!$A:$A,$A53,'Error Log'!$F:$F,"Target")</f>
        <v>0</v>
      </c>
      <c r="J53" s="71">
        <f t="shared" si="0"/>
        <v>100</v>
      </c>
    </row>
    <row r="54" spans="1:10">
      <c r="A54" s="79" t="s">
        <v>421</v>
      </c>
      <c r="B54" s="70" t="str">
        <f>IF(ISBLANK(A54),"",INDEX('Error Log'!$A:$J,MATCH('Scores per segment'!$A54,'Error Log'!$A:$A,0),MATCH('Scores per segment'!B$1,'Error Log'!$A$1:$J$1,0)))</f>
        <v>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v>
      </c>
      <c r="C54" s="70" t="str">
        <f>IF(ISBLANK(A54),"",INDEX('Error Log'!$A:$J,MATCH('Scores per segment'!$A54,'Error Log'!$A:$A,0),MATCH('Scores per segment'!C$1,'Error Log'!$A$1:$J$1,0)))</f>
        <v>the collection , created by legendary make-up effects artist rick baker , will be auctioned off at the hilton universal city in los angeles , california , and on propstore.com this may 29
some of the individual items are expected to fetch more than $ 40,000 when they are offered to the public for the first time</v>
      </c>
      <c r="D54" s="70">
        <f>IF(H54=0,wdct(TRIM(C54)),0)</f>
        <v>53</v>
      </c>
      <c r="E54" s="70">
        <f>COUNTIFS('Error Log'!$A:$A,$A54,'Error Log'!$J:$J,E$1)</f>
        <v>3</v>
      </c>
      <c r="F54" s="70">
        <f>COUNTIFS('Error Log'!$A:$A,$A54,'Error Log'!$J:$J,F$1)</f>
        <v>0</v>
      </c>
      <c r="G54" s="70">
        <f>COUNTIFS('Error Log'!$A:$A,$A54,'Error Log'!$J:$J,G$1)</f>
        <v>0</v>
      </c>
      <c r="H54" s="70">
        <f>COUNTIFS('Error Log'!$A:$A,$A54,'Error Log'!$F:$F,"Source")</f>
        <v>0</v>
      </c>
      <c r="I54" s="70">
        <f>COUNTIFS('Error Log'!$A:$A,$A54,'Error Log'!$F:$F,"Target")</f>
        <v>0</v>
      </c>
      <c r="J54" s="71">
        <f t="shared" si="0"/>
        <v>71.698113207547166</v>
      </c>
    </row>
    <row r="55" spans="1:10">
      <c r="A55" s="79" t="s">
        <v>428</v>
      </c>
      <c r="B55" s="70" t="str">
        <f>IF(ISBLANK(A55),"",INDEX('Error Log'!$A:$J,MATCH('Scores per segment'!$A55,'Error Log'!$A:$A,0),MATCH('Scores per segment'!B$1,'Error Log'!$A$1:$J$1,0)))</f>
        <v>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v>
      </c>
      <c r="C55" s="70" t="str">
        <f>IF(ISBLANK(A55),"",INDEX('Error Log'!$A:$J,MATCH('Scores per segment'!$A55,'Error Log'!$A:$A,0),MATCH('Scores per segment'!C$1,'Error Log'!$A$1:$J$1,0)))</f>
        <v>harley renshaw was diagnosed with cancer in his kidney , neck , lungs and bones
his ninja turtle mask helped him feel stronger while he was having radiotherapy
hospital staff were amazed when the youngster asked if he could decorate the protective mask that holds him still while having his radiotherapy treatment</v>
      </c>
      <c r="D55" s="70">
        <f>IF(H55=0,wdct(TRIM(C55)),0)</f>
        <v>50</v>
      </c>
      <c r="E55" s="70">
        <f>COUNTIFS('Error Log'!$A:$A,$A55,'Error Log'!$J:$J,E$1)</f>
        <v>2</v>
      </c>
      <c r="F55" s="70">
        <f>COUNTIFS('Error Log'!$A:$A,$A55,'Error Log'!$J:$J,F$1)</f>
        <v>1</v>
      </c>
      <c r="G55" s="70">
        <f>COUNTIFS('Error Log'!$A:$A,$A55,'Error Log'!$J:$J,G$1)</f>
        <v>0</v>
      </c>
      <c r="H55" s="70">
        <f>COUNTIFS('Error Log'!$A:$A,$A55,'Error Log'!$F:$F,"Source")</f>
        <v>0</v>
      </c>
      <c r="I55" s="70">
        <f>COUNTIFS('Error Log'!$A:$A,$A55,'Error Log'!$F:$F,"Target")</f>
        <v>0</v>
      </c>
      <c r="J55" s="71">
        <f t="shared" si="0"/>
        <v>75</v>
      </c>
    </row>
    <row r="56" spans="1:10">
      <c r="A56" s="79" t="s">
        <v>435</v>
      </c>
      <c r="B56" s="70" t="str">
        <f>IF(ISBLANK(A56),"",INDEX('Error Log'!$A:$J,MATCH('Scores per segment'!$A56,'Error Log'!$A:$A,0),MATCH('Scores per segment'!B$1,'Error Log'!$A$1:$J$1,0)))</f>
        <v>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v>
      </c>
      <c r="C56" s="70" t="str">
        <f>IF(ISBLANK(A56),"",INDEX('Error Log'!$A:$J,MATCH('Scores per segment'!$A56,'Error Log'!$A:$A,0),MATCH('Scores per segment'!C$1,'Error Log'!$A$1:$J$1,0)))</f>
        <v>carwyn scott-howell fell to his death while skiing in flaine , france
his mother , ceri , nine , and brother gerwyn , 19 , also died in woodland
family described how he ` made life full of laughter with never a dull moment '
carwyn , from talybont-on-usk in wales , was a ` very competent skier and snowboarder '</v>
      </c>
      <c r="D56" s="70">
        <f>IF(H56=0,wdct(TRIM(C56)),0)</f>
        <v>49</v>
      </c>
      <c r="E56" s="70">
        <f>COUNTIFS('Error Log'!$A:$A,$A56,'Error Log'!$J:$J,E$1)</f>
        <v>4</v>
      </c>
      <c r="F56" s="70">
        <f>COUNTIFS('Error Log'!$A:$A,$A56,'Error Log'!$J:$J,F$1)</f>
        <v>3</v>
      </c>
      <c r="G56" s="70">
        <f>COUNTIFS('Error Log'!$A:$A,$A56,'Error Log'!$J:$J,G$1)</f>
        <v>0</v>
      </c>
      <c r="H56" s="70">
        <f>COUNTIFS('Error Log'!$A:$A,$A56,'Error Log'!$F:$F,"Source")</f>
        <v>0</v>
      </c>
      <c r="I56" s="70">
        <f>COUNTIFS('Error Log'!$A:$A,$A56,'Error Log'!$F:$F,"Target")</f>
        <v>0</v>
      </c>
      <c r="J56" s="71">
        <f t="shared" si="0"/>
        <v>43.87755102040817</v>
      </c>
    </row>
    <row r="57" spans="1:10">
      <c r="A57" s="79" t="s">
        <v>446</v>
      </c>
      <c r="B57" s="70" t="str">
        <f>IF(ISBLANK(A57),"",INDEX('Error Log'!$A:$J,MATCH('Scores per segment'!$A57,'Error Log'!$A:$A,0),MATCH('Scores per segment'!B$1,'Error Log'!$A$1:$J$1,0)))</f>
        <v>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v>
      </c>
      <c r="C57" s="70" t="str">
        <f>IF(ISBLANK(A57),"",INDEX('Error Log'!$A:$J,MATCH('Scores per segment'!$A57,'Error Log'!$A:$A,0),MATCH('Scores per segment'!C$1,'Error Log'!$A$1:$J$1,0)))</f>
        <v>jack grealish starred for aston villa in their fa cup semi-final win over liverpool
the 19-year-old is now at the centre of a tug of war between the republic of ireland and england
sherwood wants grealish to focus on continuing to force his way into the villa first team</v>
      </c>
      <c r="D57" s="70">
        <f>IF(H57=0,wdct(TRIM(C57)),0)</f>
        <v>49</v>
      </c>
      <c r="E57" s="70">
        <f>COUNTIFS('Error Log'!$A:$A,$A57,'Error Log'!$J:$J,E$1)</f>
        <v>1</v>
      </c>
      <c r="F57" s="70">
        <f>COUNTIFS('Error Log'!$A:$A,$A57,'Error Log'!$J:$J,F$1)</f>
        <v>1</v>
      </c>
      <c r="G57" s="70">
        <f>COUNTIFS('Error Log'!$A:$A,$A57,'Error Log'!$J:$J,G$1)</f>
        <v>0</v>
      </c>
      <c r="H57" s="70">
        <f>COUNTIFS('Error Log'!$A:$A,$A57,'Error Log'!$F:$F,"Source")</f>
        <v>0</v>
      </c>
      <c r="I57" s="70">
        <f>COUNTIFS('Error Log'!$A:$A,$A57,'Error Log'!$F:$F,"Target")</f>
        <v>0</v>
      </c>
      <c r="J57" s="71">
        <f t="shared" si="0"/>
        <v>84.693877551020407</v>
      </c>
    </row>
    <row r="58" spans="1:10">
      <c r="A58" s="79" t="s">
        <v>451</v>
      </c>
      <c r="B58" s="70" t="str">
        <f>IF(ISBLANK(A58),"",INDEX('Error Log'!$A:$J,MATCH('Scores per segment'!$A58,'Error Log'!$A:$A,0),MATCH('Scores per segment'!B$1,'Error Log'!$A$1:$J$1,0)))</f>
        <v>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v>
      </c>
      <c r="C58" s="70" t="str">
        <f>IF(ISBLANK(A58),"",INDEX('Error Log'!$A:$J,MATCH('Scores per segment'!$A58,'Error Log'!$A:$A,0),MATCH('Scores per segment'!C$1,'Error Log'!$A$1:$J$1,0)))</f>
        <v>laura scurr , 15 , from whitley bay , was left on a heart machine after she collapsed through starvation
she became obsessed with having the perfect figure and would hide food down the side of her bed , lying to her mother about eating and sometimes surviving on just a piece of fruit a day
her dramatic weight loss led to horrific consequences when she collapsed at her family home and was rushed to intensive care
she has now spoken out about the pressures on young girls to be a ` size zero '</v>
      </c>
      <c r="D58" s="70">
        <f>IF(H58=0,wdct(TRIM(C58)),0)</f>
        <v>89</v>
      </c>
      <c r="E58" s="70">
        <f>COUNTIFS('Error Log'!$A:$A,$A58,'Error Log'!$J:$J,E$1)</f>
        <v>2</v>
      </c>
      <c r="F58" s="70">
        <f>COUNTIFS('Error Log'!$A:$A,$A58,'Error Log'!$J:$J,F$1)</f>
        <v>1</v>
      </c>
      <c r="G58" s="70">
        <f>COUNTIFS('Error Log'!$A:$A,$A58,'Error Log'!$J:$J,G$1)</f>
        <v>0</v>
      </c>
      <c r="H58" s="70">
        <f>COUNTIFS('Error Log'!$A:$A,$A58,'Error Log'!$F:$F,"Source")</f>
        <v>0</v>
      </c>
      <c r="I58" s="70">
        <f>COUNTIFS('Error Log'!$A:$A,$A58,'Error Log'!$F:$F,"Target")</f>
        <v>0</v>
      </c>
      <c r="J58" s="71">
        <f t="shared" si="0"/>
        <v>85.955056179775283</v>
      </c>
    </row>
    <row r="59" spans="1:10">
      <c r="A59" s="79" t="s">
        <v>458</v>
      </c>
      <c r="B59" s="70" t="str">
        <f>IF(ISBLANK(A59),"",INDEX('Error Log'!$A:$J,MATCH('Scores per segment'!$A59,'Error Log'!$A:$A,0),MATCH('Scores per segment'!B$1,'Error Log'!$A$1:$J$1,0)))</f>
        <v>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v>
      </c>
      <c r="C59" s="70" t="str">
        <f>IF(ISBLANK(A59),"",INDEX('Error Log'!$A:$J,MATCH('Scores per segment'!$A59,'Error Log'!$A:$A,0),MATCH('Scores per segment'!C$1,'Error Log'!$A$1:$J$1,0)))</f>
        <v>2.5 million private flights recorded in the us in 2013 and 705,000 in europe
it is a huge industry for the rich and famous , with its market worth $ 16.7 trillion in us and $ 15.8 trillion in europe</v>
      </c>
      <c r="D59" s="70">
        <f>IF(H59=0,wdct(TRIM(C59)),0)</f>
        <v>37</v>
      </c>
      <c r="E59" s="70">
        <f>COUNTIFS('Error Log'!$A:$A,$A59,'Error Log'!$J:$J,E$1)</f>
        <v>2</v>
      </c>
      <c r="F59" s="70">
        <f>COUNTIFS('Error Log'!$A:$A,$A59,'Error Log'!$J:$J,F$1)</f>
        <v>2</v>
      </c>
      <c r="G59" s="70">
        <f>COUNTIFS('Error Log'!$A:$A,$A59,'Error Log'!$J:$J,G$1)</f>
        <v>0</v>
      </c>
      <c r="H59" s="70">
        <f>COUNTIFS('Error Log'!$A:$A,$A59,'Error Log'!$F:$F,"Source")</f>
        <v>0</v>
      </c>
      <c r="I59" s="70">
        <f>COUNTIFS('Error Log'!$A:$A,$A59,'Error Log'!$F:$F,"Target")</f>
        <v>0</v>
      </c>
      <c r="J59" s="71">
        <f t="shared" si="0"/>
        <v>59.45945945945946</v>
      </c>
    </row>
    <row r="60" spans="1:10">
      <c r="A60" s="79" t="s">
        <v>466</v>
      </c>
      <c r="B60" s="70" t="str">
        <f>IF(ISBLANK(A60),"",INDEX('Error Log'!$A:$J,MATCH('Scores per segment'!$A60,'Error Log'!$A:$A,0),MATCH('Scores per segment'!B$1,'Error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v>
      </c>
      <c r="C60" s="70" t="str">
        <f>IF(ISBLANK(A60),"",INDEX('Error Log'!$A:$J,MATCH('Scores per segment'!$A60,'Error Log'!$A:$A,0),MATCH('Scores per segment'!C$1,'Error Log'!$A$1:$J$1,0)))</f>
        <v>raheem sterling , daniel sturridge , martin skrtel and simon mignolet unveiled the new kit at anfield on friday
new balance struck a record-breaking # 300million four-year kit deal to replace sister company warrior as liverpool 's suppliers
sterling said he was flattered to be linked with arsenal to cast a huge question mark over his future
but liverpool are adamant that the 20-year-old , who has two years left to run on his contract , will not be quitting this summer</v>
      </c>
      <c r="D60" s="70">
        <f>IF(H60=0,wdct(TRIM(C60)),0)</f>
        <v>77</v>
      </c>
      <c r="E60" s="70">
        <f>COUNTIFS('Error Log'!$A:$A,$A60,'Error Log'!$J:$J,E$1)</f>
        <v>2</v>
      </c>
      <c r="F60" s="70">
        <f>COUNTIFS('Error Log'!$A:$A,$A60,'Error Log'!$J:$J,F$1)</f>
        <v>2</v>
      </c>
      <c r="G60" s="70">
        <f>COUNTIFS('Error Log'!$A:$A,$A60,'Error Log'!$J:$J,G$1)</f>
        <v>0</v>
      </c>
      <c r="H60" s="70">
        <f>COUNTIFS('Error Log'!$A:$A,$A60,'Error Log'!$F:$F,"Source")</f>
        <v>0</v>
      </c>
      <c r="I60" s="70">
        <f>COUNTIFS('Error Log'!$A:$A,$A60,'Error Log'!$F:$F,"Target")</f>
        <v>0</v>
      </c>
      <c r="J60" s="71">
        <f t="shared" si="0"/>
        <v>80.51948051948051</v>
      </c>
    </row>
    <row r="61" spans="1:10">
      <c r="A61" s="79" t="s">
        <v>474</v>
      </c>
      <c r="B61" s="70" t="str">
        <f>IF(ISBLANK(A61),"",INDEX('Error Log'!$A:$J,MATCH('Scores per segment'!$A61,'Error Log'!$A:$A,0),MATCH('Scores per segment'!B$1,'Error Log'!$A$1:$J$1,0)))</f>
        <v>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2012 by a points landslide , thereby retaining the world super-middleweight title .
but sugar ray took most pride from the trilogy from forcing duran to say no mas .
he said : ` to me , making roberto duran to quit was better than knocking him out . '</v>
      </c>
      <c r="C61" s="70" t="str">
        <f>IF(ISBLANK(A61),"",INDEX('Error Log'!$A:$J,MATCH('Scores per segment'!$A61,'Error Log'!$A:$A,0),MATCH('Scores per segment'!C$1,'Error Log'!$A$1:$J$1,0)))</f>
        <v>floyd mayweather v manny pacquiao will be the biggest fight of all time
money man v pacquiao is the sixth in a series of 12 fights that shaped boxing history
the first two of the three fights between the sugar man and hands of stone raised the curtain on what is considered the golden age of boxing
click here for all the latest boxing news</v>
      </c>
      <c r="D61" s="70">
        <f>IF(H61=0,wdct(TRIM(C61)),0)</f>
        <v>65</v>
      </c>
      <c r="E61" s="70">
        <f>COUNTIFS('Error Log'!$A:$A,$A61,'Error Log'!$J:$J,E$1)</f>
        <v>4</v>
      </c>
      <c r="F61" s="70">
        <f>COUNTIFS('Error Log'!$A:$A,$A61,'Error Log'!$J:$J,F$1)</f>
        <v>2</v>
      </c>
      <c r="G61" s="70">
        <f>COUNTIFS('Error Log'!$A:$A,$A61,'Error Log'!$J:$J,G$1)</f>
        <v>0</v>
      </c>
      <c r="H61" s="70">
        <f>COUNTIFS('Error Log'!$A:$A,$A61,'Error Log'!$F:$F,"Source")</f>
        <v>0</v>
      </c>
      <c r="I61" s="70">
        <f>COUNTIFS('Error Log'!$A:$A,$A61,'Error Log'!$F:$F,"Target")</f>
        <v>0</v>
      </c>
      <c r="J61" s="71">
        <f t="shared" si="0"/>
        <v>61.538461538461533</v>
      </c>
    </row>
    <row r="62" spans="1:10">
      <c r="A62" s="79" t="s">
        <v>494</v>
      </c>
      <c r="B62" s="70" t="str">
        <f>IF(ISBLANK(A62),"",INDEX('Error Log'!$A:$J,MATCH('Scores per segment'!$A62,'Error Log'!$A:$A,0),MATCH('Scores per segment'!B$1,'Error Log'!$A$1:$J$1,0)))</f>
        <v>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v>
      </c>
      <c r="C62" s="70" t="str">
        <f>IF(ISBLANK(A62),"",INDEX('Error Log'!$A:$J,MATCH('Scores per segment'!$A62,'Error Log'!$A:$A,0),MATCH('Scores per segment'!C$1,'Error Log'!$A$1:$J$1,0)))</f>
        <v>university of manchester researchers have revealed an hd dark matter map
it shows clumps of mystery particles across 0.4 per cent of the sky
the goal is to eventually map 12.5 per cent over five years
and the map should allow astronomers to study how galaxies formed in the universe</v>
      </c>
      <c r="D62" s="70">
        <f>IF(H62=0,wdct(TRIM(C62)),0)</f>
        <v>50</v>
      </c>
      <c r="E62" s="70">
        <f>COUNTIFS('Error Log'!$A:$A,$A62,'Error Log'!$J:$J,E$1)</f>
        <v>0</v>
      </c>
      <c r="F62" s="70">
        <f>COUNTIFS('Error Log'!$A:$A,$A62,'Error Log'!$J:$J,F$1)</f>
        <v>0</v>
      </c>
      <c r="G62" s="70">
        <f>COUNTIFS('Error Log'!$A:$A,$A62,'Error Log'!$J:$J,G$1)</f>
        <v>0</v>
      </c>
      <c r="H62" s="70">
        <f>COUNTIFS('Error Log'!$A:$A,$A62,'Error Log'!$F:$F,"Source")</f>
        <v>0</v>
      </c>
      <c r="I62" s="70">
        <f>COUNTIFS('Error Log'!$A:$A,$A62,'Error Log'!$F:$F,"Target")</f>
        <v>0</v>
      </c>
      <c r="J62" s="71">
        <f t="shared" si="0"/>
        <v>100</v>
      </c>
    </row>
    <row r="63" spans="1:10">
      <c r="A63" s="79" t="s">
        <v>497</v>
      </c>
      <c r="B63" s="70" t="str">
        <f>IF(ISBLANK(A63),"",INDEX('Error Log'!$A:$J,MATCH('Scores per segment'!$A63,'Error Log'!$A:$A,0),MATCH('Scores per segment'!B$1,'Error Log'!$A$1:$J$1,0)))</f>
        <v>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v>
      </c>
      <c r="C63" s="70" t="str">
        <f>IF(ISBLANK(A63),"",INDEX('Error Log'!$A:$J,MATCH('Scores per segment'!$A63,'Error Log'!$A:$A,0),MATCH('Scores per segment'!C$1,'Error Log'!$A$1:$J$1,0)))</f>
        <v>katie gallegos from clackamas county , oregon , decided to take cooper to a mcdonald 's drive-thru for an ice cream with his pal daisy
but while the small female pup takes a few ladylike licks , cooper gobbles the rest of the cone up in one bite
to date the video of cooper 's ice cream outing has been watched more than seven million times</v>
      </c>
      <c r="D63" s="70">
        <f>IF(H63=0,wdct(TRIM(C63)),0)</f>
        <v>63</v>
      </c>
      <c r="E63" s="70">
        <f>COUNTIFS('Error Log'!$A:$A,$A63,'Error Log'!$J:$J,E$1)</f>
        <v>1</v>
      </c>
      <c r="F63" s="70">
        <f>COUNTIFS('Error Log'!$A:$A,$A63,'Error Log'!$J:$J,F$1)</f>
        <v>1</v>
      </c>
      <c r="G63" s="70">
        <f>COUNTIFS('Error Log'!$A:$A,$A63,'Error Log'!$J:$J,G$1)</f>
        <v>0</v>
      </c>
      <c r="H63" s="70">
        <f>COUNTIFS('Error Log'!$A:$A,$A63,'Error Log'!$F:$F,"Source")</f>
        <v>0</v>
      </c>
      <c r="I63" s="70">
        <f>COUNTIFS('Error Log'!$A:$A,$A63,'Error Log'!$F:$F,"Target")</f>
        <v>0</v>
      </c>
      <c r="J63" s="71">
        <f t="shared" si="0"/>
        <v>88.095238095238102</v>
      </c>
    </row>
    <row r="64" spans="1:10">
      <c r="A64" s="78" t="s">
        <v>503</v>
      </c>
      <c r="B64" s="70" t="str">
        <f>IF(ISBLANK(A64),"",INDEX('Error Log'!$A:$J,MATCH('Scores per segment'!$A64,'Error Log'!$A:$A,0),MATCH('Scores per segment'!B$1,'Error Log'!$A$1:$J$1,0)))</f>
        <v>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21th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v>
      </c>
      <c r="C64" s="70" t="str">
        <f>IF(ISBLANK(A64),"",INDEX('Error Log'!$A:$J,MATCH('Scores per segment'!$A64,'Error Log'!$A:$A,0),MATCH('Scores per segment'!C$1,'Error Log'!$A$1:$J$1,0)))</f>
        <v>chelsea are in early discussions over a possible partnership with belgian club royal mouscron-peruwelz
mouscron had a partnership with lille but the french side are now poised to link up with another belgian club , ostend
chelsea are currently 13th in the table , two points above the relegation places</v>
      </c>
      <c r="D64" s="70">
        <f>IF(H64=0,wdct(TRIM(C64)),0)</f>
        <v>48</v>
      </c>
      <c r="E64" s="70">
        <f>COUNTIFS('Error Log'!$A:$A,$A64,'Error Log'!$J:$J,E$1)</f>
        <v>2</v>
      </c>
      <c r="F64" s="70">
        <f>COUNTIFS('Error Log'!$A:$A,$A64,'Error Log'!$J:$J,F$1)</f>
        <v>2</v>
      </c>
      <c r="G64" s="70">
        <f>COUNTIFS('Error Log'!$A:$A,$A64,'Error Log'!$J:$J,G$1)</f>
        <v>0</v>
      </c>
      <c r="H64" s="70">
        <f>COUNTIFS('Error Log'!$A:$A,$A64,'Error Log'!$F:$F,"Source")</f>
        <v>0</v>
      </c>
      <c r="I64" s="70">
        <f>COUNTIFS('Error Log'!$A:$A,$A64,'Error Log'!$F:$F,"Target")</f>
        <v>0</v>
      </c>
      <c r="J64" s="71">
        <f t="shared" si="0"/>
        <v>68.75</v>
      </c>
    </row>
    <row r="65" spans="1:10">
      <c r="A65" s="78" t="s">
        <v>511</v>
      </c>
      <c r="B65" s="70" t="str">
        <f>IF(ISBLANK(A65),"",INDEX('Error Log'!$A:$J,MATCH('Scores per segment'!$A65,'Error Log'!$A:$A,0),MATCH('Scores per segment'!B$1,'Error Log'!$A$1:$J$1,0)))</f>
        <v>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$ 4.13 billion</v>
      </c>
      <c r="C65" s="70" t="str">
        <f>IF(ISBLANK(A65),"",INDEX('Error Log'!$A:$J,MATCH('Scores per segment'!$A65,'Error Log'!$A:$A,0),MATCH('Scores per segment'!C$1,'Error Log'!$A$1:$J$1,0)))</f>
        <v>the company said earlier the outage affected 7,000 stores in the us and 1,000 in canada
it did not explain exactly what caused the outage , which began in the early evening on the east coast and in the late afternoon on the west coast</v>
      </c>
      <c r="D65" s="70">
        <f>IF(H65=0,wdct(TRIM(C65)),0)</f>
        <v>44</v>
      </c>
      <c r="E65" s="70">
        <f>COUNTIFS('Error Log'!$A:$A,$A65,'Error Log'!$J:$J,E$1)</f>
        <v>4</v>
      </c>
      <c r="F65" s="70">
        <f>COUNTIFS('Error Log'!$A:$A,$A65,'Error Log'!$J:$J,F$1)</f>
        <v>1</v>
      </c>
      <c r="G65" s="70">
        <f>COUNTIFS('Error Log'!$A:$A,$A65,'Error Log'!$J:$J,G$1)</f>
        <v>0</v>
      </c>
      <c r="H65" s="70">
        <f>COUNTIFS('Error Log'!$A:$A,$A65,'Error Log'!$F:$F,"Source")</f>
        <v>0</v>
      </c>
      <c r="I65" s="70">
        <f>COUNTIFS('Error Log'!$A:$A,$A65,'Error Log'!$F:$F,"Target")</f>
        <v>0</v>
      </c>
      <c r="J65" s="71">
        <f t="shared" si="0"/>
        <v>48.863636363636367</v>
      </c>
    </row>
    <row r="66" spans="1:10">
      <c r="A66" s="78" t="s">
        <v>528</v>
      </c>
      <c r="B66" s="70" t="str">
        <f>IF(ISBLANK(A66),"",INDEX('Error Log'!$A:$J,MATCH('Scores per segment'!$A66,'Error Log'!$A:$A,0),MATCH('Scores per segment'!B$1,'Error Log'!$A$1:$J$1,0)))</f>
        <v>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2009 .
pacquiao is promoted by bob arum 's top rank company .
actor mark wahlberg is a big fan of pacquiao .</v>
      </c>
      <c r="C66" s="70" t="str">
        <f>IF(ISBLANK(A66),"",INDEX('Error Log'!$A:$J,MATCH('Scores per segment'!$A66,'Error Log'!$A:$A,0),MATCH('Scores per segment'!C$1,'Error Log'!$A$1:$J$1,0)))</f>
        <v>floyd mayweather and manny pacquiao are less than two weeks away from playing their part in the richest fight in boxing history .
here , sportsmail takes a look at the two men 's achievements , in and out of the ring , ahead of their $ 300m mega-fight on may 2
since leaving top rank in 2006 , mayweather has looked after his own interests and negotiated a 60-40 split in his favour for his fight against pacquiao .</v>
      </c>
      <c r="D66" s="70">
        <f>IF(H66=0,wdct(TRIM(C66)),0)</f>
        <v>73</v>
      </c>
      <c r="E66" s="70">
        <f>COUNTIFS('Error Log'!$A:$A,$A66,'Error Log'!$J:$J,E$1)</f>
        <v>1</v>
      </c>
      <c r="F66" s="70">
        <f>COUNTIFS('Error Log'!$A:$A,$A66,'Error Log'!$J:$J,F$1)</f>
        <v>2</v>
      </c>
      <c r="G66" s="70">
        <f>COUNTIFS('Error Log'!$A:$A,$A66,'Error Log'!$J:$J,G$1)</f>
        <v>0</v>
      </c>
      <c r="H66" s="70">
        <f>COUNTIFS('Error Log'!$A:$A,$A66,'Error Log'!$F:$F,"Source")</f>
        <v>0</v>
      </c>
      <c r="I66" s="70">
        <f>COUNTIFS('Error Log'!$A:$A,$A66,'Error Log'!$F:$F,"Target")</f>
        <v>0</v>
      </c>
      <c r="J66" s="71">
        <f t="shared" ref="J66:J129" si="1">IF(I66=0,IFERROR((((1-((E66*10+F66*5+G66*1)/D66))*100)+100)/2,0),-150)</f>
        <v>86.30136986301369</v>
      </c>
    </row>
    <row r="67" spans="1:10">
      <c r="A67" s="78" t="s">
        <v>539</v>
      </c>
      <c r="B67" s="70" t="str">
        <f>IF(ISBLANK(A67),"",INDEX('Error Log'!$A:$J,MATCH('Scores per segment'!$A67,'Error Log'!$A:$A,0),MATCH('Scores per segment'!B$1,'Error Log'!$A$1:$J$1,0)))</f>
        <v>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29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v>
      </c>
      <c r="C67" s="70" t="str">
        <f>IF(ISBLANK(A67),"",INDEX('Error Log'!$A:$J,MATCH('Scores per segment'!$A67,'Error Log'!$A:$A,0),MATCH('Scores per segment'!C$1,'Error Log'!$A$1:$J$1,0)))</f>
        <v>locations in ceredigion , powys and pembrokeshire are also being used to radicalise muslims
incidents of islamic extremist activity in wales can be traced back to 1998 , when abu hamza sent a group of 10 extremists to train in the brecon beacons , in powys</v>
      </c>
      <c r="D67" s="70">
        <f>IF(H67=0,wdct(TRIM(C67)),0)</f>
        <v>43</v>
      </c>
      <c r="E67" s="70">
        <f>COUNTIFS('Error Log'!$A:$A,$A67,'Error Log'!$J:$J,E$1)</f>
        <v>1</v>
      </c>
      <c r="F67" s="70">
        <f>COUNTIFS('Error Log'!$A:$A,$A67,'Error Log'!$J:$J,F$1)</f>
        <v>1</v>
      </c>
      <c r="G67" s="70">
        <f>COUNTIFS('Error Log'!$A:$A,$A67,'Error Log'!$J:$J,G$1)</f>
        <v>0</v>
      </c>
      <c r="H67" s="70">
        <f>COUNTIFS('Error Log'!$A:$A,$A67,'Error Log'!$F:$F,"Source")</f>
        <v>0</v>
      </c>
      <c r="I67" s="70">
        <f>COUNTIFS('Error Log'!$A:$A,$A67,'Error Log'!$F:$F,"Target")</f>
        <v>0</v>
      </c>
      <c r="J67" s="71">
        <f t="shared" si="1"/>
        <v>82.558139534883722</v>
      </c>
    </row>
    <row r="68" spans="1:10">
      <c r="A68" s="78" t="s">
        <v>544</v>
      </c>
      <c r="B68" s="70" t="str">
        <f>IF(ISBLANK(A68),"",INDEX('Error Log'!$A:$J,MATCH('Scores per segment'!$A68,'Error Log'!$A:$A,0),MATCH('Scores per segment'!B$1,'Error Log'!$A$1:$J$1,0)))</f>
        <v>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3-13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v>
      </c>
      <c r="C68" s="70" t="str">
        <f>IF(ISBLANK(A68),"",INDEX('Error Log'!$A:$J,MATCH('Scores per segment'!$A68,'Error Log'!$A:$A,0),MATCH('Scores per segment'!C$1,'Error Log'!$A$1:$J$1,0)))</f>
        <v>manchester united have made an official approach for memphis depay
louis van gaal is keen to make the winger of his first signings this summer
depay worked under van gaal during holland 's successful 2014 world cup campaign
the 21-year-old has scored 20 goals in 26 league games for psv this season
click here for all the latest manchester united news</v>
      </c>
      <c r="D68" s="70">
        <f>IF(H68=0,wdct(TRIM(C68)),0)</f>
        <v>61</v>
      </c>
      <c r="E68" s="70">
        <f>COUNTIFS('Error Log'!$A:$A,$A68,'Error Log'!$J:$J,E$1)</f>
        <v>2</v>
      </c>
      <c r="F68" s="70">
        <f>COUNTIFS('Error Log'!$A:$A,$A68,'Error Log'!$J:$J,F$1)</f>
        <v>2</v>
      </c>
      <c r="G68" s="70">
        <f>COUNTIFS('Error Log'!$A:$A,$A68,'Error Log'!$J:$J,G$1)</f>
        <v>0</v>
      </c>
      <c r="H68" s="70">
        <f>COUNTIFS('Error Log'!$A:$A,$A68,'Error Log'!$F:$F,"Source")</f>
        <v>0</v>
      </c>
      <c r="I68" s="70">
        <f>COUNTIFS('Error Log'!$A:$A,$A68,'Error Log'!$F:$F,"Target")</f>
        <v>0</v>
      </c>
      <c r="J68" s="71">
        <f t="shared" si="1"/>
        <v>75.409836065573771</v>
      </c>
    </row>
    <row r="69" spans="1:10">
      <c r="A69" s="78" t="s">
        <v>552</v>
      </c>
      <c r="B69" s="70" t="str">
        <f>IF(ISBLANK(A69),"",INDEX('Error Log'!$A:$J,MATCH('Scores per segment'!$A69,'Error Log'!$A:$A,0),MATCH('Scores per segment'!B$1,'Error Log'!$A$1:$J$1,0)))</f>
        <v>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67 vertebrae</v>
      </c>
      <c r="C69" s="70" t="str">
        <f>IF(ISBLANK(A69),"",INDEX('Error Log'!$A:$J,MATCH('Scores per segment'!$A69,'Error Log'!$A:$A,0),MATCH('Scores per segment'!C$1,'Error Log'!$A$1:$J$1,0)))</f>
        <v>the omura 's whale was discovered on a remote exmouth beach in wa
it is the first sighting of the species in wa and only the second in australia
authorities struggled to identify the 5.68 m juvenile female
the find was ` highly significant ' for scientists because very little was known about the species</v>
      </c>
      <c r="D69" s="70">
        <f>IF(H69=0,wdct(TRIM(C69)),0)</f>
        <v>53</v>
      </c>
      <c r="E69" s="70">
        <f>COUNTIFS('Error Log'!$A:$A,$A69,'Error Log'!$J:$J,E$1)</f>
        <v>2</v>
      </c>
      <c r="F69" s="70">
        <f>COUNTIFS('Error Log'!$A:$A,$A69,'Error Log'!$J:$J,F$1)</f>
        <v>1</v>
      </c>
      <c r="G69" s="70">
        <f>COUNTIFS('Error Log'!$A:$A,$A69,'Error Log'!$J:$J,G$1)</f>
        <v>0</v>
      </c>
      <c r="H69" s="70">
        <f>COUNTIFS('Error Log'!$A:$A,$A69,'Error Log'!$F:$F,"Source")</f>
        <v>0</v>
      </c>
      <c r="I69" s="70">
        <f>COUNTIFS('Error Log'!$A:$A,$A69,'Error Log'!$F:$F,"Target")</f>
        <v>0</v>
      </c>
      <c r="J69" s="71">
        <f t="shared" si="1"/>
        <v>76.415094339622641</v>
      </c>
    </row>
    <row r="70" spans="1:10">
      <c r="A70" s="78" t="s">
        <v>559</v>
      </c>
      <c r="B70" s="70" t="str">
        <f>IF(ISBLANK(A70),"",INDEX('Error Log'!$A:$J,MATCH('Scores per segment'!$A70,'Error Log'!$A:$A,0),MATCH('Scores per segment'!B$1,'Error Log'!$A$1:$J$1,0)))</f>
        <v>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31 ) : on for abraham and showed explosive pace straight away but was let down by a hurried attempt at a finish which flew over the bar .
isaiah brown holds off a tackle from fikayo tomori , during another impressive display for the young forward</v>
      </c>
      <c r="C70" s="70" t="str">
        <f>IF(ISBLANK(A70),"",INDEX('Error Log'!$A:$J,MATCH('Scores per segment'!$A70,'Error Log'!$A:$A,0),MATCH('Scores per segment'!C$1,'Error Log'!$A$1:$J$1,0)))</f>
        <v>dominic solanke scored late on to put a gloss on the scoreline
sportsmail was at the academy stadium to see how the youngsters got on
manchester city midfielder kean bryan tracks the run of dominic solanke
kean bryan scored twice in the first leg of the semi final</v>
      </c>
      <c r="D70" s="70">
        <f>IF(H70=0,wdct(TRIM(C70)),0)</f>
        <v>48</v>
      </c>
      <c r="E70" s="70">
        <f>COUNTIFS('Error Log'!$A:$A,$A70,'Error Log'!$J:$J,E$1)</f>
        <v>2</v>
      </c>
      <c r="F70" s="70">
        <f>COUNTIFS('Error Log'!$A:$A,$A70,'Error Log'!$J:$J,F$1)</f>
        <v>3</v>
      </c>
      <c r="G70" s="70">
        <f>COUNTIFS('Error Log'!$A:$A,$A70,'Error Log'!$J:$J,G$1)</f>
        <v>0</v>
      </c>
      <c r="H70" s="70">
        <f>COUNTIFS('Error Log'!$A:$A,$A70,'Error Log'!$F:$F,"Source")</f>
        <v>0</v>
      </c>
      <c r="I70" s="70">
        <f>COUNTIFS('Error Log'!$A:$A,$A70,'Error Log'!$F:$F,"Target")</f>
        <v>0</v>
      </c>
      <c r="J70" s="71">
        <f t="shared" si="1"/>
        <v>63.541666666666671</v>
      </c>
    </row>
    <row r="71" spans="1:10">
      <c r="A71" s="78" t="s">
        <v>572</v>
      </c>
      <c r="B71" s="70" t="str">
        <f>IF(ISBLANK(A71),"",INDEX('Error Log'!$A:$J,MATCH('Scores per segment'!$A71,'Error Log'!$A:$A,0),MATCH('Scores per segment'!B$1,'Error Log'!$A$1:$J$1,0)))</f>
        <v>(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2019 .
correction : an earlier version of this article incorrectly stated that canadians elected their first female prime minister , kim campbell .</v>
      </c>
      <c r="C71" s="70" t="str">
        <f>IF(ISBLANK(A71),"",INDEX('Error Log'!$A:$J,MATCH('Scores per segment'!$A71,'Error Log'!$A:$A,0),MATCH('Scores per segment'!C$1,'Error Log'!$A$1:$J$1,0)))</f>
        <v>donna brazile : hillary clinton should n't be president because her hormones might make her so irrational she 'll start an unnecessary war
brazile : women leaders take fewer unnecessary risks than their male counterparts
she says we need a serious discussion about ending gender bias in the workplace</v>
      </c>
      <c r="D71" s="70">
        <f>IF(H71=0,wdct(TRIM(C71)),0)</f>
        <v>47</v>
      </c>
      <c r="E71" s="70">
        <f>COUNTIFS('Error Log'!$A:$A,$A71,'Error Log'!$J:$J,E$1)</f>
        <v>1</v>
      </c>
      <c r="F71" s="70">
        <f>COUNTIFS('Error Log'!$A:$A,$A71,'Error Log'!$J:$J,F$1)</f>
        <v>4</v>
      </c>
      <c r="G71" s="70">
        <f>COUNTIFS('Error Log'!$A:$A,$A71,'Error Log'!$J:$J,G$1)</f>
        <v>0</v>
      </c>
      <c r="H71" s="70">
        <f>COUNTIFS('Error Log'!$A:$A,$A71,'Error Log'!$F:$F,"Source")</f>
        <v>0</v>
      </c>
      <c r="I71" s="70">
        <f>COUNTIFS('Error Log'!$A:$A,$A71,'Error Log'!$F:$F,"Target")</f>
        <v>0</v>
      </c>
      <c r="J71" s="71">
        <f t="shared" si="1"/>
        <v>68.085106382978722</v>
      </c>
    </row>
    <row r="72" spans="1:10">
      <c r="A72" s="78" t="s">
        <v>585</v>
      </c>
      <c r="B72" s="70" t="str">
        <f>IF(ISBLANK(A72),"",INDEX('Error Log'!$A:$J,MATCH('Scores per segment'!$A72,'Error Log'!$A:$A,0),MATCH('Scores per segment'!B$1,'Error Log'!$A$1:$J$1,0)))</f>
        <v>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$ 45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v>
      </c>
      <c r="C72" s="70" t="str">
        <f>IF(ISBLANK(A72),"",INDEX('Error Log'!$A:$J,MATCH('Scores per segment'!$A72,'Error Log'!$A:$A,0),MATCH('Scores per segment'!C$1,'Error Log'!$A$1:$J$1,0)))</f>
        <v>marco rubio spoke to face the nation after admitting he would attend the same-sex wedding of a family member or staffer - even if he did n't agree with the decision
the florida senator told bob schieffer that he was n't against gay marriage , but believes the ` definition of the institution of marriage should be between one man and one woman '</v>
      </c>
      <c r="D72" s="70">
        <f>IF(H72=0,wdct(TRIM(C72)),0)</f>
        <v>60</v>
      </c>
      <c r="E72" s="70">
        <f>COUNTIFS('Error Log'!$A:$A,$A72,'Error Log'!$J:$J,E$1)</f>
        <v>2</v>
      </c>
      <c r="F72" s="70">
        <f>COUNTIFS('Error Log'!$A:$A,$A72,'Error Log'!$J:$J,F$1)</f>
        <v>1</v>
      </c>
      <c r="G72" s="70">
        <f>COUNTIFS('Error Log'!$A:$A,$A72,'Error Log'!$J:$J,G$1)</f>
        <v>0</v>
      </c>
      <c r="H72" s="70">
        <f>COUNTIFS('Error Log'!$A:$A,$A72,'Error Log'!$F:$F,"Source")</f>
        <v>0</v>
      </c>
      <c r="I72" s="70">
        <f>COUNTIFS('Error Log'!$A:$A,$A72,'Error Log'!$F:$F,"Target")</f>
        <v>0</v>
      </c>
      <c r="J72" s="71">
        <f t="shared" si="1"/>
        <v>79.166666666666657</v>
      </c>
    </row>
    <row r="73" spans="1:10">
      <c r="A73" s="79" t="s">
        <v>594</v>
      </c>
      <c r="B73" s="70" t="str">
        <f>IF(ISBLANK(A73),"",INDEX('Error Log'!$A:$J,MATCH('Scores per segment'!$A73,'Error Log'!$A:$A,0),MATCH('Scores per segment'!B$1,'Error Log'!$A$1:$J$1,0)))</f>
        <v>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v>
      </c>
      <c r="C73" s="70" t="str">
        <f>IF(ISBLANK(A73),"",INDEX('Error Log'!$A:$J,MATCH('Scores per segment'!$A73,'Error Log'!$A:$A,0),MATCH('Scores per segment'!C$1,'Error Log'!$A$1:$J$1,0)))</f>
        <v>the actor is auctioning off more than 200 items he has collected over his career
mr hardy , 89 , is a keen military historian who studied english with j.r. tolkien
he is also selling paintings , furniture , swords , flintlock rifles , silverware and a fine collection of crystal chandeliers</v>
      </c>
      <c r="D73" s="70">
        <f>IF(H73=0,wdct(TRIM(C73)),0)</f>
        <v>47</v>
      </c>
      <c r="E73" s="70">
        <f>COUNTIFS('Error Log'!$A:$A,$A73,'Error Log'!$J:$J,E$1)</f>
        <v>1</v>
      </c>
      <c r="F73" s="70">
        <f>COUNTIFS('Error Log'!$A:$A,$A73,'Error Log'!$J:$J,F$1)</f>
        <v>1</v>
      </c>
      <c r="G73" s="70">
        <f>COUNTIFS('Error Log'!$A:$A,$A73,'Error Log'!$J:$J,G$1)</f>
        <v>0</v>
      </c>
      <c r="H73" s="70">
        <f>COUNTIFS('Error Log'!$A:$A,$A73,'Error Log'!$F:$F,"Source")</f>
        <v>0</v>
      </c>
      <c r="I73" s="70">
        <f>COUNTIFS('Error Log'!$A:$A,$A73,'Error Log'!$F:$F,"Target")</f>
        <v>0</v>
      </c>
      <c r="J73" s="71">
        <f t="shared" si="1"/>
        <v>84.042553191489361</v>
      </c>
    </row>
    <row r="74" spans="1:10">
      <c r="A74" s="79" t="s">
        <v>599</v>
      </c>
      <c r="B74" s="70" t="str">
        <f>IF(ISBLANK(A74),"",INDEX('Error Log'!$A:$J,MATCH('Scores per segment'!$A74,'Error Log'!$A:$A,0),MATCH('Scores per segment'!B$1,'Error Log'!$A$1:$J$1,0)))</f>
        <v>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222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v>
      </c>
      <c r="C74" s="70" t="str">
        <f>IF(ISBLANK(A74),"",INDEX('Error Log'!$A:$J,MATCH('Scores per segment'!$A74,'Error Log'!$A:$A,0),MATCH('Scores per segment'!C$1,'Error Log'!$A$1:$J$1,0)))</f>
        <v>spanish pablo , 27 , and latvian ilze zebolde , 31 , are off to a flying start as they approach their first year of their open-ended odyssey on the road
in 356 days they 've covered almost 7,000 miles ( 11,131.92 km by their measurements ) and been through 16 countries
ilze points at the winding road that she and pablo had climb in spain 's sierra nevada with their 130kg of gear
in that time they have been astonishingly living on less than three euros each day , or by their meticulous calculations 10 euro cents per kilometre</v>
      </c>
      <c r="D74" s="70">
        <f>IF(H74=0,wdct(TRIM(C74)),0)</f>
        <v>93</v>
      </c>
      <c r="E74" s="70">
        <f>COUNTIFS('Error Log'!$A:$A,$A74,'Error Log'!$J:$J,E$1)</f>
        <v>0</v>
      </c>
      <c r="F74" s="70">
        <f>COUNTIFS('Error Log'!$A:$A,$A74,'Error Log'!$J:$J,F$1)</f>
        <v>1</v>
      </c>
      <c r="G74" s="70">
        <f>COUNTIFS('Error Log'!$A:$A,$A74,'Error Log'!$J:$J,G$1)</f>
        <v>0</v>
      </c>
      <c r="H74" s="70">
        <f>COUNTIFS('Error Log'!$A:$A,$A74,'Error Log'!$F:$F,"Source")</f>
        <v>0</v>
      </c>
      <c r="I74" s="70">
        <f>COUNTIFS('Error Log'!$A:$A,$A74,'Error Log'!$F:$F,"Target")</f>
        <v>0</v>
      </c>
      <c r="J74" s="71">
        <f t="shared" si="1"/>
        <v>97.311827956989248</v>
      </c>
    </row>
    <row r="75" spans="1:10">
      <c r="A75" s="79" t="s">
        <v>603</v>
      </c>
      <c r="B75" s="70" t="str">
        <f>IF(ISBLANK(A75),"",INDEX('Error Log'!$A:$J,MATCH('Scores per segment'!$A75,'Error Log'!$A:$A,0),MATCH('Scores per segment'!B$1,'Error Log'!$A$1:$J$1,0)))</f>
        <v>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v>
      </c>
      <c r="C75" s="70" t="str">
        <f>IF(ISBLANK(A75),"",INDEX('Error Log'!$A:$J,MATCH('Scores per segment'!$A75,'Error Log'!$A:$A,0),MATCH('Scores per segment'!C$1,'Error Log'!$A$1:$J$1,0)))</f>
        <v>police say michael scott shemansky came to their attention after he failed to appear for a supervised visit with his son on the same day mother sandra shemansky , 57 , was found dead at the home they shared in winter garden
shemansky is already on parole for battery on law enforcement , and was involuntarily committed to a psychiatric ward for an attempted suicide
his estranged wife filed a domestic violence injunction against him two years ago , according to her attorney</v>
      </c>
      <c r="D75" s="70">
        <f>IF(H75=0,wdct(TRIM(C75)),0)</f>
        <v>79</v>
      </c>
      <c r="E75" s="70">
        <f>COUNTIFS('Error Log'!$A:$A,$A75,'Error Log'!$J:$J,E$1)</f>
        <v>0</v>
      </c>
      <c r="F75" s="70">
        <f>COUNTIFS('Error Log'!$A:$A,$A75,'Error Log'!$J:$J,F$1)</f>
        <v>1</v>
      </c>
      <c r="G75" s="70">
        <f>COUNTIFS('Error Log'!$A:$A,$A75,'Error Log'!$J:$J,G$1)</f>
        <v>0</v>
      </c>
      <c r="H75" s="70">
        <f>COUNTIFS('Error Log'!$A:$A,$A75,'Error Log'!$F:$F,"Source")</f>
        <v>0</v>
      </c>
      <c r="I75" s="70">
        <f>COUNTIFS('Error Log'!$A:$A,$A75,'Error Log'!$F:$F,"Target")</f>
        <v>0</v>
      </c>
      <c r="J75" s="71">
        <f t="shared" si="1"/>
        <v>96.835443037974684</v>
      </c>
    </row>
    <row r="76" spans="1:10">
      <c r="A76" s="79" t="s">
        <v>607</v>
      </c>
      <c r="B76" s="70" t="str">
        <f>IF(ISBLANK(A76),"",INDEX('Error Log'!$A:$J,MATCH('Scores per segment'!$A76,'Error Log'!$A:$A,0),MATCH('Scores per segment'!B$1,'Error Log'!$A$1:$J$1,0)))</f>
        <v>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v>
      </c>
      <c r="C76" s="70" t="str">
        <f>IF(ISBLANK(A76),"",INDEX('Error Log'!$A:$J,MATCH('Scores per segment'!$A76,'Error Log'!$A:$A,0),MATCH('Scores per segment'!C$1,'Error Log'!$A$1:$J$1,0)))</f>
        <v>the couple , who does not wish to be identified , hired attorney cathy hale to sue james evans , the owner of premiere photos for allegedly providing a photo booth that printed , ` poor n ***** party ' on the bottom of the pictures
the couple was n't alerted of the photos until many months after the bride 's sister told the family about the racist incident at the photo booth the couple rented for the party
evans has denied all allegations and claimed that at a party of 100 people , there is no evidence linking the company to the offensive caption</v>
      </c>
      <c r="D76" s="70">
        <f>IF(H76=0,wdct(TRIM(C76)),0)</f>
        <v>97</v>
      </c>
      <c r="E76" s="70">
        <f>COUNTIFS('Error Log'!$A:$A,$A76,'Error Log'!$J:$J,E$1)</f>
        <v>0</v>
      </c>
      <c r="F76" s="70">
        <f>COUNTIFS('Error Log'!$A:$A,$A76,'Error Log'!$J:$J,F$1)</f>
        <v>0</v>
      </c>
      <c r="G76" s="70">
        <f>COUNTIFS('Error Log'!$A:$A,$A76,'Error Log'!$J:$J,G$1)</f>
        <v>0</v>
      </c>
      <c r="H76" s="70">
        <f>COUNTIFS('Error Log'!$A:$A,$A76,'Error Log'!$F:$F,"Source")</f>
        <v>0</v>
      </c>
      <c r="I76" s="70">
        <f>COUNTIFS('Error Log'!$A:$A,$A76,'Error Log'!$F:$F,"Target")</f>
        <v>0</v>
      </c>
      <c r="J76" s="71">
        <f t="shared" si="1"/>
        <v>100</v>
      </c>
    </row>
    <row r="77" spans="1:10">
      <c r="A77" s="79" t="s">
        <v>610</v>
      </c>
      <c r="B77" s="70" t="str">
        <f>IF(ISBLANK(A77),"",INDEX('Error Log'!$A:$J,MATCH('Scores per segment'!$A77,'Error Log'!$A:$A,0),MATCH('Scores per segment'!B$1,'Error Log'!$A$1:$J$1,0)))</f>
        <v>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2019 iaaf world athletics championships in moscow</v>
      </c>
      <c r="C77" s="70" t="str">
        <f>IF(ISBLANK(A77),"",INDEX('Error Log'!$A:$J,MATCH('Scores per segment'!$A77,'Error Log'!$A:$A,0),MATCH('Scores per segment'!C$1,'Error Log'!$A$1:$J$1,0)))</f>
        <v>eugene in the united states has been awarded the rights to host the 2021 iaaf world championships
the decision was taken by the international association of athletics federations council , who decided to bypass the usual bidding process because of what it saw as a ` unique strategic opportunity '
the 2007 world championships held in osaka , japan was also awarded without a bidding process</v>
      </c>
      <c r="D77" s="70">
        <f>IF(H77=0,wdct(TRIM(C77)),0)</f>
        <v>62</v>
      </c>
      <c r="E77" s="70">
        <f>COUNTIFS('Error Log'!$A:$A,$A77,'Error Log'!$J:$J,E$1)</f>
        <v>1</v>
      </c>
      <c r="F77" s="70">
        <f>COUNTIFS('Error Log'!$A:$A,$A77,'Error Log'!$J:$J,F$1)</f>
        <v>1</v>
      </c>
      <c r="G77" s="70">
        <f>COUNTIFS('Error Log'!$A:$A,$A77,'Error Log'!$J:$J,G$1)</f>
        <v>0</v>
      </c>
      <c r="H77" s="70">
        <f>COUNTIFS('Error Log'!$A:$A,$A77,'Error Log'!$F:$F,"Source")</f>
        <v>0</v>
      </c>
      <c r="I77" s="70">
        <f>COUNTIFS('Error Log'!$A:$A,$A77,'Error Log'!$F:$F,"Target")</f>
        <v>0</v>
      </c>
      <c r="J77" s="71">
        <f t="shared" si="1"/>
        <v>87.903225806451616</v>
      </c>
    </row>
    <row r="78" spans="1:10">
      <c r="A78" s="79" t="s">
        <v>615</v>
      </c>
      <c r="B78" s="70" t="str">
        <f>IF(ISBLANK(A78),"",INDEX('Error Log'!$A:$J,MATCH('Scores per segment'!$A78,'Error Log'!$A:$A,0),MATCH('Scores per segment'!B$1,'Error Log'!$A$1:$J$1,0)))</f>
        <v>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2025 campaign that champions people at the heart and soul of the game by putting grassroots clubs on the global stage .</v>
      </c>
      <c r="C78" s="70" t="str">
        <f>IF(ISBLANK(A78),"",INDEX('Error Log'!$A:$J,MATCH('Scores per segment'!$A78,'Error Log'!$A:$A,0),MATCH('Scores per segment'!C$1,'Error Log'!$A$1:$J$1,0)))</f>
        <v>mike brown is unsure when he will return to action for club side harlequins
northampton wing george north has been advised by leading medics not to play again this season after suffering four quick-fire concussions
brown is determined not to suffer an extended break so will not rush himself back to action ahead of time</v>
      </c>
      <c r="D78" s="70">
        <f>IF(H78=0,wdct(TRIM(C78)),0)</f>
        <v>55</v>
      </c>
      <c r="E78" s="70">
        <f>COUNTIFS('Error Log'!$A:$A,$A78,'Error Log'!$J:$J,E$1)</f>
        <v>2</v>
      </c>
      <c r="F78" s="70">
        <f>COUNTIFS('Error Log'!$A:$A,$A78,'Error Log'!$J:$J,F$1)</f>
        <v>2</v>
      </c>
      <c r="G78" s="70">
        <f>COUNTIFS('Error Log'!$A:$A,$A78,'Error Log'!$J:$J,G$1)</f>
        <v>0</v>
      </c>
      <c r="H78" s="70">
        <f>COUNTIFS('Error Log'!$A:$A,$A78,'Error Log'!$F:$F,"Source")</f>
        <v>0</v>
      </c>
      <c r="I78" s="70">
        <f>COUNTIFS('Error Log'!$A:$A,$A78,'Error Log'!$F:$F,"Target")</f>
        <v>0</v>
      </c>
      <c r="J78" s="71">
        <f t="shared" si="1"/>
        <v>72.727272727272734</v>
      </c>
    </row>
    <row r="79" spans="1:10">
      <c r="A79" s="79" t="s">
        <v>626</v>
      </c>
      <c r="B79" s="70" t="str">
        <f>IF(ISBLANK(A79),"",INDEX('Error Log'!$A:$J,MATCH('Scores per segment'!$A79,'Error Log'!$A:$A,0),MATCH('Scores per segment'!B$1,'Error Log'!$A$1:$J$1,0)))</f>
        <v>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£ 66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v>
      </c>
      <c r="C79" s="70" t="str">
        <f>IF(ISBLANK(A79),"",INDEX('Error Log'!$A:$J,MATCH('Scores per segment'!$A79,'Error Log'!$A:$A,0),MATCH('Scores per segment'!C$1,'Error Log'!$A$1:$J$1,0)))</f>
        <v>leonie granger , 25 , targeted mehmet hassan , 56 , after spotting him flashing a roll of # 50 notes at a casino in london 's west end
care assistant , from kent , used her good looks to befriend the poker player , who showered her with gifts , cash and trips to fancy restaurants
granger was found guilty of manslaughter by a majority - but not guilty of murder
co-defendants kyrron jackson , 28 , and nicholas chandler , 29 , were jailed for life with a minimum term of 36 years</v>
      </c>
      <c r="D79" s="70">
        <f>IF(H79=0,wdct(TRIM(C79)),0)</f>
        <v>81</v>
      </c>
      <c r="E79" s="70">
        <f>COUNTIFS('Error Log'!$A:$A,$A79,'Error Log'!$J:$J,E$1)</f>
        <v>2</v>
      </c>
      <c r="F79" s="70">
        <f>COUNTIFS('Error Log'!$A:$A,$A79,'Error Log'!$J:$J,F$1)</f>
        <v>3</v>
      </c>
      <c r="G79" s="70">
        <f>COUNTIFS('Error Log'!$A:$A,$A79,'Error Log'!$J:$J,G$1)</f>
        <v>0</v>
      </c>
      <c r="H79" s="70">
        <f>COUNTIFS('Error Log'!$A:$A,$A79,'Error Log'!$F:$F,"Source")</f>
        <v>0</v>
      </c>
      <c r="I79" s="70">
        <f>COUNTIFS('Error Log'!$A:$A,$A79,'Error Log'!$F:$F,"Target")</f>
        <v>0</v>
      </c>
      <c r="J79" s="71">
        <f t="shared" si="1"/>
        <v>78.395061728395063</v>
      </c>
    </row>
    <row r="80" spans="1:10">
      <c r="A80" s="79" t="s">
        <v>643</v>
      </c>
      <c r="B80" s="70" t="str">
        <f>IF(ISBLANK(A80),"",INDEX('Error Log'!$A:$J,MATCH('Scores per segment'!$A80,'Error Log'!$A:$A,0),MATCH('Scores per segment'!B$1,'Error Log'!$A$1:$J$1,0)))</f>
        <v>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10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v>
      </c>
      <c r="C80" s="70" t="str">
        <f>IF(ISBLANK(A80),"",INDEX('Error Log'!$A:$J,MATCH('Scores per segment'!$A80,'Error Log'!$A:$A,0),MATCH('Scores per segment'!C$1,'Error Log'!$A$1:$J$1,0)))</f>
        <v>research has revealed that the frequency with which britons are having sex has been in decline since the emergence of the internet
it comes after professor david spiegelhalter , a statistician at cambridge university , revealed in a new book how a typical heterosexual couple was now having sex three times a month</v>
      </c>
      <c r="D80" s="70">
        <f>IF(H80=0,wdct(TRIM(C80)),0)</f>
        <v>51</v>
      </c>
      <c r="E80" s="70">
        <f>COUNTIFS('Error Log'!$A:$A,$A80,'Error Log'!$J:$J,E$1)</f>
        <v>1</v>
      </c>
      <c r="F80" s="70">
        <f>COUNTIFS('Error Log'!$A:$A,$A80,'Error Log'!$J:$J,F$1)</f>
        <v>0</v>
      </c>
      <c r="G80" s="70">
        <f>COUNTIFS('Error Log'!$A:$A,$A80,'Error Log'!$J:$J,G$1)</f>
        <v>0</v>
      </c>
      <c r="H80" s="70">
        <f>COUNTIFS('Error Log'!$A:$A,$A80,'Error Log'!$F:$F,"Source")</f>
        <v>0</v>
      </c>
      <c r="I80" s="70">
        <f>COUNTIFS('Error Log'!$A:$A,$A80,'Error Log'!$F:$F,"Target")</f>
        <v>0</v>
      </c>
      <c r="J80" s="71">
        <f t="shared" si="1"/>
        <v>90.196078431372541</v>
      </c>
    </row>
    <row r="81" spans="1:10">
      <c r="A81" s="79" t="s">
        <v>647</v>
      </c>
      <c r="B81" s="70" t="str">
        <f>IF(ISBLANK(A81),"",INDEX('Error Log'!$A:$J,MATCH('Scores per segment'!$A81,'Error Log'!$A:$A,0),MATCH('Scores per segment'!B$1,'Error Log'!$A$1:$J$1,0)))</f>
        <v>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3-17 win over hull city , but that was his first in five games
mourinho is looking to guide his team over the line in the premier league title race , with fabregas a key cog</v>
      </c>
      <c r="C81" s="70" t="str">
        <f>IF(ISBLANK(A81),"",INDEX('Error Log'!$A:$J,MATCH('Scores per segment'!$A81,'Error Log'!$A:$A,0),MATCH('Scores per segment'!C$1,'Error Log'!$A$1:$J$1,0)))</f>
        <v>cesc fabregas was one of the worst players on the pitch in spain 's 2-0 defeat by holland on tuesday
the spanish midfielder struggled to make an impact in midfield
chelsea boss jose mourinho will be concerned to see his player toiling in midfield for the full 90 minutes at the amsterdam arena</v>
      </c>
      <c r="D81" s="70">
        <f>IF(H81=0,wdct(TRIM(C81)),0)</f>
        <v>53</v>
      </c>
      <c r="E81" s="70">
        <f>COUNTIFS('Error Log'!$A:$A,$A81,'Error Log'!$J:$J,E$1)</f>
        <v>2</v>
      </c>
      <c r="F81" s="70">
        <f>COUNTIFS('Error Log'!$A:$A,$A81,'Error Log'!$J:$J,F$1)</f>
        <v>2</v>
      </c>
      <c r="G81" s="70">
        <f>COUNTIFS('Error Log'!$A:$A,$A81,'Error Log'!$J:$J,G$1)</f>
        <v>0</v>
      </c>
      <c r="H81" s="70">
        <f>COUNTIFS('Error Log'!$A:$A,$A81,'Error Log'!$F:$F,"Source")</f>
        <v>0</v>
      </c>
      <c r="I81" s="70">
        <f>COUNTIFS('Error Log'!$A:$A,$A81,'Error Log'!$F:$F,"Target")</f>
        <v>0</v>
      </c>
      <c r="J81" s="71">
        <f t="shared" si="1"/>
        <v>71.698113207547166</v>
      </c>
    </row>
    <row r="82" spans="1:10">
      <c r="A82" s="79" t="s">
        <v>655</v>
      </c>
      <c r="B82" s="70" t="str">
        <f>IF(ISBLANK(A82),"",INDEX('Error Log'!$A:$J,MATCH('Scores per segment'!$A82,'Error Log'!$A:$A,0),MATCH('Scores per segment'!B$1,'Error Log'!$A$1:$J$1,0)))</f>
        <v>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£ 600,011 .
the dogs are seen with a model</v>
      </c>
      <c r="C82" s="70" t="str">
        <f>IF(ISBLANK(A82),"",INDEX('Error Log'!$A:$J,MATCH('Scores per segment'!$A82,'Error Log'!$A:$A,0),MATCH('Scores per segment'!C$1,'Error Log'!$A$1:$J$1,0)))</f>
        <v>tibetan mastiffs are now so unpopular in china they are being sent to slaughterhouses - and their meat put into cheap hotpots
dramatic decline in fortune is partly blamed on the chinese government 's anti-corruption crackdown
wealthy businessmen would give the prized mastiffs to officials in the hope of influencing their decisions</v>
      </c>
      <c r="D82" s="70">
        <f>IF(H82=0,wdct(TRIM(C82)),0)</f>
        <v>51</v>
      </c>
      <c r="E82" s="70">
        <f>COUNTIFS('Error Log'!$A:$A,$A82,'Error Log'!$J:$J,E$1)</f>
        <v>1</v>
      </c>
      <c r="F82" s="70">
        <f>COUNTIFS('Error Log'!$A:$A,$A82,'Error Log'!$J:$J,F$1)</f>
        <v>0</v>
      </c>
      <c r="G82" s="70">
        <f>COUNTIFS('Error Log'!$A:$A,$A82,'Error Log'!$J:$J,G$1)</f>
        <v>0</v>
      </c>
      <c r="H82" s="70">
        <f>COUNTIFS('Error Log'!$A:$A,$A82,'Error Log'!$F:$F,"Source")</f>
        <v>0</v>
      </c>
      <c r="I82" s="70">
        <f>COUNTIFS('Error Log'!$A:$A,$A82,'Error Log'!$F:$F,"Target")</f>
        <v>0</v>
      </c>
      <c r="J82" s="71">
        <f t="shared" si="1"/>
        <v>90.196078431372541</v>
      </c>
    </row>
    <row r="83" spans="1:10">
      <c r="A83" s="79" t="s">
        <v>659</v>
      </c>
      <c r="B83" s="70" t="str">
        <f>IF(ISBLANK(A83),"",INDEX('Error Log'!$A:$J,MATCH('Scores per segment'!$A83,'Error Log'!$A:$A,0),MATCH('Scores per segment'!B$1,'Error Log'!$A$1:$J$1,0)))</f>
        <v>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2016-24 season .</v>
      </c>
      <c r="C83" s="70" t="str">
        <f>IF(ISBLANK(A83),"",INDEX('Error Log'!$A:$J,MATCH('Scores per segment'!$A83,'Error Log'!$A:$A,0),MATCH('Scores per segment'!C$1,'Error Log'!$A$1:$J$1,0)))</f>
        <v>west ham are closing in on the signing of 17-year-old deshane beckford
beckford impressed on trial at west ham 's academy earlier this month
west ham have revealed season tickets at the olympic stadium will cost as little as # 289</v>
      </c>
      <c r="D83" s="70">
        <f>IF(H83=0,wdct(TRIM(C83)),0)</f>
        <v>40</v>
      </c>
      <c r="E83" s="70">
        <f>COUNTIFS('Error Log'!$A:$A,$A83,'Error Log'!$J:$J,E$1)</f>
        <v>1</v>
      </c>
      <c r="F83" s="70">
        <f>COUNTIFS('Error Log'!$A:$A,$A83,'Error Log'!$J:$J,F$1)</f>
        <v>1</v>
      </c>
      <c r="G83" s="70">
        <f>COUNTIFS('Error Log'!$A:$A,$A83,'Error Log'!$J:$J,G$1)</f>
        <v>0</v>
      </c>
      <c r="H83" s="70">
        <f>COUNTIFS('Error Log'!$A:$A,$A83,'Error Log'!$F:$F,"Source")</f>
        <v>0</v>
      </c>
      <c r="I83" s="70">
        <f>COUNTIFS('Error Log'!$A:$A,$A83,'Error Log'!$F:$F,"Target")</f>
        <v>0</v>
      </c>
      <c r="J83" s="71">
        <f t="shared" si="1"/>
        <v>81.25</v>
      </c>
    </row>
    <row r="84" spans="1:10">
      <c r="A84" s="79" t="s">
        <v>664</v>
      </c>
      <c r="B84" s="70" t="str">
        <f>IF(ISBLANK(A84),"",INDEX('Error Log'!$A:$J,MATCH('Scores per segment'!$A84,'Error Log'!$A:$A,0),MATCH('Scores per segment'!B$1,'Error Log'!$A$1:$J$1,0)))</f>
        <v>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€ 75,000 fine . "
she said women needed to be better " educated that what they 're going through is not normal " , and that the message must reach " aggressors and witnesses " .</v>
      </c>
      <c r="C84" s="70" t="str">
        <f>IF(ISBLANK(A84),"",INDEX('Error Log'!$A:$J,MATCH('Scores per segment'!$A84,'Error Log'!$A:$A,0),MATCH('Scores per segment'!C$1,'Error Log'!$A$1:$J$1,0)))</f>
        <v>poll of 600 women in paris found half of those surveyed said they had suffered harassment
six out of ten women were afraid of being attacked on public transport compared to three out of 10 men
french women 's rights ministry said the problem was to " exclude women from the public arena "</v>
      </c>
      <c r="D84" s="70">
        <f>IF(H84=0,wdct(TRIM(C84)),0)</f>
        <v>52</v>
      </c>
      <c r="E84" s="70">
        <f>COUNTIFS('Error Log'!$A:$A,$A84,'Error Log'!$J:$J,E$1)</f>
        <v>3</v>
      </c>
      <c r="F84" s="70">
        <f>COUNTIFS('Error Log'!$A:$A,$A84,'Error Log'!$J:$J,F$1)</f>
        <v>3</v>
      </c>
      <c r="G84" s="70">
        <f>COUNTIFS('Error Log'!$A:$A,$A84,'Error Log'!$J:$J,G$1)</f>
        <v>0</v>
      </c>
      <c r="H84" s="70">
        <f>COUNTIFS('Error Log'!$A:$A,$A84,'Error Log'!$F:$F,"Source")</f>
        <v>0</v>
      </c>
      <c r="I84" s="70">
        <f>COUNTIFS('Error Log'!$A:$A,$A84,'Error Log'!$F:$F,"Target")</f>
        <v>0</v>
      </c>
      <c r="J84" s="71">
        <f t="shared" si="1"/>
        <v>56.730769230769226</v>
      </c>
    </row>
    <row r="85" spans="1:10">
      <c r="A85" s="79" t="s">
        <v>683</v>
      </c>
      <c r="B85" s="70" t="str">
        <f>IF(ISBLANK(A85),"",INDEX('Error Log'!$A:$J,MATCH('Scores per segment'!$A85,'Error Log'!$A:$A,0),MATCH('Scores per segment'!B$1,'Error Log'!$A$1:$J$1,0)))</f>
        <v>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61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v>
      </c>
      <c r="C85" s="70" t="str">
        <f>IF(ISBLANK(A85),"",INDEX('Error Log'!$A:$J,MATCH('Scores per segment'!$A85,'Error Log'!$A:$A,0),MATCH('Scores per segment'!C$1,'Error Log'!$A$1:$J$1,0)))</f>
        <v>mike lane , 40 , was kicked in the head and suffered concussion and broken teeth
wiltshire police have dropped an investigation into the attack
mr lane , who is joint master of the tedworth hunt , was attacked in january
he said : ` unless further evidence comes forward , the attackers are not likely to be found . we find it pathetic '</v>
      </c>
      <c r="D85" s="70">
        <f>IF(H85=0,wdct(TRIM(C85)),0)</f>
        <v>56</v>
      </c>
      <c r="E85" s="70">
        <f>COUNTIFS('Error Log'!$A:$A,$A85,'Error Log'!$J:$J,E$1)</f>
        <v>3</v>
      </c>
      <c r="F85" s="70">
        <f>COUNTIFS('Error Log'!$A:$A,$A85,'Error Log'!$J:$J,F$1)</f>
        <v>3</v>
      </c>
      <c r="G85" s="70">
        <f>COUNTIFS('Error Log'!$A:$A,$A85,'Error Log'!$J:$J,G$1)</f>
        <v>0</v>
      </c>
      <c r="H85" s="70">
        <f>COUNTIFS('Error Log'!$A:$A,$A85,'Error Log'!$F:$F,"Source")</f>
        <v>0</v>
      </c>
      <c r="I85" s="70">
        <f>COUNTIFS('Error Log'!$A:$A,$A85,'Error Log'!$F:$F,"Target")</f>
        <v>0</v>
      </c>
      <c r="J85" s="71">
        <f t="shared" si="1"/>
        <v>59.821428571428569</v>
      </c>
    </row>
    <row r="86" spans="1:10">
      <c r="A86" s="79" t="s">
        <v>693</v>
      </c>
      <c r="B86" s="70" t="str">
        <f>IF(ISBLANK(A86),"",INDEX('Error Log'!$A:$J,MATCH('Scores per segment'!$A86,'Error Log'!$A:$A,0),MATCH('Scores per segment'!B$1,'Error Log'!$A$1:$J$1,0)))</f>
        <v>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40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v>
      </c>
      <c r="C86" s="70" t="str">
        <f>IF(ISBLANK(A86),"",INDEX('Error Log'!$A:$J,MATCH('Scores per segment'!$A86,'Error Log'!$A:$A,0),MATCH('Scores per segment'!C$1,'Error Log'!$A$1:$J$1,0)))</f>
        <v>leeds-based direct line is running a competition called #everydayfix
they asked groups to design products to deal with common problems
these include forgetting to lock the door , which one company hopes to solve with their forget me lock prototype</v>
      </c>
      <c r="D86" s="70">
        <f>IF(H86=0,wdct(TRIM(C86)),0)</f>
        <v>39</v>
      </c>
      <c r="E86" s="70">
        <f>COUNTIFS('Error Log'!$A:$A,$A86,'Error Log'!$J:$J,E$1)</f>
        <v>2</v>
      </c>
      <c r="F86" s="70">
        <f>COUNTIFS('Error Log'!$A:$A,$A86,'Error Log'!$J:$J,F$1)</f>
        <v>1</v>
      </c>
      <c r="G86" s="70">
        <f>COUNTIFS('Error Log'!$A:$A,$A86,'Error Log'!$J:$J,G$1)</f>
        <v>0</v>
      </c>
      <c r="H86" s="70">
        <f>COUNTIFS('Error Log'!$A:$A,$A86,'Error Log'!$F:$F,"Source")</f>
        <v>0</v>
      </c>
      <c r="I86" s="70">
        <f>COUNTIFS('Error Log'!$A:$A,$A86,'Error Log'!$F:$F,"Target")</f>
        <v>0</v>
      </c>
      <c r="J86" s="71">
        <f t="shared" si="1"/>
        <v>67.948717948717942</v>
      </c>
    </row>
    <row r="87" spans="1:10">
      <c r="A87" s="79" t="s">
        <v>700</v>
      </c>
      <c r="B87" s="70" t="str">
        <f>IF(ISBLANK(A87),"",INDEX('Error Log'!$A:$J,MATCH('Scores per segment'!$A87,'Error Log'!$A:$A,0),MATCH('Scores per segment'!B$1,'Error Log'!$A$1:$J$1,0)))</f>
        <v>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v>
      </c>
      <c r="C87" s="70" t="str">
        <f>IF(ISBLANK(A87),"",INDEX('Error Log'!$A:$J,MATCH('Scores per segment'!$A87,'Error Log'!$A:$A,0),MATCH('Scores per segment'!C$1,'Error Log'!$A$1:$J$1,0)))</f>
        <v>gary locke has been given the job at kilmarnock on a permanent basis
the 39-year-old took control of the team when his ex-tynecastle team-mate quit at the start of february
locke will speak at a press conference on friday morning</v>
      </c>
      <c r="D87" s="70">
        <f>IF(H87=0,wdct(TRIM(C87)),0)</f>
        <v>40</v>
      </c>
      <c r="E87" s="70">
        <f>COUNTIFS('Error Log'!$A:$A,$A87,'Error Log'!$J:$J,E$1)</f>
        <v>1</v>
      </c>
      <c r="F87" s="70">
        <f>COUNTIFS('Error Log'!$A:$A,$A87,'Error Log'!$J:$J,F$1)</f>
        <v>1</v>
      </c>
      <c r="G87" s="70">
        <f>COUNTIFS('Error Log'!$A:$A,$A87,'Error Log'!$J:$J,G$1)</f>
        <v>0</v>
      </c>
      <c r="H87" s="70">
        <f>COUNTIFS('Error Log'!$A:$A,$A87,'Error Log'!$F:$F,"Source")</f>
        <v>0</v>
      </c>
      <c r="I87" s="70">
        <f>COUNTIFS('Error Log'!$A:$A,$A87,'Error Log'!$F:$F,"Target")</f>
        <v>0</v>
      </c>
      <c r="J87" s="71">
        <f t="shared" si="1"/>
        <v>81.25</v>
      </c>
    </row>
    <row r="88" spans="1:10">
      <c r="A88" s="79" t="s">
        <v>705</v>
      </c>
      <c r="B88" s="70" t="str">
        <f>IF(ISBLANK(A88),"",INDEX('Error Log'!$A:$J,MATCH('Scores per segment'!$A88,'Error Log'!$A:$A,0),MATCH('Scores per segment'!B$1,'Error Log'!$A$1:$J$1,0)))</f>
        <v>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v>
      </c>
      <c r="C88" s="70" t="str">
        <f>IF(ISBLANK(A88),"",INDEX('Error Log'!$A:$J,MATCH('Scores per segment'!$A88,'Error Log'!$A:$A,0),MATCH('Scores per segment'!C$1,'Error Log'!$A$1:$J$1,0)))</f>
        <v>vera baird , the police and crime commissioner for northumbria , donated # 500,000 to victims first northumbria
the charity supports crime victims in her area and of which she is a director
sitting alongside her on the organisation 's top table is sue sim , northumbria 's chief constable
the pair now face a ministry of justice probe as critics accuse them of concocting ' a soap opera ' within the force</v>
      </c>
      <c r="D88" s="70">
        <f>IF(H88=0,wdct(TRIM(C88)),0)</f>
        <v>67</v>
      </c>
      <c r="E88" s="70">
        <f>COUNTIFS('Error Log'!$A:$A,$A88,'Error Log'!$J:$J,E$1)</f>
        <v>0</v>
      </c>
      <c r="F88" s="70">
        <f>COUNTIFS('Error Log'!$A:$A,$A88,'Error Log'!$J:$J,F$1)</f>
        <v>0</v>
      </c>
      <c r="G88" s="70">
        <f>COUNTIFS('Error Log'!$A:$A,$A88,'Error Log'!$J:$J,G$1)</f>
        <v>0</v>
      </c>
      <c r="H88" s="70">
        <f>COUNTIFS('Error Log'!$A:$A,$A88,'Error Log'!$F:$F,"Source")</f>
        <v>0</v>
      </c>
      <c r="I88" s="70">
        <f>COUNTIFS('Error Log'!$A:$A,$A88,'Error Log'!$F:$F,"Target")</f>
        <v>0</v>
      </c>
      <c r="J88" s="71">
        <f t="shared" si="1"/>
        <v>100</v>
      </c>
    </row>
    <row r="89" spans="1:10">
      <c r="A89" s="79" t="s">
        <v>708</v>
      </c>
      <c r="B89" s="70" t="str">
        <f>IF(ISBLANK(A89),"",INDEX('Error Log'!$A:$J,MATCH('Scores per segment'!$A89,'Error Log'!$A:$A,0),MATCH('Scores per segment'!B$1,'Error Log'!$A$1:$J$1,0)))</f>
        <v>(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2038 letter from gadahn making recommendations for al qaeda 's media strategy .
gadahn was married to a muslim woman from afghanistan and reportedly had at least one child .
cnn 's steve almasy contributed to this report .</v>
      </c>
      <c r="C89" s="70" t="str">
        <f>IF(ISBLANK(A89),"",INDEX('Error Log'!$A:$J,MATCH('Scores per segment'!$A89,'Error Log'!$A:$A,0),MATCH('Scores per segment'!C$1,'Error Log'!$A$1:$J$1,0)))</f>
        <v>the white house announced thursday that adam gadahn , 36 , was killed in a u.s. counterterrorism operation
neither he nor ahmed farouq -- another u.s. citizen and al qaeda operative -- was specifically targeted</v>
      </c>
      <c r="D89" s="70">
        <f>IF(H89=0,wdct(TRIM(C89)),0)</f>
        <v>33</v>
      </c>
      <c r="E89" s="70">
        <f>COUNTIFS('Error Log'!$A:$A,$A89,'Error Log'!$J:$J,E$1)</f>
        <v>3</v>
      </c>
      <c r="F89" s="70">
        <f>COUNTIFS('Error Log'!$A:$A,$A89,'Error Log'!$J:$J,F$1)</f>
        <v>2</v>
      </c>
      <c r="G89" s="70">
        <f>COUNTIFS('Error Log'!$A:$A,$A89,'Error Log'!$J:$J,G$1)</f>
        <v>0</v>
      </c>
      <c r="H89" s="70">
        <f>COUNTIFS('Error Log'!$A:$A,$A89,'Error Log'!$F:$F,"Source")</f>
        <v>0</v>
      </c>
      <c r="I89" s="70">
        <f>COUNTIFS('Error Log'!$A:$A,$A89,'Error Log'!$F:$F,"Target")</f>
        <v>0</v>
      </c>
      <c r="J89" s="71">
        <f t="shared" si="1"/>
        <v>39.393939393939391</v>
      </c>
    </row>
    <row r="90" spans="1:10">
      <c r="A90" s="89" t="s">
        <v>931</v>
      </c>
      <c r="B90" s="70" t="str">
        <f>IF(ISBLANK(A90),"",INDEX('Error Log'!$A:$J,MATCH('Scores per segment'!$A90,'Error Log'!$A:$A,0),MATCH('Scores per segment'!B$1,'Error Log'!$A$1:$J$1,0)))</f>
        <v>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v>
      </c>
      <c r="C90" s="70" t="str">
        <f>IF(ISBLANK(A90),"",INDEX('Error Log'!$A:$J,MATCH('Scores per segment'!$A90,'Error Log'!$A:$A,0),MATCH('Scores per segment'!C$1,'Error Log'!$A$1:$J$1,0)))</f>
        <v>liverpool face aston villa in the fa cup semi-final on sunday
liverpool captain steven gerrard is set to leave anfield in may
martin skrtel has praised the impact and example gerrard has made
but skrtel still considers gerrard one of the best players in the world</v>
      </c>
      <c r="D90" s="70">
        <f>IF(H90=0,wdct(TRIM(C90)),0)</f>
        <v>46</v>
      </c>
      <c r="E90" s="70">
        <f>COUNTIFS('Error Log'!$A:$A,$A90,'Error Log'!$J:$J,E$1)</f>
        <v>1</v>
      </c>
      <c r="F90" s="70">
        <f>COUNTIFS('Error Log'!$A:$A,$A90,'Error Log'!$J:$J,F$1)</f>
        <v>2</v>
      </c>
      <c r="G90" s="70">
        <f>COUNTIFS('Error Log'!$A:$A,$A90,'Error Log'!$J:$J,G$1)</f>
        <v>0</v>
      </c>
      <c r="H90" s="70">
        <f>COUNTIFS('Error Log'!$A:$A,$A90,'Error Log'!$F:$F,"Source")</f>
        <v>0</v>
      </c>
      <c r="I90" s="70">
        <f>COUNTIFS('Error Log'!$A:$A,$A90,'Error Log'!$F:$F,"Target")</f>
        <v>0</v>
      </c>
      <c r="J90" s="71">
        <f t="shared" si="1"/>
        <v>78.260869565217391</v>
      </c>
    </row>
    <row r="91" spans="1:10">
      <c r="A91" s="89" t="s">
        <v>932</v>
      </c>
      <c r="B91" s="70" t="str">
        <f>IF(ISBLANK(A91),"",INDEX('Error Log'!$A:$J,MATCH('Scores per segment'!$A91,'Error Log'!$A:$A,0),MATCH('Scores per segment'!B$1,'Error Log'!$A$1:$J$1,0)))</f>
        <v>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v>
      </c>
      <c r="C91" s="70" t="str">
        <f>IF(ISBLANK(A91),"",INDEX('Error Log'!$A:$J,MATCH('Scores per segment'!$A91,'Error Log'!$A:$A,0),MATCH('Scores per segment'!C$1,'Error Log'!$A$1:$J$1,0)))</f>
        <v>jessica kemp from eustis says teachers at seminole county elementary threatened to remove kindergartner logan from class because the oils smell and are a distraction to youngsters around him
the 32-year-old says she applies the liquid to his head and neck as it helps him keep calm and focused
lake county school district told the station they would not suspend logan , saying it was a ` health issue '</v>
      </c>
      <c r="D91" s="70">
        <f>IF(H91=0,wdct(TRIM(C91)),0)</f>
        <v>67</v>
      </c>
      <c r="E91" s="70">
        <f>COUNTIFS('Error Log'!$A:$A,$A91,'Error Log'!$J:$J,E$1)</f>
        <v>1</v>
      </c>
      <c r="F91" s="70">
        <f>COUNTIFS('Error Log'!$A:$A,$A91,'Error Log'!$J:$J,F$1)</f>
        <v>0</v>
      </c>
      <c r="G91" s="70">
        <f>COUNTIFS('Error Log'!$A:$A,$A91,'Error Log'!$J:$J,G$1)</f>
        <v>0</v>
      </c>
      <c r="H91" s="70">
        <f>COUNTIFS('Error Log'!$A:$A,$A91,'Error Log'!$F:$F,"Source")</f>
        <v>0</v>
      </c>
      <c r="I91" s="70">
        <f>COUNTIFS('Error Log'!$A:$A,$A91,'Error Log'!$F:$F,"Target")</f>
        <v>0</v>
      </c>
      <c r="J91" s="71">
        <f t="shared" si="1"/>
        <v>92.537313432835816</v>
      </c>
    </row>
    <row r="92" spans="1:10">
      <c r="A92" s="89" t="s">
        <v>933</v>
      </c>
      <c r="B92" s="70" t="str">
        <f>IF(ISBLANK(A92),"",INDEX('Error Log'!$A:$J,MATCH('Scores per segment'!$A92,'Error Log'!$A:$A,0),MATCH('Scores per segment'!B$1,'Error Log'!$A$1:$J$1,0)))</f>
        <v>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v>
      </c>
      <c r="C92" s="70" t="str">
        <f>IF(ISBLANK(A92),"",INDEX('Error Log'!$A:$J,MATCH('Scores per segment'!$A92,'Error Log'!$A:$A,0),MATCH('Scores per segment'!C$1,'Error Log'!$A$1:$J$1,0)))</f>
        <v>three-quarters of women never wash their own car with drivers more likely to take it to a car wash on a forecourt
survey of 1,100 adults by vehicle leasing firm osv found 31 % of men have never washed their own vehicle
only 12 % of those surveyed said that had ever asked their children to wash the car , as a way for them to earn extra pocket money</v>
      </c>
      <c r="D92" s="70">
        <f>IF(H92=0,wdct(TRIM(C92)),0)</f>
        <v>67</v>
      </c>
      <c r="E92" s="70">
        <f>COUNTIFS('Error Log'!$A:$A,$A92,'Error Log'!$J:$J,E$1)</f>
        <v>2</v>
      </c>
      <c r="F92" s="70">
        <f>COUNTIFS('Error Log'!$A:$A,$A92,'Error Log'!$J:$J,F$1)</f>
        <v>2</v>
      </c>
      <c r="G92" s="70">
        <f>COUNTIFS('Error Log'!$A:$A,$A92,'Error Log'!$J:$J,G$1)</f>
        <v>0</v>
      </c>
      <c r="H92" s="70">
        <f>COUNTIFS('Error Log'!$A:$A,$A92,'Error Log'!$F:$F,"Source")</f>
        <v>0</v>
      </c>
      <c r="I92" s="70">
        <f>COUNTIFS('Error Log'!$A:$A,$A92,'Error Log'!$F:$F,"Target")</f>
        <v>0</v>
      </c>
      <c r="J92" s="71">
        <f t="shared" si="1"/>
        <v>77.611940298507463</v>
      </c>
    </row>
    <row r="93" spans="1:10">
      <c r="A93" s="89" t="s">
        <v>934</v>
      </c>
      <c r="B93" s="70" t="str">
        <f>IF(ISBLANK(A93),"",INDEX('Error Log'!$A:$J,MATCH('Scores per segment'!$A93,'Error Log'!$A:$A,0),MATCH('Scores per segment'!B$1,'Error Log'!$A$1:$J$1,0)))</f>
        <v>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v>
      </c>
      <c r="C93" s="70" t="str">
        <f>IF(ISBLANK(A93),"",INDEX('Error Log'!$A:$J,MATCH('Scores per segment'!$A93,'Error Log'!$A:$A,0),MATCH('Scores per segment'!C$1,'Error Log'!$A$1:$J$1,0)))</f>
        <v>smoke poured over westhampton beach on wednesday afternoon as a fire spread through 90 condos before the building eventually collapsed
it is not known what started the blaze , which was so intense it melted the paint off nearby buildings
the sandpiper complex is used as a holiday home by residents between may and november</v>
      </c>
      <c r="D93" s="70">
        <f>IF(H93=0,wdct(TRIM(C93)),0)</f>
        <v>54</v>
      </c>
      <c r="E93" s="70">
        <f>COUNTIFS('Error Log'!$A:$A,$A93,'Error Log'!$J:$J,E$1)</f>
        <v>1</v>
      </c>
      <c r="F93" s="70">
        <f>COUNTIFS('Error Log'!$A:$A,$A93,'Error Log'!$J:$J,F$1)</f>
        <v>1</v>
      </c>
      <c r="G93" s="70">
        <f>COUNTIFS('Error Log'!$A:$A,$A93,'Error Log'!$J:$J,G$1)</f>
        <v>0</v>
      </c>
      <c r="H93" s="70">
        <f>COUNTIFS('Error Log'!$A:$A,$A93,'Error Log'!$F:$F,"Source")</f>
        <v>0</v>
      </c>
      <c r="I93" s="70">
        <f>COUNTIFS('Error Log'!$A:$A,$A93,'Error Log'!$F:$F,"Target")</f>
        <v>0</v>
      </c>
      <c r="J93" s="71">
        <f t="shared" si="1"/>
        <v>86.111111111111114</v>
      </c>
    </row>
    <row r="94" spans="1:10">
      <c r="A94" s="89" t="s">
        <v>935</v>
      </c>
      <c r="B94" s="70" t="str">
        <f>IF(ISBLANK(A94),"",INDEX('Error Log'!$A:$J,MATCH('Scores per segment'!$A94,'Error Log'!$A:$A,0),MATCH('Scores per segment'!B$1,'Error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v>
      </c>
      <c r="C94" s="70" t="str">
        <f>IF(ISBLANK(A94),"",INDEX('Error Log'!$A:$J,MATCH('Scores per segment'!$A94,'Error Log'!$A:$A,0),MATCH('Scores per segment'!C$1,'Error Log'!$A$1:$J$1,0)))</f>
        <v>alice barker was a dancer in the cotton club and the cafe zanzibar in the 1930s and 1940s
there were motion pictures made of barker , but she had never seen any of them
her photographs and memorabilia had all been lost over the years
" it 's just fabulous , " she said</v>
      </c>
      <c r="D94" s="70">
        <f>IF(H94=0,wdct(TRIM(C94)),0)</f>
        <v>50</v>
      </c>
      <c r="E94" s="70">
        <f>COUNTIFS('Error Log'!$A:$A,$A94,'Error Log'!$J:$J,E$1)</f>
        <v>1</v>
      </c>
      <c r="F94" s="70">
        <f>COUNTIFS('Error Log'!$A:$A,$A94,'Error Log'!$J:$J,F$1)</f>
        <v>2</v>
      </c>
      <c r="G94" s="70">
        <f>COUNTIFS('Error Log'!$A:$A,$A94,'Error Log'!$J:$J,G$1)</f>
        <v>0</v>
      </c>
      <c r="H94" s="70">
        <f>COUNTIFS('Error Log'!$A:$A,$A94,'Error Log'!$F:$F,"Source")</f>
        <v>0</v>
      </c>
      <c r="I94" s="70">
        <f>COUNTIFS('Error Log'!$A:$A,$A94,'Error Log'!$F:$F,"Target")</f>
        <v>0</v>
      </c>
      <c r="J94" s="71">
        <f t="shared" si="1"/>
        <v>80</v>
      </c>
    </row>
    <row r="95" spans="1:10">
      <c r="A95" s="89" t="s">
        <v>936</v>
      </c>
      <c r="B95" s="70" t="str">
        <f>IF(ISBLANK(A95),"",INDEX('Error Log'!$A:$J,MATCH('Scores per segment'!$A95,'Error Log'!$A:$A,0),MATCH('Scores per segment'!B$1,'Error Log'!$A$1:$J$1,0)))</f>
        <v>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v>
      </c>
      <c r="C95" s="70" t="str">
        <f>IF(ISBLANK(A95),"",INDEX('Error Log'!$A:$J,MATCH('Scores per segment'!$A95,'Error Log'!$A:$A,0),MATCH('Scores per segment'!C$1,'Error Log'!$A$1:$J$1,0)))</f>
        <v>the queen , 88 , was spotted trotting through windsor great park
joined by groom on another of her fell ponies , the queen cut a relaxed figure
but , as is her wont , eschewed a helmet in favour of one of her silk scarves</v>
      </c>
      <c r="D95" s="70">
        <f>IF(H95=0,wdct(TRIM(C95)),0)</f>
        <v>41</v>
      </c>
      <c r="E95" s="70">
        <f>COUNTIFS('Error Log'!$A:$A,$A95,'Error Log'!$J:$J,E$1)</f>
        <v>0</v>
      </c>
      <c r="F95" s="70">
        <f>COUNTIFS('Error Log'!$A:$A,$A95,'Error Log'!$J:$J,F$1)</f>
        <v>0</v>
      </c>
      <c r="G95" s="70">
        <f>COUNTIFS('Error Log'!$A:$A,$A95,'Error Log'!$J:$J,G$1)</f>
        <v>0</v>
      </c>
      <c r="H95" s="70">
        <f>COUNTIFS('Error Log'!$A:$A,$A95,'Error Log'!$F:$F,"Source")</f>
        <v>0</v>
      </c>
      <c r="I95" s="70">
        <f>COUNTIFS('Error Log'!$A:$A,$A95,'Error Log'!$F:$F,"Target")</f>
        <v>0</v>
      </c>
      <c r="J95" s="71">
        <f t="shared" si="1"/>
        <v>100</v>
      </c>
    </row>
    <row r="96" spans="1:10">
      <c r="A96" s="89" t="s">
        <v>937</v>
      </c>
      <c r="B96" s="70" t="str">
        <f>IF(ISBLANK(A96),"",INDEX('Error Log'!$A:$J,MATCH('Scores per segment'!$A96,'Error Log'!$A:$A,0),MATCH('Scores per segment'!B$1,'Error Log'!$A$1:$J$1,0)))</f>
        <v>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v>
      </c>
      <c r="C96" s="70" t="str">
        <f>IF(ISBLANK(A96),"",INDEX('Error Log'!$A:$J,MATCH('Scores per segment'!$A96,'Error Log'!$A:$A,0),MATCH('Scores per segment'!C$1,'Error Log'!$A$1:$J$1,0)))</f>
        <v>two french tourists allegedly ignited an aerosol spray with a lighter causing a large flame to make contact with a quokka on rottnest island off perth in western australia on april 3
the lucky little critter survived the reckless incident but was singed by the flame and the men were charged with animal cruelty</v>
      </c>
      <c r="D96" s="70">
        <f>IF(H96=0,wdct(TRIM(C96)),0)</f>
        <v>54</v>
      </c>
      <c r="E96" s="70">
        <f>COUNTIFS('Error Log'!$A:$A,$A96,'Error Log'!$J:$J,E$1)</f>
        <v>0</v>
      </c>
      <c r="F96" s="70">
        <f>COUNTIFS('Error Log'!$A:$A,$A96,'Error Log'!$J:$J,F$1)</f>
        <v>0</v>
      </c>
      <c r="G96" s="70">
        <f>COUNTIFS('Error Log'!$A:$A,$A96,'Error Log'!$J:$J,G$1)</f>
        <v>0</v>
      </c>
      <c r="H96" s="70">
        <f>COUNTIFS('Error Log'!$A:$A,$A96,'Error Log'!$F:$F,"Source")</f>
        <v>0</v>
      </c>
      <c r="I96" s="70">
        <f>COUNTIFS('Error Log'!$A:$A,$A96,'Error Log'!$F:$F,"Target")</f>
        <v>0</v>
      </c>
      <c r="J96" s="71">
        <f t="shared" si="1"/>
        <v>100</v>
      </c>
    </row>
    <row r="97" spans="1:10">
      <c r="A97" s="89" t="s">
        <v>938</v>
      </c>
      <c r="B97" s="70" t="str">
        <f>IF(ISBLANK(A97),"",INDEX('Error Log'!$A:$J,MATCH('Scores per segment'!$A97,'Error Log'!$A:$A,0),MATCH('Scores per segment'!B$1,'Error Log'!$A$1:$J$1,0)))</f>
        <v>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v>
      </c>
      <c r="C97" s="70" t="str">
        <f>IF(ISBLANK(A97),"",INDEX('Error Log'!$A:$J,MATCH('Scores per segment'!$A97,'Error Log'!$A:$A,0),MATCH('Scores per segment'!C$1,'Error Log'!$A$1:$J$1,0)))</f>
        <v>leon yeaman , 55 , was allegedly killed by a single punch in the head from 28-year-old shift worker phillip pama , 28 , during a row in front of their north brisbane homes
mr yeaman was reportedly in his yard making a lot of noise at around 9pm thursday night
pama , a married father of three , works a 3 am shift at a nearby warehouse and was sleeping at the time he was making a commotion</v>
      </c>
      <c r="D97" s="70">
        <f>IF(H97=0,wdct(TRIM(C97)),0)</f>
        <v>73</v>
      </c>
      <c r="E97" s="70">
        <f>COUNTIFS('Error Log'!$A:$A,$A97,'Error Log'!$J:$J,E$1)</f>
        <v>1</v>
      </c>
      <c r="F97" s="70">
        <f>COUNTIFS('Error Log'!$A:$A,$A97,'Error Log'!$J:$J,F$1)</f>
        <v>1</v>
      </c>
      <c r="G97" s="70">
        <f>COUNTIFS('Error Log'!$A:$A,$A97,'Error Log'!$J:$J,G$1)</f>
        <v>0</v>
      </c>
      <c r="H97" s="70">
        <f>COUNTIFS('Error Log'!$A:$A,$A97,'Error Log'!$F:$F,"Source")</f>
        <v>0</v>
      </c>
      <c r="I97" s="70">
        <f>COUNTIFS('Error Log'!$A:$A,$A97,'Error Log'!$F:$F,"Target")</f>
        <v>0</v>
      </c>
      <c r="J97" s="71">
        <f t="shared" si="1"/>
        <v>89.726027397260282</v>
      </c>
    </row>
    <row r="98" spans="1:10">
      <c r="A98" s="89" t="s">
        <v>939</v>
      </c>
      <c r="B98" s="70" t="str">
        <f>IF(ISBLANK(A98),"",INDEX('Error Log'!$A:$J,MATCH('Scores per segment'!$A98,'Error Log'!$A:$A,0),MATCH('Scores per segment'!B$1,'Error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v>
      </c>
      <c r="C98" s="70" t="str">
        <f>IF(ISBLANK(A98),"",INDEX('Error Log'!$A:$J,MATCH('Scores per segment'!$A98,'Error Log'!$A:$A,0),MATCH('Scores per segment'!C$1,'Error Log'!$A$1:$J$1,0)))</f>
        <v>the university of michigan decides to proceed with a screening of " american sniper "
more than 200 students signed a petition asking the school not to show the movie as part of umix
the announcement drew praise from michigan head football coach jim harbaugh</v>
      </c>
      <c r="D98" s="70">
        <f>IF(H98=0,wdct(TRIM(C98)),0)</f>
        <v>43</v>
      </c>
      <c r="E98" s="70">
        <f>COUNTIFS('Error Log'!$A:$A,$A98,'Error Log'!$J:$J,E$1)</f>
        <v>1</v>
      </c>
      <c r="F98" s="70">
        <f>COUNTIFS('Error Log'!$A:$A,$A98,'Error Log'!$J:$J,F$1)</f>
        <v>1</v>
      </c>
      <c r="G98" s="70">
        <f>COUNTIFS('Error Log'!$A:$A,$A98,'Error Log'!$J:$J,G$1)</f>
        <v>0</v>
      </c>
      <c r="H98" s="70">
        <f>COUNTIFS('Error Log'!$A:$A,$A98,'Error Log'!$F:$F,"Source")</f>
        <v>0</v>
      </c>
      <c r="I98" s="70">
        <f>COUNTIFS('Error Log'!$A:$A,$A98,'Error Log'!$F:$F,"Target")</f>
        <v>0</v>
      </c>
      <c r="J98" s="71">
        <f t="shared" si="1"/>
        <v>82.558139534883722</v>
      </c>
    </row>
    <row r="99" spans="1:10">
      <c r="A99" s="89" t="s">
        <v>940</v>
      </c>
      <c r="B99" s="70" t="str">
        <f>IF(ISBLANK(A99),"",INDEX('Error Log'!$A:$J,MATCH('Scores per segment'!$A99,'Error Log'!$A:$A,0),MATCH('Scores per segment'!B$1,'Error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v>
      </c>
      <c r="C99" s="70" t="str">
        <f>IF(ISBLANK(A99),"",INDEX('Error Log'!$A:$J,MATCH('Scores per segment'!$A99,'Error Log'!$A:$A,0),MATCH('Scores per segment'!C$1,'Error Log'!$A$1:$J$1,0)))</f>
        <v>yulia simonova , 52 , wanted to hire a hitman to torture and kill 15-year-old damian vanya in exchange for 100,000 rubles ( # 1,400 ) , after he dumped her for a classmate
but police set up a sting operation , sending one of their undercover officers to pose as a hitman during a meeting with simonova in the russian city of shatura , near the capital of moscow</v>
      </c>
      <c r="D99" s="70">
        <f>IF(H99=0,wdct(TRIM(C99)),0)</f>
        <v>62</v>
      </c>
      <c r="E99" s="70">
        <f>COUNTIFS('Error Log'!$A:$A,$A99,'Error Log'!$J:$J,E$1)</f>
        <v>1</v>
      </c>
      <c r="F99" s="70">
        <f>COUNTIFS('Error Log'!$A:$A,$A99,'Error Log'!$J:$J,F$1)</f>
        <v>1</v>
      </c>
      <c r="G99" s="70">
        <f>COUNTIFS('Error Log'!$A:$A,$A99,'Error Log'!$J:$J,G$1)</f>
        <v>0</v>
      </c>
      <c r="H99" s="70">
        <f>COUNTIFS('Error Log'!$A:$A,$A99,'Error Log'!$F:$F,"Source")</f>
        <v>0</v>
      </c>
      <c r="I99" s="70">
        <f>COUNTIFS('Error Log'!$A:$A,$A99,'Error Log'!$F:$F,"Target")</f>
        <v>0</v>
      </c>
      <c r="J99" s="71">
        <f t="shared" si="1"/>
        <v>87.903225806451616</v>
      </c>
    </row>
    <row r="100" spans="1:10">
      <c r="A100" s="89" t="s">
        <v>941</v>
      </c>
      <c r="B100" s="70" t="str">
        <f>IF(ISBLANK(A100),"",INDEX('Error Log'!$A:$J,MATCH('Scores per segment'!$A100,'Error Log'!$A:$A,0),MATCH('Scores per segment'!B$1,'Error Log'!$A$1:$J$1,0)))</f>
        <v>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v>
      </c>
      <c r="C100" s="70" t="str">
        <f>IF(ISBLANK(A100),"",INDEX('Error Log'!$A:$J,MATCH('Scores per segment'!$A100,'Error Log'!$A:$A,0),MATCH('Scores per segment'!C$1,'Error Log'!$A$1:$J$1,0)))</f>
        <v>the wide leg trouser is at the forefront of ss15 trends
it 's not the first time this look has made a comeback since the seventies
louise and emma say to avoid being drowned by too much fabric try a high heeled shoe</v>
      </c>
      <c r="D100" s="70">
        <f>IF(H100=0,wdct(TRIM(C100)),0)</f>
        <v>43</v>
      </c>
      <c r="E100" s="70">
        <f>COUNTIFS('Error Log'!$A:$A,$A100,'Error Log'!$J:$J,E$1)</f>
        <v>0</v>
      </c>
      <c r="F100" s="70">
        <f>COUNTIFS('Error Log'!$A:$A,$A100,'Error Log'!$J:$J,F$1)</f>
        <v>1</v>
      </c>
      <c r="G100" s="70">
        <f>COUNTIFS('Error Log'!$A:$A,$A100,'Error Log'!$J:$J,G$1)</f>
        <v>0</v>
      </c>
      <c r="H100" s="70">
        <f>COUNTIFS('Error Log'!$A:$A,$A100,'Error Log'!$F:$F,"Source")</f>
        <v>0</v>
      </c>
      <c r="I100" s="70">
        <f>COUNTIFS('Error Log'!$A:$A,$A100,'Error Log'!$F:$F,"Target")</f>
        <v>0</v>
      </c>
      <c r="J100" s="71">
        <f t="shared" si="1"/>
        <v>94.186046511627907</v>
      </c>
    </row>
    <row r="101" spans="1:10">
      <c r="A101" s="89" t="s">
        <v>942</v>
      </c>
      <c r="B101" s="70" t="str">
        <f>IF(ISBLANK(A101),"",INDEX('Error Log'!$A:$J,MATCH('Scores per segment'!$A101,'Error Log'!$A:$A,0),MATCH('Scores per segment'!B$1,'Error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C101" s="70" t="str">
        <f>IF(ISBLANK(A101),"",INDEX('Error Log'!$A:$J,MATCH('Scores per segment'!$A101,'Error Log'!$A:$A,0),MATCH('Scores per segment'!C$1,'Error Log'!$A$1:$J$1,0)))</f>
        <v>jose mourinho has revealed that he only prays for things in his personal life , never about football
the 52-year-old said that he and his family ` know about poverty ' and have been privileged to have worked with the word food programme as an ambassador against hunger
chelsea are currently top of the league and are playing struggling qpr this weekend</v>
      </c>
      <c r="D101" s="70">
        <f>IF(H101=0,wdct(TRIM(C101)),0)</f>
        <v>59</v>
      </c>
      <c r="E101" s="70">
        <f>COUNTIFS('Error Log'!$A:$A,$A101,'Error Log'!$J:$J,E$1)</f>
        <v>3</v>
      </c>
      <c r="F101" s="70">
        <f>COUNTIFS('Error Log'!$A:$A,$A101,'Error Log'!$J:$J,F$1)</f>
        <v>2</v>
      </c>
      <c r="G101" s="70">
        <f>COUNTIFS('Error Log'!$A:$A,$A101,'Error Log'!$J:$J,G$1)</f>
        <v>0</v>
      </c>
      <c r="H101" s="70">
        <f>COUNTIFS('Error Log'!$A:$A,$A101,'Error Log'!$F:$F,"Source")</f>
        <v>0</v>
      </c>
      <c r="I101" s="70">
        <f>COUNTIFS('Error Log'!$A:$A,$A101,'Error Log'!$F:$F,"Target")</f>
        <v>0</v>
      </c>
      <c r="J101" s="71">
        <f t="shared" si="1"/>
        <v>66.101694915254242</v>
      </c>
    </row>
    <row r="102" spans="1:10">
      <c r="A102" s="89" t="s">
        <v>943</v>
      </c>
      <c r="B102" s="70" t="str">
        <f>IF(ISBLANK(A102),"",INDEX('Error Log'!$A:$J,MATCH('Scores per segment'!$A102,'Error Log'!$A:$A,0),MATCH('Scores per segment'!B$1,'Error Log'!$A$1:$J$1,0)))</f>
        <v>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v>
      </c>
      <c r="C102" s="70" t="str">
        <f>IF(ISBLANK(A102),"",INDEX('Error Log'!$A:$J,MATCH('Scores per segment'!$A102,'Error Log'!$A:$A,0),MATCH('Scores per segment'!C$1,'Error Log'!$A$1:$J$1,0)))</f>
        <v>james haskell posted an instagram photo dressed as downey jr. 's character iron man
the highly-anticipated movie premiered at westfield london shopping centre on tuesday evening
fans queued up to see the a-list cast including robert downey jr. , chris hemsworth and scarlett johansson
haskell returned to wasps for the 2012 season after spells with stade francais , ricoh black rams and glasgow</v>
      </c>
      <c r="D102" s="70">
        <f>IF(H102=0,wdct(TRIM(C102)),0)</f>
        <v>61</v>
      </c>
      <c r="E102" s="70">
        <f>COUNTIFS('Error Log'!$A:$A,$A102,'Error Log'!$J:$J,E$1)</f>
        <v>0</v>
      </c>
      <c r="F102" s="70">
        <f>COUNTIFS('Error Log'!$A:$A,$A102,'Error Log'!$J:$J,F$1)</f>
        <v>1</v>
      </c>
      <c r="G102" s="70">
        <f>COUNTIFS('Error Log'!$A:$A,$A102,'Error Log'!$J:$J,G$1)</f>
        <v>0</v>
      </c>
      <c r="H102" s="70">
        <f>COUNTIFS('Error Log'!$A:$A,$A102,'Error Log'!$F:$F,"Source")</f>
        <v>0</v>
      </c>
      <c r="I102" s="70">
        <f>COUNTIFS('Error Log'!$A:$A,$A102,'Error Log'!$F:$F,"Target")</f>
        <v>0</v>
      </c>
      <c r="J102" s="71">
        <f t="shared" si="1"/>
        <v>95.901639344262293</v>
      </c>
    </row>
    <row r="103" spans="1:10">
      <c r="A103" s="79" t="s">
        <v>944</v>
      </c>
      <c r="B103" s="70" t="str">
        <f>IF(ISBLANK(A103),"",INDEX('Error Log'!$A:$J,MATCH('Scores per segment'!$A103,'Error Log'!$A:$A,0),MATCH('Scores per segment'!B$1,'Error Log'!$A$1:$J$1,0)))</f>
        <v>(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v>
      </c>
      <c r="C103" s="70" t="str">
        <f>IF(ISBLANK(A103),"",INDEX('Error Log'!$A:$J,MATCH('Scores per segment'!$A103,'Error Log'!$A:$A,0),MATCH('Scores per segment'!C$1,'Error Log'!$A$1:$J$1,0)))</f>
        <v>bob barker hosted " the price is right " for the time in eight years
he stepped down in 2007 after being away from the show for most of the past 8 years
barker did n't seem to miss a beat on the game show</v>
      </c>
      <c r="D103" s="70">
        <f>IF(H103=0,wdct(TRIM(C103)),0)</f>
        <v>43</v>
      </c>
      <c r="E103" s="70">
        <f>COUNTIFS('Error Log'!$A:$A,$A103,'Error Log'!$J:$J,E$1)</f>
        <v>2</v>
      </c>
      <c r="F103" s="70">
        <f>COUNTIFS('Error Log'!$A:$A,$A103,'Error Log'!$J:$J,F$1)</f>
        <v>1</v>
      </c>
      <c r="G103" s="70">
        <f>COUNTIFS('Error Log'!$A:$A,$A103,'Error Log'!$J:$J,G$1)</f>
        <v>0</v>
      </c>
      <c r="H103" s="70">
        <f>COUNTIFS('Error Log'!$A:$A,$A103,'Error Log'!$F:$F,"Source")</f>
        <v>0</v>
      </c>
      <c r="I103" s="70">
        <f>COUNTIFS('Error Log'!$A:$A,$A103,'Error Log'!$F:$F,"Target")</f>
        <v>0</v>
      </c>
      <c r="J103" s="71">
        <f t="shared" si="1"/>
        <v>70.930232558139537</v>
      </c>
    </row>
    <row r="104" spans="1:10">
      <c r="A104" s="79" t="s">
        <v>945</v>
      </c>
      <c r="B104" s="70" t="str">
        <f>IF(ISBLANK(A104),"",INDEX('Error Log'!$A:$J,MATCH('Scores per segment'!$A104,'Error Log'!$A:$A,0),MATCH('Scores per segment'!B$1,'Error Log'!$A$1:$J$1,0)))</f>
        <v>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v>
      </c>
      <c r="C104" s="70" t="str">
        <f>IF(ISBLANK(A104),"",INDEX('Error Log'!$A:$J,MATCH('Scores per segment'!$A104,'Error Log'!$A:$A,0),MATCH('Scores per segment'!C$1,'Error Log'!$A$1:$J$1,0)))</f>
        <v>amateur jockey lee lewis ferguson was flung from his horse at wincanton
the 18-year-old has just a cut on his nose to show for the fall
but he is undeterred from getting back in the saddle and is undeterred</v>
      </c>
      <c r="D104" s="70">
        <f>IF(H104=0,wdct(TRIM(C104)),0)</f>
        <v>39</v>
      </c>
      <c r="E104" s="70">
        <f>COUNTIFS('Error Log'!$A:$A,$A104,'Error Log'!$J:$J,E$1)</f>
        <v>2</v>
      </c>
      <c r="F104" s="70">
        <f>COUNTIFS('Error Log'!$A:$A,$A104,'Error Log'!$J:$J,F$1)</f>
        <v>1</v>
      </c>
      <c r="G104" s="70">
        <f>COUNTIFS('Error Log'!$A:$A,$A104,'Error Log'!$J:$J,G$1)</f>
        <v>0</v>
      </c>
      <c r="H104" s="70">
        <f>COUNTIFS('Error Log'!$A:$A,$A104,'Error Log'!$F:$F,"Source")</f>
        <v>0</v>
      </c>
      <c r="I104" s="70">
        <f>COUNTIFS('Error Log'!$A:$A,$A104,'Error Log'!$F:$F,"Target")</f>
        <v>0</v>
      </c>
      <c r="J104" s="71">
        <f t="shared" si="1"/>
        <v>67.948717948717942</v>
      </c>
    </row>
    <row r="105" spans="1:10">
      <c r="A105" s="79" t="s">
        <v>946</v>
      </c>
      <c r="B105" s="70" t="str">
        <f>IF(ISBLANK(A105),"",INDEX('Error Log'!$A:$J,MATCH('Scores per segment'!$A105,'Error Log'!$A:$A,0),MATCH('Scores per segment'!B$1,'Error Log'!$A$1:$J$1,0)))</f>
        <v>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v>
      </c>
      <c r="C105" s="70" t="str">
        <f>IF(ISBLANK(A105),"",INDEX('Error Log'!$A:$J,MATCH('Scores per segment'!$A105,'Error Log'!$A:$A,0),MATCH('Scores per segment'!C$1,'Error Log'!$A$1:$J$1,0)))</f>
        <v>arthur baldwin was taken into custody at 12:30 am on friday on a residential street in south-eastern d.c. by the metropolitan police
he has been hit with a felony charge of attempted burglary and another of destruction of property
the agency revoked his security clearance and put him on leave when the arrest emerged
the arrest comes two days after a high-ranking supervisor was also put on leave after he was accused of misconduct in a case that is also being investigated by police</v>
      </c>
      <c r="D105" s="70">
        <f>IF(H105=0,wdct(TRIM(C105)),0)</f>
        <v>86</v>
      </c>
      <c r="E105" s="70">
        <f>COUNTIFS('Error Log'!$A:$A,$A105,'Error Log'!$J:$J,E$1)</f>
        <v>0</v>
      </c>
      <c r="F105" s="70">
        <f>COUNTIFS('Error Log'!$A:$A,$A105,'Error Log'!$J:$J,F$1)</f>
        <v>1</v>
      </c>
      <c r="G105" s="70">
        <f>COUNTIFS('Error Log'!$A:$A,$A105,'Error Log'!$J:$J,G$1)</f>
        <v>0</v>
      </c>
      <c r="H105" s="70">
        <f>COUNTIFS('Error Log'!$A:$A,$A105,'Error Log'!$F:$F,"Source")</f>
        <v>0</v>
      </c>
      <c r="I105" s="70">
        <f>COUNTIFS('Error Log'!$A:$A,$A105,'Error Log'!$F:$F,"Target")</f>
        <v>0</v>
      </c>
      <c r="J105" s="71">
        <f t="shared" si="1"/>
        <v>97.093023255813961</v>
      </c>
    </row>
    <row r="106" spans="1:10">
      <c r="A106" s="79" t="s">
        <v>947</v>
      </c>
      <c r="B106" s="70" t="str">
        <f>IF(ISBLANK(A106),"",INDEX('Error Log'!$A:$J,MATCH('Scores per segment'!$A106,'Error Log'!$A:$A,0),MATCH('Scores per segment'!B$1,'Error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v>
      </c>
      <c r="C106" s="70" t="str">
        <f>IF(ISBLANK(A106),"",INDEX('Error Log'!$A:$J,MATCH('Scores per segment'!$A106,'Error Log'!$A:$A,0),MATCH('Scores per segment'!C$1,'Error Log'!$A$1:$J$1,0)))</f>
        <v>pablo osvaldo has urged italian legends andrea pirlo and francesco totti to join him at boca juniors
the 29-year-old moved to his current side on a loan deal from southampton
osvaldo believes that the duo would be a good fit for boca</v>
      </c>
      <c r="D106" s="70">
        <f>IF(H106=0,wdct(TRIM(C106)),0)</f>
        <v>42</v>
      </c>
      <c r="E106" s="70">
        <f>COUNTIFS('Error Log'!$A:$A,$A106,'Error Log'!$J:$J,E$1)</f>
        <v>1</v>
      </c>
      <c r="F106" s="70">
        <f>COUNTIFS('Error Log'!$A:$A,$A106,'Error Log'!$J:$J,F$1)</f>
        <v>1</v>
      </c>
      <c r="G106" s="70">
        <f>COUNTIFS('Error Log'!$A:$A,$A106,'Error Log'!$J:$J,G$1)</f>
        <v>0</v>
      </c>
      <c r="H106" s="70">
        <f>COUNTIFS('Error Log'!$A:$A,$A106,'Error Log'!$F:$F,"Source")</f>
        <v>0</v>
      </c>
      <c r="I106" s="70">
        <f>COUNTIFS('Error Log'!$A:$A,$A106,'Error Log'!$F:$F,"Target")</f>
        <v>0</v>
      </c>
      <c r="J106" s="71">
        <f t="shared" si="1"/>
        <v>82.142857142857139</v>
      </c>
    </row>
    <row r="107" spans="1:10">
      <c r="A107" s="79" t="s">
        <v>948</v>
      </c>
      <c r="B107" s="70" t="str">
        <f>IF(ISBLANK(A107),"",INDEX('Error Log'!$A:$J,MATCH('Scores per segment'!$A107,'Error Log'!$A:$A,0),MATCH('Scores per segment'!B$1,'Error Log'!$A$1:$J$1,0)))</f>
        <v>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v>
      </c>
      <c r="C107" s="70" t="str">
        <f>IF(ISBLANK(A107),"",INDEX('Error Log'!$A:$J,MATCH('Scores per segment'!$A107,'Error Log'!$A:$A,0),MATCH('Scores per segment'!C$1,'Error Log'!$A$1:$J$1,0)))</f>
        <v>fearless atif saeed , 38 , from lahore , pakistan was in the city 's safari park when he spotted the male lion in the distance
he crept up to within 10 feet of the hungry lion before leaving the safety of his car to lie on the ground
unfortunately , the clicking sound of the camera 's shutter alerted the lion to mr saeed 's presence , who was forced to retreat quite rapidly</v>
      </c>
      <c r="D107" s="70">
        <f>IF(H107=0,wdct(TRIM(C107)),0)</f>
        <v>70</v>
      </c>
      <c r="E107" s="70">
        <f>COUNTIFS('Error Log'!$A:$A,$A107,'Error Log'!$J:$J,E$1)</f>
        <v>0</v>
      </c>
      <c r="F107" s="70">
        <f>COUNTIFS('Error Log'!$A:$A,$A107,'Error Log'!$J:$J,F$1)</f>
        <v>0</v>
      </c>
      <c r="G107" s="70">
        <f>COUNTIFS('Error Log'!$A:$A,$A107,'Error Log'!$J:$J,G$1)</f>
        <v>0</v>
      </c>
      <c r="H107" s="70">
        <f>COUNTIFS('Error Log'!$A:$A,$A107,'Error Log'!$F:$F,"Source")</f>
        <v>0</v>
      </c>
      <c r="I107" s="70">
        <f>COUNTIFS('Error Log'!$A:$A,$A107,'Error Log'!$F:$F,"Target")</f>
        <v>0</v>
      </c>
      <c r="J107" s="71">
        <f t="shared" si="1"/>
        <v>100</v>
      </c>
    </row>
    <row r="108" spans="1:10">
      <c r="A108" s="79" t="s">
        <v>949</v>
      </c>
      <c r="B108" s="70" t="str">
        <f>IF(ISBLANK(A108),"",INDEX('Error Log'!$A:$J,MATCH('Scores per segment'!$A108,'Error Log'!$A:$A,0),MATCH('Scores per segment'!B$1,'Error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v>
      </c>
      <c r="C108" s="70" t="str">
        <f>IF(ISBLANK(A108),"",INDEX('Error Log'!$A:$J,MATCH('Scores per segment'!$A108,'Error Log'!$A:$A,0),MATCH('Scores per segment'!C$1,'Error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alves has been unable to agree a new deal with the catalan club and will leave the nou camp this summer</v>
      </c>
      <c r="D108" s="70">
        <f>IF(H108=0,wdct(TRIM(C108)),0)</f>
        <v>62</v>
      </c>
      <c r="E108" s="70">
        <f>COUNTIFS('Error Log'!$A:$A,$A108,'Error Log'!$J:$J,E$1)</f>
        <v>1</v>
      </c>
      <c r="F108" s="70">
        <f>COUNTIFS('Error Log'!$A:$A,$A108,'Error Log'!$J:$J,F$1)</f>
        <v>3</v>
      </c>
      <c r="G108" s="70">
        <f>COUNTIFS('Error Log'!$A:$A,$A108,'Error Log'!$J:$J,G$1)</f>
        <v>0</v>
      </c>
      <c r="H108" s="70">
        <f>COUNTIFS('Error Log'!$A:$A,$A108,'Error Log'!$F:$F,"Source")</f>
        <v>0</v>
      </c>
      <c r="I108" s="70">
        <f>COUNTIFS('Error Log'!$A:$A,$A108,'Error Log'!$F:$F,"Target")</f>
        <v>0</v>
      </c>
      <c r="J108" s="71">
        <f t="shared" si="1"/>
        <v>79.838709677419359</v>
      </c>
    </row>
    <row r="109" spans="1:10">
      <c r="A109" s="79" t="s">
        <v>950</v>
      </c>
      <c r="B109" s="70" t="str">
        <f>IF(ISBLANK(A109),"",INDEX('Error Log'!$A:$J,MATCH('Scores per segment'!$A109,'Error Log'!$A:$A,0),MATCH('Scores per segment'!B$1,'Error Log'!$A$1:$J$1,0)))</f>
        <v>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v>
      </c>
      <c r="C109" s="70" t="str">
        <f>IF(ISBLANK(A109),"",INDEX('Error Log'!$A:$J,MATCH('Scores per segment'!$A109,'Error Log'!$A:$A,0),MATCH('Scores per segment'!C$1,'Error Log'!$A$1:$J$1,0)))</f>
        <v>the unidentified woman , believed to be between 25 and 45 years old , was discovered lying unconscious march 22 in the area near shore parkway and 26th avenue in the gravesend section of brooklyn
paramedics who responded to the scene were unable to revive her and she was pronounced dead that evening
investigators believe the faded body art was the name ` monique ' etched across a tattooed ribbon within a heart topped with a rose</v>
      </c>
      <c r="D109" s="70">
        <f>IF(H109=0,wdct(TRIM(C109)),0)</f>
        <v>73</v>
      </c>
      <c r="E109" s="70">
        <f>COUNTIFS('Error Log'!$A:$A,$A109,'Error Log'!$J:$J,E$1)</f>
        <v>1</v>
      </c>
      <c r="F109" s="70">
        <f>COUNTIFS('Error Log'!$A:$A,$A109,'Error Log'!$J:$J,F$1)</f>
        <v>2</v>
      </c>
      <c r="G109" s="70">
        <f>COUNTIFS('Error Log'!$A:$A,$A109,'Error Log'!$J:$J,G$1)</f>
        <v>0</v>
      </c>
      <c r="H109" s="70">
        <f>COUNTIFS('Error Log'!$A:$A,$A109,'Error Log'!$F:$F,"Source")</f>
        <v>0</v>
      </c>
      <c r="I109" s="70">
        <f>COUNTIFS('Error Log'!$A:$A,$A109,'Error Log'!$F:$F,"Target")</f>
        <v>0</v>
      </c>
      <c r="J109" s="71">
        <f t="shared" si="1"/>
        <v>86.30136986301369</v>
      </c>
    </row>
    <row r="110" spans="1:10">
      <c r="A110" s="79" t="s">
        <v>951</v>
      </c>
      <c r="B110" s="70" t="str">
        <f>IF(ISBLANK(A110),"",INDEX('Error Log'!$A:$J,MATCH('Scores per segment'!$A110,'Error Log'!$A:$A,0),MATCH('Scores per segment'!B$1,'Error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v>
      </c>
      <c r="C110" s="70" t="str">
        <f>IF(ISBLANK(A110),"",INDEX('Error Log'!$A:$J,MATCH('Scores per segment'!$A110,'Error Log'!$A:$A,0),MATCH('Scores per segment'!C$1,'Error Log'!$A$1:$J$1,0)))</f>
        <v>a suicide bomber detonated his explosives near a group of protesters in eastern afghanistan
an afghan lawmaker taking part in the protests in the city of khost was among the 64 people wounded
taliban spokesman zabiullah mujahid denies his group was responsible for the attack</v>
      </c>
      <c r="D110" s="70">
        <f>IF(H110=0,wdct(TRIM(C110)),0)</f>
        <v>45</v>
      </c>
      <c r="E110" s="70">
        <f>COUNTIFS('Error Log'!$A:$A,$A110,'Error Log'!$J:$J,E$1)</f>
        <v>0</v>
      </c>
      <c r="F110" s="70">
        <f>COUNTIFS('Error Log'!$A:$A,$A110,'Error Log'!$J:$J,F$1)</f>
        <v>0</v>
      </c>
      <c r="G110" s="70">
        <f>COUNTIFS('Error Log'!$A:$A,$A110,'Error Log'!$J:$J,G$1)</f>
        <v>0</v>
      </c>
      <c r="H110" s="70">
        <f>COUNTIFS('Error Log'!$A:$A,$A110,'Error Log'!$F:$F,"Source")</f>
        <v>0</v>
      </c>
      <c r="I110" s="70">
        <f>COUNTIFS('Error Log'!$A:$A,$A110,'Error Log'!$F:$F,"Target")</f>
        <v>0</v>
      </c>
      <c r="J110" s="71">
        <f t="shared" si="1"/>
        <v>100</v>
      </c>
    </row>
    <row r="111" spans="1:10">
      <c r="A111" s="79" t="s">
        <v>952</v>
      </c>
      <c r="B111" s="70" t="str">
        <f>IF(ISBLANK(A111),"",INDEX('Error Log'!$A:$J,MATCH('Scores per segment'!$A111,'Error Log'!$A:$A,0),MATCH('Scores per segment'!B$1,'Error Log'!$A$1:$J$1,0)))</f>
        <v>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v>
      </c>
      <c r="C111" s="70" t="str">
        <f>IF(ISBLANK(A111),"",INDEX('Error Log'!$A:$J,MATCH('Scores per segment'!$A111,'Error Log'!$A:$A,0),MATCH('Scores per segment'!C$1,'Error Log'!$A$1:$J$1,0)))</f>
        <v>a new zealand couple built a home on the back of an old flatbed truck
the result was a solar-powered two-bedroom , wood and steel home that now allows them to live almost self-sufficiently in nelson , new zealand</v>
      </c>
      <c r="D111" s="70">
        <f>IF(H111=0,wdct(TRIM(C111)),0)</f>
        <v>37</v>
      </c>
      <c r="E111" s="70">
        <f>COUNTIFS('Error Log'!$A:$A,$A111,'Error Log'!$J:$J,E$1)</f>
        <v>0</v>
      </c>
      <c r="F111" s="70">
        <f>COUNTIFS('Error Log'!$A:$A,$A111,'Error Log'!$J:$J,F$1)</f>
        <v>1</v>
      </c>
      <c r="G111" s="70">
        <f>COUNTIFS('Error Log'!$A:$A,$A111,'Error Log'!$J:$J,G$1)</f>
        <v>0</v>
      </c>
      <c r="H111" s="70">
        <f>COUNTIFS('Error Log'!$A:$A,$A111,'Error Log'!$F:$F,"Source")</f>
        <v>0</v>
      </c>
      <c r="I111" s="70">
        <f>COUNTIFS('Error Log'!$A:$A,$A111,'Error Log'!$F:$F,"Target")</f>
        <v>0</v>
      </c>
      <c r="J111" s="71">
        <f t="shared" si="1"/>
        <v>93.243243243243242</v>
      </c>
    </row>
    <row r="112" spans="1:10">
      <c r="A112" s="79" t="s">
        <v>953</v>
      </c>
      <c r="B112" s="70" t="str">
        <f>IF(ISBLANK(A112),"",INDEX('Error Log'!$A:$J,MATCH('Scores per segment'!$A112,'Error Log'!$A:$A,0),MATCH('Scores per segment'!B$1,'Error Log'!$A$1:$J$1,0)))</f>
        <v>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v>
      </c>
      <c r="C112" s="70" t="str">
        <f>IF(ISBLANK(A112),"",INDEX('Error Log'!$A:$J,MATCH('Scores per segment'!$A112,'Error Log'!$A:$A,0),MATCH('Scores per segment'!C$1,'Error Log'!$A$1:$J$1,0)))</f>
        <v>12 per cent of people polled thought that the child should be named after william 's mother - diana the princess of wales
alice and charlotte were next in terms of preference , getting nine per cent
the majority of brits are backing william 's decision to take six weeks paternity leave from his pilot job</v>
      </c>
      <c r="D112" s="70">
        <f>IF(H112=0,wdct(TRIM(C112)),0)</f>
        <v>54</v>
      </c>
      <c r="E112" s="70">
        <f>COUNTIFS('Error Log'!$A:$A,$A112,'Error Log'!$J:$J,E$1)</f>
        <v>1</v>
      </c>
      <c r="F112" s="70">
        <f>COUNTIFS('Error Log'!$A:$A,$A112,'Error Log'!$J:$J,F$1)</f>
        <v>1</v>
      </c>
      <c r="G112" s="70">
        <f>COUNTIFS('Error Log'!$A:$A,$A112,'Error Log'!$J:$J,G$1)</f>
        <v>0</v>
      </c>
      <c r="H112" s="70">
        <f>COUNTIFS('Error Log'!$A:$A,$A112,'Error Log'!$F:$F,"Source")</f>
        <v>0</v>
      </c>
      <c r="I112" s="70">
        <f>COUNTIFS('Error Log'!$A:$A,$A112,'Error Log'!$F:$F,"Target")</f>
        <v>0</v>
      </c>
      <c r="J112" s="71">
        <f t="shared" si="1"/>
        <v>86.111111111111114</v>
      </c>
    </row>
    <row r="113" spans="1:10">
      <c r="A113" s="79" t="s">
        <v>954</v>
      </c>
      <c r="B113" s="70" t="str">
        <f>IF(ISBLANK(A113),"",INDEX('Error Log'!$A:$J,MATCH('Scores per segment'!$A113,'Error Log'!$A:$A,0),MATCH('Scores per segment'!B$1,'Error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v>
      </c>
      <c r="C113" s="70" t="str">
        <f>IF(ISBLANK(A113),"",INDEX('Error Log'!$A:$J,MATCH('Scores per segment'!$A113,'Error Log'!$A:$A,0),MATCH('Scores per segment'!C$1,'Error Log'!$A$1:$J$1,0)))</f>
        <v>children who share ipads in class do much better in early literacy tests than those who do n't , researchers claim
findings come after national association of head teachers said he was dubious about using technology as a teaching aid in non-it classes
however , research into the effects of the devices on literacy levels suggests the best outcome comes from youngsters sharing devices</v>
      </c>
      <c r="D113" s="70">
        <f>IF(H113=0,wdct(TRIM(C113)),0)</f>
        <v>62</v>
      </c>
      <c r="E113" s="70">
        <f>COUNTIFS('Error Log'!$A:$A,$A113,'Error Log'!$J:$J,E$1)</f>
        <v>0</v>
      </c>
      <c r="F113" s="70">
        <f>COUNTIFS('Error Log'!$A:$A,$A113,'Error Log'!$J:$J,F$1)</f>
        <v>3</v>
      </c>
      <c r="G113" s="70">
        <f>COUNTIFS('Error Log'!$A:$A,$A113,'Error Log'!$J:$J,G$1)</f>
        <v>0</v>
      </c>
      <c r="H113" s="70">
        <f>COUNTIFS('Error Log'!$A:$A,$A113,'Error Log'!$F:$F,"Source")</f>
        <v>0</v>
      </c>
      <c r="I113" s="70">
        <f>COUNTIFS('Error Log'!$A:$A,$A113,'Error Log'!$F:$F,"Target")</f>
        <v>0</v>
      </c>
      <c r="J113" s="71">
        <f t="shared" si="1"/>
        <v>87.903225806451616</v>
      </c>
    </row>
    <row r="114" spans="1:10">
      <c r="A114" s="79" t="s">
        <v>955</v>
      </c>
      <c r="B114" s="70" t="str">
        <f>IF(ISBLANK(A114),"",INDEX('Error Log'!$A:$J,MATCH('Scores per segment'!$A114,'Error Log'!$A:$A,0),MATCH('Scores per segment'!B$1,'Error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v>
      </c>
      <c r="C114" s="70" t="str">
        <f>IF(ISBLANK(A114),"",INDEX('Error Log'!$A:$J,MATCH('Scores per segment'!$A114,'Error Log'!$A:$A,0),MATCH('Scores per segment'!C$1,'Error Log'!$A$1:$J$1,0)))</f>
        <v>nina moric , 38 , posted several photos of heavy bruising on her arms
italian media claimed ms moric tried to take her own life in 2009
she was found by her mother in the luxury apartment she shares with her boyfriend
ms moric told her fans that she was well and had no intention to end her life
she said : ` luckily i 'm fine now nothing serious i need only a bit of rest . but now i made a fine breakfast '</v>
      </c>
      <c r="D114" s="70">
        <f>IF(H114=0,wdct(TRIM(C114)),0)</f>
        <v>80</v>
      </c>
      <c r="E114" s="70">
        <f>COUNTIFS('Error Log'!$A:$A,$A114,'Error Log'!$J:$J,E$1)</f>
        <v>1</v>
      </c>
      <c r="F114" s="70">
        <f>COUNTIFS('Error Log'!$A:$A,$A114,'Error Log'!$J:$J,F$1)</f>
        <v>3</v>
      </c>
      <c r="G114" s="70">
        <f>COUNTIFS('Error Log'!$A:$A,$A114,'Error Log'!$J:$J,G$1)</f>
        <v>0</v>
      </c>
      <c r="H114" s="70">
        <f>COUNTIFS('Error Log'!$A:$A,$A114,'Error Log'!$F:$F,"Source")</f>
        <v>0</v>
      </c>
      <c r="I114" s="70">
        <f>COUNTIFS('Error Log'!$A:$A,$A114,'Error Log'!$F:$F,"Target")</f>
        <v>0</v>
      </c>
      <c r="J114" s="71">
        <f t="shared" si="1"/>
        <v>84.375</v>
      </c>
    </row>
    <row r="115" spans="1:10">
      <c r="A115" s="79" t="s">
        <v>956</v>
      </c>
      <c r="B115" s="70" t="str">
        <f>IF(ISBLANK(A115),"",INDEX('Error Log'!$A:$J,MATCH('Scores per segment'!$A115,'Error Log'!$A:$A,0),MATCH('Scores per segment'!B$1,'Error Log'!$A$1:$J$1,0)))</f>
        <v>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v>
      </c>
      <c r="C115" s="70" t="str">
        <f>IF(ISBLANK(A115),"",INDEX('Error Log'!$A:$J,MATCH('Scores per segment'!$A115,'Error Log'!$A:$A,0),MATCH('Scores per segment'!C$1,'Error Log'!$A$1:$J$1,0)))</f>
        <v>the piglet was born with its back legs missing and has mastered balancing on its front trotters
the heartwarming clip featured on the people 's daily online shows the young animal taking unsteady steps , wobbling about with its snout to the ground , foraging for food
it is not the first animal with two legs instead of four to win plaudits in china</v>
      </c>
      <c r="D115" s="70">
        <f>IF(H115=0,wdct(TRIM(C115)),0)</f>
        <v>62</v>
      </c>
      <c r="E115" s="70">
        <f>COUNTIFS('Error Log'!$A:$A,$A115,'Error Log'!$J:$J,E$1)</f>
        <v>2</v>
      </c>
      <c r="F115" s="70">
        <f>COUNTIFS('Error Log'!$A:$A,$A115,'Error Log'!$J:$J,F$1)</f>
        <v>2</v>
      </c>
      <c r="G115" s="70">
        <f>COUNTIFS('Error Log'!$A:$A,$A115,'Error Log'!$J:$J,G$1)</f>
        <v>0</v>
      </c>
      <c r="H115" s="70">
        <f>COUNTIFS('Error Log'!$A:$A,$A115,'Error Log'!$F:$F,"Source")</f>
        <v>0</v>
      </c>
      <c r="I115" s="70">
        <f>COUNTIFS('Error Log'!$A:$A,$A115,'Error Log'!$F:$F,"Target")</f>
        <v>0</v>
      </c>
      <c r="J115" s="71">
        <f t="shared" si="1"/>
        <v>75.806451612903231</v>
      </c>
    </row>
    <row r="116" spans="1:10">
      <c r="A116" s="79" t="s">
        <v>957</v>
      </c>
      <c r="B116" s="70" t="str">
        <f>IF(ISBLANK(A116),"",INDEX('Error Log'!$A:$J,MATCH('Scores per segment'!$A116,'Error Log'!$A:$A,0),MATCH('Scores per segment'!B$1,'Error Log'!$A$1:$J$1,0)))</f>
        <v>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v>
      </c>
      <c r="C116" s="70" t="str">
        <f>IF(ISBLANK(A116),"",INDEX('Error Log'!$A:$J,MATCH('Scores per segment'!$A116,'Error Log'!$A:$A,0),MATCH('Scores per segment'!C$1,'Error Log'!$A$1:$J$1,0)))</f>
        <v>early indicators show an east coast low - the same weather system that lashed the state 's east coast for three days last week - could hit the region
the state emergency service was deluged with calls for assistance last week and has more than 4,000 jobs from the 24,196 requests still to be completed
ses spokeswoman stephanie wills says the organisation is concerned that more storms will hamper clean-up efforts</v>
      </c>
      <c r="D116" s="70">
        <f>IF(H116=0,wdct(TRIM(C116)),0)</f>
        <v>69</v>
      </c>
      <c r="E116" s="70">
        <f>COUNTIFS('Error Log'!$A:$A,$A116,'Error Log'!$J:$J,E$1)</f>
        <v>2</v>
      </c>
      <c r="F116" s="70">
        <f>COUNTIFS('Error Log'!$A:$A,$A116,'Error Log'!$J:$J,F$1)</f>
        <v>2</v>
      </c>
      <c r="G116" s="70">
        <f>COUNTIFS('Error Log'!$A:$A,$A116,'Error Log'!$J:$J,G$1)</f>
        <v>0</v>
      </c>
      <c r="H116" s="70">
        <f>COUNTIFS('Error Log'!$A:$A,$A116,'Error Log'!$F:$F,"Source")</f>
        <v>0</v>
      </c>
      <c r="I116" s="70">
        <f>COUNTIFS('Error Log'!$A:$A,$A116,'Error Log'!$F:$F,"Target")</f>
        <v>0</v>
      </c>
      <c r="J116" s="71">
        <f t="shared" si="1"/>
        <v>78.260869565217391</v>
      </c>
    </row>
    <row r="117" spans="1:10">
      <c r="A117" s="79" t="s">
        <v>958</v>
      </c>
      <c r="B117" s="70" t="str">
        <f>IF(ISBLANK(A117),"",INDEX('Error Log'!$A:$J,MATCH('Scores per segment'!$A117,'Error Log'!$A:$A,0),MATCH('Scores per segment'!B$1,'Error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v>
      </c>
      <c r="C117" s="70" t="str">
        <f>IF(ISBLANK(A117),"",INDEX('Error Log'!$A:$J,MATCH('Scores per segment'!$A117,'Error Log'!$A:$A,0),MATCH('Scores per segment'!C$1,'Error Log'!$A$1:$J$1,0)))</f>
        <v>todd phillips , a front-outside tire changer for dayle coyne racing , was injuried when he was struck by the car of francesco dracone
dracone spun while exiting his put box , clipping phillips ' leg
phillips was taken to the infield care center for treatment where he has received stitches for a cut on his leg  dracone did not finish the race and wound up 23rd</v>
      </c>
      <c r="D117" s="70">
        <f>IF(H117=0,wdct(TRIM(C117)),0)</f>
        <v>63</v>
      </c>
      <c r="E117" s="70">
        <f>COUNTIFS('Error Log'!$A:$A,$A117,'Error Log'!$J:$J,E$1)</f>
        <v>0</v>
      </c>
      <c r="F117" s="70">
        <f>COUNTIFS('Error Log'!$A:$A,$A117,'Error Log'!$J:$J,F$1)</f>
        <v>1</v>
      </c>
      <c r="G117" s="70">
        <f>COUNTIFS('Error Log'!$A:$A,$A117,'Error Log'!$J:$J,G$1)</f>
        <v>0</v>
      </c>
      <c r="H117" s="70">
        <f>COUNTIFS('Error Log'!$A:$A,$A117,'Error Log'!$F:$F,"Source")</f>
        <v>0</v>
      </c>
      <c r="I117" s="70">
        <f>COUNTIFS('Error Log'!$A:$A,$A117,'Error Log'!$F:$F,"Target")</f>
        <v>0</v>
      </c>
      <c r="J117" s="71">
        <f t="shared" si="1"/>
        <v>96.031746031746025</v>
      </c>
    </row>
    <row r="118" spans="1:10">
      <c r="A118" s="79" t="s">
        <v>959</v>
      </c>
      <c r="B118" s="70" t="str">
        <f>IF(ISBLANK(A118),"",INDEX('Error Log'!$A:$J,MATCH('Scores per segment'!$A118,'Error Log'!$A:$A,0),MATCH('Scores per segment'!B$1,'Error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v>
      </c>
      <c r="C118" s="70" t="str">
        <f>IF(ISBLANK(A118),"",INDEX('Error Log'!$A:$J,MATCH('Scores per segment'!$A118,'Error Log'!$A:$A,0),MATCH('Scores per segment'!C$1,'Error Log'!$A$1:$J$1,0)))</f>
        <v>anastasia pavlyuchenkova beat germany 's sabine lisicki 4-6 , 7-6 ( 4 ) , 6-3
russia are on the brink of making the fed cup final with a 2-0 lead
svetlana kuznetsova had earlier beaten julia goerges in straight sets</v>
      </c>
      <c r="D118" s="70">
        <f>IF(H118=0,wdct(TRIM(C118)),0)</f>
        <v>36</v>
      </c>
      <c r="E118" s="70">
        <f>COUNTIFS('Error Log'!$A:$A,$A118,'Error Log'!$J:$J,E$1)</f>
        <v>0</v>
      </c>
      <c r="F118" s="70">
        <f>COUNTIFS('Error Log'!$A:$A,$A118,'Error Log'!$J:$J,F$1)</f>
        <v>0</v>
      </c>
      <c r="G118" s="70">
        <f>COUNTIFS('Error Log'!$A:$A,$A118,'Error Log'!$J:$J,G$1)</f>
        <v>0</v>
      </c>
      <c r="H118" s="70">
        <f>COUNTIFS('Error Log'!$A:$A,$A118,'Error Log'!$F:$F,"Source")</f>
        <v>0</v>
      </c>
      <c r="I118" s="70">
        <f>COUNTIFS('Error Log'!$A:$A,$A118,'Error Log'!$F:$F,"Target")</f>
        <v>0</v>
      </c>
      <c r="J118" s="71">
        <f t="shared" si="1"/>
        <v>100</v>
      </c>
    </row>
    <row r="119" spans="1:10">
      <c r="A119" s="79" t="s">
        <v>960</v>
      </c>
      <c r="B119" s="70" t="str">
        <f>IF(ISBLANK(A119),"",INDEX('Error Log'!$A:$J,MATCH('Scores per segment'!$A119,'Error Log'!$A:$A,0),MATCH('Scores per segment'!B$1,'Error Log'!$A$1:$J$1,0)))</f>
        <v>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v>
      </c>
      <c r="C119" s="70" t="str">
        <f>IF(ISBLANK(A119),"",INDEX('Error Log'!$A:$J,MATCH('Scores per segment'!$A119,'Error Log'!$A:$A,0),MATCH('Scores per segment'!C$1,'Error Log'!$A$1:$J$1,0)))</f>
        <v>milton vieira severiano , 32 , battered and shot wife cicera alves de sena , 29
she was killed after he 'd yelled at her that she was ' a slut '
he then dumped her on the ground and savagely slammed the back of her head into the concrete 11 times before viciously punching her in the face another 10 times
he now faces life in jail after admitting he 'd carried out the brutal act ` because he was jealous of men looking at her '</v>
      </c>
      <c r="D119" s="70">
        <f>IF(H119=0,wdct(TRIM(C119)),0)</f>
        <v>81</v>
      </c>
      <c r="E119" s="70">
        <f>COUNTIFS('Error Log'!$A:$A,$A119,'Error Log'!$J:$J,E$1)</f>
        <v>0</v>
      </c>
      <c r="F119" s="70">
        <f>COUNTIFS('Error Log'!$A:$A,$A119,'Error Log'!$J:$J,F$1)</f>
        <v>1</v>
      </c>
      <c r="G119" s="70">
        <f>COUNTIFS('Error Log'!$A:$A,$A119,'Error Log'!$J:$J,G$1)</f>
        <v>0</v>
      </c>
      <c r="H119" s="70">
        <f>COUNTIFS('Error Log'!$A:$A,$A119,'Error Log'!$F:$F,"Source")</f>
        <v>0</v>
      </c>
      <c r="I119" s="70">
        <f>COUNTIFS('Error Log'!$A:$A,$A119,'Error Log'!$F:$F,"Target")</f>
        <v>0</v>
      </c>
      <c r="J119" s="71">
        <f t="shared" si="1"/>
        <v>96.913580246913568</v>
      </c>
    </row>
    <row r="120" spans="1:10">
      <c r="A120" s="79" t="s">
        <v>961</v>
      </c>
      <c r="B120" s="70" t="str">
        <f>IF(ISBLANK(A120),"",INDEX('Error Log'!$A:$J,MATCH('Scores per segment'!$A120,'Error Log'!$A:$A,0),MATCH('Scores per segment'!B$1,'Error Log'!$A$1:$J$1,0)))</f>
        <v>(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v>
      </c>
      <c r="C120" s="70" t="str">
        <f>IF(ISBLANK(A120),"",INDEX('Error Log'!$A:$J,MATCH('Scores per segment'!$A120,'Error Log'!$A:$A,0),MATCH('Scores per segment'!C$1,'Error Log'!$A$1:$J$1,0)))</f>
        <v>" we can only trust in god for a miracle at this time , " cissy houston says
bobbi kristina brown , 22 , has " global and irreversible brain damage , " her grandmother says
her eyes do not follow a person around the room , the source says</v>
      </c>
      <c r="D120" s="70">
        <f>IF(H120=0,wdct(TRIM(C120)),0)</f>
        <v>41</v>
      </c>
      <c r="E120" s="70">
        <f>COUNTIFS('Error Log'!$A:$A,$A120,'Error Log'!$J:$J,E$1)</f>
        <v>1</v>
      </c>
      <c r="F120" s="70">
        <f>COUNTIFS('Error Log'!$A:$A,$A120,'Error Log'!$J:$J,F$1)</f>
        <v>1</v>
      </c>
      <c r="G120" s="70">
        <f>COUNTIFS('Error Log'!$A:$A,$A120,'Error Log'!$J:$J,G$1)</f>
        <v>0</v>
      </c>
      <c r="H120" s="70">
        <f>COUNTIFS('Error Log'!$A:$A,$A120,'Error Log'!$F:$F,"Source")</f>
        <v>0</v>
      </c>
      <c r="I120" s="70">
        <f>COUNTIFS('Error Log'!$A:$A,$A120,'Error Log'!$F:$F,"Target")</f>
        <v>0</v>
      </c>
      <c r="J120" s="71">
        <f t="shared" si="1"/>
        <v>81.707317073170728</v>
      </c>
    </row>
    <row r="121" spans="1:10">
      <c r="A121" s="79" t="s">
        <v>962</v>
      </c>
      <c r="B121" s="70" t="str">
        <f>IF(ISBLANK(A121),"",INDEX('Error Log'!$A:$J,MATCH('Scores per segment'!$A121,'Error Log'!$A:$A,0),MATCH('Scores per segment'!B$1,'Error Log'!$A$1:$J$1,0)))</f>
        <v>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v>
      </c>
      <c r="C121" s="70" t="str">
        <f>IF(ISBLANK(A121),"",INDEX('Error Log'!$A:$J,MATCH('Scores per segment'!$A121,'Error Log'!$A:$A,0),MATCH('Scores per segment'!C$1,'Error Log'!$A$1:$J$1,0)))</f>
        <v>during a candid interview sarah wilson revealed she came close to taking her own life
she said anxiety drove her to believe she had reached a stage where she ` could n't see the point of continuing '
while she had n't found a husband , nor had children , she felt increasingly isolated
ms wilson said anxiety is quickly becoming the ` new depression '</v>
      </c>
      <c r="D121" s="70">
        <f>IF(H121=0,wdct(TRIM(C121)),0)</f>
        <v>60</v>
      </c>
      <c r="E121" s="70">
        <f>COUNTIFS('Error Log'!$A:$A,$A121,'Error Log'!$J:$J,E$1)</f>
        <v>2</v>
      </c>
      <c r="F121" s="70">
        <f>COUNTIFS('Error Log'!$A:$A,$A121,'Error Log'!$J:$J,F$1)</f>
        <v>1</v>
      </c>
      <c r="G121" s="70">
        <f>COUNTIFS('Error Log'!$A:$A,$A121,'Error Log'!$J:$J,G$1)</f>
        <v>0</v>
      </c>
      <c r="H121" s="70">
        <f>COUNTIFS('Error Log'!$A:$A,$A121,'Error Log'!$F:$F,"Source")</f>
        <v>0</v>
      </c>
      <c r="I121" s="70">
        <f>COUNTIFS('Error Log'!$A:$A,$A121,'Error Log'!$F:$F,"Target")</f>
        <v>0</v>
      </c>
      <c r="J121" s="71">
        <f t="shared" si="1"/>
        <v>79.166666666666657</v>
      </c>
    </row>
    <row r="122" spans="1:10">
      <c r="A122" s="79" t="s">
        <v>963</v>
      </c>
      <c r="B122" s="70" t="str">
        <f>IF(ISBLANK(A122),"",INDEX('Error Log'!$A:$J,MATCH('Scores per segment'!$A122,'Error Log'!$A:$A,0),MATCH('Scores per segment'!B$1,'Error Log'!$A$1:$J$1,0)))</f>
        <v>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v>
      </c>
      <c r="C122" s="70" t="str">
        <f>IF(ISBLANK(A122),"",INDEX('Error Log'!$A:$J,MATCH('Scores per segment'!$A122,'Error Log'!$A:$A,0),MATCH('Scores per segment'!C$1,'Error Log'!$A$1:$J$1,0)))</f>
        <v>jack grealish has made his first premier league start for aston villa
the republic of ireland under 21 international wears children 's shinpads
grealish is renowned for keeping his stockings above the roll of his shinpads
he appears not to wear shinpads on first glance , but does in fact use a children 's size</v>
      </c>
      <c r="D122" s="70">
        <f>IF(H122=0,wdct(TRIM(C122)),0)</f>
        <v>54</v>
      </c>
      <c r="E122" s="70">
        <f>COUNTIFS('Error Log'!$A:$A,$A122,'Error Log'!$J:$J,E$1)</f>
        <v>0</v>
      </c>
      <c r="F122" s="70">
        <f>COUNTIFS('Error Log'!$A:$A,$A122,'Error Log'!$J:$J,F$1)</f>
        <v>1</v>
      </c>
      <c r="G122" s="70">
        <f>COUNTIFS('Error Log'!$A:$A,$A122,'Error Log'!$J:$J,G$1)</f>
        <v>0</v>
      </c>
      <c r="H122" s="70">
        <f>COUNTIFS('Error Log'!$A:$A,$A122,'Error Log'!$F:$F,"Source")</f>
        <v>0</v>
      </c>
      <c r="I122" s="70">
        <f>COUNTIFS('Error Log'!$A:$A,$A122,'Error Log'!$F:$F,"Target")</f>
        <v>0</v>
      </c>
      <c r="J122" s="71">
        <f t="shared" si="1"/>
        <v>95.370370370370381</v>
      </c>
    </row>
    <row r="123" spans="1:10">
      <c r="A123" s="79" t="s">
        <v>964</v>
      </c>
      <c r="B123" s="70" t="str">
        <f>IF(ISBLANK(A123),"",INDEX('Error Log'!$A:$J,MATCH('Scores per segment'!$A123,'Error Log'!$A:$A,0),MATCH('Scores per segment'!B$1,'Error Log'!$A$1:$J$1,0)))</f>
        <v>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v>
      </c>
      <c r="C123" s="70" t="str">
        <f>IF(ISBLANK(A123),"",INDEX('Error Log'!$A:$J,MATCH('Scores per segment'!$A123,'Error Log'!$A:$A,0),MATCH('Scores per segment'!C$1,'Error Log'!$A$1:$J$1,0)))</f>
        <v>elena curtin of portland was seven-months pregnant when she was charged with second-degree assault after she struck her boyfriend 's ex in the head and arm with a crowbar in november 2014
she was set to go to trial in multnomah county circuit court this week , but prosecutors dropped the charge on monday because curtin was ` completely justified in her outrage '</v>
      </c>
      <c r="D123" s="70">
        <f>IF(H123=0,wdct(TRIM(C123)),0)</f>
        <v>61</v>
      </c>
      <c r="E123" s="70">
        <f>COUNTIFS('Error Log'!$A:$A,$A123,'Error Log'!$J:$J,E$1)</f>
        <v>1</v>
      </c>
      <c r="F123" s="70">
        <f>COUNTIFS('Error Log'!$A:$A,$A123,'Error Log'!$J:$J,F$1)</f>
        <v>0</v>
      </c>
      <c r="G123" s="70">
        <f>COUNTIFS('Error Log'!$A:$A,$A123,'Error Log'!$J:$J,G$1)</f>
        <v>0</v>
      </c>
      <c r="H123" s="70">
        <f>COUNTIFS('Error Log'!$A:$A,$A123,'Error Log'!$F:$F,"Source")</f>
        <v>0</v>
      </c>
      <c r="I123" s="70">
        <f>COUNTIFS('Error Log'!$A:$A,$A123,'Error Log'!$F:$F,"Target")</f>
        <v>0</v>
      </c>
      <c r="J123" s="71">
        <f t="shared" si="1"/>
        <v>91.803278688524586</v>
      </c>
    </row>
    <row r="124" spans="1:10">
      <c r="A124" s="15" t="s">
        <v>965</v>
      </c>
      <c r="B124" s="70" t="str">
        <f>IF(ISBLANK(A124),"",INDEX('Error Log'!$A:$J,MATCH('Scores per segment'!$A124,'Error Log'!$A:$A,0),MATCH('Scores per segment'!B$1,'Error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v>
      </c>
      <c r="C124" s="70" t="str">
        <f>IF(ISBLANK(A124),"",INDEX('Error Log'!$A:$J,MATCH('Scores per segment'!$A124,'Error Log'!$A:$A,0),MATCH('Scores per segment'!C$1,'Error Log'!$A$1:$J$1,0)))</f>
        <v>an explosion at a controversial chemical plant in china 's fujian province sparked a huge fire
the plant produces paraxylene ( px ) , a carcinogenic chemical used in the production of polyester films and fabrics
five out of six people were injured by broken glass and have been sent to the hospital for treatment</v>
      </c>
      <c r="D124" s="70">
        <f>IF(H124=0,wdct(TRIM(C124)),0)</f>
        <v>52</v>
      </c>
      <c r="E124" s="70">
        <f>COUNTIFS('Error Log'!$A:$A,$A124,'Error Log'!$J:$J,E$1)</f>
        <v>2</v>
      </c>
      <c r="F124" s="70">
        <f>COUNTIFS('Error Log'!$A:$A,$A124,'Error Log'!$J:$J,F$1)</f>
        <v>3</v>
      </c>
      <c r="G124" s="70">
        <f>COUNTIFS('Error Log'!$A:$A,$A124,'Error Log'!$J:$J,G$1)</f>
        <v>0</v>
      </c>
      <c r="H124" s="70">
        <f>COUNTIFS('Error Log'!$A:$A,$A124,'Error Log'!$F:$F,"Source")</f>
        <v>0</v>
      </c>
      <c r="I124" s="70">
        <f>COUNTIFS('Error Log'!$A:$A,$A124,'Error Log'!$F:$F,"Target")</f>
        <v>0</v>
      </c>
      <c r="J124" s="71">
        <f t="shared" si="1"/>
        <v>66.34615384615384</v>
      </c>
    </row>
    <row r="125" spans="1:10">
      <c r="A125" s="15" t="s">
        <v>966</v>
      </c>
      <c r="B125" s="70" t="str">
        <f>IF(ISBLANK(A125),"",INDEX('Error Log'!$A:$J,MATCH('Scores per segment'!$A125,'Error Log'!$A:$A,0),MATCH('Scores per segment'!B$1,'Error Log'!$A$1:$J$1,0)))</f>
        <v>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v>
      </c>
      <c r="C125" s="70" t="str">
        <f>IF(ISBLANK(A125),"",INDEX('Error Log'!$A:$J,MATCH('Scores per segment'!$A125,'Error Log'!$A:$A,0),MATCH('Scores per segment'!C$1,'Error Log'!$A$1:$J$1,0)))</f>
        <v>gemma the pit bull was filmed at home in california being fed treats
but in a bid to trick her , her owner throws a broccoli spear into the mix
immediately the canine pulls a look of disgust as she chomps on the vegetable
she then proceeds to spit it out on the floor  let 's hope the two children she lives with do n't follow her lead</v>
      </c>
      <c r="D125" s="70">
        <f>IF(H125=0,wdct(TRIM(C125)),0)</f>
        <v>67</v>
      </c>
      <c r="E125" s="70">
        <f>COUNTIFS('Error Log'!$A:$A,$A125,'Error Log'!$J:$J,E$1)</f>
        <v>0</v>
      </c>
      <c r="F125" s="70">
        <f>COUNTIFS('Error Log'!$A:$A,$A125,'Error Log'!$J:$J,F$1)</f>
        <v>2</v>
      </c>
      <c r="G125" s="70">
        <f>COUNTIFS('Error Log'!$A:$A,$A125,'Error Log'!$J:$J,G$1)</f>
        <v>0</v>
      </c>
      <c r="H125" s="70">
        <f>COUNTIFS('Error Log'!$A:$A,$A125,'Error Log'!$F:$F,"Source")</f>
        <v>0</v>
      </c>
      <c r="I125" s="70">
        <f>COUNTIFS('Error Log'!$A:$A,$A125,'Error Log'!$F:$F,"Target")</f>
        <v>0</v>
      </c>
      <c r="J125" s="71">
        <f t="shared" si="1"/>
        <v>92.537313432835816</v>
      </c>
    </row>
    <row r="126" spans="1:10">
      <c r="A126" s="15" t="s">
        <v>967</v>
      </c>
      <c r="B126" s="70" t="str">
        <f>IF(ISBLANK(A126),"",INDEX('Error Log'!$A:$J,MATCH('Scores per segment'!$A126,'Error Log'!$A:$A,0),MATCH('Scores per segment'!B$1,'Error Log'!$A$1:$J$1,0)))</f>
        <v>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v>
      </c>
      <c r="C126" s="70" t="str">
        <f>IF(ISBLANK(A126),"",INDEX('Error Log'!$A:$J,MATCH('Scores per segment'!$A126,'Error Log'!$A:$A,0),MATCH('Scores per segment'!C$1,'Error Log'!$A$1:$J$1,0)))</f>
        <v>robert kushner , 32 , is one of more than a dozen former drug dealers testifying for the federal government about allegations of police wrongdoing
kushner told jurors tuesday that some of the undercover officers on trial had stolen $ 81,000 in cash and 7 pounds of marijuana from him during a 2007 arrest
that history came as news to officials at jack m. barrack hebrew academy in suburban bryn mawr</v>
      </c>
      <c r="D126" s="70">
        <f>IF(H126=0,wdct(TRIM(C126)),0)</f>
        <v>68</v>
      </c>
      <c r="E126" s="70">
        <f>COUNTIFS('Error Log'!$A:$A,$A126,'Error Log'!$J:$J,E$1)</f>
        <v>2</v>
      </c>
      <c r="F126" s="70">
        <f>COUNTIFS('Error Log'!$A:$A,$A126,'Error Log'!$J:$J,F$1)</f>
        <v>2</v>
      </c>
      <c r="G126" s="70">
        <f>COUNTIFS('Error Log'!$A:$A,$A126,'Error Log'!$J:$J,G$1)</f>
        <v>0</v>
      </c>
      <c r="H126" s="70">
        <f>COUNTIFS('Error Log'!$A:$A,$A126,'Error Log'!$F:$F,"Source")</f>
        <v>0</v>
      </c>
      <c r="I126" s="70">
        <f>COUNTIFS('Error Log'!$A:$A,$A126,'Error Log'!$F:$F,"Target")</f>
        <v>0</v>
      </c>
      <c r="J126" s="71">
        <f t="shared" si="1"/>
        <v>77.941176470588232</v>
      </c>
    </row>
    <row r="127" spans="1:10">
      <c r="A127" s="15" t="s">
        <v>968</v>
      </c>
      <c r="B127" s="70" t="str">
        <f>IF(ISBLANK(A127),"",INDEX('Error Log'!$A:$J,MATCH('Scores per segment'!$A127,'Error Log'!$A:$A,0),MATCH('Scores per segment'!B$1,'Error Log'!$A$1:$J$1,0)))</f>
        <v>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v>
      </c>
      <c r="C127" s="70" t="str">
        <f>IF(ISBLANK(A127),"",INDEX('Error Log'!$A:$J,MATCH('Scores per segment'!$A127,'Error Log'!$A:$A,0),MATCH('Scores per segment'!C$1,'Error Log'!$A$1:$J$1,0)))</f>
        <v>anyone trying to access the bank 's page for the young entrepreneur awards was greeted by images of women posing naked or having sex
the porn site took over the address after the awards were scrapped in 2011 and the organisers allowed its registration to retire
hsbc yesterday removed the hyperlink from its main website after realising its embarrassing mistake</v>
      </c>
      <c r="D127" s="70">
        <f>IF(H127=0,wdct(TRIM(C127)),0)</f>
        <v>60</v>
      </c>
      <c r="E127" s="70">
        <f>COUNTIFS('Error Log'!$A:$A,$A127,'Error Log'!$J:$J,E$1)</f>
        <v>1</v>
      </c>
      <c r="F127" s="70">
        <f>COUNTIFS('Error Log'!$A:$A,$A127,'Error Log'!$J:$J,F$1)</f>
        <v>1</v>
      </c>
      <c r="G127" s="70">
        <f>COUNTIFS('Error Log'!$A:$A,$A127,'Error Log'!$J:$J,G$1)</f>
        <v>0</v>
      </c>
      <c r="H127" s="70">
        <f>COUNTIFS('Error Log'!$A:$A,$A127,'Error Log'!$F:$F,"Source")</f>
        <v>0</v>
      </c>
      <c r="I127" s="70">
        <f>COUNTIFS('Error Log'!$A:$A,$A127,'Error Log'!$F:$F,"Target")</f>
        <v>0</v>
      </c>
      <c r="J127" s="71">
        <f t="shared" si="1"/>
        <v>87.5</v>
      </c>
    </row>
    <row r="128" spans="1:10">
      <c r="A128" s="15" t="s">
        <v>969</v>
      </c>
      <c r="B128" s="70" t="str">
        <f>IF(ISBLANK(A128),"",INDEX('Error Log'!$A:$J,MATCH('Scores per segment'!$A128,'Error Log'!$A:$A,0),MATCH('Scores per segment'!B$1,'Error Log'!$A$1:$J$1,0)))</f>
        <v>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v>
      </c>
      <c r="C128" s="70" t="str">
        <f>IF(ISBLANK(A128),"",INDEX('Error Log'!$A:$J,MATCH('Scores per segment'!$A128,'Error Log'!$A:$A,0),MATCH('Scores per segment'!C$1,'Error Log'!$A$1:$J$1,0)))</f>
        <v>youtube user lionel hutz filmed his young son chasing the family feline around the garden in a bid to get some rest
footage shows the cat licking his fur before his human friend comes along and plonks himself on top
after a brief moment of silence , the cat immediately gets up and scurries over to another spot</v>
      </c>
      <c r="D128" s="70">
        <f>IF(H128=0,wdct(TRIM(C128)),0)</f>
        <v>57</v>
      </c>
      <c r="E128" s="70">
        <f>COUNTIFS('Error Log'!$A:$A,$A128,'Error Log'!$J:$J,E$1)</f>
        <v>0</v>
      </c>
      <c r="F128" s="70">
        <f>COUNTIFS('Error Log'!$A:$A,$A128,'Error Log'!$J:$J,F$1)</f>
        <v>1</v>
      </c>
      <c r="G128" s="70">
        <f>COUNTIFS('Error Log'!$A:$A,$A128,'Error Log'!$J:$J,G$1)</f>
        <v>0</v>
      </c>
      <c r="H128" s="70">
        <f>COUNTIFS('Error Log'!$A:$A,$A128,'Error Log'!$F:$F,"Source")</f>
        <v>0</v>
      </c>
      <c r="I128" s="70">
        <f>COUNTIFS('Error Log'!$A:$A,$A128,'Error Log'!$F:$F,"Target")</f>
        <v>0</v>
      </c>
      <c r="J128" s="71">
        <f t="shared" si="1"/>
        <v>95.614035087719287</v>
      </c>
    </row>
    <row r="129" spans="1:10">
      <c r="A129" s="15" t="s">
        <v>970</v>
      </c>
      <c r="B129" s="70" t="str">
        <f>IF(ISBLANK(A129),"",INDEX('Error Log'!$A:$J,MATCH('Scores per segment'!$A129,'Error Log'!$A:$A,0),MATCH('Scores per segment'!B$1,'Error Log'!$A$1:$J$1,0)))</f>
        <v>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v>
      </c>
      <c r="C129" s="70" t="str">
        <f>IF(ISBLANK(A129),"",INDEX('Error Log'!$A:$J,MATCH('Scores per segment'!$A129,'Error Log'!$A:$A,0),MATCH('Scores per segment'!C$1,'Error Log'!$A$1:$J$1,0)))</f>
        <v>marcus and his nine-year-old sister aaliyah were trapped in a second-floor bedroom after the fire broke out on the first floor of their home in clinton on sunday morning
the boy called 911 shortly before 7am after he smelled smoke and told the dispatcher that his older brother , mother and step-father were also in the home
while giving directions , the boy said : ` go up the steps right in the back hallways . ` it 's a black door to the right '</v>
      </c>
      <c r="D129" s="70">
        <f>IF(H129=0,wdct(TRIM(C129)),0)</f>
        <v>79</v>
      </c>
      <c r="E129" s="70">
        <f>COUNTIFS('Error Log'!$A:$A,$A129,'Error Log'!$J:$J,E$1)</f>
        <v>1</v>
      </c>
      <c r="F129" s="70">
        <f>COUNTIFS('Error Log'!$A:$A,$A129,'Error Log'!$J:$J,F$1)</f>
        <v>1</v>
      </c>
      <c r="G129" s="70">
        <f>COUNTIFS('Error Log'!$A:$A,$A129,'Error Log'!$J:$J,G$1)</f>
        <v>0</v>
      </c>
      <c r="H129" s="70">
        <f>COUNTIFS('Error Log'!$A:$A,$A129,'Error Log'!$F:$F,"Source")</f>
        <v>0</v>
      </c>
      <c r="I129" s="70">
        <f>COUNTIFS('Error Log'!$A:$A,$A129,'Error Log'!$F:$F,"Target")</f>
        <v>0</v>
      </c>
      <c r="J129" s="71">
        <f t="shared" si="1"/>
        <v>90.506329113924053</v>
      </c>
    </row>
    <row r="130" spans="1:10">
      <c r="A130" s="15" t="s">
        <v>971</v>
      </c>
      <c r="B130" s="70" t="str">
        <f>IF(ISBLANK(A130),"",INDEX('Error Log'!$A:$J,MATCH('Scores per segment'!$A130,'Error Log'!$A:$A,0),MATCH('Scores per segment'!B$1,'Error Log'!$A$1:$J$1,0)))</f>
        <v>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v>
      </c>
      <c r="C130" s="70" t="str">
        <f>IF(ISBLANK(A130),"",INDEX('Error Log'!$A:$J,MATCH('Scores per segment'!$A130,'Error Log'!$A:$A,0),MATCH('Scores per segment'!C$1,'Error Log'!$A$1:$J$1,0)))</f>
        <v>mohammed abu khdeir , 16 , was beaten and burned alive by three israelis in july
his family objected to his inclusion on the memorial wall
the national insurance institute of israel will remove abu khdeir 's name from the wall</v>
      </c>
      <c r="D130" s="70">
        <f>IF(H130=0,wdct(TRIM(C130)),0)</f>
        <v>39</v>
      </c>
      <c r="E130" s="70">
        <f>COUNTIFS('Error Log'!$A:$A,$A130,'Error Log'!$J:$J,E$1)</f>
        <v>0</v>
      </c>
      <c r="F130" s="70">
        <f>COUNTIFS('Error Log'!$A:$A,$A130,'Error Log'!$J:$J,F$1)</f>
        <v>0</v>
      </c>
      <c r="G130" s="70">
        <f>COUNTIFS('Error Log'!$A:$A,$A130,'Error Log'!$J:$J,G$1)</f>
        <v>0</v>
      </c>
      <c r="H130" s="70">
        <f>COUNTIFS('Error Log'!$A:$A,$A130,'Error Log'!$F:$F,"Source")</f>
        <v>0</v>
      </c>
      <c r="I130" s="70">
        <f>COUNTIFS('Error Log'!$A:$A,$A130,'Error Log'!$F:$F,"Target")</f>
        <v>0</v>
      </c>
      <c r="J130" s="71">
        <f t="shared" ref="J130:J193" si="2">IF(I130=0,IFERROR((((1-((E130*10+F130*5+G130*1)/D130))*100)+100)/2,0),-150)</f>
        <v>100</v>
      </c>
    </row>
    <row r="131" spans="1:10">
      <c r="A131" s="15" t="s">
        <v>972</v>
      </c>
      <c r="B131" s="70" t="str">
        <f>IF(ISBLANK(A131),"",INDEX('Error Log'!$A:$J,MATCH('Scores per segment'!$A131,'Error Log'!$A:$A,0),MATCH('Scores per segment'!B$1,'Error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v>
      </c>
      <c r="C131" s="70" t="str">
        <f>IF(ISBLANK(A131),"",INDEX('Error Log'!$A:$J,MATCH('Scores per segment'!$A131,'Error Log'!$A:$A,0),MATCH('Scores per segment'!C$1,'Error Log'!$A$1:$J$1,0)))</f>
        <v>the images were taken in jervis bay , the south coast of nsw , as the neon glow illuminated one of australia 's popular beaches
photographer andy hutchinson described the sight as a ` beautiful supernatural scene ' caused by millions of plankton omitting light
a similar display was shown in sydney 's manly beach back in august 2014 where an oceanography expert said there was no need to be concerned about the algae</v>
      </c>
      <c r="D131" s="70">
        <f>IF(H131=0,wdct(TRIM(C131)),0)</f>
        <v>70</v>
      </c>
      <c r="E131" s="70">
        <f>COUNTIFS('Error Log'!$A:$A,$A131,'Error Log'!$J:$J,E$1)</f>
        <v>1</v>
      </c>
      <c r="F131" s="70">
        <f>COUNTIFS('Error Log'!$A:$A,$A131,'Error Log'!$J:$J,F$1)</f>
        <v>0</v>
      </c>
      <c r="G131" s="70">
        <f>COUNTIFS('Error Log'!$A:$A,$A131,'Error Log'!$J:$J,G$1)</f>
        <v>0</v>
      </c>
      <c r="H131" s="70">
        <f>COUNTIFS('Error Log'!$A:$A,$A131,'Error Log'!$F:$F,"Source")</f>
        <v>0</v>
      </c>
      <c r="I131" s="70">
        <f>COUNTIFS('Error Log'!$A:$A,$A131,'Error Log'!$F:$F,"Target")</f>
        <v>0</v>
      </c>
      <c r="J131" s="71">
        <f t="shared" si="2"/>
        <v>92.857142857142861</v>
      </c>
    </row>
    <row r="132" spans="1:10">
      <c r="A132" s="15" t="s">
        <v>973</v>
      </c>
      <c r="B132" s="70" t="str">
        <f>IF(ISBLANK(A132),"",INDEX('Error Log'!$A:$J,MATCH('Scores per segment'!$A132,'Error Log'!$A:$A,0),MATCH('Scores per segment'!B$1,'Error Log'!$A$1:$J$1,0)))</f>
        <v>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v>
      </c>
      <c r="C132" s="70" t="str">
        <f>IF(ISBLANK(A132),"",INDEX('Error Log'!$A:$J,MATCH('Scores per segment'!$A132,'Error Log'!$A:$A,0),MATCH('Scores per segment'!C$1,'Error Log'!$A$1:$J$1,0)))</f>
        <v>bolton-born boxer amir khan enjoyed a family day at six flags discovery kingdom
khan also fed a rare but dangerous white tiger as well posing with giraffes and sea lions
the 28-year-old was joined by his wife faryal makhdoom khan as well as his daughter lamysa</v>
      </c>
      <c r="D132" s="70">
        <f>IF(H132=0,wdct(TRIM(C132)),0)</f>
        <v>46</v>
      </c>
      <c r="E132" s="70">
        <f>COUNTIFS('Error Log'!$A:$A,$A132,'Error Log'!$J:$J,E$1)</f>
        <v>2</v>
      </c>
      <c r="F132" s="70">
        <f>COUNTIFS('Error Log'!$A:$A,$A132,'Error Log'!$J:$J,F$1)</f>
        <v>1</v>
      </c>
      <c r="G132" s="70">
        <f>COUNTIFS('Error Log'!$A:$A,$A132,'Error Log'!$J:$J,G$1)</f>
        <v>0</v>
      </c>
      <c r="H132" s="70">
        <f>COUNTIFS('Error Log'!$A:$A,$A132,'Error Log'!$F:$F,"Source")</f>
        <v>0</v>
      </c>
      <c r="I132" s="70">
        <f>COUNTIFS('Error Log'!$A:$A,$A132,'Error Log'!$F:$F,"Target")</f>
        <v>0</v>
      </c>
      <c r="J132" s="71">
        <f t="shared" si="2"/>
        <v>72.826086956521749</v>
      </c>
    </row>
    <row r="133" spans="1:10">
      <c r="A133" s="15" t="s">
        <v>974</v>
      </c>
      <c r="B133" s="70" t="str">
        <f>IF(ISBLANK(A133),"",INDEX('Error Log'!$A:$J,MATCH('Scores per segment'!$A133,'Error Log'!$A:$A,0),MATCH('Scores per segment'!B$1,'Error Log'!$A$1:$J$1,0)))</f>
        <v>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v>
      </c>
      <c r="C133" s="70" t="str">
        <f>IF(ISBLANK(A133),"",INDEX('Error Log'!$A:$J,MATCH('Scores per segment'!$A133,'Error Log'!$A:$A,0),MATCH('Scores per segment'!C$1,'Error Log'!$A$1:$J$1,0)))</f>
        <v>after surgery , the cancer cells are sent to a lab where they are screened
women can be told within days whether they have a high or low risk of the disease returning
for some women , the test can accurately tell if the risk is as low as five per cent
the majority of women who have breast cancer are routinely given the gruelling drug treatment following removal of the tumour to prevent recurrence</v>
      </c>
      <c r="D133" s="70">
        <f>IF(H133=0,wdct(TRIM(C133)),0)</f>
        <v>73</v>
      </c>
      <c r="E133" s="70">
        <f>COUNTIFS('Error Log'!$A:$A,$A133,'Error Log'!$J:$J,E$1)</f>
        <v>2</v>
      </c>
      <c r="F133" s="70">
        <f>COUNTIFS('Error Log'!$A:$A,$A133,'Error Log'!$J:$J,F$1)</f>
        <v>3</v>
      </c>
      <c r="G133" s="70">
        <f>COUNTIFS('Error Log'!$A:$A,$A133,'Error Log'!$J:$J,G$1)</f>
        <v>0</v>
      </c>
      <c r="H133" s="70">
        <f>COUNTIFS('Error Log'!$A:$A,$A133,'Error Log'!$F:$F,"Source")</f>
        <v>0</v>
      </c>
      <c r="I133" s="70">
        <f>COUNTIFS('Error Log'!$A:$A,$A133,'Error Log'!$F:$F,"Target")</f>
        <v>0</v>
      </c>
      <c r="J133" s="71">
        <f t="shared" si="2"/>
        <v>76.027397260273972</v>
      </c>
    </row>
    <row r="134" spans="1:10">
      <c r="A134" s="15" t="s">
        <v>975</v>
      </c>
      <c r="B134" s="70" t="str">
        <f>IF(ISBLANK(A134),"",INDEX('Error Log'!$A:$J,MATCH('Scores per segment'!$A134,'Error Log'!$A:$A,0),MATCH('Scores per segment'!B$1,'Error Log'!$A$1:$J$1,0)))</f>
        <v>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v>
      </c>
      <c r="C134" s="70" t="str">
        <f>IF(ISBLANK(A134),"",INDEX('Error Log'!$A:$J,MATCH('Scores per segment'!$A134,'Error Log'!$A:$A,0),MATCH('Scores per segment'!C$1,'Error Log'!$A$1:$J$1,0)))</f>
        <v>the icebergs club pool was drained on thursday to create a unique catwalk for mercedes-benz fashion week australia
the collection of ten pieces is designed to be worn in 20 different ways
guests were treated to nibbles by icebergs and drinks from santa vittoria</v>
      </c>
      <c r="D134" s="70">
        <f>IF(H134=0,wdct(TRIM(C134)),0)</f>
        <v>44</v>
      </c>
      <c r="E134" s="70">
        <f>COUNTIFS('Error Log'!$A:$A,$A134,'Error Log'!$J:$J,E$1)</f>
        <v>1</v>
      </c>
      <c r="F134" s="70">
        <f>COUNTIFS('Error Log'!$A:$A,$A134,'Error Log'!$J:$J,F$1)</f>
        <v>0</v>
      </c>
      <c r="G134" s="70">
        <f>COUNTIFS('Error Log'!$A:$A,$A134,'Error Log'!$J:$J,G$1)</f>
        <v>0</v>
      </c>
      <c r="H134" s="70">
        <f>COUNTIFS('Error Log'!$A:$A,$A134,'Error Log'!$F:$F,"Source")</f>
        <v>0</v>
      </c>
      <c r="I134" s="70">
        <f>COUNTIFS('Error Log'!$A:$A,$A134,'Error Log'!$F:$F,"Target")</f>
        <v>0</v>
      </c>
      <c r="J134" s="71">
        <f t="shared" si="2"/>
        <v>88.636363636363626</v>
      </c>
    </row>
    <row r="135" spans="1:10">
      <c r="A135" s="15" t="s">
        <v>976</v>
      </c>
      <c r="B135" s="70" t="str">
        <f>IF(ISBLANK(A135),"",INDEX('Error Log'!$A:$J,MATCH('Scores per segment'!$A135,'Error Log'!$A:$A,0),MATCH('Scores per segment'!B$1,'Error Log'!$A$1:$J$1,0)))</f>
        <v>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v>
      </c>
      <c r="C135" s="70" t="str">
        <f>IF(ISBLANK(A135),"",INDEX('Error Log'!$A:$J,MATCH('Scores per segment'!$A135,'Error Log'!$A:$A,0),MATCH('Scores per segment'!C$1,'Error Log'!$A$1:$J$1,0)))</f>
        <v>one ship - hms ocean - even had five pregnant sailors removed in emergency ` medevacs ' during the last nine years
and at least one woman was airlifted from hms illustrious , which was nicknamed ` hms lusty ' by the crew before it was decommissioned last year
a ministry of defence spokesman confirmed there was a strict ` no touching ' rule in place at sea , which suggests the women conceived before boarding the ships or during leave</v>
      </c>
      <c r="D135" s="70">
        <f>IF(H135=0,wdct(TRIM(C135)),0)</f>
        <v>71</v>
      </c>
      <c r="E135" s="70">
        <f>COUNTIFS('Error Log'!$A:$A,$A135,'Error Log'!$J:$J,E$1)</f>
        <v>0</v>
      </c>
      <c r="F135" s="70">
        <f>COUNTIFS('Error Log'!$A:$A,$A135,'Error Log'!$J:$J,F$1)</f>
        <v>0</v>
      </c>
      <c r="G135" s="70">
        <f>COUNTIFS('Error Log'!$A:$A,$A135,'Error Log'!$J:$J,G$1)</f>
        <v>0</v>
      </c>
      <c r="H135" s="70">
        <f>COUNTIFS('Error Log'!$A:$A,$A135,'Error Log'!$F:$F,"Source")</f>
        <v>0</v>
      </c>
      <c r="I135" s="70">
        <f>COUNTIFS('Error Log'!$A:$A,$A135,'Error Log'!$F:$F,"Target")</f>
        <v>0</v>
      </c>
      <c r="J135" s="71">
        <f t="shared" si="2"/>
        <v>100</v>
      </c>
    </row>
    <row r="136" spans="1:10">
      <c r="A136" s="15" t="s">
        <v>977</v>
      </c>
      <c r="B136" s="70" t="str">
        <f>IF(ISBLANK(A136),"",INDEX('Error Log'!$A:$J,MATCH('Scores per segment'!$A136,'Error Log'!$A:$A,0),MATCH('Scores per segment'!B$1,'Error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v>
      </c>
      <c r="C136" s="70" t="str">
        <f>IF(ISBLANK(A136),"",INDEX('Error Log'!$A:$J,MATCH('Scores per segment'!$A136,'Error Log'!$A:$A,0),MATCH('Scores per segment'!C$1,'Error Log'!$A$1:$J$1,0)))</f>
        <v>tom o'carroll , a leading member of the notorious paedophile information exchange , has joined the supporters of the media pressure group hacked off
o'carroll attended a hacked off rally in the houses of parliament on february 25 to lobby mps for state involvement in media regulation
the organisation , set up in the wake of the phone-hacking scandal , is campaigning against what it sees as the ` biased and unfair ' independent press standards organisation</v>
      </c>
      <c r="D136" s="70">
        <f>IF(H136=0,wdct(TRIM(C136)),0)</f>
        <v>71</v>
      </c>
      <c r="E136" s="70">
        <f>COUNTIFS('Error Log'!$A:$A,$A136,'Error Log'!$J:$J,E$1)</f>
        <v>3</v>
      </c>
      <c r="F136" s="70">
        <f>COUNTIFS('Error Log'!$A:$A,$A136,'Error Log'!$J:$J,F$1)</f>
        <v>2</v>
      </c>
      <c r="G136" s="70">
        <f>COUNTIFS('Error Log'!$A:$A,$A136,'Error Log'!$J:$J,G$1)</f>
        <v>0</v>
      </c>
      <c r="H136" s="70">
        <f>COUNTIFS('Error Log'!$A:$A,$A136,'Error Log'!$F:$F,"Source")</f>
        <v>0</v>
      </c>
      <c r="I136" s="70">
        <f>COUNTIFS('Error Log'!$A:$A,$A136,'Error Log'!$F:$F,"Target")</f>
        <v>0</v>
      </c>
      <c r="J136" s="71">
        <f t="shared" si="2"/>
        <v>71.83098591549296</v>
      </c>
    </row>
    <row r="137" spans="1:10">
      <c r="A137" s="15" t="s">
        <v>978</v>
      </c>
      <c r="B137" s="70" t="str">
        <f>IF(ISBLANK(A137),"",INDEX('Error Log'!$A:$J,MATCH('Scores per segment'!$A137,'Error Log'!$A:$A,0),MATCH('Scores per segment'!B$1,'Error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v>
      </c>
      <c r="C137" s="70" t="str">
        <f>IF(ISBLANK(A137),"",INDEX('Error Log'!$A:$J,MATCH('Scores per segment'!$A137,'Error Log'!$A:$A,0),MATCH('Scores per segment'!C$1,'Error Log'!$A$1:$J$1,0)))</f>
        <v>a drone carrying traces of a radioactive material was found on the roof of japan 's equivalent to the white house
the discovery comes on the same day a government plan to restart two reactors at the sendai nuclear power plant in kagoshima prefecture
prime minister shinzo abe 's push to restart the reactors is unpopular among many japanese , who view nuclear energy as too dangerous</v>
      </c>
      <c r="D137" s="70">
        <f>IF(H137=0,wdct(TRIM(C137)),0)</f>
        <v>66</v>
      </c>
      <c r="E137" s="70">
        <f>COUNTIFS('Error Log'!$A:$A,$A137,'Error Log'!$J:$J,E$1)</f>
        <v>1</v>
      </c>
      <c r="F137" s="70">
        <f>COUNTIFS('Error Log'!$A:$A,$A137,'Error Log'!$J:$J,F$1)</f>
        <v>1</v>
      </c>
      <c r="G137" s="70">
        <f>COUNTIFS('Error Log'!$A:$A,$A137,'Error Log'!$J:$J,G$1)</f>
        <v>0</v>
      </c>
      <c r="H137" s="70">
        <f>COUNTIFS('Error Log'!$A:$A,$A137,'Error Log'!$F:$F,"Source")</f>
        <v>0</v>
      </c>
      <c r="I137" s="70">
        <f>COUNTIFS('Error Log'!$A:$A,$A137,'Error Log'!$F:$F,"Target")</f>
        <v>0</v>
      </c>
      <c r="J137" s="71">
        <f t="shared" si="2"/>
        <v>88.636363636363626</v>
      </c>
    </row>
    <row r="138" spans="1:10">
      <c r="A138" s="15" t="s">
        <v>979</v>
      </c>
      <c r="B138" s="70" t="str">
        <f>IF(ISBLANK(A138),"",INDEX('Error Log'!$A:$J,MATCH('Scores per segment'!$A138,'Error Log'!$A:$A,0),MATCH('Scores per segment'!B$1,'Error Log'!$A$1:$J$1,0)))</f>
        <v>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v>
      </c>
      <c r="C138" s="70" t="str">
        <f>IF(ISBLANK(A138),"",INDEX('Error Log'!$A:$J,MATCH('Scores per segment'!$A138,'Error Log'!$A:$A,0),MATCH('Scores per segment'!C$1,'Error Log'!$A$1:$J$1,0)))</f>
        <v>the five-year-old child is called mai zizhuo and he has been shooting hoops since he was two and a half years old
his incredible skills have won him legion of fans across china
the country 's biggest basketball star so far has been shanghai-born yao ming , who played for nba 's houston rockets from 2002 to 2011</v>
      </c>
      <c r="D138" s="70">
        <f>IF(H138=0,wdct(TRIM(C138)),0)</f>
        <v>57</v>
      </c>
      <c r="E138" s="70">
        <f>COUNTIFS('Error Log'!$A:$A,$A138,'Error Log'!$J:$J,E$1)</f>
        <v>1</v>
      </c>
      <c r="F138" s="70">
        <f>COUNTIFS('Error Log'!$A:$A,$A138,'Error Log'!$J:$J,F$1)</f>
        <v>1</v>
      </c>
      <c r="G138" s="70">
        <f>COUNTIFS('Error Log'!$A:$A,$A138,'Error Log'!$J:$J,G$1)</f>
        <v>0</v>
      </c>
      <c r="H138" s="70">
        <f>COUNTIFS('Error Log'!$A:$A,$A138,'Error Log'!$F:$F,"Source")</f>
        <v>0</v>
      </c>
      <c r="I138" s="70">
        <f>COUNTIFS('Error Log'!$A:$A,$A138,'Error Log'!$F:$F,"Target")</f>
        <v>0</v>
      </c>
      <c r="J138" s="71">
        <f t="shared" si="2"/>
        <v>86.84210526315789</v>
      </c>
    </row>
    <row r="139" spans="1:10">
      <c r="A139" s="15" t="s">
        <v>980</v>
      </c>
      <c r="B139" s="70" t="str">
        <f>IF(ISBLANK(A139),"",INDEX('Error Log'!$A:$J,MATCH('Scores per segment'!$A139,'Error Log'!$A:$A,0),MATCH('Scores per segment'!B$1,'Error Log'!$A$1:$J$1,0)))</f>
        <v>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v>
      </c>
      <c r="C139" s="70" t="str">
        <f>IF(ISBLANK(A139),"",INDEX('Error Log'!$A:$J,MATCH('Scores per segment'!$A139,'Error Log'!$A:$A,0),MATCH('Scores per segment'!C$1,'Error Log'!$A$1:$J$1,0)))</f>
        <v>lu xincai takes his 84-year-old mother to work on the back of his motorbike every day
he ties a sash around both of their waists to ensure she does n't fall off
she would often go up to the mountains to collect firewood and there were a few occasions when she got lost after dark</v>
      </c>
      <c r="D139" s="70">
        <f>IF(H139=0,wdct(TRIM(C139)),0)</f>
        <v>55</v>
      </c>
      <c r="E139" s="70">
        <f>COUNTIFS('Error Log'!$A:$A,$A139,'Error Log'!$J:$J,E$1)</f>
        <v>2</v>
      </c>
      <c r="F139" s="70">
        <f>COUNTIFS('Error Log'!$A:$A,$A139,'Error Log'!$J:$J,F$1)</f>
        <v>0</v>
      </c>
      <c r="G139" s="70">
        <f>COUNTIFS('Error Log'!$A:$A,$A139,'Error Log'!$J:$J,G$1)</f>
        <v>0</v>
      </c>
      <c r="H139" s="70">
        <f>COUNTIFS('Error Log'!$A:$A,$A139,'Error Log'!$F:$F,"Source")</f>
        <v>0</v>
      </c>
      <c r="I139" s="70">
        <f>COUNTIFS('Error Log'!$A:$A,$A139,'Error Log'!$F:$F,"Target")</f>
        <v>0</v>
      </c>
      <c r="J139" s="71">
        <f t="shared" si="2"/>
        <v>81.818181818181813</v>
      </c>
    </row>
    <row r="140" spans="1:10">
      <c r="A140" s="79" t="s">
        <v>981</v>
      </c>
      <c r="B140" s="70" t="str">
        <f>IF(ISBLANK(A140),"",INDEX('Error Log'!$A:$J,MATCH('Scores per segment'!$A140,'Error Log'!$A:$A,0),MATCH('Scores per segment'!B$1,'Error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v>
      </c>
      <c r="C140" s="70" t="str">
        <f>IF(ISBLANK(A140),"",INDEX('Error Log'!$A:$J,MATCH('Scores per segment'!$A140,'Error Log'!$A:$A,0),MATCH('Scores per segment'!C$1,'Error Log'!$A$1:$J$1,0)))</f>
        <v>jamar nicholson , 15 , and his friends were hanging out in an alleyway in south l.a. before school on february 10
two police officers working for the lapd 's criminal gang-homicide unit approached the boys with their guns drawn
one of the teens present at the shooting was holding a fake gun that lapd say they thought was real and it prompted the officers to fire
nicholson was shot in the back by officer miguel gutierrez and is in pain but says he and the friends feel lucky to be alive</v>
      </c>
      <c r="D140" s="70">
        <f>IF(H140=0,wdct(TRIM(C140)),0)</f>
        <v>91</v>
      </c>
      <c r="E140" s="70">
        <f>COUNTIFS('Error Log'!$A:$A,$A140,'Error Log'!$J:$J,E$1)</f>
        <v>2</v>
      </c>
      <c r="F140" s="70">
        <f>COUNTIFS('Error Log'!$A:$A,$A140,'Error Log'!$J:$J,F$1)</f>
        <v>4</v>
      </c>
      <c r="G140" s="70">
        <f>COUNTIFS('Error Log'!$A:$A,$A140,'Error Log'!$J:$J,G$1)</f>
        <v>0</v>
      </c>
      <c r="H140" s="70">
        <f>COUNTIFS('Error Log'!$A:$A,$A140,'Error Log'!$F:$F,"Source")</f>
        <v>0</v>
      </c>
      <c r="I140" s="70">
        <f>COUNTIFS('Error Log'!$A:$A,$A140,'Error Log'!$F:$F,"Target")</f>
        <v>0</v>
      </c>
      <c r="J140" s="71">
        <f t="shared" si="2"/>
        <v>78.021978021978015</v>
      </c>
    </row>
    <row r="141" spans="1:10" ht="15.6">
      <c r="A141" s="100" t="s">
        <v>990</v>
      </c>
      <c r="B141" s="70" t="str">
        <f>IF(ISBLANK(A141),"",INDEX('Error Log'!$A:$J,MATCH('Scores per segment'!$A141,'Error Log'!$A:$A,0),MATCH('Scores per segment'!B$1,'Error Log'!$A$1:$J$1,0)))</f>
        <v>(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v>
      </c>
      <c r="C141" s="70" t="str">
        <f>IF(ISBLANK(A141),"",INDEX('Error Log'!$A:$J,MATCH('Scores per segment'!$A141,'Error Log'!$A:$A,0),MATCH('Scores per segment'!C$1,'Error Log'!$A$1:$J$1,0)))</f>
        <v>heavy drinking among americans rose 17.2 percent between 2005 and 2012
the centers for disease control and prevention defines heavy drinking as exceeding an average of one drink per day during the past month for women
women 's binge drinking rates rose by nearly 36 percent between 2002 and 2012 , compared with 23 percent among men</v>
      </c>
      <c r="D141" s="70">
        <f>IF(H141=0,wdct(TRIM(C141)),0)</f>
        <v>56</v>
      </c>
      <c r="E141" s="70">
        <f>COUNTIFS('Error Log'!$A:$A,$A141,'Error Log'!$J:$J,E$1)</f>
        <v>2</v>
      </c>
      <c r="F141" s="70">
        <f>COUNTIFS('Error Log'!$A:$A,$A141,'Error Log'!$J:$J,F$1)</f>
        <v>2</v>
      </c>
      <c r="G141" s="70">
        <f>COUNTIFS('Error Log'!$A:$A,$A141,'Error Log'!$J:$J,G$1)</f>
        <v>0</v>
      </c>
      <c r="H141" s="70">
        <f>COUNTIFS('Error Log'!$A:$A,$A141,'Error Log'!$F:$F,"Source")</f>
        <v>0</v>
      </c>
      <c r="I141" s="70">
        <f>COUNTIFS('Error Log'!$A:$A,$A141,'Error Log'!$F:$F,"Target")</f>
        <v>0</v>
      </c>
      <c r="J141" s="71">
        <f t="shared" si="2"/>
        <v>73.214285714285722</v>
      </c>
    </row>
    <row r="142" spans="1:10">
      <c r="A142" s="98" t="s">
        <v>997</v>
      </c>
      <c r="B142" s="70" t="str">
        <f>IF(ISBLANK(A142),"",INDEX('Error Log'!$A:$J,MATCH('Scores per segment'!$A142,'Error Log'!$A:$A,0),MATCH('Scores per segment'!B$1,'Error Log'!$A$1:$J$1,0)))</f>
        <v>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v>
      </c>
      <c r="C142" s="70" t="str">
        <f>IF(ISBLANK(A142),"",INDEX('Error Log'!$A:$J,MATCH('Scores per segment'!$A142,'Error Log'!$A:$A,0),MATCH('Scores per segment'!C$1,'Error Log'!$A$1:$J$1,0)))</f>
        <v>a bus driver was caught reading a newspaper while driving in auckland , new zealand
a passenger filmed the driver and sent the video to bus company ritchies coachlines along with a complaint
ritchies coachlines boss andrew ritchie said he was embarrassed by the ` idiot ' driver 's actions</v>
      </c>
      <c r="D142" s="70">
        <f>IF(H142=0,wdct(TRIM(C142)),0)</f>
        <v>47</v>
      </c>
      <c r="E142" s="70">
        <f>COUNTIFS('Error Log'!$A:$A,$A142,'Error Log'!$J:$J,E$1)</f>
        <v>0</v>
      </c>
      <c r="F142" s="70">
        <f>COUNTIFS('Error Log'!$A:$A,$A142,'Error Log'!$J:$J,F$1)</f>
        <v>0</v>
      </c>
      <c r="G142" s="70">
        <f>COUNTIFS('Error Log'!$A:$A,$A142,'Error Log'!$J:$J,G$1)</f>
        <v>0</v>
      </c>
      <c r="H142" s="70">
        <f>COUNTIFS('Error Log'!$A:$A,$A142,'Error Log'!$F:$F,"Source")</f>
        <v>0</v>
      </c>
      <c r="I142" s="70">
        <f>COUNTIFS('Error Log'!$A:$A,$A142,'Error Log'!$F:$F,"Target")</f>
        <v>0</v>
      </c>
      <c r="J142" s="71">
        <f t="shared" si="2"/>
        <v>100</v>
      </c>
    </row>
    <row r="143" spans="1:10">
      <c r="A143" s="98" t="s">
        <v>1000</v>
      </c>
      <c r="B143" s="70" t="str">
        <f>IF(ISBLANK(A143),"",INDEX('Error Log'!$A:$J,MATCH('Scores per segment'!$A143,'Error Log'!$A:$A,0),MATCH('Scores per segment'!B$1,'Error Log'!$A$1:$J$1,0)))</f>
        <v>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v>
      </c>
      <c r="C143" s="70" t="str">
        <f>IF(ISBLANK(A143),"",INDEX('Error Log'!$A:$J,MATCH('Scores per segment'!$A143,'Error Log'!$A:$A,0),MATCH('Scores per segment'!C$1,'Error Log'!$A$1:$J$1,0)))</f>
        <v>just over a quarter of women giving birth in england now have a caesarean
this includes a growing number of women opting to have planned caesareans because they are anxious about giving birth naturally
but experts from the world health organisation said that figure should ideally be between 10 per cent and 15 per cent , due to the dangers and costs involved</v>
      </c>
      <c r="D143" s="70">
        <f>IF(H143=0,wdct(TRIM(C143)),0)</f>
        <v>62</v>
      </c>
      <c r="E143" s="70">
        <f>COUNTIFS('Error Log'!$A:$A,$A143,'Error Log'!$J:$J,E$1)</f>
        <v>2</v>
      </c>
      <c r="F143" s="70">
        <f>COUNTIFS('Error Log'!$A:$A,$A143,'Error Log'!$J:$J,F$1)</f>
        <v>2</v>
      </c>
      <c r="G143" s="70">
        <f>COUNTIFS('Error Log'!$A:$A,$A143,'Error Log'!$J:$J,G$1)</f>
        <v>0</v>
      </c>
      <c r="H143" s="70">
        <f>COUNTIFS('Error Log'!$A:$A,$A143,'Error Log'!$F:$F,"Source")</f>
        <v>0</v>
      </c>
      <c r="I143" s="70">
        <f>COUNTIFS('Error Log'!$A:$A,$A143,'Error Log'!$F:$F,"Target")</f>
        <v>0</v>
      </c>
      <c r="J143" s="71">
        <f t="shared" si="2"/>
        <v>75.806451612903231</v>
      </c>
    </row>
    <row r="144" spans="1:10">
      <c r="A144" s="98" t="s">
        <v>1007</v>
      </c>
      <c r="B144" s="70" t="str">
        <f>IF(ISBLANK(A144),"",INDEX('Error Log'!$A:$J,MATCH('Scores per segment'!$A144,'Error Log'!$A:$A,0),MATCH('Scores per segment'!B$1,'Error Log'!$A$1:$J$1,0)))</f>
        <v>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v>
      </c>
      <c r="C144" s="70" t="str">
        <f>IF(ISBLANK(A144),"",INDEX('Error Log'!$A:$J,MATCH('Scores per segment'!$A144,'Error Log'!$A:$A,0),MATCH('Scores per segment'!C$1,'Error Log'!$A$1:$J$1,0)))</f>
        <v>james robarge , 45 , of vermont was sentenced in court on friday morning for second-degree murder in the death of his wife , kelly robarge , 42 , who disappeared from her charlestown home on june 27 , 2013
her badly decomposed body , with her hands and head detached , was found 10 days later in unity
the judge said he took into account the extent to which robarge went to conceal his wife 's killing and body , as well as the couple 's history of domestic violence
robarge has served nearly two years behind bars which means he could be eligible for parole in about 28 years</v>
      </c>
      <c r="D144" s="70">
        <f>IF(H144=0,wdct(TRIM(C144)),0)</f>
        <v>102</v>
      </c>
      <c r="E144" s="70">
        <f>COUNTIFS('Error Log'!$A:$A,$A144,'Error Log'!$J:$J,E$1)</f>
        <v>0</v>
      </c>
      <c r="F144" s="70">
        <f>COUNTIFS('Error Log'!$A:$A,$A144,'Error Log'!$J:$J,F$1)</f>
        <v>2</v>
      </c>
      <c r="G144" s="70">
        <f>COUNTIFS('Error Log'!$A:$A,$A144,'Error Log'!$J:$J,G$1)</f>
        <v>0</v>
      </c>
      <c r="H144" s="70">
        <f>COUNTIFS('Error Log'!$A:$A,$A144,'Error Log'!$F:$F,"Source")</f>
        <v>0</v>
      </c>
      <c r="I144" s="70">
        <f>COUNTIFS('Error Log'!$A:$A,$A144,'Error Log'!$F:$F,"Target")</f>
        <v>0</v>
      </c>
      <c r="J144" s="71">
        <f t="shared" si="2"/>
        <v>95.098039215686271</v>
      </c>
    </row>
    <row r="145" spans="1:10">
      <c r="A145" s="99" t="s">
        <v>1012</v>
      </c>
      <c r="B145" s="70" t="str">
        <f>IF(ISBLANK(A145),"",INDEX('Error Log'!$A:$J,MATCH('Scores per segment'!$A145,'Error Log'!$A:$A,0),MATCH('Scores per segment'!B$1,'Error Log'!$A$1:$J$1,0)))</f>
        <v>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v>
      </c>
      <c r="C145" s="70" t="str">
        <f>IF(ISBLANK(A145),"",INDEX('Error Log'!$A:$J,MATCH('Scores per segment'!$A145,'Error Log'!$A:$A,0),MATCH('Scores per segment'!C$1,'Error Log'!$A$1:$J$1,0)))</f>
        <v>michelle filkins , 44 , of west wareham has been charged with breaking and entering , larceny over $ 250 , and malicious destruction of property
she was discovered at the court street property in edgartown by owner mark conklin on april 17
according to the police report , conklin found filkins sitting in his living room of the property estimated to be worth $ 800,000</v>
      </c>
      <c r="D145" s="70">
        <f>IF(H145=0,wdct(TRIM(C145)),0)</f>
        <v>59</v>
      </c>
      <c r="E145" s="70">
        <f>COUNTIFS('Error Log'!$A:$A,$A145,'Error Log'!$J:$J,E$1)</f>
        <v>1</v>
      </c>
      <c r="F145" s="70">
        <f>COUNTIFS('Error Log'!$A:$A,$A145,'Error Log'!$J:$J,F$1)</f>
        <v>1</v>
      </c>
      <c r="G145" s="70">
        <f>COUNTIFS('Error Log'!$A:$A,$A145,'Error Log'!$J:$J,G$1)</f>
        <v>0</v>
      </c>
      <c r="H145" s="70">
        <f>COUNTIFS('Error Log'!$A:$A,$A145,'Error Log'!$F:$F,"Source")</f>
        <v>0</v>
      </c>
      <c r="I145" s="70">
        <f>COUNTIFS('Error Log'!$A:$A,$A145,'Error Log'!$F:$F,"Target")</f>
        <v>0</v>
      </c>
      <c r="J145" s="71">
        <f t="shared" si="2"/>
        <v>87.288135593220346</v>
      </c>
    </row>
    <row r="146" spans="1:10">
      <c r="A146" s="99" t="s">
        <v>1017</v>
      </c>
      <c r="B146" s="70" t="str">
        <f>IF(ISBLANK(A146),"",INDEX('Error Log'!$A:$J,MATCH('Scores per segment'!$A146,'Error Log'!$A:$A,0),MATCH('Scores per segment'!B$1,'Error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v>
      </c>
      <c r="C146" s="70" t="str">
        <f>IF(ISBLANK(A146),"",INDEX('Error Log'!$A:$J,MATCH('Scores per segment'!$A146,'Error Log'!$A:$A,0),MATCH('Scores per segment'!C$1,'Error Log'!$A$1:$J$1,0)))</f>
        <v>french customs officers say they have seized more than 2 tons of cocaine
the drugs are the biggest cocaine seizure ever carried out by french authorities , official says
in november , french customs officials seized nearly 250 kilograms of cocaine on a ship that was also off the coast of colombia</v>
      </c>
      <c r="D146" s="70">
        <f>IF(H146=0,wdct(TRIM(C146)),0)</f>
        <v>50</v>
      </c>
      <c r="E146" s="70">
        <f>COUNTIFS('Error Log'!$A:$A,$A146,'Error Log'!$J:$J,E$1)</f>
        <v>2</v>
      </c>
      <c r="F146" s="70">
        <f>COUNTIFS('Error Log'!$A:$A,$A146,'Error Log'!$J:$J,F$1)</f>
        <v>2</v>
      </c>
      <c r="G146" s="70">
        <f>COUNTIFS('Error Log'!$A:$A,$A146,'Error Log'!$J:$J,G$1)</f>
        <v>0</v>
      </c>
      <c r="H146" s="70">
        <f>COUNTIFS('Error Log'!$A:$A,$A146,'Error Log'!$F:$F,"Source")</f>
        <v>0</v>
      </c>
      <c r="I146" s="70">
        <f>COUNTIFS('Error Log'!$A:$A,$A146,'Error Log'!$F:$F,"Target")</f>
        <v>0</v>
      </c>
      <c r="J146" s="71">
        <f t="shared" si="2"/>
        <v>70</v>
      </c>
    </row>
    <row r="147" spans="1:10">
      <c r="A147" s="99" t="s">
        <v>1024</v>
      </c>
      <c r="B147" s="70" t="str">
        <f>IF(ISBLANK(A147),"",INDEX('Error Log'!$A:$J,MATCH('Scores per segment'!$A147,'Error Log'!$A:$A,0),MATCH('Scores per segment'!B$1,'Error Log'!$A$1:$J$1,0)))</f>
        <v>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v>
      </c>
      <c r="C147" s="70" t="str">
        <f>IF(ISBLANK(A147),"",INDEX('Error Log'!$A:$J,MATCH('Scores per segment'!$A147,'Error Log'!$A:$A,0),MATCH('Scores per segment'!C$1,'Error Log'!$A$1:$J$1,0)))</f>
        <v>the phone , which belonged to bella crooke from melbourne , was handed in to albury police station on the nsw-victoria border on sunday morning
police officers on duty realised the phone was unlocked and used it to post selfies and photos of the phone in various locations around the police station
while waiting for bella to collect her phone , police had used the time to post a picture of the handset in a holding cell and to reassure the owner that it was in safe hands</v>
      </c>
      <c r="D147" s="70">
        <f>IF(H147=0,wdct(TRIM(C147)),0)</f>
        <v>85</v>
      </c>
      <c r="E147" s="70">
        <f>COUNTIFS('Error Log'!$A:$A,$A147,'Error Log'!$J:$J,E$1)</f>
        <v>1</v>
      </c>
      <c r="F147" s="70">
        <f>COUNTIFS('Error Log'!$A:$A,$A147,'Error Log'!$J:$J,F$1)</f>
        <v>1</v>
      </c>
      <c r="G147" s="70">
        <f>COUNTIFS('Error Log'!$A:$A,$A147,'Error Log'!$J:$J,G$1)</f>
        <v>0</v>
      </c>
      <c r="H147" s="70">
        <f>COUNTIFS('Error Log'!$A:$A,$A147,'Error Log'!$F:$F,"Source")</f>
        <v>0</v>
      </c>
      <c r="I147" s="70">
        <f>COUNTIFS('Error Log'!$A:$A,$A147,'Error Log'!$F:$F,"Target")</f>
        <v>0</v>
      </c>
      <c r="J147" s="71">
        <f t="shared" si="2"/>
        <v>91.17647058823529</v>
      </c>
    </row>
    <row r="148" spans="1:10">
      <c r="A148" s="99" t="s">
        <v>1029</v>
      </c>
      <c r="B148" s="70" t="str">
        <f>IF(ISBLANK(A148),"",INDEX('Error Log'!$A:$J,MATCH('Scores per segment'!$A148,'Error Log'!$A:$A,0),MATCH('Scores per segment'!B$1,'Error Log'!$A$1:$J$1,0)))</f>
        <v>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v>
      </c>
      <c r="C148" s="70" t="str">
        <f>IF(ISBLANK(A148),"",INDEX('Error Log'!$A:$J,MATCH('Scores per segment'!$A148,'Error Log'!$A:$A,0),MATCH('Scores per segment'!C$1,'Error Log'!$A$1:$J$1,0)))</f>
        <v>staff heard the baby crying in the ladies ' toilet of a burger bar in chengdu , sichuan province
the woman , yuan yen , 34 , was found to have blood on her when she was approached
she was arrested after receiving medical attention and faces charges of neglect</v>
      </c>
      <c r="D148" s="70">
        <f>IF(H148=0,wdct(TRIM(C148)),0)</f>
        <v>45</v>
      </c>
      <c r="E148" s="70">
        <f>COUNTIFS('Error Log'!$A:$A,$A148,'Error Log'!$J:$J,E$1)</f>
        <v>1</v>
      </c>
      <c r="F148" s="70">
        <f>COUNTIFS('Error Log'!$A:$A,$A148,'Error Log'!$J:$J,F$1)</f>
        <v>1</v>
      </c>
      <c r="G148" s="70">
        <f>COUNTIFS('Error Log'!$A:$A,$A148,'Error Log'!$J:$J,G$1)</f>
        <v>0</v>
      </c>
      <c r="H148" s="70">
        <f>COUNTIFS('Error Log'!$A:$A,$A148,'Error Log'!$F:$F,"Source")</f>
        <v>0</v>
      </c>
      <c r="I148" s="70">
        <f>COUNTIFS('Error Log'!$A:$A,$A148,'Error Log'!$F:$F,"Target")</f>
        <v>0</v>
      </c>
      <c r="J148" s="71">
        <f t="shared" si="2"/>
        <v>83.333333333333343</v>
      </c>
    </row>
    <row r="149" spans="1:10">
      <c r="A149" s="98" t="s">
        <v>1034</v>
      </c>
      <c r="B149" s="70" t="str">
        <f>IF(ISBLANK(A149),"",INDEX('Error Log'!$A:$J,MATCH('Scores per segment'!$A149,'Error Log'!$A:$A,0),MATCH('Scores per segment'!B$1,'Error Log'!$A$1:$J$1,0)))</f>
        <v>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v>
      </c>
      <c r="C149" s="70" t="str">
        <f>IF(ISBLANK(A149),"",INDEX('Error Log'!$A:$J,MATCH('Scores per segment'!$A149,'Error Log'!$A:$A,0),MATCH('Scores per segment'!C$1,'Error Log'!$A$1:$J$1,0)))</f>
        <v>five-day-old hippopotamus was thrown into the air in isimangaliso wetland park , south africa
mother watched in horror as hippo was flung into air before being dragged along the surface of the water
mother of calf stayed with her herd , possibly believing it safer to stay out of harm 's way herself</v>
      </c>
      <c r="D149" s="70">
        <f>IF(H149=0,wdct(TRIM(C149)),0)</f>
        <v>51</v>
      </c>
      <c r="E149" s="70">
        <f>COUNTIFS('Error Log'!$A:$A,$A149,'Error Log'!$J:$J,E$1)</f>
        <v>1</v>
      </c>
      <c r="F149" s="70">
        <f>COUNTIFS('Error Log'!$A:$A,$A149,'Error Log'!$J:$J,F$1)</f>
        <v>1</v>
      </c>
      <c r="G149" s="70">
        <f>COUNTIFS('Error Log'!$A:$A,$A149,'Error Log'!$J:$J,G$1)</f>
        <v>0</v>
      </c>
      <c r="H149" s="70">
        <f>COUNTIFS('Error Log'!$A:$A,$A149,'Error Log'!$F:$F,"Source")</f>
        <v>0</v>
      </c>
      <c r="I149" s="70">
        <f>COUNTIFS('Error Log'!$A:$A,$A149,'Error Log'!$F:$F,"Target")</f>
        <v>0</v>
      </c>
      <c r="J149" s="71">
        <f t="shared" si="2"/>
        <v>85.294117647058812</v>
      </c>
    </row>
    <row r="150" spans="1:10">
      <c r="A150" s="98" t="s">
        <v>1039</v>
      </c>
      <c r="B150" s="70" t="str">
        <f>IF(ISBLANK(A150),"",INDEX('Error Log'!$A:$J,MATCH('Scores per segment'!$A150,'Error Log'!$A:$A,0),MATCH('Scores per segment'!B$1,'Error Log'!$A$1:$J$1,0)))</f>
        <v>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v>
      </c>
      <c r="C150" s="70" t="str">
        <f>IF(ISBLANK(A150),"",INDEX('Error Log'!$A:$J,MATCH('Scores per segment'!$A150,'Error Log'!$A:$A,0),MATCH('Scores per segment'!C$1,'Error Log'!$A$1:$J$1,0)))</f>
        <v>ian rogers , 36 , became hooked on all things paranormal as a child
took part in his first ghost hunt in the year 2000 and has spent hundreds of pounds on the dolls
his favourite doll is annabel , who he thinks is haunted by a seven-year-old girl who drowned while playing games</v>
      </c>
      <c r="D150" s="70">
        <f>IF(H150=0,wdct(TRIM(C150)),0)</f>
        <v>51</v>
      </c>
      <c r="E150" s="70">
        <f>COUNTIFS('Error Log'!$A:$A,$A150,'Error Log'!$J:$J,E$1)</f>
        <v>1</v>
      </c>
      <c r="F150" s="70">
        <f>COUNTIFS('Error Log'!$A:$A,$A150,'Error Log'!$J:$J,F$1)</f>
        <v>2</v>
      </c>
      <c r="G150" s="70">
        <f>COUNTIFS('Error Log'!$A:$A,$A150,'Error Log'!$J:$J,G$1)</f>
        <v>0</v>
      </c>
      <c r="H150" s="70">
        <f>COUNTIFS('Error Log'!$A:$A,$A150,'Error Log'!$F:$F,"Source")</f>
        <v>0</v>
      </c>
      <c r="I150" s="70">
        <f>COUNTIFS('Error Log'!$A:$A,$A150,'Error Log'!$F:$F,"Target")</f>
        <v>0</v>
      </c>
      <c r="J150" s="71">
        <f t="shared" si="2"/>
        <v>80.392156862745097</v>
      </c>
    </row>
    <row r="151" spans="1:10">
      <c r="A151" s="98" t="s">
        <v>1045</v>
      </c>
      <c r="B151" s="70" t="str">
        <f>IF(ISBLANK(A151),"",INDEX('Error Log'!$A:$J,MATCH('Scores per segment'!$A151,'Error Log'!$A:$A,0),MATCH('Scores per segment'!B$1,'Error Log'!$A$1:$J$1,0)))</f>
        <v>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v>
      </c>
      <c r="C151" s="70" t="str">
        <f>IF(ISBLANK(A151),"",INDEX('Error Log'!$A:$J,MATCH('Scores per segment'!$A151,'Error Log'!$A:$A,0),MATCH('Scores per segment'!C$1,'Error Log'!$A$1:$J$1,0)))</f>
        <v>knightsbridge flat , london , on sale for a fraction of the price of neighbouring homes , has just three years left on the lease
the cost for # 575,000 on a three year lease would work out at # 191,000 per year , or # 15,000 per month - around the going rate for renting a three-bedroom flat in the area
if any buyer decides to extend the lease , the property could be worth upwards of # 6 million</v>
      </c>
      <c r="D151" s="70">
        <f>IF(H151=0,wdct(TRIM(C151)),0)</f>
        <v>71</v>
      </c>
      <c r="E151" s="70">
        <f>COUNTIFS('Error Log'!$A:$A,$A151,'Error Log'!$J:$J,E$1)</f>
        <v>1</v>
      </c>
      <c r="F151" s="70">
        <f>COUNTIFS('Error Log'!$A:$A,$A151,'Error Log'!$J:$J,F$1)</f>
        <v>0</v>
      </c>
      <c r="G151" s="70">
        <f>COUNTIFS('Error Log'!$A:$A,$A151,'Error Log'!$J:$J,G$1)</f>
        <v>0</v>
      </c>
      <c r="H151" s="70">
        <f>COUNTIFS('Error Log'!$A:$A,$A151,'Error Log'!$F:$F,"Source")</f>
        <v>0</v>
      </c>
      <c r="I151" s="70">
        <f>COUNTIFS('Error Log'!$A:$A,$A151,'Error Log'!$F:$F,"Target")</f>
        <v>0</v>
      </c>
      <c r="J151" s="71">
        <f t="shared" si="2"/>
        <v>92.957746478873247</v>
      </c>
    </row>
    <row r="152" spans="1:10">
      <c r="A152" s="81"/>
      <c r="B152" s="70" t="str">
        <f>IF(ISBLANK(A152),"",INDEX('Error Log'!$A:$J,MATCH('Scores per segment'!$A152,'Error Log'!$A:$A,0),MATCH('Scores per segment'!B$1,'Error Log'!$A$1:$J$1,0)))</f>
        <v/>
      </c>
      <c r="C152" s="70" t="str">
        <f>IF(ISBLANK(A152),"",INDEX('Error Log'!$A:$J,MATCH('Scores per segment'!$A152,'Error Log'!$A:$A,0),MATCH('Scores per segment'!C$1,'Error Log'!$A$1:$J$1,0)))</f>
        <v/>
      </c>
      <c r="D152" s="70">
        <f>IF(H152=0,wdct(TRIM(C152)),0)</f>
        <v>0</v>
      </c>
      <c r="E152" s="70">
        <f>COUNTIFS('Error Log'!$A:$A,$A152,'Error Log'!$J:$J,E$1)</f>
        <v>0</v>
      </c>
      <c r="F152" s="70">
        <f>COUNTIFS('Error Log'!$A:$A,$A152,'Error Log'!$J:$J,F$1)</f>
        <v>0</v>
      </c>
      <c r="G152" s="70">
        <f>COUNTIFS('Error Log'!$A:$A,$A152,'Error Log'!$J:$J,G$1)</f>
        <v>0</v>
      </c>
      <c r="H152" s="70">
        <f>COUNTIFS('Error Log'!$A:$A,$A152,'Error Log'!$F:$F,"Source")</f>
        <v>0</v>
      </c>
      <c r="I152" s="70">
        <f>COUNTIFS('Error Log'!$A:$A,$A152,'Error Log'!$F:$F,"Target")</f>
        <v>0</v>
      </c>
      <c r="J152" s="71">
        <f t="shared" si="2"/>
        <v>0</v>
      </c>
    </row>
    <row r="153" spans="1:10">
      <c r="A153" s="81"/>
      <c r="B153" s="70" t="str">
        <f>IF(ISBLANK(A153),"",INDEX('Error Log'!$A:$J,MATCH('Scores per segment'!$A153,'Error Log'!$A:$A,0),MATCH('Scores per segment'!B$1,'Error Log'!$A$1:$J$1,0)))</f>
        <v/>
      </c>
      <c r="C153" s="70" t="str">
        <f>IF(ISBLANK(A153),"",INDEX('Error Log'!$A:$J,MATCH('Scores per segment'!$A153,'Error Log'!$A:$A,0),MATCH('Scores per segment'!C$1,'Error Log'!$A$1:$J$1,0)))</f>
        <v/>
      </c>
      <c r="D153" s="70">
        <f>IF(H153=0,wdct(TRIM(C153)),0)</f>
        <v>0</v>
      </c>
      <c r="E153" s="70">
        <f>COUNTIFS('Error Log'!$A:$A,$A153,'Error Log'!$J:$J,E$1)</f>
        <v>0</v>
      </c>
      <c r="F153" s="70">
        <f>COUNTIFS('Error Log'!$A:$A,$A153,'Error Log'!$J:$J,F$1)</f>
        <v>0</v>
      </c>
      <c r="G153" s="70">
        <f>COUNTIFS('Error Log'!$A:$A,$A153,'Error Log'!$J:$J,G$1)</f>
        <v>0</v>
      </c>
      <c r="H153" s="70">
        <f>COUNTIFS('Error Log'!$A:$A,$A153,'Error Log'!$F:$F,"Source")</f>
        <v>0</v>
      </c>
      <c r="I153" s="70">
        <f>COUNTIFS('Error Log'!$A:$A,$A153,'Error Log'!$F:$F,"Target")</f>
        <v>0</v>
      </c>
      <c r="J153" s="71">
        <f t="shared" si="2"/>
        <v>0</v>
      </c>
    </row>
    <row r="154" spans="1:10">
      <c r="A154" s="81"/>
      <c r="B154" s="70" t="str">
        <f>IF(ISBLANK(A154),"",INDEX('Error Log'!$A:$J,MATCH('Scores per segment'!$A154,'Error Log'!$A:$A,0),MATCH('Scores per segment'!B$1,'Error Log'!$A$1:$J$1,0)))</f>
        <v/>
      </c>
      <c r="C154" s="70" t="str">
        <f>IF(ISBLANK(A154),"",INDEX('Error Log'!$A:$J,MATCH('Scores per segment'!$A154,'Error Log'!$A:$A,0),MATCH('Scores per segment'!C$1,'Error Log'!$A$1:$J$1,0)))</f>
        <v/>
      </c>
      <c r="D154" s="70">
        <f>IF(H154=0,wdct(TRIM(C154)),0)</f>
        <v>0</v>
      </c>
      <c r="E154" s="70">
        <f>COUNTIFS('Error Log'!$A:$A,$A154,'Error Log'!$J:$J,E$1)</f>
        <v>0</v>
      </c>
      <c r="F154" s="70">
        <f>COUNTIFS('Error Log'!$A:$A,$A154,'Error Log'!$J:$J,F$1)</f>
        <v>0</v>
      </c>
      <c r="G154" s="70">
        <f>COUNTIFS('Error Log'!$A:$A,$A154,'Error Log'!$J:$J,G$1)</f>
        <v>0</v>
      </c>
      <c r="H154" s="70">
        <f>COUNTIFS('Error Log'!$A:$A,$A154,'Error Log'!$F:$F,"Source")</f>
        <v>0</v>
      </c>
      <c r="I154" s="70">
        <f>COUNTIFS('Error Log'!$A:$A,$A154,'Error Log'!$F:$F,"Target")</f>
        <v>0</v>
      </c>
      <c r="J154" s="71">
        <f t="shared" si="2"/>
        <v>0</v>
      </c>
    </row>
    <row r="155" spans="1:10">
      <c r="A155" s="81"/>
      <c r="B155" s="70" t="str">
        <f>IF(ISBLANK(A155),"",INDEX('Error Log'!$A:$J,MATCH('Scores per segment'!$A155,'Error Log'!$A:$A,0),MATCH('Scores per segment'!B$1,'Error Log'!$A$1:$J$1,0)))</f>
        <v/>
      </c>
      <c r="C155" s="70" t="str">
        <f>IF(ISBLANK(A155),"",INDEX('Error Log'!$A:$J,MATCH('Scores per segment'!$A155,'Error Log'!$A:$A,0),MATCH('Scores per segment'!C$1,'Error Log'!$A$1:$J$1,0)))</f>
        <v/>
      </c>
      <c r="D155" s="70">
        <f>IF(H155=0,wdct(TRIM(C155)),0)</f>
        <v>0</v>
      </c>
      <c r="E155" s="70">
        <f>COUNTIFS('Error Log'!$A:$A,$A155,'Error Log'!$J:$J,E$1)</f>
        <v>0</v>
      </c>
      <c r="F155" s="70">
        <f>COUNTIFS('Error Log'!$A:$A,$A155,'Error Log'!$J:$J,F$1)</f>
        <v>0</v>
      </c>
      <c r="G155" s="70">
        <f>COUNTIFS('Error Log'!$A:$A,$A155,'Error Log'!$J:$J,G$1)</f>
        <v>0</v>
      </c>
      <c r="H155" s="70">
        <f>COUNTIFS('Error Log'!$A:$A,$A155,'Error Log'!$F:$F,"Source")</f>
        <v>0</v>
      </c>
      <c r="I155" s="70">
        <f>COUNTIFS('Error Log'!$A:$A,$A155,'Error Log'!$F:$F,"Target")</f>
        <v>0</v>
      </c>
      <c r="J155" s="71">
        <f t="shared" si="2"/>
        <v>0</v>
      </c>
    </row>
    <row r="156" spans="1:10">
      <c r="A156" s="81"/>
      <c r="B156" s="70" t="str">
        <f>IF(ISBLANK(A156),"",INDEX('Error Log'!$A:$J,MATCH('Scores per segment'!$A156,'Error Log'!$A:$A,0),MATCH('Scores per segment'!B$1,'Error Log'!$A$1:$J$1,0)))</f>
        <v/>
      </c>
      <c r="C156" s="70" t="str">
        <f>IF(ISBLANK(A156),"",INDEX('Error Log'!$A:$J,MATCH('Scores per segment'!$A156,'Error Log'!$A:$A,0),MATCH('Scores per segment'!C$1,'Error Log'!$A$1:$J$1,0)))</f>
        <v/>
      </c>
      <c r="D156" s="70">
        <f>IF(H156=0,wdct(TRIM(C156)),0)</f>
        <v>0</v>
      </c>
      <c r="E156" s="70">
        <f>COUNTIFS('Error Log'!$A:$A,$A156,'Error Log'!$J:$J,E$1)</f>
        <v>0</v>
      </c>
      <c r="F156" s="70">
        <f>COUNTIFS('Error Log'!$A:$A,$A156,'Error Log'!$J:$J,F$1)</f>
        <v>0</v>
      </c>
      <c r="G156" s="70">
        <f>COUNTIFS('Error Log'!$A:$A,$A156,'Error Log'!$J:$J,G$1)</f>
        <v>0</v>
      </c>
      <c r="H156" s="70">
        <f>COUNTIFS('Error Log'!$A:$A,$A156,'Error Log'!$F:$F,"Source")</f>
        <v>0</v>
      </c>
      <c r="I156" s="70">
        <f>COUNTIFS('Error Log'!$A:$A,$A156,'Error Log'!$F:$F,"Target")</f>
        <v>0</v>
      </c>
      <c r="J156" s="71">
        <f t="shared" si="2"/>
        <v>0</v>
      </c>
    </row>
    <row r="157" spans="1:10">
      <c r="A157" s="81"/>
      <c r="B157" s="70" t="str">
        <f>IF(ISBLANK(A157),"",INDEX('Error Log'!$A:$J,MATCH('Scores per segment'!$A157,'Error Log'!$A:$A,0),MATCH('Scores per segment'!B$1,'Error Log'!$A$1:$J$1,0)))</f>
        <v/>
      </c>
      <c r="C157" s="70" t="str">
        <f>IF(ISBLANK(A157),"",INDEX('Error Log'!$A:$J,MATCH('Scores per segment'!$A157,'Error Log'!$A:$A,0),MATCH('Scores per segment'!C$1,'Error Log'!$A$1:$J$1,0)))</f>
        <v/>
      </c>
      <c r="D157" s="70">
        <f>IF(H157=0,wdct(TRIM(C157)),0)</f>
        <v>0</v>
      </c>
      <c r="E157" s="70">
        <f>COUNTIFS('Error Log'!$A:$A,$A157,'Error Log'!$J:$J,E$1)</f>
        <v>0</v>
      </c>
      <c r="F157" s="70">
        <f>COUNTIFS('Error Log'!$A:$A,$A157,'Error Log'!$J:$J,F$1)</f>
        <v>0</v>
      </c>
      <c r="G157" s="70">
        <f>COUNTIFS('Error Log'!$A:$A,$A157,'Error Log'!$J:$J,G$1)</f>
        <v>0</v>
      </c>
      <c r="H157" s="70">
        <f>COUNTIFS('Error Log'!$A:$A,$A157,'Error Log'!$F:$F,"Source")</f>
        <v>0</v>
      </c>
      <c r="I157" s="70">
        <f>COUNTIFS('Error Log'!$A:$A,$A157,'Error Log'!$F:$F,"Target")</f>
        <v>0</v>
      </c>
      <c r="J157" s="71">
        <f t="shared" si="2"/>
        <v>0</v>
      </c>
    </row>
    <row r="158" spans="1:10">
      <c r="A158" s="81"/>
      <c r="B158" s="70" t="str">
        <f>IF(ISBLANK(A158),"",INDEX('Error Log'!$A:$J,MATCH('Scores per segment'!$A158,'Error Log'!$A:$A,0),MATCH('Scores per segment'!B$1,'Error Log'!$A$1:$J$1,0)))</f>
        <v/>
      </c>
      <c r="C158" s="70" t="str">
        <f>IF(ISBLANK(A158),"",INDEX('Error Log'!$A:$J,MATCH('Scores per segment'!$A158,'Error Log'!$A:$A,0),MATCH('Scores per segment'!C$1,'Error Log'!$A$1:$J$1,0)))</f>
        <v/>
      </c>
      <c r="D158" s="70">
        <f>IF(H158=0,wdct(TRIM(C158)),0)</f>
        <v>0</v>
      </c>
      <c r="E158" s="70">
        <f>COUNTIFS('Error Log'!$A:$A,$A158,'Error Log'!$J:$J,E$1)</f>
        <v>0</v>
      </c>
      <c r="F158" s="70">
        <f>COUNTIFS('Error Log'!$A:$A,$A158,'Error Log'!$J:$J,F$1)</f>
        <v>0</v>
      </c>
      <c r="G158" s="70">
        <f>COUNTIFS('Error Log'!$A:$A,$A158,'Error Log'!$J:$J,G$1)</f>
        <v>0</v>
      </c>
      <c r="H158" s="70">
        <f>COUNTIFS('Error Log'!$A:$A,$A158,'Error Log'!$F:$F,"Source")</f>
        <v>0</v>
      </c>
      <c r="I158" s="70">
        <f>COUNTIFS('Error Log'!$A:$A,$A158,'Error Log'!$F:$F,"Target")</f>
        <v>0</v>
      </c>
      <c r="J158" s="71">
        <f t="shared" si="2"/>
        <v>0</v>
      </c>
    </row>
    <row r="159" spans="1:10">
      <c r="A159" s="81"/>
      <c r="B159" s="70" t="str">
        <f>IF(ISBLANK(A159),"",INDEX('Error Log'!$A:$J,MATCH('Scores per segment'!$A159,'Error Log'!$A:$A,0),MATCH('Scores per segment'!B$1,'Error Log'!$A$1:$J$1,0)))</f>
        <v/>
      </c>
      <c r="C159" s="70" t="str">
        <f>IF(ISBLANK(A159),"",INDEX('Error Log'!$A:$J,MATCH('Scores per segment'!$A159,'Error Log'!$A:$A,0),MATCH('Scores per segment'!C$1,'Error Log'!$A$1:$J$1,0)))</f>
        <v/>
      </c>
      <c r="D159" s="70">
        <f>IF(H159=0,wdct(TRIM(C159)),0)</f>
        <v>0</v>
      </c>
      <c r="E159" s="70">
        <f>COUNTIFS('Error Log'!$A:$A,$A159,'Error Log'!$J:$J,E$1)</f>
        <v>0</v>
      </c>
      <c r="F159" s="70">
        <f>COUNTIFS('Error Log'!$A:$A,$A159,'Error Log'!$J:$J,F$1)</f>
        <v>0</v>
      </c>
      <c r="G159" s="70">
        <f>COUNTIFS('Error Log'!$A:$A,$A159,'Error Log'!$J:$J,G$1)</f>
        <v>0</v>
      </c>
      <c r="H159" s="70">
        <f>COUNTIFS('Error Log'!$A:$A,$A159,'Error Log'!$F:$F,"Source")</f>
        <v>0</v>
      </c>
      <c r="I159" s="70">
        <f>COUNTIFS('Error Log'!$A:$A,$A159,'Error Log'!$F:$F,"Target")</f>
        <v>0</v>
      </c>
      <c r="J159" s="71">
        <f t="shared" si="2"/>
        <v>0</v>
      </c>
    </row>
    <row r="160" spans="1:10">
      <c r="A160" s="81"/>
      <c r="B160" s="70" t="str">
        <f>IF(ISBLANK(A160),"",INDEX('Error Log'!$A:$J,MATCH('Scores per segment'!$A160,'Error Log'!$A:$A,0),MATCH('Scores per segment'!B$1,'Error Log'!$A$1:$J$1,0)))</f>
        <v/>
      </c>
      <c r="C160" s="70" t="str">
        <f>IF(ISBLANK(A160),"",INDEX('Error Log'!$A:$J,MATCH('Scores per segment'!$A160,'Error Log'!$A:$A,0),MATCH('Scores per segment'!C$1,'Error Log'!$A$1:$J$1,0)))</f>
        <v/>
      </c>
      <c r="D160" s="70">
        <f>IF(H160=0,wdct(TRIM(C160)),0)</f>
        <v>0</v>
      </c>
      <c r="E160" s="70">
        <f>COUNTIFS('Error Log'!$A:$A,$A160,'Error Log'!$J:$J,E$1)</f>
        <v>0</v>
      </c>
      <c r="F160" s="70">
        <f>COUNTIFS('Error Log'!$A:$A,$A160,'Error Log'!$J:$J,F$1)</f>
        <v>0</v>
      </c>
      <c r="G160" s="70">
        <f>COUNTIFS('Error Log'!$A:$A,$A160,'Error Log'!$J:$J,G$1)</f>
        <v>0</v>
      </c>
      <c r="H160" s="70">
        <f>COUNTIFS('Error Log'!$A:$A,$A160,'Error Log'!$F:$F,"Source")</f>
        <v>0</v>
      </c>
      <c r="I160" s="70">
        <f>COUNTIFS('Error Log'!$A:$A,$A160,'Error Log'!$F:$F,"Target")</f>
        <v>0</v>
      </c>
      <c r="J160" s="71">
        <f t="shared" si="2"/>
        <v>0</v>
      </c>
    </row>
    <row r="161" spans="1:10">
      <c r="A161" s="81"/>
      <c r="B161" s="70" t="str">
        <f>IF(ISBLANK(A161),"",INDEX('Error Log'!$A:$J,MATCH('Scores per segment'!$A161,'Error Log'!$A:$A,0),MATCH('Scores per segment'!B$1,'Error Log'!$A$1:$J$1,0)))</f>
        <v/>
      </c>
      <c r="C161" s="70" t="str">
        <f>IF(ISBLANK(A161),"",INDEX('Error Log'!$A:$J,MATCH('Scores per segment'!$A161,'Error Log'!$A:$A,0),MATCH('Scores per segment'!C$1,'Error Log'!$A$1:$J$1,0)))</f>
        <v/>
      </c>
      <c r="D161" s="70">
        <f>IF(H161=0,wdct(TRIM(C161)),0)</f>
        <v>0</v>
      </c>
      <c r="E161" s="70">
        <f>COUNTIFS('Error Log'!$A:$A,$A161,'Error Log'!$J:$J,E$1)</f>
        <v>0</v>
      </c>
      <c r="F161" s="70">
        <f>COUNTIFS('Error Log'!$A:$A,$A161,'Error Log'!$J:$J,F$1)</f>
        <v>0</v>
      </c>
      <c r="G161" s="70">
        <f>COUNTIFS('Error Log'!$A:$A,$A161,'Error Log'!$J:$J,G$1)</f>
        <v>0</v>
      </c>
      <c r="H161" s="70">
        <f>COUNTIFS('Error Log'!$A:$A,$A161,'Error Log'!$F:$F,"Source")</f>
        <v>0</v>
      </c>
      <c r="I161" s="70">
        <f>COUNTIFS('Error Log'!$A:$A,$A161,'Error Log'!$F:$F,"Target")</f>
        <v>0</v>
      </c>
      <c r="J161" s="71">
        <f t="shared" si="2"/>
        <v>0</v>
      </c>
    </row>
    <row r="162" spans="1:10">
      <c r="A162" s="81"/>
      <c r="B162" s="70" t="str">
        <f>IF(ISBLANK(A162),"",INDEX('Error Log'!$A:$J,MATCH('Scores per segment'!$A162,'Error Log'!$A:$A,0),MATCH('Scores per segment'!B$1,'Error Log'!$A$1:$J$1,0)))</f>
        <v/>
      </c>
      <c r="C162" s="70" t="str">
        <f>IF(ISBLANK(A162),"",INDEX('Error Log'!$A:$J,MATCH('Scores per segment'!$A162,'Error Log'!$A:$A,0),MATCH('Scores per segment'!C$1,'Error Log'!$A$1:$J$1,0)))</f>
        <v/>
      </c>
      <c r="D162" s="70">
        <f>IF(H162=0,wdct(TRIM(C162)),0)</f>
        <v>0</v>
      </c>
      <c r="E162" s="70">
        <f>COUNTIFS('Error Log'!$A:$A,$A162,'Error Log'!$J:$J,E$1)</f>
        <v>0</v>
      </c>
      <c r="F162" s="70">
        <f>COUNTIFS('Error Log'!$A:$A,$A162,'Error Log'!$J:$J,F$1)</f>
        <v>0</v>
      </c>
      <c r="G162" s="70">
        <f>COUNTIFS('Error Log'!$A:$A,$A162,'Error Log'!$J:$J,G$1)</f>
        <v>0</v>
      </c>
      <c r="H162" s="70">
        <f>COUNTIFS('Error Log'!$A:$A,$A162,'Error Log'!$F:$F,"Source")</f>
        <v>0</v>
      </c>
      <c r="I162" s="70">
        <f>COUNTIFS('Error Log'!$A:$A,$A162,'Error Log'!$F:$F,"Target")</f>
        <v>0</v>
      </c>
      <c r="J162" s="71">
        <f t="shared" si="2"/>
        <v>0</v>
      </c>
    </row>
    <row r="163" spans="1:10">
      <c r="A163" s="81"/>
      <c r="B163" s="70" t="str">
        <f>IF(ISBLANK(A163),"",INDEX('Error Log'!$A:$J,MATCH('Scores per segment'!$A163,'Error Log'!$A:$A,0),MATCH('Scores per segment'!B$1,'Error Log'!$A$1:$J$1,0)))</f>
        <v/>
      </c>
      <c r="C163" s="70" t="str">
        <f>IF(ISBLANK(A163),"",INDEX('Error Log'!$A:$J,MATCH('Scores per segment'!$A163,'Error Log'!$A:$A,0),MATCH('Scores per segment'!C$1,'Error Log'!$A$1:$J$1,0)))</f>
        <v/>
      </c>
      <c r="D163" s="70">
        <f>IF(H163=0,wdct(TRIM(C163)),0)</f>
        <v>0</v>
      </c>
      <c r="E163" s="70">
        <f>COUNTIFS('Error Log'!$A:$A,$A163,'Error Log'!$J:$J,E$1)</f>
        <v>0</v>
      </c>
      <c r="F163" s="70">
        <f>COUNTIFS('Error Log'!$A:$A,$A163,'Error Log'!$J:$J,F$1)</f>
        <v>0</v>
      </c>
      <c r="G163" s="70">
        <f>COUNTIFS('Error Log'!$A:$A,$A163,'Error Log'!$J:$J,G$1)</f>
        <v>0</v>
      </c>
      <c r="H163" s="70">
        <f>COUNTIFS('Error Log'!$A:$A,$A163,'Error Log'!$F:$F,"Source")</f>
        <v>0</v>
      </c>
      <c r="I163" s="70">
        <f>COUNTIFS('Error Log'!$A:$A,$A163,'Error Log'!$F:$F,"Target")</f>
        <v>0</v>
      </c>
      <c r="J163" s="71">
        <f t="shared" si="2"/>
        <v>0</v>
      </c>
    </row>
    <row r="164" spans="1:10">
      <c r="A164" s="81"/>
      <c r="B164" s="70" t="str">
        <f>IF(ISBLANK(A164),"",INDEX('Error Log'!$A:$J,MATCH('Scores per segment'!$A164,'Error Log'!$A:$A,0),MATCH('Scores per segment'!B$1,'Error Log'!$A$1:$J$1,0)))</f>
        <v/>
      </c>
      <c r="C164" s="70" t="str">
        <f>IF(ISBLANK(A164),"",INDEX('Error Log'!$A:$J,MATCH('Scores per segment'!$A164,'Error Log'!$A:$A,0),MATCH('Scores per segment'!C$1,'Error Log'!$A$1:$J$1,0)))</f>
        <v/>
      </c>
      <c r="D164" s="70">
        <f>IF(H164=0,wdct(TRIM(C164)),0)</f>
        <v>0</v>
      </c>
      <c r="E164" s="70">
        <f>COUNTIFS('Error Log'!$A:$A,$A164,'Error Log'!$J:$J,E$1)</f>
        <v>0</v>
      </c>
      <c r="F164" s="70">
        <f>COUNTIFS('Error Log'!$A:$A,$A164,'Error Log'!$J:$J,F$1)</f>
        <v>0</v>
      </c>
      <c r="G164" s="70">
        <f>COUNTIFS('Error Log'!$A:$A,$A164,'Error Log'!$J:$J,G$1)</f>
        <v>0</v>
      </c>
      <c r="H164" s="70">
        <f>COUNTIFS('Error Log'!$A:$A,$A164,'Error Log'!$F:$F,"Source")</f>
        <v>0</v>
      </c>
      <c r="I164" s="70">
        <f>COUNTIFS('Error Log'!$A:$A,$A164,'Error Log'!$F:$F,"Target")</f>
        <v>0</v>
      </c>
      <c r="J164" s="71">
        <f t="shared" si="2"/>
        <v>0</v>
      </c>
    </row>
    <row r="165" spans="1:10">
      <c r="A165" s="81"/>
      <c r="B165" s="70" t="str">
        <f>IF(ISBLANK(A165),"",INDEX('Error Log'!$A:$J,MATCH('Scores per segment'!$A165,'Error Log'!$A:$A,0),MATCH('Scores per segment'!B$1,'Error Log'!$A$1:$J$1,0)))</f>
        <v/>
      </c>
      <c r="C165" s="70" t="str">
        <f>IF(ISBLANK(A165),"",INDEX('Error Log'!$A:$J,MATCH('Scores per segment'!$A165,'Error Log'!$A:$A,0),MATCH('Scores per segment'!C$1,'Error Log'!$A$1:$J$1,0)))</f>
        <v/>
      </c>
      <c r="D165" s="70">
        <f>IF(H165=0,wdct(TRIM(C165)),0)</f>
        <v>0</v>
      </c>
      <c r="E165" s="70">
        <f>COUNTIFS('Error Log'!$A:$A,$A165,'Error Log'!$J:$J,E$1)</f>
        <v>0</v>
      </c>
      <c r="F165" s="70">
        <f>COUNTIFS('Error Log'!$A:$A,$A165,'Error Log'!$J:$J,F$1)</f>
        <v>0</v>
      </c>
      <c r="G165" s="70">
        <f>COUNTIFS('Error Log'!$A:$A,$A165,'Error Log'!$J:$J,G$1)</f>
        <v>0</v>
      </c>
      <c r="H165" s="70">
        <f>COUNTIFS('Error Log'!$A:$A,$A165,'Error Log'!$F:$F,"Source")</f>
        <v>0</v>
      </c>
      <c r="I165" s="70">
        <f>COUNTIFS('Error Log'!$A:$A,$A165,'Error Log'!$F:$F,"Target")</f>
        <v>0</v>
      </c>
      <c r="J165" s="71">
        <f t="shared" si="2"/>
        <v>0</v>
      </c>
    </row>
    <row r="166" spans="1:10">
      <c r="A166" s="81"/>
      <c r="B166" s="70" t="str">
        <f>IF(ISBLANK(A166),"",INDEX('Error Log'!$A:$J,MATCH('Scores per segment'!$A166,'Error Log'!$A:$A,0),MATCH('Scores per segment'!B$1,'Error Log'!$A$1:$J$1,0)))</f>
        <v/>
      </c>
      <c r="C166" s="70" t="str">
        <f>IF(ISBLANK(A166),"",INDEX('Error Log'!$A:$J,MATCH('Scores per segment'!$A166,'Error Log'!$A:$A,0),MATCH('Scores per segment'!C$1,'Error Log'!$A$1:$J$1,0)))</f>
        <v/>
      </c>
      <c r="D166" s="70">
        <f>IF(H166=0,wdct(TRIM(C166)),0)</f>
        <v>0</v>
      </c>
      <c r="E166" s="70">
        <f>COUNTIFS('Error Log'!$A:$A,$A166,'Error Log'!$J:$J,E$1)</f>
        <v>0</v>
      </c>
      <c r="F166" s="70">
        <f>COUNTIFS('Error Log'!$A:$A,$A166,'Error Log'!$J:$J,F$1)</f>
        <v>0</v>
      </c>
      <c r="G166" s="70">
        <f>COUNTIFS('Error Log'!$A:$A,$A166,'Error Log'!$J:$J,G$1)</f>
        <v>0</v>
      </c>
      <c r="H166" s="70">
        <f>COUNTIFS('Error Log'!$A:$A,$A166,'Error Log'!$F:$F,"Source")</f>
        <v>0</v>
      </c>
      <c r="I166" s="70">
        <f>COUNTIFS('Error Log'!$A:$A,$A166,'Error Log'!$F:$F,"Target")</f>
        <v>0</v>
      </c>
      <c r="J166" s="71">
        <f t="shared" si="2"/>
        <v>0</v>
      </c>
    </row>
    <row r="167" spans="1:10">
      <c r="A167" s="81"/>
      <c r="B167" s="70" t="str">
        <f>IF(ISBLANK(A167),"",INDEX('Error Log'!$A:$J,MATCH('Scores per segment'!$A167,'Error Log'!$A:$A,0),MATCH('Scores per segment'!B$1,'Error Log'!$A$1:$J$1,0)))</f>
        <v/>
      </c>
      <c r="C167" s="70" t="str">
        <f>IF(ISBLANK(A167),"",INDEX('Error Log'!$A:$J,MATCH('Scores per segment'!$A167,'Error Log'!$A:$A,0),MATCH('Scores per segment'!C$1,'Error Log'!$A$1:$J$1,0)))</f>
        <v/>
      </c>
      <c r="D167" s="70">
        <f>IF(H167=0,wdct(TRIM(C167)),0)</f>
        <v>0</v>
      </c>
      <c r="E167" s="70">
        <f>COUNTIFS('Error Log'!$A:$A,$A167,'Error Log'!$J:$J,E$1)</f>
        <v>0</v>
      </c>
      <c r="F167" s="70">
        <f>COUNTIFS('Error Log'!$A:$A,$A167,'Error Log'!$J:$J,F$1)</f>
        <v>0</v>
      </c>
      <c r="G167" s="70">
        <f>COUNTIFS('Error Log'!$A:$A,$A167,'Error Log'!$J:$J,G$1)</f>
        <v>0</v>
      </c>
      <c r="H167" s="70">
        <f>COUNTIFS('Error Log'!$A:$A,$A167,'Error Log'!$F:$F,"Source")</f>
        <v>0</v>
      </c>
      <c r="I167" s="70">
        <f>COUNTIFS('Error Log'!$A:$A,$A167,'Error Log'!$F:$F,"Target")</f>
        <v>0</v>
      </c>
      <c r="J167" s="71">
        <f t="shared" si="2"/>
        <v>0</v>
      </c>
    </row>
    <row r="168" spans="1:10">
      <c r="A168" s="81"/>
      <c r="B168" s="70" t="str">
        <f>IF(ISBLANK(A168),"",INDEX('Error Log'!$A:$J,MATCH('Scores per segment'!$A168,'Error Log'!$A:$A,0),MATCH('Scores per segment'!B$1,'Error Log'!$A$1:$J$1,0)))</f>
        <v/>
      </c>
      <c r="C168" s="70" t="str">
        <f>IF(ISBLANK(A168),"",INDEX('Error Log'!$A:$J,MATCH('Scores per segment'!$A168,'Error Log'!$A:$A,0),MATCH('Scores per segment'!C$1,'Error Log'!$A$1:$J$1,0)))</f>
        <v/>
      </c>
      <c r="D168" s="70">
        <f>IF(H168=0,wdct(TRIM(C168)),0)</f>
        <v>0</v>
      </c>
      <c r="E168" s="70">
        <f>COUNTIFS('Error Log'!$A:$A,$A168,'Error Log'!$J:$J,E$1)</f>
        <v>0</v>
      </c>
      <c r="F168" s="70">
        <f>COUNTIFS('Error Log'!$A:$A,$A168,'Error Log'!$J:$J,F$1)</f>
        <v>0</v>
      </c>
      <c r="G168" s="70">
        <f>COUNTIFS('Error Log'!$A:$A,$A168,'Error Log'!$J:$J,G$1)</f>
        <v>0</v>
      </c>
      <c r="H168" s="70">
        <f>COUNTIFS('Error Log'!$A:$A,$A168,'Error Log'!$F:$F,"Source")</f>
        <v>0</v>
      </c>
      <c r="I168" s="70">
        <f>COUNTIFS('Error Log'!$A:$A,$A168,'Error Log'!$F:$F,"Target")</f>
        <v>0</v>
      </c>
      <c r="J168" s="71">
        <f t="shared" si="2"/>
        <v>0</v>
      </c>
    </row>
    <row r="169" spans="1:10">
      <c r="A169" s="81"/>
      <c r="B169" s="70" t="str">
        <f>IF(ISBLANK(A169),"",INDEX('Error Log'!$A:$J,MATCH('Scores per segment'!$A169,'Error Log'!$A:$A,0),MATCH('Scores per segment'!B$1,'Error Log'!$A$1:$J$1,0)))</f>
        <v/>
      </c>
      <c r="C169" s="70" t="str">
        <f>IF(ISBLANK(A169),"",INDEX('Error Log'!$A:$J,MATCH('Scores per segment'!$A169,'Error Log'!$A:$A,0),MATCH('Scores per segment'!C$1,'Error Log'!$A$1:$J$1,0)))</f>
        <v/>
      </c>
      <c r="D169" s="70">
        <f>IF(H169=0,wdct(TRIM(C169)),0)</f>
        <v>0</v>
      </c>
      <c r="E169" s="70">
        <f>COUNTIFS('Error Log'!$A:$A,$A169,'Error Log'!$J:$J,E$1)</f>
        <v>0</v>
      </c>
      <c r="F169" s="70">
        <f>COUNTIFS('Error Log'!$A:$A,$A169,'Error Log'!$J:$J,F$1)</f>
        <v>0</v>
      </c>
      <c r="G169" s="70">
        <f>COUNTIFS('Error Log'!$A:$A,$A169,'Error Log'!$J:$J,G$1)</f>
        <v>0</v>
      </c>
      <c r="H169" s="70">
        <f>COUNTIFS('Error Log'!$A:$A,$A169,'Error Log'!$F:$F,"Source")</f>
        <v>0</v>
      </c>
      <c r="I169" s="70">
        <f>COUNTIFS('Error Log'!$A:$A,$A169,'Error Log'!$F:$F,"Target")</f>
        <v>0</v>
      </c>
      <c r="J169" s="71">
        <f t="shared" si="2"/>
        <v>0</v>
      </c>
    </row>
    <row r="170" spans="1:10">
      <c r="A170" s="81"/>
      <c r="B170" s="70" t="str">
        <f>IF(ISBLANK(A170),"",INDEX('Error Log'!$A:$J,MATCH('Scores per segment'!$A170,'Error Log'!$A:$A,0),MATCH('Scores per segment'!B$1,'Error Log'!$A$1:$J$1,0)))</f>
        <v/>
      </c>
      <c r="C170" s="70" t="str">
        <f>IF(ISBLANK(A170),"",INDEX('Error Log'!$A:$J,MATCH('Scores per segment'!$A170,'Error Log'!$A:$A,0),MATCH('Scores per segment'!C$1,'Error Log'!$A$1:$J$1,0)))</f>
        <v/>
      </c>
      <c r="D170" s="70">
        <f>IF(H170=0,wdct(TRIM(C170)),0)</f>
        <v>0</v>
      </c>
      <c r="E170" s="70">
        <f>COUNTIFS('Error Log'!$A:$A,$A170,'Error Log'!$J:$J,E$1)</f>
        <v>0</v>
      </c>
      <c r="F170" s="70">
        <f>COUNTIFS('Error Log'!$A:$A,$A170,'Error Log'!$J:$J,F$1)</f>
        <v>0</v>
      </c>
      <c r="G170" s="70">
        <f>COUNTIFS('Error Log'!$A:$A,$A170,'Error Log'!$J:$J,G$1)</f>
        <v>0</v>
      </c>
      <c r="H170" s="70">
        <f>COUNTIFS('Error Log'!$A:$A,$A170,'Error Log'!$F:$F,"Source")</f>
        <v>0</v>
      </c>
      <c r="I170" s="70">
        <f>COUNTIFS('Error Log'!$A:$A,$A170,'Error Log'!$F:$F,"Target")</f>
        <v>0</v>
      </c>
      <c r="J170" s="71">
        <f t="shared" si="2"/>
        <v>0</v>
      </c>
    </row>
    <row r="171" spans="1:10">
      <c r="A171" s="81"/>
      <c r="B171" s="70" t="str">
        <f>IF(ISBLANK(A171),"",INDEX('Error Log'!$A:$J,MATCH('Scores per segment'!$A171,'Error Log'!$A:$A,0),MATCH('Scores per segment'!B$1,'Error Log'!$A$1:$J$1,0)))</f>
        <v/>
      </c>
      <c r="C171" s="70" t="str">
        <f>IF(ISBLANK(A171),"",INDEX('Error Log'!$A:$J,MATCH('Scores per segment'!$A171,'Error Log'!$A:$A,0),MATCH('Scores per segment'!C$1,'Error Log'!$A$1:$J$1,0)))</f>
        <v/>
      </c>
      <c r="D171" s="70">
        <f>IF(H171=0,wdct(TRIM(C171)),0)</f>
        <v>0</v>
      </c>
      <c r="E171" s="70">
        <f>COUNTIFS('Error Log'!$A:$A,$A171,'Error Log'!$J:$J,E$1)</f>
        <v>0</v>
      </c>
      <c r="F171" s="70">
        <f>COUNTIFS('Error Log'!$A:$A,$A171,'Error Log'!$J:$J,F$1)</f>
        <v>0</v>
      </c>
      <c r="G171" s="70">
        <f>COUNTIFS('Error Log'!$A:$A,$A171,'Error Log'!$J:$J,G$1)</f>
        <v>0</v>
      </c>
      <c r="H171" s="70">
        <f>COUNTIFS('Error Log'!$A:$A,$A171,'Error Log'!$F:$F,"Source")</f>
        <v>0</v>
      </c>
      <c r="I171" s="70">
        <f>COUNTIFS('Error Log'!$A:$A,$A171,'Error Log'!$F:$F,"Target")</f>
        <v>0</v>
      </c>
      <c r="J171" s="71">
        <f t="shared" si="2"/>
        <v>0</v>
      </c>
    </row>
    <row r="172" spans="1:10">
      <c r="A172" s="81"/>
      <c r="B172" s="70" t="str">
        <f>IF(ISBLANK(A172),"",INDEX('Error Log'!$A:$J,MATCH('Scores per segment'!$A172,'Error Log'!$A:$A,0),MATCH('Scores per segment'!B$1,'Error Log'!$A$1:$J$1,0)))</f>
        <v/>
      </c>
      <c r="C172" s="70" t="str">
        <f>IF(ISBLANK(A172),"",INDEX('Error Log'!$A:$J,MATCH('Scores per segment'!$A172,'Error Log'!$A:$A,0),MATCH('Scores per segment'!C$1,'Error Log'!$A$1:$J$1,0)))</f>
        <v/>
      </c>
      <c r="D172" s="70">
        <f>IF(H172=0,wdct(TRIM(C172)),0)</f>
        <v>0</v>
      </c>
      <c r="E172" s="70">
        <f>COUNTIFS('Error Log'!$A:$A,$A172,'Error Log'!$J:$J,E$1)</f>
        <v>0</v>
      </c>
      <c r="F172" s="70">
        <f>COUNTIFS('Error Log'!$A:$A,$A172,'Error Log'!$J:$J,F$1)</f>
        <v>0</v>
      </c>
      <c r="G172" s="70">
        <f>COUNTIFS('Error Log'!$A:$A,$A172,'Error Log'!$J:$J,G$1)</f>
        <v>0</v>
      </c>
      <c r="H172" s="70">
        <f>COUNTIFS('Error Log'!$A:$A,$A172,'Error Log'!$F:$F,"Source")</f>
        <v>0</v>
      </c>
      <c r="I172" s="70">
        <f>COUNTIFS('Error Log'!$A:$A,$A172,'Error Log'!$F:$F,"Target")</f>
        <v>0</v>
      </c>
      <c r="J172" s="71">
        <f t="shared" si="2"/>
        <v>0</v>
      </c>
    </row>
    <row r="173" spans="1:10">
      <c r="A173" s="81"/>
      <c r="B173" s="70" t="str">
        <f>IF(ISBLANK(A173),"",INDEX('Error Log'!$A:$J,MATCH('Scores per segment'!$A173,'Error Log'!$A:$A,0),MATCH('Scores per segment'!B$1,'Error Log'!$A$1:$J$1,0)))</f>
        <v/>
      </c>
      <c r="C173" s="70" t="str">
        <f>IF(ISBLANK(A173),"",INDEX('Error Log'!$A:$J,MATCH('Scores per segment'!$A173,'Error Log'!$A:$A,0),MATCH('Scores per segment'!C$1,'Error Log'!$A$1:$J$1,0)))</f>
        <v/>
      </c>
      <c r="D173" s="70">
        <f>IF(H173=0,wdct(TRIM(C173)),0)</f>
        <v>0</v>
      </c>
      <c r="E173" s="70">
        <f>COUNTIFS('Error Log'!$A:$A,$A173,'Error Log'!$J:$J,E$1)</f>
        <v>0</v>
      </c>
      <c r="F173" s="70">
        <f>COUNTIFS('Error Log'!$A:$A,$A173,'Error Log'!$J:$J,F$1)</f>
        <v>0</v>
      </c>
      <c r="G173" s="70">
        <f>COUNTIFS('Error Log'!$A:$A,$A173,'Error Log'!$J:$J,G$1)</f>
        <v>0</v>
      </c>
      <c r="H173" s="70">
        <f>COUNTIFS('Error Log'!$A:$A,$A173,'Error Log'!$F:$F,"Source")</f>
        <v>0</v>
      </c>
      <c r="I173" s="70">
        <f>COUNTIFS('Error Log'!$A:$A,$A173,'Error Log'!$F:$F,"Target")</f>
        <v>0</v>
      </c>
      <c r="J173" s="71">
        <f t="shared" si="2"/>
        <v>0</v>
      </c>
    </row>
    <row r="174" spans="1:10">
      <c r="A174" s="81"/>
      <c r="B174" s="70" t="str">
        <f>IF(ISBLANK(A174),"",INDEX('Error Log'!$A:$J,MATCH('Scores per segment'!$A174,'Error Log'!$A:$A,0),MATCH('Scores per segment'!B$1,'Error Log'!$A$1:$J$1,0)))</f>
        <v/>
      </c>
      <c r="C174" s="70" t="str">
        <f>IF(ISBLANK(A174),"",INDEX('Error Log'!$A:$J,MATCH('Scores per segment'!$A174,'Error Log'!$A:$A,0),MATCH('Scores per segment'!C$1,'Error Log'!$A$1:$J$1,0)))</f>
        <v/>
      </c>
      <c r="D174" s="70">
        <f>IF(H174=0,wdct(TRIM(C174)),0)</f>
        <v>0</v>
      </c>
      <c r="E174" s="70">
        <f>COUNTIFS('Error Log'!$A:$A,$A174,'Error Log'!$J:$J,E$1)</f>
        <v>0</v>
      </c>
      <c r="F174" s="70">
        <f>COUNTIFS('Error Log'!$A:$A,$A174,'Error Log'!$J:$J,F$1)</f>
        <v>0</v>
      </c>
      <c r="G174" s="70">
        <f>COUNTIFS('Error Log'!$A:$A,$A174,'Error Log'!$J:$J,G$1)</f>
        <v>0</v>
      </c>
      <c r="H174" s="70">
        <f>COUNTIFS('Error Log'!$A:$A,$A174,'Error Log'!$F:$F,"Source")</f>
        <v>0</v>
      </c>
      <c r="I174" s="70">
        <f>COUNTIFS('Error Log'!$A:$A,$A174,'Error Log'!$F:$F,"Target")</f>
        <v>0</v>
      </c>
      <c r="J174" s="71">
        <f t="shared" si="2"/>
        <v>0</v>
      </c>
    </row>
    <row r="175" spans="1:10">
      <c r="A175" s="81"/>
      <c r="B175" s="70" t="str">
        <f>IF(ISBLANK(A175),"",INDEX('Error Log'!$A:$J,MATCH('Scores per segment'!$A175,'Error Log'!$A:$A,0),MATCH('Scores per segment'!B$1,'Error Log'!$A$1:$J$1,0)))</f>
        <v/>
      </c>
      <c r="C175" s="70" t="str">
        <f>IF(ISBLANK(A175),"",INDEX('Error Log'!$A:$J,MATCH('Scores per segment'!$A175,'Error Log'!$A:$A,0),MATCH('Scores per segment'!C$1,'Error Log'!$A$1:$J$1,0)))</f>
        <v/>
      </c>
      <c r="D175" s="70">
        <f>IF(H175=0,wdct(TRIM(C175)),0)</f>
        <v>0</v>
      </c>
      <c r="E175" s="70">
        <f>COUNTIFS('Error Log'!$A:$A,$A175,'Error Log'!$J:$J,E$1)</f>
        <v>0</v>
      </c>
      <c r="F175" s="70">
        <f>COUNTIFS('Error Log'!$A:$A,$A175,'Error Log'!$J:$J,F$1)</f>
        <v>0</v>
      </c>
      <c r="G175" s="70">
        <f>COUNTIFS('Error Log'!$A:$A,$A175,'Error Log'!$J:$J,G$1)</f>
        <v>0</v>
      </c>
      <c r="H175" s="70">
        <f>COUNTIFS('Error Log'!$A:$A,$A175,'Error Log'!$F:$F,"Source")</f>
        <v>0</v>
      </c>
      <c r="I175" s="70">
        <f>COUNTIFS('Error Log'!$A:$A,$A175,'Error Log'!$F:$F,"Target")</f>
        <v>0</v>
      </c>
      <c r="J175" s="71">
        <f t="shared" si="2"/>
        <v>0</v>
      </c>
    </row>
    <row r="176" spans="1:10">
      <c r="A176" s="81"/>
      <c r="B176" s="70" t="str">
        <f>IF(ISBLANK(A176),"",INDEX('Error Log'!$A:$J,MATCH('Scores per segment'!$A176,'Error Log'!$A:$A,0),MATCH('Scores per segment'!B$1,'Error Log'!$A$1:$J$1,0)))</f>
        <v/>
      </c>
      <c r="C176" s="70" t="str">
        <f>IF(ISBLANK(A176),"",INDEX('Error Log'!$A:$J,MATCH('Scores per segment'!$A176,'Error Log'!$A:$A,0),MATCH('Scores per segment'!C$1,'Error Log'!$A$1:$J$1,0)))</f>
        <v/>
      </c>
      <c r="D176" s="70">
        <f>IF(H176=0,wdct(TRIM(C176)),0)</f>
        <v>0</v>
      </c>
      <c r="E176" s="70">
        <f>COUNTIFS('Error Log'!$A:$A,$A176,'Error Log'!$J:$J,E$1)</f>
        <v>0</v>
      </c>
      <c r="F176" s="70">
        <f>COUNTIFS('Error Log'!$A:$A,$A176,'Error Log'!$J:$J,F$1)</f>
        <v>0</v>
      </c>
      <c r="G176" s="70">
        <f>COUNTIFS('Error Log'!$A:$A,$A176,'Error Log'!$J:$J,G$1)</f>
        <v>0</v>
      </c>
      <c r="H176" s="70">
        <f>COUNTIFS('Error Log'!$A:$A,$A176,'Error Log'!$F:$F,"Source")</f>
        <v>0</v>
      </c>
      <c r="I176" s="70">
        <f>COUNTIFS('Error Log'!$A:$A,$A176,'Error Log'!$F:$F,"Target")</f>
        <v>0</v>
      </c>
      <c r="J176" s="71">
        <f t="shared" si="2"/>
        <v>0</v>
      </c>
    </row>
    <row r="177" spans="1:10">
      <c r="A177" s="81"/>
      <c r="B177" s="70" t="str">
        <f>IF(ISBLANK(A177),"",INDEX('Error Log'!$A:$J,MATCH('Scores per segment'!$A177,'Error Log'!$A:$A,0),MATCH('Scores per segment'!B$1,'Error Log'!$A$1:$J$1,0)))</f>
        <v/>
      </c>
      <c r="C177" s="70" t="str">
        <f>IF(ISBLANK(A177),"",INDEX('Error Log'!$A:$J,MATCH('Scores per segment'!$A177,'Error Log'!$A:$A,0),MATCH('Scores per segment'!C$1,'Error Log'!$A$1:$J$1,0)))</f>
        <v/>
      </c>
      <c r="D177" s="70">
        <f>IF(H177=0,wdct(TRIM(C177)),0)</f>
        <v>0</v>
      </c>
      <c r="E177" s="70">
        <f>COUNTIFS('Error Log'!$A:$A,$A177,'Error Log'!$J:$J,E$1)</f>
        <v>0</v>
      </c>
      <c r="F177" s="70">
        <f>COUNTIFS('Error Log'!$A:$A,$A177,'Error Log'!$J:$J,F$1)</f>
        <v>0</v>
      </c>
      <c r="G177" s="70">
        <f>COUNTIFS('Error Log'!$A:$A,$A177,'Error Log'!$J:$J,G$1)</f>
        <v>0</v>
      </c>
      <c r="H177" s="70">
        <f>COUNTIFS('Error Log'!$A:$A,$A177,'Error Log'!$F:$F,"Source")</f>
        <v>0</v>
      </c>
      <c r="I177" s="70">
        <f>COUNTIFS('Error Log'!$A:$A,$A177,'Error Log'!$F:$F,"Target")</f>
        <v>0</v>
      </c>
      <c r="J177" s="71">
        <f t="shared" si="2"/>
        <v>0</v>
      </c>
    </row>
    <row r="178" spans="1:10">
      <c r="A178" s="81"/>
      <c r="B178" s="70" t="str">
        <f>IF(ISBLANK(A178),"",INDEX('Error Log'!$A:$J,MATCH('Scores per segment'!$A178,'Error Log'!$A:$A,0),MATCH('Scores per segment'!B$1,'Error Log'!$A$1:$J$1,0)))</f>
        <v/>
      </c>
      <c r="C178" s="70" t="str">
        <f>IF(ISBLANK(A178),"",INDEX('Error Log'!$A:$J,MATCH('Scores per segment'!$A178,'Error Log'!$A:$A,0),MATCH('Scores per segment'!C$1,'Error Log'!$A$1:$J$1,0)))</f>
        <v/>
      </c>
      <c r="D178" s="70">
        <f>IF(H178=0,wdct(TRIM(C178)),0)</f>
        <v>0</v>
      </c>
      <c r="E178" s="70">
        <f>COUNTIFS('Error Log'!$A:$A,$A178,'Error Log'!$J:$J,E$1)</f>
        <v>0</v>
      </c>
      <c r="F178" s="70">
        <f>COUNTIFS('Error Log'!$A:$A,$A178,'Error Log'!$J:$J,F$1)</f>
        <v>0</v>
      </c>
      <c r="G178" s="70">
        <f>COUNTIFS('Error Log'!$A:$A,$A178,'Error Log'!$J:$J,G$1)</f>
        <v>0</v>
      </c>
      <c r="H178" s="70">
        <f>COUNTIFS('Error Log'!$A:$A,$A178,'Error Log'!$F:$F,"Source")</f>
        <v>0</v>
      </c>
      <c r="I178" s="70">
        <f>COUNTIFS('Error Log'!$A:$A,$A178,'Error Log'!$F:$F,"Target")</f>
        <v>0</v>
      </c>
      <c r="J178" s="71">
        <f t="shared" si="2"/>
        <v>0</v>
      </c>
    </row>
    <row r="179" spans="1:10">
      <c r="A179" s="81"/>
      <c r="B179" s="70" t="str">
        <f>IF(ISBLANK(A179),"",INDEX('Error Log'!$A:$J,MATCH('Scores per segment'!$A179,'Error Log'!$A:$A,0),MATCH('Scores per segment'!B$1,'Error Log'!$A$1:$J$1,0)))</f>
        <v/>
      </c>
      <c r="C179" s="70" t="str">
        <f>IF(ISBLANK(A179),"",INDEX('Error Log'!$A:$J,MATCH('Scores per segment'!$A179,'Error Log'!$A:$A,0),MATCH('Scores per segment'!C$1,'Error Log'!$A$1:$J$1,0)))</f>
        <v/>
      </c>
      <c r="D179" s="70">
        <f>IF(H179=0,wdct(TRIM(C179)),0)</f>
        <v>0</v>
      </c>
      <c r="E179" s="70">
        <f>COUNTIFS('Error Log'!$A:$A,$A179,'Error Log'!$J:$J,E$1)</f>
        <v>0</v>
      </c>
      <c r="F179" s="70">
        <f>COUNTIFS('Error Log'!$A:$A,$A179,'Error Log'!$J:$J,F$1)</f>
        <v>0</v>
      </c>
      <c r="G179" s="70">
        <f>COUNTIFS('Error Log'!$A:$A,$A179,'Error Log'!$J:$J,G$1)</f>
        <v>0</v>
      </c>
      <c r="H179" s="70">
        <f>COUNTIFS('Error Log'!$A:$A,$A179,'Error Log'!$F:$F,"Source")</f>
        <v>0</v>
      </c>
      <c r="I179" s="70">
        <f>COUNTIFS('Error Log'!$A:$A,$A179,'Error Log'!$F:$F,"Target")</f>
        <v>0</v>
      </c>
      <c r="J179" s="71">
        <f t="shared" si="2"/>
        <v>0</v>
      </c>
    </row>
    <row r="180" spans="1:10">
      <c r="A180" s="81"/>
      <c r="B180" s="70" t="str">
        <f>IF(ISBLANK(A180),"",INDEX('Error Log'!$A:$J,MATCH('Scores per segment'!$A180,'Error Log'!$A:$A,0),MATCH('Scores per segment'!B$1,'Error Log'!$A$1:$J$1,0)))</f>
        <v/>
      </c>
      <c r="C180" s="70" t="str">
        <f>IF(ISBLANK(A180),"",INDEX('Error Log'!$A:$J,MATCH('Scores per segment'!$A180,'Error Log'!$A:$A,0),MATCH('Scores per segment'!C$1,'Error Log'!$A$1:$J$1,0)))</f>
        <v/>
      </c>
      <c r="D180" s="70">
        <f>IF(H180=0,wdct(TRIM(C180)),0)</f>
        <v>0</v>
      </c>
      <c r="E180" s="70">
        <f>COUNTIFS('Error Log'!$A:$A,$A180,'Error Log'!$J:$J,E$1)</f>
        <v>0</v>
      </c>
      <c r="F180" s="70">
        <f>COUNTIFS('Error Log'!$A:$A,$A180,'Error Log'!$J:$J,F$1)</f>
        <v>0</v>
      </c>
      <c r="G180" s="70">
        <f>COUNTIFS('Error Log'!$A:$A,$A180,'Error Log'!$J:$J,G$1)</f>
        <v>0</v>
      </c>
      <c r="H180" s="70">
        <f>COUNTIFS('Error Log'!$A:$A,$A180,'Error Log'!$F:$F,"Source")</f>
        <v>0</v>
      </c>
      <c r="I180" s="70">
        <f>COUNTIFS('Error Log'!$A:$A,$A180,'Error Log'!$F:$F,"Target")</f>
        <v>0</v>
      </c>
      <c r="J180" s="71">
        <f t="shared" si="2"/>
        <v>0</v>
      </c>
    </row>
    <row r="181" spans="1:10">
      <c r="A181" s="81"/>
      <c r="B181" s="70" t="str">
        <f>IF(ISBLANK(A181),"",INDEX('Error Log'!$A:$J,MATCH('Scores per segment'!$A181,'Error Log'!$A:$A,0),MATCH('Scores per segment'!B$1,'Error Log'!$A$1:$J$1,0)))</f>
        <v/>
      </c>
      <c r="C181" s="70" t="str">
        <f>IF(ISBLANK(A181),"",INDEX('Error Log'!$A:$J,MATCH('Scores per segment'!$A181,'Error Log'!$A:$A,0),MATCH('Scores per segment'!C$1,'Error Log'!$A$1:$J$1,0)))</f>
        <v/>
      </c>
      <c r="D181" s="70">
        <f>IF(H181=0,wdct(TRIM(C181)),0)</f>
        <v>0</v>
      </c>
      <c r="E181" s="70">
        <f>COUNTIFS('Error Log'!$A:$A,$A181,'Error Log'!$J:$J,E$1)</f>
        <v>0</v>
      </c>
      <c r="F181" s="70">
        <f>COUNTIFS('Error Log'!$A:$A,$A181,'Error Log'!$J:$J,F$1)</f>
        <v>0</v>
      </c>
      <c r="G181" s="70">
        <f>COUNTIFS('Error Log'!$A:$A,$A181,'Error Log'!$J:$J,G$1)</f>
        <v>0</v>
      </c>
      <c r="H181" s="70">
        <f>COUNTIFS('Error Log'!$A:$A,$A181,'Error Log'!$F:$F,"Source")</f>
        <v>0</v>
      </c>
      <c r="I181" s="70">
        <f>COUNTIFS('Error Log'!$A:$A,$A181,'Error Log'!$F:$F,"Target")</f>
        <v>0</v>
      </c>
      <c r="J181" s="71">
        <f t="shared" si="2"/>
        <v>0</v>
      </c>
    </row>
    <row r="182" spans="1:10">
      <c r="A182" s="81"/>
      <c r="B182" s="70" t="str">
        <f>IF(ISBLANK(A182),"",INDEX('Error Log'!$A:$J,MATCH('Scores per segment'!$A182,'Error Log'!$A:$A,0),MATCH('Scores per segment'!B$1,'Error Log'!$A$1:$J$1,0)))</f>
        <v/>
      </c>
      <c r="C182" s="70" t="str">
        <f>IF(ISBLANK(A182),"",INDEX('Error Log'!$A:$J,MATCH('Scores per segment'!$A182,'Error Log'!$A:$A,0),MATCH('Scores per segment'!C$1,'Error Log'!$A$1:$J$1,0)))</f>
        <v/>
      </c>
      <c r="D182" s="70">
        <f>IF(H182=0,wdct(TRIM(C182)),0)</f>
        <v>0</v>
      </c>
      <c r="E182" s="70">
        <f>COUNTIFS('Error Log'!$A:$A,$A182,'Error Log'!$J:$J,E$1)</f>
        <v>0</v>
      </c>
      <c r="F182" s="70">
        <f>COUNTIFS('Error Log'!$A:$A,$A182,'Error Log'!$J:$J,F$1)</f>
        <v>0</v>
      </c>
      <c r="G182" s="70">
        <f>COUNTIFS('Error Log'!$A:$A,$A182,'Error Log'!$J:$J,G$1)</f>
        <v>0</v>
      </c>
      <c r="H182" s="70">
        <f>COUNTIFS('Error Log'!$A:$A,$A182,'Error Log'!$F:$F,"Source")</f>
        <v>0</v>
      </c>
      <c r="I182" s="70">
        <f>COUNTIFS('Error Log'!$A:$A,$A182,'Error Log'!$F:$F,"Target")</f>
        <v>0</v>
      </c>
      <c r="J182" s="71">
        <f t="shared" si="2"/>
        <v>0</v>
      </c>
    </row>
    <row r="183" spans="1:10">
      <c r="A183" s="81"/>
      <c r="B183" s="70" t="str">
        <f>IF(ISBLANK(A183),"",INDEX('Error Log'!$A:$J,MATCH('Scores per segment'!$A183,'Error Log'!$A:$A,0),MATCH('Scores per segment'!B$1,'Error Log'!$A$1:$J$1,0)))</f>
        <v/>
      </c>
      <c r="C183" s="70" t="str">
        <f>IF(ISBLANK(A183),"",INDEX('Error Log'!$A:$J,MATCH('Scores per segment'!$A183,'Error Log'!$A:$A,0),MATCH('Scores per segment'!C$1,'Error Log'!$A$1:$J$1,0)))</f>
        <v/>
      </c>
      <c r="D183" s="70">
        <f>IF(H183=0,wdct(TRIM(C183)),0)</f>
        <v>0</v>
      </c>
      <c r="E183" s="70">
        <f>COUNTIFS('Error Log'!$A:$A,$A183,'Error Log'!$J:$J,E$1)</f>
        <v>0</v>
      </c>
      <c r="F183" s="70">
        <f>COUNTIFS('Error Log'!$A:$A,$A183,'Error Log'!$J:$J,F$1)</f>
        <v>0</v>
      </c>
      <c r="G183" s="70">
        <f>COUNTIFS('Error Log'!$A:$A,$A183,'Error Log'!$J:$J,G$1)</f>
        <v>0</v>
      </c>
      <c r="H183" s="70">
        <f>COUNTIFS('Error Log'!$A:$A,$A183,'Error Log'!$F:$F,"Source")</f>
        <v>0</v>
      </c>
      <c r="I183" s="70">
        <f>COUNTIFS('Error Log'!$A:$A,$A183,'Error Log'!$F:$F,"Target")</f>
        <v>0</v>
      </c>
      <c r="J183" s="71">
        <f t="shared" si="2"/>
        <v>0</v>
      </c>
    </row>
    <row r="184" spans="1:10">
      <c r="A184" s="81"/>
      <c r="B184" s="70" t="str">
        <f>IF(ISBLANK(A184),"",INDEX('Error Log'!$A:$J,MATCH('Scores per segment'!$A184,'Error Log'!$A:$A,0),MATCH('Scores per segment'!B$1,'Error Log'!$A$1:$J$1,0)))</f>
        <v/>
      </c>
      <c r="C184" s="70" t="str">
        <f>IF(ISBLANK(A184),"",INDEX('Error Log'!$A:$J,MATCH('Scores per segment'!$A184,'Error Log'!$A:$A,0),MATCH('Scores per segment'!C$1,'Error Log'!$A$1:$J$1,0)))</f>
        <v/>
      </c>
      <c r="D184" s="70">
        <f>IF(H184=0,wdct(TRIM(C184)),0)</f>
        <v>0</v>
      </c>
      <c r="E184" s="70">
        <f>COUNTIFS('Error Log'!$A:$A,$A184,'Error Log'!$J:$J,E$1)</f>
        <v>0</v>
      </c>
      <c r="F184" s="70">
        <f>COUNTIFS('Error Log'!$A:$A,$A184,'Error Log'!$J:$J,F$1)</f>
        <v>0</v>
      </c>
      <c r="G184" s="70">
        <f>COUNTIFS('Error Log'!$A:$A,$A184,'Error Log'!$J:$J,G$1)</f>
        <v>0</v>
      </c>
      <c r="H184" s="70">
        <f>COUNTIFS('Error Log'!$A:$A,$A184,'Error Log'!$F:$F,"Source")</f>
        <v>0</v>
      </c>
      <c r="I184" s="70">
        <f>COUNTIFS('Error Log'!$A:$A,$A184,'Error Log'!$F:$F,"Target")</f>
        <v>0</v>
      </c>
      <c r="J184" s="71">
        <f t="shared" si="2"/>
        <v>0</v>
      </c>
    </row>
    <row r="185" spans="1:10">
      <c r="A185" s="81"/>
      <c r="B185" s="70" t="str">
        <f>IF(ISBLANK(A185),"",INDEX('Error Log'!$A:$J,MATCH('Scores per segment'!$A185,'Error Log'!$A:$A,0),MATCH('Scores per segment'!B$1,'Error Log'!$A$1:$J$1,0)))</f>
        <v/>
      </c>
      <c r="C185" s="70" t="str">
        <f>IF(ISBLANK(A185),"",INDEX('Error Log'!$A:$J,MATCH('Scores per segment'!$A185,'Error Log'!$A:$A,0),MATCH('Scores per segment'!C$1,'Error Log'!$A$1:$J$1,0)))</f>
        <v/>
      </c>
      <c r="D185" s="70">
        <f>IF(H185=0,wdct(TRIM(C185)),0)</f>
        <v>0</v>
      </c>
      <c r="E185" s="70">
        <f>COUNTIFS('Error Log'!$A:$A,$A185,'Error Log'!$J:$J,E$1)</f>
        <v>0</v>
      </c>
      <c r="F185" s="70">
        <f>COUNTIFS('Error Log'!$A:$A,$A185,'Error Log'!$J:$J,F$1)</f>
        <v>0</v>
      </c>
      <c r="G185" s="70">
        <f>COUNTIFS('Error Log'!$A:$A,$A185,'Error Log'!$J:$J,G$1)</f>
        <v>0</v>
      </c>
      <c r="H185" s="70">
        <f>COUNTIFS('Error Log'!$A:$A,$A185,'Error Log'!$F:$F,"Source")</f>
        <v>0</v>
      </c>
      <c r="I185" s="70">
        <f>COUNTIFS('Error Log'!$A:$A,$A185,'Error Log'!$F:$F,"Target")</f>
        <v>0</v>
      </c>
      <c r="J185" s="71">
        <f t="shared" si="2"/>
        <v>0</v>
      </c>
    </row>
    <row r="186" spans="1:10">
      <c r="A186" s="81"/>
      <c r="B186" s="70" t="str">
        <f>IF(ISBLANK(A186),"",INDEX('Error Log'!$A:$J,MATCH('Scores per segment'!$A186,'Error Log'!$A:$A,0),MATCH('Scores per segment'!B$1,'Error Log'!$A$1:$J$1,0)))</f>
        <v/>
      </c>
      <c r="C186" s="70" t="str">
        <f>IF(ISBLANK(A186),"",INDEX('Error Log'!$A:$J,MATCH('Scores per segment'!$A186,'Error Log'!$A:$A,0),MATCH('Scores per segment'!C$1,'Error Log'!$A$1:$J$1,0)))</f>
        <v/>
      </c>
      <c r="D186" s="70">
        <f>IF(H186=0,wdct(TRIM(C186)),0)</f>
        <v>0</v>
      </c>
      <c r="E186" s="70">
        <f>COUNTIFS('Error Log'!$A:$A,$A186,'Error Log'!$J:$J,E$1)</f>
        <v>0</v>
      </c>
      <c r="F186" s="70">
        <f>COUNTIFS('Error Log'!$A:$A,$A186,'Error Log'!$J:$J,F$1)</f>
        <v>0</v>
      </c>
      <c r="G186" s="70">
        <f>COUNTIFS('Error Log'!$A:$A,$A186,'Error Log'!$J:$J,G$1)</f>
        <v>0</v>
      </c>
      <c r="H186" s="70">
        <f>COUNTIFS('Error Log'!$A:$A,$A186,'Error Log'!$F:$F,"Source")</f>
        <v>0</v>
      </c>
      <c r="I186" s="70">
        <f>COUNTIFS('Error Log'!$A:$A,$A186,'Error Log'!$F:$F,"Target")</f>
        <v>0</v>
      </c>
      <c r="J186" s="71">
        <f t="shared" si="2"/>
        <v>0</v>
      </c>
    </row>
    <row r="187" spans="1:10">
      <c r="A187" s="81"/>
      <c r="B187" s="70" t="str">
        <f>IF(ISBLANK(A187),"",INDEX('Error Log'!$A:$J,MATCH('Scores per segment'!$A187,'Error Log'!$A:$A,0),MATCH('Scores per segment'!B$1,'Error Log'!$A$1:$J$1,0)))</f>
        <v/>
      </c>
      <c r="C187" s="70" t="str">
        <f>IF(ISBLANK(A187),"",INDEX('Error Log'!$A:$J,MATCH('Scores per segment'!$A187,'Error Log'!$A:$A,0),MATCH('Scores per segment'!C$1,'Error Log'!$A$1:$J$1,0)))</f>
        <v/>
      </c>
      <c r="D187" s="70">
        <f>IF(H187=0,wdct(TRIM(C187)),0)</f>
        <v>0</v>
      </c>
      <c r="E187" s="70">
        <f>COUNTIFS('Error Log'!$A:$A,$A187,'Error Log'!$J:$J,E$1)</f>
        <v>0</v>
      </c>
      <c r="F187" s="70">
        <f>COUNTIFS('Error Log'!$A:$A,$A187,'Error Log'!$J:$J,F$1)</f>
        <v>0</v>
      </c>
      <c r="G187" s="70">
        <f>COUNTIFS('Error Log'!$A:$A,$A187,'Error Log'!$J:$J,G$1)</f>
        <v>0</v>
      </c>
      <c r="H187" s="70">
        <f>COUNTIFS('Error Log'!$A:$A,$A187,'Error Log'!$F:$F,"Source")</f>
        <v>0</v>
      </c>
      <c r="I187" s="70">
        <f>COUNTIFS('Error Log'!$A:$A,$A187,'Error Log'!$F:$F,"Target")</f>
        <v>0</v>
      </c>
      <c r="J187" s="71">
        <f t="shared" si="2"/>
        <v>0</v>
      </c>
    </row>
    <row r="188" spans="1:10">
      <c r="A188" s="81"/>
      <c r="B188" s="70" t="str">
        <f>IF(ISBLANK(A188),"",INDEX('Error Log'!$A:$J,MATCH('Scores per segment'!$A188,'Error Log'!$A:$A,0),MATCH('Scores per segment'!B$1,'Error Log'!$A$1:$J$1,0)))</f>
        <v/>
      </c>
      <c r="C188" s="70" t="str">
        <f>IF(ISBLANK(A188),"",INDEX('Error Log'!$A:$J,MATCH('Scores per segment'!$A188,'Error Log'!$A:$A,0),MATCH('Scores per segment'!C$1,'Error Log'!$A$1:$J$1,0)))</f>
        <v/>
      </c>
      <c r="D188" s="70">
        <f>IF(H188=0,wdct(TRIM(C188)),0)</f>
        <v>0</v>
      </c>
      <c r="E188" s="70">
        <f>COUNTIFS('Error Log'!$A:$A,$A188,'Error Log'!$J:$J,E$1)</f>
        <v>0</v>
      </c>
      <c r="F188" s="70">
        <f>COUNTIFS('Error Log'!$A:$A,$A188,'Error Log'!$J:$J,F$1)</f>
        <v>0</v>
      </c>
      <c r="G188" s="70">
        <f>COUNTIFS('Error Log'!$A:$A,$A188,'Error Log'!$J:$J,G$1)</f>
        <v>0</v>
      </c>
      <c r="H188" s="70">
        <f>COUNTIFS('Error Log'!$A:$A,$A188,'Error Log'!$F:$F,"Source")</f>
        <v>0</v>
      </c>
      <c r="I188" s="70">
        <f>COUNTIFS('Error Log'!$A:$A,$A188,'Error Log'!$F:$F,"Target")</f>
        <v>0</v>
      </c>
      <c r="J188" s="71">
        <f t="shared" si="2"/>
        <v>0</v>
      </c>
    </row>
    <row r="189" spans="1:10">
      <c r="A189" s="81"/>
      <c r="B189" s="70" t="str">
        <f>IF(ISBLANK(A189),"",INDEX('Error Log'!$A:$J,MATCH('Scores per segment'!$A189,'Error Log'!$A:$A,0),MATCH('Scores per segment'!B$1,'Error Log'!$A$1:$J$1,0)))</f>
        <v/>
      </c>
      <c r="C189" s="70" t="str">
        <f>IF(ISBLANK(A189),"",INDEX('Error Log'!$A:$J,MATCH('Scores per segment'!$A189,'Error Log'!$A:$A,0),MATCH('Scores per segment'!C$1,'Error Log'!$A$1:$J$1,0)))</f>
        <v/>
      </c>
      <c r="D189" s="70">
        <f>IF(H189=0,wdct(TRIM(C189)),0)</f>
        <v>0</v>
      </c>
      <c r="E189" s="70">
        <f>COUNTIFS('Error Log'!$A:$A,$A189,'Error Log'!$J:$J,E$1)</f>
        <v>0</v>
      </c>
      <c r="F189" s="70">
        <f>COUNTIFS('Error Log'!$A:$A,$A189,'Error Log'!$J:$J,F$1)</f>
        <v>0</v>
      </c>
      <c r="G189" s="70">
        <f>COUNTIFS('Error Log'!$A:$A,$A189,'Error Log'!$J:$J,G$1)</f>
        <v>0</v>
      </c>
      <c r="H189" s="70">
        <f>COUNTIFS('Error Log'!$A:$A,$A189,'Error Log'!$F:$F,"Source")</f>
        <v>0</v>
      </c>
      <c r="I189" s="70">
        <f>COUNTIFS('Error Log'!$A:$A,$A189,'Error Log'!$F:$F,"Target")</f>
        <v>0</v>
      </c>
      <c r="J189" s="71">
        <f t="shared" si="2"/>
        <v>0</v>
      </c>
    </row>
    <row r="190" spans="1:10">
      <c r="A190" s="81"/>
      <c r="B190" s="70" t="str">
        <f>IF(ISBLANK(A190),"",INDEX('Error Log'!$A:$J,MATCH('Scores per segment'!$A190,'Error Log'!$A:$A,0),MATCH('Scores per segment'!B$1,'Error Log'!$A$1:$J$1,0)))</f>
        <v/>
      </c>
      <c r="C190" s="70" t="str">
        <f>IF(ISBLANK(A190),"",INDEX('Error Log'!$A:$J,MATCH('Scores per segment'!$A190,'Error Log'!$A:$A,0),MATCH('Scores per segment'!C$1,'Error Log'!$A$1:$J$1,0)))</f>
        <v/>
      </c>
      <c r="D190" s="70">
        <f>IF(H190=0,wdct(TRIM(C190)),0)</f>
        <v>0</v>
      </c>
      <c r="E190" s="70">
        <f>COUNTIFS('Error Log'!$A:$A,$A190,'Error Log'!$J:$J,E$1)</f>
        <v>0</v>
      </c>
      <c r="F190" s="70">
        <f>COUNTIFS('Error Log'!$A:$A,$A190,'Error Log'!$J:$J,F$1)</f>
        <v>0</v>
      </c>
      <c r="G190" s="70">
        <f>COUNTIFS('Error Log'!$A:$A,$A190,'Error Log'!$J:$J,G$1)</f>
        <v>0</v>
      </c>
      <c r="H190" s="70">
        <f>COUNTIFS('Error Log'!$A:$A,$A190,'Error Log'!$F:$F,"Source")</f>
        <v>0</v>
      </c>
      <c r="I190" s="70">
        <f>COUNTIFS('Error Log'!$A:$A,$A190,'Error Log'!$F:$F,"Target")</f>
        <v>0</v>
      </c>
      <c r="J190" s="71">
        <f t="shared" si="2"/>
        <v>0</v>
      </c>
    </row>
    <row r="191" spans="1:10">
      <c r="A191" s="81"/>
      <c r="B191" s="70" t="str">
        <f>IF(ISBLANK(A191),"",INDEX('Error Log'!$A:$J,MATCH('Scores per segment'!$A191,'Error Log'!$A:$A,0),MATCH('Scores per segment'!B$1,'Error Log'!$A$1:$J$1,0)))</f>
        <v/>
      </c>
      <c r="C191" s="70" t="str">
        <f>IF(ISBLANK(A191),"",INDEX('Error Log'!$A:$J,MATCH('Scores per segment'!$A191,'Error Log'!$A:$A,0),MATCH('Scores per segment'!C$1,'Error Log'!$A$1:$J$1,0)))</f>
        <v/>
      </c>
      <c r="D191" s="70">
        <f>IF(H191=0,wdct(TRIM(C191)),0)</f>
        <v>0</v>
      </c>
      <c r="E191" s="70">
        <f>COUNTIFS('Error Log'!$A:$A,$A191,'Error Log'!$J:$J,E$1)</f>
        <v>0</v>
      </c>
      <c r="F191" s="70">
        <f>COUNTIFS('Error Log'!$A:$A,$A191,'Error Log'!$J:$J,F$1)</f>
        <v>0</v>
      </c>
      <c r="G191" s="70">
        <f>COUNTIFS('Error Log'!$A:$A,$A191,'Error Log'!$J:$J,G$1)</f>
        <v>0</v>
      </c>
      <c r="H191" s="70">
        <f>COUNTIFS('Error Log'!$A:$A,$A191,'Error Log'!$F:$F,"Source")</f>
        <v>0</v>
      </c>
      <c r="I191" s="70">
        <f>COUNTIFS('Error Log'!$A:$A,$A191,'Error Log'!$F:$F,"Target")</f>
        <v>0</v>
      </c>
      <c r="J191" s="71">
        <f t="shared" si="2"/>
        <v>0</v>
      </c>
    </row>
    <row r="192" spans="1:10">
      <c r="A192" s="81"/>
      <c r="B192" s="70" t="str">
        <f>IF(ISBLANK(A192),"",INDEX('Error Log'!$A:$J,MATCH('Scores per segment'!$A192,'Error Log'!$A:$A,0),MATCH('Scores per segment'!B$1,'Error Log'!$A$1:$J$1,0)))</f>
        <v/>
      </c>
      <c r="C192" s="70" t="str">
        <f>IF(ISBLANK(A192),"",INDEX('Error Log'!$A:$J,MATCH('Scores per segment'!$A192,'Error Log'!$A:$A,0),MATCH('Scores per segment'!C$1,'Error Log'!$A$1:$J$1,0)))</f>
        <v/>
      </c>
      <c r="D192" s="70">
        <f>IF(H192=0,wdct(TRIM(C192)),0)</f>
        <v>0</v>
      </c>
      <c r="E192" s="70">
        <f>COUNTIFS('Error Log'!$A:$A,$A192,'Error Log'!$J:$J,E$1)</f>
        <v>0</v>
      </c>
      <c r="F192" s="70">
        <f>COUNTIFS('Error Log'!$A:$A,$A192,'Error Log'!$J:$J,F$1)</f>
        <v>0</v>
      </c>
      <c r="G192" s="70">
        <f>COUNTIFS('Error Log'!$A:$A,$A192,'Error Log'!$J:$J,G$1)</f>
        <v>0</v>
      </c>
      <c r="H192" s="70">
        <f>COUNTIFS('Error Log'!$A:$A,$A192,'Error Log'!$F:$F,"Source")</f>
        <v>0</v>
      </c>
      <c r="I192" s="70">
        <f>COUNTIFS('Error Log'!$A:$A,$A192,'Error Log'!$F:$F,"Target")</f>
        <v>0</v>
      </c>
      <c r="J192" s="71">
        <f t="shared" si="2"/>
        <v>0</v>
      </c>
    </row>
    <row r="193" spans="1:10">
      <c r="A193" s="81"/>
      <c r="B193" s="70" t="str">
        <f>IF(ISBLANK(A193),"",INDEX('Error Log'!$A:$J,MATCH('Scores per segment'!$A193,'Error Log'!$A:$A,0),MATCH('Scores per segment'!B$1,'Error Log'!$A$1:$J$1,0)))</f>
        <v/>
      </c>
      <c r="C193" s="70" t="str">
        <f>IF(ISBLANK(A193),"",INDEX('Error Log'!$A:$J,MATCH('Scores per segment'!$A193,'Error Log'!$A:$A,0),MATCH('Scores per segment'!C$1,'Error Log'!$A$1:$J$1,0)))</f>
        <v/>
      </c>
      <c r="D193" s="70">
        <f>IF(H193=0,wdct(TRIM(C193)),0)</f>
        <v>0</v>
      </c>
      <c r="E193" s="70">
        <f>COUNTIFS('Error Log'!$A:$A,$A193,'Error Log'!$J:$J,E$1)</f>
        <v>0</v>
      </c>
      <c r="F193" s="70">
        <f>COUNTIFS('Error Log'!$A:$A,$A193,'Error Log'!$J:$J,F$1)</f>
        <v>0</v>
      </c>
      <c r="G193" s="70">
        <f>COUNTIFS('Error Log'!$A:$A,$A193,'Error Log'!$J:$J,G$1)</f>
        <v>0</v>
      </c>
      <c r="H193" s="70">
        <f>COUNTIFS('Error Log'!$A:$A,$A193,'Error Log'!$F:$F,"Source")</f>
        <v>0</v>
      </c>
      <c r="I193" s="70">
        <f>COUNTIFS('Error Log'!$A:$A,$A193,'Error Log'!$F:$F,"Target")</f>
        <v>0</v>
      </c>
      <c r="J193" s="71">
        <f t="shared" si="2"/>
        <v>0</v>
      </c>
    </row>
    <row r="194" spans="1:10">
      <c r="A194" s="81"/>
      <c r="B194" s="70" t="str">
        <f>IF(ISBLANK(A194),"",INDEX('Error Log'!$A:$J,MATCH('Scores per segment'!$A194,'Error Log'!$A:$A,0),MATCH('Scores per segment'!B$1,'Error Log'!$A$1:$J$1,0)))</f>
        <v/>
      </c>
      <c r="C194" s="70" t="str">
        <f>IF(ISBLANK(A194),"",INDEX('Error Log'!$A:$J,MATCH('Scores per segment'!$A194,'Error Log'!$A:$A,0),MATCH('Scores per segment'!C$1,'Error Log'!$A$1:$J$1,0)))</f>
        <v/>
      </c>
      <c r="D194" s="70">
        <f>IF(H194=0,wdct(TRIM(C194)),0)</f>
        <v>0</v>
      </c>
      <c r="E194" s="70">
        <f>COUNTIFS('Error Log'!$A:$A,$A194,'Error Log'!$J:$J,E$1)</f>
        <v>0</v>
      </c>
      <c r="F194" s="70">
        <f>COUNTIFS('Error Log'!$A:$A,$A194,'Error Log'!$J:$J,F$1)</f>
        <v>0</v>
      </c>
      <c r="G194" s="70">
        <f>COUNTIFS('Error Log'!$A:$A,$A194,'Error Log'!$J:$J,G$1)</f>
        <v>0</v>
      </c>
      <c r="H194" s="70">
        <f>COUNTIFS('Error Log'!$A:$A,$A194,'Error Log'!$F:$F,"Source")</f>
        <v>0</v>
      </c>
      <c r="I194" s="70">
        <f>COUNTIFS('Error Log'!$A:$A,$A194,'Error Log'!$F:$F,"Target")</f>
        <v>0</v>
      </c>
      <c r="J194" s="71">
        <f t="shared" ref="J194:J257" si="3">IF(I194=0,IFERROR((((1-((E194*10+F194*5+G194*1)/D194))*100)+100)/2,0),-150)</f>
        <v>0</v>
      </c>
    </row>
    <row r="195" spans="1:10">
      <c r="A195" s="81"/>
      <c r="B195" s="70" t="str">
        <f>IF(ISBLANK(A195),"",INDEX('Error Log'!$A:$J,MATCH('Scores per segment'!$A195,'Error Log'!$A:$A,0),MATCH('Scores per segment'!B$1,'Error Log'!$A$1:$J$1,0)))</f>
        <v/>
      </c>
      <c r="C195" s="70" t="str">
        <f>IF(ISBLANK(A195),"",INDEX('Error Log'!$A:$J,MATCH('Scores per segment'!$A195,'Error Log'!$A:$A,0),MATCH('Scores per segment'!C$1,'Error Log'!$A$1:$J$1,0)))</f>
        <v/>
      </c>
      <c r="D195" s="70">
        <f>IF(H195=0,wdct(TRIM(C195)),0)</f>
        <v>0</v>
      </c>
      <c r="E195" s="70">
        <f>COUNTIFS('Error Log'!$A:$A,$A195,'Error Log'!$J:$J,E$1)</f>
        <v>0</v>
      </c>
      <c r="F195" s="70">
        <f>COUNTIFS('Error Log'!$A:$A,$A195,'Error Log'!$J:$J,F$1)</f>
        <v>0</v>
      </c>
      <c r="G195" s="70">
        <f>COUNTIFS('Error Log'!$A:$A,$A195,'Error Log'!$J:$J,G$1)</f>
        <v>0</v>
      </c>
      <c r="H195" s="70">
        <f>COUNTIFS('Error Log'!$A:$A,$A195,'Error Log'!$F:$F,"Source")</f>
        <v>0</v>
      </c>
      <c r="I195" s="70">
        <f>COUNTIFS('Error Log'!$A:$A,$A195,'Error Log'!$F:$F,"Target")</f>
        <v>0</v>
      </c>
      <c r="J195" s="71">
        <f t="shared" si="3"/>
        <v>0</v>
      </c>
    </row>
    <row r="196" spans="1:10">
      <c r="A196" s="81"/>
      <c r="B196" s="70" t="str">
        <f>IF(ISBLANK(A196),"",INDEX('Error Log'!$A:$J,MATCH('Scores per segment'!$A196,'Error Log'!$A:$A,0),MATCH('Scores per segment'!B$1,'Error Log'!$A$1:$J$1,0)))</f>
        <v/>
      </c>
      <c r="C196" s="70" t="str">
        <f>IF(ISBLANK(A196),"",INDEX('Error Log'!$A:$J,MATCH('Scores per segment'!$A196,'Error Log'!$A:$A,0),MATCH('Scores per segment'!C$1,'Error Log'!$A$1:$J$1,0)))</f>
        <v/>
      </c>
      <c r="D196" s="70">
        <f>IF(H196=0,wdct(TRIM(C196)),0)</f>
        <v>0</v>
      </c>
      <c r="E196" s="70">
        <f>COUNTIFS('Error Log'!$A:$A,$A196,'Error Log'!$J:$J,E$1)</f>
        <v>0</v>
      </c>
      <c r="F196" s="70">
        <f>COUNTIFS('Error Log'!$A:$A,$A196,'Error Log'!$J:$J,F$1)</f>
        <v>0</v>
      </c>
      <c r="G196" s="70">
        <f>COUNTIFS('Error Log'!$A:$A,$A196,'Error Log'!$J:$J,G$1)</f>
        <v>0</v>
      </c>
      <c r="H196" s="70">
        <f>COUNTIFS('Error Log'!$A:$A,$A196,'Error Log'!$F:$F,"Source")</f>
        <v>0</v>
      </c>
      <c r="I196" s="70">
        <f>COUNTIFS('Error Log'!$A:$A,$A196,'Error Log'!$F:$F,"Target")</f>
        <v>0</v>
      </c>
      <c r="J196" s="71">
        <f t="shared" si="3"/>
        <v>0</v>
      </c>
    </row>
    <row r="197" spans="1:10">
      <c r="A197" s="81"/>
      <c r="B197" s="70" t="str">
        <f>IF(ISBLANK(A197),"",INDEX('Error Log'!$A:$J,MATCH('Scores per segment'!$A197,'Error Log'!$A:$A,0),MATCH('Scores per segment'!B$1,'Error Log'!$A$1:$J$1,0)))</f>
        <v/>
      </c>
      <c r="C197" s="70" t="str">
        <f>IF(ISBLANK(A197),"",INDEX('Error Log'!$A:$J,MATCH('Scores per segment'!$A197,'Error Log'!$A:$A,0),MATCH('Scores per segment'!C$1,'Error Log'!$A$1:$J$1,0)))</f>
        <v/>
      </c>
      <c r="D197" s="70">
        <f>IF(H197=0,wdct(TRIM(C197)),0)</f>
        <v>0</v>
      </c>
      <c r="E197" s="70">
        <f>COUNTIFS('Error Log'!$A:$A,$A197,'Error Log'!$J:$J,E$1)</f>
        <v>0</v>
      </c>
      <c r="F197" s="70">
        <f>COUNTIFS('Error Log'!$A:$A,$A197,'Error Log'!$J:$J,F$1)</f>
        <v>0</v>
      </c>
      <c r="G197" s="70">
        <f>COUNTIFS('Error Log'!$A:$A,$A197,'Error Log'!$J:$J,G$1)</f>
        <v>0</v>
      </c>
      <c r="H197" s="70">
        <f>COUNTIFS('Error Log'!$A:$A,$A197,'Error Log'!$F:$F,"Source")</f>
        <v>0</v>
      </c>
      <c r="I197" s="70">
        <f>COUNTIFS('Error Log'!$A:$A,$A197,'Error Log'!$F:$F,"Target")</f>
        <v>0</v>
      </c>
      <c r="J197" s="71">
        <f t="shared" si="3"/>
        <v>0</v>
      </c>
    </row>
    <row r="198" spans="1:10">
      <c r="A198" s="81"/>
      <c r="B198" s="70" t="str">
        <f>IF(ISBLANK(A198),"",INDEX('Error Log'!$A:$J,MATCH('Scores per segment'!$A198,'Error Log'!$A:$A,0),MATCH('Scores per segment'!B$1,'Error Log'!$A$1:$J$1,0)))</f>
        <v/>
      </c>
      <c r="C198" s="70" t="str">
        <f>IF(ISBLANK(A198),"",INDEX('Error Log'!$A:$J,MATCH('Scores per segment'!$A198,'Error Log'!$A:$A,0),MATCH('Scores per segment'!C$1,'Error Log'!$A$1:$J$1,0)))</f>
        <v/>
      </c>
      <c r="D198" s="70">
        <f>IF(H198=0,wdct(TRIM(C198)),0)</f>
        <v>0</v>
      </c>
      <c r="E198" s="70">
        <f>COUNTIFS('Error Log'!$A:$A,$A198,'Error Log'!$J:$J,E$1)</f>
        <v>0</v>
      </c>
      <c r="F198" s="70">
        <f>COUNTIFS('Error Log'!$A:$A,$A198,'Error Log'!$J:$J,F$1)</f>
        <v>0</v>
      </c>
      <c r="G198" s="70">
        <f>COUNTIFS('Error Log'!$A:$A,$A198,'Error Log'!$J:$J,G$1)</f>
        <v>0</v>
      </c>
      <c r="H198" s="70">
        <f>COUNTIFS('Error Log'!$A:$A,$A198,'Error Log'!$F:$F,"Source")</f>
        <v>0</v>
      </c>
      <c r="I198" s="70">
        <f>COUNTIFS('Error Log'!$A:$A,$A198,'Error Log'!$F:$F,"Target")</f>
        <v>0</v>
      </c>
      <c r="J198" s="71">
        <f t="shared" si="3"/>
        <v>0</v>
      </c>
    </row>
    <row r="199" spans="1:10">
      <c r="A199" s="81"/>
      <c r="B199" s="70" t="str">
        <f>IF(ISBLANK(A199),"",INDEX('Error Log'!$A:$J,MATCH('Scores per segment'!$A199,'Error Log'!$A:$A,0),MATCH('Scores per segment'!B$1,'Error Log'!$A$1:$J$1,0)))</f>
        <v/>
      </c>
      <c r="C199" s="70" t="str">
        <f>IF(ISBLANK(A199),"",INDEX('Error Log'!$A:$J,MATCH('Scores per segment'!$A199,'Error Log'!$A:$A,0),MATCH('Scores per segment'!C$1,'Error Log'!$A$1:$J$1,0)))</f>
        <v/>
      </c>
      <c r="D199" s="70">
        <f>IF(H199=0,wdct(TRIM(C199)),0)</f>
        <v>0</v>
      </c>
      <c r="E199" s="70">
        <f>COUNTIFS('Error Log'!$A:$A,$A199,'Error Log'!$J:$J,E$1)</f>
        <v>0</v>
      </c>
      <c r="F199" s="70">
        <f>COUNTIFS('Error Log'!$A:$A,$A199,'Error Log'!$J:$J,F$1)</f>
        <v>0</v>
      </c>
      <c r="G199" s="70">
        <f>COUNTIFS('Error Log'!$A:$A,$A199,'Error Log'!$J:$J,G$1)</f>
        <v>0</v>
      </c>
      <c r="H199" s="70">
        <f>COUNTIFS('Error Log'!$A:$A,$A199,'Error Log'!$F:$F,"Source")</f>
        <v>0</v>
      </c>
      <c r="I199" s="70">
        <f>COUNTIFS('Error Log'!$A:$A,$A199,'Error Log'!$F:$F,"Target")</f>
        <v>0</v>
      </c>
      <c r="J199" s="71">
        <f t="shared" si="3"/>
        <v>0</v>
      </c>
    </row>
    <row r="200" spans="1:10">
      <c r="A200" s="81"/>
      <c r="B200" s="70" t="str">
        <f>IF(ISBLANK(A200),"",INDEX('Error Log'!$A:$J,MATCH('Scores per segment'!$A200,'Error Log'!$A:$A,0),MATCH('Scores per segment'!B$1,'Error Log'!$A$1:$J$1,0)))</f>
        <v/>
      </c>
      <c r="C200" s="70" t="str">
        <f>IF(ISBLANK(A200),"",INDEX('Error Log'!$A:$J,MATCH('Scores per segment'!$A200,'Error Log'!$A:$A,0),MATCH('Scores per segment'!C$1,'Error Log'!$A$1:$J$1,0)))</f>
        <v/>
      </c>
      <c r="D200" s="70">
        <f>IF(H200=0,wdct(TRIM(C200)),0)</f>
        <v>0</v>
      </c>
      <c r="E200" s="70">
        <f>COUNTIFS('Error Log'!$A:$A,$A200,'Error Log'!$J:$J,E$1)</f>
        <v>0</v>
      </c>
      <c r="F200" s="70">
        <f>COUNTIFS('Error Log'!$A:$A,$A200,'Error Log'!$J:$J,F$1)</f>
        <v>0</v>
      </c>
      <c r="G200" s="70">
        <f>COUNTIFS('Error Log'!$A:$A,$A200,'Error Log'!$J:$J,G$1)</f>
        <v>0</v>
      </c>
      <c r="H200" s="70">
        <f>COUNTIFS('Error Log'!$A:$A,$A200,'Error Log'!$F:$F,"Source")</f>
        <v>0</v>
      </c>
      <c r="I200" s="70">
        <f>COUNTIFS('Error Log'!$A:$A,$A200,'Error Log'!$F:$F,"Target")</f>
        <v>0</v>
      </c>
      <c r="J200" s="71">
        <f t="shared" si="3"/>
        <v>0</v>
      </c>
    </row>
    <row r="201" spans="1:10">
      <c r="A201" s="81"/>
      <c r="B201" s="70" t="str">
        <f>IF(ISBLANK(A201),"",INDEX('Error Log'!$A:$J,MATCH('Scores per segment'!$A201,'Error Log'!$A:$A,0),MATCH('Scores per segment'!B$1,'Error Log'!$A$1:$J$1,0)))</f>
        <v/>
      </c>
      <c r="C201" s="70" t="str">
        <f>IF(ISBLANK(A201),"",INDEX('Error Log'!$A:$J,MATCH('Scores per segment'!$A201,'Error Log'!$A:$A,0),MATCH('Scores per segment'!C$1,'Error Log'!$A$1:$J$1,0)))</f>
        <v/>
      </c>
      <c r="D201" s="70">
        <f>IF(H201=0,wdct(TRIM(C201)),0)</f>
        <v>0</v>
      </c>
      <c r="E201" s="70">
        <f>COUNTIFS('Error Log'!$A:$A,$A201,'Error Log'!$J:$J,E$1)</f>
        <v>0</v>
      </c>
      <c r="F201" s="70">
        <f>COUNTIFS('Error Log'!$A:$A,$A201,'Error Log'!$J:$J,F$1)</f>
        <v>0</v>
      </c>
      <c r="G201" s="70">
        <f>COUNTIFS('Error Log'!$A:$A,$A201,'Error Log'!$J:$J,G$1)</f>
        <v>0</v>
      </c>
      <c r="H201" s="70">
        <f>COUNTIFS('Error Log'!$A:$A,$A201,'Error Log'!$F:$F,"Source")</f>
        <v>0</v>
      </c>
      <c r="I201" s="70">
        <f>COUNTIFS('Error Log'!$A:$A,$A201,'Error Log'!$F:$F,"Target")</f>
        <v>0</v>
      </c>
      <c r="J201" s="71">
        <f t="shared" si="3"/>
        <v>0</v>
      </c>
    </row>
    <row r="202" spans="1:10">
      <c r="A202" s="81"/>
      <c r="B202" s="70" t="str">
        <f>IF(ISBLANK(A202),"",INDEX('Error Log'!$A:$J,MATCH('Scores per segment'!$A202,'Error Log'!$A:$A,0),MATCH('Scores per segment'!B$1,'Error Log'!$A$1:$J$1,0)))</f>
        <v/>
      </c>
      <c r="C202" s="70" t="str">
        <f>IF(ISBLANK(A202),"",INDEX('Error Log'!$A:$J,MATCH('Scores per segment'!$A202,'Error Log'!$A:$A,0),MATCH('Scores per segment'!C$1,'Error Log'!$A$1:$J$1,0)))</f>
        <v/>
      </c>
      <c r="D202" s="70">
        <f>IF(H202=0,wdct(TRIM(C202)),0)</f>
        <v>0</v>
      </c>
      <c r="E202" s="70">
        <f>COUNTIFS('Error Log'!$A:$A,$A202,'Error Log'!$J:$J,E$1)</f>
        <v>0</v>
      </c>
      <c r="F202" s="70">
        <f>COUNTIFS('Error Log'!$A:$A,$A202,'Error Log'!$J:$J,F$1)</f>
        <v>0</v>
      </c>
      <c r="G202" s="70">
        <f>COUNTIFS('Error Log'!$A:$A,$A202,'Error Log'!$J:$J,G$1)</f>
        <v>0</v>
      </c>
      <c r="H202" s="70">
        <f>COUNTIFS('Error Log'!$A:$A,$A202,'Error Log'!$F:$F,"Source")</f>
        <v>0</v>
      </c>
      <c r="I202" s="70">
        <f>COUNTIFS('Error Log'!$A:$A,$A202,'Error Log'!$F:$F,"Target")</f>
        <v>0</v>
      </c>
      <c r="J202" s="71">
        <f t="shared" si="3"/>
        <v>0</v>
      </c>
    </row>
    <row r="203" spans="1:10">
      <c r="A203" s="81"/>
      <c r="B203" s="70" t="str">
        <f>IF(ISBLANK(A203),"",INDEX('Error Log'!$A:$J,MATCH('Scores per segment'!$A203,'Error Log'!$A:$A,0),MATCH('Scores per segment'!B$1,'Error Log'!$A$1:$J$1,0)))</f>
        <v/>
      </c>
      <c r="C203" s="70" t="str">
        <f>IF(ISBLANK(A203),"",INDEX('Error Log'!$A:$J,MATCH('Scores per segment'!$A203,'Error Log'!$A:$A,0),MATCH('Scores per segment'!C$1,'Error Log'!$A$1:$J$1,0)))</f>
        <v/>
      </c>
      <c r="D203" s="70">
        <f>IF(H203=0,wdct(TRIM(C203)),0)</f>
        <v>0</v>
      </c>
      <c r="E203" s="70">
        <f>COUNTIFS('Error Log'!$A:$A,$A203,'Error Log'!$J:$J,E$1)</f>
        <v>0</v>
      </c>
      <c r="F203" s="70">
        <f>COUNTIFS('Error Log'!$A:$A,$A203,'Error Log'!$J:$J,F$1)</f>
        <v>0</v>
      </c>
      <c r="G203" s="70">
        <f>COUNTIFS('Error Log'!$A:$A,$A203,'Error Log'!$J:$J,G$1)</f>
        <v>0</v>
      </c>
      <c r="H203" s="70">
        <f>COUNTIFS('Error Log'!$A:$A,$A203,'Error Log'!$F:$F,"Source")</f>
        <v>0</v>
      </c>
      <c r="I203" s="70">
        <f>COUNTIFS('Error Log'!$A:$A,$A203,'Error Log'!$F:$F,"Target")</f>
        <v>0</v>
      </c>
      <c r="J203" s="71">
        <f t="shared" si="3"/>
        <v>0</v>
      </c>
    </row>
    <row r="204" spans="1:10">
      <c r="A204" s="81"/>
      <c r="B204" s="70" t="str">
        <f>IF(ISBLANK(A204),"",INDEX('Error Log'!$A:$J,MATCH('Scores per segment'!$A204,'Error Log'!$A:$A,0),MATCH('Scores per segment'!B$1,'Error Log'!$A$1:$J$1,0)))</f>
        <v/>
      </c>
      <c r="C204" s="70" t="str">
        <f>IF(ISBLANK(A204),"",INDEX('Error Log'!$A:$J,MATCH('Scores per segment'!$A204,'Error Log'!$A:$A,0),MATCH('Scores per segment'!C$1,'Error Log'!$A$1:$J$1,0)))</f>
        <v/>
      </c>
      <c r="D204" s="70">
        <f>IF(H204=0,wdct(TRIM(C204)),0)</f>
        <v>0</v>
      </c>
      <c r="E204" s="70">
        <f>COUNTIFS('Error Log'!$A:$A,$A204,'Error Log'!$J:$J,E$1)</f>
        <v>0</v>
      </c>
      <c r="F204" s="70">
        <f>COUNTIFS('Error Log'!$A:$A,$A204,'Error Log'!$J:$J,F$1)</f>
        <v>0</v>
      </c>
      <c r="G204" s="70">
        <f>COUNTIFS('Error Log'!$A:$A,$A204,'Error Log'!$J:$J,G$1)</f>
        <v>0</v>
      </c>
      <c r="H204" s="70">
        <f>COUNTIFS('Error Log'!$A:$A,$A204,'Error Log'!$F:$F,"Source")</f>
        <v>0</v>
      </c>
      <c r="I204" s="70">
        <f>COUNTIFS('Error Log'!$A:$A,$A204,'Error Log'!$F:$F,"Target")</f>
        <v>0</v>
      </c>
      <c r="J204" s="71">
        <f t="shared" si="3"/>
        <v>0</v>
      </c>
    </row>
    <row r="205" spans="1:10">
      <c r="A205" s="81"/>
      <c r="B205" s="70" t="str">
        <f>IF(ISBLANK(A205),"",INDEX('Error Log'!$A:$J,MATCH('Scores per segment'!$A205,'Error Log'!$A:$A,0),MATCH('Scores per segment'!B$1,'Error Log'!$A$1:$J$1,0)))</f>
        <v/>
      </c>
      <c r="C205" s="70" t="str">
        <f>IF(ISBLANK(A205),"",INDEX('Error Log'!$A:$J,MATCH('Scores per segment'!$A205,'Error Log'!$A:$A,0),MATCH('Scores per segment'!C$1,'Error Log'!$A$1:$J$1,0)))</f>
        <v/>
      </c>
      <c r="D205" s="70">
        <f>IF(H205=0,wdct(TRIM(C205)),0)</f>
        <v>0</v>
      </c>
      <c r="E205" s="70">
        <f>COUNTIFS('Error Log'!$A:$A,$A205,'Error Log'!$J:$J,E$1)</f>
        <v>0</v>
      </c>
      <c r="F205" s="70">
        <f>COUNTIFS('Error Log'!$A:$A,$A205,'Error Log'!$J:$J,F$1)</f>
        <v>0</v>
      </c>
      <c r="G205" s="70">
        <f>COUNTIFS('Error Log'!$A:$A,$A205,'Error Log'!$J:$J,G$1)</f>
        <v>0</v>
      </c>
      <c r="H205" s="70">
        <f>COUNTIFS('Error Log'!$A:$A,$A205,'Error Log'!$F:$F,"Source")</f>
        <v>0</v>
      </c>
      <c r="I205" s="70">
        <f>COUNTIFS('Error Log'!$A:$A,$A205,'Error Log'!$F:$F,"Target")</f>
        <v>0</v>
      </c>
      <c r="J205" s="71">
        <f t="shared" si="3"/>
        <v>0</v>
      </c>
    </row>
    <row r="206" spans="1:10">
      <c r="A206" s="81"/>
      <c r="B206" s="70" t="str">
        <f>IF(ISBLANK(A206),"",INDEX('Error Log'!$A:$J,MATCH('Scores per segment'!$A206,'Error Log'!$A:$A,0),MATCH('Scores per segment'!B$1,'Error Log'!$A$1:$J$1,0)))</f>
        <v/>
      </c>
      <c r="C206" s="70" t="str">
        <f>IF(ISBLANK(A206),"",INDEX('Error Log'!$A:$J,MATCH('Scores per segment'!$A206,'Error Log'!$A:$A,0),MATCH('Scores per segment'!C$1,'Error Log'!$A$1:$J$1,0)))</f>
        <v/>
      </c>
      <c r="D206" s="70">
        <f>IF(H206=0,wdct(TRIM(C206)),0)</f>
        <v>0</v>
      </c>
      <c r="E206" s="70">
        <f>COUNTIFS('Error Log'!$A:$A,$A206,'Error Log'!$J:$J,E$1)</f>
        <v>0</v>
      </c>
      <c r="F206" s="70">
        <f>COUNTIFS('Error Log'!$A:$A,$A206,'Error Log'!$J:$J,F$1)</f>
        <v>0</v>
      </c>
      <c r="G206" s="70">
        <f>COUNTIFS('Error Log'!$A:$A,$A206,'Error Log'!$J:$J,G$1)</f>
        <v>0</v>
      </c>
      <c r="H206" s="70">
        <f>COUNTIFS('Error Log'!$A:$A,$A206,'Error Log'!$F:$F,"Source")</f>
        <v>0</v>
      </c>
      <c r="I206" s="70">
        <f>COUNTIFS('Error Log'!$A:$A,$A206,'Error Log'!$F:$F,"Target")</f>
        <v>0</v>
      </c>
      <c r="J206" s="71">
        <f t="shared" si="3"/>
        <v>0</v>
      </c>
    </row>
    <row r="207" spans="1:10">
      <c r="A207" s="81"/>
      <c r="B207" s="70" t="str">
        <f>IF(ISBLANK(A207),"",INDEX('Error Log'!$A:$J,MATCH('Scores per segment'!$A207,'Error Log'!$A:$A,0),MATCH('Scores per segment'!B$1,'Error Log'!$A$1:$J$1,0)))</f>
        <v/>
      </c>
      <c r="C207" s="70" t="str">
        <f>IF(ISBLANK(A207),"",INDEX('Error Log'!$A:$J,MATCH('Scores per segment'!$A207,'Error Log'!$A:$A,0),MATCH('Scores per segment'!C$1,'Error Log'!$A$1:$J$1,0)))</f>
        <v/>
      </c>
      <c r="D207" s="70">
        <f>IF(H207=0,wdct(TRIM(C207)),0)</f>
        <v>0</v>
      </c>
      <c r="E207" s="70">
        <f>COUNTIFS('Error Log'!$A:$A,$A207,'Error Log'!$J:$J,E$1)</f>
        <v>0</v>
      </c>
      <c r="F207" s="70">
        <f>COUNTIFS('Error Log'!$A:$A,$A207,'Error Log'!$J:$J,F$1)</f>
        <v>0</v>
      </c>
      <c r="G207" s="70">
        <f>COUNTIFS('Error Log'!$A:$A,$A207,'Error Log'!$J:$J,G$1)</f>
        <v>0</v>
      </c>
      <c r="H207" s="70">
        <f>COUNTIFS('Error Log'!$A:$A,$A207,'Error Log'!$F:$F,"Source")</f>
        <v>0</v>
      </c>
      <c r="I207" s="70">
        <f>COUNTIFS('Error Log'!$A:$A,$A207,'Error Log'!$F:$F,"Target")</f>
        <v>0</v>
      </c>
      <c r="J207" s="71">
        <f t="shared" si="3"/>
        <v>0</v>
      </c>
    </row>
    <row r="208" spans="1:10">
      <c r="A208" s="81"/>
      <c r="B208" s="70" t="str">
        <f>IF(ISBLANK(A208),"",INDEX('Error Log'!$A:$J,MATCH('Scores per segment'!$A208,'Error Log'!$A:$A,0),MATCH('Scores per segment'!B$1,'Error Log'!$A$1:$J$1,0)))</f>
        <v/>
      </c>
      <c r="C208" s="70" t="str">
        <f>IF(ISBLANK(A208),"",INDEX('Error Log'!$A:$J,MATCH('Scores per segment'!$A208,'Error Log'!$A:$A,0),MATCH('Scores per segment'!C$1,'Error Log'!$A$1:$J$1,0)))</f>
        <v/>
      </c>
      <c r="D208" s="70">
        <f>IF(H208=0,wdct(TRIM(C208)),0)</f>
        <v>0</v>
      </c>
      <c r="E208" s="70">
        <f>COUNTIFS('Error Log'!$A:$A,$A208,'Error Log'!$J:$J,E$1)</f>
        <v>0</v>
      </c>
      <c r="F208" s="70">
        <f>COUNTIFS('Error Log'!$A:$A,$A208,'Error Log'!$J:$J,F$1)</f>
        <v>0</v>
      </c>
      <c r="G208" s="70">
        <f>COUNTIFS('Error Log'!$A:$A,$A208,'Error Log'!$J:$J,G$1)</f>
        <v>0</v>
      </c>
      <c r="H208" s="70">
        <f>COUNTIFS('Error Log'!$A:$A,$A208,'Error Log'!$F:$F,"Source")</f>
        <v>0</v>
      </c>
      <c r="I208" s="70">
        <f>COUNTIFS('Error Log'!$A:$A,$A208,'Error Log'!$F:$F,"Target")</f>
        <v>0</v>
      </c>
      <c r="J208" s="71">
        <f t="shared" si="3"/>
        <v>0</v>
      </c>
    </row>
    <row r="209" spans="1:10">
      <c r="A209" s="81"/>
      <c r="B209" s="70" t="str">
        <f>IF(ISBLANK(A209),"",INDEX('Error Log'!$A:$J,MATCH('Scores per segment'!$A209,'Error Log'!$A:$A,0),MATCH('Scores per segment'!B$1,'Error Log'!$A$1:$J$1,0)))</f>
        <v/>
      </c>
      <c r="C209" s="70" t="str">
        <f>IF(ISBLANK(A209),"",INDEX('Error Log'!$A:$J,MATCH('Scores per segment'!$A209,'Error Log'!$A:$A,0),MATCH('Scores per segment'!C$1,'Error Log'!$A$1:$J$1,0)))</f>
        <v/>
      </c>
      <c r="D209" s="70">
        <f>IF(H209=0,wdct(TRIM(C209)),0)</f>
        <v>0</v>
      </c>
      <c r="E209" s="70">
        <f>COUNTIFS('Error Log'!$A:$A,$A209,'Error Log'!$J:$J,E$1)</f>
        <v>0</v>
      </c>
      <c r="F209" s="70">
        <f>COUNTIFS('Error Log'!$A:$A,$A209,'Error Log'!$J:$J,F$1)</f>
        <v>0</v>
      </c>
      <c r="G209" s="70">
        <f>COUNTIFS('Error Log'!$A:$A,$A209,'Error Log'!$J:$J,G$1)</f>
        <v>0</v>
      </c>
      <c r="H209" s="70">
        <f>COUNTIFS('Error Log'!$A:$A,$A209,'Error Log'!$F:$F,"Source")</f>
        <v>0</v>
      </c>
      <c r="I209" s="70">
        <f>COUNTIFS('Error Log'!$A:$A,$A209,'Error Log'!$F:$F,"Target")</f>
        <v>0</v>
      </c>
      <c r="J209" s="71">
        <f t="shared" si="3"/>
        <v>0</v>
      </c>
    </row>
    <row r="210" spans="1:10">
      <c r="A210" s="81"/>
      <c r="B210" s="70" t="str">
        <f>IF(ISBLANK(A210),"",INDEX('Error Log'!$A:$J,MATCH('Scores per segment'!$A210,'Error Log'!$A:$A,0),MATCH('Scores per segment'!B$1,'Error Log'!$A$1:$J$1,0)))</f>
        <v/>
      </c>
      <c r="C210" s="70" t="str">
        <f>IF(ISBLANK(A210),"",INDEX('Error Log'!$A:$J,MATCH('Scores per segment'!$A210,'Error Log'!$A:$A,0),MATCH('Scores per segment'!C$1,'Error Log'!$A$1:$J$1,0)))</f>
        <v/>
      </c>
      <c r="D210" s="70">
        <f>IF(H210=0,wdct(TRIM(C210)),0)</f>
        <v>0</v>
      </c>
      <c r="E210" s="70">
        <f>COUNTIFS('Error Log'!$A:$A,$A210,'Error Log'!$J:$J,E$1)</f>
        <v>0</v>
      </c>
      <c r="F210" s="70">
        <f>COUNTIFS('Error Log'!$A:$A,$A210,'Error Log'!$J:$J,F$1)</f>
        <v>0</v>
      </c>
      <c r="G210" s="70">
        <f>COUNTIFS('Error Log'!$A:$A,$A210,'Error Log'!$J:$J,G$1)</f>
        <v>0</v>
      </c>
      <c r="H210" s="70">
        <f>COUNTIFS('Error Log'!$A:$A,$A210,'Error Log'!$F:$F,"Source")</f>
        <v>0</v>
      </c>
      <c r="I210" s="70">
        <f>COUNTIFS('Error Log'!$A:$A,$A210,'Error Log'!$F:$F,"Target")</f>
        <v>0</v>
      </c>
      <c r="J210" s="71">
        <f t="shared" si="3"/>
        <v>0</v>
      </c>
    </row>
    <row r="211" spans="1:10">
      <c r="A211" s="81"/>
      <c r="B211" s="70" t="str">
        <f>IF(ISBLANK(A211),"",INDEX('Error Log'!$A:$J,MATCH('Scores per segment'!$A211,'Error Log'!$A:$A,0),MATCH('Scores per segment'!B$1,'Error Log'!$A$1:$J$1,0)))</f>
        <v/>
      </c>
      <c r="C211" s="70" t="str">
        <f>IF(ISBLANK(A211),"",INDEX('Error Log'!$A:$J,MATCH('Scores per segment'!$A211,'Error Log'!$A:$A,0),MATCH('Scores per segment'!C$1,'Error Log'!$A$1:$J$1,0)))</f>
        <v/>
      </c>
      <c r="D211" s="70">
        <f>IF(H211=0,wdct(TRIM(C211)),0)</f>
        <v>0</v>
      </c>
      <c r="E211" s="70">
        <f>COUNTIFS('Error Log'!$A:$A,$A211,'Error Log'!$J:$J,E$1)</f>
        <v>0</v>
      </c>
      <c r="F211" s="70">
        <f>COUNTIFS('Error Log'!$A:$A,$A211,'Error Log'!$J:$J,F$1)</f>
        <v>0</v>
      </c>
      <c r="G211" s="70">
        <f>COUNTIFS('Error Log'!$A:$A,$A211,'Error Log'!$J:$J,G$1)</f>
        <v>0</v>
      </c>
      <c r="H211" s="70">
        <f>COUNTIFS('Error Log'!$A:$A,$A211,'Error Log'!$F:$F,"Source")</f>
        <v>0</v>
      </c>
      <c r="I211" s="70">
        <f>COUNTIFS('Error Log'!$A:$A,$A211,'Error Log'!$F:$F,"Target")</f>
        <v>0</v>
      </c>
      <c r="J211" s="71">
        <f t="shared" si="3"/>
        <v>0</v>
      </c>
    </row>
    <row r="212" spans="1:10">
      <c r="A212" s="81"/>
      <c r="B212" s="70" t="str">
        <f>IF(ISBLANK(A212),"",INDEX('Error Log'!$A:$J,MATCH('Scores per segment'!$A212,'Error Log'!$A:$A,0),MATCH('Scores per segment'!B$1,'Error Log'!$A$1:$J$1,0)))</f>
        <v/>
      </c>
      <c r="C212" s="70" t="str">
        <f>IF(ISBLANK(A212),"",INDEX('Error Log'!$A:$J,MATCH('Scores per segment'!$A212,'Error Log'!$A:$A,0),MATCH('Scores per segment'!C$1,'Error Log'!$A$1:$J$1,0)))</f>
        <v/>
      </c>
      <c r="D212" s="70">
        <f>IF(H212=0,wdct(TRIM(C212)),0)</f>
        <v>0</v>
      </c>
      <c r="E212" s="70">
        <f>COUNTIFS('Error Log'!$A:$A,$A212,'Error Log'!$J:$J,E$1)</f>
        <v>0</v>
      </c>
      <c r="F212" s="70">
        <f>COUNTIFS('Error Log'!$A:$A,$A212,'Error Log'!$J:$J,F$1)</f>
        <v>0</v>
      </c>
      <c r="G212" s="70">
        <f>COUNTIFS('Error Log'!$A:$A,$A212,'Error Log'!$J:$J,G$1)</f>
        <v>0</v>
      </c>
      <c r="H212" s="70">
        <f>COUNTIFS('Error Log'!$A:$A,$A212,'Error Log'!$F:$F,"Source")</f>
        <v>0</v>
      </c>
      <c r="I212" s="70">
        <f>COUNTIFS('Error Log'!$A:$A,$A212,'Error Log'!$F:$F,"Target")</f>
        <v>0</v>
      </c>
      <c r="J212" s="71">
        <f t="shared" si="3"/>
        <v>0</v>
      </c>
    </row>
    <row r="213" spans="1:10">
      <c r="A213" s="81"/>
      <c r="B213" s="70" t="str">
        <f>IF(ISBLANK(A213),"",INDEX('Error Log'!$A:$J,MATCH('Scores per segment'!$A213,'Error Log'!$A:$A,0),MATCH('Scores per segment'!B$1,'Error Log'!$A$1:$J$1,0)))</f>
        <v/>
      </c>
      <c r="C213" s="70" t="str">
        <f>IF(ISBLANK(A213),"",INDEX('Error Log'!$A:$J,MATCH('Scores per segment'!$A213,'Error Log'!$A:$A,0),MATCH('Scores per segment'!C$1,'Error Log'!$A$1:$J$1,0)))</f>
        <v/>
      </c>
      <c r="D213" s="70">
        <f>IF(H213=0,wdct(TRIM(C213)),0)</f>
        <v>0</v>
      </c>
      <c r="E213" s="70">
        <f>COUNTIFS('Error Log'!$A:$A,$A213,'Error Log'!$J:$J,E$1)</f>
        <v>0</v>
      </c>
      <c r="F213" s="70">
        <f>COUNTIFS('Error Log'!$A:$A,$A213,'Error Log'!$J:$J,F$1)</f>
        <v>0</v>
      </c>
      <c r="G213" s="70">
        <f>COUNTIFS('Error Log'!$A:$A,$A213,'Error Log'!$J:$J,G$1)</f>
        <v>0</v>
      </c>
      <c r="H213" s="70">
        <f>COUNTIFS('Error Log'!$A:$A,$A213,'Error Log'!$F:$F,"Source")</f>
        <v>0</v>
      </c>
      <c r="I213" s="70">
        <f>COUNTIFS('Error Log'!$A:$A,$A213,'Error Log'!$F:$F,"Target")</f>
        <v>0</v>
      </c>
      <c r="J213" s="71">
        <f t="shared" si="3"/>
        <v>0</v>
      </c>
    </row>
    <row r="214" spans="1:10">
      <c r="A214" s="81"/>
      <c r="B214" s="70" t="str">
        <f>IF(ISBLANK(A214),"",INDEX('Error Log'!$A:$J,MATCH('Scores per segment'!$A214,'Error Log'!$A:$A,0),MATCH('Scores per segment'!B$1,'Error Log'!$A$1:$J$1,0)))</f>
        <v/>
      </c>
      <c r="C214" s="70" t="str">
        <f>IF(ISBLANK(A214),"",INDEX('Error Log'!$A:$J,MATCH('Scores per segment'!$A214,'Error Log'!$A:$A,0),MATCH('Scores per segment'!C$1,'Error Log'!$A$1:$J$1,0)))</f>
        <v/>
      </c>
      <c r="D214" s="70">
        <f>IF(H214=0,wdct(TRIM(C214)),0)</f>
        <v>0</v>
      </c>
      <c r="E214" s="70">
        <f>COUNTIFS('Error Log'!$A:$A,$A214,'Error Log'!$J:$J,E$1)</f>
        <v>0</v>
      </c>
      <c r="F214" s="70">
        <f>COUNTIFS('Error Log'!$A:$A,$A214,'Error Log'!$J:$J,F$1)</f>
        <v>0</v>
      </c>
      <c r="G214" s="70">
        <f>COUNTIFS('Error Log'!$A:$A,$A214,'Error Log'!$J:$J,G$1)</f>
        <v>0</v>
      </c>
      <c r="H214" s="70">
        <f>COUNTIFS('Error Log'!$A:$A,$A214,'Error Log'!$F:$F,"Source")</f>
        <v>0</v>
      </c>
      <c r="I214" s="70">
        <f>COUNTIFS('Error Log'!$A:$A,$A214,'Error Log'!$F:$F,"Target")</f>
        <v>0</v>
      </c>
      <c r="J214" s="71">
        <f t="shared" si="3"/>
        <v>0</v>
      </c>
    </row>
    <row r="215" spans="1:10">
      <c r="A215" s="81"/>
      <c r="B215" s="70" t="str">
        <f>IF(ISBLANK(A215),"",INDEX('Error Log'!$A:$J,MATCH('Scores per segment'!$A215,'Error Log'!$A:$A,0),MATCH('Scores per segment'!B$1,'Error Log'!$A$1:$J$1,0)))</f>
        <v/>
      </c>
      <c r="C215" s="70" t="str">
        <f>IF(ISBLANK(A215),"",INDEX('Error Log'!$A:$J,MATCH('Scores per segment'!$A215,'Error Log'!$A:$A,0),MATCH('Scores per segment'!C$1,'Error Log'!$A$1:$J$1,0)))</f>
        <v/>
      </c>
      <c r="D215" s="70">
        <f>IF(H215=0,wdct(TRIM(C215)),0)</f>
        <v>0</v>
      </c>
      <c r="E215" s="70">
        <f>COUNTIFS('Error Log'!$A:$A,$A215,'Error Log'!$J:$J,E$1)</f>
        <v>0</v>
      </c>
      <c r="F215" s="70">
        <f>COUNTIFS('Error Log'!$A:$A,$A215,'Error Log'!$J:$J,F$1)</f>
        <v>0</v>
      </c>
      <c r="G215" s="70">
        <f>COUNTIFS('Error Log'!$A:$A,$A215,'Error Log'!$J:$J,G$1)</f>
        <v>0</v>
      </c>
      <c r="H215" s="70">
        <f>COUNTIFS('Error Log'!$A:$A,$A215,'Error Log'!$F:$F,"Source")</f>
        <v>0</v>
      </c>
      <c r="I215" s="70">
        <f>COUNTIFS('Error Log'!$A:$A,$A215,'Error Log'!$F:$F,"Target")</f>
        <v>0</v>
      </c>
      <c r="J215" s="71">
        <f t="shared" si="3"/>
        <v>0</v>
      </c>
    </row>
    <row r="216" spans="1:10">
      <c r="A216" s="81"/>
      <c r="B216" s="70" t="str">
        <f>IF(ISBLANK(A216),"",INDEX('Error Log'!$A:$J,MATCH('Scores per segment'!$A216,'Error Log'!$A:$A,0),MATCH('Scores per segment'!B$1,'Error Log'!$A$1:$J$1,0)))</f>
        <v/>
      </c>
      <c r="C216" s="70" t="str">
        <f>IF(ISBLANK(A216),"",INDEX('Error Log'!$A:$J,MATCH('Scores per segment'!$A216,'Error Log'!$A:$A,0),MATCH('Scores per segment'!C$1,'Error Log'!$A$1:$J$1,0)))</f>
        <v/>
      </c>
      <c r="D216" s="70">
        <f>IF(H216=0,wdct(TRIM(C216)),0)</f>
        <v>0</v>
      </c>
      <c r="E216" s="70">
        <f>COUNTIFS('Error Log'!$A:$A,$A216,'Error Log'!$J:$J,E$1)</f>
        <v>0</v>
      </c>
      <c r="F216" s="70">
        <f>COUNTIFS('Error Log'!$A:$A,$A216,'Error Log'!$J:$J,F$1)</f>
        <v>0</v>
      </c>
      <c r="G216" s="70">
        <f>COUNTIFS('Error Log'!$A:$A,$A216,'Error Log'!$J:$J,G$1)</f>
        <v>0</v>
      </c>
      <c r="H216" s="70">
        <f>COUNTIFS('Error Log'!$A:$A,$A216,'Error Log'!$F:$F,"Source")</f>
        <v>0</v>
      </c>
      <c r="I216" s="70">
        <f>COUNTIFS('Error Log'!$A:$A,$A216,'Error Log'!$F:$F,"Target")</f>
        <v>0</v>
      </c>
      <c r="J216" s="71">
        <f t="shared" si="3"/>
        <v>0</v>
      </c>
    </row>
    <row r="217" spans="1:10">
      <c r="A217" s="81"/>
      <c r="B217" s="70" t="str">
        <f>IF(ISBLANK(A217),"",INDEX('Error Log'!$A:$J,MATCH('Scores per segment'!$A217,'Error Log'!$A:$A,0),MATCH('Scores per segment'!B$1,'Error Log'!$A$1:$J$1,0)))</f>
        <v/>
      </c>
      <c r="C217" s="70" t="str">
        <f>IF(ISBLANK(A217),"",INDEX('Error Log'!$A:$J,MATCH('Scores per segment'!$A217,'Error Log'!$A:$A,0),MATCH('Scores per segment'!C$1,'Error Log'!$A$1:$J$1,0)))</f>
        <v/>
      </c>
      <c r="D217" s="70">
        <f>IF(H217=0,wdct(TRIM(C217)),0)</f>
        <v>0</v>
      </c>
      <c r="E217" s="70">
        <f>COUNTIFS('Error Log'!$A:$A,$A217,'Error Log'!$J:$J,E$1)</f>
        <v>0</v>
      </c>
      <c r="F217" s="70">
        <f>COUNTIFS('Error Log'!$A:$A,$A217,'Error Log'!$J:$J,F$1)</f>
        <v>0</v>
      </c>
      <c r="G217" s="70">
        <f>COUNTIFS('Error Log'!$A:$A,$A217,'Error Log'!$J:$J,G$1)</f>
        <v>0</v>
      </c>
      <c r="H217" s="70">
        <f>COUNTIFS('Error Log'!$A:$A,$A217,'Error Log'!$F:$F,"Source")</f>
        <v>0</v>
      </c>
      <c r="I217" s="70">
        <f>COUNTIFS('Error Log'!$A:$A,$A217,'Error Log'!$F:$F,"Target")</f>
        <v>0</v>
      </c>
      <c r="J217" s="71">
        <f t="shared" si="3"/>
        <v>0</v>
      </c>
    </row>
    <row r="218" spans="1:10">
      <c r="A218" s="81"/>
      <c r="B218" s="70" t="str">
        <f>IF(ISBLANK(A218),"",INDEX('Error Log'!$A:$J,MATCH('Scores per segment'!$A218,'Error Log'!$A:$A,0),MATCH('Scores per segment'!B$1,'Error Log'!$A$1:$J$1,0)))</f>
        <v/>
      </c>
      <c r="C218" s="70" t="str">
        <f>IF(ISBLANK(A218),"",INDEX('Error Log'!$A:$J,MATCH('Scores per segment'!$A218,'Error Log'!$A:$A,0),MATCH('Scores per segment'!C$1,'Error Log'!$A$1:$J$1,0)))</f>
        <v/>
      </c>
      <c r="D218" s="70">
        <f>IF(H218=0,wdct(TRIM(C218)),0)</f>
        <v>0</v>
      </c>
      <c r="E218" s="70">
        <f>COUNTIFS('Error Log'!$A:$A,$A218,'Error Log'!$J:$J,E$1)</f>
        <v>0</v>
      </c>
      <c r="F218" s="70">
        <f>COUNTIFS('Error Log'!$A:$A,$A218,'Error Log'!$J:$J,F$1)</f>
        <v>0</v>
      </c>
      <c r="G218" s="70">
        <f>COUNTIFS('Error Log'!$A:$A,$A218,'Error Log'!$J:$J,G$1)</f>
        <v>0</v>
      </c>
      <c r="H218" s="70">
        <f>COUNTIFS('Error Log'!$A:$A,$A218,'Error Log'!$F:$F,"Source")</f>
        <v>0</v>
      </c>
      <c r="I218" s="70">
        <f>COUNTIFS('Error Log'!$A:$A,$A218,'Error Log'!$F:$F,"Target")</f>
        <v>0</v>
      </c>
      <c r="J218" s="71">
        <f t="shared" si="3"/>
        <v>0</v>
      </c>
    </row>
    <row r="219" spans="1:10">
      <c r="A219" s="81"/>
      <c r="B219" s="70" t="str">
        <f>IF(ISBLANK(A219),"",INDEX('Error Log'!$A:$J,MATCH('Scores per segment'!$A219,'Error Log'!$A:$A,0),MATCH('Scores per segment'!B$1,'Error Log'!$A$1:$J$1,0)))</f>
        <v/>
      </c>
      <c r="C219" s="70" t="str">
        <f>IF(ISBLANK(A219),"",INDEX('Error Log'!$A:$J,MATCH('Scores per segment'!$A219,'Error Log'!$A:$A,0),MATCH('Scores per segment'!C$1,'Error Log'!$A$1:$J$1,0)))</f>
        <v/>
      </c>
      <c r="D219" s="70">
        <f>IF(H219=0,wdct(TRIM(C219)),0)</f>
        <v>0</v>
      </c>
      <c r="E219" s="70">
        <f>COUNTIFS('Error Log'!$A:$A,$A219,'Error Log'!$J:$J,E$1)</f>
        <v>0</v>
      </c>
      <c r="F219" s="70">
        <f>COUNTIFS('Error Log'!$A:$A,$A219,'Error Log'!$J:$J,F$1)</f>
        <v>0</v>
      </c>
      <c r="G219" s="70">
        <f>COUNTIFS('Error Log'!$A:$A,$A219,'Error Log'!$J:$J,G$1)</f>
        <v>0</v>
      </c>
      <c r="H219" s="70">
        <f>COUNTIFS('Error Log'!$A:$A,$A219,'Error Log'!$F:$F,"Source")</f>
        <v>0</v>
      </c>
      <c r="I219" s="70">
        <f>COUNTIFS('Error Log'!$A:$A,$A219,'Error Log'!$F:$F,"Target")</f>
        <v>0</v>
      </c>
      <c r="J219" s="71">
        <f t="shared" si="3"/>
        <v>0</v>
      </c>
    </row>
    <row r="220" spans="1:10">
      <c r="A220" s="81"/>
      <c r="B220" s="70" t="str">
        <f>IF(ISBLANK(A220),"",INDEX('Error Log'!$A:$J,MATCH('Scores per segment'!$A220,'Error Log'!$A:$A,0),MATCH('Scores per segment'!B$1,'Error Log'!$A$1:$J$1,0)))</f>
        <v/>
      </c>
      <c r="C220" s="70" t="str">
        <f>IF(ISBLANK(A220),"",INDEX('Error Log'!$A:$J,MATCH('Scores per segment'!$A220,'Error Log'!$A:$A,0),MATCH('Scores per segment'!C$1,'Error Log'!$A$1:$J$1,0)))</f>
        <v/>
      </c>
      <c r="D220" s="70">
        <f>IF(H220=0,wdct(TRIM(C220)),0)</f>
        <v>0</v>
      </c>
      <c r="E220" s="70">
        <f>COUNTIFS('Error Log'!$A:$A,$A220,'Error Log'!$J:$J,E$1)</f>
        <v>0</v>
      </c>
      <c r="F220" s="70">
        <f>COUNTIFS('Error Log'!$A:$A,$A220,'Error Log'!$J:$J,F$1)</f>
        <v>0</v>
      </c>
      <c r="G220" s="70">
        <f>COUNTIFS('Error Log'!$A:$A,$A220,'Error Log'!$J:$J,G$1)</f>
        <v>0</v>
      </c>
      <c r="H220" s="70">
        <f>COUNTIFS('Error Log'!$A:$A,$A220,'Error Log'!$F:$F,"Source")</f>
        <v>0</v>
      </c>
      <c r="I220" s="70">
        <f>COUNTIFS('Error Log'!$A:$A,$A220,'Error Log'!$F:$F,"Target")</f>
        <v>0</v>
      </c>
      <c r="J220" s="71">
        <f t="shared" si="3"/>
        <v>0</v>
      </c>
    </row>
    <row r="221" spans="1:10">
      <c r="A221" s="81"/>
      <c r="B221" s="70" t="str">
        <f>IF(ISBLANK(A221),"",INDEX('Error Log'!$A:$J,MATCH('Scores per segment'!$A221,'Error Log'!$A:$A,0),MATCH('Scores per segment'!B$1,'Error Log'!$A$1:$J$1,0)))</f>
        <v/>
      </c>
      <c r="C221" s="70" t="str">
        <f>IF(ISBLANK(A221),"",INDEX('Error Log'!$A:$J,MATCH('Scores per segment'!$A221,'Error Log'!$A:$A,0),MATCH('Scores per segment'!C$1,'Error Log'!$A$1:$J$1,0)))</f>
        <v/>
      </c>
      <c r="D221" s="70">
        <f>IF(H221=0,wdct(TRIM(C221)),0)</f>
        <v>0</v>
      </c>
      <c r="E221" s="70">
        <f>COUNTIFS('Error Log'!$A:$A,$A221,'Error Log'!$J:$J,E$1)</f>
        <v>0</v>
      </c>
      <c r="F221" s="70">
        <f>COUNTIFS('Error Log'!$A:$A,$A221,'Error Log'!$J:$J,F$1)</f>
        <v>0</v>
      </c>
      <c r="G221" s="70">
        <f>COUNTIFS('Error Log'!$A:$A,$A221,'Error Log'!$J:$J,G$1)</f>
        <v>0</v>
      </c>
      <c r="H221" s="70">
        <f>COUNTIFS('Error Log'!$A:$A,$A221,'Error Log'!$F:$F,"Source")</f>
        <v>0</v>
      </c>
      <c r="I221" s="70">
        <f>COUNTIFS('Error Log'!$A:$A,$A221,'Error Log'!$F:$F,"Target")</f>
        <v>0</v>
      </c>
      <c r="J221" s="71">
        <f t="shared" si="3"/>
        <v>0</v>
      </c>
    </row>
    <row r="222" spans="1:10">
      <c r="A222" s="81"/>
      <c r="B222" s="70" t="str">
        <f>IF(ISBLANK(A222),"",INDEX('Error Log'!$A:$J,MATCH('Scores per segment'!$A222,'Error Log'!$A:$A,0),MATCH('Scores per segment'!B$1,'Error Log'!$A$1:$J$1,0)))</f>
        <v/>
      </c>
      <c r="C222" s="70" t="str">
        <f>IF(ISBLANK(A222),"",INDEX('Error Log'!$A:$J,MATCH('Scores per segment'!$A222,'Error Log'!$A:$A,0),MATCH('Scores per segment'!C$1,'Error Log'!$A$1:$J$1,0)))</f>
        <v/>
      </c>
      <c r="D222" s="70">
        <f>IF(H222=0,wdct(TRIM(C222)),0)</f>
        <v>0</v>
      </c>
      <c r="E222" s="70">
        <f>COUNTIFS('Error Log'!$A:$A,$A222,'Error Log'!$J:$J,E$1)</f>
        <v>0</v>
      </c>
      <c r="F222" s="70">
        <f>COUNTIFS('Error Log'!$A:$A,$A222,'Error Log'!$J:$J,F$1)</f>
        <v>0</v>
      </c>
      <c r="G222" s="70">
        <f>COUNTIFS('Error Log'!$A:$A,$A222,'Error Log'!$J:$J,G$1)</f>
        <v>0</v>
      </c>
      <c r="H222" s="70">
        <f>COUNTIFS('Error Log'!$A:$A,$A222,'Error Log'!$F:$F,"Source")</f>
        <v>0</v>
      </c>
      <c r="I222" s="70">
        <f>COUNTIFS('Error Log'!$A:$A,$A222,'Error Log'!$F:$F,"Target")</f>
        <v>0</v>
      </c>
      <c r="J222" s="71">
        <f t="shared" si="3"/>
        <v>0</v>
      </c>
    </row>
    <row r="223" spans="1:10">
      <c r="A223" s="81"/>
      <c r="B223" s="70" t="str">
        <f>IF(ISBLANK(A223),"",INDEX('Error Log'!$A:$J,MATCH('Scores per segment'!$A223,'Error Log'!$A:$A,0),MATCH('Scores per segment'!B$1,'Error Log'!$A$1:$J$1,0)))</f>
        <v/>
      </c>
      <c r="C223" s="70" t="str">
        <f>IF(ISBLANK(A223),"",INDEX('Error Log'!$A:$J,MATCH('Scores per segment'!$A223,'Error Log'!$A:$A,0),MATCH('Scores per segment'!C$1,'Error Log'!$A$1:$J$1,0)))</f>
        <v/>
      </c>
      <c r="D223" s="70">
        <f>IF(H223=0,wdct(TRIM(C223)),0)</f>
        <v>0</v>
      </c>
      <c r="E223" s="70">
        <f>COUNTIFS('Error Log'!$A:$A,$A223,'Error Log'!$J:$J,E$1)</f>
        <v>0</v>
      </c>
      <c r="F223" s="70">
        <f>COUNTIFS('Error Log'!$A:$A,$A223,'Error Log'!$J:$J,F$1)</f>
        <v>0</v>
      </c>
      <c r="G223" s="70">
        <f>COUNTIFS('Error Log'!$A:$A,$A223,'Error Log'!$J:$J,G$1)</f>
        <v>0</v>
      </c>
      <c r="H223" s="70">
        <f>COUNTIFS('Error Log'!$A:$A,$A223,'Error Log'!$F:$F,"Source")</f>
        <v>0</v>
      </c>
      <c r="I223" s="70">
        <f>COUNTIFS('Error Log'!$A:$A,$A223,'Error Log'!$F:$F,"Target")</f>
        <v>0</v>
      </c>
      <c r="J223" s="71">
        <f t="shared" si="3"/>
        <v>0</v>
      </c>
    </row>
    <row r="224" spans="1:10">
      <c r="A224" s="81"/>
      <c r="B224" s="70" t="str">
        <f>IF(ISBLANK(A224),"",INDEX('Error Log'!$A:$J,MATCH('Scores per segment'!$A224,'Error Log'!$A:$A,0),MATCH('Scores per segment'!B$1,'Error Log'!$A$1:$J$1,0)))</f>
        <v/>
      </c>
      <c r="C224" s="70" t="str">
        <f>IF(ISBLANK(A224),"",INDEX('Error Log'!$A:$J,MATCH('Scores per segment'!$A224,'Error Log'!$A:$A,0),MATCH('Scores per segment'!C$1,'Error Log'!$A$1:$J$1,0)))</f>
        <v/>
      </c>
      <c r="D224" s="70">
        <f>IF(H224=0,wdct(TRIM(C224)),0)</f>
        <v>0</v>
      </c>
      <c r="E224" s="70">
        <f>COUNTIFS('Error Log'!$A:$A,$A224,'Error Log'!$J:$J,E$1)</f>
        <v>0</v>
      </c>
      <c r="F224" s="70">
        <f>COUNTIFS('Error Log'!$A:$A,$A224,'Error Log'!$J:$J,F$1)</f>
        <v>0</v>
      </c>
      <c r="G224" s="70">
        <f>COUNTIFS('Error Log'!$A:$A,$A224,'Error Log'!$J:$J,G$1)</f>
        <v>0</v>
      </c>
      <c r="H224" s="70">
        <f>COUNTIFS('Error Log'!$A:$A,$A224,'Error Log'!$F:$F,"Source")</f>
        <v>0</v>
      </c>
      <c r="I224" s="70">
        <f>COUNTIFS('Error Log'!$A:$A,$A224,'Error Log'!$F:$F,"Target")</f>
        <v>0</v>
      </c>
      <c r="J224" s="71">
        <f t="shared" si="3"/>
        <v>0</v>
      </c>
    </row>
    <row r="225" spans="1:10">
      <c r="A225" s="81"/>
      <c r="B225" s="70" t="str">
        <f>IF(ISBLANK(A225),"",INDEX('Error Log'!$A:$J,MATCH('Scores per segment'!$A225,'Error Log'!$A:$A,0),MATCH('Scores per segment'!B$1,'Error Log'!$A$1:$J$1,0)))</f>
        <v/>
      </c>
      <c r="C225" s="70" t="str">
        <f>IF(ISBLANK(A225),"",INDEX('Error Log'!$A:$J,MATCH('Scores per segment'!$A225,'Error Log'!$A:$A,0),MATCH('Scores per segment'!C$1,'Error Log'!$A$1:$J$1,0)))</f>
        <v/>
      </c>
      <c r="D225" s="70">
        <f>IF(H225=0,wdct(TRIM(C225)),0)</f>
        <v>0</v>
      </c>
      <c r="E225" s="70">
        <f>COUNTIFS('Error Log'!$A:$A,$A225,'Error Log'!$J:$J,E$1)</f>
        <v>0</v>
      </c>
      <c r="F225" s="70">
        <f>COUNTIFS('Error Log'!$A:$A,$A225,'Error Log'!$J:$J,F$1)</f>
        <v>0</v>
      </c>
      <c r="G225" s="70">
        <f>COUNTIFS('Error Log'!$A:$A,$A225,'Error Log'!$J:$J,G$1)</f>
        <v>0</v>
      </c>
      <c r="H225" s="70">
        <f>COUNTIFS('Error Log'!$A:$A,$A225,'Error Log'!$F:$F,"Source")</f>
        <v>0</v>
      </c>
      <c r="I225" s="70">
        <f>COUNTIFS('Error Log'!$A:$A,$A225,'Error Log'!$F:$F,"Target")</f>
        <v>0</v>
      </c>
      <c r="J225" s="71">
        <f t="shared" si="3"/>
        <v>0</v>
      </c>
    </row>
    <row r="226" spans="1:10">
      <c r="A226" s="81"/>
      <c r="B226" s="70" t="str">
        <f>IF(ISBLANK(A226),"",INDEX('Error Log'!$A:$J,MATCH('Scores per segment'!$A226,'Error Log'!$A:$A,0),MATCH('Scores per segment'!B$1,'Error Log'!$A$1:$J$1,0)))</f>
        <v/>
      </c>
      <c r="C226" s="70" t="str">
        <f>IF(ISBLANK(A226),"",INDEX('Error Log'!$A:$J,MATCH('Scores per segment'!$A226,'Error Log'!$A:$A,0),MATCH('Scores per segment'!C$1,'Error Log'!$A$1:$J$1,0)))</f>
        <v/>
      </c>
      <c r="D226" s="70">
        <f>IF(H226=0,wdct(TRIM(C226)),0)</f>
        <v>0</v>
      </c>
      <c r="E226" s="70">
        <f>COUNTIFS('Error Log'!$A:$A,$A226,'Error Log'!$J:$J,E$1)</f>
        <v>0</v>
      </c>
      <c r="F226" s="70">
        <f>COUNTIFS('Error Log'!$A:$A,$A226,'Error Log'!$J:$J,F$1)</f>
        <v>0</v>
      </c>
      <c r="G226" s="70">
        <f>COUNTIFS('Error Log'!$A:$A,$A226,'Error Log'!$J:$J,G$1)</f>
        <v>0</v>
      </c>
      <c r="H226" s="70">
        <f>COUNTIFS('Error Log'!$A:$A,$A226,'Error Log'!$F:$F,"Source")</f>
        <v>0</v>
      </c>
      <c r="I226" s="70">
        <f>COUNTIFS('Error Log'!$A:$A,$A226,'Error Log'!$F:$F,"Target")</f>
        <v>0</v>
      </c>
      <c r="J226" s="71">
        <f t="shared" si="3"/>
        <v>0</v>
      </c>
    </row>
    <row r="227" spans="1:10">
      <c r="A227" s="81"/>
      <c r="B227" s="70" t="str">
        <f>IF(ISBLANK(A227),"",INDEX('Error Log'!$A:$J,MATCH('Scores per segment'!$A227,'Error Log'!$A:$A,0),MATCH('Scores per segment'!B$1,'Error Log'!$A$1:$J$1,0)))</f>
        <v/>
      </c>
      <c r="C227" s="70" t="str">
        <f>IF(ISBLANK(A227),"",INDEX('Error Log'!$A:$J,MATCH('Scores per segment'!$A227,'Error Log'!$A:$A,0),MATCH('Scores per segment'!C$1,'Error Log'!$A$1:$J$1,0)))</f>
        <v/>
      </c>
      <c r="D227" s="70">
        <f>IF(H227=0,wdct(TRIM(C227)),0)</f>
        <v>0</v>
      </c>
      <c r="E227" s="70">
        <f>COUNTIFS('Error Log'!$A:$A,$A227,'Error Log'!$J:$J,E$1)</f>
        <v>0</v>
      </c>
      <c r="F227" s="70">
        <f>COUNTIFS('Error Log'!$A:$A,$A227,'Error Log'!$J:$J,F$1)</f>
        <v>0</v>
      </c>
      <c r="G227" s="70">
        <f>COUNTIFS('Error Log'!$A:$A,$A227,'Error Log'!$J:$J,G$1)</f>
        <v>0</v>
      </c>
      <c r="H227" s="70">
        <f>COUNTIFS('Error Log'!$A:$A,$A227,'Error Log'!$F:$F,"Source")</f>
        <v>0</v>
      </c>
      <c r="I227" s="70">
        <f>COUNTIFS('Error Log'!$A:$A,$A227,'Error Log'!$F:$F,"Target")</f>
        <v>0</v>
      </c>
      <c r="J227" s="71">
        <f t="shared" si="3"/>
        <v>0</v>
      </c>
    </row>
    <row r="228" spans="1:10">
      <c r="A228" s="81"/>
      <c r="B228" s="70" t="str">
        <f>IF(ISBLANK(A228),"",INDEX('Error Log'!$A:$J,MATCH('Scores per segment'!$A228,'Error Log'!$A:$A,0),MATCH('Scores per segment'!B$1,'Error Log'!$A$1:$J$1,0)))</f>
        <v/>
      </c>
      <c r="C228" s="70" t="str">
        <f>IF(ISBLANK(A228),"",INDEX('Error Log'!$A:$J,MATCH('Scores per segment'!$A228,'Error Log'!$A:$A,0),MATCH('Scores per segment'!C$1,'Error Log'!$A$1:$J$1,0)))</f>
        <v/>
      </c>
      <c r="D228" s="70">
        <f>IF(H228=0,wdct(TRIM(C228)),0)</f>
        <v>0</v>
      </c>
      <c r="E228" s="70">
        <f>COUNTIFS('Error Log'!$A:$A,$A228,'Error Log'!$J:$J,E$1)</f>
        <v>0</v>
      </c>
      <c r="F228" s="70">
        <f>COUNTIFS('Error Log'!$A:$A,$A228,'Error Log'!$J:$J,F$1)</f>
        <v>0</v>
      </c>
      <c r="G228" s="70">
        <f>COUNTIFS('Error Log'!$A:$A,$A228,'Error Log'!$J:$J,G$1)</f>
        <v>0</v>
      </c>
      <c r="H228" s="70">
        <f>COUNTIFS('Error Log'!$A:$A,$A228,'Error Log'!$F:$F,"Source")</f>
        <v>0</v>
      </c>
      <c r="I228" s="70">
        <f>COUNTIFS('Error Log'!$A:$A,$A228,'Error Log'!$F:$F,"Target")</f>
        <v>0</v>
      </c>
      <c r="J228" s="71">
        <f t="shared" si="3"/>
        <v>0</v>
      </c>
    </row>
    <row r="229" spans="1:10">
      <c r="A229" s="81"/>
      <c r="B229" s="70" t="str">
        <f>IF(ISBLANK(A229),"",INDEX('Error Log'!$A:$J,MATCH('Scores per segment'!$A229,'Error Log'!$A:$A,0),MATCH('Scores per segment'!B$1,'Error Log'!$A$1:$J$1,0)))</f>
        <v/>
      </c>
      <c r="C229" s="70" t="str">
        <f>IF(ISBLANK(A229),"",INDEX('Error Log'!$A:$J,MATCH('Scores per segment'!$A229,'Error Log'!$A:$A,0),MATCH('Scores per segment'!C$1,'Error Log'!$A$1:$J$1,0)))</f>
        <v/>
      </c>
      <c r="D229" s="70">
        <f>IF(H229=0,wdct(TRIM(C229)),0)</f>
        <v>0</v>
      </c>
      <c r="E229" s="70">
        <f>COUNTIFS('Error Log'!$A:$A,$A229,'Error Log'!$J:$J,E$1)</f>
        <v>0</v>
      </c>
      <c r="F229" s="70">
        <f>COUNTIFS('Error Log'!$A:$A,$A229,'Error Log'!$J:$J,F$1)</f>
        <v>0</v>
      </c>
      <c r="G229" s="70">
        <f>COUNTIFS('Error Log'!$A:$A,$A229,'Error Log'!$J:$J,G$1)</f>
        <v>0</v>
      </c>
      <c r="H229" s="70">
        <f>COUNTIFS('Error Log'!$A:$A,$A229,'Error Log'!$F:$F,"Source")</f>
        <v>0</v>
      </c>
      <c r="I229" s="70">
        <f>COUNTIFS('Error Log'!$A:$A,$A229,'Error Log'!$F:$F,"Target")</f>
        <v>0</v>
      </c>
      <c r="J229" s="71">
        <f t="shared" si="3"/>
        <v>0</v>
      </c>
    </row>
    <row r="230" spans="1:10">
      <c r="A230" s="81"/>
      <c r="B230" s="70" t="str">
        <f>IF(ISBLANK(A230),"",INDEX('Error Log'!$A:$J,MATCH('Scores per segment'!$A230,'Error Log'!$A:$A,0),MATCH('Scores per segment'!B$1,'Error Log'!$A$1:$J$1,0)))</f>
        <v/>
      </c>
      <c r="C230" s="70" t="str">
        <f>IF(ISBLANK(A230),"",INDEX('Error Log'!$A:$J,MATCH('Scores per segment'!$A230,'Error Log'!$A:$A,0),MATCH('Scores per segment'!C$1,'Error Log'!$A$1:$J$1,0)))</f>
        <v/>
      </c>
      <c r="D230" s="70">
        <f>IF(H230=0,wdct(TRIM(C230)),0)</f>
        <v>0</v>
      </c>
      <c r="E230" s="70">
        <f>COUNTIFS('Error Log'!$A:$A,$A230,'Error Log'!$J:$J,E$1)</f>
        <v>0</v>
      </c>
      <c r="F230" s="70">
        <f>COUNTIFS('Error Log'!$A:$A,$A230,'Error Log'!$J:$J,F$1)</f>
        <v>0</v>
      </c>
      <c r="G230" s="70">
        <f>COUNTIFS('Error Log'!$A:$A,$A230,'Error Log'!$J:$J,G$1)</f>
        <v>0</v>
      </c>
      <c r="H230" s="70">
        <f>COUNTIFS('Error Log'!$A:$A,$A230,'Error Log'!$F:$F,"Source")</f>
        <v>0</v>
      </c>
      <c r="I230" s="70">
        <f>COUNTIFS('Error Log'!$A:$A,$A230,'Error Log'!$F:$F,"Target")</f>
        <v>0</v>
      </c>
      <c r="J230" s="71">
        <f t="shared" si="3"/>
        <v>0</v>
      </c>
    </row>
    <row r="231" spans="1:10">
      <c r="A231" s="81"/>
      <c r="B231" s="70" t="str">
        <f>IF(ISBLANK(A231),"",INDEX('Error Log'!$A:$J,MATCH('Scores per segment'!$A231,'Error Log'!$A:$A,0),MATCH('Scores per segment'!B$1,'Error Log'!$A$1:$J$1,0)))</f>
        <v/>
      </c>
      <c r="C231" s="70" t="str">
        <f>IF(ISBLANK(A231),"",INDEX('Error Log'!$A:$J,MATCH('Scores per segment'!$A231,'Error Log'!$A:$A,0),MATCH('Scores per segment'!C$1,'Error Log'!$A$1:$J$1,0)))</f>
        <v/>
      </c>
      <c r="D231" s="70">
        <f>IF(H231=0,wdct(TRIM(C231)),0)</f>
        <v>0</v>
      </c>
      <c r="E231" s="70">
        <f>COUNTIFS('Error Log'!$A:$A,$A231,'Error Log'!$J:$J,E$1)</f>
        <v>0</v>
      </c>
      <c r="F231" s="70">
        <f>COUNTIFS('Error Log'!$A:$A,$A231,'Error Log'!$J:$J,F$1)</f>
        <v>0</v>
      </c>
      <c r="G231" s="70">
        <f>COUNTIFS('Error Log'!$A:$A,$A231,'Error Log'!$J:$J,G$1)</f>
        <v>0</v>
      </c>
      <c r="H231" s="70">
        <f>COUNTIFS('Error Log'!$A:$A,$A231,'Error Log'!$F:$F,"Source")</f>
        <v>0</v>
      </c>
      <c r="I231" s="70">
        <f>COUNTIFS('Error Log'!$A:$A,$A231,'Error Log'!$F:$F,"Target")</f>
        <v>0</v>
      </c>
      <c r="J231" s="71">
        <f t="shared" si="3"/>
        <v>0</v>
      </c>
    </row>
    <row r="232" spans="1:10">
      <c r="A232" s="81"/>
      <c r="B232" s="70" t="str">
        <f>IF(ISBLANK(A232),"",INDEX('Error Log'!$A:$J,MATCH('Scores per segment'!$A232,'Error Log'!$A:$A,0),MATCH('Scores per segment'!B$1,'Error Log'!$A$1:$J$1,0)))</f>
        <v/>
      </c>
      <c r="C232" s="70" t="str">
        <f>IF(ISBLANK(A232),"",INDEX('Error Log'!$A:$J,MATCH('Scores per segment'!$A232,'Error Log'!$A:$A,0),MATCH('Scores per segment'!C$1,'Error Log'!$A$1:$J$1,0)))</f>
        <v/>
      </c>
      <c r="D232" s="70">
        <f>IF(H232=0,wdct(TRIM(C232)),0)</f>
        <v>0</v>
      </c>
      <c r="E232" s="70">
        <f>COUNTIFS('Error Log'!$A:$A,$A232,'Error Log'!$J:$J,E$1)</f>
        <v>0</v>
      </c>
      <c r="F232" s="70">
        <f>COUNTIFS('Error Log'!$A:$A,$A232,'Error Log'!$J:$J,F$1)</f>
        <v>0</v>
      </c>
      <c r="G232" s="70">
        <f>COUNTIFS('Error Log'!$A:$A,$A232,'Error Log'!$J:$J,G$1)</f>
        <v>0</v>
      </c>
      <c r="H232" s="70">
        <f>COUNTIFS('Error Log'!$A:$A,$A232,'Error Log'!$F:$F,"Source")</f>
        <v>0</v>
      </c>
      <c r="I232" s="70">
        <f>COUNTIFS('Error Log'!$A:$A,$A232,'Error Log'!$F:$F,"Target")</f>
        <v>0</v>
      </c>
      <c r="J232" s="71">
        <f t="shared" si="3"/>
        <v>0</v>
      </c>
    </row>
    <row r="233" spans="1:10">
      <c r="A233" s="81"/>
      <c r="B233" s="70" t="str">
        <f>IF(ISBLANK(A233),"",INDEX('Error Log'!$A:$J,MATCH('Scores per segment'!$A233,'Error Log'!$A:$A,0),MATCH('Scores per segment'!B$1,'Error Log'!$A$1:$J$1,0)))</f>
        <v/>
      </c>
      <c r="C233" s="70" t="str">
        <f>IF(ISBLANK(A233),"",INDEX('Error Log'!$A:$J,MATCH('Scores per segment'!$A233,'Error Log'!$A:$A,0),MATCH('Scores per segment'!C$1,'Error Log'!$A$1:$J$1,0)))</f>
        <v/>
      </c>
      <c r="D233" s="70">
        <f>IF(H233=0,wdct(TRIM(C233)),0)</f>
        <v>0</v>
      </c>
      <c r="E233" s="70">
        <f>COUNTIFS('Error Log'!$A:$A,$A233,'Error Log'!$J:$J,E$1)</f>
        <v>0</v>
      </c>
      <c r="F233" s="70">
        <f>COUNTIFS('Error Log'!$A:$A,$A233,'Error Log'!$J:$J,F$1)</f>
        <v>0</v>
      </c>
      <c r="G233" s="70">
        <f>COUNTIFS('Error Log'!$A:$A,$A233,'Error Log'!$J:$J,G$1)</f>
        <v>0</v>
      </c>
      <c r="H233" s="70">
        <f>COUNTIFS('Error Log'!$A:$A,$A233,'Error Log'!$F:$F,"Source")</f>
        <v>0</v>
      </c>
      <c r="I233" s="70">
        <f>COUNTIFS('Error Log'!$A:$A,$A233,'Error Log'!$F:$F,"Target")</f>
        <v>0</v>
      </c>
      <c r="J233" s="71">
        <f t="shared" si="3"/>
        <v>0</v>
      </c>
    </row>
    <row r="234" spans="1:10">
      <c r="A234" s="81"/>
      <c r="B234" s="70" t="str">
        <f>IF(ISBLANK(A234),"",INDEX('Error Log'!$A:$J,MATCH('Scores per segment'!$A234,'Error Log'!$A:$A,0),MATCH('Scores per segment'!B$1,'Error Log'!$A$1:$J$1,0)))</f>
        <v/>
      </c>
      <c r="C234" s="70" t="str">
        <f>IF(ISBLANK(A234),"",INDEX('Error Log'!$A:$J,MATCH('Scores per segment'!$A234,'Error Log'!$A:$A,0),MATCH('Scores per segment'!C$1,'Error Log'!$A$1:$J$1,0)))</f>
        <v/>
      </c>
      <c r="D234" s="70">
        <f>IF(H234=0,wdct(TRIM(C234)),0)</f>
        <v>0</v>
      </c>
      <c r="E234" s="70">
        <f>COUNTIFS('Error Log'!$A:$A,$A234,'Error Log'!$J:$J,E$1)</f>
        <v>0</v>
      </c>
      <c r="F234" s="70">
        <f>COUNTIFS('Error Log'!$A:$A,$A234,'Error Log'!$J:$J,F$1)</f>
        <v>0</v>
      </c>
      <c r="G234" s="70">
        <f>COUNTIFS('Error Log'!$A:$A,$A234,'Error Log'!$J:$J,G$1)</f>
        <v>0</v>
      </c>
      <c r="H234" s="70">
        <f>COUNTIFS('Error Log'!$A:$A,$A234,'Error Log'!$F:$F,"Source")</f>
        <v>0</v>
      </c>
      <c r="I234" s="70">
        <f>COUNTIFS('Error Log'!$A:$A,$A234,'Error Log'!$F:$F,"Target")</f>
        <v>0</v>
      </c>
      <c r="J234" s="71">
        <f t="shared" si="3"/>
        <v>0</v>
      </c>
    </row>
    <row r="235" spans="1:10">
      <c r="A235" s="81"/>
      <c r="B235" s="70" t="str">
        <f>IF(ISBLANK(A235),"",INDEX('Error Log'!$A:$J,MATCH('Scores per segment'!$A235,'Error Log'!$A:$A,0),MATCH('Scores per segment'!B$1,'Error Log'!$A$1:$J$1,0)))</f>
        <v/>
      </c>
      <c r="C235" s="70" t="str">
        <f>IF(ISBLANK(A235),"",INDEX('Error Log'!$A:$J,MATCH('Scores per segment'!$A235,'Error Log'!$A:$A,0),MATCH('Scores per segment'!C$1,'Error Log'!$A$1:$J$1,0)))</f>
        <v/>
      </c>
      <c r="D235" s="70">
        <f>IF(H235=0,wdct(TRIM(C235)),0)</f>
        <v>0</v>
      </c>
      <c r="E235" s="70">
        <f>COUNTIFS('Error Log'!$A:$A,$A235,'Error Log'!$J:$J,E$1)</f>
        <v>0</v>
      </c>
      <c r="F235" s="70">
        <f>COUNTIFS('Error Log'!$A:$A,$A235,'Error Log'!$J:$J,F$1)</f>
        <v>0</v>
      </c>
      <c r="G235" s="70">
        <f>COUNTIFS('Error Log'!$A:$A,$A235,'Error Log'!$J:$J,G$1)</f>
        <v>0</v>
      </c>
      <c r="H235" s="70">
        <f>COUNTIFS('Error Log'!$A:$A,$A235,'Error Log'!$F:$F,"Source")</f>
        <v>0</v>
      </c>
      <c r="I235" s="70">
        <f>COUNTIFS('Error Log'!$A:$A,$A235,'Error Log'!$F:$F,"Target")</f>
        <v>0</v>
      </c>
      <c r="J235" s="71">
        <f t="shared" si="3"/>
        <v>0</v>
      </c>
    </row>
    <row r="236" spans="1:10">
      <c r="A236" s="81"/>
      <c r="B236" s="70" t="str">
        <f>IF(ISBLANK(A236),"",INDEX('Error Log'!$A:$J,MATCH('Scores per segment'!$A236,'Error Log'!$A:$A,0),MATCH('Scores per segment'!B$1,'Error Log'!$A$1:$J$1,0)))</f>
        <v/>
      </c>
      <c r="C236" s="70" t="str">
        <f>IF(ISBLANK(A236),"",INDEX('Error Log'!$A:$J,MATCH('Scores per segment'!$A236,'Error Log'!$A:$A,0),MATCH('Scores per segment'!C$1,'Error Log'!$A$1:$J$1,0)))</f>
        <v/>
      </c>
      <c r="D236" s="70">
        <f>IF(H236=0,wdct(TRIM(C236)),0)</f>
        <v>0</v>
      </c>
      <c r="E236" s="70">
        <f>COUNTIFS('Error Log'!$A:$A,$A236,'Error Log'!$J:$J,E$1)</f>
        <v>0</v>
      </c>
      <c r="F236" s="70">
        <f>COUNTIFS('Error Log'!$A:$A,$A236,'Error Log'!$J:$J,F$1)</f>
        <v>0</v>
      </c>
      <c r="G236" s="70">
        <f>COUNTIFS('Error Log'!$A:$A,$A236,'Error Log'!$J:$J,G$1)</f>
        <v>0</v>
      </c>
      <c r="H236" s="70">
        <f>COUNTIFS('Error Log'!$A:$A,$A236,'Error Log'!$F:$F,"Source")</f>
        <v>0</v>
      </c>
      <c r="I236" s="70">
        <f>COUNTIFS('Error Log'!$A:$A,$A236,'Error Log'!$F:$F,"Target")</f>
        <v>0</v>
      </c>
      <c r="J236" s="71">
        <f t="shared" si="3"/>
        <v>0</v>
      </c>
    </row>
    <row r="237" spans="1:10">
      <c r="A237" s="81"/>
      <c r="B237" s="70" t="str">
        <f>IF(ISBLANK(A237),"",INDEX('Error Log'!$A:$J,MATCH('Scores per segment'!$A237,'Error Log'!$A:$A,0),MATCH('Scores per segment'!B$1,'Error Log'!$A$1:$J$1,0)))</f>
        <v/>
      </c>
      <c r="C237" s="70" t="str">
        <f>IF(ISBLANK(A237),"",INDEX('Error Log'!$A:$J,MATCH('Scores per segment'!$A237,'Error Log'!$A:$A,0),MATCH('Scores per segment'!C$1,'Error Log'!$A$1:$J$1,0)))</f>
        <v/>
      </c>
      <c r="D237" s="70">
        <f>IF(H237=0,wdct(TRIM(C237)),0)</f>
        <v>0</v>
      </c>
      <c r="E237" s="70">
        <f>COUNTIFS('Error Log'!$A:$A,$A237,'Error Log'!$J:$J,E$1)</f>
        <v>0</v>
      </c>
      <c r="F237" s="70">
        <f>COUNTIFS('Error Log'!$A:$A,$A237,'Error Log'!$J:$J,F$1)</f>
        <v>0</v>
      </c>
      <c r="G237" s="70">
        <f>COUNTIFS('Error Log'!$A:$A,$A237,'Error Log'!$J:$J,G$1)</f>
        <v>0</v>
      </c>
      <c r="H237" s="70">
        <f>COUNTIFS('Error Log'!$A:$A,$A237,'Error Log'!$F:$F,"Source")</f>
        <v>0</v>
      </c>
      <c r="I237" s="70">
        <f>COUNTIFS('Error Log'!$A:$A,$A237,'Error Log'!$F:$F,"Target")</f>
        <v>0</v>
      </c>
      <c r="J237" s="71">
        <f t="shared" si="3"/>
        <v>0</v>
      </c>
    </row>
    <row r="238" spans="1:10">
      <c r="A238" s="81"/>
      <c r="B238" s="70" t="str">
        <f>IF(ISBLANK(A238),"",INDEX('Error Log'!$A:$J,MATCH('Scores per segment'!$A238,'Error Log'!$A:$A,0),MATCH('Scores per segment'!B$1,'Error Log'!$A$1:$J$1,0)))</f>
        <v/>
      </c>
      <c r="C238" s="70" t="str">
        <f>IF(ISBLANK(A238),"",INDEX('Error Log'!$A:$J,MATCH('Scores per segment'!$A238,'Error Log'!$A:$A,0),MATCH('Scores per segment'!C$1,'Error Log'!$A$1:$J$1,0)))</f>
        <v/>
      </c>
      <c r="D238" s="70">
        <f>IF(H238=0,wdct(TRIM(C238)),0)</f>
        <v>0</v>
      </c>
      <c r="E238" s="70">
        <f>COUNTIFS('Error Log'!$A:$A,$A238,'Error Log'!$J:$J,E$1)</f>
        <v>0</v>
      </c>
      <c r="F238" s="70">
        <f>COUNTIFS('Error Log'!$A:$A,$A238,'Error Log'!$J:$J,F$1)</f>
        <v>0</v>
      </c>
      <c r="G238" s="70">
        <f>COUNTIFS('Error Log'!$A:$A,$A238,'Error Log'!$J:$J,G$1)</f>
        <v>0</v>
      </c>
      <c r="H238" s="70">
        <f>COUNTIFS('Error Log'!$A:$A,$A238,'Error Log'!$F:$F,"Source")</f>
        <v>0</v>
      </c>
      <c r="I238" s="70">
        <f>COUNTIFS('Error Log'!$A:$A,$A238,'Error Log'!$F:$F,"Target")</f>
        <v>0</v>
      </c>
      <c r="J238" s="71">
        <f t="shared" si="3"/>
        <v>0</v>
      </c>
    </row>
    <row r="239" spans="1:10">
      <c r="A239" s="81"/>
      <c r="B239" s="70" t="str">
        <f>IF(ISBLANK(A239),"",INDEX('Error Log'!$A:$J,MATCH('Scores per segment'!$A239,'Error Log'!$A:$A,0),MATCH('Scores per segment'!B$1,'Error Log'!$A$1:$J$1,0)))</f>
        <v/>
      </c>
      <c r="C239" s="70" t="str">
        <f>IF(ISBLANK(A239),"",INDEX('Error Log'!$A:$J,MATCH('Scores per segment'!$A239,'Error Log'!$A:$A,0),MATCH('Scores per segment'!C$1,'Error Log'!$A$1:$J$1,0)))</f>
        <v/>
      </c>
      <c r="D239" s="70">
        <f>IF(H239=0,wdct(TRIM(C239)),0)</f>
        <v>0</v>
      </c>
      <c r="E239" s="70">
        <f>COUNTIFS('Error Log'!$A:$A,$A239,'Error Log'!$J:$J,E$1)</f>
        <v>0</v>
      </c>
      <c r="F239" s="70">
        <f>COUNTIFS('Error Log'!$A:$A,$A239,'Error Log'!$J:$J,F$1)</f>
        <v>0</v>
      </c>
      <c r="G239" s="70">
        <f>COUNTIFS('Error Log'!$A:$A,$A239,'Error Log'!$J:$J,G$1)</f>
        <v>0</v>
      </c>
      <c r="H239" s="70">
        <f>COUNTIFS('Error Log'!$A:$A,$A239,'Error Log'!$F:$F,"Source")</f>
        <v>0</v>
      </c>
      <c r="I239" s="70">
        <f>COUNTIFS('Error Log'!$A:$A,$A239,'Error Log'!$F:$F,"Target")</f>
        <v>0</v>
      </c>
      <c r="J239" s="71">
        <f t="shared" si="3"/>
        <v>0</v>
      </c>
    </row>
    <row r="240" spans="1:10">
      <c r="A240" s="81"/>
      <c r="B240" s="70" t="str">
        <f>IF(ISBLANK(A240),"",INDEX('Error Log'!$A:$J,MATCH('Scores per segment'!$A240,'Error Log'!$A:$A,0),MATCH('Scores per segment'!B$1,'Error Log'!$A$1:$J$1,0)))</f>
        <v/>
      </c>
      <c r="C240" s="70" t="str">
        <f>IF(ISBLANK(A240),"",INDEX('Error Log'!$A:$J,MATCH('Scores per segment'!$A240,'Error Log'!$A:$A,0),MATCH('Scores per segment'!C$1,'Error Log'!$A$1:$J$1,0)))</f>
        <v/>
      </c>
      <c r="D240" s="70">
        <f>IF(H240=0,wdct(TRIM(C240)),0)</f>
        <v>0</v>
      </c>
      <c r="E240" s="70">
        <f>COUNTIFS('Error Log'!$A:$A,$A240,'Error Log'!$J:$J,E$1)</f>
        <v>0</v>
      </c>
      <c r="F240" s="70">
        <f>COUNTIFS('Error Log'!$A:$A,$A240,'Error Log'!$J:$J,F$1)</f>
        <v>0</v>
      </c>
      <c r="G240" s="70">
        <f>COUNTIFS('Error Log'!$A:$A,$A240,'Error Log'!$J:$J,G$1)</f>
        <v>0</v>
      </c>
      <c r="H240" s="70">
        <f>COUNTIFS('Error Log'!$A:$A,$A240,'Error Log'!$F:$F,"Source")</f>
        <v>0</v>
      </c>
      <c r="I240" s="70">
        <f>COUNTIFS('Error Log'!$A:$A,$A240,'Error Log'!$F:$F,"Target")</f>
        <v>0</v>
      </c>
      <c r="J240" s="71">
        <f t="shared" si="3"/>
        <v>0</v>
      </c>
    </row>
    <row r="241" spans="1:10">
      <c r="A241" s="81"/>
      <c r="B241" s="70" t="str">
        <f>IF(ISBLANK(A241),"",INDEX('Error Log'!$A:$J,MATCH('Scores per segment'!$A241,'Error Log'!$A:$A,0),MATCH('Scores per segment'!B$1,'Error Log'!$A$1:$J$1,0)))</f>
        <v/>
      </c>
      <c r="C241" s="70" t="str">
        <f>IF(ISBLANK(A241),"",INDEX('Error Log'!$A:$J,MATCH('Scores per segment'!$A241,'Error Log'!$A:$A,0),MATCH('Scores per segment'!C$1,'Error Log'!$A$1:$J$1,0)))</f>
        <v/>
      </c>
      <c r="D241" s="70">
        <f>IF(H241=0,wdct(TRIM(C241)),0)</f>
        <v>0</v>
      </c>
      <c r="E241" s="70">
        <f>COUNTIFS('Error Log'!$A:$A,$A241,'Error Log'!$J:$J,E$1)</f>
        <v>0</v>
      </c>
      <c r="F241" s="70">
        <f>COUNTIFS('Error Log'!$A:$A,$A241,'Error Log'!$J:$J,F$1)</f>
        <v>0</v>
      </c>
      <c r="G241" s="70">
        <f>COUNTIFS('Error Log'!$A:$A,$A241,'Error Log'!$J:$J,G$1)</f>
        <v>0</v>
      </c>
      <c r="H241" s="70">
        <f>COUNTIFS('Error Log'!$A:$A,$A241,'Error Log'!$F:$F,"Source")</f>
        <v>0</v>
      </c>
      <c r="I241" s="70">
        <f>COUNTIFS('Error Log'!$A:$A,$A241,'Error Log'!$F:$F,"Target")</f>
        <v>0</v>
      </c>
      <c r="J241" s="71">
        <f t="shared" si="3"/>
        <v>0</v>
      </c>
    </row>
    <row r="242" spans="1:10">
      <c r="A242" s="81"/>
      <c r="B242" s="70" t="str">
        <f>IF(ISBLANK(A242),"",INDEX('Error Log'!$A:$J,MATCH('Scores per segment'!$A242,'Error Log'!$A:$A,0),MATCH('Scores per segment'!B$1,'Error Log'!$A$1:$J$1,0)))</f>
        <v/>
      </c>
      <c r="C242" s="70" t="str">
        <f>IF(ISBLANK(A242),"",INDEX('Error Log'!$A:$J,MATCH('Scores per segment'!$A242,'Error Log'!$A:$A,0),MATCH('Scores per segment'!C$1,'Error Log'!$A$1:$J$1,0)))</f>
        <v/>
      </c>
      <c r="D242" s="70">
        <f>IF(H242=0,wdct(TRIM(C242)),0)</f>
        <v>0</v>
      </c>
      <c r="E242" s="70">
        <f>COUNTIFS('Error Log'!$A:$A,$A242,'Error Log'!$J:$J,E$1)</f>
        <v>0</v>
      </c>
      <c r="F242" s="70">
        <f>COUNTIFS('Error Log'!$A:$A,$A242,'Error Log'!$J:$J,F$1)</f>
        <v>0</v>
      </c>
      <c r="G242" s="70">
        <f>COUNTIFS('Error Log'!$A:$A,$A242,'Error Log'!$J:$J,G$1)</f>
        <v>0</v>
      </c>
      <c r="H242" s="70">
        <f>COUNTIFS('Error Log'!$A:$A,$A242,'Error Log'!$F:$F,"Source")</f>
        <v>0</v>
      </c>
      <c r="I242" s="70">
        <f>COUNTIFS('Error Log'!$A:$A,$A242,'Error Log'!$F:$F,"Target")</f>
        <v>0</v>
      </c>
      <c r="J242" s="71">
        <f t="shared" si="3"/>
        <v>0</v>
      </c>
    </row>
    <row r="243" spans="1:10">
      <c r="A243" s="81"/>
      <c r="B243" s="70" t="str">
        <f>IF(ISBLANK(A243),"",INDEX('Error Log'!$A:$J,MATCH('Scores per segment'!$A243,'Error Log'!$A:$A,0),MATCH('Scores per segment'!B$1,'Error Log'!$A$1:$J$1,0)))</f>
        <v/>
      </c>
      <c r="C243" s="70" t="str">
        <f>IF(ISBLANK(A243),"",INDEX('Error Log'!$A:$J,MATCH('Scores per segment'!$A243,'Error Log'!$A:$A,0),MATCH('Scores per segment'!C$1,'Error Log'!$A$1:$J$1,0)))</f>
        <v/>
      </c>
      <c r="D243" s="70">
        <f>IF(H243=0,wdct(TRIM(C243)),0)</f>
        <v>0</v>
      </c>
      <c r="E243" s="70">
        <f>COUNTIFS('Error Log'!$A:$A,$A243,'Error Log'!$J:$J,E$1)</f>
        <v>0</v>
      </c>
      <c r="F243" s="70">
        <f>COUNTIFS('Error Log'!$A:$A,$A243,'Error Log'!$J:$J,F$1)</f>
        <v>0</v>
      </c>
      <c r="G243" s="70">
        <f>COUNTIFS('Error Log'!$A:$A,$A243,'Error Log'!$J:$J,G$1)</f>
        <v>0</v>
      </c>
      <c r="H243" s="70">
        <f>COUNTIFS('Error Log'!$A:$A,$A243,'Error Log'!$F:$F,"Source")</f>
        <v>0</v>
      </c>
      <c r="I243" s="70">
        <f>COUNTIFS('Error Log'!$A:$A,$A243,'Error Log'!$F:$F,"Target")</f>
        <v>0</v>
      </c>
      <c r="J243" s="71">
        <f t="shared" si="3"/>
        <v>0</v>
      </c>
    </row>
    <row r="244" spans="1:10">
      <c r="A244" s="81"/>
      <c r="B244" s="70" t="str">
        <f>IF(ISBLANK(A244),"",INDEX('Error Log'!$A:$J,MATCH('Scores per segment'!$A244,'Error Log'!$A:$A,0),MATCH('Scores per segment'!B$1,'Error Log'!$A$1:$J$1,0)))</f>
        <v/>
      </c>
      <c r="C244" s="70" t="str">
        <f>IF(ISBLANK(A244),"",INDEX('Error Log'!$A:$J,MATCH('Scores per segment'!$A244,'Error Log'!$A:$A,0),MATCH('Scores per segment'!C$1,'Error Log'!$A$1:$J$1,0)))</f>
        <v/>
      </c>
      <c r="D244" s="70">
        <f>IF(H244=0,wdct(TRIM(C244)),0)</f>
        <v>0</v>
      </c>
      <c r="E244" s="70">
        <f>COUNTIFS('Error Log'!$A:$A,$A244,'Error Log'!$J:$J,E$1)</f>
        <v>0</v>
      </c>
      <c r="F244" s="70">
        <f>COUNTIFS('Error Log'!$A:$A,$A244,'Error Log'!$J:$J,F$1)</f>
        <v>0</v>
      </c>
      <c r="G244" s="70">
        <f>COUNTIFS('Error Log'!$A:$A,$A244,'Error Log'!$J:$J,G$1)</f>
        <v>0</v>
      </c>
      <c r="H244" s="70">
        <f>COUNTIFS('Error Log'!$A:$A,$A244,'Error Log'!$F:$F,"Source")</f>
        <v>0</v>
      </c>
      <c r="I244" s="70">
        <f>COUNTIFS('Error Log'!$A:$A,$A244,'Error Log'!$F:$F,"Target")</f>
        <v>0</v>
      </c>
      <c r="J244" s="71">
        <f t="shared" si="3"/>
        <v>0</v>
      </c>
    </row>
    <row r="245" spans="1:10">
      <c r="A245" s="81"/>
      <c r="B245" s="70" t="str">
        <f>IF(ISBLANK(A245),"",INDEX('Error Log'!$A:$J,MATCH('Scores per segment'!$A245,'Error Log'!$A:$A,0),MATCH('Scores per segment'!B$1,'Error Log'!$A$1:$J$1,0)))</f>
        <v/>
      </c>
      <c r="C245" s="70" t="str">
        <f>IF(ISBLANK(A245),"",INDEX('Error Log'!$A:$J,MATCH('Scores per segment'!$A245,'Error Log'!$A:$A,0),MATCH('Scores per segment'!C$1,'Error Log'!$A$1:$J$1,0)))</f>
        <v/>
      </c>
      <c r="D245" s="70">
        <f>IF(H245=0,wdct(TRIM(C245)),0)</f>
        <v>0</v>
      </c>
      <c r="E245" s="70">
        <f>COUNTIFS('Error Log'!$A:$A,$A245,'Error Log'!$J:$J,E$1)</f>
        <v>0</v>
      </c>
      <c r="F245" s="70">
        <f>COUNTIFS('Error Log'!$A:$A,$A245,'Error Log'!$J:$J,F$1)</f>
        <v>0</v>
      </c>
      <c r="G245" s="70">
        <f>COUNTIFS('Error Log'!$A:$A,$A245,'Error Log'!$J:$J,G$1)</f>
        <v>0</v>
      </c>
      <c r="H245" s="70">
        <f>COUNTIFS('Error Log'!$A:$A,$A245,'Error Log'!$F:$F,"Source")</f>
        <v>0</v>
      </c>
      <c r="I245" s="70">
        <f>COUNTIFS('Error Log'!$A:$A,$A245,'Error Log'!$F:$F,"Target")</f>
        <v>0</v>
      </c>
      <c r="J245" s="71">
        <f t="shared" si="3"/>
        <v>0</v>
      </c>
    </row>
    <row r="246" spans="1:10">
      <c r="A246" s="81"/>
      <c r="B246" s="70" t="str">
        <f>IF(ISBLANK(A246),"",INDEX('Error Log'!$A:$J,MATCH('Scores per segment'!$A246,'Error Log'!$A:$A,0),MATCH('Scores per segment'!B$1,'Error Log'!$A$1:$J$1,0)))</f>
        <v/>
      </c>
      <c r="C246" s="70" t="str">
        <f>IF(ISBLANK(A246),"",INDEX('Error Log'!$A:$J,MATCH('Scores per segment'!$A246,'Error Log'!$A:$A,0),MATCH('Scores per segment'!C$1,'Error Log'!$A$1:$J$1,0)))</f>
        <v/>
      </c>
      <c r="D246" s="70">
        <f>IF(H246=0,wdct(TRIM(C246)),0)</f>
        <v>0</v>
      </c>
      <c r="E246" s="70">
        <f>COUNTIFS('Error Log'!$A:$A,$A246,'Error Log'!$J:$J,E$1)</f>
        <v>0</v>
      </c>
      <c r="F246" s="70">
        <f>COUNTIFS('Error Log'!$A:$A,$A246,'Error Log'!$J:$J,F$1)</f>
        <v>0</v>
      </c>
      <c r="G246" s="70">
        <f>COUNTIFS('Error Log'!$A:$A,$A246,'Error Log'!$J:$J,G$1)</f>
        <v>0</v>
      </c>
      <c r="H246" s="70">
        <f>COUNTIFS('Error Log'!$A:$A,$A246,'Error Log'!$F:$F,"Source")</f>
        <v>0</v>
      </c>
      <c r="I246" s="70">
        <f>COUNTIFS('Error Log'!$A:$A,$A246,'Error Log'!$F:$F,"Target")</f>
        <v>0</v>
      </c>
      <c r="J246" s="71">
        <f t="shared" si="3"/>
        <v>0</v>
      </c>
    </row>
    <row r="247" spans="1:10">
      <c r="A247" s="81"/>
      <c r="B247" s="70" t="str">
        <f>IF(ISBLANK(A247),"",INDEX('Error Log'!$A:$J,MATCH('Scores per segment'!$A247,'Error Log'!$A:$A,0),MATCH('Scores per segment'!B$1,'Error Log'!$A$1:$J$1,0)))</f>
        <v/>
      </c>
      <c r="C247" s="70" t="str">
        <f>IF(ISBLANK(A247),"",INDEX('Error Log'!$A:$J,MATCH('Scores per segment'!$A247,'Error Log'!$A:$A,0),MATCH('Scores per segment'!C$1,'Error Log'!$A$1:$J$1,0)))</f>
        <v/>
      </c>
      <c r="D247" s="70">
        <f>IF(H247=0,wdct(TRIM(C247)),0)</f>
        <v>0</v>
      </c>
      <c r="E247" s="70">
        <f>COUNTIFS('Error Log'!$A:$A,$A247,'Error Log'!$J:$J,E$1)</f>
        <v>0</v>
      </c>
      <c r="F247" s="70">
        <f>COUNTIFS('Error Log'!$A:$A,$A247,'Error Log'!$J:$J,F$1)</f>
        <v>0</v>
      </c>
      <c r="G247" s="70">
        <f>COUNTIFS('Error Log'!$A:$A,$A247,'Error Log'!$J:$J,G$1)</f>
        <v>0</v>
      </c>
      <c r="H247" s="70">
        <f>COUNTIFS('Error Log'!$A:$A,$A247,'Error Log'!$F:$F,"Source")</f>
        <v>0</v>
      </c>
      <c r="I247" s="70">
        <f>COUNTIFS('Error Log'!$A:$A,$A247,'Error Log'!$F:$F,"Target")</f>
        <v>0</v>
      </c>
      <c r="J247" s="71">
        <f t="shared" si="3"/>
        <v>0</v>
      </c>
    </row>
    <row r="248" spans="1:10">
      <c r="A248" s="81"/>
      <c r="B248" s="70" t="str">
        <f>IF(ISBLANK(A248),"",INDEX('Error Log'!$A:$J,MATCH('Scores per segment'!$A248,'Error Log'!$A:$A,0),MATCH('Scores per segment'!B$1,'Error Log'!$A$1:$J$1,0)))</f>
        <v/>
      </c>
      <c r="C248" s="70" t="str">
        <f>IF(ISBLANK(A248),"",INDEX('Error Log'!$A:$J,MATCH('Scores per segment'!$A248,'Error Log'!$A:$A,0),MATCH('Scores per segment'!C$1,'Error Log'!$A$1:$J$1,0)))</f>
        <v/>
      </c>
      <c r="D248" s="70">
        <f>IF(H248=0,wdct(TRIM(C248)),0)</f>
        <v>0</v>
      </c>
      <c r="E248" s="70">
        <f>COUNTIFS('Error Log'!$A:$A,$A248,'Error Log'!$J:$J,E$1)</f>
        <v>0</v>
      </c>
      <c r="F248" s="70">
        <f>COUNTIFS('Error Log'!$A:$A,$A248,'Error Log'!$J:$J,F$1)</f>
        <v>0</v>
      </c>
      <c r="G248" s="70">
        <f>COUNTIFS('Error Log'!$A:$A,$A248,'Error Log'!$J:$J,G$1)</f>
        <v>0</v>
      </c>
      <c r="H248" s="70">
        <f>COUNTIFS('Error Log'!$A:$A,$A248,'Error Log'!$F:$F,"Source")</f>
        <v>0</v>
      </c>
      <c r="I248" s="70">
        <f>COUNTIFS('Error Log'!$A:$A,$A248,'Error Log'!$F:$F,"Target")</f>
        <v>0</v>
      </c>
      <c r="J248" s="71">
        <f t="shared" si="3"/>
        <v>0</v>
      </c>
    </row>
    <row r="249" spans="1:10">
      <c r="A249" s="81"/>
      <c r="B249" s="70" t="str">
        <f>IF(ISBLANK(A249),"",INDEX('Error Log'!$A:$J,MATCH('Scores per segment'!$A249,'Error Log'!$A:$A,0),MATCH('Scores per segment'!B$1,'Error Log'!$A$1:$J$1,0)))</f>
        <v/>
      </c>
      <c r="C249" s="70" t="str">
        <f>IF(ISBLANK(A249),"",INDEX('Error Log'!$A:$J,MATCH('Scores per segment'!$A249,'Error Log'!$A:$A,0),MATCH('Scores per segment'!C$1,'Error Log'!$A$1:$J$1,0)))</f>
        <v/>
      </c>
      <c r="D249" s="70">
        <f>IF(H249=0,wdct(TRIM(C249)),0)</f>
        <v>0</v>
      </c>
      <c r="E249" s="70">
        <f>COUNTIFS('Error Log'!$A:$A,$A249,'Error Log'!$J:$J,E$1)</f>
        <v>0</v>
      </c>
      <c r="F249" s="70">
        <f>COUNTIFS('Error Log'!$A:$A,$A249,'Error Log'!$J:$J,F$1)</f>
        <v>0</v>
      </c>
      <c r="G249" s="70">
        <f>COUNTIFS('Error Log'!$A:$A,$A249,'Error Log'!$J:$J,G$1)</f>
        <v>0</v>
      </c>
      <c r="H249" s="70">
        <f>COUNTIFS('Error Log'!$A:$A,$A249,'Error Log'!$F:$F,"Source")</f>
        <v>0</v>
      </c>
      <c r="I249" s="70">
        <f>COUNTIFS('Error Log'!$A:$A,$A249,'Error Log'!$F:$F,"Target")</f>
        <v>0</v>
      </c>
      <c r="J249" s="71">
        <f t="shared" si="3"/>
        <v>0</v>
      </c>
    </row>
    <row r="250" spans="1:10">
      <c r="A250" s="81"/>
      <c r="B250" s="70" t="str">
        <f>IF(ISBLANK(A250),"",INDEX('Error Log'!$A:$J,MATCH('Scores per segment'!$A250,'Error Log'!$A:$A,0),MATCH('Scores per segment'!B$1,'Error Log'!$A$1:$J$1,0)))</f>
        <v/>
      </c>
      <c r="C250" s="70" t="str">
        <f>IF(ISBLANK(A250),"",INDEX('Error Log'!$A:$J,MATCH('Scores per segment'!$A250,'Error Log'!$A:$A,0),MATCH('Scores per segment'!C$1,'Error Log'!$A$1:$J$1,0)))</f>
        <v/>
      </c>
      <c r="D250" s="70">
        <f>IF(H250=0,wdct(TRIM(C250)),0)</f>
        <v>0</v>
      </c>
      <c r="E250" s="70">
        <f>COUNTIFS('Error Log'!$A:$A,$A250,'Error Log'!$J:$J,E$1)</f>
        <v>0</v>
      </c>
      <c r="F250" s="70">
        <f>COUNTIFS('Error Log'!$A:$A,$A250,'Error Log'!$J:$J,F$1)</f>
        <v>0</v>
      </c>
      <c r="G250" s="70">
        <f>COUNTIFS('Error Log'!$A:$A,$A250,'Error Log'!$J:$J,G$1)</f>
        <v>0</v>
      </c>
      <c r="H250" s="70">
        <f>COUNTIFS('Error Log'!$A:$A,$A250,'Error Log'!$F:$F,"Source")</f>
        <v>0</v>
      </c>
      <c r="I250" s="70">
        <f>COUNTIFS('Error Log'!$A:$A,$A250,'Error Log'!$F:$F,"Target")</f>
        <v>0</v>
      </c>
      <c r="J250" s="71">
        <f t="shared" si="3"/>
        <v>0</v>
      </c>
    </row>
    <row r="251" spans="1:10">
      <c r="A251" s="81"/>
      <c r="B251" s="70" t="str">
        <f>IF(ISBLANK(A251),"",INDEX('Error Log'!$A:$J,MATCH('Scores per segment'!$A251,'Error Log'!$A:$A,0),MATCH('Scores per segment'!B$1,'Error Log'!$A$1:$J$1,0)))</f>
        <v/>
      </c>
      <c r="C251" s="70" t="str">
        <f>IF(ISBLANK(A251),"",INDEX('Error Log'!$A:$J,MATCH('Scores per segment'!$A251,'Error Log'!$A:$A,0),MATCH('Scores per segment'!C$1,'Error Log'!$A$1:$J$1,0)))</f>
        <v/>
      </c>
      <c r="D251" s="70">
        <f>IF(H251=0,wdct(TRIM(C251)),0)</f>
        <v>0</v>
      </c>
      <c r="E251" s="70">
        <f>COUNTIFS('Error Log'!$A:$A,$A251,'Error Log'!$J:$J,E$1)</f>
        <v>0</v>
      </c>
      <c r="F251" s="70">
        <f>COUNTIFS('Error Log'!$A:$A,$A251,'Error Log'!$J:$J,F$1)</f>
        <v>0</v>
      </c>
      <c r="G251" s="70">
        <f>COUNTIFS('Error Log'!$A:$A,$A251,'Error Log'!$J:$J,G$1)</f>
        <v>0</v>
      </c>
      <c r="H251" s="70">
        <f>COUNTIFS('Error Log'!$A:$A,$A251,'Error Log'!$F:$F,"Source")</f>
        <v>0</v>
      </c>
      <c r="I251" s="70">
        <f>COUNTIFS('Error Log'!$A:$A,$A251,'Error Log'!$F:$F,"Target")</f>
        <v>0</v>
      </c>
      <c r="J251" s="71">
        <f t="shared" si="3"/>
        <v>0</v>
      </c>
    </row>
    <row r="252" spans="1:10">
      <c r="A252" s="81"/>
      <c r="B252" s="70" t="str">
        <f>IF(ISBLANK(A252),"",INDEX('Error Log'!$A:$J,MATCH('Scores per segment'!$A252,'Error Log'!$A:$A,0),MATCH('Scores per segment'!B$1,'Error Log'!$A$1:$J$1,0)))</f>
        <v/>
      </c>
      <c r="C252" s="70" t="str">
        <f>IF(ISBLANK(A252),"",INDEX('Error Log'!$A:$J,MATCH('Scores per segment'!$A252,'Error Log'!$A:$A,0),MATCH('Scores per segment'!C$1,'Error Log'!$A$1:$J$1,0)))</f>
        <v/>
      </c>
      <c r="D252" s="70">
        <f>IF(H252=0,wdct(TRIM(C252)),0)</f>
        <v>0</v>
      </c>
      <c r="E252" s="70">
        <f>COUNTIFS('Error Log'!$A:$A,$A252,'Error Log'!$J:$J,E$1)</f>
        <v>0</v>
      </c>
      <c r="F252" s="70">
        <f>COUNTIFS('Error Log'!$A:$A,$A252,'Error Log'!$J:$J,F$1)</f>
        <v>0</v>
      </c>
      <c r="G252" s="70">
        <f>COUNTIFS('Error Log'!$A:$A,$A252,'Error Log'!$J:$J,G$1)</f>
        <v>0</v>
      </c>
      <c r="H252" s="70">
        <f>COUNTIFS('Error Log'!$A:$A,$A252,'Error Log'!$F:$F,"Source")</f>
        <v>0</v>
      </c>
      <c r="I252" s="70">
        <f>COUNTIFS('Error Log'!$A:$A,$A252,'Error Log'!$F:$F,"Target")</f>
        <v>0</v>
      </c>
      <c r="J252" s="71">
        <f t="shared" si="3"/>
        <v>0</v>
      </c>
    </row>
    <row r="253" spans="1:10">
      <c r="A253" s="81"/>
      <c r="B253" s="70" t="str">
        <f>IF(ISBLANK(A253),"",INDEX('Error Log'!$A:$J,MATCH('Scores per segment'!$A253,'Error Log'!$A:$A,0),MATCH('Scores per segment'!B$1,'Error Log'!$A$1:$J$1,0)))</f>
        <v/>
      </c>
      <c r="C253" s="70" t="str">
        <f>IF(ISBLANK(A253),"",INDEX('Error Log'!$A:$J,MATCH('Scores per segment'!$A253,'Error Log'!$A:$A,0),MATCH('Scores per segment'!C$1,'Error Log'!$A$1:$J$1,0)))</f>
        <v/>
      </c>
      <c r="D253" s="70">
        <f>IF(H253=0,wdct(TRIM(C253)),0)</f>
        <v>0</v>
      </c>
      <c r="E253" s="70">
        <f>COUNTIFS('Error Log'!$A:$A,$A253,'Error Log'!$J:$J,E$1)</f>
        <v>0</v>
      </c>
      <c r="F253" s="70">
        <f>COUNTIFS('Error Log'!$A:$A,$A253,'Error Log'!$J:$J,F$1)</f>
        <v>0</v>
      </c>
      <c r="G253" s="70">
        <f>COUNTIFS('Error Log'!$A:$A,$A253,'Error Log'!$J:$J,G$1)</f>
        <v>0</v>
      </c>
      <c r="H253" s="70">
        <f>COUNTIFS('Error Log'!$A:$A,$A253,'Error Log'!$F:$F,"Source")</f>
        <v>0</v>
      </c>
      <c r="I253" s="70">
        <f>COUNTIFS('Error Log'!$A:$A,$A253,'Error Log'!$F:$F,"Target")</f>
        <v>0</v>
      </c>
      <c r="J253" s="71">
        <f t="shared" si="3"/>
        <v>0</v>
      </c>
    </row>
    <row r="254" spans="1:10">
      <c r="A254" s="81"/>
      <c r="B254" s="70" t="str">
        <f>IF(ISBLANK(A254),"",INDEX('Error Log'!$A:$J,MATCH('Scores per segment'!$A254,'Error Log'!$A:$A,0),MATCH('Scores per segment'!B$1,'Error Log'!$A$1:$J$1,0)))</f>
        <v/>
      </c>
      <c r="C254" s="70" t="str">
        <f>IF(ISBLANK(A254),"",INDEX('Error Log'!$A:$J,MATCH('Scores per segment'!$A254,'Error Log'!$A:$A,0),MATCH('Scores per segment'!C$1,'Error Log'!$A$1:$J$1,0)))</f>
        <v/>
      </c>
      <c r="D254" s="70">
        <f>IF(H254=0,wdct(TRIM(C254)),0)</f>
        <v>0</v>
      </c>
      <c r="E254" s="70">
        <f>COUNTIFS('Error Log'!$A:$A,$A254,'Error Log'!$J:$J,E$1)</f>
        <v>0</v>
      </c>
      <c r="F254" s="70">
        <f>COUNTIFS('Error Log'!$A:$A,$A254,'Error Log'!$J:$J,F$1)</f>
        <v>0</v>
      </c>
      <c r="G254" s="70">
        <f>COUNTIFS('Error Log'!$A:$A,$A254,'Error Log'!$J:$J,G$1)</f>
        <v>0</v>
      </c>
      <c r="H254" s="70">
        <f>COUNTIFS('Error Log'!$A:$A,$A254,'Error Log'!$F:$F,"Source")</f>
        <v>0</v>
      </c>
      <c r="I254" s="70">
        <f>COUNTIFS('Error Log'!$A:$A,$A254,'Error Log'!$F:$F,"Target")</f>
        <v>0</v>
      </c>
      <c r="J254" s="71">
        <f t="shared" si="3"/>
        <v>0</v>
      </c>
    </row>
    <row r="255" spans="1:10">
      <c r="A255" s="81"/>
      <c r="B255" s="70" t="str">
        <f>IF(ISBLANK(A255),"",INDEX('Error Log'!$A:$J,MATCH('Scores per segment'!$A255,'Error Log'!$A:$A,0),MATCH('Scores per segment'!B$1,'Error Log'!$A$1:$J$1,0)))</f>
        <v/>
      </c>
      <c r="C255" s="70" t="str">
        <f>IF(ISBLANK(A255),"",INDEX('Error Log'!$A:$J,MATCH('Scores per segment'!$A255,'Error Log'!$A:$A,0),MATCH('Scores per segment'!C$1,'Error Log'!$A$1:$J$1,0)))</f>
        <v/>
      </c>
      <c r="D255" s="70">
        <f>IF(H255=0,wdct(TRIM(C255)),0)</f>
        <v>0</v>
      </c>
      <c r="E255" s="70">
        <f>COUNTIFS('Error Log'!$A:$A,$A255,'Error Log'!$J:$J,E$1)</f>
        <v>0</v>
      </c>
      <c r="F255" s="70">
        <f>COUNTIFS('Error Log'!$A:$A,$A255,'Error Log'!$J:$J,F$1)</f>
        <v>0</v>
      </c>
      <c r="G255" s="70">
        <f>COUNTIFS('Error Log'!$A:$A,$A255,'Error Log'!$J:$J,G$1)</f>
        <v>0</v>
      </c>
      <c r="H255" s="70">
        <f>COUNTIFS('Error Log'!$A:$A,$A255,'Error Log'!$F:$F,"Source")</f>
        <v>0</v>
      </c>
      <c r="I255" s="70">
        <f>COUNTIFS('Error Log'!$A:$A,$A255,'Error Log'!$F:$F,"Target")</f>
        <v>0</v>
      </c>
      <c r="J255" s="71">
        <f t="shared" si="3"/>
        <v>0</v>
      </c>
    </row>
    <row r="256" spans="1:10">
      <c r="A256" s="81"/>
      <c r="B256" s="70" t="str">
        <f>IF(ISBLANK(A256),"",INDEX('Error Log'!$A:$J,MATCH('Scores per segment'!$A256,'Error Log'!$A:$A,0),MATCH('Scores per segment'!B$1,'Error Log'!$A$1:$J$1,0)))</f>
        <v/>
      </c>
      <c r="C256" s="70" t="str">
        <f>IF(ISBLANK(A256),"",INDEX('Error Log'!$A:$J,MATCH('Scores per segment'!$A256,'Error Log'!$A:$A,0),MATCH('Scores per segment'!C$1,'Error Log'!$A$1:$J$1,0)))</f>
        <v/>
      </c>
      <c r="D256" s="70">
        <f>IF(H256=0,wdct(TRIM(C256)),0)</f>
        <v>0</v>
      </c>
      <c r="E256" s="70">
        <f>COUNTIFS('Error Log'!$A:$A,$A256,'Error Log'!$J:$J,E$1)</f>
        <v>0</v>
      </c>
      <c r="F256" s="70">
        <f>COUNTIFS('Error Log'!$A:$A,$A256,'Error Log'!$J:$J,F$1)</f>
        <v>0</v>
      </c>
      <c r="G256" s="70">
        <f>COUNTIFS('Error Log'!$A:$A,$A256,'Error Log'!$J:$J,G$1)</f>
        <v>0</v>
      </c>
      <c r="H256" s="70">
        <f>COUNTIFS('Error Log'!$A:$A,$A256,'Error Log'!$F:$F,"Source")</f>
        <v>0</v>
      </c>
      <c r="I256" s="70">
        <f>COUNTIFS('Error Log'!$A:$A,$A256,'Error Log'!$F:$F,"Target")</f>
        <v>0</v>
      </c>
      <c r="J256" s="71">
        <f t="shared" si="3"/>
        <v>0</v>
      </c>
    </row>
    <row r="257" spans="1:10">
      <c r="A257" s="81"/>
      <c r="B257" s="70" t="str">
        <f>IF(ISBLANK(A257),"",INDEX('Error Log'!$A:$J,MATCH('Scores per segment'!$A257,'Error Log'!$A:$A,0),MATCH('Scores per segment'!B$1,'Error Log'!$A$1:$J$1,0)))</f>
        <v/>
      </c>
      <c r="C257" s="70" t="str">
        <f>IF(ISBLANK(A257),"",INDEX('Error Log'!$A:$J,MATCH('Scores per segment'!$A257,'Error Log'!$A:$A,0),MATCH('Scores per segment'!C$1,'Error Log'!$A$1:$J$1,0)))</f>
        <v/>
      </c>
      <c r="D257" s="70">
        <f>IF(H257=0,wdct(TRIM(C257)),0)</f>
        <v>0</v>
      </c>
      <c r="E257" s="70">
        <f>COUNTIFS('Error Log'!$A:$A,$A257,'Error Log'!$J:$J,E$1)</f>
        <v>0</v>
      </c>
      <c r="F257" s="70">
        <f>COUNTIFS('Error Log'!$A:$A,$A257,'Error Log'!$J:$J,F$1)</f>
        <v>0</v>
      </c>
      <c r="G257" s="70">
        <f>COUNTIFS('Error Log'!$A:$A,$A257,'Error Log'!$J:$J,G$1)</f>
        <v>0</v>
      </c>
      <c r="H257" s="70">
        <f>COUNTIFS('Error Log'!$A:$A,$A257,'Error Log'!$F:$F,"Source")</f>
        <v>0</v>
      </c>
      <c r="I257" s="70">
        <f>COUNTIFS('Error Log'!$A:$A,$A257,'Error Log'!$F:$F,"Target")</f>
        <v>0</v>
      </c>
      <c r="J257" s="71">
        <f t="shared" si="3"/>
        <v>0</v>
      </c>
    </row>
    <row r="258" spans="1:10">
      <c r="A258" s="81"/>
      <c r="B258" s="70" t="str">
        <f>IF(ISBLANK(A258),"",INDEX('Error Log'!$A:$J,MATCH('Scores per segment'!$A258,'Error Log'!$A:$A,0),MATCH('Scores per segment'!B$1,'Error Log'!$A$1:$J$1,0)))</f>
        <v/>
      </c>
      <c r="C258" s="70" t="str">
        <f>IF(ISBLANK(A258),"",INDEX('Error Log'!$A:$J,MATCH('Scores per segment'!$A258,'Error Log'!$A:$A,0),MATCH('Scores per segment'!C$1,'Error Log'!$A$1:$J$1,0)))</f>
        <v/>
      </c>
      <c r="D258" s="70">
        <f>IF(H258=0,wdct(TRIM(C258)),0)</f>
        <v>0</v>
      </c>
      <c r="E258" s="70">
        <f>COUNTIFS('Error Log'!$A:$A,$A258,'Error Log'!$J:$J,E$1)</f>
        <v>0</v>
      </c>
      <c r="F258" s="70">
        <f>COUNTIFS('Error Log'!$A:$A,$A258,'Error Log'!$J:$J,F$1)</f>
        <v>0</v>
      </c>
      <c r="G258" s="70">
        <f>COUNTIFS('Error Log'!$A:$A,$A258,'Error Log'!$J:$J,G$1)</f>
        <v>0</v>
      </c>
      <c r="H258" s="70">
        <f>COUNTIFS('Error Log'!$A:$A,$A258,'Error Log'!$F:$F,"Source")</f>
        <v>0</v>
      </c>
      <c r="I258" s="70">
        <f>COUNTIFS('Error Log'!$A:$A,$A258,'Error Log'!$F:$F,"Target")</f>
        <v>0</v>
      </c>
      <c r="J258" s="71">
        <f t="shared" ref="J258:J321" si="4">IF(I258=0,IFERROR((((1-((E258*10+F258*5+G258*1)/D258))*100)+100)/2,0),-150)</f>
        <v>0</v>
      </c>
    </row>
    <row r="259" spans="1:10">
      <c r="A259" s="81"/>
      <c r="B259" s="70" t="str">
        <f>IF(ISBLANK(A259),"",INDEX('Error Log'!$A:$J,MATCH('Scores per segment'!$A259,'Error Log'!$A:$A,0),MATCH('Scores per segment'!B$1,'Error Log'!$A$1:$J$1,0)))</f>
        <v/>
      </c>
      <c r="C259" s="70" t="str">
        <f>IF(ISBLANK(A259),"",INDEX('Error Log'!$A:$J,MATCH('Scores per segment'!$A259,'Error Log'!$A:$A,0),MATCH('Scores per segment'!C$1,'Error Log'!$A$1:$J$1,0)))</f>
        <v/>
      </c>
      <c r="D259" s="70">
        <f>IF(H259=0,wdct(TRIM(C259)),0)</f>
        <v>0</v>
      </c>
      <c r="E259" s="70">
        <f>COUNTIFS('Error Log'!$A:$A,$A259,'Error Log'!$J:$J,E$1)</f>
        <v>0</v>
      </c>
      <c r="F259" s="70">
        <f>COUNTIFS('Error Log'!$A:$A,$A259,'Error Log'!$J:$J,F$1)</f>
        <v>0</v>
      </c>
      <c r="G259" s="70">
        <f>COUNTIFS('Error Log'!$A:$A,$A259,'Error Log'!$J:$J,G$1)</f>
        <v>0</v>
      </c>
      <c r="H259" s="70">
        <f>COUNTIFS('Error Log'!$A:$A,$A259,'Error Log'!$F:$F,"Source")</f>
        <v>0</v>
      </c>
      <c r="I259" s="70">
        <f>COUNTIFS('Error Log'!$A:$A,$A259,'Error Log'!$F:$F,"Target")</f>
        <v>0</v>
      </c>
      <c r="J259" s="71">
        <f t="shared" si="4"/>
        <v>0</v>
      </c>
    </row>
    <row r="260" spans="1:10">
      <c r="A260" s="81"/>
      <c r="B260" s="70" t="str">
        <f>IF(ISBLANK(A260),"",INDEX('Error Log'!$A:$J,MATCH('Scores per segment'!$A260,'Error Log'!$A:$A,0),MATCH('Scores per segment'!B$1,'Error Log'!$A$1:$J$1,0)))</f>
        <v/>
      </c>
      <c r="C260" s="70" t="str">
        <f>IF(ISBLANK(A260),"",INDEX('Error Log'!$A:$J,MATCH('Scores per segment'!$A260,'Error Log'!$A:$A,0),MATCH('Scores per segment'!C$1,'Error Log'!$A$1:$J$1,0)))</f>
        <v/>
      </c>
      <c r="D260" s="70">
        <f>IF(H260=0,wdct(TRIM(C260)),0)</f>
        <v>0</v>
      </c>
      <c r="E260" s="70">
        <f>COUNTIFS('Error Log'!$A:$A,$A260,'Error Log'!$J:$J,E$1)</f>
        <v>0</v>
      </c>
      <c r="F260" s="70">
        <f>COUNTIFS('Error Log'!$A:$A,$A260,'Error Log'!$J:$J,F$1)</f>
        <v>0</v>
      </c>
      <c r="G260" s="70">
        <f>COUNTIFS('Error Log'!$A:$A,$A260,'Error Log'!$J:$J,G$1)</f>
        <v>0</v>
      </c>
      <c r="H260" s="70">
        <f>COUNTIFS('Error Log'!$A:$A,$A260,'Error Log'!$F:$F,"Source")</f>
        <v>0</v>
      </c>
      <c r="I260" s="70">
        <f>COUNTIFS('Error Log'!$A:$A,$A260,'Error Log'!$F:$F,"Target")</f>
        <v>0</v>
      </c>
      <c r="J260" s="71">
        <f t="shared" si="4"/>
        <v>0</v>
      </c>
    </row>
    <row r="261" spans="1:10">
      <c r="A261" s="81"/>
      <c r="B261" s="70" t="str">
        <f>IF(ISBLANK(A261),"",INDEX('Error Log'!$A:$J,MATCH('Scores per segment'!$A261,'Error Log'!$A:$A,0),MATCH('Scores per segment'!B$1,'Error Log'!$A$1:$J$1,0)))</f>
        <v/>
      </c>
      <c r="C261" s="70" t="str">
        <f>IF(ISBLANK(A261),"",INDEX('Error Log'!$A:$J,MATCH('Scores per segment'!$A261,'Error Log'!$A:$A,0),MATCH('Scores per segment'!C$1,'Error Log'!$A$1:$J$1,0)))</f>
        <v/>
      </c>
      <c r="D261" s="70">
        <f>IF(H261=0,wdct(TRIM(C261)),0)</f>
        <v>0</v>
      </c>
      <c r="E261" s="70">
        <f>COUNTIFS('Error Log'!$A:$A,$A261,'Error Log'!$J:$J,E$1)</f>
        <v>0</v>
      </c>
      <c r="F261" s="70">
        <f>COUNTIFS('Error Log'!$A:$A,$A261,'Error Log'!$J:$J,F$1)</f>
        <v>0</v>
      </c>
      <c r="G261" s="70">
        <f>COUNTIFS('Error Log'!$A:$A,$A261,'Error Log'!$J:$J,G$1)</f>
        <v>0</v>
      </c>
      <c r="H261" s="70">
        <f>COUNTIFS('Error Log'!$A:$A,$A261,'Error Log'!$F:$F,"Source")</f>
        <v>0</v>
      </c>
      <c r="I261" s="70">
        <f>COUNTIFS('Error Log'!$A:$A,$A261,'Error Log'!$F:$F,"Target")</f>
        <v>0</v>
      </c>
      <c r="J261" s="71">
        <f t="shared" si="4"/>
        <v>0</v>
      </c>
    </row>
    <row r="262" spans="1:10">
      <c r="A262" s="81"/>
      <c r="B262" s="70" t="str">
        <f>IF(ISBLANK(A262),"",INDEX('Error Log'!$A:$J,MATCH('Scores per segment'!$A262,'Error Log'!$A:$A,0),MATCH('Scores per segment'!B$1,'Error Log'!$A$1:$J$1,0)))</f>
        <v/>
      </c>
      <c r="C262" s="70" t="str">
        <f>IF(ISBLANK(A262),"",INDEX('Error Log'!$A:$J,MATCH('Scores per segment'!$A262,'Error Log'!$A:$A,0),MATCH('Scores per segment'!C$1,'Error Log'!$A$1:$J$1,0)))</f>
        <v/>
      </c>
      <c r="D262" s="70">
        <f>IF(H262=0,wdct(TRIM(C262)),0)</f>
        <v>0</v>
      </c>
      <c r="E262" s="70">
        <f>COUNTIFS('Error Log'!$A:$A,$A262,'Error Log'!$J:$J,E$1)</f>
        <v>0</v>
      </c>
      <c r="F262" s="70">
        <f>COUNTIFS('Error Log'!$A:$A,$A262,'Error Log'!$J:$J,F$1)</f>
        <v>0</v>
      </c>
      <c r="G262" s="70">
        <f>COUNTIFS('Error Log'!$A:$A,$A262,'Error Log'!$J:$J,G$1)</f>
        <v>0</v>
      </c>
      <c r="H262" s="70">
        <f>COUNTIFS('Error Log'!$A:$A,$A262,'Error Log'!$F:$F,"Source")</f>
        <v>0</v>
      </c>
      <c r="I262" s="70">
        <f>COUNTIFS('Error Log'!$A:$A,$A262,'Error Log'!$F:$F,"Target")</f>
        <v>0</v>
      </c>
      <c r="J262" s="71">
        <f t="shared" si="4"/>
        <v>0</v>
      </c>
    </row>
    <row r="263" spans="1:10">
      <c r="A263" s="81"/>
      <c r="B263" s="70" t="str">
        <f>IF(ISBLANK(A263),"",INDEX('Error Log'!$A:$J,MATCH('Scores per segment'!$A263,'Error Log'!$A:$A,0),MATCH('Scores per segment'!B$1,'Error Log'!$A$1:$J$1,0)))</f>
        <v/>
      </c>
      <c r="C263" s="70" t="str">
        <f>IF(ISBLANK(A263),"",INDEX('Error Log'!$A:$J,MATCH('Scores per segment'!$A263,'Error Log'!$A:$A,0),MATCH('Scores per segment'!C$1,'Error Log'!$A$1:$J$1,0)))</f>
        <v/>
      </c>
      <c r="D263" s="70">
        <f>IF(H263=0,wdct(TRIM(C263)),0)</f>
        <v>0</v>
      </c>
      <c r="E263" s="70">
        <f>COUNTIFS('Error Log'!$A:$A,$A263,'Error Log'!$J:$J,E$1)</f>
        <v>0</v>
      </c>
      <c r="F263" s="70">
        <f>COUNTIFS('Error Log'!$A:$A,$A263,'Error Log'!$J:$J,F$1)</f>
        <v>0</v>
      </c>
      <c r="G263" s="70">
        <f>COUNTIFS('Error Log'!$A:$A,$A263,'Error Log'!$J:$J,G$1)</f>
        <v>0</v>
      </c>
      <c r="H263" s="70">
        <f>COUNTIFS('Error Log'!$A:$A,$A263,'Error Log'!$F:$F,"Source")</f>
        <v>0</v>
      </c>
      <c r="I263" s="70">
        <f>COUNTIFS('Error Log'!$A:$A,$A263,'Error Log'!$F:$F,"Target")</f>
        <v>0</v>
      </c>
      <c r="J263" s="71">
        <f t="shared" si="4"/>
        <v>0</v>
      </c>
    </row>
    <row r="264" spans="1:10">
      <c r="A264" s="81"/>
      <c r="B264" s="70" t="str">
        <f>IF(ISBLANK(A264),"",INDEX('Error Log'!$A:$J,MATCH('Scores per segment'!$A264,'Error Log'!$A:$A,0),MATCH('Scores per segment'!B$1,'Error Log'!$A$1:$J$1,0)))</f>
        <v/>
      </c>
      <c r="C264" s="70" t="str">
        <f>IF(ISBLANK(A264),"",INDEX('Error Log'!$A:$J,MATCH('Scores per segment'!$A264,'Error Log'!$A:$A,0),MATCH('Scores per segment'!C$1,'Error Log'!$A$1:$J$1,0)))</f>
        <v/>
      </c>
      <c r="D264" s="70">
        <f>IF(H264=0,wdct(TRIM(C264)),0)</f>
        <v>0</v>
      </c>
      <c r="E264" s="70">
        <f>COUNTIFS('Error Log'!$A:$A,$A264,'Error Log'!$J:$J,E$1)</f>
        <v>0</v>
      </c>
      <c r="F264" s="70">
        <f>COUNTIFS('Error Log'!$A:$A,$A264,'Error Log'!$J:$J,F$1)</f>
        <v>0</v>
      </c>
      <c r="G264" s="70">
        <f>COUNTIFS('Error Log'!$A:$A,$A264,'Error Log'!$J:$J,G$1)</f>
        <v>0</v>
      </c>
      <c r="H264" s="70">
        <f>COUNTIFS('Error Log'!$A:$A,$A264,'Error Log'!$F:$F,"Source")</f>
        <v>0</v>
      </c>
      <c r="I264" s="70">
        <f>COUNTIFS('Error Log'!$A:$A,$A264,'Error Log'!$F:$F,"Target")</f>
        <v>0</v>
      </c>
      <c r="J264" s="71">
        <f t="shared" si="4"/>
        <v>0</v>
      </c>
    </row>
    <row r="265" spans="1:10">
      <c r="A265" s="81"/>
      <c r="B265" s="70" t="str">
        <f>IF(ISBLANK(A265),"",INDEX('Error Log'!$A:$J,MATCH('Scores per segment'!$A265,'Error Log'!$A:$A,0),MATCH('Scores per segment'!B$1,'Error Log'!$A$1:$J$1,0)))</f>
        <v/>
      </c>
      <c r="C265" s="70" t="str">
        <f>IF(ISBLANK(A265),"",INDEX('Error Log'!$A:$J,MATCH('Scores per segment'!$A265,'Error Log'!$A:$A,0),MATCH('Scores per segment'!C$1,'Error Log'!$A$1:$J$1,0)))</f>
        <v/>
      </c>
      <c r="D265" s="70">
        <f>IF(H265=0,wdct(TRIM(C265)),0)</f>
        <v>0</v>
      </c>
      <c r="E265" s="70">
        <f>COUNTIFS('Error Log'!$A:$A,$A265,'Error Log'!$J:$J,E$1)</f>
        <v>0</v>
      </c>
      <c r="F265" s="70">
        <f>COUNTIFS('Error Log'!$A:$A,$A265,'Error Log'!$J:$J,F$1)</f>
        <v>0</v>
      </c>
      <c r="G265" s="70">
        <f>COUNTIFS('Error Log'!$A:$A,$A265,'Error Log'!$J:$J,G$1)</f>
        <v>0</v>
      </c>
      <c r="H265" s="70">
        <f>COUNTIFS('Error Log'!$A:$A,$A265,'Error Log'!$F:$F,"Source")</f>
        <v>0</v>
      </c>
      <c r="I265" s="70">
        <f>COUNTIFS('Error Log'!$A:$A,$A265,'Error Log'!$F:$F,"Target")</f>
        <v>0</v>
      </c>
      <c r="J265" s="71">
        <f t="shared" si="4"/>
        <v>0</v>
      </c>
    </row>
    <row r="266" spans="1:10">
      <c r="A266" s="81"/>
      <c r="B266" s="70" t="str">
        <f>IF(ISBLANK(A266),"",INDEX('Error Log'!$A:$J,MATCH('Scores per segment'!$A266,'Error Log'!$A:$A,0),MATCH('Scores per segment'!B$1,'Error Log'!$A$1:$J$1,0)))</f>
        <v/>
      </c>
      <c r="C266" s="70" t="str">
        <f>IF(ISBLANK(A266),"",INDEX('Error Log'!$A:$J,MATCH('Scores per segment'!$A266,'Error Log'!$A:$A,0),MATCH('Scores per segment'!C$1,'Error Log'!$A$1:$J$1,0)))</f>
        <v/>
      </c>
      <c r="D266" s="70">
        <f>IF(H266=0,wdct(TRIM(C266)),0)</f>
        <v>0</v>
      </c>
      <c r="E266" s="70">
        <f>COUNTIFS('Error Log'!$A:$A,$A266,'Error Log'!$J:$J,E$1)</f>
        <v>0</v>
      </c>
      <c r="F266" s="70">
        <f>COUNTIFS('Error Log'!$A:$A,$A266,'Error Log'!$J:$J,F$1)</f>
        <v>0</v>
      </c>
      <c r="G266" s="70">
        <f>COUNTIFS('Error Log'!$A:$A,$A266,'Error Log'!$J:$J,G$1)</f>
        <v>0</v>
      </c>
      <c r="H266" s="70">
        <f>COUNTIFS('Error Log'!$A:$A,$A266,'Error Log'!$F:$F,"Source")</f>
        <v>0</v>
      </c>
      <c r="I266" s="70">
        <f>COUNTIFS('Error Log'!$A:$A,$A266,'Error Log'!$F:$F,"Target")</f>
        <v>0</v>
      </c>
      <c r="J266" s="71">
        <f t="shared" si="4"/>
        <v>0</v>
      </c>
    </row>
    <row r="267" spans="1:10">
      <c r="A267" s="81"/>
      <c r="B267" s="70" t="str">
        <f>IF(ISBLANK(A267),"",INDEX('Error Log'!$A:$J,MATCH('Scores per segment'!$A267,'Error Log'!$A:$A,0),MATCH('Scores per segment'!B$1,'Error Log'!$A$1:$J$1,0)))</f>
        <v/>
      </c>
      <c r="C267" s="70" t="str">
        <f>IF(ISBLANK(A267),"",INDEX('Error Log'!$A:$J,MATCH('Scores per segment'!$A267,'Error Log'!$A:$A,0),MATCH('Scores per segment'!C$1,'Error Log'!$A$1:$J$1,0)))</f>
        <v/>
      </c>
      <c r="D267" s="70">
        <f>IF(H267=0,wdct(TRIM(C267)),0)</f>
        <v>0</v>
      </c>
      <c r="E267" s="70">
        <f>COUNTIFS('Error Log'!$A:$A,$A267,'Error Log'!$J:$J,E$1)</f>
        <v>0</v>
      </c>
      <c r="F267" s="70">
        <f>COUNTIFS('Error Log'!$A:$A,$A267,'Error Log'!$J:$J,F$1)</f>
        <v>0</v>
      </c>
      <c r="G267" s="70">
        <f>COUNTIFS('Error Log'!$A:$A,$A267,'Error Log'!$J:$J,G$1)</f>
        <v>0</v>
      </c>
      <c r="H267" s="70">
        <f>COUNTIFS('Error Log'!$A:$A,$A267,'Error Log'!$F:$F,"Source")</f>
        <v>0</v>
      </c>
      <c r="I267" s="70">
        <f>COUNTIFS('Error Log'!$A:$A,$A267,'Error Log'!$F:$F,"Target")</f>
        <v>0</v>
      </c>
      <c r="J267" s="71">
        <f t="shared" si="4"/>
        <v>0</v>
      </c>
    </row>
    <row r="268" spans="1:10">
      <c r="A268" s="81"/>
      <c r="B268" s="70" t="str">
        <f>IF(ISBLANK(A268),"",INDEX('Error Log'!$A:$J,MATCH('Scores per segment'!$A268,'Error Log'!$A:$A,0),MATCH('Scores per segment'!B$1,'Error Log'!$A$1:$J$1,0)))</f>
        <v/>
      </c>
      <c r="C268" s="70" t="str">
        <f>IF(ISBLANK(A268),"",INDEX('Error Log'!$A:$J,MATCH('Scores per segment'!$A268,'Error Log'!$A:$A,0),MATCH('Scores per segment'!C$1,'Error Log'!$A$1:$J$1,0)))</f>
        <v/>
      </c>
      <c r="D268" s="70">
        <f>IF(H268=0,wdct(TRIM(C268)),0)</f>
        <v>0</v>
      </c>
      <c r="E268" s="70">
        <f>COUNTIFS('Error Log'!$A:$A,$A268,'Error Log'!$J:$J,E$1)</f>
        <v>0</v>
      </c>
      <c r="F268" s="70">
        <f>COUNTIFS('Error Log'!$A:$A,$A268,'Error Log'!$J:$J,F$1)</f>
        <v>0</v>
      </c>
      <c r="G268" s="70">
        <f>COUNTIFS('Error Log'!$A:$A,$A268,'Error Log'!$J:$J,G$1)</f>
        <v>0</v>
      </c>
      <c r="H268" s="70">
        <f>COUNTIFS('Error Log'!$A:$A,$A268,'Error Log'!$F:$F,"Source")</f>
        <v>0</v>
      </c>
      <c r="I268" s="70">
        <f>COUNTIFS('Error Log'!$A:$A,$A268,'Error Log'!$F:$F,"Target")</f>
        <v>0</v>
      </c>
      <c r="J268" s="71">
        <f t="shared" si="4"/>
        <v>0</v>
      </c>
    </row>
    <row r="269" spans="1:10">
      <c r="A269" s="81"/>
      <c r="B269" s="70" t="str">
        <f>IF(ISBLANK(A269),"",INDEX('Error Log'!$A:$J,MATCH('Scores per segment'!$A269,'Error Log'!$A:$A,0),MATCH('Scores per segment'!B$1,'Error Log'!$A$1:$J$1,0)))</f>
        <v/>
      </c>
      <c r="C269" s="70" t="str">
        <f>IF(ISBLANK(A269),"",INDEX('Error Log'!$A:$J,MATCH('Scores per segment'!$A269,'Error Log'!$A:$A,0),MATCH('Scores per segment'!C$1,'Error Log'!$A$1:$J$1,0)))</f>
        <v/>
      </c>
      <c r="D269" s="70">
        <f>IF(H269=0,wdct(TRIM(C269)),0)</f>
        <v>0</v>
      </c>
      <c r="E269" s="70">
        <f>COUNTIFS('Error Log'!$A:$A,$A269,'Error Log'!$J:$J,E$1)</f>
        <v>0</v>
      </c>
      <c r="F269" s="70">
        <f>COUNTIFS('Error Log'!$A:$A,$A269,'Error Log'!$J:$J,F$1)</f>
        <v>0</v>
      </c>
      <c r="G269" s="70">
        <f>COUNTIFS('Error Log'!$A:$A,$A269,'Error Log'!$J:$J,G$1)</f>
        <v>0</v>
      </c>
      <c r="H269" s="70">
        <f>COUNTIFS('Error Log'!$A:$A,$A269,'Error Log'!$F:$F,"Source")</f>
        <v>0</v>
      </c>
      <c r="I269" s="70">
        <f>COUNTIFS('Error Log'!$A:$A,$A269,'Error Log'!$F:$F,"Target")</f>
        <v>0</v>
      </c>
      <c r="J269" s="71">
        <f t="shared" si="4"/>
        <v>0</v>
      </c>
    </row>
    <row r="270" spans="1:10">
      <c r="A270" s="81"/>
      <c r="B270" s="70" t="str">
        <f>IF(ISBLANK(A270),"",INDEX('Error Log'!$A:$J,MATCH('Scores per segment'!$A270,'Error Log'!$A:$A,0),MATCH('Scores per segment'!B$1,'Error Log'!$A$1:$J$1,0)))</f>
        <v/>
      </c>
      <c r="C270" s="70" t="str">
        <f>IF(ISBLANK(A270),"",INDEX('Error Log'!$A:$J,MATCH('Scores per segment'!$A270,'Error Log'!$A:$A,0),MATCH('Scores per segment'!C$1,'Error Log'!$A$1:$J$1,0)))</f>
        <v/>
      </c>
      <c r="D270" s="70">
        <f>IF(H270=0,wdct(TRIM(C270)),0)</f>
        <v>0</v>
      </c>
      <c r="E270" s="70">
        <f>COUNTIFS('Error Log'!$A:$A,$A270,'Error Log'!$J:$J,E$1)</f>
        <v>0</v>
      </c>
      <c r="F270" s="70">
        <f>COUNTIFS('Error Log'!$A:$A,$A270,'Error Log'!$J:$J,F$1)</f>
        <v>0</v>
      </c>
      <c r="G270" s="70">
        <f>COUNTIFS('Error Log'!$A:$A,$A270,'Error Log'!$J:$J,G$1)</f>
        <v>0</v>
      </c>
      <c r="H270" s="70">
        <f>COUNTIFS('Error Log'!$A:$A,$A270,'Error Log'!$F:$F,"Source")</f>
        <v>0</v>
      </c>
      <c r="I270" s="70">
        <f>COUNTIFS('Error Log'!$A:$A,$A270,'Error Log'!$F:$F,"Target")</f>
        <v>0</v>
      </c>
      <c r="J270" s="71">
        <f t="shared" si="4"/>
        <v>0</v>
      </c>
    </row>
    <row r="271" spans="1:10">
      <c r="A271" s="81"/>
      <c r="B271" s="70" t="str">
        <f>IF(ISBLANK(A271),"",INDEX('Error Log'!$A:$J,MATCH('Scores per segment'!$A271,'Error Log'!$A:$A,0),MATCH('Scores per segment'!B$1,'Error Log'!$A$1:$J$1,0)))</f>
        <v/>
      </c>
      <c r="C271" s="70" t="str">
        <f>IF(ISBLANK(A271),"",INDEX('Error Log'!$A:$J,MATCH('Scores per segment'!$A271,'Error Log'!$A:$A,0),MATCH('Scores per segment'!C$1,'Error Log'!$A$1:$J$1,0)))</f>
        <v/>
      </c>
      <c r="D271" s="70">
        <f>IF(H271=0,wdct(TRIM(C271)),0)</f>
        <v>0</v>
      </c>
      <c r="E271" s="70">
        <f>COUNTIFS('Error Log'!$A:$A,$A271,'Error Log'!$J:$J,E$1)</f>
        <v>0</v>
      </c>
      <c r="F271" s="70">
        <f>COUNTIFS('Error Log'!$A:$A,$A271,'Error Log'!$J:$J,F$1)</f>
        <v>0</v>
      </c>
      <c r="G271" s="70">
        <f>COUNTIFS('Error Log'!$A:$A,$A271,'Error Log'!$J:$J,G$1)</f>
        <v>0</v>
      </c>
      <c r="H271" s="70">
        <f>COUNTIFS('Error Log'!$A:$A,$A271,'Error Log'!$F:$F,"Source")</f>
        <v>0</v>
      </c>
      <c r="I271" s="70">
        <f>COUNTIFS('Error Log'!$A:$A,$A271,'Error Log'!$F:$F,"Target")</f>
        <v>0</v>
      </c>
      <c r="J271" s="71">
        <f t="shared" si="4"/>
        <v>0</v>
      </c>
    </row>
    <row r="272" spans="1:10">
      <c r="A272" s="81"/>
      <c r="B272" s="70" t="str">
        <f>IF(ISBLANK(A272),"",INDEX('Error Log'!$A:$J,MATCH('Scores per segment'!$A272,'Error Log'!$A:$A,0),MATCH('Scores per segment'!B$1,'Error Log'!$A$1:$J$1,0)))</f>
        <v/>
      </c>
      <c r="C272" s="70" t="str">
        <f>IF(ISBLANK(A272),"",INDEX('Error Log'!$A:$J,MATCH('Scores per segment'!$A272,'Error Log'!$A:$A,0),MATCH('Scores per segment'!C$1,'Error Log'!$A$1:$J$1,0)))</f>
        <v/>
      </c>
      <c r="D272" s="70">
        <f>IF(H272=0,wdct(TRIM(C272)),0)</f>
        <v>0</v>
      </c>
      <c r="E272" s="70">
        <f>COUNTIFS('Error Log'!$A:$A,$A272,'Error Log'!$J:$J,E$1)</f>
        <v>0</v>
      </c>
      <c r="F272" s="70">
        <f>COUNTIFS('Error Log'!$A:$A,$A272,'Error Log'!$J:$J,F$1)</f>
        <v>0</v>
      </c>
      <c r="G272" s="70">
        <f>COUNTIFS('Error Log'!$A:$A,$A272,'Error Log'!$J:$J,G$1)</f>
        <v>0</v>
      </c>
      <c r="H272" s="70">
        <f>COUNTIFS('Error Log'!$A:$A,$A272,'Error Log'!$F:$F,"Source")</f>
        <v>0</v>
      </c>
      <c r="I272" s="70">
        <f>COUNTIFS('Error Log'!$A:$A,$A272,'Error Log'!$F:$F,"Target")</f>
        <v>0</v>
      </c>
      <c r="J272" s="71">
        <f t="shared" si="4"/>
        <v>0</v>
      </c>
    </row>
    <row r="273" spans="1:10">
      <c r="A273" s="81"/>
      <c r="B273" s="70" t="str">
        <f>IF(ISBLANK(A273),"",INDEX('Error Log'!$A:$J,MATCH('Scores per segment'!$A273,'Error Log'!$A:$A,0),MATCH('Scores per segment'!B$1,'Error Log'!$A$1:$J$1,0)))</f>
        <v/>
      </c>
      <c r="C273" s="70" t="str">
        <f>IF(ISBLANK(A273),"",INDEX('Error Log'!$A:$J,MATCH('Scores per segment'!$A273,'Error Log'!$A:$A,0),MATCH('Scores per segment'!C$1,'Error Log'!$A$1:$J$1,0)))</f>
        <v/>
      </c>
      <c r="D273" s="70">
        <f>IF(H273=0,wdct(TRIM(C273)),0)</f>
        <v>0</v>
      </c>
      <c r="E273" s="70">
        <f>COUNTIFS('Error Log'!$A:$A,$A273,'Error Log'!$J:$J,E$1)</f>
        <v>0</v>
      </c>
      <c r="F273" s="70">
        <f>COUNTIFS('Error Log'!$A:$A,$A273,'Error Log'!$J:$J,F$1)</f>
        <v>0</v>
      </c>
      <c r="G273" s="70">
        <f>COUNTIFS('Error Log'!$A:$A,$A273,'Error Log'!$J:$J,G$1)</f>
        <v>0</v>
      </c>
      <c r="H273" s="70">
        <f>COUNTIFS('Error Log'!$A:$A,$A273,'Error Log'!$F:$F,"Source")</f>
        <v>0</v>
      </c>
      <c r="I273" s="70">
        <f>COUNTIFS('Error Log'!$A:$A,$A273,'Error Log'!$F:$F,"Target")</f>
        <v>0</v>
      </c>
      <c r="J273" s="71">
        <f t="shared" si="4"/>
        <v>0</v>
      </c>
    </row>
    <row r="274" spans="1:10">
      <c r="A274" s="81"/>
      <c r="B274" s="70" t="str">
        <f>IF(ISBLANK(A274),"",INDEX('Error Log'!$A:$J,MATCH('Scores per segment'!$A274,'Error Log'!$A:$A,0),MATCH('Scores per segment'!B$1,'Error Log'!$A$1:$J$1,0)))</f>
        <v/>
      </c>
      <c r="C274" s="70" t="str">
        <f>IF(ISBLANK(A274),"",INDEX('Error Log'!$A:$J,MATCH('Scores per segment'!$A274,'Error Log'!$A:$A,0),MATCH('Scores per segment'!C$1,'Error Log'!$A$1:$J$1,0)))</f>
        <v/>
      </c>
      <c r="D274" s="70">
        <f>IF(H274=0,wdct(TRIM(C274)),0)</f>
        <v>0</v>
      </c>
      <c r="E274" s="70">
        <f>COUNTIFS('Error Log'!$A:$A,$A274,'Error Log'!$J:$J,E$1)</f>
        <v>0</v>
      </c>
      <c r="F274" s="70">
        <f>COUNTIFS('Error Log'!$A:$A,$A274,'Error Log'!$J:$J,F$1)</f>
        <v>0</v>
      </c>
      <c r="G274" s="70">
        <f>COUNTIFS('Error Log'!$A:$A,$A274,'Error Log'!$J:$J,G$1)</f>
        <v>0</v>
      </c>
      <c r="H274" s="70">
        <f>COUNTIFS('Error Log'!$A:$A,$A274,'Error Log'!$F:$F,"Source")</f>
        <v>0</v>
      </c>
      <c r="I274" s="70">
        <f>COUNTIFS('Error Log'!$A:$A,$A274,'Error Log'!$F:$F,"Target")</f>
        <v>0</v>
      </c>
      <c r="J274" s="71">
        <f t="shared" si="4"/>
        <v>0</v>
      </c>
    </row>
    <row r="275" spans="1:10">
      <c r="A275" s="81"/>
      <c r="B275" s="70" t="str">
        <f>IF(ISBLANK(A275),"",INDEX('Error Log'!$A:$J,MATCH('Scores per segment'!$A275,'Error Log'!$A:$A,0),MATCH('Scores per segment'!B$1,'Error Log'!$A$1:$J$1,0)))</f>
        <v/>
      </c>
      <c r="C275" s="70" t="str">
        <f>IF(ISBLANK(A275),"",INDEX('Error Log'!$A:$J,MATCH('Scores per segment'!$A275,'Error Log'!$A:$A,0),MATCH('Scores per segment'!C$1,'Error Log'!$A$1:$J$1,0)))</f>
        <v/>
      </c>
      <c r="D275" s="70">
        <f>IF(H275=0,wdct(TRIM(C275)),0)</f>
        <v>0</v>
      </c>
      <c r="E275" s="70">
        <f>COUNTIFS('Error Log'!$A:$A,$A275,'Error Log'!$J:$J,E$1)</f>
        <v>0</v>
      </c>
      <c r="F275" s="70">
        <f>COUNTIFS('Error Log'!$A:$A,$A275,'Error Log'!$J:$J,F$1)</f>
        <v>0</v>
      </c>
      <c r="G275" s="70">
        <f>COUNTIFS('Error Log'!$A:$A,$A275,'Error Log'!$J:$J,G$1)</f>
        <v>0</v>
      </c>
      <c r="H275" s="70">
        <f>COUNTIFS('Error Log'!$A:$A,$A275,'Error Log'!$F:$F,"Source")</f>
        <v>0</v>
      </c>
      <c r="I275" s="70">
        <f>COUNTIFS('Error Log'!$A:$A,$A275,'Error Log'!$F:$F,"Target")</f>
        <v>0</v>
      </c>
      <c r="J275" s="71">
        <f t="shared" si="4"/>
        <v>0</v>
      </c>
    </row>
    <row r="276" spans="1:10">
      <c r="A276" s="81"/>
      <c r="B276" s="70" t="str">
        <f>IF(ISBLANK(A276),"",INDEX('Error Log'!$A:$J,MATCH('Scores per segment'!$A276,'Error Log'!$A:$A,0),MATCH('Scores per segment'!B$1,'Error Log'!$A$1:$J$1,0)))</f>
        <v/>
      </c>
      <c r="C276" s="70" t="str">
        <f>IF(ISBLANK(A276),"",INDEX('Error Log'!$A:$J,MATCH('Scores per segment'!$A276,'Error Log'!$A:$A,0),MATCH('Scores per segment'!C$1,'Error Log'!$A$1:$J$1,0)))</f>
        <v/>
      </c>
      <c r="D276" s="70">
        <f>IF(H276=0,wdct(TRIM(C276)),0)</f>
        <v>0</v>
      </c>
      <c r="E276" s="70">
        <f>COUNTIFS('Error Log'!$A:$A,$A276,'Error Log'!$J:$J,E$1)</f>
        <v>0</v>
      </c>
      <c r="F276" s="70">
        <f>COUNTIFS('Error Log'!$A:$A,$A276,'Error Log'!$J:$J,F$1)</f>
        <v>0</v>
      </c>
      <c r="G276" s="70">
        <f>COUNTIFS('Error Log'!$A:$A,$A276,'Error Log'!$J:$J,G$1)</f>
        <v>0</v>
      </c>
      <c r="H276" s="70">
        <f>COUNTIFS('Error Log'!$A:$A,$A276,'Error Log'!$F:$F,"Source")</f>
        <v>0</v>
      </c>
      <c r="I276" s="70">
        <f>COUNTIFS('Error Log'!$A:$A,$A276,'Error Log'!$F:$F,"Target")</f>
        <v>0</v>
      </c>
      <c r="J276" s="71">
        <f t="shared" si="4"/>
        <v>0</v>
      </c>
    </row>
    <row r="277" spans="1:10">
      <c r="A277" s="81"/>
      <c r="B277" s="70" t="str">
        <f>IF(ISBLANK(A277),"",INDEX('Error Log'!$A:$J,MATCH('Scores per segment'!$A277,'Error Log'!$A:$A,0),MATCH('Scores per segment'!B$1,'Error Log'!$A$1:$J$1,0)))</f>
        <v/>
      </c>
      <c r="C277" s="70" t="str">
        <f>IF(ISBLANK(A277),"",INDEX('Error Log'!$A:$J,MATCH('Scores per segment'!$A277,'Error Log'!$A:$A,0),MATCH('Scores per segment'!C$1,'Error Log'!$A$1:$J$1,0)))</f>
        <v/>
      </c>
      <c r="D277" s="70">
        <f>IF(H277=0,wdct(TRIM(C277)),0)</f>
        <v>0</v>
      </c>
      <c r="E277" s="70">
        <f>COUNTIFS('Error Log'!$A:$A,$A277,'Error Log'!$J:$J,E$1)</f>
        <v>0</v>
      </c>
      <c r="F277" s="70">
        <f>COUNTIFS('Error Log'!$A:$A,$A277,'Error Log'!$J:$J,F$1)</f>
        <v>0</v>
      </c>
      <c r="G277" s="70">
        <f>COUNTIFS('Error Log'!$A:$A,$A277,'Error Log'!$J:$J,G$1)</f>
        <v>0</v>
      </c>
      <c r="H277" s="70">
        <f>COUNTIFS('Error Log'!$A:$A,$A277,'Error Log'!$F:$F,"Source")</f>
        <v>0</v>
      </c>
      <c r="I277" s="70">
        <f>COUNTIFS('Error Log'!$A:$A,$A277,'Error Log'!$F:$F,"Target")</f>
        <v>0</v>
      </c>
      <c r="J277" s="71">
        <f t="shared" si="4"/>
        <v>0</v>
      </c>
    </row>
    <row r="278" spans="1:10">
      <c r="A278" s="81"/>
      <c r="B278" s="70" t="str">
        <f>IF(ISBLANK(A278),"",INDEX('Error Log'!$A:$J,MATCH('Scores per segment'!$A278,'Error Log'!$A:$A,0),MATCH('Scores per segment'!B$1,'Error Log'!$A$1:$J$1,0)))</f>
        <v/>
      </c>
      <c r="C278" s="70" t="str">
        <f>IF(ISBLANK(A278),"",INDEX('Error Log'!$A:$J,MATCH('Scores per segment'!$A278,'Error Log'!$A:$A,0),MATCH('Scores per segment'!C$1,'Error Log'!$A$1:$J$1,0)))</f>
        <v/>
      </c>
      <c r="D278" s="70">
        <f>IF(H278=0,wdct(TRIM(C278)),0)</f>
        <v>0</v>
      </c>
      <c r="E278" s="70">
        <f>COUNTIFS('Error Log'!$A:$A,$A278,'Error Log'!$J:$J,E$1)</f>
        <v>0</v>
      </c>
      <c r="F278" s="70">
        <f>COUNTIFS('Error Log'!$A:$A,$A278,'Error Log'!$J:$J,F$1)</f>
        <v>0</v>
      </c>
      <c r="G278" s="70">
        <f>COUNTIFS('Error Log'!$A:$A,$A278,'Error Log'!$J:$J,G$1)</f>
        <v>0</v>
      </c>
      <c r="H278" s="70">
        <f>COUNTIFS('Error Log'!$A:$A,$A278,'Error Log'!$F:$F,"Source")</f>
        <v>0</v>
      </c>
      <c r="I278" s="70">
        <f>COUNTIFS('Error Log'!$A:$A,$A278,'Error Log'!$F:$F,"Target")</f>
        <v>0</v>
      </c>
      <c r="J278" s="71">
        <f t="shared" si="4"/>
        <v>0</v>
      </c>
    </row>
    <row r="279" spans="1:10">
      <c r="A279" s="81"/>
      <c r="B279" s="70" t="str">
        <f>IF(ISBLANK(A279),"",INDEX('Error Log'!$A:$J,MATCH('Scores per segment'!$A279,'Error Log'!$A:$A,0),MATCH('Scores per segment'!B$1,'Error Log'!$A$1:$J$1,0)))</f>
        <v/>
      </c>
      <c r="C279" s="70" t="str">
        <f>IF(ISBLANK(A279),"",INDEX('Error Log'!$A:$J,MATCH('Scores per segment'!$A279,'Error Log'!$A:$A,0),MATCH('Scores per segment'!C$1,'Error Log'!$A$1:$J$1,0)))</f>
        <v/>
      </c>
      <c r="D279" s="70">
        <f>IF(H279=0,wdct(TRIM(C279)),0)</f>
        <v>0</v>
      </c>
      <c r="E279" s="70">
        <f>COUNTIFS('Error Log'!$A:$A,$A279,'Error Log'!$J:$J,E$1)</f>
        <v>0</v>
      </c>
      <c r="F279" s="70">
        <f>COUNTIFS('Error Log'!$A:$A,$A279,'Error Log'!$J:$J,F$1)</f>
        <v>0</v>
      </c>
      <c r="G279" s="70">
        <f>COUNTIFS('Error Log'!$A:$A,$A279,'Error Log'!$J:$J,G$1)</f>
        <v>0</v>
      </c>
      <c r="H279" s="70">
        <f>COUNTIFS('Error Log'!$A:$A,$A279,'Error Log'!$F:$F,"Source")</f>
        <v>0</v>
      </c>
      <c r="I279" s="70">
        <f>COUNTIFS('Error Log'!$A:$A,$A279,'Error Log'!$F:$F,"Target")</f>
        <v>0</v>
      </c>
      <c r="J279" s="71">
        <f t="shared" si="4"/>
        <v>0</v>
      </c>
    </row>
    <row r="280" spans="1:10">
      <c r="A280" s="81"/>
      <c r="B280" s="70" t="str">
        <f>IF(ISBLANK(A280),"",INDEX('Error Log'!$A:$J,MATCH('Scores per segment'!$A280,'Error Log'!$A:$A,0),MATCH('Scores per segment'!B$1,'Error Log'!$A$1:$J$1,0)))</f>
        <v/>
      </c>
      <c r="C280" s="70" t="str">
        <f>IF(ISBLANK(A280),"",INDEX('Error Log'!$A:$J,MATCH('Scores per segment'!$A280,'Error Log'!$A:$A,0),MATCH('Scores per segment'!C$1,'Error Log'!$A$1:$J$1,0)))</f>
        <v/>
      </c>
      <c r="D280" s="70">
        <f>IF(H280=0,wdct(TRIM(C280)),0)</f>
        <v>0</v>
      </c>
      <c r="E280" s="70">
        <f>COUNTIFS('Error Log'!$A:$A,$A280,'Error Log'!$J:$J,E$1)</f>
        <v>0</v>
      </c>
      <c r="F280" s="70">
        <f>COUNTIFS('Error Log'!$A:$A,$A280,'Error Log'!$J:$J,F$1)</f>
        <v>0</v>
      </c>
      <c r="G280" s="70">
        <f>COUNTIFS('Error Log'!$A:$A,$A280,'Error Log'!$J:$J,G$1)</f>
        <v>0</v>
      </c>
      <c r="H280" s="70">
        <f>COUNTIFS('Error Log'!$A:$A,$A280,'Error Log'!$F:$F,"Source")</f>
        <v>0</v>
      </c>
      <c r="I280" s="70">
        <f>COUNTIFS('Error Log'!$A:$A,$A280,'Error Log'!$F:$F,"Target")</f>
        <v>0</v>
      </c>
      <c r="J280" s="71">
        <f t="shared" si="4"/>
        <v>0</v>
      </c>
    </row>
    <row r="281" spans="1:10">
      <c r="A281" s="81"/>
      <c r="B281" s="70" t="str">
        <f>IF(ISBLANK(A281),"",INDEX('Error Log'!$A:$J,MATCH('Scores per segment'!$A281,'Error Log'!$A:$A,0),MATCH('Scores per segment'!B$1,'Error Log'!$A$1:$J$1,0)))</f>
        <v/>
      </c>
      <c r="C281" s="70" t="str">
        <f>IF(ISBLANK(A281),"",INDEX('Error Log'!$A:$J,MATCH('Scores per segment'!$A281,'Error Log'!$A:$A,0),MATCH('Scores per segment'!C$1,'Error Log'!$A$1:$J$1,0)))</f>
        <v/>
      </c>
      <c r="D281" s="70">
        <f>IF(H281=0,wdct(TRIM(C281)),0)</f>
        <v>0</v>
      </c>
      <c r="E281" s="70">
        <f>COUNTIFS('Error Log'!$A:$A,$A281,'Error Log'!$J:$J,E$1)</f>
        <v>0</v>
      </c>
      <c r="F281" s="70">
        <f>COUNTIFS('Error Log'!$A:$A,$A281,'Error Log'!$J:$J,F$1)</f>
        <v>0</v>
      </c>
      <c r="G281" s="70">
        <f>COUNTIFS('Error Log'!$A:$A,$A281,'Error Log'!$J:$J,G$1)</f>
        <v>0</v>
      </c>
      <c r="H281" s="70">
        <f>COUNTIFS('Error Log'!$A:$A,$A281,'Error Log'!$F:$F,"Source")</f>
        <v>0</v>
      </c>
      <c r="I281" s="70">
        <f>COUNTIFS('Error Log'!$A:$A,$A281,'Error Log'!$F:$F,"Target")</f>
        <v>0</v>
      </c>
      <c r="J281" s="71">
        <f t="shared" si="4"/>
        <v>0</v>
      </c>
    </row>
    <row r="282" spans="1:10">
      <c r="A282" s="81"/>
      <c r="B282" s="70" t="str">
        <f>IF(ISBLANK(A282),"",INDEX('Error Log'!$A:$J,MATCH('Scores per segment'!$A282,'Error Log'!$A:$A,0),MATCH('Scores per segment'!B$1,'Error Log'!$A$1:$J$1,0)))</f>
        <v/>
      </c>
      <c r="C282" s="70" t="str">
        <f>IF(ISBLANK(A282),"",INDEX('Error Log'!$A:$J,MATCH('Scores per segment'!$A282,'Error Log'!$A:$A,0),MATCH('Scores per segment'!C$1,'Error Log'!$A$1:$J$1,0)))</f>
        <v/>
      </c>
      <c r="D282" s="70">
        <f>IF(H282=0,wdct(TRIM(C282)),0)</f>
        <v>0</v>
      </c>
      <c r="E282" s="70">
        <f>COUNTIFS('Error Log'!$A:$A,$A282,'Error Log'!$J:$J,E$1)</f>
        <v>0</v>
      </c>
      <c r="F282" s="70">
        <f>COUNTIFS('Error Log'!$A:$A,$A282,'Error Log'!$J:$J,F$1)</f>
        <v>0</v>
      </c>
      <c r="G282" s="70">
        <f>COUNTIFS('Error Log'!$A:$A,$A282,'Error Log'!$J:$J,G$1)</f>
        <v>0</v>
      </c>
      <c r="H282" s="70">
        <f>COUNTIFS('Error Log'!$A:$A,$A282,'Error Log'!$F:$F,"Source")</f>
        <v>0</v>
      </c>
      <c r="I282" s="70">
        <f>COUNTIFS('Error Log'!$A:$A,$A282,'Error Log'!$F:$F,"Target")</f>
        <v>0</v>
      </c>
      <c r="J282" s="71">
        <f t="shared" si="4"/>
        <v>0</v>
      </c>
    </row>
    <row r="283" spans="1:10">
      <c r="A283" s="81"/>
      <c r="B283" s="70" t="str">
        <f>IF(ISBLANK(A283),"",INDEX('Error Log'!$A:$J,MATCH('Scores per segment'!$A283,'Error Log'!$A:$A,0),MATCH('Scores per segment'!B$1,'Error Log'!$A$1:$J$1,0)))</f>
        <v/>
      </c>
      <c r="C283" s="70" t="str">
        <f>IF(ISBLANK(A283),"",INDEX('Error Log'!$A:$J,MATCH('Scores per segment'!$A283,'Error Log'!$A:$A,0),MATCH('Scores per segment'!C$1,'Error Log'!$A$1:$J$1,0)))</f>
        <v/>
      </c>
      <c r="D283" s="70">
        <f>IF(H283=0,wdct(TRIM(C283)),0)</f>
        <v>0</v>
      </c>
      <c r="E283" s="70">
        <f>COUNTIFS('Error Log'!$A:$A,$A283,'Error Log'!$J:$J,E$1)</f>
        <v>0</v>
      </c>
      <c r="F283" s="70">
        <f>COUNTIFS('Error Log'!$A:$A,$A283,'Error Log'!$J:$J,F$1)</f>
        <v>0</v>
      </c>
      <c r="G283" s="70">
        <f>COUNTIFS('Error Log'!$A:$A,$A283,'Error Log'!$J:$J,G$1)</f>
        <v>0</v>
      </c>
      <c r="H283" s="70">
        <f>COUNTIFS('Error Log'!$A:$A,$A283,'Error Log'!$F:$F,"Source")</f>
        <v>0</v>
      </c>
      <c r="I283" s="70">
        <f>COUNTIFS('Error Log'!$A:$A,$A283,'Error Log'!$F:$F,"Target")</f>
        <v>0</v>
      </c>
      <c r="J283" s="71">
        <f t="shared" si="4"/>
        <v>0</v>
      </c>
    </row>
    <row r="284" spans="1:10">
      <c r="A284" s="81"/>
      <c r="B284" s="70" t="str">
        <f>IF(ISBLANK(A284),"",INDEX('Error Log'!$A:$J,MATCH('Scores per segment'!$A284,'Error Log'!$A:$A,0),MATCH('Scores per segment'!B$1,'Error Log'!$A$1:$J$1,0)))</f>
        <v/>
      </c>
      <c r="C284" s="70" t="str">
        <f>IF(ISBLANK(A284),"",INDEX('Error Log'!$A:$J,MATCH('Scores per segment'!$A284,'Error Log'!$A:$A,0),MATCH('Scores per segment'!C$1,'Error Log'!$A$1:$J$1,0)))</f>
        <v/>
      </c>
      <c r="D284" s="70">
        <f>IF(H284=0,wdct(TRIM(C284)),0)</f>
        <v>0</v>
      </c>
      <c r="E284" s="70">
        <f>COUNTIFS('Error Log'!$A:$A,$A284,'Error Log'!$J:$J,E$1)</f>
        <v>0</v>
      </c>
      <c r="F284" s="70">
        <f>COUNTIFS('Error Log'!$A:$A,$A284,'Error Log'!$J:$J,F$1)</f>
        <v>0</v>
      </c>
      <c r="G284" s="70">
        <f>COUNTIFS('Error Log'!$A:$A,$A284,'Error Log'!$J:$J,G$1)</f>
        <v>0</v>
      </c>
      <c r="H284" s="70">
        <f>COUNTIFS('Error Log'!$A:$A,$A284,'Error Log'!$F:$F,"Source")</f>
        <v>0</v>
      </c>
      <c r="I284" s="70">
        <f>COUNTIFS('Error Log'!$A:$A,$A284,'Error Log'!$F:$F,"Target")</f>
        <v>0</v>
      </c>
      <c r="J284" s="71">
        <f t="shared" si="4"/>
        <v>0</v>
      </c>
    </row>
    <row r="285" spans="1:10">
      <c r="A285" s="81"/>
      <c r="B285" s="70" t="str">
        <f>IF(ISBLANK(A285),"",INDEX('Error Log'!$A:$J,MATCH('Scores per segment'!$A285,'Error Log'!$A:$A,0),MATCH('Scores per segment'!B$1,'Error Log'!$A$1:$J$1,0)))</f>
        <v/>
      </c>
      <c r="C285" s="70" t="str">
        <f>IF(ISBLANK(A285),"",INDEX('Error Log'!$A:$J,MATCH('Scores per segment'!$A285,'Error Log'!$A:$A,0),MATCH('Scores per segment'!C$1,'Error Log'!$A$1:$J$1,0)))</f>
        <v/>
      </c>
      <c r="D285" s="70">
        <f>IF(H285=0,wdct(TRIM(C285)),0)</f>
        <v>0</v>
      </c>
      <c r="E285" s="70">
        <f>COUNTIFS('Error Log'!$A:$A,$A285,'Error Log'!$J:$J,E$1)</f>
        <v>0</v>
      </c>
      <c r="F285" s="70">
        <f>COUNTIFS('Error Log'!$A:$A,$A285,'Error Log'!$J:$J,F$1)</f>
        <v>0</v>
      </c>
      <c r="G285" s="70">
        <f>COUNTIFS('Error Log'!$A:$A,$A285,'Error Log'!$J:$J,G$1)</f>
        <v>0</v>
      </c>
      <c r="H285" s="70">
        <f>COUNTIFS('Error Log'!$A:$A,$A285,'Error Log'!$F:$F,"Source")</f>
        <v>0</v>
      </c>
      <c r="I285" s="70">
        <f>COUNTIFS('Error Log'!$A:$A,$A285,'Error Log'!$F:$F,"Target")</f>
        <v>0</v>
      </c>
      <c r="J285" s="71">
        <f t="shared" si="4"/>
        <v>0</v>
      </c>
    </row>
    <row r="286" spans="1:10">
      <c r="A286" s="81"/>
      <c r="B286" s="70" t="str">
        <f>IF(ISBLANK(A286),"",INDEX('Error Log'!$A:$J,MATCH('Scores per segment'!$A286,'Error Log'!$A:$A,0),MATCH('Scores per segment'!B$1,'Error Log'!$A$1:$J$1,0)))</f>
        <v/>
      </c>
      <c r="C286" s="70" t="str">
        <f>IF(ISBLANK(A286),"",INDEX('Error Log'!$A:$J,MATCH('Scores per segment'!$A286,'Error Log'!$A:$A,0),MATCH('Scores per segment'!C$1,'Error Log'!$A$1:$J$1,0)))</f>
        <v/>
      </c>
      <c r="D286" s="70">
        <f>IF(H286=0,wdct(TRIM(C286)),0)</f>
        <v>0</v>
      </c>
      <c r="E286" s="70">
        <f>COUNTIFS('Error Log'!$A:$A,$A286,'Error Log'!$J:$J,E$1)</f>
        <v>0</v>
      </c>
      <c r="F286" s="70">
        <f>COUNTIFS('Error Log'!$A:$A,$A286,'Error Log'!$J:$J,F$1)</f>
        <v>0</v>
      </c>
      <c r="G286" s="70">
        <f>COUNTIFS('Error Log'!$A:$A,$A286,'Error Log'!$J:$J,G$1)</f>
        <v>0</v>
      </c>
      <c r="H286" s="70">
        <f>COUNTIFS('Error Log'!$A:$A,$A286,'Error Log'!$F:$F,"Source")</f>
        <v>0</v>
      </c>
      <c r="I286" s="70">
        <f>COUNTIFS('Error Log'!$A:$A,$A286,'Error Log'!$F:$F,"Target")</f>
        <v>0</v>
      </c>
      <c r="J286" s="71">
        <f t="shared" si="4"/>
        <v>0</v>
      </c>
    </row>
    <row r="287" spans="1:10">
      <c r="A287" s="81"/>
      <c r="B287" s="70" t="str">
        <f>IF(ISBLANK(A287),"",INDEX('Error Log'!$A:$J,MATCH('Scores per segment'!$A287,'Error Log'!$A:$A,0),MATCH('Scores per segment'!B$1,'Error Log'!$A$1:$J$1,0)))</f>
        <v/>
      </c>
      <c r="C287" s="70" t="str">
        <f>IF(ISBLANK(A287),"",INDEX('Error Log'!$A:$J,MATCH('Scores per segment'!$A287,'Error Log'!$A:$A,0),MATCH('Scores per segment'!C$1,'Error Log'!$A$1:$J$1,0)))</f>
        <v/>
      </c>
      <c r="D287" s="70">
        <f>IF(H287=0,wdct(TRIM(C287)),0)</f>
        <v>0</v>
      </c>
      <c r="E287" s="70">
        <f>COUNTIFS('Error Log'!$A:$A,$A287,'Error Log'!$J:$J,E$1)</f>
        <v>0</v>
      </c>
      <c r="F287" s="70">
        <f>COUNTIFS('Error Log'!$A:$A,$A287,'Error Log'!$J:$J,F$1)</f>
        <v>0</v>
      </c>
      <c r="G287" s="70">
        <f>COUNTIFS('Error Log'!$A:$A,$A287,'Error Log'!$J:$J,G$1)</f>
        <v>0</v>
      </c>
      <c r="H287" s="70">
        <f>COUNTIFS('Error Log'!$A:$A,$A287,'Error Log'!$F:$F,"Source")</f>
        <v>0</v>
      </c>
      <c r="I287" s="70">
        <f>COUNTIFS('Error Log'!$A:$A,$A287,'Error Log'!$F:$F,"Target")</f>
        <v>0</v>
      </c>
      <c r="J287" s="71">
        <f t="shared" si="4"/>
        <v>0</v>
      </c>
    </row>
    <row r="288" spans="1:10">
      <c r="A288" s="81"/>
      <c r="B288" s="70" t="str">
        <f>IF(ISBLANK(A288),"",INDEX('Error Log'!$A:$J,MATCH('Scores per segment'!$A288,'Error Log'!$A:$A,0),MATCH('Scores per segment'!B$1,'Error Log'!$A$1:$J$1,0)))</f>
        <v/>
      </c>
      <c r="C288" s="70" t="str">
        <f>IF(ISBLANK(A288),"",INDEX('Error Log'!$A:$J,MATCH('Scores per segment'!$A288,'Error Log'!$A:$A,0),MATCH('Scores per segment'!C$1,'Error Log'!$A$1:$J$1,0)))</f>
        <v/>
      </c>
      <c r="D288" s="70">
        <f>IF(H288=0,wdct(TRIM(C288)),0)</f>
        <v>0</v>
      </c>
      <c r="E288" s="70">
        <f>COUNTIFS('Error Log'!$A:$A,$A288,'Error Log'!$J:$J,E$1)</f>
        <v>0</v>
      </c>
      <c r="F288" s="70">
        <f>COUNTIFS('Error Log'!$A:$A,$A288,'Error Log'!$J:$J,F$1)</f>
        <v>0</v>
      </c>
      <c r="G288" s="70">
        <f>COUNTIFS('Error Log'!$A:$A,$A288,'Error Log'!$J:$J,G$1)</f>
        <v>0</v>
      </c>
      <c r="H288" s="70">
        <f>COUNTIFS('Error Log'!$A:$A,$A288,'Error Log'!$F:$F,"Source")</f>
        <v>0</v>
      </c>
      <c r="I288" s="70">
        <f>COUNTIFS('Error Log'!$A:$A,$A288,'Error Log'!$F:$F,"Target")</f>
        <v>0</v>
      </c>
      <c r="J288" s="71">
        <f t="shared" si="4"/>
        <v>0</v>
      </c>
    </row>
    <row r="289" spans="1:10">
      <c r="A289" s="81"/>
      <c r="B289" s="70" t="str">
        <f>IF(ISBLANK(A289),"",INDEX('Error Log'!$A:$J,MATCH('Scores per segment'!$A289,'Error Log'!$A:$A,0),MATCH('Scores per segment'!B$1,'Error Log'!$A$1:$J$1,0)))</f>
        <v/>
      </c>
      <c r="C289" s="70" t="str">
        <f>IF(ISBLANK(A289),"",INDEX('Error Log'!$A:$J,MATCH('Scores per segment'!$A289,'Error Log'!$A:$A,0),MATCH('Scores per segment'!C$1,'Error Log'!$A$1:$J$1,0)))</f>
        <v/>
      </c>
      <c r="D289" s="70">
        <f>IF(H289=0,wdct(TRIM(C289)),0)</f>
        <v>0</v>
      </c>
      <c r="E289" s="70">
        <f>COUNTIFS('Error Log'!$A:$A,$A289,'Error Log'!$J:$J,E$1)</f>
        <v>0</v>
      </c>
      <c r="F289" s="70">
        <f>COUNTIFS('Error Log'!$A:$A,$A289,'Error Log'!$J:$J,F$1)</f>
        <v>0</v>
      </c>
      <c r="G289" s="70">
        <f>COUNTIFS('Error Log'!$A:$A,$A289,'Error Log'!$J:$J,G$1)</f>
        <v>0</v>
      </c>
      <c r="H289" s="70">
        <f>COUNTIFS('Error Log'!$A:$A,$A289,'Error Log'!$F:$F,"Source")</f>
        <v>0</v>
      </c>
      <c r="I289" s="70">
        <f>COUNTIFS('Error Log'!$A:$A,$A289,'Error Log'!$F:$F,"Target")</f>
        <v>0</v>
      </c>
      <c r="J289" s="71">
        <f t="shared" si="4"/>
        <v>0</v>
      </c>
    </row>
    <row r="290" spans="1:10">
      <c r="A290" s="81"/>
      <c r="B290" s="70" t="str">
        <f>IF(ISBLANK(A290),"",INDEX('Error Log'!$A:$J,MATCH('Scores per segment'!$A290,'Error Log'!$A:$A,0),MATCH('Scores per segment'!B$1,'Error Log'!$A$1:$J$1,0)))</f>
        <v/>
      </c>
      <c r="C290" s="70" t="str">
        <f>IF(ISBLANK(A290),"",INDEX('Error Log'!$A:$J,MATCH('Scores per segment'!$A290,'Error Log'!$A:$A,0),MATCH('Scores per segment'!C$1,'Error Log'!$A$1:$J$1,0)))</f>
        <v/>
      </c>
      <c r="D290" s="70">
        <f>IF(H290=0,wdct(TRIM(C290)),0)</f>
        <v>0</v>
      </c>
      <c r="E290" s="70">
        <f>COUNTIFS('Error Log'!$A:$A,$A290,'Error Log'!$J:$J,E$1)</f>
        <v>0</v>
      </c>
      <c r="F290" s="70">
        <f>COUNTIFS('Error Log'!$A:$A,$A290,'Error Log'!$J:$J,F$1)</f>
        <v>0</v>
      </c>
      <c r="G290" s="70">
        <f>COUNTIFS('Error Log'!$A:$A,$A290,'Error Log'!$J:$J,G$1)</f>
        <v>0</v>
      </c>
      <c r="H290" s="70">
        <f>COUNTIFS('Error Log'!$A:$A,$A290,'Error Log'!$F:$F,"Source")</f>
        <v>0</v>
      </c>
      <c r="I290" s="70">
        <f>COUNTIFS('Error Log'!$A:$A,$A290,'Error Log'!$F:$F,"Target")</f>
        <v>0</v>
      </c>
      <c r="J290" s="71">
        <f t="shared" si="4"/>
        <v>0</v>
      </c>
    </row>
    <row r="291" spans="1:10">
      <c r="A291" s="81"/>
      <c r="B291" s="70" t="str">
        <f>IF(ISBLANK(A291),"",INDEX('Error Log'!$A:$J,MATCH('Scores per segment'!$A291,'Error Log'!$A:$A,0),MATCH('Scores per segment'!B$1,'Error Log'!$A$1:$J$1,0)))</f>
        <v/>
      </c>
      <c r="C291" s="70" t="str">
        <f>IF(ISBLANK(A291),"",INDEX('Error Log'!$A:$J,MATCH('Scores per segment'!$A291,'Error Log'!$A:$A,0),MATCH('Scores per segment'!C$1,'Error Log'!$A$1:$J$1,0)))</f>
        <v/>
      </c>
      <c r="D291" s="70">
        <f>IF(H291=0,wdct(TRIM(C291)),0)</f>
        <v>0</v>
      </c>
      <c r="E291" s="70">
        <f>COUNTIFS('Error Log'!$A:$A,$A291,'Error Log'!$J:$J,E$1)</f>
        <v>0</v>
      </c>
      <c r="F291" s="70">
        <f>COUNTIFS('Error Log'!$A:$A,$A291,'Error Log'!$J:$J,F$1)</f>
        <v>0</v>
      </c>
      <c r="G291" s="70">
        <f>COUNTIFS('Error Log'!$A:$A,$A291,'Error Log'!$J:$J,G$1)</f>
        <v>0</v>
      </c>
      <c r="H291" s="70">
        <f>COUNTIFS('Error Log'!$A:$A,$A291,'Error Log'!$F:$F,"Source")</f>
        <v>0</v>
      </c>
      <c r="I291" s="70">
        <f>COUNTIFS('Error Log'!$A:$A,$A291,'Error Log'!$F:$F,"Target")</f>
        <v>0</v>
      </c>
      <c r="J291" s="71">
        <f t="shared" si="4"/>
        <v>0</v>
      </c>
    </row>
    <row r="292" spans="1:10">
      <c r="A292" s="81"/>
      <c r="B292" s="70" t="str">
        <f>IF(ISBLANK(A292),"",INDEX('Error Log'!$A:$J,MATCH('Scores per segment'!$A292,'Error Log'!$A:$A,0),MATCH('Scores per segment'!B$1,'Error Log'!$A$1:$J$1,0)))</f>
        <v/>
      </c>
      <c r="C292" s="70" t="str">
        <f>IF(ISBLANK(A292),"",INDEX('Error Log'!$A:$J,MATCH('Scores per segment'!$A292,'Error Log'!$A:$A,0),MATCH('Scores per segment'!C$1,'Error Log'!$A$1:$J$1,0)))</f>
        <v/>
      </c>
      <c r="D292" s="70">
        <f>IF(H292=0,wdct(TRIM(C292)),0)</f>
        <v>0</v>
      </c>
      <c r="E292" s="70">
        <f>COUNTIFS('Error Log'!$A:$A,$A292,'Error Log'!$J:$J,E$1)</f>
        <v>0</v>
      </c>
      <c r="F292" s="70">
        <f>COUNTIFS('Error Log'!$A:$A,$A292,'Error Log'!$J:$J,F$1)</f>
        <v>0</v>
      </c>
      <c r="G292" s="70">
        <f>COUNTIFS('Error Log'!$A:$A,$A292,'Error Log'!$J:$J,G$1)</f>
        <v>0</v>
      </c>
      <c r="H292" s="70">
        <f>COUNTIFS('Error Log'!$A:$A,$A292,'Error Log'!$F:$F,"Source")</f>
        <v>0</v>
      </c>
      <c r="I292" s="70">
        <f>COUNTIFS('Error Log'!$A:$A,$A292,'Error Log'!$F:$F,"Target")</f>
        <v>0</v>
      </c>
      <c r="J292" s="71">
        <f t="shared" si="4"/>
        <v>0</v>
      </c>
    </row>
    <row r="293" spans="1:10">
      <c r="A293" s="81"/>
      <c r="B293" s="70" t="str">
        <f>IF(ISBLANK(A293),"",INDEX('Error Log'!$A:$J,MATCH('Scores per segment'!$A293,'Error Log'!$A:$A,0),MATCH('Scores per segment'!B$1,'Error Log'!$A$1:$J$1,0)))</f>
        <v/>
      </c>
      <c r="C293" s="70" t="str">
        <f>IF(ISBLANK(A293),"",INDEX('Error Log'!$A:$J,MATCH('Scores per segment'!$A293,'Error Log'!$A:$A,0),MATCH('Scores per segment'!C$1,'Error Log'!$A$1:$J$1,0)))</f>
        <v/>
      </c>
      <c r="D293" s="70">
        <f>IF(H293=0,wdct(TRIM(C293)),0)</f>
        <v>0</v>
      </c>
      <c r="E293" s="70">
        <f>COUNTIFS('Error Log'!$A:$A,$A293,'Error Log'!$J:$J,E$1)</f>
        <v>0</v>
      </c>
      <c r="F293" s="70">
        <f>COUNTIFS('Error Log'!$A:$A,$A293,'Error Log'!$J:$J,F$1)</f>
        <v>0</v>
      </c>
      <c r="G293" s="70">
        <f>COUNTIFS('Error Log'!$A:$A,$A293,'Error Log'!$J:$J,G$1)</f>
        <v>0</v>
      </c>
      <c r="H293" s="70">
        <f>COUNTIFS('Error Log'!$A:$A,$A293,'Error Log'!$F:$F,"Source")</f>
        <v>0</v>
      </c>
      <c r="I293" s="70">
        <f>COUNTIFS('Error Log'!$A:$A,$A293,'Error Log'!$F:$F,"Target")</f>
        <v>0</v>
      </c>
      <c r="J293" s="71">
        <f t="shared" si="4"/>
        <v>0</v>
      </c>
    </row>
    <row r="294" spans="1:10">
      <c r="A294" s="81"/>
      <c r="B294" s="70" t="str">
        <f>IF(ISBLANK(A294),"",INDEX('Error Log'!$A:$J,MATCH('Scores per segment'!$A294,'Error Log'!$A:$A,0),MATCH('Scores per segment'!B$1,'Error Log'!$A$1:$J$1,0)))</f>
        <v/>
      </c>
      <c r="C294" s="70" t="str">
        <f>IF(ISBLANK(A294),"",INDEX('Error Log'!$A:$J,MATCH('Scores per segment'!$A294,'Error Log'!$A:$A,0),MATCH('Scores per segment'!C$1,'Error Log'!$A$1:$J$1,0)))</f>
        <v/>
      </c>
      <c r="D294" s="70">
        <f>IF(H294=0,wdct(TRIM(C294)),0)</f>
        <v>0</v>
      </c>
      <c r="E294" s="70">
        <f>COUNTIFS('Error Log'!$A:$A,$A294,'Error Log'!$J:$J,E$1)</f>
        <v>0</v>
      </c>
      <c r="F294" s="70">
        <f>COUNTIFS('Error Log'!$A:$A,$A294,'Error Log'!$J:$J,F$1)</f>
        <v>0</v>
      </c>
      <c r="G294" s="70">
        <f>COUNTIFS('Error Log'!$A:$A,$A294,'Error Log'!$J:$J,G$1)</f>
        <v>0</v>
      </c>
      <c r="H294" s="70">
        <f>COUNTIFS('Error Log'!$A:$A,$A294,'Error Log'!$F:$F,"Source")</f>
        <v>0</v>
      </c>
      <c r="I294" s="70">
        <f>COUNTIFS('Error Log'!$A:$A,$A294,'Error Log'!$F:$F,"Target")</f>
        <v>0</v>
      </c>
      <c r="J294" s="71">
        <f t="shared" si="4"/>
        <v>0</v>
      </c>
    </row>
    <row r="295" spans="1:10">
      <c r="A295" s="81"/>
      <c r="B295" s="70" t="str">
        <f>IF(ISBLANK(A295),"",INDEX('Error Log'!$A:$J,MATCH('Scores per segment'!$A295,'Error Log'!$A:$A,0),MATCH('Scores per segment'!B$1,'Error Log'!$A$1:$J$1,0)))</f>
        <v/>
      </c>
      <c r="C295" s="70" t="str">
        <f>IF(ISBLANK(A295),"",INDEX('Error Log'!$A:$J,MATCH('Scores per segment'!$A295,'Error Log'!$A:$A,0),MATCH('Scores per segment'!C$1,'Error Log'!$A$1:$J$1,0)))</f>
        <v/>
      </c>
      <c r="D295" s="70">
        <f>IF(H295=0,wdct(TRIM(C295)),0)</f>
        <v>0</v>
      </c>
      <c r="E295" s="70">
        <f>COUNTIFS('Error Log'!$A:$A,$A295,'Error Log'!$J:$J,E$1)</f>
        <v>0</v>
      </c>
      <c r="F295" s="70">
        <f>COUNTIFS('Error Log'!$A:$A,$A295,'Error Log'!$J:$J,F$1)</f>
        <v>0</v>
      </c>
      <c r="G295" s="70">
        <f>COUNTIFS('Error Log'!$A:$A,$A295,'Error Log'!$J:$J,G$1)</f>
        <v>0</v>
      </c>
      <c r="H295" s="70">
        <f>COUNTIFS('Error Log'!$A:$A,$A295,'Error Log'!$F:$F,"Source")</f>
        <v>0</v>
      </c>
      <c r="I295" s="70">
        <f>COUNTIFS('Error Log'!$A:$A,$A295,'Error Log'!$F:$F,"Target")</f>
        <v>0</v>
      </c>
      <c r="J295" s="71">
        <f t="shared" si="4"/>
        <v>0</v>
      </c>
    </row>
    <row r="296" spans="1:10">
      <c r="A296" s="81"/>
      <c r="B296" s="70" t="str">
        <f>IF(ISBLANK(A296),"",INDEX('Error Log'!$A:$J,MATCH('Scores per segment'!$A296,'Error Log'!$A:$A,0),MATCH('Scores per segment'!B$1,'Error Log'!$A$1:$J$1,0)))</f>
        <v/>
      </c>
      <c r="C296" s="70" t="str">
        <f>IF(ISBLANK(A296),"",INDEX('Error Log'!$A:$J,MATCH('Scores per segment'!$A296,'Error Log'!$A:$A,0),MATCH('Scores per segment'!C$1,'Error Log'!$A$1:$J$1,0)))</f>
        <v/>
      </c>
      <c r="D296" s="70">
        <f>IF(H296=0,wdct(TRIM(C296)),0)</f>
        <v>0</v>
      </c>
      <c r="E296" s="70">
        <f>COUNTIFS('Error Log'!$A:$A,$A296,'Error Log'!$J:$J,E$1)</f>
        <v>0</v>
      </c>
      <c r="F296" s="70">
        <f>COUNTIFS('Error Log'!$A:$A,$A296,'Error Log'!$J:$J,F$1)</f>
        <v>0</v>
      </c>
      <c r="G296" s="70">
        <f>COUNTIFS('Error Log'!$A:$A,$A296,'Error Log'!$J:$J,G$1)</f>
        <v>0</v>
      </c>
      <c r="H296" s="70">
        <f>COUNTIFS('Error Log'!$A:$A,$A296,'Error Log'!$F:$F,"Source")</f>
        <v>0</v>
      </c>
      <c r="I296" s="70">
        <f>COUNTIFS('Error Log'!$A:$A,$A296,'Error Log'!$F:$F,"Target")</f>
        <v>0</v>
      </c>
      <c r="J296" s="71">
        <f t="shared" si="4"/>
        <v>0</v>
      </c>
    </row>
    <row r="297" spans="1:10">
      <c r="A297" s="81"/>
      <c r="B297" s="70" t="str">
        <f>IF(ISBLANK(A297),"",INDEX('Error Log'!$A:$J,MATCH('Scores per segment'!$A297,'Error Log'!$A:$A,0),MATCH('Scores per segment'!B$1,'Error Log'!$A$1:$J$1,0)))</f>
        <v/>
      </c>
      <c r="C297" s="70" t="str">
        <f>IF(ISBLANK(A297),"",INDEX('Error Log'!$A:$J,MATCH('Scores per segment'!$A297,'Error Log'!$A:$A,0),MATCH('Scores per segment'!C$1,'Error Log'!$A$1:$J$1,0)))</f>
        <v/>
      </c>
      <c r="D297" s="70">
        <f>IF(H297=0,wdct(TRIM(C297)),0)</f>
        <v>0</v>
      </c>
      <c r="E297" s="70">
        <f>COUNTIFS('Error Log'!$A:$A,$A297,'Error Log'!$J:$J,E$1)</f>
        <v>0</v>
      </c>
      <c r="F297" s="70">
        <f>COUNTIFS('Error Log'!$A:$A,$A297,'Error Log'!$J:$J,F$1)</f>
        <v>0</v>
      </c>
      <c r="G297" s="70">
        <f>COUNTIFS('Error Log'!$A:$A,$A297,'Error Log'!$J:$J,G$1)</f>
        <v>0</v>
      </c>
      <c r="H297" s="70">
        <f>COUNTIFS('Error Log'!$A:$A,$A297,'Error Log'!$F:$F,"Source")</f>
        <v>0</v>
      </c>
      <c r="I297" s="70">
        <f>COUNTIFS('Error Log'!$A:$A,$A297,'Error Log'!$F:$F,"Target")</f>
        <v>0</v>
      </c>
      <c r="J297" s="71">
        <f t="shared" si="4"/>
        <v>0</v>
      </c>
    </row>
    <row r="298" spans="1:10">
      <c r="A298" s="81"/>
      <c r="B298" s="70" t="str">
        <f>IF(ISBLANK(A298),"",INDEX('Error Log'!$A:$J,MATCH('Scores per segment'!$A298,'Error Log'!$A:$A,0),MATCH('Scores per segment'!B$1,'Error Log'!$A$1:$J$1,0)))</f>
        <v/>
      </c>
      <c r="C298" s="70" t="str">
        <f>IF(ISBLANK(A298),"",INDEX('Error Log'!$A:$J,MATCH('Scores per segment'!$A298,'Error Log'!$A:$A,0),MATCH('Scores per segment'!C$1,'Error Log'!$A$1:$J$1,0)))</f>
        <v/>
      </c>
      <c r="D298" s="70">
        <f>IF(H298=0,wdct(TRIM(C298)),0)</f>
        <v>0</v>
      </c>
      <c r="E298" s="70">
        <f>COUNTIFS('Error Log'!$A:$A,$A298,'Error Log'!$J:$J,E$1)</f>
        <v>0</v>
      </c>
      <c r="F298" s="70">
        <f>COUNTIFS('Error Log'!$A:$A,$A298,'Error Log'!$J:$J,F$1)</f>
        <v>0</v>
      </c>
      <c r="G298" s="70">
        <f>COUNTIFS('Error Log'!$A:$A,$A298,'Error Log'!$J:$J,G$1)</f>
        <v>0</v>
      </c>
      <c r="H298" s="70">
        <f>COUNTIFS('Error Log'!$A:$A,$A298,'Error Log'!$F:$F,"Source")</f>
        <v>0</v>
      </c>
      <c r="I298" s="70">
        <f>COUNTIFS('Error Log'!$A:$A,$A298,'Error Log'!$F:$F,"Target")</f>
        <v>0</v>
      </c>
      <c r="J298" s="71">
        <f t="shared" si="4"/>
        <v>0</v>
      </c>
    </row>
    <row r="299" spans="1:10">
      <c r="A299" s="81"/>
      <c r="B299" s="70" t="str">
        <f>IF(ISBLANK(A299),"",INDEX('Error Log'!$A:$J,MATCH('Scores per segment'!$A299,'Error Log'!$A:$A,0),MATCH('Scores per segment'!B$1,'Error Log'!$A$1:$J$1,0)))</f>
        <v/>
      </c>
      <c r="C299" s="70" t="str">
        <f>IF(ISBLANK(A299),"",INDEX('Error Log'!$A:$J,MATCH('Scores per segment'!$A299,'Error Log'!$A:$A,0),MATCH('Scores per segment'!C$1,'Error Log'!$A$1:$J$1,0)))</f>
        <v/>
      </c>
      <c r="D299" s="70">
        <f>IF(H299=0,wdct(TRIM(C299)),0)</f>
        <v>0</v>
      </c>
      <c r="E299" s="70">
        <f>COUNTIFS('Error Log'!$A:$A,$A299,'Error Log'!$J:$J,E$1)</f>
        <v>0</v>
      </c>
      <c r="F299" s="70">
        <f>COUNTIFS('Error Log'!$A:$A,$A299,'Error Log'!$J:$J,F$1)</f>
        <v>0</v>
      </c>
      <c r="G299" s="70">
        <f>COUNTIFS('Error Log'!$A:$A,$A299,'Error Log'!$J:$J,G$1)</f>
        <v>0</v>
      </c>
      <c r="H299" s="70">
        <f>COUNTIFS('Error Log'!$A:$A,$A299,'Error Log'!$F:$F,"Source")</f>
        <v>0</v>
      </c>
      <c r="I299" s="70">
        <f>COUNTIFS('Error Log'!$A:$A,$A299,'Error Log'!$F:$F,"Target")</f>
        <v>0</v>
      </c>
      <c r="J299" s="71">
        <f t="shared" si="4"/>
        <v>0</v>
      </c>
    </row>
    <row r="300" spans="1:10">
      <c r="A300" s="81"/>
      <c r="B300" s="70" t="str">
        <f>IF(ISBLANK(A300),"",INDEX('Error Log'!$A:$J,MATCH('Scores per segment'!$A300,'Error Log'!$A:$A,0),MATCH('Scores per segment'!B$1,'Error Log'!$A$1:$J$1,0)))</f>
        <v/>
      </c>
      <c r="C300" s="70" t="str">
        <f>IF(ISBLANK(A300),"",INDEX('Error Log'!$A:$J,MATCH('Scores per segment'!$A300,'Error Log'!$A:$A,0),MATCH('Scores per segment'!C$1,'Error Log'!$A$1:$J$1,0)))</f>
        <v/>
      </c>
      <c r="D300" s="70">
        <f>IF(H300=0,wdct(TRIM(C300)),0)</f>
        <v>0</v>
      </c>
      <c r="E300" s="70">
        <f>COUNTIFS('Error Log'!$A:$A,$A300,'Error Log'!$J:$J,E$1)</f>
        <v>0</v>
      </c>
      <c r="F300" s="70">
        <f>COUNTIFS('Error Log'!$A:$A,$A300,'Error Log'!$J:$J,F$1)</f>
        <v>0</v>
      </c>
      <c r="G300" s="70">
        <f>COUNTIFS('Error Log'!$A:$A,$A300,'Error Log'!$J:$J,G$1)</f>
        <v>0</v>
      </c>
      <c r="H300" s="70">
        <f>COUNTIFS('Error Log'!$A:$A,$A300,'Error Log'!$F:$F,"Source")</f>
        <v>0</v>
      </c>
      <c r="I300" s="70">
        <f>COUNTIFS('Error Log'!$A:$A,$A300,'Error Log'!$F:$F,"Target")</f>
        <v>0</v>
      </c>
      <c r="J300" s="71">
        <f t="shared" si="4"/>
        <v>0</v>
      </c>
    </row>
    <row r="301" spans="1:10">
      <c r="A301" s="81"/>
      <c r="B301" s="70" t="str">
        <f>IF(ISBLANK(A301),"",INDEX('Error Log'!$A:$J,MATCH('Scores per segment'!$A301,'Error Log'!$A:$A,0),MATCH('Scores per segment'!B$1,'Error Log'!$A$1:$J$1,0)))</f>
        <v/>
      </c>
      <c r="C301" s="70" t="str">
        <f>IF(ISBLANK(A301),"",INDEX('Error Log'!$A:$J,MATCH('Scores per segment'!$A301,'Error Log'!$A:$A,0),MATCH('Scores per segment'!C$1,'Error Log'!$A$1:$J$1,0)))</f>
        <v/>
      </c>
      <c r="D301" s="70">
        <f>IF(H301=0,wdct(TRIM(C301)),0)</f>
        <v>0</v>
      </c>
      <c r="E301" s="70">
        <f>COUNTIFS('Error Log'!$A:$A,$A301,'Error Log'!$J:$J,E$1)</f>
        <v>0</v>
      </c>
      <c r="F301" s="70">
        <f>COUNTIFS('Error Log'!$A:$A,$A301,'Error Log'!$J:$J,F$1)</f>
        <v>0</v>
      </c>
      <c r="G301" s="70">
        <f>COUNTIFS('Error Log'!$A:$A,$A301,'Error Log'!$J:$J,G$1)</f>
        <v>0</v>
      </c>
      <c r="H301" s="70">
        <f>COUNTIFS('Error Log'!$A:$A,$A301,'Error Log'!$F:$F,"Source")</f>
        <v>0</v>
      </c>
      <c r="I301" s="70">
        <f>COUNTIFS('Error Log'!$A:$A,$A301,'Error Log'!$F:$F,"Target")</f>
        <v>0</v>
      </c>
      <c r="J301" s="71">
        <f t="shared" si="4"/>
        <v>0</v>
      </c>
    </row>
    <row r="302" spans="1:10">
      <c r="A302" s="81"/>
      <c r="B302" s="70" t="str">
        <f>IF(ISBLANK(A302),"",INDEX('Error Log'!$A:$J,MATCH('Scores per segment'!$A302,'Error Log'!$A:$A,0),MATCH('Scores per segment'!B$1,'Error Log'!$A$1:$J$1,0)))</f>
        <v/>
      </c>
      <c r="C302" s="70" t="str">
        <f>IF(ISBLANK(A302),"",INDEX('Error Log'!$A:$J,MATCH('Scores per segment'!$A302,'Error Log'!$A:$A,0),MATCH('Scores per segment'!C$1,'Error Log'!$A$1:$J$1,0)))</f>
        <v/>
      </c>
      <c r="D302" s="70">
        <f>IF(H302=0,wdct(TRIM(C302)),0)</f>
        <v>0</v>
      </c>
      <c r="E302" s="70">
        <f>COUNTIFS('Error Log'!$A:$A,$A302,'Error Log'!$J:$J,E$1)</f>
        <v>0</v>
      </c>
      <c r="F302" s="70">
        <f>COUNTIFS('Error Log'!$A:$A,$A302,'Error Log'!$J:$J,F$1)</f>
        <v>0</v>
      </c>
      <c r="G302" s="70">
        <f>COUNTIFS('Error Log'!$A:$A,$A302,'Error Log'!$J:$J,G$1)</f>
        <v>0</v>
      </c>
      <c r="H302" s="70">
        <f>COUNTIFS('Error Log'!$A:$A,$A302,'Error Log'!$F:$F,"Source")</f>
        <v>0</v>
      </c>
      <c r="I302" s="70">
        <f>COUNTIFS('Error Log'!$A:$A,$A302,'Error Log'!$F:$F,"Target")</f>
        <v>0</v>
      </c>
      <c r="J302" s="71">
        <f t="shared" si="4"/>
        <v>0</v>
      </c>
    </row>
    <row r="303" spans="1:10">
      <c r="A303" s="81"/>
      <c r="B303" s="70" t="str">
        <f>IF(ISBLANK(A303),"",INDEX('Error Log'!$A:$J,MATCH('Scores per segment'!$A303,'Error Log'!$A:$A,0),MATCH('Scores per segment'!B$1,'Error Log'!$A$1:$J$1,0)))</f>
        <v/>
      </c>
      <c r="C303" s="70" t="str">
        <f>IF(ISBLANK(A303),"",INDEX('Error Log'!$A:$J,MATCH('Scores per segment'!$A303,'Error Log'!$A:$A,0),MATCH('Scores per segment'!C$1,'Error Log'!$A$1:$J$1,0)))</f>
        <v/>
      </c>
      <c r="D303" s="70">
        <f>IF(H303=0,wdct(TRIM(C303)),0)</f>
        <v>0</v>
      </c>
      <c r="E303" s="70">
        <f>COUNTIFS('Error Log'!$A:$A,$A303,'Error Log'!$J:$J,E$1)</f>
        <v>0</v>
      </c>
      <c r="F303" s="70">
        <f>COUNTIFS('Error Log'!$A:$A,$A303,'Error Log'!$J:$J,F$1)</f>
        <v>0</v>
      </c>
      <c r="G303" s="70">
        <f>COUNTIFS('Error Log'!$A:$A,$A303,'Error Log'!$J:$J,G$1)</f>
        <v>0</v>
      </c>
      <c r="H303" s="70">
        <f>COUNTIFS('Error Log'!$A:$A,$A303,'Error Log'!$F:$F,"Source")</f>
        <v>0</v>
      </c>
      <c r="I303" s="70">
        <f>COUNTIFS('Error Log'!$A:$A,$A303,'Error Log'!$F:$F,"Target")</f>
        <v>0</v>
      </c>
      <c r="J303" s="71">
        <f t="shared" si="4"/>
        <v>0</v>
      </c>
    </row>
    <row r="304" spans="1:10">
      <c r="A304" s="81"/>
      <c r="B304" s="70" t="str">
        <f>IF(ISBLANK(A304),"",INDEX('Error Log'!$A:$J,MATCH('Scores per segment'!$A304,'Error Log'!$A:$A,0),MATCH('Scores per segment'!B$1,'Error Log'!$A$1:$J$1,0)))</f>
        <v/>
      </c>
      <c r="C304" s="70" t="str">
        <f>IF(ISBLANK(A304),"",INDEX('Error Log'!$A:$J,MATCH('Scores per segment'!$A304,'Error Log'!$A:$A,0),MATCH('Scores per segment'!C$1,'Error Log'!$A$1:$J$1,0)))</f>
        <v/>
      </c>
      <c r="D304" s="70">
        <f>IF(H304=0,wdct(TRIM(C304)),0)</f>
        <v>0</v>
      </c>
      <c r="E304" s="70">
        <f>COUNTIFS('Error Log'!$A:$A,$A304,'Error Log'!$J:$J,E$1)</f>
        <v>0</v>
      </c>
      <c r="F304" s="70">
        <f>COUNTIFS('Error Log'!$A:$A,$A304,'Error Log'!$J:$J,F$1)</f>
        <v>0</v>
      </c>
      <c r="G304" s="70">
        <f>COUNTIFS('Error Log'!$A:$A,$A304,'Error Log'!$J:$J,G$1)</f>
        <v>0</v>
      </c>
      <c r="H304" s="70">
        <f>COUNTIFS('Error Log'!$A:$A,$A304,'Error Log'!$F:$F,"Source")</f>
        <v>0</v>
      </c>
      <c r="I304" s="70">
        <f>COUNTIFS('Error Log'!$A:$A,$A304,'Error Log'!$F:$F,"Target")</f>
        <v>0</v>
      </c>
      <c r="J304" s="71">
        <f t="shared" si="4"/>
        <v>0</v>
      </c>
    </row>
    <row r="305" spans="1:10">
      <c r="A305" s="81"/>
      <c r="B305" s="70" t="str">
        <f>IF(ISBLANK(A305),"",INDEX('Error Log'!$A:$J,MATCH('Scores per segment'!$A305,'Error Log'!$A:$A,0),MATCH('Scores per segment'!B$1,'Error Log'!$A$1:$J$1,0)))</f>
        <v/>
      </c>
      <c r="C305" s="70" t="str">
        <f>IF(ISBLANK(A305),"",INDEX('Error Log'!$A:$J,MATCH('Scores per segment'!$A305,'Error Log'!$A:$A,0),MATCH('Scores per segment'!C$1,'Error Log'!$A$1:$J$1,0)))</f>
        <v/>
      </c>
      <c r="D305" s="70">
        <f>IF(H305=0,wdct(TRIM(C305)),0)</f>
        <v>0</v>
      </c>
      <c r="E305" s="70">
        <f>COUNTIFS('Error Log'!$A:$A,$A305,'Error Log'!$J:$J,E$1)</f>
        <v>0</v>
      </c>
      <c r="F305" s="70">
        <f>COUNTIFS('Error Log'!$A:$A,$A305,'Error Log'!$J:$J,F$1)</f>
        <v>0</v>
      </c>
      <c r="G305" s="70">
        <f>COUNTIFS('Error Log'!$A:$A,$A305,'Error Log'!$J:$J,G$1)</f>
        <v>0</v>
      </c>
      <c r="H305" s="70">
        <f>COUNTIFS('Error Log'!$A:$A,$A305,'Error Log'!$F:$F,"Source")</f>
        <v>0</v>
      </c>
      <c r="I305" s="70">
        <f>COUNTIFS('Error Log'!$A:$A,$A305,'Error Log'!$F:$F,"Target")</f>
        <v>0</v>
      </c>
      <c r="J305" s="71">
        <f t="shared" si="4"/>
        <v>0</v>
      </c>
    </row>
    <row r="306" spans="1:10">
      <c r="A306" s="81"/>
      <c r="B306" s="70" t="str">
        <f>IF(ISBLANK(A306),"",INDEX('Error Log'!$A:$J,MATCH('Scores per segment'!$A306,'Error Log'!$A:$A,0),MATCH('Scores per segment'!B$1,'Error Log'!$A$1:$J$1,0)))</f>
        <v/>
      </c>
      <c r="C306" s="70" t="str">
        <f>IF(ISBLANK(A306),"",INDEX('Error Log'!$A:$J,MATCH('Scores per segment'!$A306,'Error Log'!$A:$A,0),MATCH('Scores per segment'!C$1,'Error Log'!$A$1:$J$1,0)))</f>
        <v/>
      </c>
      <c r="D306" s="70">
        <f>IF(H306=0,wdct(TRIM(C306)),0)</f>
        <v>0</v>
      </c>
      <c r="E306" s="70">
        <f>COUNTIFS('Error Log'!$A:$A,$A306,'Error Log'!$J:$J,E$1)</f>
        <v>0</v>
      </c>
      <c r="F306" s="70">
        <f>COUNTIFS('Error Log'!$A:$A,$A306,'Error Log'!$J:$J,F$1)</f>
        <v>0</v>
      </c>
      <c r="G306" s="70">
        <f>COUNTIFS('Error Log'!$A:$A,$A306,'Error Log'!$J:$J,G$1)</f>
        <v>0</v>
      </c>
      <c r="H306" s="70">
        <f>COUNTIFS('Error Log'!$A:$A,$A306,'Error Log'!$F:$F,"Source")</f>
        <v>0</v>
      </c>
      <c r="I306" s="70">
        <f>COUNTIFS('Error Log'!$A:$A,$A306,'Error Log'!$F:$F,"Target")</f>
        <v>0</v>
      </c>
      <c r="J306" s="71">
        <f t="shared" si="4"/>
        <v>0</v>
      </c>
    </row>
    <row r="307" spans="1:10">
      <c r="A307" s="81"/>
      <c r="B307" s="70" t="str">
        <f>IF(ISBLANK(A307),"",INDEX('Error Log'!$A:$J,MATCH('Scores per segment'!$A307,'Error Log'!$A:$A,0),MATCH('Scores per segment'!B$1,'Error Log'!$A$1:$J$1,0)))</f>
        <v/>
      </c>
      <c r="C307" s="70" t="str">
        <f>IF(ISBLANK(A307),"",INDEX('Error Log'!$A:$J,MATCH('Scores per segment'!$A307,'Error Log'!$A:$A,0),MATCH('Scores per segment'!C$1,'Error Log'!$A$1:$J$1,0)))</f>
        <v/>
      </c>
      <c r="D307" s="70">
        <f>IF(H307=0,wdct(TRIM(C307)),0)</f>
        <v>0</v>
      </c>
      <c r="E307" s="70">
        <f>COUNTIFS('Error Log'!$A:$A,$A307,'Error Log'!$J:$J,E$1)</f>
        <v>0</v>
      </c>
      <c r="F307" s="70">
        <f>COUNTIFS('Error Log'!$A:$A,$A307,'Error Log'!$J:$J,F$1)</f>
        <v>0</v>
      </c>
      <c r="G307" s="70">
        <f>COUNTIFS('Error Log'!$A:$A,$A307,'Error Log'!$J:$J,G$1)</f>
        <v>0</v>
      </c>
      <c r="H307" s="70">
        <f>COUNTIFS('Error Log'!$A:$A,$A307,'Error Log'!$F:$F,"Source")</f>
        <v>0</v>
      </c>
      <c r="I307" s="70">
        <f>COUNTIFS('Error Log'!$A:$A,$A307,'Error Log'!$F:$F,"Target")</f>
        <v>0</v>
      </c>
      <c r="J307" s="71">
        <f t="shared" si="4"/>
        <v>0</v>
      </c>
    </row>
    <row r="308" spans="1:10">
      <c r="A308" s="81"/>
      <c r="B308" s="70" t="str">
        <f>IF(ISBLANK(A308),"",INDEX('Error Log'!$A:$J,MATCH('Scores per segment'!$A308,'Error Log'!$A:$A,0),MATCH('Scores per segment'!B$1,'Error Log'!$A$1:$J$1,0)))</f>
        <v/>
      </c>
      <c r="C308" s="70" t="str">
        <f>IF(ISBLANK(A308),"",INDEX('Error Log'!$A:$J,MATCH('Scores per segment'!$A308,'Error Log'!$A:$A,0),MATCH('Scores per segment'!C$1,'Error Log'!$A$1:$J$1,0)))</f>
        <v/>
      </c>
      <c r="D308" s="70">
        <f>IF(H308=0,wdct(TRIM(C308)),0)</f>
        <v>0</v>
      </c>
      <c r="E308" s="70">
        <f>COUNTIFS('Error Log'!$A:$A,$A308,'Error Log'!$J:$J,E$1)</f>
        <v>0</v>
      </c>
      <c r="F308" s="70">
        <f>COUNTIFS('Error Log'!$A:$A,$A308,'Error Log'!$J:$J,F$1)</f>
        <v>0</v>
      </c>
      <c r="G308" s="70">
        <f>COUNTIFS('Error Log'!$A:$A,$A308,'Error Log'!$J:$J,G$1)</f>
        <v>0</v>
      </c>
      <c r="H308" s="70">
        <f>COUNTIFS('Error Log'!$A:$A,$A308,'Error Log'!$F:$F,"Source")</f>
        <v>0</v>
      </c>
      <c r="I308" s="70">
        <f>COUNTIFS('Error Log'!$A:$A,$A308,'Error Log'!$F:$F,"Target")</f>
        <v>0</v>
      </c>
      <c r="J308" s="71">
        <f t="shared" si="4"/>
        <v>0</v>
      </c>
    </row>
    <row r="309" spans="1:10">
      <c r="A309" s="81"/>
      <c r="B309" s="70" t="str">
        <f>IF(ISBLANK(A309),"",INDEX('Error Log'!$A:$J,MATCH('Scores per segment'!$A309,'Error Log'!$A:$A,0),MATCH('Scores per segment'!B$1,'Error Log'!$A$1:$J$1,0)))</f>
        <v/>
      </c>
      <c r="C309" s="70" t="str">
        <f>IF(ISBLANK(A309),"",INDEX('Error Log'!$A:$J,MATCH('Scores per segment'!$A309,'Error Log'!$A:$A,0),MATCH('Scores per segment'!C$1,'Error Log'!$A$1:$J$1,0)))</f>
        <v/>
      </c>
      <c r="D309" s="70">
        <f>IF(H309=0,wdct(TRIM(C309)),0)</f>
        <v>0</v>
      </c>
      <c r="E309" s="70">
        <f>COUNTIFS('Error Log'!$A:$A,$A309,'Error Log'!$J:$J,E$1)</f>
        <v>0</v>
      </c>
      <c r="F309" s="70">
        <f>COUNTIFS('Error Log'!$A:$A,$A309,'Error Log'!$J:$J,F$1)</f>
        <v>0</v>
      </c>
      <c r="G309" s="70">
        <f>COUNTIFS('Error Log'!$A:$A,$A309,'Error Log'!$J:$J,G$1)</f>
        <v>0</v>
      </c>
      <c r="H309" s="70">
        <f>COUNTIFS('Error Log'!$A:$A,$A309,'Error Log'!$F:$F,"Source")</f>
        <v>0</v>
      </c>
      <c r="I309" s="70">
        <f>COUNTIFS('Error Log'!$A:$A,$A309,'Error Log'!$F:$F,"Target")</f>
        <v>0</v>
      </c>
      <c r="J309" s="71">
        <f t="shared" si="4"/>
        <v>0</v>
      </c>
    </row>
    <row r="310" spans="1:10">
      <c r="A310" s="81"/>
      <c r="B310" s="70" t="str">
        <f>IF(ISBLANK(A310),"",INDEX('Error Log'!$A:$J,MATCH('Scores per segment'!$A310,'Error Log'!$A:$A,0),MATCH('Scores per segment'!B$1,'Error Log'!$A$1:$J$1,0)))</f>
        <v/>
      </c>
      <c r="C310" s="70" t="str">
        <f>IF(ISBLANK(A310),"",INDEX('Error Log'!$A:$J,MATCH('Scores per segment'!$A310,'Error Log'!$A:$A,0),MATCH('Scores per segment'!C$1,'Error Log'!$A$1:$J$1,0)))</f>
        <v/>
      </c>
      <c r="D310" s="70">
        <f>IF(H310=0,wdct(TRIM(C310)),0)</f>
        <v>0</v>
      </c>
      <c r="E310" s="70">
        <f>COUNTIFS('Error Log'!$A:$A,$A310,'Error Log'!$J:$J,E$1)</f>
        <v>0</v>
      </c>
      <c r="F310" s="70">
        <f>COUNTIFS('Error Log'!$A:$A,$A310,'Error Log'!$J:$J,F$1)</f>
        <v>0</v>
      </c>
      <c r="G310" s="70">
        <f>COUNTIFS('Error Log'!$A:$A,$A310,'Error Log'!$J:$J,G$1)</f>
        <v>0</v>
      </c>
      <c r="H310" s="70">
        <f>COUNTIFS('Error Log'!$A:$A,$A310,'Error Log'!$F:$F,"Source")</f>
        <v>0</v>
      </c>
      <c r="I310" s="70">
        <f>COUNTIFS('Error Log'!$A:$A,$A310,'Error Log'!$F:$F,"Target")</f>
        <v>0</v>
      </c>
      <c r="J310" s="71">
        <f t="shared" si="4"/>
        <v>0</v>
      </c>
    </row>
    <row r="311" spans="1:10">
      <c r="A311" s="81"/>
      <c r="B311" s="70" t="str">
        <f>IF(ISBLANK(A311),"",INDEX('Error Log'!$A:$J,MATCH('Scores per segment'!$A311,'Error Log'!$A:$A,0),MATCH('Scores per segment'!B$1,'Error Log'!$A$1:$J$1,0)))</f>
        <v/>
      </c>
      <c r="C311" s="70" t="str">
        <f>IF(ISBLANK(A311),"",INDEX('Error Log'!$A:$J,MATCH('Scores per segment'!$A311,'Error Log'!$A:$A,0),MATCH('Scores per segment'!C$1,'Error Log'!$A$1:$J$1,0)))</f>
        <v/>
      </c>
      <c r="D311" s="70">
        <f>IF(H311=0,wdct(TRIM(C311)),0)</f>
        <v>0</v>
      </c>
      <c r="E311" s="70">
        <f>COUNTIFS('Error Log'!$A:$A,$A311,'Error Log'!$J:$J,E$1)</f>
        <v>0</v>
      </c>
      <c r="F311" s="70">
        <f>COUNTIFS('Error Log'!$A:$A,$A311,'Error Log'!$J:$J,F$1)</f>
        <v>0</v>
      </c>
      <c r="G311" s="70">
        <f>COUNTIFS('Error Log'!$A:$A,$A311,'Error Log'!$J:$J,G$1)</f>
        <v>0</v>
      </c>
      <c r="H311" s="70">
        <f>COUNTIFS('Error Log'!$A:$A,$A311,'Error Log'!$F:$F,"Source")</f>
        <v>0</v>
      </c>
      <c r="I311" s="70">
        <f>COUNTIFS('Error Log'!$A:$A,$A311,'Error Log'!$F:$F,"Target")</f>
        <v>0</v>
      </c>
      <c r="J311" s="71">
        <f t="shared" si="4"/>
        <v>0</v>
      </c>
    </row>
    <row r="312" spans="1:10">
      <c r="A312" s="81"/>
      <c r="B312" s="70" t="str">
        <f>IF(ISBLANK(A312),"",INDEX('Error Log'!$A:$J,MATCH('Scores per segment'!$A312,'Error Log'!$A:$A,0),MATCH('Scores per segment'!B$1,'Error Log'!$A$1:$J$1,0)))</f>
        <v/>
      </c>
      <c r="C312" s="70" t="str">
        <f>IF(ISBLANK(A312),"",INDEX('Error Log'!$A:$J,MATCH('Scores per segment'!$A312,'Error Log'!$A:$A,0),MATCH('Scores per segment'!C$1,'Error Log'!$A$1:$J$1,0)))</f>
        <v/>
      </c>
      <c r="D312" s="70">
        <f>IF(H312=0,wdct(TRIM(C312)),0)</f>
        <v>0</v>
      </c>
      <c r="E312" s="70">
        <f>COUNTIFS('Error Log'!$A:$A,$A312,'Error Log'!$J:$J,E$1)</f>
        <v>0</v>
      </c>
      <c r="F312" s="70">
        <f>COUNTIFS('Error Log'!$A:$A,$A312,'Error Log'!$J:$J,F$1)</f>
        <v>0</v>
      </c>
      <c r="G312" s="70">
        <f>COUNTIFS('Error Log'!$A:$A,$A312,'Error Log'!$J:$J,G$1)</f>
        <v>0</v>
      </c>
      <c r="H312" s="70">
        <f>COUNTIFS('Error Log'!$A:$A,$A312,'Error Log'!$F:$F,"Source")</f>
        <v>0</v>
      </c>
      <c r="I312" s="70">
        <f>COUNTIFS('Error Log'!$A:$A,$A312,'Error Log'!$F:$F,"Target")</f>
        <v>0</v>
      </c>
      <c r="J312" s="71">
        <f t="shared" si="4"/>
        <v>0</v>
      </c>
    </row>
    <row r="313" spans="1:10">
      <c r="A313" s="81"/>
      <c r="B313" s="70" t="str">
        <f>IF(ISBLANK(A313),"",INDEX('Error Log'!$A:$J,MATCH('Scores per segment'!$A313,'Error Log'!$A:$A,0),MATCH('Scores per segment'!B$1,'Error Log'!$A$1:$J$1,0)))</f>
        <v/>
      </c>
      <c r="C313" s="70" t="str">
        <f>IF(ISBLANK(A313),"",INDEX('Error Log'!$A:$J,MATCH('Scores per segment'!$A313,'Error Log'!$A:$A,0),MATCH('Scores per segment'!C$1,'Error Log'!$A$1:$J$1,0)))</f>
        <v/>
      </c>
      <c r="D313" s="70">
        <f>IF(H313=0,wdct(TRIM(C313)),0)</f>
        <v>0</v>
      </c>
      <c r="E313" s="70">
        <f>COUNTIFS('Error Log'!$A:$A,$A313,'Error Log'!$J:$J,E$1)</f>
        <v>0</v>
      </c>
      <c r="F313" s="70">
        <f>COUNTIFS('Error Log'!$A:$A,$A313,'Error Log'!$J:$J,F$1)</f>
        <v>0</v>
      </c>
      <c r="G313" s="70">
        <f>COUNTIFS('Error Log'!$A:$A,$A313,'Error Log'!$J:$J,G$1)</f>
        <v>0</v>
      </c>
      <c r="H313" s="70">
        <f>COUNTIFS('Error Log'!$A:$A,$A313,'Error Log'!$F:$F,"Source")</f>
        <v>0</v>
      </c>
      <c r="I313" s="70">
        <f>COUNTIFS('Error Log'!$A:$A,$A313,'Error Log'!$F:$F,"Target")</f>
        <v>0</v>
      </c>
      <c r="J313" s="71">
        <f t="shared" si="4"/>
        <v>0</v>
      </c>
    </row>
    <row r="314" spans="1:10">
      <c r="A314" s="81"/>
      <c r="B314" s="70" t="str">
        <f>IF(ISBLANK(A314),"",INDEX('Error Log'!$A:$J,MATCH('Scores per segment'!$A314,'Error Log'!$A:$A,0),MATCH('Scores per segment'!B$1,'Error Log'!$A$1:$J$1,0)))</f>
        <v/>
      </c>
      <c r="C314" s="70" t="str">
        <f>IF(ISBLANK(A314),"",INDEX('Error Log'!$A:$J,MATCH('Scores per segment'!$A314,'Error Log'!$A:$A,0),MATCH('Scores per segment'!C$1,'Error Log'!$A$1:$J$1,0)))</f>
        <v/>
      </c>
      <c r="D314" s="70">
        <f>IF(H314=0,wdct(TRIM(C314)),0)</f>
        <v>0</v>
      </c>
      <c r="E314" s="70">
        <f>COUNTIFS('Error Log'!$A:$A,$A314,'Error Log'!$J:$J,E$1)</f>
        <v>0</v>
      </c>
      <c r="F314" s="70">
        <f>COUNTIFS('Error Log'!$A:$A,$A314,'Error Log'!$J:$J,F$1)</f>
        <v>0</v>
      </c>
      <c r="G314" s="70">
        <f>COUNTIFS('Error Log'!$A:$A,$A314,'Error Log'!$J:$J,G$1)</f>
        <v>0</v>
      </c>
      <c r="H314" s="70">
        <f>COUNTIFS('Error Log'!$A:$A,$A314,'Error Log'!$F:$F,"Source")</f>
        <v>0</v>
      </c>
      <c r="I314" s="70">
        <f>COUNTIFS('Error Log'!$A:$A,$A314,'Error Log'!$F:$F,"Target")</f>
        <v>0</v>
      </c>
      <c r="J314" s="71">
        <f t="shared" si="4"/>
        <v>0</v>
      </c>
    </row>
    <row r="315" spans="1:10">
      <c r="A315" s="81"/>
      <c r="B315" s="70" t="str">
        <f>IF(ISBLANK(A315),"",INDEX('Error Log'!$A:$J,MATCH('Scores per segment'!$A315,'Error Log'!$A:$A,0),MATCH('Scores per segment'!B$1,'Error Log'!$A$1:$J$1,0)))</f>
        <v/>
      </c>
      <c r="C315" s="70" t="str">
        <f>IF(ISBLANK(A315),"",INDEX('Error Log'!$A:$J,MATCH('Scores per segment'!$A315,'Error Log'!$A:$A,0),MATCH('Scores per segment'!C$1,'Error Log'!$A$1:$J$1,0)))</f>
        <v/>
      </c>
      <c r="D315" s="70">
        <f>IF(H315=0,wdct(TRIM(C315)),0)</f>
        <v>0</v>
      </c>
      <c r="E315" s="70">
        <f>COUNTIFS('Error Log'!$A:$A,$A315,'Error Log'!$J:$J,E$1)</f>
        <v>0</v>
      </c>
      <c r="F315" s="70">
        <f>COUNTIFS('Error Log'!$A:$A,$A315,'Error Log'!$J:$J,F$1)</f>
        <v>0</v>
      </c>
      <c r="G315" s="70">
        <f>COUNTIFS('Error Log'!$A:$A,$A315,'Error Log'!$J:$J,G$1)</f>
        <v>0</v>
      </c>
      <c r="H315" s="70">
        <f>COUNTIFS('Error Log'!$A:$A,$A315,'Error Log'!$F:$F,"Source")</f>
        <v>0</v>
      </c>
      <c r="I315" s="70">
        <f>COUNTIFS('Error Log'!$A:$A,$A315,'Error Log'!$F:$F,"Target")</f>
        <v>0</v>
      </c>
      <c r="J315" s="71">
        <f t="shared" si="4"/>
        <v>0</v>
      </c>
    </row>
    <row r="316" spans="1:10">
      <c r="A316" s="81"/>
      <c r="B316" s="70" t="str">
        <f>IF(ISBLANK(A316),"",INDEX('Error Log'!$A:$J,MATCH('Scores per segment'!$A316,'Error Log'!$A:$A,0),MATCH('Scores per segment'!B$1,'Error Log'!$A$1:$J$1,0)))</f>
        <v/>
      </c>
      <c r="C316" s="70" t="str">
        <f>IF(ISBLANK(A316),"",INDEX('Error Log'!$A:$J,MATCH('Scores per segment'!$A316,'Error Log'!$A:$A,0),MATCH('Scores per segment'!C$1,'Error Log'!$A$1:$J$1,0)))</f>
        <v/>
      </c>
      <c r="D316" s="70">
        <f>IF(H316=0,wdct(TRIM(C316)),0)</f>
        <v>0</v>
      </c>
      <c r="E316" s="70">
        <f>COUNTIFS('Error Log'!$A:$A,$A316,'Error Log'!$J:$J,E$1)</f>
        <v>0</v>
      </c>
      <c r="F316" s="70">
        <f>COUNTIFS('Error Log'!$A:$A,$A316,'Error Log'!$J:$J,F$1)</f>
        <v>0</v>
      </c>
      <c r="G316" s="70">
        <f>COUNTIFS('Error Log'!$A:$A,$A316,'Error Log'!$J:$J,G$1)</f>
        <v>0</v>
      </c>
      <c r="H316" s="70">
        <f>COUNTIFS('Error Log'!$A:$A,$A316,'Error Log'!$F:$F,"Source")</f>
        <v>0</v>
      </c>
      <c r="I316" s="70">
        <f>COUNTIFS('Error Log'!$A:$A,$A316,'Error Log'!$F:$F,"Target")</f>
        <v>0</v>
      </c>
      <c r="J316" s="71">
        <f t="shared" si="4"/>
        <v>0</v>
      </c>
    </row>
    <row r="317" spans="1:10">
      <c r="A317" s="81"/>
      <c r="B317" s="70" t="str">
        <f>IF(ISBLANK(A317),"",INDEX('Error Log'!$A:$J,MATCH('Scores per segment'!$A317,'Error Log'!$A:$A,0),MATCH('Scores per segment'!B$1,'Error Log'!$A$1:$J$1,0)))</f>
        <v/>
      </c>
      <c r="C317" s="70" t="str">
        <f>IF(ISBLANK(A317),"",INDEX('Error Log'!$A:$J,MATCH('Scores per segment'!$A317,'Error Log'!$A:$A,0),MATCH('Scores per segment'!C$1,'Error Log'!$A$1:$J$1,0)))</f>
        <v/>
      </c>
      <c r="D317" s="70">
        <f>IF(H317=0,wdct(TRIM(C317)),0)</f>
        <v>0</v>
      </c>
      <c r="E317" s="70">
        <f>COUNTIFS('Error Log'!$A:$A,$A317,'Error Log'!$J:$J,E$1)</f>
        <v>0</v>
      </c>
      <c r="F317" s="70">
        <f>COUNTIFS('Error Log'!$A:$A,$A317,'Error Log'!$J:$J,F$1)</f>
        <v>0</v>
      </c>
      <c r="G317" s="70">
        <f>COUNTIFS('Error Log'!$A:$A,$A317,'Error Log'!$J:$J,G$1)</f>
        <v>0</v>
      </c>
      <c r="H317" s="70">
        <f>COUNTIFS('Error Log'!$A:$A,$A317,'Error Log'!$F:$F,"Source")</f>
        <v>0</v>
      </c>
      <c r="I317" s="70">
        <f>COUNTIFS('Error Log'!$A:$A,$A317,'Error Log'!$F:$F,"Target")</f>
        <v>0</v>
      </c>
      <c r="J317" s="71">
        <f t="shared" si="4"/>
        <v>0</v>
      </c>
    </row>
    <row r="318" spans="1:10">
      <c r="A318" s="81"/>
      <c r="B318" s="70" t="str">
        <f>IF(ISBLANK(A318),"",INDEX('Error Log'!$A:$J,MATCH('Scores per segment'!$A318,'Error Log'!$A:$A,0),MATCH('Scores per segment'!B$1,'Error Log'!$A$1:$J$1,0)))</f>
        <v/>
      </c>
      <c r="C318" s="70" t="str">
        <f>IF(ISBLANK(A318),"",INDEX('Error Log'!$A:$J,MATCH('Scores per segment'!$A318,'Error Log'!$A:$A,0),MATCH('Scores per segment'!C$1,'Error Log'!$A$1:$J$1,0)))</f>
        <v/>
      </c>
      <c r="D318" s="70">
        <f>IF(H318=0,wdct(TRIM(C318)),0)</f>
        <v>0</v>
      </c>
      <c r="E318" s="70">
        <f>COUNTIFS('Error Log'!$A:$A,$A318,'Error Log'!$J:$J,E$1)</f>
        <v>0</v>
      </c>
      <c r="F318" s="70">
        <f>COUNTIFS('Error Log'!$A:$A,$A318,'Error Log'!$J:$J,F$1)</f>
        <v>0</v>
      </c>
      <c r="G318" s="70">
        <f>COUNTIFS('Error Log'!$A:$A,$A318,'Error Log'!$J:$J,G$1)</f>
        <v>0</v>
      </c>
      <c r="H318" s="70">
        <f>COUNTIFS('Error Log'!$A:$A,$A318,'Error Log'!$F:$F,"Source")</f>
        <v>0</v>
      </c>
      <c r="I318" s="70">
        <f>COUNTIFS('Error Log'!$A:$A,$A318,'Error Log'!$F:$F,"Target")</f>
        <v>0</v>
      </c>
      <c r="J318" s="71">
        <f t="shared" si="4"/>
        <v>0</v>
      </c>
    </row>
    <row r="319" spans="1:10">
      <c r="A319" s="81"/>
      <c r="B319" s="70" t="str">
        <f>IF(ISBLANK(A319),"",INDEX('Error Log'!$A:$J,MATCH('Scores per segment'!$A319,'Error Log'!$A:$A,0),MATCH('Scores per segment'!B$1,'Error Log'!$A$1:$J$1,0)))</f>
        <v/>
      </c>
      <c r="C319" s="70" t="str">
        <f>IF(ISBLANK(A319),"",INDEX('Error Log'!$A:$J,MATCH('Scores per segment'!$A319,'Error Log'!$A:$A,0),MATCH('Scores per segment'!C$1,'Error Log'!$A$1:$J$1,0)))</f>
        <v/>
      </c>
      <c r="D319" s="70">
        <f>IF(H319=0,wdct(TRIM(C319)),0)</f>
        <v>0</v>
      </c>
      <c r="E319" s="70">
        <f>COUNTIFS('Error Log'!$A:$A,$A319,'Error Log'!$J:$J,E$1)</f>
        <v>0</v>
      </c>
      <c r="F319" s="70">
        <f>COUNTIFS('Error Log'!$A:$A,$A319,'Error Log'!$J:$J,F$1)</f>
        <v>0</v>
      </c>
      <c r="G319" s="70">
        <f>COUNTIFS('Error Log'!$A:$A,$A319,'Error Log'!$J:$J,G$1)</f>
        <v>0</v>
      </c>
      <c r="H319" s="70">
        <f>COUNTIFS('Error Log'!$A:$A,$A319,'Error Log'!$F:$F,"Source")</f>
        <v>0</v>
      </c>
      <c r="I319" s="70">
        <f>COUNTIFS('Error Log'!$A:$A,$A319,'Error Log'!$F:$F,"Target")</f>
        <v>0</v>
      </c>
      <c r="J319" s="71">
        <f t="shared" si="4"/>
        <v>0</v>
      </c>
    </row>
    <row r="320" spans="1:10">
      <c r="A320" s="81"/>
      <c r="B320" s="70" t="str">
        <f>IF(ISBLANK(A320),"",INDEX('Error Log'!$A:$J,MATCH('Scores per segment'!$A320,'Error Log'!$A:$A,0),MATCH('Scores per segment'!B$1,'Error Log'!$A$1:$J$1,0)))</f>
        <v/>
      </c>
      <c r="C320" s="70" t="str">
        <f>IF(ISBLANK(A320),"",INDEX('Error Log'!$A:$J,MATCH('Scores per segment'!$A320,'Error Log'!$A:$A,0),MATCH('Scores per segment'!C$1,'Error Log'!$A$1:$J$1,0)))</f>
        <v/>
      </c>
      <c r="D320" s="70">
        <f>IF(H320=0,wdct(TRIM(C320)),0)</f>
        <v>0</v>
      </c>
      <c r="E320" s="70">
        <f>COUNTIFS('Error Log'!$A:$A,$A320,'Error Log'!$J:$J,E$1)</f>
        <v>0</v>
      </c>
      <c r="F320" s="70">
        <f>COUNTIFS('Error Log'!$A:$A,$A320,'Error Log'!$J:$J,F$1)</f>
        <v>0</v>
      </c>
      <c r="G320" s="70">
        <f>COUNTIFS('Error Log'!$A:$A,$A320,'Error Log'!$J:$J,G$1)</f>
        <v>0</v>
      </c>
      <c r="H320" s="70">
        <f>COUNTIFS('Error Log'!$A:$A,$A320,'Error Log'!$F:$F,"Source")</f>
        <v>0</v>
      </c>
      <c r="I320" s="70">
        <f>COUNTIFS('Error Log'!$A:$A,$A320,'Error Log'!$F:$F,"Target")</f>
        <v>0</v>
      </c>
      <c r="J320" s="71">
        <f t="shared" si="4"/>
        <v>0</v>
      </c>
    </row>
    <row r="321" spans="1:10">
      <c r="A321" s="81"/>
      <c r="B321" s="70" t="str">
        <f>IF(ISBLANK(A321),"",INDEX('Error Log'!$A:$J,MATCH('Scores per segment'!$A321,'Error Log'!$A:$A,0),MATCH('Scores per segment'!B$1,'Error Log'!$A$1:$J$1,0)))</f>
        <v/>
      </c>
      <c r="C321" s="70" t="str">
        <f>IF(ISBLANK(A321),"",INDEX('Error Log'!$A:$J,MATCH('Scores per segment'!$A321,'Error Log'!$A:$A,0),MATCH('Scores per segment'!C$1,'Error Log'!$A$1:$J$1,0)))</f>
        <v/>
      </c>
      <c r="D321" s="70">
        <f>IF(H321=0,wdct(TRIM(C321)),0)</f>
        <v>0</v>
      </c>
      <c r="E321" s="70">
        <f>COUNTIFS('Error Log'!$A:$A,$A321,'Error Log'!$J:$J,E$1)</f>
        <v>0</v>
      </c>
      <c r="F321" s="70">
        <f>COUNTIFS('Error Log'!$A:$A,$A321,'Error Log'!$J:$J,F$1)</f>
        <v>0</v>
      </c>
      <c r="G321" s="70">
        <f>COUNTIFS('Error Log'!$A:$A,$A321,'Error Log'!$J:$J,G$1)</f>
        <v>0</v>
      </c>
      <c r="H321" s="70">
        <f>COUNTIFS('Error Log'!$A:$A,$A321,'Error Log'!$F:$F,"Source")</f>
        <v>0</v>
      </c>
      <c r="I321" s="70">
        <f>COUNTIFS('Error Log'!$A:$A,$A321,'Error Log'!$F:$F,"Target")</f>
        <v>0</v>
      </c>
      <c r="J321" s="71">
        <f t="shared" si="4"/>
        <v>0</v>
      </c>
    </row>
    <row r="322" spans="1:10">
      <c r="A322" s="81"/>
      <c r="B322" s="70" t="str">
        <f>IF(ISBLANK(A322),"",INDEX('Error Log'!$A:$J,MATCH('Scores per segment'!$A322,'Error Log'!$A:$A,0),MATCH('Scores per segment'!B$1,'Error Log'!$A$1:$J$1,0)))</f>
        <v/>
      </c>
      <c r="C322" s="70" t="str">
        <f>IF(ISBLANK(A322),"",INDEX('Error Log'!$A:$J,MATCH('Scores per segment'!$A322,'Error Log'!$A:$A,0),MATCH('Scores per segment'!C$1,'Error Log'!$A$1:$J$1,0)))</f>
        <v/>
      </c>
      <c r="D322" s="70">
        <f>IF(H322=0,wdct(TRIM(C322)),0)</f>
        <v>0</v>
      </c>
      <c r="E322" s="70">
        <f>COUNTIFS('Error Log'!$A:$A,$A322,'Error Log'!$J:$J,E$1)</f>
        <v>0</v>
      </c>
      <c r="F322" s="70">
        <f>COUNTIFS('Error Log'!$A:$A,$A322,'Error Log'!$J:$J,F$1)</f>
        <v>0</v>
      </c>
      <c r="G322" s="70">
        <f>COUNTIFS('Error Log'!$A:$A,$A322,'Error Log'!$J:$J,G$1)</f>
        <v>0</v>
      </c>
      <c r="H322" s="70">
        <f>COUNTIFS('Error Log'!$A:$A,$A322,'Error Log'!$F:$F,"Source")</f>
        <v>0</v>
      </c>
      <c r="I322" s="70">
        <f>COUNTIFS('Error Log'!$A:$A,$A322,'Error Log'!$F:$F,"Target")</f>
        <v>0</v>
      </c>
      <c r="J322" s="71">
        <f t="shared" ref="J322:J385" si="5">IF(I322=0,IFERROR((((1-((E322*10+F322*5+G322*1)/D322))*100)+100)/2,0),-150)</f>
        <v>0</v>
      </c>
    </row>
    <row r="323" spans="1:10">
      <c r="A323" s="81"/>
      <c r="B323" s="70" t="str">
        <f>IF(ISBLANK(A323),"",INDEX('Error Log'!$A:$J,MATCH('Scores per segment'!$A323,'Error Log'!$A:$A,0),MATCH('Scores per segment'!B$1,'Error Log'!$A$1:$J$1,0)))</f>
        <v/>
      </c>
      <c r="C323" s="70" t="str">
        <f>IF(ISBLANK(A323),"",INDEX('Error Log'!$A:$J,MATCH('Scores per segment'!$A323,'Error Log'!$A:$A,0),MATCH('Scores per segment'!C$1,'Error Log'!$A$1:$J$1,0)))</f>
        <v/>
      </c>
      <c r="D323" s="70">
        <f>IF(H323=0,wdct(TRIM(C323)),0)</f>
        <v>0</v>
      </c>
      <c r="E323" s="70">
        <f>COUNTIFS('Error Log'!$A:$A,$A323,'Error Log'!$J:$J,E$1)</f>
        <v>0</v>
      </c>
      <c r="F323" s="70">
        <f>COUNTIFS('Error Log'!$A:$A,$A323,'Error Log'!$J:$J,F$1)</f>
        <v>0</v>
      </c>
      <c r="G323" s="70">
        <f>COUNTIFS('Error Log'!$A:$A,$A323,'Error Log'!$J:$J,G$1)</f>
        <v>0</v>
      </c>
      <c r="H323" s="70">
        <f>COUNTIFS('Error Log'!$A:$A,$A323,'Error Log'!$F:$F,"Source")</f>
        <v>0</v>
      </c>
      <c r="I323" s="70">
        <f>COUNTIFS('Error Log'!$A:$A,$A323,'Error Log'!$F:$F,"Target")</f>
        <v>0</v>
      </c>
      <c r="J323" s="71">
        <f t="shared" si="5"/>
        <v>0</v>
      </c>
    </row>
    <row r="324" spans="1:10">
      <c r="A324" s="81"/>
      <c r="B324" s="70" t="str">
        <f>IF(ISBLANK(A324),"",INDEX('Error Log'!$A:$J,MATCH('Scores per segment'!$A324,'Error Log'!$A:$A,0),MATCH('Scores per segment'!B$1,'Error Log'!$A$1:$J$1,0)))</f>
        <v/>
      </c>
      <c r="C324" s="70" t="str">
        <f>IF(ISBLANK(A324),"",INDEX('Error Log'!$A:$J,MATCH('Scores per segment'!$A324,'Error Log'!$A:$A,0),MATCH('Scores per segment'!C$1,'Error Log'!$A$1:$J$1,0)))</f>
        <v/>
      </c>
      <c r="D324" s="70">
        <f>IF(H324=0,wdct(TRIM(C324)),0)</f>
        <v>0</v>
      </c>
      <c r="E324" s="70">
        <f>COUNTIFS('Error Log'!$A:$A,$A324,'Error Log'!$J:$J,E$1)</f>
        <v>0</v>
      </c>
      <c r="F324" s="70">
        <f>COUNTIFS('Error Log'!$A:$A,$A324,'Error Log'!$J:$J,F$1)</f>
        <v>0</v>
      </c>
      <c r="G324" s="70">
        <f>COUNTIFS('Error Log'!$A:$A,$A324,'Error Log'!$J:$J,G$1)</f>
        <v>0</v>
      </c>
      <c r="H324" s="70">
        <f>COUNTIFS('Error Log'!$A:$A,$A324,'Error Log'!$F:$F,"Source")</f>
        <v>0</v>
      </c>
      <c r="I324" s="70">
        <f>COUNTIFS('Error Log'!$A:$A,$A324,'Error Log'!$F:$F,"Target")</f>
        <v>0</v>
      </c>
      <c r="J324" s="71">
        <f t="shared" si="5"/>
        <v>0</v>
      </c>
    </row>
    <row r="325" spans="1:10">
      <c r="A325" s="81"/>
      <c r="B325" s="70" t="str">
        <f>IF(ISBLANK(A325),"",INDEX('Error Log'!$A:$J,MATCH('Scores per segment'!$A325,'Error Log'!$A:$A,0),MATCH('Scores per segment'!B$1,'Error Log'!$A$1:$J$1,0)))</f>
        <v/>
      </c>
      <c r="C325" s="70" t="str">
        <f>IF(ISBLANK(A325),"",INDEX('Error Log'!$A:$J,MATCH('Scores per segment'!$A325,'Error Log'!$A:$A,0),MATCH('Scores per segment'!C$1,'Error Log'!$A$1:$J$1,0)))</f>
        <v/>
      </c>
      <c r="D325" s="70">
        <f>IF(H325=0,wdct(TRIM(C325)),0)</f>
        <v>0</v>
      </c>
      <c r="E325" s="70">
        <f>COUNTIFS('Error Log'!$A:$A,$A325,'Error Log'!$J:$J,E$1)</f>
        <v>0</v>
      </c>
      <c r="F325" s="70">
        <f>COUNTIFS('Error Log'!$A:$A,$A325,'Error Log'!$J:$J,F$1)</f>
        <v>0</v>
      </c>
      <c r="G325" s="70">
        <f>COUNTIFS('Error Log'!$A:$A,$A325,'Error Log'!$J:$J,G$1)</f>
        <v>0</v>
      </c>
      <c r="H325" s="70">
        <f>COUNTIFS('Error Log'!$A:$A,$A325,'Error Log'!$F:$F,"Source")</f>
        <v>0</v>
      </c>
      <c r="I325" s="70">
        <f>COUNTIFS('Error Log'!$A:$A,$A325,'Error Log'!$F:$F,"Target")</f>
        <v>0</v>
      </c>
      <c r="J325" s="71">
        <f t="shared" si="5"/>
        <v>0</v>
      </c>
    </row>
    <row r="326" spans="1:10">
      <c r="A326" s="81"/>
      <c r="B326" s="70" t="str">
        <f>IF(ISBLANK(A326),"",INDEX('Error Log'!$A:$J,MATCH('Scores per segment'!$A326,'Error Log'!$A:$A,0),MATCH('Scores per segment'!B$1,'Error Log'!$A$1:$J$1,0)))</f>
        <v/>
      </c>
      <c r="C326" s="70" t="str">
        <f>IF(ISBLANK(A326),"",INDEX('Error Log'!$A:$J,MATCH('Scores per segment'!$A326,'Error Log'!$A:$A,0),MATCH('Scores per segment'!C$1,'Error Log'!$A$1:$J$1,0)))</f>
        <v/>
      </c>
      <c r="D326" s="70">
        <f>IF(H326=0,wdct(TRIM(C326)),0)</f>
        <v>0</v>
      </c>
      <c r="E326" s="70">
        <f>COUNTIFS('Error Log'!$A:$A,$A326,'Error Log'!$J:$J,E$1)</f>
        <v>0</v>
      </c>
      <c r="F326" s="70">
        <f>COUNTIFS('Error Log'!$A:$A,$A326,'Error Log'!$J:$J,F$1)</f>
        <v>0</v>
      </c>
      <c r="G326" s="70">
        <f>COUNTIFS('Error Log'!$A:$A,$A326,'Error Log'!$J:$J,G$1)</f>
        <v>0</v>
      </c>
      <c r="H326" s="70">
        <f>COUNTIFS('Error Log'!$A:$A,$A326,'Error Log'!$F:$F,"Source")</f>
        <v>0</v>
      </c>
      <c r="I326" s="70">
        <f>COUNTIFS('Error Log'!$A:$A,$A326,'Error Log'!$F:$F,"Target")</f>
        <v>0</v>
      </c>
      <c r="J326" s="71">
        <f t="shared" si="5"/>
        <v>0</v>
      </c>
    </row>
    <row r="327" spans="1:10">
      <c r="A327" s="81"/>
      <c r="B327" s="70" t="str">
        <f>IF(ISBLANK(A327),"",INDEX('Error Log'!$A:$J,MATCH('Scores per segment'!$A327,'Error Log'!$A:$A,0),MATCH('Scores per segment'!B$1,'Error Log'!$A$1:$J$1,0)))</f>
        <v/>
      </c>
      <c r="C327" s="70" t="str">
        <f>IF(ISBLANK(A327),"",INDEX('Error Log'!$A:$J,MATCH('Scores per segment'!$A327,'Error Log'!$A:$A,0),MATCH('Scores per segment'!C$1,'Error Log'!$A$1:$J$1,0)))</f>
        <v/>
      </c>
      <c r="D327" s="70">
        <f>IF(H327=0,wdct(TRIM(C327)),0)</f>
        <v>0</v>
      </c>
      <c r="E327" s="70">
        <f>COUNTIFS('Error Log'!$A:$A,$A327,'Error Log'!$J:$J,E$1)</f>
        <v>0</v>
      </c>
      <c r="F327" s="70">
        <f>COUNTIFS('Error Log'!$A:$A,$A327,'Error Log'!$J:$J,F$1)</f>
        <v>0</v>
      </c>
      <c r="G327" s="70">
        <f>COUNTIFS('Error Log'!$A:$A,$A327,'Error Log'!$J:$J,G$1)</f>
        <v>0</v>
      </c>
      <c r="H327" s="70">
        <f>COUNTIFS('Error Log'!$A:$A,$A327,'Error Log'!$F:$F,"Source")</f>
        <v>0</v>
      </c>
      <c r="I327" s="70">
        <f>COUNTIFS('Error Log'!$A:$A,$A327,'Error Log'!$F:$F,"Target")</f>
        <v>0</v>
      </c>
      <c r="J327" s="71">
        <f t="shared" si="5"/>
        <v>0</v>
      </c>
    </row>
    <row r="328" spans="1:10">
      <c r="A328" s="81"/>
      <c r="B328" s="70" t="str">
        <f>IF(ISBLANK(A328),"",INDEX('Error Log'!$A:$J,MATCH('Scores per segment'!$A328,'Error Log'!$A:$A,0),MATCH('Scores per segment'!B$1,'Error Log'!$A$1:$J$1,0)))</f>
        <v/>
      </c>
      <c r="C328" s="70" t="str">
        <f>IF(ISBLANK(A328),"",INDEX('Error Log'!$A:$J,MATCH('Scores per segment'!$A328,'Error Log'!$A:$A,0),MATCH('Scores per segment'!C$1,'Error Log'!$A$1:$J$1,0)))</f>
        <v/>
      </c>
      <c r="D328" s="70">
        <f>IF(H328=0,wdct(TRIM(C328)),0)</f>
        <v>0</v>
      </c>
      <c r="E328" s="70">
        <f>COUNTIFS('Error Log'!$A:$A,$A328,'Error Log'!$J:$J,E$1)</f>
        <v>0</v>
      </c>
      <c r="F328" s="70">
        <f>COUNTIFS('Error Log'!$A:$A,$A328,'Error Log'!$J:$J,F$1)</f>
        <v>0</v>
      </c>
      <c r="G328" s="70">
        <f>COUNTIFS('Error Log'!$A:$A,$A328,'Error Log'!$J:$J,G$1)</f>
        <v>0</v>
      </c>
      <c r="H328" s="70">
        <f>COUNTIFS('Error Log'!$A:$A,$A328,'Error Log'!$F:$F,"Source")</f>
        <v>0</v>
      </c>
      <c r="I328" s="70">
        <f>COUNTIFS('Error Log'!$A:$A,$A328,'Error Log'!$F:$F,"Target")</f>
        <v>0</v>
      </c>
      <c r="J328" s="71">
        <f t="shared" si="5"/>
        <v>0</v>
      </c>
    </row>
    <row r="329" spans="1:10">
      <c r="A329" s="81"/>
      <c r="B329" s="70" t="str">
        <f>IF(ISBLANK(A329),"",INDEX('Error Log'!$A:$J,MATCH('Scores per segment'!$A329,'Error Log'!$A:$A,0),MATCH('Scores per segment'!B$1,'Error Log'!$A$1:$J$1,0)))</f>
        <v/>
      </c>
      <c r="C329" s="70" t="str">
        <f>IF(ISBLANK(A329),"",INDEX('Error Log'!$A:$J,MATCH('Scores per segment'!$A329,'Error Log'!$A:$A,0),MATCH('Scores per segment'!C$1,'Error Log'!$A$1:$J$1,0)))</f>
        <v/>
      </c>
      <c r="D329" s="70">
        <f>IF(H329=0,wdct(TRIM(C329)),0)</f>
        <v>0</v>
      </c>
      <c r="E329" s="70">
        <f>COUNTIFS('Error Log'!$A:$A,$A329,'Error Log'!$J:$J,E$1)</f>
        <v>0</v>
      </c>
      <c r="F329" s="70">
        <f>COUNTIFS('Error Log'!$A:$A,$A329,'Error Log'!$J:$J,F$1)</f>
        <v>0</v>
      </c>
      <c r="G329" s="70">
        <f>COUNTIFS('Error Log'!$A:$A,$A329,'Error Log'!$J:$J,G$1)</f>
        <v>0</v>
      </c>
      <c r="H329" s="70">
        <f>COUNTIFS('Error Log'!$A:$A,$A329,'Error Log'!$F:$F,"Source")</f>
        <v>0</v>
      </c>
      <c r="I329" s="70">
        <f>COUNTIFS('Error Log'!$A:$A,$A329,'Error Log'!$F:$F,"Target")</f>
        <v>0</v>
      </c>
      <c r="J329" s="71">
        <f t="shared" si="5"/>
        <v>0</v>
      </c>
    </row>
    <row r="330" spans="1:10">
      <c r="A330" s="81"/>
      <c r="B330" s="70" t="str">
        <f>IF(ISBLANK(A330),"",INDEX('Error Log'!$A:$J,MATCH('Scores per segment'!$A330,'Error Log'!$A:$A,0),MATCH('Scores per segment'!B$1,'Error Log'!$A$1:$J$1,0)))</f>
        <v/>
      </c>
      <c r="C330" s="70" t="str">
        <f>IF(ISBLANK(A330),"",INDEX('Error Log'!$A:$J,MATCH('Scores per segment'!$A330,'Error Log'!$A:$A,0),MATCH('Scores per segment'!C$1,'Error Log'!$A$1:$J$1,0)))</f>
        <v/>
      </c>
      <c r="D330" s="70">
        <f>IF(H330=0,wdct(TRIM(C330)),0)</f>
        <v>0</v>
      </c>
      <c r="E330" s="70">
        <f>COUNTIFS('Error Log'!$A:$A,$A330,'Error Log'!$J:$J,E$1)</f>
        <v>0</v>
      </c>
      <c r="F330" s="70">
        <f>COUNTIFS('Error Log'!$A:$A,$A330,'Error Log'!$J:$J,F$1)</f>
        <v>0</v>
      </c>
      <c r="G330" s="70">
        <f>COUNTIFS('Error Log'!$A:$A,$A330,'Error Log'!$J:$J,G$1)</f>
        <v>0</v>
      </c>
      <c r="H330" s="70">
        <f>COUNTIFS('Error Log'!$A:$A,$A330,'Error Log'!$F:$F,"Source")</f>
        <v>0</v>
      </c>
      <c r="I330" s="70">
        <f>COUNTIFS('Error Log'!$A:$A,$A330,'Error Log'!$F:$F,"Target")</f>
        <v>0</v>
      </c>
      <c r="J330" s="71">
        <f t="shared" si="5"/>
        <v>0</v>
      </c>
    </row>
    <row r="331" spans="1:10">
      <c r="A331" s="81"/>
      <c r="B331" s="70" t="str">
        <f>IF(ISBLANK(A331),"",INDEX('Error Log'!$A:$J,MATCH('Scores per segment'!$A331,'Error Log'!$A:$A,0),MATCH('Scores per segment'!B$1,'Error Log'!$A$1:$J$1,0)))</f>
        <v/>
      </c>
      <c r="C331" s="70" t="str">
        <f>IF(ISBLANK(A331),"",INDEX('Error Log'!$A:$J,MATCH('Scores per segment'!$A331,'Error Log'!$A:$A,0),MATCH('Scores per segment'!C$1,'Error Log'!$A$1:$J$1,0)))</f>
        <v/>
      </c>
      <c r="D331" s="70">
        <f>IF(H331=0,wdct(TRIM(C331)),0)</f>
        <v>0</v>
      </c>
      <c r="E331" s="70">
        <f>COUNTIFS('Error Log'!$A:$A,$A331,'Error Log'!$J:$J,E$1)</f>
        <v>0</v>
      </c>
      <c r="F331" s="70">
        <f>COUNTIFS('Error Log'!$A:$A,$A331,'Error Log'!$J:$J,F$1)</f>
        <v>0</v>
      </c>
      <c r="G331" s="70">
        <f>COUNTIFS('Error Log'!$A:$A,$A331,'Error Log'!$J:$J,G$1)</f>
        <v>0</v>
      </c>
      <c r="H331" s="70">
        <f>COUNTIFS('Error Log'!$A:$A,$A331,'Error Log'!$F:$F,"Source")</f>
        <v>0</v>
      </c>
      <c r="I331" s="70">
        <f>COUNTIFS('Error Log'!$A:$A,$A331,'Error Log'!$F:$F,"Target")</f>
        <v>0</v>
      </c>
      <c r="J331" s="71">
        <f t="shared" si="5"/>
        <v>0</v>
      </c>
    </row>
    <row r="332" spans="1:10">
      <c r="A332" s="81"/>
      <c r="B332" s="70" t="str">
        <f>IF(ISBLANK(A332),"",INDEX('Error Log'!$A:$J,MATCH('Scores per segment'!$A332,'Error Log'!$A:$A,0),MATCH('Scores per segment'!B$1,'Error Log'!$A$1:$J$1,0)))</f>
        <v/>
      </c>
      <c r="C332" s="70" t="str">
        <f>IF(ISBLANK(A332),"",INDEX('Error Log'!$A:$J,MATCH('Scores per segment'!$A332,'Error Log'!$A:$A,0),MATCH('Scores per segment'!C$1,'Error Log'!$A$1:$J$1,0)))</f>
        <v/>
      </c>
      <c r="D332" s="70">
        <f>IF(H332=0,wdct(TRIM(C332)),0)</f>
        <v>0</v>
      </c>
      <c r="E332" s="70">
        <f>COUNTIFS('Error Log'!$A:$A,$A332,'Error Log'!$J:$J,E$1)</f>
        <v>0</v>
      </c>
      <c r="F332" s="70">
        <f>COUNTIFS('Error Log'!$A:$A,$A332,'Error Log'!$J:$J,F$1)</f>
        <v>0</v>
      </c>
      <c r="G332" s="70">
        <f>COUNTIFS('Error Log'!$A:$A,$A332,'Error Log'!$J:$J,G$1)</f>
        <v>0</v>
      </c>
      <c r="H332" s="70">
        <f>COUNTIFS('Error Log'!$A:$A,$A332,'Error Log'!$F:$F,"Source")</f>
        <v>0</v>
      </c>
      <c r="I332" s="70">
        <f>COUNTIFS('Error Log'!$A:$A,$A332,'Error Log'!$F:$F,"Target")</f>
        <v>0</v>
      </c>
      <c r="J332" s="71">
        <f t="shared" si="5"/>
        <v>0</v>
      </c>
    </row>
    <row r="333" spans="1:10">
      <c r="A333" s="81"/>
      <c r="B333" s="70" t="str">
        <f>IF(ISBLANK(A333),"",INDEX('Error Log'!$A:$J,MATCH('Scores per segment'!$A333,'Error Log'!$A:$A,0),MATCH('Scores per segment'!B$1,'Error Log'!$A$1:$J$1,0)))</f>
        <v/>
      </c>
      <c r="C333" s="70" t="str">
        <f>IF(ISBLANK(A333),"",INDEX('Error Log'!$A:$J,MATCH('Scores per segment'!$A333,'Error Log'!$A:$A,0),MATCH('Scores per segment'!C$1,'Error Log'!$A$1:$J$1,0)))</f>
        <v/>
      </c>
      <c r="D333" s="70">
        <f>IF(H333=0,wdct(TRIM(C333)),0)</f>
        <v>0</v>
      </c>
      <c r="E333" s="70">
        <f>COUNTIFS('Error Log'!$A:$A,$A333,'Error Log'!$J:$J,E$1)</f>
        <v>0</v>
      </c>
      <c r="F333" s="70">
        <f>COUNTIFS('Error Log'!$A:$A,$A333,'Error Log'!$J:$J,F$1)</f>
        <v>0</v>
      </c>
      <c r="G333" s="70">
        <f>COUNTIFS('Error Log'!$A:$A,$A333,'Error Log'!$J:$J,G$1)</f>
        <v>0</v>
      </c>
      <c r="H333" s="70">
        <f>COUNTIFS('Error Log'!$A:$A,$A333,'Error Log'!$F:$F,"Source")</f>
        <v>0</v>
      </c>
      <c r="I333" s="70">
        <f>COUNTIFS('Error Log'!$A:$A,$A333,'Error Log'!$F:$F,"Target")</f>
        <v>0</v>
      </c>
      <c r="J333" s="71">
        <f t="shared" si="5"/>
        <v>0</v>
      </c>
    </row>
    <row r="334" spans="1:10">
      <c r="A334" s="81"/>
      <c r="B334" s="70" t="str">
        <f>IF(ISBLANK(A334),"",INDEX('Error Log'!$A:$J,MATCH('Scores per segment'!$A334,'Error Log'!$A:$A,0),MATCH('Scores per segment'!B$1,'Error Log'!$A$1:$J$1,0)))</f>
        <v/>
      </c>
      <c r="C334" s="70" t="str">
        <f>IF(ISBLANK(A334),"",INDEX('Error Log'!$A:$J,MATCH('Scores per segment'!$A334,'Error Log'!$A:$A,0),MATCH('Scores per segment'!C$1,'Error Log'!$A$1:$J$1,0)))</f>
        <v/>
      </c>
      <c r="D334" s="70">
        <f>IF(H334=0,wdct(TRIM(C334)),0)</f>
        <v>0</v>
      </c>
      <c r="E334" s="70">
        <f>COUNTIFS('Error Log'!$A:$A,$A334,'Error Log'!$J:$J,E$1)</f>
        <v>0</v>
      </c>
      <c r="F334" s="70">
        <f>COUNTIFS('Error Log'!$A:$A,$A334,'Error Log'!$J:$J,F$1)</f>
        <v>0</v>
      </c>
      <c r="G334" s="70">
        <f>COUNTIFS('Error Log'!$A:$A,$A334,'Error Log'!$J:$J,G$1)</f>
        <v>0</v>
      </c>
      <c r="H334" s="70">
        <f>COUNTIFS('Error Log'!$A:$A,$A334,'Error Log'!$F:$F,"Source")</f>
        <v>0</v>
      </c>
      <c r="I334" s="70">
        <f>COUNTIFS('Error Log'!$A:$A,$A334,'Error Log'!$F:$F,"Target")</f>
        <v>0</v>
      </c>
      <c r="J334" s="71">
        <f t="shared" si="5"/>
        <v>0</v>
      </c>
    </row>
    <row r="335" spans="1:10">
      <c r="A335" s="81"/>
      <c r="B335" s="70" t="str">
        <f>IF(ISBLANK(A335),"",INDEX('Error Log'!$A:$J,MATCH('Scores per segment'!$A335,'Error Log'!$A:$A,0),MATCH('Scores per segment'!B$1,'Error Log'!$A$1:$J$1,0)))</f>
        <v/>
      </c>
      <c r="C335" s="70" t="str">
        <f>IF(ISBLANK(A335),"",INDEX('Error Log'!$A:$J,MATCH('Scores per segment'!$A335,'Error Log'!$A:$A,0),MATCH('Scores per segment'!C$1,'Error Log'!$A$1:$J$1,0)))</f>
        <v/>
      </c>
      <c r="D335" s="70">
        <f>IF(H335=0,wdct(TRIM(C335)),0)</f>
        <v>0</v>
      </c>
      <c r="E335" s="70">
        <f>COUNTIFS('Error Log'!$A:$A,$A335,'Error Log'!$J:$J,E$1)</f>
        <v>0</v>
      </c>
      <c r="F335" s="70">
        <f>COUNTIFS('Error Log'!$A:$A,$A335,'Error Log'!$J:$J,F$1)</f>
        <v>0</v>
      </c>
      <c r="G335" s="70">
        <f>COUNTIFS('Error Log'!$A:$A,$A335,'Error Log'!$J:$J,G$1)</f>
        <v>0</v>
      </c>
      <c r="H335" s="70">
        <f>COUNTIFS('Error Log'!$A:$A,$A335,'Error Log'!$F:$F,"Source")</f>
        <v>0</v>
      </c>
      <c r="I335" s="70">
        <f>COUNTIFS('Error Log'!$A:$A,$A335,'Error Log'!$F:$F,"Target")</f>
        <v>0</v>
      </c>
      <c r="J335" s="71">
        <f t="shared" si="5"/>
        <v>0</v>
      </c>
    </row>
    <row r="336" spans="1:10">
      <c r="A336" s="81"/>
      <c r="B336" s="70" t="str">
        <f>IF(ISBLANK(A336),"",INDEX('Error Log'!$A:$J,MATCH('Scores per segment'!$A336,'Error Log'!$A:$A,0),MATCH('Scores per segment'!B$1,'Error Log'!$A$1:$J$1,0)))</f>
        <v/>
      </c>
      <c r="C336" s="70" t="str">
        <f>IF(ISBLANK(A336),"",INDEX('Error Log'!$A:$J,MATCH('Scores per segment'!$A336,'Error Log'!$A:$A,0),MATCH('Scores per segment'!C$1,'Error Log'!$A$1:$J$1,0)))</f>
        <v/>
      </c>
      <c r="D336" s="70">
        <f>IF(H336=0,wdct(TRIM(C336)),0)</f>
        <v>0</v>
      </c>
      <c r="E336" s="70">
        <f>COUNTIFS('Error Log'!$A:$A,$A336,'Error Log'!$J:$J,E$1)</f>
        <v>0</v>
      </c>
      <c r="F336" s="70">
        <f>COUNTIFS('Error Log'!$A:$A,$A336,'Error Log'!$J:$J,F$1)</f>
        <v>0</v>
      </c>
      <c r="G336" s="70">
        <f>COUNTIFS('Error Log'!$A:$A,$A336,'Error Log'!$J:$J,G$1)</f>
        <v>0</v>
      </c>
      <c r="H336" s="70">
        <f>COUNTIFS('Error Log'!$A:$A,$A336,'Error Log'!$F:$F,"Source")</f>
        <v>0</v>
      </c>
      <c r="I336" s="70">
        <f>COUNTIFS('Error Log'!$A:$A,$A336,'Error Log'!$F:$F,"Target")</f>
        <v>0</v>
      </c>
      <c r="J336" s="71">
        <f t="shared" si="5"/>
        <v>0</v>
      </c>
    </row>
    <row r="337" spans="1:10">
      <c r="A337" s="81"/>
      <c r="B337" s="70" t="str">
        <f>IF(ISBLANK(A337),"",INDEX('Error Log'!$A:$J,MATCH('Scores per segment'!$A337,'Error Log'!$A:$A,0),MATCH('Scores per segment'!B$1,'Error Log'!$A$1:$J$1,0)))</f>
        <v/>
      </c>
      <c r="C337" s="70" t="str">
        <f>IF(ISBLANK(A337),"",INDEX('Error Log'!$A:$J,MATCH('Scores per segment'!$A337,'Error Log'!$A:$A,0),MATCH('Scores per segment'!C$1,'Error Log'!$A$1:$J$1,0)))</f>
        <v/>
      </c>
      <c r="D337" s="70">
        <f>IF(H337=0,wdct(TRIM(C337)),0)</f>
        <v>0</v>
      </c>
      <c r="E337" s="70">
        <f>COUNTIFS('Error Log'!$A:$A,$A337,'Error Log'!$J:$J,E$1)</f>
        <v>0</v>
      </c>
      <c r="F337" s="70">
        <f>COUNTIFS('Error Log'!$A:$A,$A337,'Error Log'!$J:$J,F$1)</f>
        <v>0</v>
      </c>
      <c r="G337" s="70">
        <f>COUNTIFS('Error Log'!$A:$A,$A337,'Error Log'!$J:$J,G$1)</f>
        <v>0</v>
      </c>
      <c r="H337" s="70">
        <f>COUNTIFS('Error Log'!$A:$A,$A337,'Error Log'!$F:$F,"Source")</f>
        <v>0</v>
      </c>
      <c r="I337" s="70">
        <f>COUNTIFS('Error Log'!$A:$A,$A337,'Error Log'!$F:$F,"Target")</f>
        <v>0</v>
      </c>
      <c r="J337" s="71">
        <f t="shared" si="5"/>
        <v>0</v>
      </c>
    </row>
    <row r="338" spans="1:10">
      <c r="A338" s="81"/>
      <c r="B338" s="70" t="str">
        <f>IF(ISBLANK(A338),"",INDEX('Error Log'!$A:$J,MATCH('Scores per segment'!$A338,'Error Log'!$A:$A,0),MATCH('Scores per segment'!B$1,'Error Log'!$A$1:$J$1,0)))</f>
        <v/>
      </c>
      <c r="C338" s="70" t="str">
        <f>IF(ISBLANK(A338),"",INDEX('Error Log'!$A:$J,MATCH('Scores per segment'!$A338,'Error Log'!$A:$A,0),MATCH('Scores per segment'!C$1,'Error Log'!$A$1:$J$1,0)))</f>
        <v/>
      </c>
      <c r="D338" s="70">
        <f>IF(H338=0,wdct(TRIM(C338)),0)</f>
        <v>0</v>
      </c>
      <c r="E338" s="70">
        <f>COUNTIFS('Error Log'!$A:$A,$A338,'Error Log'!$J:$J,E$1)</f>
        <v>0</v>
      </c>
      <c r="F338" s="70">
        <f>COUNTIFS('Error Log'!$A:$A,$A338,'Error Log'!$J:$J,F$1)</f>
        <v>0</v>
      </c>
      <c r="G338" s="70">
        <f>COUNTIFS('Error Log'!$A:$A,$A338,'Error Log'!$J:$J,G$1)</f>
        <v>0</v>
      </c>
      <c r="H338" s="70">
        <f>COUNTIFS('Error Log'!$A:$A,$A338,'Error Log'!$F:$F,"Source")</f>
        <v>0</v>
      </c>
      <c r="I338" s="70">
        <f>COUNTIFS('Error Log'!$A:$A,$A338,'Error Log'!$F:$F,"Target")</f>
        <v>0</v>
      </c>
      <c r="J338" s="71">
        <f t="shared" si="5"/>
        <v>0</v>
      </c>
    </row>
    <row r="339" spans="1:10">
      <c r="A339" s="81"/>
      <c r="B339" s="70" t="str">
        <f>IF(ISBLANK(A339),"",INDEX('Error Log'!$A:$J,MATCH('Scores per segment'!$A339,'Error Log'!$A:$A,0),MATCH('Scores per segment'!B$1,'Error Log'!$A$1:$J$1,0)))</f>
        <v/>
      </c>
      <c r="C339" s="70" t="str">
        <f>IF(ISBLANK(A339),"",INDEX('Error Log'!$A:$J,MATCH('Scores per segment'!$A339,'Error Log'!$A:$A,0),MATCH('Scores per segment'!C$1,'Error Log'!$A$1:$J$1,0)))</f>
        <v/>
      </c>
      <c r="D339" s="70">
        <f>IF(H339=0,wdct(TRIM(C339)),0)</f>
        <v>0</v>
      </c>
      <c r="E339" s="70">
        <f>COUNTIFS('Error Log'!$A:$A,$A339,'Error Log'!$J:$J,E$1)</f>
        <v>0</v>
      </c>
      <c r="F339" s="70">
        <f>COUNTIFS('Error Log'!$A:$A,$A339,'Error Log'!$J:$J,F$1)</f>
        <v>0</v>
      </c>
      <c r="G339" s="70">
        <f>COUNTIFS('Error Log'!$A:$A,$A339,'Error Log'!$J:$J,G$1)</f>
        <v>0</v>
      </c>
      <c r="H339" s="70">
        <f>COUNTIFS('Error Log'!$A:$A,$A339,'Error Log'!$F:$F,"Source")</f>
        <v>0</v>
      </c>
      <c r="I339" s="70">
        <f>COUNTIFS('Error Log'!$A:$A,$A339,'Error Log'!$F:$F,"Target")</f>
        <v>0</v>
      </c>
      <c r="J339" s="71">
        <f t="shared" si="5"/>
        <v>0</v>
      </c>
    </row>
    <row r="340" spans="1:10">
      <c r="A340" s="81"/>
      <c r="B340" s="70" t="str">
        <f>IF(ISBLANK(A340),"",INDEX('Error Log'!$A:$J,MATCH('Scores per segment'!$A340,'Error Log'!$A:$A,0),MATCH('Scores per segment'!B$1,'Error Log'!$A$1:$J$1,0)))</f>
        <v/>
      </c>
      <c r="C340" s="70" t="str">
        <f>IF(ISBLANK(A340),"",INDEX('Error Log'!$A:$J,MATCH('Scores per segment'!$A340,'Error Log'!$A:$A,0),MATCH('Scores per segment'!C$1,'Error Log'!$A$1:$J$1,0)))</f>
        <v/>
      </c>
      <c r="D340" s="70">
        <f>IF(H340=0,wdct(TRIM(C340)),0)</f>
        <v>0</v>
      </c>
      <c r="E340" s="70">
        <f>COUNTIFS('Error Log'!$A:$A,$A340,'Error Log'!$J:$J,E$1)</f>
        <v>0</v>
      </c>
      <c r="F340" s="70">
        <f>COUNTIFS('Error Log'!$A:$A,$A340,'Error Log'!$J:$J,F$1)</f>
        <v>0</v>
      </c>
      <c r="G340" s="70">
        <f>COUNTIFS('Error Log'!$A:$A,$A340,'Error Log'!$J:$J,G$1)</f>
        <v>0</v>
      </c>
      <c r="H340" s="70">
        <f>COUNTIFS('Error Log'!$A:$A,$A340,'Error Log'!$F:$F,"Source")</f>
        <v>0</v>
      </c>
      <c r="I340" s="70">
        <f>COUNTIFS('Error Log'!$A:$A,$A340,'Error Log'!$F:$F,"Target")</f>
        <v>0</v>
      </c>
      <c r="J340" s="71">
        <f t="shared" si="5"/>
        <v>0</v>
      </c>
    </row>
    <row r="341" spans="1:10">
      <c r="A341" s="81"/>
      <c r="B341" s="70" t="str">
        <f>IF(ISBLANK(A341),"",INDEX('Error Log'!$A:$J,MATCH('Scores per segment'!$A341,'Error Log'!$A:$A,0),MATCH('Scores per segment'!B$1,'Error Log'!$A$1:$J$1,0)))</f>
        <v/>
      </c>
      <c r="C341" s="70" t="str">
        <f>IF(ISBLANK(A341),"",INDEX('Error Log'!$A:$J,MATCH('Scores per segment'!$A341,'Error Log'!$A:$A,0),MATCH('Scores per segment'!C$1,'Error Log'!$A$1:$J$1,0)))</f>
        <v/>
      </c>
      <c r="D341" s="70">
        <f>IF(H341=0,wdct(TRIM(C341)),0)</f>
        <v>0</v>
      </c>
      <c r="E341" s="70">
        <f>COUNTIFS('Error Log'!$A:$A,$A341,'Error Log'!$J:$J,E$1)</f>
        <v>0</v>
      </c>
      <c r="F341" s="70">
        <f>COUNTIFS('Error Log'!$A:$A,$A341,'Error Log'!$J:$J,F$1)</f>
        <v>0</v>
      </c>
      <c r="G341" s="70">
        <f>COUNTIFS('Error Log'!$A:$A,$A341,'Error Log'!$J:$J,G$1)</f>
        <v>0</v>
      </c>
      <c r="H341" s="70">
        <f>COUNTIFS('Error Log'!$A:$A,$A341,'Error Log'!$F:$F,"Source")</f>
        <v>0</v>
      </c>
      <c r="I341" s="70">
        <f>COUNTIFS('Error Log'!$A:$A,$A341,'Error Log'!$F:$F,"Target")</f>
        <v>0</v>
      </c>
      <c r="J341" s="71">
        <f t="shared" si="5"/>
        <v>0</v>
      </c>
    </row>
    <row r="342" spans="1:10">
      <c r="A342" s="81"/>
      <c r="B342" s="70" t="str">
        <f>IF(ISBLANK(A342),"",INDEX('Error Log'!$A:$J,MATCH('Scores per segment'!$A342,'Error Log'!$A:$A,0),MATCH('Scores per segment'!B$1,'Error Log'!$A$1:$J$1,0)))</f>
        <v/>
      </c>
      <c r="C342" s="70" t="str">
        <f>IF(ISBLANK(A342),"",INDEX('Error Log'!$A:$J,MATCH('Scores per segment'!$A342,'Error Log'!$A:$A,0),MATCH('Scores per segment'!C$1,'Error Log'!$A$1:$J$1,0)))</f>
        <v/>
      </c>
      <c r="D342" s="70">
        <f>IF(H342=0,wdct(TRIM(C342)),0)</f>
        <v>0</v>
      </c>
      <c r="E342" s="70">
        <f>COUNTIFS('Error Log'!$A:$A,$A342,'Error Log'!$J:$J,E$1)</f>
        <v>0</v>
      </c>
      <c r="F342" s="70">
        <f>COUNTIFS('Error Log'!$A:$A,$A342,'Error Log'!$J:$J,F$1)</f>
        <v>0</v>
      </c>
      <c r="G342" s="70">
        <f>COUNTIFS('Error Log'!$A:$A,$A342,'Error Log'!$J:$J,G$1)</f>
        <v>0</v>
      </c>
      <c r="H342" s="70">
        <f>COUNTIFS('Error Log'!$A:$A,$A342,'Error Log'!$F:$F,"Source")</f>
        <v>0</v>
      </c>
      <c r="I342" s="70">
        <f>COUNTIFS('Error Log'!$A:$A,$A342,'Error Log'!$F:$F,"Target")</f>
        <v>0</v>
      </c>
      <c r="J342" s="71">
        <f t="shared" si="5"/>
        <v>0</v>
      </c>
    </row>
    <row r="343" spans="1:10">
      <c r="A343" s="81"/>
      <c r="B343" s="70" t="str">
        <f>IF(ISBLANK(A343),"",INDEX('Error Log'!$A:$J,MATCH('Scores per segment'!$A343,'Error Log'!$A:$A,0),MATCH('Scores per segment'!B$1,'Error Log'!$A$1:$J$1,0)))</f>
        <v/>
      </c>
      <c r="C343" s="70" t="str">
        <f>IF(ISBLANK(A343),"",INDEX('Error Log'!$A:$J,MATCH('Scores per segment'!$A343,'Error Log'!$A:$A,0),MATCH('Scores per segment'!C$1,'Error Log'!$A$1:$J$1,0)))</f>
        <v/>
      </c>
      <c r="D343" s="70">
        <f>IF(H343=0,wdct(TRIM(C343)),0)</f>
        <v>0</v>
      </c>
      <c r="E343" s="70">
        <f>COUNTIFS('Error Log'!$A:$A,$A343,'Error Log'!$J:$J,E$1)</f>
        <v>0</v>
      </c>
      <c r="F343" s="70">
        <f>COUNTIFS('Error Log'!$A:$A,$A343,'Error Log'!$J:$J,F$1)</f>
        <v>0</v>
      </c>
      <c r="G343" s="70">
        <f>COUNTIFS('Error Log'!$A:$A,$A343,'Error Log'!$J:$J,G$1)</f>
        <v>0</v>
      </c>
      <c r="H343" s="70">
        <f>COUNTIFS('Error Log'!$A:$A,$A343,'Error Log'!$F:$F,"Source")</f>
        <v>0</v>
      </c>
      <c r="I343" s="70">
        <f>COUNTIFS('Error Log'!$A:$A,$A343,'Error Log'!$F:$F,"Target")</f>
        <v>0</v>
      </c>
      <c r="J343" s="71">
        <f t="shared" si="5"/>
        <v>0</v>
      </c>
    </row>
    <row r="344" spans="1:10">
      <c r="A344" s="81"/>
      <c r="B344" s="70" t="str">
        <f>IF(ISBLANK(A344),"",INDEX('Error Log'!$A:$J,MATCH('Scores per segment'!$A344,'Error Log'!$A:$A,0),MATCH('Scores per segment'!B$1,'Error Log'!$A$1:$J$1,0)))</f>
        <v/>
      </c>
      <c r="C344" s="70" t="str">
        <f>IF(ISBLANK(A344),"",INDEX('Error Log'!$A:$J,MATCH('Scores per segment'!$A344,'Error Log'!$A:$A,0),MATCH('Scores per segment'!C$1,'Error Log'!$A$1:$J$1,0)))</f>
        <v/>
      </c>
      <c r="D344" s="70">
        <f>IF(H344=0,wdct(TRIM(C344)),0)</f>
        <v>0</v>
      </c>
      <c r="E344" s="70">
        <f>COUNTIFS('Error Log'!$A:$A,$A344,'Error Log'!$J:$J,E$1)</f>
        <v>0</v>
      </c>
      <c r="F344" s="70">
        <f>COUNTIFS('Error Log'!$A:$A,$A344,'Error Log'!$J:$J,F$1)</f>
        <v>0</v>
      </c>
      <c r="G344" s="70">
        <f>COUNTIFS('Error Log'!$A:$A,$A344,'Error Log'!$J:$J,G$1)</f>
        <v>0</v>
      </c>
      <c r="H344" s="70">
        <f>COUNTIFS('Error Log'!$A:$A,$A344,'Error Log'!$F:$F,"Source")</f>
        <v>0</v>
      </c>
      <c r="I344" s="70">
        <f>COUNTIFS('Error Log'!$A:$A,$A344,'Error Log'!$F:$F,"Target")</f>
        <v>0</v>
      </c>
      <c r="J344" s="71">
        <f t="shared" si="5"/>
        <v>0</v>
      </c>
    </row>
    <row r="345" spans="1:10">
      <c r="A345" s="81"/>
      <c r="B345" s="70" t="str">
        <f>IF(ISBLANK(A345),"",INDEX('Error Log'!$A:$J,MATCH('Scores per segment'!$A345,'Error Log'!$A:$A,0),MATCH('Scores per segment'!B$1,'Error Log'!$A$1:$J$1,0)))</f>
        <v/>
      </c>
      <c r="C345" s="70" t="str">
        <f>IF(ISBLANK(A345),"",INDEX('Error Log'!$A:$J,MATCH('Scores per segment'!$A345,'Error Log'!$A:$A,0),MATCH('Scores per segment'!C$1,'Error Log'!$A$1:$J$1,0)))</f>
        <v/>
      </c>
      <c r="D345" s="70">
        <f>IF(H345=0,wdct(TRIM(C345)),0)</f>
        <v>0</v>
      </c>
      <c r="E345" s="70">
        <f>COUNTIFS('Error Log'!$A:$A,$A345,'Error Log'!$J:$J,E$1)</f>
        <v>0</v>
      </c>
      <c r="F345" s="70">
        <f>COUNTIFS('Error Log'!$A:$A,$A345,'Error Log'!$J:$J,F$1)</f>
        <v>0</v>
      </c>
      <c r="G345" s="70">
        <f>COUNTIFS('Error Log'!$A:$A,$A345,'Error Log'!$J:$J,G$1)</f>
        <v>0</v>
      </c>
      <c r="H345" s="70">
        <f>COUNTIFS('Error Log'!$A:$A,$A345,'Error Log'!$F:$F,"Source")</f>
        <v>0</v>
      </c>
      <c r="I345" s="70">
        <f>COUNTIFS('Error Log'!$A:$A,$A345,'Error Log'!$F:$F,"Target")</f>
        <v>0</v>
      </c>
      <c r="J345" s="71">
        <f t="shared" si="5"/>
        <v>0</v>
      </c>
    </row>
    <row r="346" spans="1:10">
      <c r="A346" s="81"/>
      <c r="B346" s="70" t="str">
        <f>IF(ISBLANK(A346),"",INDEX('Error Log'!$A:$J,MATCH('Scores per segment'!$A346,'Error Log'!$A:$A,0),MATCH('Scores per segment'!B$1,'Error Log'!$A$1:$J$1,0)))</f>
        <v/>
      </c>
      <c r="C346" s="70" t="str">
        <f>IF(ISBLANK(A346),"",INDEX('Error Log'!$A:$J,MATCH('Scores per segment'!$A346,'Error Log'!$A:$A,0),MATCH('Scores per segment'!C$1,'Error Log'!$A$1:$J$1,0)))</f>
        <v/>
      </c>
      <c r="D346" s="70">
        <f>IF(H346=0,wdct(TRIM(C346)),0)</f>
        <v>0</v>
      </c>
      <c r="E346" s="70">
        <f>COUNTIFS('Error Log'!$A:$A,$A346,'Error Log'!$J:$J,E$1)</f>
        <v>0</v>
      </c>
      <c r="F346" s="70">
        <f>COUNTIFS('Error Log'!$A:$A,$A346,'Error Log'!$J:$J,F$1)</f>
        <v>0</v>
      </c>
      <c r="G346" s="70">
        <f>COUNTIFS('Error Log'!$A:$A,$A346,'Error Log'!$J:$J,G$1)</f>
        <v>0</v>
      </c>
      <c r="H346" s="70">
        <f>COUNTIFS('Error Log'!$A:$A,$A346,'Error Log'!$F:$F,"Source")</f>
        <v>0</v>
      </c>
      <c r="I346" s="70">
        <f>COUNTIFS('Error Log'!$A:$A,$A346,'Error Log'!$F:$F,"Target")</f>
        <v>0</v>
      </c>
      <c r="J346" s="71">
        <f t="shared" si="5"/>
        <v>0</v>
      </c>
    </row>
    <row r="347" spans="1:10">
      <c r="A347" s="81"/>
      <c r="B347" s="70" t="str">
        <f>IF(ISBLANK(A347),"",INDEX('Error Log'!$A:$J,MATCH('Scores per segment'!$A347,'Error Log'!$A:$A,0),MATCH('Scores per segment'!B$1,'Error Log'!$A$1:$J$1,0)))</f>
        <v/>
      </c>
      <c r="C347" s="70" t="str">
        <f>IF(ISBLANK(A347),"",INDEX('Error Log'!$A:$J,MATCH('Scores per segment'!$A347,'Error Log'!$A:$A,0),MATCH('Scores per segment'!C$1,'Error Log'!$A$1:$J$1,0)))</f>
        <v/>
      </c>
      <c r="D347" s="70">
        <f>IF(H347=0,wdct(TRIM(C347)),0)</f>
        <v>0</v>
      </c>
      <c r="E347" s="70">
        <f>COUNTIFS('Error Log'!$A:$A,$A347,'Error Log'!$J:$J,E$1)</f>
        <v>0</v>
      </c>
      <c r="F347" s="70">
        <f>COUNTIFS('Error Log'!$A:$A,$A347,'Error Log'!$J:$J,F$1)</f>
        <v>0</v>
      </c>
      <c r="G347" s="70">
        <f>COUNTIFS('Error Log'!$A:$A,$A347,'Error Log'!$J:$J,G$1)</f>
        <v>0</v>
      </c>
      <c r="H347" s="70">
        <f>COUNTIFS('Error Log'!$A:$A,$A347,'Error Log'!$F:$F,"Source")</f>
        <v>0</v>
      </c>
      <c r="I347" s="70">
        <f>COUNTIFS('Error Log'!$A:$A,$A347,'Error Log'!$F:$F,"Target")</f>
        <v>0</v>
      </c>
      <c r="J347" s="71">
        <f t="shared" si="5"/>
        <v>0</v>
      </c>
    </row>
    <row r="348" spans="1:10">
      <c r="A348" s="81"/>
      <c r="B348" s="70" t="str">
        <f>IF(ISBLANK(A348),"",INDEX('Error Log'!$A:$J,MATCH('Scores per segment'!$A348,'Error Log'!$A:$A,0),MATCH('Scores per segment'!B$1,'Error Log'!$A$1:$J$1,0)))</f>
        <v/>
      </c>
      <c r="C348" s="70" t="str">
        <f>IF(ISBLANK(A348),"",INDEX('Error Log'!$A:$J,MATCH('Scores per segment'!$A348,'Error Log'!$A:$A,0),MATCH('Scores per segment'!C$1,'Error Log'!$A$1:$J$1,0)))</f>
        <v/>
      </c>
      <c r="D348" s="70">
        <f>IF(H348=0,wdct(TRIM(C348)),0)</f>
        <v>0</v>
      </c>
      <c r="E348" s="70">
        <f>COUNTIFS('Error Log'!$A:$A,$A348,'Error Log'!$J:$J,E$1)</f>
        <v>0</v>
      </c>
      <c r="F348" s="70">
        <f>COUNTIFS('Error Log'!$A:$A,$A348,'Error Log'!$J:$J,F$1)</f>
        <v>0</v>
      </c>
      <c r="G348" s="70">
        <f>COUNTIFS('Error Log'!$A:$A,$A348,'Error Log'!$J:$J,G$1)</f>
        <v>0</v>
      </c>
      <c r="H348" s="70">
        <f>COUNTIFS('Error Log'!$A:$A,$A348,'Error Log'!$F:$F,"Source")</f>
        <v>0</v>
      </c>
      <c r="I348" s="70">
        <f>COUNTIFS('Error Log'!$A:$A,$A348,'Error Log'!$F:$F,"Target")</f>
        <v>0</v>
      </c>
      <c r="J348" s="71">
        <f t="shared" si="5"/>
        <v>0</v>
      </c>
    </row>
    <row r="349" spans="1:10">
      <c r="A349" s="81"/>
      <c r="B349" s="70" t="str">
        <f>IF(ISBLANK(A349),"",INDEX('Error Log'!$A:$J,MATCH('Scores per segment'!$A349,'Error Log'!$A:$A,0),MATCH('Scores per segment'!B$1,'Error Log'!$A$1:$J$1,0)))</f>
        <v/>
      </c>
      <c r="C349" s="70" t="str">
        <f>IF(ISBLANK(A349),"",INDEX('Error Log'!$A:$J,MATCH('Scores per segment'!$A349,'Error Log'!$A:$A,0),MATCH('Scores per segment'!C$1,'Error Log'!$A$1:$J$1,0)))</f>
        <v/>
      </c>
      <c r="D349" s="70">
        <f>IF(H349=0,wdct(TRIM(C349)),0)</f>
        <v>0</v>
      </c>
      <c r="E349" s="70">
        <f>COUNTIFS('Error Log'!$A:$A,$A349,'Error Log'!$J:$J,E$1)</f>
        <v>0</v>
      </c>
      <c r="F349" s="70">
        <f>COUNTIFS('Error Log'!$A:$A,$A349,'Error Log'!$J:$J,F$1)</f>
        <v>0</v>
      </c>
      <c r="G349" s="70">
        <f>COUNTIFS('Error Log'!$A:$A,$A349,'Error Log'!$J:$J,G$1)</f>
        <v>0</v>
      </c>
      <c r="H349" s="70">
        <f>COUNTIFS('Error Log'!$A:$A,$A349,'Error Log'!$F:$F,"Source")</f>
        <v>0</v>
      </c>
      <c r="I349" s="70">
        <f>COUNTIFS('Error Log'!$A:$A,$A349,'Error Log'!$F:$F,"Target")</f>
        <v>0</v>
      </c>
      <c r="J349" s="71">
        <f t="shared" si="5"/>
        <v>0</v>
      </c>
    </row>
    <row r="350" spans="1:10">
      <c r="A350" s="81"/>
      <c r="B350" s="70" t="str">
        <f>IF(ISBLANK(A350),"",INDEX('Error Log'!$A:$J,MATCH('Scores per segment'!$A350,'Error Log'!$A:$A,0),MATCH('Scores per segment'!B$1,'Error Log'!$A$1:$J$1,0)))</f>
        <v/>
      </c>
      <c r="C350" s="70" t="str">
        <f>IF(ISBLANK(A350),"",INDEX('Error Log'!$A:$J,MATCH('Scores per segment'!$A350,'Error Log'!$A:$A,0),MATCH('Scores per segment'!C$1,'Error Log'!$A$1:$J$1,0)))</f>
        <v/>
      </c>
      <c r="D350" s="70">
        <f>IF(H350=0,wdct(TRIM(C350)),0)</f>
        <v>0</v>
      </c>
      <c r="E350" s="70">
        <f>COUNTIFS('Error Log'!$A:$A,$A350,'Error Log'!$J:$J,E$1)</f>
        <v>0</v>
      </c>
      <c r="F350" s="70">
        <f>COUNTIFS('Error Log'!$A:$A,$A350,'Error Log'!$J:$J,F$1)</f>
        <v>0</v>
      </c>
      <c r="G350" s="70">
        <f>COUNTIFS('Error Log'!$A:$A,$A350,'Error Log'!$J:$J,G$1)</f>
        <v>0</v>
      </c>
      <c r="H350" s="70">
        <f>COUNTIFS('Error Log'!$A:$A,$A350,'Error Log'!$F:$F,"Source")</f>
        <v>0</v>
      </c>
      <c r="I350" s="70">
        <f>COUNTIFS('Error Log'!$A:$A,$A350,'Error Log'!$F:$F,"Target")</f>
        <v>0</v>
      </c>
      <c r="J350" s="71">
        <f t="shared" si="5"/>
        <v>0</v>
      </c>
    </row>
    <row r="351" spans="1:10">
      <c r="A351" s="81"/>
      <c r="B351" s="70" t="str">
        <f>IF(ISBLANK(A351),"",INDEX('Error Log'!$A:$J,MATCH('Scores per segment'!$A351,'Error Log'!$A:$A,0),MATCH('Scores per segment'!B$1,'Error Log'!$A$1:$J$1,0)))</f>
        <v/>
      </c>
      <c r="C351" s="70" t="str">
        <f>IF(ISBLANK(A351),"",INDEX('Error Log'!$A:$J,MATCH('Scores per segment'!$A351,'Error Log'!$A:$A,0),MATCH('Scores per segment'!C$1,'Error Log'!$A$1:$J$1,0)))</f>
        <v/>
      </c>
      <c r="D351" s="70">
        <f>IF(H351=0,wdct(TRIM(C351)),0)</f>
        <v>0</v>
      </c>
      <c r="E351" s="70">
        <f>COUNTIFS('Error Log'!$A:$A,$A351,'Error Log'!$J:$J,E$1)</f>
        <v>0</v>
      </c>
      <c r="F351" s="70">
        <f>COUNTIFS('Error Log'!$A:$A,$A351,'Error Log'!$J:$J,F$1)</f>
        <v>0</v>
      </c>
      <c r="G351" s="70">
        <f>COUNTIFS('Error Log'!$A:$A,$A351,'Error Log'!$J:$J,G$1)</f>
        <v>0</v>
      </c>
      <c r="H351" s="70">
        <f>COUNTIFS('Error Log'!$A:$A,$A351,'Error Log'!$F:$F,"Source")</f>
        <v>0</v>
      </c>
      <c r="I351" s="70">
        <f>COUNTIFS('Error Log'!$A:$A,$A351,'Error Log'!$F:$F,"Target")</f>
        <v>0</v>
      </c>
      <c r="J351" s="71">
        <f t="shared" si="5"/>
        <v>0</v>
      </c>
    </row>
    <row r="352" spans="1:10">
      <c r="A352" s="81"/>
      <c r="B352" s="70" t="str">
        <f>IF(ISBLANK(A352),"",INDEX('Error Log'!$A:$J,MATCH('Scores per segment'!$A352,'Error Log'!$A:$A,0),MATCH('Scores per segment'!B$1,'Error Log'!$A$1:$J$1,0)))</f>
        <v/>
      </c>
      <c r="C352" s="70" t="str">
        <f>IF(ISBLANK(A352),"",INDEX('Error Log'!$A:$J,MATCH('Scores per segment'!$A352,'Error Log'!$A:$A,0),MATCH('Scores per segment'!C$1,'Error Log'!$A$1:$J$1,0)))</f>
        <v/>
      </c>
      <c r="D352" s="70">
        <f>IF(H352=0,wdct(TRIM(C352)),0)</f>
        <v>0</v>
      </c>
      <c r="E352" s="70">
        <f>COUNTIFS('Error Log'!$A:$A,$A352,'Error Log'!$J:$J,E$1)</f>
        <v>0</v>
      </c>
      <c r="F352" s="70">
        <f>COUNTIFS('Error Log'!$A:$A,$A352,'Error Log'!$J:$J,F$1)</f>
        <v>0</v>
      </c>
      <c r="G352" s="70">
        <f>COUNTIFS('Error Log'!$A:$A,$A352,'Error Log'!$J:$J,G$1)</f>
        <v>0</v>
      </c>
      <c r="H352" s="70">
        <f>COUNTIFS('Error Log'!$A:$A,$A352,'Error Log'!$F:$F,"Source")</f>
        <v>0</v>
      </c>
      <c r="I352" s="70">
        <f>COUNTIFS('Error Log'!$A:$A,$A352,'Error Log'!$F:$F,"Target")</f>
        <v>0</v>
      </c>
      <c r="J352" s="71">
        <f t="shared" si="5"/>
        <v>0</v>
      </c>
    </row>
    <row r="353" spans="1:10">
      <c r="A353" s="81"/>
      <c r="B353" s="70" t="str">
        <f>IF(ISBLANK(A353),"",INDEX('Error Log'!$A:$J,MATCH('Scores per segment'!$A353,'Error Log'!$A:$A,0),MATCH('Scores per segment'!B$1,'Error Log'!$A$1:$J$1,0)))</f>
        <v/>
      </c>
      <c r="C353" s="70" t="str">
        <f>IF(ISBLANK(A353),"",INDEX('Error Log'!$A:$J,MATCH('Scores per segment'!$A353,'Error Log'!$A:$A,0),MATCH('Scores per segment'!C$1,'Error Log'!$A$1:$J$1,0)))</f>
        <v/>
      </c>
      <c r="D353" s="70">
        <f>IF(H353=0,wdct(TRIM(C353)),0)</f>
        <v>0</v>
      </c>
      <c r="E353" s="70">
        <f>COUNTIFS('Error Log'!$A:$A,$A353,'Error Log'!$J:$J,E$1)</f>
        <v>0</v>
      </c>
      <c r="F353" s="70">
        <f>COUNTIFS('Error Log'!$A:$A,$A353,'Error Log'!$J:$J,F$1)</f>
        <v>0</v>
      </c>
      <c r="G353" s="70">
        <f>COUNTIFS('Error Log'!$A:$A,$A353,'Error Log'!$J:$J,G$1)</f>
        <v>0</v>
      </c>
      <c r="H353" s="70">
        <f>COUNTIFS('Error Log'!$A:$A,$A353,'Error Log'!$F:$F,"Source")</f>
        <v>0</v>
      </c>
      <c r="I353" s="70">
        <f>COUNTIFS('Error Log'!$A:$A,$A353,'Error Log'!$F:$F,"Target")</f>
        <v>0</v>
      </c>
      <c r="J353" s="71">
        <f t="shared" si="5"/>
        <v>0</v>
      </c>
    </row>
    <row r="354" spans="1:10">
      <c r="A354" s="81"/>
      <c r="B354" s="70" t="str">
        <f>IF(ISBLANK(A354),"",INDEX('Error Log'!$A:$J,MATCH('Scores per segment'!$A354,'Error Log'!$A:$A,0),MATCH('Scores per segment'!B$1,'Error Log'!$A$1:$J$1,0)))</f>
        <v/>
      </c>
      <c r="C354" s="70" t="str">
        <f>IF(ISBLANK(A354),"",INDEX('Error Log'!$A:$J,MATCH('Scores per segment'!$A354,'Error Log'!$A:$A,0),MATCH('Scores per segment'!C$1,'Error Log'!$A$1:$J$1,0)))</f>
        <v/>
      </c>
      <c r="D354" s="70">
        <f>IF(H354=0,wdct(TRIM(C354)),0)</f>
        <v>0</v>
      </c>
      <c r="E354" s="70">
        <f>COUNTIFS('Error Log'!$A:$A,$A354,'Error Log'!$J:$J,E$1)</f>
        <v>0</v>
      </c>
      <c r="F354" s="70">
        <f>COUNTIFS('Error Log'!$A:$A,$A354,'Error Log'!$J:$J,F$1)</f>
        <v>0</v>
      </c>
      <c r="G354" s="70">
        <f>COUNTIFS('Error Log'!$A:$A,$A354,'Error Log'!$J:$J,G$1)</f>
        <v>0</v>
      </c>
      <c r="H354" s="70">
        <f>COUNTIFS('Error Log'!$A:$A,$A354,'Error Log'!$F:$F,"Source")</f>
        <v>0</v>
      </c>
      <c r="I354" s="70">
        <f>COUNTIFS('Error Log'!$A:$A,$A354,'Error Log'!$F:$F,"Target")</f>
        <v>0</v>
      </c>
      <c r="J354" s="71">
        <f t="shared" si="5"/>
        <v>0</v>
      </c>
    </row>
    <row r="355" spans="1:10">
      <c r="A355" s="81"/>
      <c r="B355" s="70" t="str">
        <f>IF(ISBLANK(A355),"",INDEX('Error Log'!$A:$J,MATCH('Scores per segment'!$A355,'Error Log'!$A:$A,0),MATCH('Scores per segment'!B$1,'Error Log'!$A$1:$J$1,0)))</f>
        <v/>
      </c>
      <c r="C355" s="70" t="str">
        <f>IF(ISBLANK(A355),"",INDEX('Error Log'!$A:$J,MATCH('Scores per segment'!$A355,'Error Log'!$A:$A,0),MATCH('Scores per segment'!C$1,'Error Log'!$A$1:$J$1,0)))</f>
        <v/>
      </c>
      <c r="D355" s="70">
        <f>IF(H355=0,wdct(TRIM(C355)),0)</f>
        <v>0</v>
      </c>
      <c r="E355" s="70">
        <f>COUNTIFS('Error Log'!$A:$A,$A355,'Error Log'!$J:$J,E$1)</f>
        <v>0</v>
      </c>
      <c r="F355" s="70">
        <f>COUNTIFS('Error Log'!$A:$A,$A355,'Error Log'!$J:$J,F$1)</f>
        <v>0</v>
      </c>
      <c r="G355" s="70">
        <f>COUNTIFS('Error Log'!$A:$A,$A355,'Error Log'!$J:$J,G$1)</f>
        <v>0</v>
      </c>
      <c r="H355" s="70">
        <f>COUNTIFS('Error Log'!$A:$A,$A355,'Error Log'!$F:$F,"Source")</f>
        <v>0</v>
      </c>
      <c r="I355" s="70">
        <f>COUNTIFS('Error Log'!$A:$A,$A355,'Error Log'!$F:$F,"Target")</f>
        <v>0</v>
      </c>
      <c r="J355" s="71">
        <f t="shared" si="5"/>
        <v>0</v>
      </c>
    </row>
    <row r="356" spans="1:10">
      <c r="A356" s="81"/>
      <c r="B356" s="70" t="str">
        <f>IF(ISBLANK(A356),"",INDEX('Error Log'!$A:$J,MATCH('Scores per segment'!$A356,'Error Log'!$A:$A,0),MATCH('Scores per segment'!B$1,'Error Log'!$A$1:$J$1,0)))</f>
        <v/>
      </c>
      <c r="C356" s="70" t="str">
        <f>IF(ISBLANK(A356),"",INDEX('Error Log'!$A:$J,MATCH('Scores per segment'!$A356,'Error Log'!$A:$A,0),MATCH('Scores per segment'!C$1,'Error Log'!$A$1:$J$1,0)))</f>
        <v/>
      </c>
      <c r="D356" s="70">
        <f>IF(H356=0,wdct(TRIM(C356)),0)</f>
        <v>0</v>
      </c>
      <c r="E356" s="70">
        <f>COUNTIFS('Error Log'!$A:$A,$A356,'Error Log'!$J:$J,E$1)</f>
        <v>0</v>
      </c>
      <c r="F356" s="70">
        <f>COUNTIFS('Error Log'!$A:$A,$A356,'Error Log'!$J:$J,F$1)</f>
        <v>0</v>
      </c>
      <c r="G356" s="70">
        <f>COUNTIFS('Error Log'!$A:$A,$A356,'Error Log'!$J:$J,G$1)</f>
        <v>0</v>
      </c>
      <c r="H356" s="70">
        <f>COUNTIFS('Error Log'!$A:$A,$A356,'Error Log'!$F:$F,"Source")</f>
        <v>0</v>
      </c>
      <c r="I356" s="70">
        <f>COUNTIFS('Error Log'!$A:$A,$A356,'Error Log'!$F:$F,"Target")</f>
        <v>0</v>
      </c>
      <c r="J356" s="71">
        <f t="shared" si="5"/>
        <v>0</v>
      </c>
    </row>
    <row r="357" spans="1:10">
      <c r="A357" s="81"/>
      <c r="B357" s="70" t="str">
        <f>IF(ISBLANK(A357),"",INDEX('Error Log'!$A:$J,MATCH('Scores per segment'!$A357,'Error Log'!$A:$A,0),MATCH('Scores per segment'!B$1,'Error Log'!$A$1:$J$1,0)))</f>
        <v/>
      </c>
      <c r="C357" s="70" t="str">
        <f>IF(ISBLANK(A357),"",INDEX('Error Log'!$A:$J,MATCH('Scores per segment'!$A357,'Error Log'!$A:$A,0),MATCH('Scores per segment'!C$1,'Error Log'!$A$1:$J$1,0)))</f>
        <v/>
      </c>
      <c r="D357" s="70">
        <f>IF(H357=0,wdct(TRIM(C357)),0)</f>
        <v>0</v>
      </c>
      <c r="E357" s="70">
        <f>COUNTIFS('Error Log'!$A:$A,$A357,'Error Log'!$J:$J,E$1)</f>
        <v>0</v>
      </c>
      <c r="F357" s="70">
        <f>COUNTIFS('Error Log'!$A:$A,$A357,'Error Log'!$J:$J,F$1)</f>
        <v>0</v>
      </c>
      <c r="G357" s="70">
        <f>COUNTIFS('Error Log'!$A:$A,$A357,'Error Log'!$J:$J,G$1)</f>
        <v>0</v>
      </c>
      <c r="H357" s="70">
        <f>COUNTIFS('Error Log'!$A:$A,$A357,'Error Log'!$F:$F,"Source")</f>
        <v>0</v>
      </c>
      <c r="I357" s="70">
        <f>COUNTIFS('Error Log'!$A:$A,$A357,'Error Log'!$F:$F,"Target")</f>
        <v>0</v>
      </c>
      <c r="J357" s="71">
        <f t="shared" si="5"/>
        <v>0</v>
      </c>
    </row>
    <row r="358" spans="1:10">
      <c r="A358" s="81"/>
      <c r="B358" s="70" t="str">
        <f>IF(ISBLANK(A358),"",INDEX('Error Log'!$A:$J,MATCH('Scores per segment'!$A358,'Error Log'!$A:$A,0),MATCH('Scores per segment'!B$1,'Error Log'!$A$1:$J$1,0)))</f>
        <v/>
      </c>
      <c r="C358" s="70" t="str">
        <f>IF(ISBLANK(A358),"",INDEX('Error Log'!$A:$J,MATCH('Scores per segment'!$A358,'Error Log'!$A:$A,0),MATCH('Scores per segment'!C$1,'Error Log'!$A$1:$J$1,0)))</f>
        <v/>
      </c>
      <c r="D358" s="70">
        <f>IF(H358=0,wdct(TRIM(C358)),0)</f>
        <v>0</v>
      </c>
      <c r="E358" s="70">
        <f>COUNTIFS('Error Log'!$A:$A,$A358,'Error Log'!$J:$J,E$1)</f>
        <v>0</v>
      </c>
      <c r="F358" s="70">
        <f>COUNTIFS('Error Log'!$A:$A,$A358,'Error Log'!$J:$J,F$1)</f>
        <v>0</v>
      </c>
      <c r="G358" s="70">
        <f>COUNTIFS('Error Log'!$A:$A,$A358,'Error Log'!$J:$J,G$1)</f>
        <v>0</v>
      </c>
      <c r="H358" s="70">
        <f>COUNTIFS('Error Log'!$A:$A,$A358,'Error Log'!$F:$F,"Source")</f>
        <v>0</v>
      </c>
      <c r="I358" s="70">
        <f>COUNTIFS('Error Log'!$A:$A,$A358,'Error Log'!$F:$F,"Target")</f>
        <v>0</v>
      </c>
      <c r="J358" s="71">
        <f t="shared" si="5"/>
        <v>0</v>
      </c>
    </row>
    <row r="359" spans="1:10">
      <c r="A359" s="81"/>
      <c r="B359" s="70" t="str">
        <f>IF(ISBLANK(A359),"",INDEX('Error Log'!$A:$J,MATCH('Scores per segment'!$A359,'Error Log'!$A:$A,0),MATCH('Scores per segment'!B$1,'Error Log'!$A$1:$J$1,0)))</f>
        <v/>
      </c>
      <c r="C359" s="70" t="str">
        <f>IF(ISBLANK(A359),"",INDEX('Error Log'!$A:$J,MATCH('Scores per segment'!$A359,'Error Log'!$A:$A,0),MATCH('Scores per segment'!C$1,'Error Log'!$A$1:$J$1,0)))</f>
        <v/>
      </c>
      <c r="D359" s="70">
        <f>IF(H359=0,wdct(TRIM(C359)),0)</f>
        <v>0</v>
      </c>
      <c r="E359" s="70">
        <f>COUNTIFS('Error Log'!$A:$A,$A359,'Error Log'!$J:$J,E$1)</f>
        <v>0</v>
      </c>
      <c r="F359" s="70">
        <f>COUNTIFS('Error Log'!$A:$A,$A359,'Error Log'!$J:$J,F$1)</f>
        <v>0</v>
      </c>
      <c r="G359" s="70">
        <f>COUNTIFS('Error Log'!$A:$A,$A359,'Error Log'!$J:$J,G$1)</f>
        <v>0</v>
      </c>
      <c r="H359" s="70">
        <f>COUNTIFS('Error Log'!$A:$A,$A359,'Error Log'!$F:$F,"Source")</f>
        <v>0</v>
      </c>
      <c r="I359" s="70">
        <f>COUNTIFS('Error Log'!$A:$A,$A359,'Error Log'!$F:$F,"Target")</f>
        <v>0</v>
      </c>
      <c r="J359" s="71">
        <f t="shared" si="5"/>
        <v>0</v>
      </c>
    </row>
    <row r="360" spans="1:10">
      <c r="A360" s="81"/>
      <c r="B360" s="70" t="str">
        <f>IF(ISBLANK(A360),"",INDEX('Error Log'!$A:$J,MATCH('Scores per segment'!$A360,'Error Log'!$A:$A,0),MATCH('Scores per segment'!B$1,'Error Log'!$A$1:$J$1,0)))</f>
        <v/>
      </c>
      <c r="C360" s="70" t="str">
        <f>IF(ISBLANK(A360),"",INDEX('Error Log'!$A:$J,MATCH('Scores per segment'!$A360,'Error Log'!$A:$A,0),MATCH('Scores per segment'!C$1,'Error Log'!$A$1:$J$1,0)))</f>
        <v/>
      </c>
      <c r="D360" s="70">
        <f>IF(H360=0,wdct(TRIM(C360)),0)</f>
        <v>0</v>
      </c>
      <c r="E360" s="70">
        <f>COUNTIFS('Error Log'!$A:$A,$A360,'Error Log'!$J:$J,E$1)</f>
        <v>0</v>
      </c>
      <c r="F360" s="70">
        <f>COUNTIFS('Error Log'!$A:$A,$A360,'Error Log'!$J:$J,F$1)</f>
        <v>0</v>
      </c>
      <c r="G360" s="70">
        <f>COUNTIFS('Error Log'!$A:$A,$A360,'Error Log'!$J:$J,G$1)</f>
        <v>0</v>
      </c>
      <c r="H360" s="70">
        <f>COUNTIFS('Error Log'!$A:$A,$A360,'Error Log'!$F:$F,"Source")</f>
        <v>0</v>
      </c>
      <c r="I360" s="70">
        <f>COUNTIFS('Error Log'!$A:$A,$A360,'Error Log'!$F:$F,"Target")</f>
        <v>0</v>
      </c>
      <c r="J360" s="71">
        <f t="shared" si="5"/>
        <v>0</v>
      </c>
    </row>
    <row r="361" spans="1:10">
      <c r="A361" s="81"/>
      <c r="B361" s="70" t="str">
        <f>IF(ISBLANK(A361),"",INDEX('Error Log'!$A:$J,MATCH('Scores per segment'!$A361,'Error Log'!$A:$A,0),MATCH('Scores per segment'!B$1,'Error Log'!$A$1:$J$1,0)))</f>
        <v/>
      </c>
      <c r="C361" s="70" t="str">
        <f>IF(ISBLANK(A361),"",INDEX('Error Log'!$A:$J,MATCH('Scores per segment'!$A361,'Error Log'!$A:$A,0),MATCH('Scores per segment'!C$1,'Error Log'!$A$1:$J$1,0)))</f>
        <v/>
      </c>
      <c r="D361" s="70">
        <f>IF(H361=0,wdct(TRIM(C361)),0)</f>
        <v>0</v>
      </c>
      <c r="E361" s="70">
        <f>COUNTIFS('Error Log'!$A:$A,$A361,'Error Log'!$J:$J,E$1)</f>
        <v>0</v>
      </c>
      <c r="F361" s="70">
        <f>COUNTIFS('Error Log'!$A:$A,$A361,'Error Log'!$J:$J,F$1)</f>
        <v>0</v>
      </c>
      <c r="G361" s="70">
        <f>COUNTIFS('Error Log'!$A:$A,$A361,'Error Log'!$J:$J,G$1)</f>
        <v>0</v>
      </c>
      <c r="H361" s="70">
        <f>COUNTIFS('Error Log'!$A:$A,$A361,'Error Log'!$F:$F,"Source")</f>
        <v>0</v>
      </c>
      <c r="I361" s="70">
        <f>COUNTIFS('Error Log'!$A:$A,$A361,'Error Log'!$F:$F,"Target")</f>
        <v>0</v>
      </c>
      <c r="J361" s="71">
        <f t="shared" si="5"/>
        <v>0</v>
      </c>
    </row>
    <row r="362" spans="1:10">
      <c r="A362" s="81"/>
      <c r="B362" s="70" t="str">
        <f>IF(ISBLANK(A362),"",INDEX('Error Log'!$A:$J,MATCH('Scores per segment'!$A362,'Error Log'!$A:$A,0),MATCH('Scores per segment'!B$1,'Error Log'!$A$1:$J$1,0)))</f>
        <v/>
      </c>
      <c r="C362" s="70" t="str">
        <f>IF(ISBLANK(A362),"",INDEX('Error Log'!$A:$J,MATCH('Scores per segment'!$A362,'Error Log'!$A:$A,0),MATCH('Scores per segment'!C$1,'Error Log'!$A$1:$J$1,0)))</f>
        <v/>
      </c>
      <c r="D362" s="70">
        <f>IF(H362=0,wdct(TRIM(C362)),0)</f>
        <v>0</v>
      </c>
      <c r="E362" s="70">
        <f>COUNTIFS('Error Log'!$A:$A,$A362,'Error Log'!$J:$J,E$1)</f>
        <v>0</v>
      </c>
      <c r="F362" s="70">
        <f>COUNTIFS('Error Log'!$A:$A,$A362,'Error Log'!$J:$J,F$1)</f>
        <v>0</v>
      </c>
      <c r="G362" s="70">
        <f>COUNTIFS('Error Log'!$A:$A,$A362,'Error Log'!$J:$J,G$1)</f>
        <v>0</v>
      </c>
      <c r="H362" s="70">
        <f>COUNTIFS('Error Log'!$A:$A,$A362,'Error Log'!$F:$F,"Source")</f>
        <v>0</v>
      </c>
      <c r="I362" s="70">
        <f>COUNTIFS('Error Log'!$A:$A,$A362,'Error Log'!$F:$F,"Target")</f>
        <v>0</v>
      </c>
      <c r="J362" s="71">
        <f t="shared" si="5"/>
        <v>0</v>
      </c>
    </row>
    <row r="363" spans="1:10">
      <c r="A363" s="81"/>
      <c r="B363" s="70" t="str">
        <f>IF(ISBLANK(A363),"",INDEX('Error Log'!$A:$J,MATCH('Scores per segment'!$A363,'Error Log'!$A:$A,0),MATCH('Scores per segment'!B$1,'Error Log'!$A$1:$J$1,0)))</f>
        <v/>
      </c>
      <c r="C363" s="70" t="str">
        <f>IF(ISBLANK(A363),"",INDEX('Error Log'!$A:$J,MATCH('Scores per segment'!$A363,'Error Log'!$A:$A,0),MATCH('Scores per segment'!C$1,'Error Log'!$A$1:$J$1,0)))</f>
        <v/>
      </c>
      <c r="D363" s="70">
        <f>IF(H363=0,wdct(TRIM(C363)),0)</f>
        <v>0</v>
      </c>
      <c r="E363" s="70">
        <f>COUNTIFS('Error Log'!$A:$A,$A363,'Error Log'!$J:$J,E$1)</f>
        <v>0</v>
      </c>
      <c r="F363" s="70">
        <f>COUNTIFS('Error Log'!$A:$A,$A363,'Error Log'!$J:$J,F$1)</f>
        <v>0</v>
      </c>
      <c r="G363" s="70">
        <f>COUNTIFS('Error Log'!$A:$A,$A363,'Error Log'!$J:$J,G$1)</f>
        <v>0</v>
      </c>
      <c r="H363" s="70">
        <f>COUNTIFS('Error Log'!$A:$A,$A363,'Error Log'!$F:$F,"Source")</f>
        <v>0</v>
      </c>
      <c r="I363" s="70">
        <f>COUNTIFS('Error Log'!$A:$A,$A363,'Error Log'!$F:$F,"Target")</f>
        <v>0</v>
      </c>
      <c r="J363" s="71">
        <f t="shared" si="5"/>
        <v>0</v>
      </c>
    </row>
    <row r="364" spans="1:10">
      <c r="A364" s="81"/>
      <c r="B364" s="70" t="str">
        <f>IF(ISBLANK(A364),"",INDEX('Error Log'!$A:$J,MATCH('Scores per segment'!$A364,'Error Log'!$A:$A,0),MATCH('Scores per segment'!B$1,'Error Log'!$A$1:$J$1,0)))</f>
        <v/>
      </c>
      <c r="C364" s="70" t="str">
        <f>IF(ISBLANK(A364),"",INDEX('Error Log'!$A:$J,MATCH('Scores per segment'!$A364,'Error Log'!$A:$A,0),MATCH('Scores per segment'!C$1,'Error Log'!$A$1:$J$1,0)))</f>
        <v/>
      </c>
      <c r="D364" s="70">
        <f>IF(H364=0,wdct(TRIM(C364)),0)</f>
        <v>0</v>
      </c>
      <c r="E364" s="70">
        <f>COUNTIFS('Error Log'!$A:$A,$A364,'Error Log'!$J:$J,E$1)</f>
        <v>0</v>
      </c>
      <c r="F364" s="70">
        <f>COUNTIFS('Error Log'!$A:$A,$A364,'Error Log'!$J:$J,F$1)</f>
        <v>0</v>
      </c>
      <c r="G364" s="70">
        <f>COUNTIFS('Error Log'!$A:$A,$A364,'Error Log'!$J:$J,G$1)</f>
        <v>0</v>
      </c>
      <c r="H364" s="70">
        <f>COUNTIFS('Error Log'!$A:$A,$A364,'Error Log'!$F:$F,"Source")</f>
        <v>0</v>
      </c>
      <c r="I364" s="70">
        <f>COUNTIFS('Error Log'!$A:$A,$A364,'Error Log'!$F:$F,"Target")</f>
        <v>0</v>
      </c>
      <c r="J364" s="71">
        <f t="shared" si="5"/>
        <v>0</v>
      </c>
    </row>
    <row r="365" spans="1:10">
      <c r="A365" s="81"/>
      <c r="B365" s="70" t="str">
        <f>IF(ISBLANK(A365),"",INDEX('Error Log'!$A:$J,MATCH('Scores per segment'!$A365,'Error Log'!$A:$A,0),MATCH('Scores per segment'!B$1,'Error Log'!$A$1:$J$1,0)))</f>
        <v/>
      </c>
      <c r="C365" s="70" t="str">
        <f>IF(ISBLANK(A365),"",INDEX('Error Log'!$A:$J,MATCH('Scores per segment'!$A365,'Error Log'!$A:$A,0),MATCH('Scores per segment'!C$1,'Error Log'!$A$1:$J$1,0)))</f>
        <v/>
      </c>
      <c r="D365" s="70">
        <f>IF(H365=0,wdct(TRIM(C365)),0)</f>
        <v>0</v>
      </c>
      <c r="E365" s="70">
        <f>COUNTIFS('Error Log'!$A:$A,$A365,'Error Log'!$J:$J,E$1)</f>
        <v>0</v>
      </c>
      <c r="F365" s="70">
        <f>COUNTIFS('Error Log'!$A:$A,$A365,'Error Log'!$J:$J,F$1)</f>
        <v>0</v>
      </c>
      <c r="G365" s="70">
        <f>COUNTIFS('Error Log'!$A:$A,$A365,'Error Log'!$J:$J,G$1)</f>
        <v>0</v>
      </c>
      <c r="H365" s="70">
        <f>COUNTIFS('Error Log'!$A:$A,$A365,'Error Log'!$F:$F,"Source")</f>
        <v>0</v>
      </c>
      <c r="I365" s="70">
        <f>COUNTIFS('Error Log'!$A:$A,$A365,'Error Log'!$F:$F,"Target")</f>
        <v>0</v>
      </c>
      <c r="J365" s="71">
        <f t="shared" si="5"/>
        <v>0</v>
      </c>
    </row>
    <row r="366" spans="1:10">
      <c r="A366" s="81"/>
      <c r="B366" s="70" t="str">
        <f>IF(ISBLANK(A366),"",INDEX('Error Log'!$A:$J,MATCH('Scores per segment'!$A366,'Error Log'!$A:$A,0),MATCH('Scores per segment'!B$1,'Error Log'!$A$1:$J$1,0)))</f>
        <v/>
      </c>
      <c r="C366" s="70" t="str">
        <f>IF(ISBLANK(A366),"",INDEX('Error Log'!$A:$J,MATCH('Scores per segment'!$A366,'Error Log'!$A:$A,0),MATCH('Scores per segment'!C$1,'Error Log'!$A$1:$J$1,0)))</f>
        <v/>
      </c>
      <c r="D366" s="70">
        <f>IF(H366=0,wdct(TRIM(C366)),0)</f>
        <v>0</v>
      </c>
      <c r="E366" s="70">
        <f>COUNTIFS('Error Log'!$A:$A,$A366,'Error Log'!$J:$J,E$1)</f>
        <v>0</v>
      </c>
      <c r="F366" s="70">
        <f>COUNTIFS('Error Log'!$A:$A,$A366,'Error Log'!$J:$J,F$1)</f>
        <v>0</v>
      </c>
      <c r="G366" s="70">
        <f>COUNTIFS('Error Log'!$A:$A,$A366,'Error Log'!$J:$J,G$1)</f>
        <v>0</v>
      </c>
      <c r="H366" s="70">
        <f>COUNTIFS('Error Log'!$A:$A,$A366,'Error Log'!$F:$F,"Source")</f>
        <v>0</v>
      </c>
      <c r="I366" s="70">
        <f>COUNTIFS('Error Log'!$A:$A,$A366,'Error Log'!$F:$F,"Target")</f>
        <v>0</v>
      </c>
      <c r="J366" s="71">
        <f t="shared" si="5"/>
        <v>0</v>
      </c>
    </row>
    <row r="367" spans="1:10">
      <c r="A367" s="81"/>
      <c r="B367" s="70" t="str">
        <f>IF(ISBLANK(A367),"",INDEX('Error Log'!$A:$J,MATCH('Scores per segment'!$A367,'Error Log'!$A:$A,0),MATCH('Scores per segment'!B$1,'Error Log'!$A$1:$J$1,0)))</f>
        <v/>
      </c>
      <c r="C367" s="70" t="str">
        <f>IF(ISBLANK(A367),"",INDEX('Error Log'!$A:$J,MATCH('Scores per segment'!$A367,'Error Log'!$A:$A,0),MATCH('Scores per segment'!C$1,'Error Log'!$A$1:$J$1,0)))</f>
        <v/>
      </c>
      <c r="D367" s="70">
        <f>IF(H367=0,wdct(TRIM(C367)),0)</f>
        <v>0</v>
      </c>
      <c r="E367" s="70">
        <f>COUNTIFS('Error Log'!$A:$A,$A367,'Error Log'!$J:$J,E$1)</f>
        <v>0</v>
      </c>
      <c r="F367" s="70">
        <f>COUNTIFS('Error Log'!$A:$A,$A367,'Error Log'!$J:$J,F$1)</f>
        <v>0</v>
      </c>
      <c r="G367" s="70">
        <f>COUNTIFS('Error Log'!$A:$A,$A367,'Error Log'!$J:$J,G$1)</f>
        <v>0</v>
      </c>
      <c r="H367" s="70">
        <f>COUNTIFS('Error Log'!$A:$A,$A367,'Error Log'!$F:$F,"Source")</f>
        <v>0</v>
      </c>
      <c r="I367" s="70">
        <f>COUNTIFS('Error Log'!$A:$A,$A367,'Error Log'!$F:$F,"Target")</f>
        <v>0</v>
      </c>
      <c r="J367" s="71">
        <f t="shared" si="5"/>
        <v>0</v>
      </c>
    </row>
    <row r="368" spans="1:10">
      <c r="A368" s="81"/>
      <c r="B368" s="70" t="str">
        <f>IF(ISBLANK(A368),"",INDEX('Error Log'!$A:$J,MATCH('Scores per segment'!$A368,'Error Log'!$A:$A,0),MATCH('Scores per segment'!B$1,'Error Log'!$A$1:$J$1,0)))</f>
        <v/>
      </c>
      <c r="C368" s="70" t="str">
        <f>IF(ISBLANK(A368),"",INDEX('Error Log'!$A:$J,MATCH('Scores per segment'!$A368,'Error Log'!$A:$A,0),MATCH('Scores per segment'!C$1,'Error Log'!$A$1:$J$1,0)))</f>
        <v/>
      </c>
      <c r="D368" s="70">
        <f>IF(H368=0,wdct(TRIM(C368)),0)</f>
        <v>0</v>
      </c>
      <c r="E368" s="70">
        <f>COUNTIFS('Error Log'!$A:$A,$A368,'Error Log'!$J:$J,E$1)</f>
        <v>0</v>
      </c>
      <c r="F368" s="70">
        <f>COUNTIFS('Error Log'!$A:$A,$A368,'Error Log'!$J:$J,F$1)</f>
        <v>0</v>
      </c>
      <c r="G368" s="70">
        <f>COUNTIFS('Error Log'!$A:$A,$A368,'Error Log'!$J:$J,G$1)</f>
        <v>0</v>
      </c>
      <c r="H368" s="70">
        <f>COUNTIFS('Error Log'!$A:$A,$A368,'Error Log'!$F:$F,"Source")</f>
        <v>0</v>
      </c>
      <c r="I368" s="70">
        <f>COUNTIFS('Error Log'!$A:$A,$A368,'Error Log'!$F:$F,"Target")</f>
        <v>0</v>
      </c>
      <c r="J368" s="71">
        <f t="shared" si="5"/>
        <v>0</v>
      </c>
    </row>
    <row r="369" spans="1:10">
      <c r="A369" s="81"/>
      <c r="B369" s="70" t="str">
        <f>IF(ISBLANK(A369),"",INDEX('Error Log'!$A:$J,MATCH('Scores per segment'!$A369,'Error Log'!$A:$A,0),MATCH('Scores per segment'!B$1,'Error Log'!$A$1:$J$1,0)))</f>
        <v/>
      </c>
      <c r="C369" s="70" t="str">
        <f>IF(ISBLANK(A369),"",INDEX('Error Log'!$A:$J,MATCH('Scores per segment'!$A369,'Error Log'!$A:$A,0),MATCH('Scores per segment'!C$1,'Error Log'!$A$1:$J$1,0)))</f>
        <v/>
      </c>
      <c r="D369" s="70">
        <f>IF(H369=0,wdct(TRIM(C369)),0)</f>
        <v>0</v>
      </c>
      <c r="E369" s="70">
        <f>COUNTIFS('Error Log'!$A:$A,$A369,'Error Log'!$J:$J,E$1)</f>
        <v>0</v>
      </c>
      <c r="F369" s="70">
        <f>COUNTIFS('Error Log'!$A:$A,$A369,'Error Log'!$J:$J,F$1)</f>
        <v>0</v>
      </c>
      <c r="G369" s="70">
        <f>COUNTIFS('Error Log'!$A:$A,$A369,'Error Log'!$J:$J,G$1)</f>
        <v>0</v>
      </c>
      <c r="H369" s="70">
        <f>COUNTIFS('Error Log'!$A:$A,$A369,'Error Log'!$F:$F,"Source")</f>
        <v>0</v>
      </c>
      <c r="I369" s="70">
        <f>COUNTIFS('Error Log'!$A:$A,$A369,'Error Log'!$F:$F,"Target")</f>
        <v>0</v>
      </c>
      <c r="J369" s="71">
        <f t="shared" si="5"/>
        <v>0</v>
      </c>
    </row>
    <row r="370" spans="1:10">
      <c r="A370" s="81"/>
      <c r="B370" s="70" t="str">
        <f>IF(ISBLANK(A370),"",INDEX('Error Log'!$A:$J,MATCH('Scores per segment'!$A370,'Error Log'!$A:$A,0),MATCH('Scores per segment'!B$1,'Error Log'!$A$1:$J$1,0)))</f>
        <v/>
      </c>
      <c r="C370" s="70" t="str">
        <f>IF(ISBLANK(A370),"",INDEX('Error Log'!$A:$J,MATCH('Scores per segment'!$A370,'Error Log'!$A:$A,0),MATCH('Scores per segment'!C$1,'Error Log'!$A$1:$J$1,0)))</f>
        <v/>
      </c>
      <c r="D370" s="70">
        <f>IF(H370=0,wdct(TRIM(C370)),0)</f>
        <v>0</v>
      </c>
      <c r="E370" s="70">
        <f>COUNTIFS('Error Log'!$A:$A,$A370,'Error Log'!$J:$J,E$1)</f>
        <v>0</v>
      </c>
      <c r="F370" s="70">
        <f>COUNTIFS('Error Log'!$A:$A,$A370,'Error Log'!$J:$J,F$1)</f>
        <v>0</v>
      </c>
      <c r="G370" s="70">
        <f>COUNTIFS('Error Log'!$A:$A,$A370,'Error Log'!$J:$J,G$1)</f>
        <v>0</v>
      </c>
      <c r="H370" s="70">
        <f>COUNTIFS('Error Log'!$A:$A,$A370,'Error Log'!$F:$F,"Source")</f>
        <v>0</v>
      </c>
      <c r="I370" s="70">
        <f>COUNTIFS('Error Log'!$A:$A,$A370,'Error Log'!$F:$F,"Target")</f>
        <v>0</v>
      </c>
      <c r="J370" s="71">
        <f t="shared" si="5"/>
        <v>0</v>
      </c>
    </row>
    <row r="371" spans="1:10">
      <c r="A371" s="81"/>
      <c r="B371" s="70" t="str">
        <f>IF(ISBLANK(A371),"",INDEX('Error Log'!$A:$J,MATCH('Scores per segment'!$A371,'Error Log'!$A:$A,0),MATCH('Scores per segment'!B$1,'Error Log'!$A$1:$J$1,0)))</f>
        <v/>
      </c>
      <c r="C371" s="70" t="str">
        <f>IF(ISBLANK(A371),"",INDEX('Error Log'!$A:$J,MATCH('Scores per segment'!$A371,'Error Log'!$A:$A,0),MATCH('Scores per segment'!C$1,'Error Log'!$A$1:$J$1,0)))</f>
        <v/>
      </c>
      <c r="D371" s="70">
        <f>IF(H371=0,wdct(TRIM(C371)),0)</f>
        <v>0</v>
      </c>
      <c r="E371" s="70">
        <f>COUNTIFS('Error Log'!$A:$A,$A371,'Error Log'!$J:$J,E$1)</f>
        <v>0</v>
      </c>
      <c r="F371" s="70">
        <f>COUNTIFS('Error Log'!$A:$A,$A371,'Error Log'!$J:$J,F$1)</f>
        <v>0</v>
      </c>
      <c r="G371" s="70">
        <f>COUNTIFS('Error Log'!$A:$A,$A371,'Error Log'!$J:$J,G$1)</f>
        <v>0</v>
      </c>
      <c r="H371" s="70">
        <f>COUNTIFS('Error Log'!$A:$A,$A371,'Error Log'!$F:$F,"Source")</f>
        <v>0</v>
      </c>
      <c r="I371" s="70">
        <f>COUNTIFS('Error Log'!$A:$A,$A371,'Error Log'!$F:$F,"Target")</f>
        <v>0</v>
      </c>
      <c r="J371" s="71">
        <f t="shared" si="5"/>
        <v>0</v>
      </c>
    </row>
    <row r="372" spans="1:10">
      <c r="A372" s="81"/>
      <c r="B372" s="70" t="str">
        <f>IF(ISBLANK(A372),"",INDEX('Error Log'!$A:$J,MATCH('Scores per segment'!$A372,'Error Log'!$A:$A,0),MATCH('Scores per segment'!B$1,'Error Log'!$A$1:$J$1,0)))</f>
        <v/>
      </c>
      <c r="C372" s="70" t="str">
        <f>IF(ISBLANK(A372),"",INDEX('Error Log'!$A:$J,MATCH('Scores per segment'!$A372,'Error Log'!$A:$A,0),MATCH('Scores per segment'!C$1,'Error Log'!$A$1:$J$1,0)))</f>
        <v/>
      </c>
      <c r="D372" s="70">
        <f>IF(H372=0,wdct(TRIM(C372)),0)</f>
        <v>0</v>
      </c>
      <c r="E372" s="70">
        <f>COUNTIFS('Error Log'!$A:$A,$A372,'Error Log'!$J:$J,E$1)</f>
        <v>0</v>
      </c>
      <c r="F372" s="70">
        <f>COUNTIFS('Error Log'!$A:$A,$A372,'Error Log'!$J:$J,F$1)</f>
        <v>0</v>
      </c>
      <c r="G372" s="70">
        <f>COUNTIFS('Error Log'!$A:$A,$A372,'Error Log'!$J:$J,G$1)</f>
        <v>0</v>
      </c>
      <c r="H372" s="70">
        <f>COUNTIFS('Error Log'!$A:$A,$A372,'Error Log'!$F:$F,"Source")</f>
        <v>0</v>
      </c>
      <c r="I372" s="70">
        <f>COUNTIFS('Error Log'!$A:$A,$A372,'Error Log'!$F:$F,"Target")</f>
        <v>0</v>
      </c>
      <c r="J372" s="71">
        <f t="shared" si="5"/>
        <v>0</v>
      </c>
    </row>
    <row r="373" spans="1:10">
      <c r="A373" s="81"/>
      <c r="B373" s="70" t="str">
        <f>IF(ISBLANK(A373),"",INDEX('Error Log'!$A:$J,MATCH('Scores per segment'!$A373,'Error Log'!$A:$A,0),MATCH('Scores per segment'!B$1,'Error Log'!$A$1:$J$1,0)))</f>
        <v/>
      </c>
      <c r="C373" s="70" t="str">
        <f>IF(ISBLANK(A373),"",INDEX('Error Log'!$A:$J,MATCH('Scores per segment'!$A373,'Error Log'!$A:$A,0),MATCH('Scores per segment'!C$1,'Error Log'!$A$1:$J$1,0)))</f>
        <v/>
      </c>
      <c r="D373" s="70">
        <f>IF(H373=0,wdct(TRIM(C373)),0)</f>
        <v>0</v>
      </c>
      <c r="E373" s="70">
        <f>COUNTIFS('Error Log'!$A:$A,$A373,'Error Log'!$J:$J,E$1)</f>
        <v>0</v>
      </c>
      <c r="F373" s="70">
        <f>COUNTIFS('Error Log'!$A:$A,$A373,'Error Log'!$J:$J,F$1)</f>
        <v>0</v>
      </c>
      <c r="G373" s="70">
        <f>COUNTIFS('Error Log'!$A:$A,$A373,'Error Log'!$J:$J,G$1)</f>
        <v>0</v>
      </c>
      <c r="H373" s="70">
        <f>COUNTIFS('Error Log'!$A:$A,$A373,'Error Log'!$F:$F,"Source")</f>
        <v>0</v>
      </c>
      <c r="I373" s="70">
        <f>COUNTIFS('Error Log'!$A:$A,$A373,'Error Log'!$F:$F,"Target")</f>
        <v>0</v>
      </c>
      <c r="J373" s="71">
        <f t="shared" si="5"/>
        <v>0</v>
      </c>
    </row>
    <row r="374" spans="1:10">
      <c r="A374" s="81"/>
      <c r="B374" s="70" t="str">
        <f>IF(ISBLANK(A374),"",INDEX('Error Log'!$A:$J,MATCH('Scores per segment'!$A374,'Error Log'!$A:$A,0),MATCH('Scores per segment'!B$1,'Error Log'!$A$1:$J$1,0)))</f>
        <v/>
      </c>
      <c r="C374" s="70" t="str">
        <f>IF(ISBLANK(A374),"",INDEX('Error Log'!$A:$J,MATCH('Scores per segment'!$A374,'Error Log'!$A:$A,0),MATCH('Scores per segment'!C$1,'Error Log'!$A$1:$J$1,0)))</f>
        <v/>
      </c>
      <c r="D374" s="70">
        <f>IF(H374=0,wdct(TRIM(C374)),0)</f>
        <v>0</v>
      </c>
      <c r="E374" s="70">
        <f>COUNTIFS('Error Log'!$A:$A,$A374,'Error Log'!$J:$J,E$1)</f>
        <v>0</v>
      </c>
      <c r="F374" s="70">
        <f>COUNTIFS('Error Log'!$A:$A,$A374,'Error Log'!$J:$J,F$1)</f>
        <v>0</v>
      </c>
      <c r="G374" s="70">
        <f>COUNTIFS('Error Log'!$A:$A,$A374,'Error Log'!$J:$J,G$1)</f>
        <v>0</v>
      </c>
      <c r="H374" s="70">
        <f>COUNTIFS('Error Log'!$A:$A,$A374,'Error Log'!$F:$F,"Source")</f>
        <v>0</v>
      </c>
      <c r="I374" s="70">
        <f>COUNTIFS('Error Log'!$A:$A,$A374,'Error Log'!$F:$F,"Target")</f>
        <v>0</v>
      </c>
      <c r="J374" s="71">
        <f t="shared" si="5"/>
        <v>0</v>
      </c>
    </row>
    <row r="375" spans="1:10">
      <c r="A375" s="81"/>
      <c r="B375" s="70" t="str">
        <f>IF(ISBLANK(A375),"",INDEX('Error Log'!$A:$J,MATCH('Scores per segment'!$A375,'Error Log'!$A:$A,0),MATCH('Scores per segment'!B$1,'Error Log'!$A$1:$J$1,0)))</f>
        <v/>
      </c>
      <c r="C375" s="70" t="str">
        <f>IF(ISBLANK(A375),"",INDEX('Error Log'!$A:$J,MATCH('Scores per segment'!$A375,'Error Log'!$A:$A,0),MATCH('Scores per segment'!C$1,'Error Log'!$A$1:$J$1,0)))</f>
        <v/>
      </c>
      <c r="D375" s="70">
        <f>IF(H375=0,wdct(TRIM(C375)),0)</f>
        <v>0</v>
      </c>
      <c r="E375" s="70">
        <f>COUNTIFS('Error Log'!$A:$A,$A375,'Error Log'!$J:$J,E$1)</f>
        <v>0</v>
      </c>
      <c r="F375" s="70">
        <f>COUNTIFS('Error Log'!$A:$A,$A375,'Error Log'!$J:$J,F$1)</f>
        <v>0</v>
      </c>
      <c r="G375" s="70">
        <f>COUNTIFS('Error Log'!$A:$A,$A375,'Error Log'!$J:$J,G$1)</f>
        <v>0</v>
      </c>
      <c r="H375" s="70">
        <f>COUNTIFS('Error Log'!$A:$A,$A375,'Error Log'!$F:$F,"Source")</f>
        <v>0</v>
      </c>
      <c r="I375" s="70">
        <f>COUNTIFS('Error Log'!$A:$A,$A375,'Error Log'!$F:$F,"Target")</f>
        <v>0</v>
      </c>
      <c r="J375" s="71">
        <f t="shared" si="5"/>
        <v>0</v>
      </c>
    </row>
    <row r="376" spans="1:10">
      <c r="A376" s="81"/>
      <c r="B376" s="70" t="str">
        <f>IF(ISBLANK(A376),"",INDEX('Error Log'!$A:$J,MATCH('Scores per segment'!$A376,'Error Log'!$A:$A,0),MATCH('Scores per segment'!B$1,'Error Log'!$A$1:$J$1,0)))</f>
        <v/>
      </c>
      <c r="C376" s="70" t="str">
        <f>IF(ISBLANK(A376),"",INDEX('Error Log'!$A:$J,MATCH('Scores per segment'!$A376,'Error Log'!$A:$A,0),MATCH('Scores per segment'!C$1,'Error Log'!$A$1:$J$1,0)))</f>
        <v/>
      </c>
      <c r="D376" s="70">
        <f>IF(H376=0,wdct(TRIM(C376)),0)</f>
        <v>0</v>
      </c>
      <c r="E376" s="70">
        <f>COUNTIFS('Error Log'!$A:$A,$A376,'Error Log'!$J:$J,E$1)</f>
        <v>0</v>
      </c>
      <c r="F376" s="70">
        <f>COUNTIFS('Error Log'!$A:$A,$A376,'Error Log'!$J:$J,F$1)</f>
        <v>0</v>
      </c>
      <c r="G376" s="70">
        <f>COUNTIFS('Error Log'!$A:$A,$A376,'Error Log'!$J:$J,G$1)</f>
        <v>0</v>
      </c>
      <c r="H376" s="70">
        <f>COUNTIFS('Error Log'!$A:$A,$A376,'Error Log'!$F:$F,"Source")</f>
        <v>0</v>
      </c>
      <c r="I376" s="70">
        <f>COUNTIFS('Error Log'!$A:$A,$A376,'Error Log'!$F:$F,"Target")</f>
        <v>0</v>
      </c>
      <c r="J376" s="71">
        <f t="shared" si="5"/>
        <v>0</v>
      </c>
    </row>
    <row r="377" spans="1:10">
      <c r="A377" s="81"/>
      <c r="B377" s="70" t="str">
        <f>IF(ISBLANK(A377),"",INDEX('Error Log'!$A:$J,MATCH('Scores per segment'!$A377,'Error Log'!$A:$A,0),MATCH('Scores per segment'!B$1,'Error Log'!$A$1:$J$1,0)))</f>
        <v/>
      </c>
      <c r="C377" s="70" t="str">
        <f>IF(ISBLANK(A377),"",INDEX('Error Log'!$A:$J,MATCH('Scores per segment'!$A377,'Error Log'!$A:$A,0),MATCH('Scores per segment'!C$1,'Error Log'!$A$1:$J$1,0)))</f>
        <v/>
      </c>
      <c r="D377" s="70">
        <f>IF(H377=0,wdct(TRIM(C377)),0)</f>
        <v>0</v>
      </c>
      <c r="E377" s="70">
        <f>COUNTIFS('Error Log'!$A:$A,$A377,'Error Log'!$J:$J,E$1)</f>
        <v>0</v>
      </c>
      <c r="F377" s="70">
        <f>COUNTIFS('Error Log'!$A:$A,$A377,'Error Log'!$J:$J,F$1)</f>
        <v>0</v>
      </c>
      <c r="G377" s="70">
        <f>COUNTIFS('Error Log'!$A:$A,$A377,'Error Log'!$J:$J,G$1)</f>
        <v>0</v>
      </c>
      <c r="H377" s="70">
        <f>COUNTIFS('Error Log'!$A:$A,$A377,'Error Log'!$F:$F,"Source")</f>
        <v>0</v>
      </c>
      <c r="I377" s="70">
        <f>COUNTIFS('Error Log'!$A:$A,$A377,'Error Log'!$F:$F,"Target")</f>
        <v>0</v>
      </c>
      <c r="J377" s="71">
        <f t="shared" si="5"/>
        <v>0</v>
      </c>
    </row>
    <row r="378" spans="1:10">
      <c r="A378" s="81"/>
      <c r="B378" s="70" t="str">
        <f>IF(ISBLANK(A378),"",INDEX('Error Log'!$A:$J,MATCH('Scores per segment'!$A378,'Error Log'!$A:$A,0),MATCH('Scores per segment'!B$1,'Error Log'!$A$1:$J$1,0)))</f>
        <v/>
      </c>
      <c r="C378" s="70" t="str">
        <f>IF(ISBLANK(A378),"",INDEX('Error Log'!$A:$J,MATCH('Scores per segment'!$A378,'Error Log'!$A:$A,0),MATCH('Scores per segment'!C$1,'Error Log'!$A$1:$J$1,0)))</f>
        <v/>
      </c>
      <c r="D378" s="70">
        <f>IF(H378=0,wdct(TRIM(C378)),0)</f>
        <v>0</v>
      </c>
      <c r="E378" s="70">
        <f>COUNTIFS('Error Log'!$A:$A,$A378,'Error Log'!$J:$J,E$1)</f>
        <v>0</v>
      </c>
      <c r="F378" s="70">
        <f>COUNTIFS('Error Log'!$A:$A,$A378,'Error Log'!$J:$J,F$1)</f>
        <v>0</v>
      </c>
      <c r="G378" s="70">
        <f>COUNTIFS('Error Log'!$A:$A,$A378,'Error Log'!$J:$J,G$1)</f>
        <v>0</v>
      </c>
      <c r="H378" s="70">
        <f>COUNTIFS('Error Log'!$A:$A,$A378,'Error Log'!$F:$F,"Source")</f>
        <v>0</v>
      </c>
      <c r="I378" s="70">
        <f>COUNTIFS('Error Log'!$A:$A,$A378,'Error Log'!$F:$F,"Target")</f>
        <v>0</v>
      </c>
      <c r="J378" s="71">
        <f t="shared" si="5"/>
        <v>0</v>
      </c>
    </row>
    <row r="379" spans="1:10">
      <c r="A379" s="81"/>
      <c r="B379" s="70" t="str">
        <f>IF(ISBLANK(A379),"",INDEX('Error Log'!$A:$J,MATCH('Scores per segment'!$A379,'Error Log'!$A:$A,0),MATCH('Scores per segment'!B$1,'Error Log'!$A$1:$J$1,0)))</f>
        <v/>
      </c>
      <c r="C379" s="70" t="str">
        <f>IF(ISBLANK(A379),"",INDEX('Error Log'!$A:$J,MATCH('Scores per segment'!$A379,'Error Log'!$A:$A,0),MATCH('Scores per segment'!C$1,'Error Log'!$A$1:$J$1,0)))</f>
        <v/>
      </c>
      <c r="D379" s="70">
        <f>IF(H379=0,wdct(TRIM(C379)),0)</f>
        <v>0</v>
      </c>
      <c r="E379" s="70">
        <f>COUNTIFS('Error Log'!$A:$A,$A379,'Error Log'!$J:$J,E$1)</f>
        <v>0</v>
      </c>
      <c r="F379" s="70">
        <f>COUNTIFS('Error Log'!$A:$A,$A379,'Error Log'!$J:$J,F$1)</f>
        <v>0</v>
      </c>
      <c r="G379" s="70">
        <f>COUNTIFS('Error Log'!$A:$A,$A379,'Error Log'!$J:$J,G$1)</f>
        <v>0</v>
      </c>
      <c r="H379" s="70">
        <f>COUNTIFS('Error Log'!$A:$A,$A379,'Error Log'!$F:$F,"Source")</f>
        <v>0</v>
      </c>
      <c r="I379" s="70">
        <f>COUNTIFS('Error Log'!$A:$A,$A379,'Error Log'!$F:$F,"Target")</f>
        <v>0</v>
      </c>
      <c r="J379" s="71">
        <f t="shared" si="5"/>
        <v>0</v>
      </c>
    </row>
    <row r="380" spans="1:10">
      <c r="A380" s="81"/>
      <c r="B380" s="70" t="str">
        <f>IF(ISBLANK(A380),"",INDEX('Error Log'!$A:$J,MATCH('Scores per segment'!$A380,'Error Log'!$A:$A,0),MATCH('Scores per segment'!B$1,'Error Log'!$A$1:$J$1,0)))</f>
        <v/>
      </c>
      <c r="C380" s="70" t="str">
        <f>IF(ISBLANK(A380),"",INDEX('Error Log'!$A:$J,MATCH('Scores per segment'!$A380,'Error Log'!$A:$A,0),MATCH('Scores per segment'!C$1,'Error Log'!$A$1:$J$1,0)))</f>
        <v/>
      </c>
      <c r="D380" s="70">
        <f>IF(H380=0,wdct(TRIM(C380)),0)</f>
        <v>0</v>
      </c>
      <c r="E380" s="70">
        <f>COUNTIFS('Error Log'!$A:$A,$A380,'Error Log'!$J:$J,E$1)</f>
        <v>0</v>
      </c>
      <c r="F380" s="70">
        <f>COUNTIFS('Error Log'!$A:$A,$A380,'Error Log'!$J:$J,F$1)</f>
        <v>0</v>
      </c>
      <c r="G380" s="70">
        <f>COUNTIFS('Error Log'!$A:$A,$A380,'Error Log'!$J:$J,G$1)</f>
        <v>0</v>
      </c>
      <c r="H380" s="70">
        <f>COUNTIFS('Error Log'!$A:$A,$A380,'Error Log'!$F:$F,"Source")</f>
        <v>0</v>
      </c>
      <c r="I380" s="70">
        <f>COUNTIFS('Error Log'!$A:$A,$A380,'Error Log'!$F:$F,"Target")</f>
        <v>0</v>
      </c>
      <c r="J380" s="71">
        <f t="shared" si="5"/>
        <v>0</v>
      </c>
    </row>
    <row r="381" spans="1:10">
      <c r="A381" s="81"/>
      <c r="B381" s="70" t="str">
        <f>IF(ISBLANK(A381),"",INDEX('Error Log'!$A:$J,MATCH('Scores per segment'!$A381,'Error Log'!$A:$A,0),MATCH('Scores per segment'!B$1,'Error Log'!$A$1:$J$1,0)))</f>
        <v/>
      </c>
      <c r="C381" s="70" t="str">
        <f>IF(ISBLANK(A381),"",INDEX('Error Log'!$A:$J,MATCH('Scores per segment'!$A381,'Error Log'!$A:$A,0),MATCH('Scores per segment'!C$1,'Error Log'!$A$1:$J$1,0)))</f>
        <v/>
      </c>
      <c r="D381" s="70">
        <f>IF(H381=0,wdct(TRIM(C381)),0)</f>
        <v>0</v>
      </c>
      <c r="E381" s="70">
        <f>COUNTIFS('Error Log'!$A:$A,$A381,'Error Log'!$J:$J,E$1)</f>
        <v>0</v>
      </c>
      <c r="F381" s="70">
        <f>COUNTIFS('Error Log'!$A:$A,$A381,'Error Log'!$J:$J,F$1)</f>
        <v>0</v>
      </c>
      <c r="G381" s="70">
        <f>COUNTIFS('Error Log'!$A:$A,$A381,'Error Log'!$J:$J,G$1)</f>
        <v>0</v>
      </c>
      <c r="H381" s="70">
        <f>COUNTIFS('Error Log'!$A:$A,$A381,'Error Log'!$F:$F,"Source")</f>
        <v>0</v>
      </c>
      <c r="I381" s="70">
        <f>COUNTIFS('Error Log'!$A:$A,$A381,'Error Log'!$F:$F,"Target")</f>
        <v>0</v>
      </c>
      <c r="J381" s="71">
        <f t="shared" si="5"/>
        <v>0</v>
      </c>
    </row>
    <row r="382" spans="1:10">
      <c r="A382" s="81"/>
      <c r="B382" s="70" t="str">
        <f>IF(ISBLANK(A382),"",INDEX('Error Log'!$A:$J,MATCH('Scores per segment'!$A382,'Error Log'!$A:$A,0),MATCH('Scores per segment'!B$1,'Error Log'!$A$1:$J$1,0)))</f>
        <v/>
      </c>
      <c r="C382" s="70" t="str">
        <f>IF(ISBLANK(A382),"",INDEX('Error Log'!$A:$J,MATCH('Scores per segment'!$A382,'Error Log'!$A:$A,0),MATCH('Scores per segment'!C$1,'Error Log'!$A$1:$J$1,0)))</f>
        <v/>
      </c>
      <c r="D382" s="70">
        <f>IF(H382=0,wdct(TRIM(C382)),0)</f>
        <v>0</v>
      </c>
      <c r="E382" s="70">
        <f>COUNTIFS('Error Log'!$A:$A,$A382,'Error Log'!$J:$J,E$1)</f>
        <v>0</v>
      </c>
      <c r="F382" s="70">
        <f>COUNTIFS('Error Log'!$A:$A,$A382,'Error Log'!$J:$J,F$1)</f>
        <v>0</v>
      </c>
      <c r="G382" s="70">
        <f>COUNTIFS('Error Log'!$A:$A,$A382,'Error Log'!$J:$J,G$1)</f>
        <v>0</v>
      </c>
      <c r="H382" s="70">
        <f>COUNTIFS('Error Log'!$A:$A,$A382,'Error Log'!$F:$F,"Source")</f>
        <v>0</v>
      </c>
      <c r="I382" s="70">
        <f>COUNTIFS('Error Log'!$A:$A,$A382,'Error Log'!$F:$F,"Target")</f>
        <v>0</v>
      </c>
      <c r="J382" s="71">
        <f t="shared" si="5"/>
        <v>0</v>
      </c>
    </row>
    <row r="383" spans="1:10">
      <c r="A383" s="81"/>
      <c r="B383" s="70" t="str">
        <f>IF(ISBLANK(A383),"",INDEX('Error Log'!$A:$J,MATCH('Scores per segment'!$A383,'Error Log'!$A:$A,0),MATCH('Scores per segment'!B$1,'Error Log'!$A$1:$J$1,0)))</f>
        <v/>
      </c>
      <c r="C383" s="70" t="str">
        <f>IF(ISBLANK(A383),"",INDEX('Error Log'!$A:$J,MATCH('Scores per segment'!$A383,'Error Log'!$A:$A,0),MATCH('Scores per segment'!C$1,'Error Log'!$A$1:$J$1,0)))</f>
        <v/>
      </c>
      <c r="D383" s="70">
        <f>IF(H383=0,wdct(TRIM(C383)),0)</f>
        <v>0</v>
      </c>
      <c r="E383" s="70">
        <f>COUNTIFS('Error Log'!$A:$A,$A383,'Error Log'!$J:$J,E$1)</f>
        <v>0</v>
      </c>
      <c r="F383" s="70">
        <f>COUNTIFS('Error Log'!$A:$A,$A383,'Error Log'!$J:$J,F$1)</f>
        <v>0</v>
      </c>
      <c r="G383" s="70">
        <f>COUNTIFS('Error Log'!$A:$A,$A383,'Error Log'!$J:$J,G$1)</f>
        <v>0</v>
      </c>
      <c r="H383" s="70">
        <f>COUNTIFS('Error Log'!$A:$A,$A383,'Error Log'!$F:$F,"Source")</f>
        <v>0</v>
      </c>
      <c r="I383" s="70">
        <f>COUNTIFS('Error Log'!$A:$A,$A383,'Error Log'!$F:$F,"Target")</f>
        <v>0</v>
      </c>
      <c r="J383" s="71">
        <f t="shared" si="5"/>
        <v>0</v>
      </c>
    </row>
    <row r="384" spans="1:10">
      <c r="A384" s="81"/>
      <c r="B384" s="70" t="str">
        <f>IF(ISBLANK(A384),"",INDEX('Error Log'!$A:$J,MATCH('Scores per segment'!$A384,'Error Log'!$A:$A,0),MATCH('Scores per segment'!B$1,'Error Log'!$A$1:$J$1,0)))</f>
        <v/>
      </c>
      <c r="C384" s="70" t="str">
        <f>IF(ISBLANK(A384),"",INDEX('Error Log'!$A:$J,MATCH('Scores per segment'!$A384,'Error Log'!$A:$A,0),MATCH('Scores per segment'!C$1,'Error Log'!$A$1:$J$1,0)))</f>
        <v/>
      </c>
      <c r="D384" s="70">
        <f>IF(H384=0,wdct(TRIM(C384)),0)</f>
        <v>0</v>
      </c>
      <c r="E384" s="70">
        <f>COUNTIFS('Error Log'!$A:$A,$A384,'Error Log'!$J:$J,E$1)</f>
        <v>0</v>
      </c>
      <c r="F384" s="70">
        <f>COUNTIFS('Error Log'!$A:$A,$A384,'Error Log'!$J:$J,F$1)</f>
        <v>0</v>
      </c>
      <c r="G384" s="70">
        <f>COUNTIFS('Error Log'!$A:$A,$A384,'Error Log'!$J:$J,G$1)</f>
        <v>0</v>
      </c>
      <c r="H384" s="70">
        <f>COUNTIFS('Error Log'!$A:$A,$A384,'Error Log'!$F:$F,"Source")</f>
        <v>0</v>
      </c>
      <c r="I384" s="70">
        <f>COUNTIFS('Error Log'!$A:$A,$A384,'Error Log'!$F:$F,"Target")</f>
        <v>0</v>
      </c>
      <c r="J384" s="71">
        <f t="shared" si="5"/>
        <v>0</v>
      </c>
    </row>
    <row r="385" spans="1:10">
      <c r="A385" s="81"/>
      <c r="B385" s="70" t="str">
        <f>IF(ISBLANK(A385),"",INDEX('Error Log'!$A:$J,MATCH('Scores per segment'!$A385,'Error Log'!$A:$A,0),MATCH('Scores per segment'!B$1,'Error Log'!$A$1:$J$1,0)))</f>
        <v/>
      </c>
      <c r="C385" s="70" t="str">
        <f>IF(ISBLANK(A385),"",INDEX('Error Log'!$A:$J,MATCH('Scores per segment'!$A385,'Error Log'!$A:$A,0),MATCH('Scores per segment'!C$1,'Error Log'!$A$1:$J$1,0)))</f>
        <v/>
      </c>
      <c r="D385" s="70">
        <f>IF(H385=0,wdct(TRIM(C385)),0)</f>
        <v>0</v>
      </c>
      <c r="E385" s="70">
        <f>COUNTIFS('Error Log'!$A:$A,$A385,'Error Log'!$J:$J,E$1)</f>
        <v>0</v>
      </c>
      <c r="F385" s="70">
        <f>COUNTIFS('Error Log'!$A:$A,$A385,'Error Log'!$J:$J,F$1)</f>
        <v>0</v>
      </c>
      <c r="G385" s="70">
        <f>COUNTIFS('Error Log'!$A:$A,$A385,'Error Log'!$J:$J,G$1)</f>
        <v>0</v>
      </c>
      <c r="H385" s="70">
        <f>COUNTIFS('Error Log'!$A:$A,$A385,'Error Log'!$F:$F,"Source")</f>
        <v>0</v>
      </c>
      <c r="I385" s="70">
        <f>COUNTIFS('Error Log'!$A:$A,$A385,'Error Log'!$F:$F,"Target")</f>
        <v>0</v>
      </c>
      <c r="J385" s="71">
        <f t="shared" si="5"/>
        <v>0</v>
      </c>
    </row>
    <row r="386" spans="1:10">
      <c r="A386" s="81"/>
      <c r="B386" s="70" t="str">
        <f>IF(ISBLANK(A386),"",INDEX('Error Log'!$A:$J,MATCH('Scores per segment'!$A386,'Error Log'!$A:$A,0),MATCH('Scores per segment'!B$1,'Error Log'!$A$1:$J$1,0)))</f>
        <v/>
      </c>
      <c r="C386" s="70" t="str">
        <f>IF(ISBLANK(A386),"",INDEX('Error Log'!$A:$J,MATCH('Scores per segment'!$A386,'Error Log'!$A:$A,0),MATCH('Scores per segment'!C$1,'Error Log'!$A$1:$J$1,0)))</f>
        <v/>
      </c>
      <c r="D386" s="70">
        <f>IF(H386=0,wdct(TRIM(C386)),0)</f>
        <v>0</v>
      </c>
      <c r="E386" s="70">
        <f>COUNTIFS('Error Log'!$A:$A,$A386,'Error Log'!$J:$J,E$1)</f>
        <v>0</v>
      </c>
      <c r="F386" s="70">
        <f>COUNTIFS('Error Log'!$A:$A,$A386,'Error Log'!$J:$J,F$1)</f>
        <v>0</v>
      </c>
      <c r="G386" s="70">
        <f>COUNTIFS('Error Log'!$A:$A,$A386,'Error Log'!$J:$J,G$1)</f>
        <v>0</v>
      </c>
      <c r="H386" s="70">
        <f>COUNTIFS('Error Log'!$A:$A,$A386,'Error Log'!$F:$F,"Source")</f>
        <v>0</v>
      </c>
      <c r="I386" s="70">
        <f>COUNTIFS('Error Log'!$A:$A,$A386,'Error Log'!$F:$F,"Target")</f>
        <v>0</v>
      </c>
      <c r="J386" s="71">
        <f t="shared" ref="J386:J449" si="6">IF(I386=0,IFERROR((((1-((E386*10+F386*5+G386*1)/D386))*100)+100)/2,0),-150)</f>
        <v>0</v>
      </c>
    </row>
    <row r="387" spans="1:10">
      <c r="A387" s="81"/>
      <c r="B387" s="70" t="str">
        <f>IF(ISBLANK(A387),"",INDEX('Error Log'!$A:$J,MATCH('Scores per segment'!$A387,'Error Log'!$A:$A,0),MATCH('Scores per segment'!B$1,'Error Log'!$A$1:$J$1,0)))</f>
        <v/>
      </c>
      <c r="C387" s="70" t="str">
        <f>IF(ISBLANK(A387),"",INDEX('Error Log'!$A:$J,MATCH('Scores per segment'!$A387,'Error Log'!$A:$A,0),MATCH('Scores per segment'!C$1,'Error Log'!$A$1:$J$1,0)))</f>
        <v/>
      </c>
      <c r="D387" s="70">
        <f>IF(H387=0,wdct(TRIM(C387)),0)</f>
        <v>0</v>
      </c>
      <c r="E387" s="70">
        <f>COUNTIFS('Error Log'!$A:$A,$A387,'Error Log'!$J:$J,E$1)</f>
        <v>0</v>
      </c>
      <c r="F387" s="70">
        <f>COUNTIFS('Error Log'!$A:$A,$A387,'Error Log'!$J:$J,F$1)</f>
        <v>0</v>
      </c>
      <c r="G387" s="70">
        <f>COUNTIFS('Error Log'!$A:$A,$A387,'Error Log'!$J:$J,G$1)</f>
        <v>0</v>
      </c>
      <c r="H387" s="70">
        <f>COUNTIFS('Error Log'!$A:$A,$A387,'Error Log'!$F:$F,"Source")</f>
        <v>0</v>
      </c>
      <c r="I387" s="70">
        <f>COUNTIFS('Error Log'!$A:$A,$A387,'Error Log'!$F:$F,"Target")</f>
        <v>0</v>
      </c>
      <c r="J387" s="71">
        <f t="shared" si="6"/>
        <v>0</v>
      </c>
    </row>
    <row r="388" spans="1:10">
      <c r="A388" s="81"/>
      <c r="B388" s="70" t="str">
        <f>IF(ISBLANK(A388),"",INDEX('Error Log'!$A:$J,MATCH('Scores per segment'!$A388,'Error Log'!$A:$A,0),MATCH('Scores per segment'!B$1,'Error Log'!$A$1:$J$1,0)))</f>
        <v/>
      </c>
      <c r="C388" s="70" t="str">
        <f>IF(ISBLANK(A388),"",INDEX('Error Log'!$A:$J,MATCH('Scores per segment'!$A388,'Error Log'!$A:$A,0),MATCH('Scores per segment'!C$1,'Error Log'!$A$1:$J$1,0)))</f>
        <v/>
      </c>
      <c r="D388" s="70">
        <f>IF(H388=0,wdct(TRIM(C388)),0)</f>
        <v>0</v>
      </c>
      <c r="E388" s="70">
        <f>COUNTIFS('Error Log'!$A:$A,$A388,'Error Log'!$J:$J,E$1)</f>
        <v>0</v>
      </c>
      <c r="F388" s="70">
        <f>COUNTIFS('Error Log'!$A:$A,$A388,'Error Log'!$J:$J,F$1)</f>
        <v>0</v>
      </c>
      <c r="G388" s="70">
        <f>COUNTIFS('Error Log'!$A:$A,$A388,'Error Log'!$J:$J,G$1)</f>
        <v>0</v>
      </c>
      <c r="H388" s="70">
        <f>COUNTIFS('Error Log'!$A:$A,$A388,'Error Log'!$F:$F,"Source")</f>
        <v>0</v>
      </c>
      <c r="I388" s="70">
        <f>COUNTIFS('Error Log'!$A:$A,$A388,'Error Log'!$F:$F,"Target")</f>
        <v>0</v>
      </c>
      <c r="J388" s="71">
        <f t="shared" si="6"/>
        <v>0</v>
      </c>
    </row>
    <row r="389" spans="1:10">
      <c r="A389" s="81"/>
      <c r="B389" s="70" t="str">
        <f>IF(ISBLANK(A389),"",INDEX('Error Log'!$A:$J,MATCH('Scores per segment'!$A389,'Error Log'!$A:$A,0),MATCH('Scores per segment'!B$1,'Error Log'!$A$1:$J$1,0)))</f>
        <v/>
      </c>
      <c r="C389" s="70" t="str">
        <f>IF(ISBLANK(A389),"",INDEX('Error Log'!$A:$J,MATCH('Scores per segment'!$A389,'Error Log'!$A:$A,0),MATCH('Scores per segment'!C$1,'Error Log'!$A$1:$J$1,0)))</f>
        <v/>
      </c>
      <c r="D389" s="70">
        <f>IF(H389=0,wdct(TRIM(C389)),0)</f>
        <v>0</v>
      </c>
      <c r="E389" s="70">
        <f>COUNTIFS('Error Log'!$A:$A,$A389,'Error Log'!$J:$J,E$1)</f>
        <v>0</v>
      </c>
      <c r="F389" s="70">
        <f>COUNTIFS('Error Log'!$A:$A,$A389,'Error Log'!$J:$J,F$1)</f>
        <v>0</v>
      </c>
      <c r="G389" s="70">
        <f>COUNTIFS('Error Log'!$A:$A,$A389,'Error Log'!$J:$J,G$1)</f>
        <v>0</v>
      </c>
      <c r="H389" s="70">
        <f>COUNTIFS('Error Log'!$A:$A,$A389,'Error Log'!$F:$F,"Source")</f>
        <v>0</v>
      </c>
      <c r="I389" s="70">
        <f>COUNTIFS('Error Log'!$A:$A,$A389,'Error Log'!$F:$F,"Target")</f>
        <v>0</v>
      </c>
      <c r="J389" s="71">
        <f t="shared" si="6"/>
        <v>0</v>
      </c>
    </row>
    <row r="390" spans="1:10">
      <c r="A390" s="81"/>
      <c r="B390" s="70" t="str">
        <f>IF(ISBLANK(A390),"",INDEX('Error Log'!$A:$J,MATCH('Scores per segment'!$A390,'Error Log'!$A:$A,0),MATCH('Scores per segment'!B$1,'Error Log'!$A$1:$J$1,0)))</f>
        <v/>
      </c>
      <c r="C390" s="70" t="str">
        <f>IF(ISBLANK(A390),"",INDEX('Error Log'!$A:$J,MATCH('Scores per segment'!$A390,'Error Log'!$A:$A,0),MATCH('Scores per segment'!C$1,'Error Log'!$A$1:$J$1,0)))</f>
        <v/>
      </c>
      <c r="D390" s="70">
        <f>IF(H390=0,wdct(TRIM(C390)),0)</f>
        <v>0</v>
      </c>
      <c r="E390" s="70">
        <f>COUNTIFS('Error Log'!$A:$A,$A390,'Error Log'!$J:$J,E$1)</f>
        <v>0</v>
      </c>
      <c r="F390" s="70">
        <f>COUNTIFS('Error Log'!$A:$A,$A390,'Error Log'!$J:$J,F$1)</f>
        <v>0</v>
      </c>
      <c r="G390" s="70">
        <f>COUNTIFS('Error Log'!$A:$A,$A390,'Error Log'!$J:$J,G$1)</f>
        <v>0</v>
      </c>
      <c r="H390" s="70">
        <f>COUNTIFS('Error Log'!$A:$A,$A390,'Error Log'!$F:$F,"Source")</f>
        <v>0</v>
      </c>
      <c r="I390" s="70">
        <f>COUNTIFS('Error Log'!$A:$A,$A390,'Error Log'!$F:$F,"Target")</f>
        <v>0</v>
      </c>
      <c r="J390" s="71">
        <f t="shared" si="6"/>
        <v>0</v>
      </c>
    </row>
    <row r="391" spans="1:10">
      <c r="A391" s="81"/>
      <c r="B391" s="70" t="str">
        <f>IF(ISBLANK(A391),"",INDEX('Error Log'!$A:$J,MATCH('Scores per segment'!$A391,'Error Log'!$A:$A,0),MATCH('Scores per segment'!B$1,'Error Log'!$A$1:$J$1,0)))</f>
        <v/>
      </c>
      <c r="C391" s="70" t="str">
        <f>IF(ISBLANK(A391),"",INDEX('Error Log'!$A:$J,MATCH('Scores per segment'!$A391,'Error Log'!$A:$A,0),MATCH('Scores per segment'!C$1,'Error Log'!$A$1:$J$1,0)))</f>
        <v/>
      </c>
      <c r="D391" s="70">
        <f>IF(H391=0,wdct(TRIM(C391)),0)</f>
        <v>0</v>
      </c>
      <c r="E391" s="70">
        <f>COUNTIFS('Error Log'!$A:$A,$A391,'Error Log'!$J:$J,E$1)</f>
        <v>0</v>
      </c>
      <c r="F391" s="70">
        <f>COUNTIFS('Error Log'!$A:$A,$A391,'Error Log'!$J:$J,F$1)</f>
        <v>0</v>
      </c>
      <c r="G391" s="70">
        <f>COUNTIFS('Error Log'!$A:$A,$A391,'Error Log'!$J:$J,G$1)</f>
        <v>0</v>
      </c>
      <c r="H391" s="70">
        <f>COUNTIFS('Error Log'!$A:$A,$A391,'Error Log'!$F:$F,"Source")</f>
        <v>0</v>
      </c>
      <c r="I391" s="70">
        <f>COUNTIFS('Error Log'!$A:$A,$A391,'Error Log'!$F:$F,"Target")</f>
        <v>0</v>
      </c>
      <c r="J391" s="71">
        <f t="shared" si="6"/>
        <v>0</v>
      </c>
    </row>
    <row r="392" spans="1:10">
      <c r="A392" s="81"/>
      <c r="B392" s="70" t="str">
        <f>IF(ISBLANK(A392),"",INDEX('Error Log'!$A:$J,MATCH('Scores per segment'!$A392,'Error Log'!$A:$A,0),MATCH('Scores per segment'!B$1,'Error Log'!$A$1:$J$1,0)))</f>
        <v/>
      </c>
      <c r="C392" s="70" t="str">
        <f>IF(ISBLANK(A392),"",INDEX('Error Log'!$A:$J,MATCH('Scores per segment'!$A392,'Error Log'!$A:$A,0),MATCH('Scores per segment'!C$1,'Error Log'!$A$1:$J$1,0)))</f>
        <v/>
      </c>
      <c r="D392" s="70">
        <f>IF(H392=0,wdct(TRIM(C392)),0)</f>
        <v>0</v>
      </c>
      <c r="E392" s="70">
        <f>COUNTIFS('Error Log'!$A:$A,$A392,'Error Log'!$J:$J,E$1)</f>
        <v>0</v>
      </c>
      <c r="F392" s="70">
        <f>COUNTIFS('Error Log'!$A:$A,$A392,'Error Log'!$J:$J,F$1)</f>
        <v>0</v>
      </c>
      <c r="G392" s="70">
        <f>COUNTIFS('Error Log'!$A:$A,$A392,'Error Log'!$J:$J,G$1)</f>
        <v>0</v>
      </c>
      <c r="H392" s="70">
        <f>COUNTIFS('Error Log'!$A:$A,$A392,'Error Log'!$F:$F,"Source")</f>
        <v>0</v>
      </c>
      <c r="I392" s="70">
        <f>COUNTIFS('Error Log'!$A:$A,$A392,'Error Log'!$F:$F,"Target")</f>
        <v>0</v>
      </c>
      <c r="J392" s="71">
        <f t="shared" si="6"/>
        <v>0</v>
      </c>
    </row>
    <row r="393" spans="1:10">
      <c r="A393" s="81"/>
      <c r="B393" s="70" t="str">
        <f>IF(ISBLANK(A393),"",INDEX('Error Log'!$A:$J,MATCH('Scores per segment'!$A393,'Error Log'!$A:$A,0),MATCH('Scores per segment'!B$1,'Error Log'!$A$1:$J$1,0)))</f>
        <v/>
      </c>
      <c r="C393" s="70" t="str">
        <f>IF(ISBLANK(A393),"",INDEX('Error Log'!$A:$J,MATCH('Scores per segment'!$A393,'Error Log'!$A:$A,0),MATCH('Scores per segment'!C$1,'Error Log'!$A$1:$J$1,0)))</f>
        <v/>
      </c>
      <c r="D393" s="70">
        <f>IF(H393=0,wdct(TRIM(C393)),0)</f>
        <v>0</v>
      </c>
      <c r="E393" s="70">
        <f>COUNTIFS('Error Log'!$A:$A,$A393,'Error Log'!$J:$J,E$1)</f>
        <v>0</v>
      </c>
      <c r="F393" s="70">
        <f>COUNTIFS('Error Log'!$A:$A,$A393,'Error Log'!$J:$J,F$1)</f>
        <v>0</v>
      </c>
      <c r="G393" s="70">
        <f>COUNTIFS('Error Log'!$A:$A,$A393,'Error Log'!$J:$J,G$1)</f>
        <v>0</v>
      </c>
      <c r="H393" s="70">
        <f>COUNTIFS('Error Log'!$A:$A,$A393,'Error Log'!$F:$F,"Source")</f>
        <v>0</v>
      </c>
      <c r="I393" s="70">
        <f>COUNTIFS('Error Log'!$A:$A,$A393,'Error Log'!$F:$F,"Target")</f>
        <v>0</v>
      </c>
      <c r="J393" s="71">
        <f t="shared" si="6"/>
        <v>0</v>
      </c>
    </row>
    <row r="394" spans="1:10">
      <c r="A394" s="81"/>
      <c r="B394" s="70" t="str">
        <f>IF(ISBLANK(A394),"",INDEX('Error Log'!$A:$J,MATCH('Scores per segment'!$A394,'Error Log'!$A:$A,0),MATCH('Scores per segment'!B$1,'Error Log'!$A$1:$J$1,0)))</f>
        <v/>
      </c>
      <c r="C394" s="70" t="str">
        <f>IF(ISBLANK(A394),"",INDEX('Error Log'!$A:$J,MATCH('Scores per segment'!$A394,'Error Log'!$A:$A,0),MATCH('Scores per segment'!C$1,'Error Log'!$A$1:$J$1,0)))</f>
        <v/>
      </c>
      <c r="D394" s="70">
        <f>IF(H394=0,wdct(TRIM(C394)),0)</f>
        <v>0</v>
      </c>
      <c r="E394" s="70">
        <f>COUNTIFS('Error Log'!$A:$A,$A394,'Error Log'!$J:$J,E$1)</f>
        <v>0</v>
      </c>
      <c r="F394" s="70">
        <f>COUNTIFS('Error Log'!$A:$A,$A394,'Error Log'!$J:$J,F$1)</f>
        <v>0</v>
      </c>
      <c r="G394" s="70">
        <f>COUNTIFS('Error Log'!$A:$A,$A394,'Error Log'!$J:$J,G$1)</f>
        <v>0</v>
      </c>
      <c r="H394" s="70">
        <f>COUNTIFS('Error Log'!$A:$A,$A394,'Error Log'!$F:$F,"Source")</f>
        <v>0</v>
      </c>
      <c r="I394" s="70">
        <f>COUNTIFS('Error Log'!$A:$A,$A394,'Error Log'!$F:$F,"Target")</f>
        <v>0</v>
      </c>
      <c r="J394" s="71">
        <f t="shared" si="6"/>
        <v>0</v>
      </c>
    </row>
    <row r="395" spans="1:10">
      <c r="A395" s="81"/>
      <c r="B395" s="70" t="str">
        <f>IF(ISBLANK(A395),"",INDEX('Error Log'!$A:$J,MATCH('Scores per segment'!$A395,'Error Log'!$A:$A,0),MATCH('Scores per segment'!B$1,'Error Log'!$A$1:$J$1,0)))</f>
        <v/>
      </c>
      <c r="C395" s="70" t="str">
        <f>IF(ISBLANK(A395),"",INDEX('Error Log'!$A:$J,MATCH('Scores per segment'!$A395,'Error Log'!$A:$A,0),MATCH('Scores per segment'!C$1,'Error Log'!$A$1:$J$1,0)))</f>
        <v/>
      </c>
      <c r="D395" s="70">
        <f>IF(H395=0,wdct(TRIM(C395)),0)</f>
        <v>0</v>
      </c>
      <c r="E395" s="70">
        <f>COUNTIFS('Error Log'!$A:$A,$A395,'Error Log'!$J:$J,E$1)</f>
        <v>0</v>
      </c>
      <c r="F395" s="70">
        <f>COUNTIFS('Error Log'!$A:$A,$A395,'Error Log'!$J:$J,F$1)</f>
        <v>0</v>
      </c>
      <c r="G395" s="70">
        <f>COUNTIFS('Error Log'!$A:$A,$A395,'Error Log'!$J:$J,G$1)</f>
        <v>0</v>
      </c>
      <c r="H395" s="70">
        <f>COUNTIFS('Error Log'!$A:$A,$A395,'Error Log'!$F:$F,"Source")</f>
        <v>0</v>
      </c>
      <c r="I395" s="70">
        <f>COUNTIFS('Error Log'!$A:$A,$A395,'Error Log'!$F:$F,"Target")</f>
        <v>0</v>
      </c>
      <c r="J395" s="71">
        <f t="shared" si="6"/>
        <v>0</v>
      </c>
    </row>
    <row r="396" spans="1:10">
      <c r="A396" s="81"/>
      <c r="B396" s="70" t="str">
        <f>IF(ISBLANK(A396),"",INDEX('Error Log'!$A:$J,MATCH('Scores per segment'!$A396,'Error Log'!$A:$A,0),MATCH('Scores per segment'!B$1,'Error Log'!$A$1:$J$1,0)))</f>
        <v/>
      </c>
      <c r="C396" s="70" t="str">
        <f>IF(ISBLANK(A396),"",INDEX('Error Log'!$A:$J,MATCH('Scores per segment'!$A396,'Error Log'!$A:$A,0),MATCH('Scores per segment'!C$1,'Error Log'!$A$1:$J$1,0)))</f>
        <v/>
      </c>
      <c r="D396" s="70">
        <f>IF(H396=0,wdct(TRIM(C396)),0)</f>
        <v>0</v>
      </c>
      <c r="E396" s="70">
        <f>COUNTIFS('Error Log'!$A:$A,$A396,'Error Log'!$J:$J,E$1)</f>
        <v>0</v>
      </c>
      <c r="F396" s="70">
        <f>COUNTIFS('Error Log'!$A:$A,$A396,'Error Log'!$J:$J,F$1)</f>
        <v>0</v>
      </c>
      <c r="G396" s="70">
        <f>COUNTIFS('Error Log'!$A:$A,$A396,'Error Log'!$J:$J,G$1)</f>
        <v>0</v>
      </c>
      <c r="H396" s="70">
        <f>COUNTIFS('Error Log'!$A:$A,$A396,'Error Log'!$F:$F,"Source")</f>
        <v>0</v>
      </c>
      <c r="I396" s="70">
        <f>COUNTIFS('Error Log'!$A:$A,$A396,'Error Log'!$F:$F,"Target")</f>
        <v>0</v>
      </c>
      <c r="J396" s="71">
        <f t="shared" si="6"/>
        <v>0</v>
      </c>
    </row>
    <row r="397" spans="1:10">
      <c r="A397" s="81"/>
      <c r="B397" s="70" t="str">
        <f>IF(ISBLANK(A397),"",INDEX('Error Log'!$A:$J,MATCH('Scores per segment'!$A397,'Error Log'!$A:$A,0),MATCH('Scores per segment'!B$1,'Error Log'!$A$1:$J$1,0)))</f>
        <v/>
      </c>
      <c r="C397" s="70" t="str">
        <f>IF(ISBLANK(A397),"",INDEX('Error Log'!$A:$J,MATCH('Scores per segment'!$A397,'Error Log'!$A:$A,0),MATCH('Scores per segment'!C$1,'Error Log'!$A$1:$J$1,0)))</f>
        <v/>
      </c>
      <c r="D397" s="70">
        <f>IF(H397=0,wdct(TRIM(C397)),0)</f>
        <v>0</v>
      </c>
      <c r="E397" s="70">
        <f>COUNTIFS('Error Log'!$A:$A,$A397,'Error Log'!$J:$J,E$1)</f>
        <v>0</v>
      </c>
      <c r="F397" s="70">
        <f>COUNTIFS('Error Log'!$A:$A,$A397,'Error Log'!$J:$J,F$1)</f>
        <v>0</v>
      </c>
      <c r="G397" s="70">
        <f>COUNTIFS('Error Log'!$A:$A,$A397,'Error Log'!$J:$J,G$1)</f>
        <v>0</v>
      </c>
      <c r="H397" s="70">
        <f>COUNTIFS('Error Log'!$A:$A,$A397,'Error Log'!$F:$F,"Source")</f>
        <v>0</v>
      </c>
      <c r="I397" s="70">
        <f>COUNTIFS('Error Log'!$A:$A,$A397,'Error Log'!$F:$F,"Target")</f>
        <v>0</v>
      </c>
      <c r="J397" s="71">
        <f t="shared" si="6"/>
        <v>0</v>
      </c>
    </row>
    <row r="398" spans="1:10">
      <c r="A398" s="81"/>
      <c r="B398" s="70" t="str">
        <f>IF(ISBLANK(A398),"",INDEX('Error Log'!$A:$J,MATCH('Scores per segment'!$A398,'Error Log'!$A:$A,0),MATCH('Scores per segment'!B$1,'Error Log'!$A$1:$J$1,0)))</f>
        <v/>
      </c>
      <c r="C398" s="70" t="str">
        <f>IF(ISBLANK(A398),"",INDEX('Error Log'!$A:$J,MATCH('Scores per segment'!$A398,'Error Log'!$A:$A,0),MATCH('Scores per segment'!C$1,'Error Log'!$A$1:$J$1,0)))</f>
        <v/>
      </c>
      <c r="D398" s="70">
        <f>IF(H398=0,wdct(TRIM(C398)),0)</f>
        <v>0</v>
      </c>
      <c r="E398" s="70">
        <f>COUNTIFS('Error Log'!$A:$A,$A398,'Error Log'!$J:$J,E$1)</f>
        <v>0</v>
      </c>
      <c r="F398" s="70">
        <f>COUNTIFS('Error Log'!$A:$A,$A398,'Error Log'!$J:$J,F$1)</f>
        <v>0</v>
      </c>
      <c r="G398" s="70">
        <f>COUNTIFS('Error Log'!$A:$A,$A398,'Error Log'!$J:$J,G$1)</f>
        <v>0</v>
      </c>
      <c r="H398" s="70">
        <f>COUNTIFS('Error Log'!$A:$A,$A398,'Error Log'!$F:$F,"Source")</f>
        <v>0</v>
      </c>
      <c r="I398" s="70">
        <f>COUNTIFS('Error Log'!$A:$A,$A398,'Error Log'!$F:$F,"Target")</f>
        <v>0</v>
      </c>
      <c r="J398" s="71">
        <f t="shared" si="6"/>
        <v>0</v>
      </c>
    </row>
    <row r="399" spans="1:10">
      <c r="A399" s="81"/>
      <c r="B399" s="70" t="str">
        <f>IF(ISBLANK(A399),"",INDEX('Error Log'!$A:$J,MATCH('Scores per segment'!$A399,'Error Log'!$A:$A,0),MATCH('Scores per segment'!B$1,'Error Log'!$A$1:$J$1,0)))</f>
        <v/>
      </c>
      <c r="C399" s="70" t="str">
        <f>IF(ISBLANK(A399),"",INDEX('Error Log'!$A:$J,MATCH('Scores per segment'!$A399,'Error Log'!$A:$A,0),MATCH('Scores per segment'!C$1,'Error Log'!$A$1:$J$1,0)))</f>
        <v/>
      </c>
      <c r="D399" s="70">
        <f>IF(H399=0,wdct(TRIM(C399)),0)</f>
        <v>0</v>
      </c>
      <c r="E399" s="70">
        <f>COUNTIFS('Error Log'!$A:$A,$A399,'Error Log'!$J:$J,E$1)</f>
        <v>0</v>
      </c>
      <c r="F399" s="70">
        <f>COUNTIFS('Error Log'!$A:$A,$A399,'Error Log'!$J:$J,F$1)</f>
        <v>0</v>
      </c>
      <c r="G399" s="70">
        <f>COUNTIFS('Error Log'!$A:$A,$A399,'Error Log'!$J:$J,G$1)</f>
        <v>0</v>
      </c>
      <c r="H399" s="70">
        <f>COUNTIFS('Error Log'!$A:$A,$A399,'Error Log'!$F:$F,"Source")</f>
        <v>0</v>
      </c>
      <c r="I399" s="70">
        <f>COUNTIFS('Error Log'!$A:$A,$A399,'Error Log'!$F:$F,"Target")</f>
        <v>0</v>
      </c>
      <c r="J399" s="71">
        <f t="shared" si="6"/>
        <v>0</v>
      </c>
    </row>
    <row r="400" spans="1:10">
      <c r="A400" s="81"/>
      <c r="B400" s="70" t="str">
        <f>IF(ISBLANK(A400),"",INDEX('Error Log'!$A:$J,MATCH('Scores per segment'!$A400,'Error Log'!$A:$A,0),MATCH('Scores per segment'!B$1,'Error Log'!$A$1:$J$1,0)))</f>
        <v/>
      </c>
      <c r="C400" s="70" t="str">
        <f>IF(ISBLANK(A400),"",INDEX('Error Log'!$A:$J,MATCH('Scores per segment'!$A400,'Error Log'!$A:$A,0),MATCH('Scores per segment'!C$1,'Error Log'!$A$1:$J$1,0)))</f>
        <v/>
      </c>
      <c r="D400" s="70">
        <f>IF(H400=0,wdct(TRIM(C400)),0)</f>
        <v>0</v>
      </c>
      <c r="E400" s="70">
        <f>COUNTIFS('Error Log'!$A:$A,$A400,'Error Log'!$J:$J,E$1)</f>
        <v>0</v>
      </c>
      <c r="F400" s="70">
        <f>COUNTIFS('Error Log'!$A:$A,$A400,'Error Log'!$J:$J,F$1)</f>
        <v>0</v>
      </c>
      <c r="G400" s="70">
        <f>COUNTIFS('Error Log'!$A:$A,$A400,'Error Log'!$J:$J,G$1)</f>
        <v>0</v>
      </c>
      <c r="H400" s="70">
        <f>COUNTIFS('Error Log'!$A:$A,$A400,'Error Log'!$F:$F,"Source")</f>
        <v>0</v>
      </c>
      <c r="I400" s="70">
        <f>COUNTIFS('Error Log'!$A:$A,$A400,'Error Log'!$F:$F,"Target")</f>
        <v>0</v>
      </c>
      <c r="J400" s="71">
        <f t="shared" si="6"/>
        <v>0</v>
      </c>
    </row>
    <row r="401" spans="1:10">
      <c r="A401" s="81"/>
      <c r="B401" s="70" t="str">
        <f>IF(ISBLANK(A401),"",INDEX('Error Log'!$A:$J,MATCH('Scores per segment'!$A401,'Error Log'!$A:$A,0),MATCH('Scores per segment'!B$1,'Error Log'!$A$1:$J$1,0)))</f>
        <v/>
      </c>
      <c r="C401" s="70" t="str">
        <f>IF(ISBLANK(A401),"",INDEX('Error Log'!$A:$J,MATCH('Scores per segment'!$A401,'Error Log'!$A:$A,0),MATCH('Scores per segment'!C$1,'Error Log'!$A$1:$J$1,0)))</f>
        <v/>
      </c>
      <c r="D401" s="70">
        <f>IF(H401=0,wdct(TRIM(C401)),0)</f>
        <v>0</v>
      </c>
      <c r="E401" s="70">
        <f>COUNTIFS('Error Log'!$A:$A,$A401,'Error Log'!$J:$J,E$1)</f>
        <v>0</v>
      </c>
      <c r="F401" s="70">
        <f>COUNTIFS('Error Log'!$A:$A,$A401,'Error Log'!$J:$J,F$1)</f>
        <v>0</v>
      </c>
      <c r="G401" s="70">
        <f>COUNTIFS('Error Log'!$A:$A,$A401,'Error Log'!$J:$J,G$1)</f>
        <v>0</v>
      </c>
      <c r="H401" s="70">
        <f>COUNTIFS('Error Log'!$A:$A,$A401,'Error Log'!$F:$F,"Source")</f>
        <v>0</v>
      </c>
      <c r="I401" s="70">
        <f>COUNTIFS('Error Log'!$A:$A,$A401,'Error Log'!$F:$F,"Target")</f>
        <v>0</v>
      </c>
      <c r="J401" s="71">
        <f t="shared" si="6"/>
        <v>0</v>
      </c>
    </row>
    <row r="402" spans="1:10">
      <c r="A402" s="81"/>
      <c r="B402" s="70" t="str">
        <f>IF(ISBLANK(A402),"",INDEX('Error Log'!$A:$J,MATCH('Scores per segment'!$A402,'Error Log'!$A:$A,0),MATCH('Scores per segment'!B$1,'Error Log'!$A$1:$J$1,0)))</f>
        <v/>
      </c>
      <c r="C402" s="70" t="str">
        <f>IF(ISBLANK(A402),"",INDEX('Error Log'!$A:$J,MATCH('Scores per segment'!$A402,'Error Log'!$A:$A,0),MATCH('Scores per segment'!C$1,'Error Log'!$A$1:$J$1,0)))</f>
        <v/>
      </c>
      <c r="D402" s="70">
        <f>IF(H402=0,wdct(TRIM(C402)),0)</f>
        <v>0</v>
      </c>
      <c r="E402" s="70">
        <f>COUNTIFS('Error Log'!$A:$A,$A402,'Error Log'!$J:$J,E$1)</f>
        <v>0</v>
      </c>
      <c r="F402" s="70">
        <f>COUNTIFS('Error Log'!$A:$A,$A402,'Error Log'!$J:$J,F$1)</f>
        <v>0</v>
      </c>
      <c r="G402" s="70">
        <f>COUNTIFS('Error Log'!$A:$A,$A402,'Error Log'!$J:$J,G$1)</f>
        <v>0</v>
      </c>
      <c r="H402" s="70">
        <f>COUNTIFS('Error Log'!$A:$A,$A402,'Error Log'!$F:$F,"Source")</f>
        <v>0</v>
      </c>
      <c r="I402" s="70">
        <f>COUNTIFS('Error Log'!$A:$A,$A402,'Error Log'!$F:$F,"Target")</f>
        <v>0</v>
      </c>
      <c r="J402" s="71">
        <f t="shared" si="6"/>
        <v>0</v>
      </c>
    </row>
    <row r="403" spans="1:10">
      <c r="A403" s="81"/>
      <c r="B403" s="70" t="str">
        <f>IF(ISBLANK(A403),"",INDEX('Error Log'!$A:$J,MATCH('Scores per segment'!$A403,'Error Log'!$A:$A,0),MATCH('Scores per segment'!B$1,'Error Log'!$A$1:$J$1,0)))</f>
        <v/>
      </c>
      <c r="C403" s="70" t="str">
        <f>IF(ISBLANK(A403),"",INDEX('Error Log'!$A:$J,MATCH('Scores per segment'!$A403,'Error Log'!$A:$A,0),MATCH('Scores per segment'!C$1,'Error Log'!$A$1:$J$1,0)))</f>
        <v/>
      </c>
      <c r="D403" s="70">
        <f>IF(H403=0,wdct(TRIM(C403)),0)</f>
        <v>0</v>
      </c>
      <c r="E403" s="70">
        <f>COUNTIFS('Error Log'!$A:$A,$A403,'Error Log'!$J:$J,E$1)</f>
        <v>0</v>
      </c>
      <c r="F403" s="70">
        <f>COUNTIFS('Error Log'!$A:$A,$A403,'Error Log'!$J:$J,F$1)</f>
        <v>0</v>
      </c>
      <c r="G403" s="70">
        <f>COUNTIFS('Error Log'!$A:$A,$A403,'Error Log'!$J:$J,G$1)</f>
        <v>0</v>
      </c>
      <c r="H403" s="70">
        <f>COUNTIFS('Error Log'!$A:$A,$A403,'Error Log'!$F:$F,"Source")</f>
        <v>0</v>
      </c>
      <c r="I403" s="70">
        <f>COUNTIFS('Error Log'!$A:$A,$A403,'Error Log'!$F:$F,"Target")</f>
        <v>0</v>
      </c>
      <c r="J403" s="71">
        <f t="shared" si="6"/>
        <v>0</v>
      </c>
    </row>
    <row r="404" spans="1:10">
      <c r="A404" s="81"/>
      <c r="B404" s="70" t="str">
        <f>IF(ISBLANK(A404),"",INDEX('Error Log'!$A:$J,MATCH('Scores per segment'!$A404,'Error Log'!$A:$A,0),MATCH('Scores per segment'!B$1,'Error Log'!$A$1:$J$1,0)))</f>
        <v/>
      </c>
      <c r="C404" s="70" t="str">
        <f>IF(ISBLANK(A404),"",INDEX('Error Log'!$A:$J,MATCH('Scores per segment'!$A404,'Error Log'!$A:$A,0),MATCH('Scores per segment'!C$1,'Error Log'!$A$1:$J$1,0)))</f>
        <v/>
      </c>
      <c r="D404" s="70">
        <f>IF(H404=0,wdct(TRIM(C404)),0)</f>
        <v>0</v>
      </c>
      <c r="E404" s="70">
        <f>COUNTIFS('Error Log'!$A:$A,$A404,'Error Log'!$J:$J,E$1)</f>
        <v>0</v>
      </c>
      <c r="F404" s="70">
        <f>COUNTIFS('Error Log'!$A:$A,$A404,'Error Log'!$J:$J,F$1)</f>
        <v>0</v>
      </c>
      <c r="G404" s="70">
        <f>COUNTIFS('Error Log'!$A:$A,$A404,'Error Log'!$J:$J,G$1)</f>
        <v>0</v>
      </c>
      <c r="H404" s="70">
        <f>COUNTIFS('Error Log'!$A:$A,$A404,'Error Log'!$F:$F,"Source")</f>
        <v>0</v>
      </c>
      <c r="I404" s="70">
        <f>COUNTIFS('Error Log'!$A:$A,$A404,'Error Log'!$F:$F,"Target")</f>
        <v>0</v>
      </c>
      <c r="J404" s="71">
        <f t="shared" si="6"/>
        <v>0</v>
      </c>
    </row>
    <row r="405" spans="1:10">
      <c r="A405" s="81"/>
      <c r="B405" s="70" t="str">
        <f>IF(ISBLANK(A405),"",INDEX('Error Log'!$A:$J,MATCH('Scores per segment'!$A405,'Error Log'!$A:$A,0),MATCH('Scores per segment'!B$1,'Error Log'!$A$1:$J$1,0)))</f>
        <v/>
      </c>
      <c r="C405" s="70" t="str">
        <f>IF(ISBLANK(A405),"",INDEX('Error Log'!$A:$J,MATCH('Scores per segment'!$A405,'Error Log'!$A:$A,0),MATCH('Scores per segment'!C$1,'Error Log'!$A$1:$J$1,0)))</f>
        <v/>
      </c>
      <c r="D405" s="70">
        <f>IF(H405=0,wdct(TRIM(C405)),0)</f>
        <v>0</v>
      </c>
      <c r="E405" s="70">
        <f>COUNTIFS('Error Log'!$A:$A,$A405,'Error Log'!$J:$J,E$1)</f>
        <v>0</v>
      </c>
      <c r="F405" s="70">
        <f>COUNTIFS('Error Log'!$A:$A,$A405,'Error Log'!$J:$J,F$1)</f>
        <v>0</v>
      </c>
      <c r="G405" s="70">
        <f>COUNTIFS('Error Log'!$A:$A,$A405,'Error Log'!$J:$J,G$1)</f>
        <v>0</v>
      </c>
      <c r="H405" s="70">
        <f>COUNTIFS('Error Log'!$A:$A,$A405,'Error Log'!$F:$F,"Source")</f>
        <v>0</v>
      </c>
      <c r="I405" s="70">
        <f>COUNTIFS('Error Log'!$A:$A,$A405,'Error Log'!$F:$F,"Target")</f>
        <v>0</v>
      </c>
      <c r="J405" s="71">
        <f t="shared" si="6"/>
        <v>0</v>
      </c>
    </row>
    <row r="406" spans="1:10">
      <c r="A406" s="81"/>
      <c r="B406" s="70" t="str">
        <f>IF(ISBLANK(A406),"",INDEX('Error Log'!$A:$J,MATCH('Scores per segment'!$A406,'Error Log'!$A:$A,0),MATCH('Scores per segment'!B$1,'Error Log'!$A$1:$J$1,0)))</f>
        <v/>
      </c>
      <c r="C406" s="70" t="str">
        <f>IF(ISBLANK(A406),"",INDEX('Error Log'!$A:$J,MATCH('Scores per segment'!$A406,'Error Log'!$A:$A,0),MATCH('Scores per segment'!C$1,'Error Log'!$A$1:$J$1,0)))</f>
        <v/>
      </c>
      <c r="D406" s="70">
        <f>IF(H406=0,wdct(TRIM(C406)),0)</f>
        <v>0</v>
      </c>
      <c r="E406" s="70">
        <f>COUNTIFS('Error Log'!$A:$A,$A406,'Error Log'!$J:$J,E$1)</f>
        <v>0</v>
      </c>
      <c r="F406" s="70">
        <f>COUNTIFS('Error Log'!$A:$A,$A406,'Error Log'!$J:$J,F$1)</f>
        <v>0</v>
      </c>
      <c r="G406" s="70">
        <f>COUNTIFS('Error Log'!$A:$A,$A406,'Error Log'!$J:$J,G$1)</f>
        <v>0</v>
      </c>
      <c r="H406" s="70">
        <f>COUNTIFS('Error Log'!$A:$A,$A406,'Error Log'!$F:$F,"Source")</f>
        <v>0</v>
      </c>
      <c r="I406" s="70">
        <f>COUNTIFS('Error Log'!$A:$A,$A406,'Error Log'!$F:$F,"Target")</f>
        <v>0</v>
      </c>
      <c r="J406" s="71">
        <f t="shared" si="6"/>
        <v>0</v>
      </c>
    </row>
    <row r="407" spans="1:10">
      <c r="A407" s="81"/>
      <c r="B407" s="70" t="str">
        <f>IF(ISBLANK(A407),"",INDEX('Error Log'!$A:$J,MATCH('Scores per segment'!$A407,'Error Log'!$A:$A,0),MATCH('Scores per segment'!B$1,'Error Log'!$A$1:$J$1,0)))</f>
        <v/>
      </c>
      <c r="C407" s="70" t="str">
        <f>IF(ISBLANK(A407),"",INDEX('Error Log'!$A:$J,MATCH('Scores per segment'!$A407,'Error Log'!$A:$A,0),MATCH('Scores per segment'!C$1,'Error Log'!$A$1:$J$1,0)))</f>
        <v/>
      </c>
      <c r="D407" s="70">
        <f>IF(H407=0,wdct(TRIM(C407)),0)</f>
        <v>0</v>
      </c>
      <c r="E407" s="70">
        <f>COUNTIFS('Error Log'!$A:$A,$A407,'Error Log'!$J:$J,E$1)</f>
        <v>0</v>
      </c>
      <c r="F407" s="70">
        <f>COUNTIFS('Error Log'!$A:$A,$A407,'Error Log'!$J:$J,F$1)</f>
        <v>0</v>
      </c>
      <c r="G407" s="70">
        <f>COUNTIFS('Error Log'!$A:$A,$A407,'Error Log'!$J:$J,G$1)</f>
        <v>0</v>
      </c>
      <c r="H407" s="70">
        <f>COUNTIFS('Error Log'!$A:$A,$A407,'Error Log'!$F:$F,"Source")</f>
        <v>0</v>
      </c>
      <c r="I407" s="70">
        <f>COUNTIFS('Error Log'!$A:$A,$A407,'Error Log'!$F:$F,"Target")</f>
        <v>0</v>
      </c>
      <c r="J407" s="71">
        <f t="shared" si="6"/>
        <v>0</v>
      </c>
    </row>
    <row r="408" spans="1:10">
      <c r="A408" s="81"/>
      <c r="B408" s="70" t="str">
        <f>IF(ISBLANK(A408),"",INDEX('Error Log'!$A:$J,MATCH('Scores per segment'!$A408,'Error Log'!$A:$A,0),MATCH('Scores per segment'!B$1,'Error Log'!$A$1:$J$1,0)))</f>
        <v/>
      </c>
      <c r="C408" s="70" t="str">
        <f>IF(ISBLANK(A408),"",INDEX('Error Log'!$A:$J,MATCH('Scores per segment'!$A408,'Error Log'!$A:$A,0),MATCH('Scores per segment'!C$1,'Error Log'!$A$1:$J$1,0)))</f>
        <v/>
      </c>
      <c r="D408" s="70">
        <f>IF(H408=0,wdct(TRIM(C408)),0)</f>
        <v>0</v>
      </c>
      <c r="E408" s="70">
        <f>COUNTIFS('Error Log'!$A:$A,$A408,'Error Log'!$J:$J,E$1)</f>
        <v>0</v>
      </c>
      <c r="F408" s="70">
        <f>COUNTIFS('Error Log'!$A:$A,$A408,'Error Log'!$J:$J,F$1)</f>
        <v>0</v>
      </c>
      <c r="G408" s="70">
        <f>COUNTIFS('Error Log'!$A:$A,$A408,'Error Log'!$J:$J,G$1)</f>
        <v>0</v>
      </c>
      <c r="H408" s="70">
        <f>COUNTIFS('Error Log'!$A:$A,$A408,'Error Log'!$F:$F,"Source")</f>
        <v>0</v>
      </c>
      <c r="I408" s="70">
        <f>COUNTIFS('Error Log'!$A:$A,$A408,'Error Log'!$F:$F,"Target")</f>
        <v>0</v>
      </c>
      <c r="J408" s="71">
        <f t="shared" si="6"/>
        <v>0</v>
      </c>
    </row>
    <row r="409" spans="1:10">
      <c r="A409" s="81"/>
      <c r="B409" s="70" t="str">
        <f>IF(ISBLANK(A409),"",INDEX('Error Log'!$A:$J,MATCH('Scores per segment'!$A409,'Error Log'!$A:$A,0),MATCH('Scores per segment'!B$1,'Error Log'!$A$1:$J$1,0)))</f>
        <v/>
      </c>
      <c r="C409" s="70" t="str">
        <f>IF(ISBLANK(A409),"",INDEX('Error Log'!$A:$J,MATCH('Scores per segment'!$A409,'Error Log'!$A:$A,0),MATCH('Scores per segment'!C$1,'Error Log'!$A$1:$J$1,0)))</f>
        <v/>
      </c>
      <c r="D409" s="70">
        <f>IF(H409=0,wdct(TRIM(C409)),0)</f>
        <v>0</v>
      </c>
      <c r="E409" s="70">
        <f>COUNTIFS('Error Log'!$A:$A,$A409,'Error Log'!$J:$J,E$1)</f>
        <v>0</v>
      </c>
      <c r="F409" s="70">
        <f>COUNTIFS('Error Log'!$A:$A,$A409,'Error Log'!$J:$J,F$1)</f>
        <v>0</v>
      </c>
      <c r="G409" s="70">
        <f>COUNTIFS('Error Log'!$A:$A,$A409,'Error Log'!$J:$J,G$1)</f>
        <v>0</v>
      </c>
      <c r="H409" s="70">
        <f>COUNTIFS('Error Log'!$A:$A,$A409,'Error Log'!$F:$F,"Source")</f>
        <v>0</v>
      </c>
      <c r="I409" s="70">
        <f>COUNTIFS('Error Log'!$A:$A,$A409,'Error Log'!$F:$F,"Target")</f>
        <v>0</v>
      </c>
      <c r="J409" s="71">
        <f t="shared" si="6"/>
        <v>0</v>
      </c>
    </row>
    <row r="410" spans="1:10">
      <c r="A410" s="81"/>
      <c r="B410" s="70" t="str">
        <f>IF(ISBLANK(A410),"",INDEX('Error Log'!$A:$J,MATCH('Scores per segment'!$A410,'Error Log'!$A:$A,0),MATCH('Scores per segment'!B$1,'Error Log'!$A$1:$J$1,0)))</f>
        <v/>
      </c>
      <c r="C410" s="70" t="str">
        <f>IF(ISBLANK(A410),"",INDEX('Error Log'!$A:$J,MATCH('Scores per segment'!$A410,'Error Log'!$A:$A,0),MATCH('Scores per segment'!C$1,'Error Log'!$A$1:$J$1,0)))</f>
        <v/>
      </c>
      <c r="D410" s="70">
        <f>IF(H410=0,wdct(TRIM(C410)),0)</f>
        <v>0</v>
      </c>
      <c r="E410" s="70">
        <f>COUNTIFS('Error Log'!$A:$A,$A410,'Error Log'!$J:$J,E$1)</f>
        <v>0</v>
      </c>
      <c r="F410" s="70">
        <f>COUNTIFS('Error Log'!$A:$A,$A410,'Error Log'!$J:$J,F$1)</f>
        <v>0</v>
      </c>
      <c r="G410" s="70">
        <f>COUNTIFS('Error Log'!$A:$A,$A410,'Error Log'!$J:$J,G$1)</f>
        <v>0</v>
      </c>
      <c r="H410" s="70">
        <f>COUNTIFS('Error Log'!$A:$A,$A410,'Error Log'!$F:$F,"Source")</f>
        <v>0</v>
      </c>
      <c r="I410" s="70">
        <f>COUNTIFS('Error Log'!$A:$A,$A410,'Error Log'!$F:$F,"Target")</f>
        <v>0</v>
      </c>
      <c r="J410" s="71">
        <f t="shared" si="6"/>
        <v>0</v>
      </c>
    </row>
    <row r="411" spans="1:10">
      <c r="A411" s="81"/>
      <c r="B411" s="70" t="str">
        <f>IF(ISBLANK(A411),"",INDEX('Error Log'!$A:$J,MATCH('Scores per segment'!$A411,'Error Log'!$A:$A,0),MATCH('Scores per segment'!B$1,'Error Log'!$A$1:$J$1,0)))</f>
        <v/>
      </c>
      <c r="C411" s="70" t="str">
        <f>IF(ISBLANK(A411),"",INDEX('Error Log'!$A:$J,MATCH('Scores per segment'!$A411,'Error Log'!$A:$A,0),MATCH('Scores per segment'!C$1,'Error Log'!$A$1:$J$1,0)))</f>
        <v/>
      </c>
      <c r="D411" s="70">
        <f>IF(H411=0,wdct(TRIM(C411)),0)</f>
        <v>0</v>
      </c>
      <c r="E411" s="70">
        <f>COUNTIFS('Error Log'!$A:$A,$A411,'Error Log'!$J:$J,E$1)</f>
        <v>0</v>
      </c>
      <c r="F411" s="70">
        <f>COUNTIFS('Error Log'!$A:$A,$A411,'Error Log'!$J:$J,F$1)</f>
        <v>0</v>
      </c>
      <c r="G411" s="70">
        <f>COUNTIFS('Error Log'!$A:$A,$A411,'Error Log'!$J:$J,G$1)</f>
        <v>0</v>
      </c>
      <c r="H411" s="70">
        <f>COUNTIFS('Error Log'!$A:$A,$A411,'Error Log'!$F:$F,"Source")</f>
        <v>0</v>
      </c>
      <c r="I411" s="70">
        <f>COUNTIFS('Error Log'!$A:$A,$A411,'Error Log'!$F:$F,"Target")</f>
        <v>0</v>
      </c>
      <c r="J411" s="71">
        <f t="shared" si="6"/>
        <v>0</v>
      </c>
    </row>
    <row r="412" spans="1:10">
      <c r="A412" s="81"/>
      <c r="B412" s="70" t="str">
        <f>IF(ISBLANK(A412),"",INDEX('Error Log'!$A:$J,MATCH('Scores per segment'!$A412,'Error Log'!$A:$A,0),MATCH('Scores per segment'!B$1,'Error Log'!$A$1:$J$1,0)))</f>
        <v/>
      </c>
      <c r="C412" s="70" t="str">
        <f>IF(ISBLANK(A412),"",INDEX('Error Log'!$A:$J,MATCH('Scores per segment'!$A412,'Error Log'!$A:$A,0),MATCH('Scores per segment'!C$1,'Error Log'!$A$1:$J$1,0)))</f>
        <v/>
      </c>
      <c r="D412" s="70">
        <f>IF(H412=0,wdct(TRIM(C412)),0)</f>
        <v>0</v>
      </c>
      <c r="E412" s="70">
        <f>COUNTIFS('Error Log'!$A:$A,$A412,'Error Log'!$J:$J,E$1)</f>
        <v>0</v>
      </c>
      <c r="F412" s="70">
        <f>COUNTIFS('Error Log'!$A:$A,$A412,'Error Log'!$J:$J,F$1)</f>
        <v>0</v>
      </c>
      <c r="G412" s="70">
        <f>COUNTIFS('Error Log'!$A:$A,$A412,'Error Log'!$J:$J,G$1)</f>
        <v>0</v>
      </c>
      <c r="H412" s="70">
        <f>COUNTIFS('Error Log'!$A:$A,$A412,'Error Log'!$F:$F,"Source")</f>
        <v>0</v>
      </c>
      <c r="I412" s="70">
        <f>COUNTIFS('Error Log'!$A:$A,$A412,'Error Log'!$F:$F,"Target")</f>
        <v>0</v>
      </c>
      <c r="J412" s="71">
        <f t="shared" si="6"/>
        <v>0</v>
      </c>
    </row>
    <row r="413" spans="1:10">
      <c r="A413" s="81"/>
      <c r="B413" s="70" t="str">
        <f>IF(ISBLANK(A413),"",INDEX('Error Log'!$A:$J,MATCH('Scores per segment'!$A413,'Error Log'!$A:$A,0),MATCH('Scores per segment'!B$1,'Error Log'!$A$1:$J$1,0)))</f>
        <v/>
      </c>
      <c r="C413" s="70" t="str">
        <f>IF(ISBLANK(A413),"",INDEX('Error Log'!$A:$J,MATCH('Scores per segment'!$A413,'Error Log'!$A:$A,0),MATCH('Scores per segment'!C$1,'Error Log'!$A$1:$J$1,0)))</f>
        <v/>
      </c>
      <c r="D413" s="70">
        <f>IF(H413=0,wdct(TRIM(C413)),0)</f>
        <v>0</v>
      </c>
      <c r="E413" s="70">
        <f>COUNTIFS('Error Log'!$A:$A,$A413,'Error Log'!$J:$J,E$1)</f>
        <v>0</v>
      </c>
      <c r="F413" s="70">
        <f>COUNTIFS('Error Log'!$A:$A,$A413,'Error Log'!$J:$J,F$1)</f>
        <v>0</v>
      </c>
      <c r="G413" s="70">
        <f>COUNTIFS('Error Log'!$A:$A,$A413,'Error Log'!$J:$J,G$1)</f>
        <v>0</v>
      </c>
      <c r="H413" s="70">
        <f>COUNTIFS('Error Log'!$A:$A,$A413,'Error Log'!$F:$F,"Source")</f>
        <v>0</v>
      </c>
      <c r="I413" s="70">
        <f>COUNTIFS('Error Log'!$A:$A,$A413,'Error Log'!$F:$F,"Target")</f>
        <v>0</v>
      </c>
      <c r="J413" s="71">
        <f t="shared" si="6"/>
        <v>0</v>
      </c>
    </row>
    <row r="414" spans="1:10">
      <c r="A414" s="81"/>
      <c r="B414" s="70" t="str">
        <f>IF(ISBLANK(A414),"",INDEX('Error Log'!$A:$J,MATCH('Scores per segment'!$A414,'Error Log'!$A:$A,0),MATCH('Scores per segment'!B$1,'Error Log'!$A$1:$J$1,0)))</f>
        <v/>
      </c>
      <c r="C414" s="70" t="str">
        <f>IF(ISBLANK(A414),"",INDEX('Error Log'!$A:$J,MATCH('Scores per segment'!$A414,'Error Log'!$A:$A,0),MATCH('Scores per segment'!C$1,'Error Log'!$A$1:$J$1,0)))</f>
        <v/>
      </c>
      <c r="D414" s="70">
        <f>IF(H414=0,wdct(TRIM(C414)),0)</f>
        <v>0</v>
      </c>
      <c r="E414" s="70">
        <f>COUNTIFS('Error Log'!$A:$A,$A414,'Error Log'!$J:$J,E$1)</f>
        <v>0</v>
      </c>
      <c r="F414" s="70">
        <f>COUNTIFS('Error Log'!$A:$A,$A414,'Error Log'!$J:$J,F$1)</f>
        <v>0</v>
      </c>
      <c r="G414" s="70">
        <f>COUNTIFS('Error Log'!$A:$A,$A414,'Error Log'!$J:$J,G$1)</f>
        <v>0</v>
      </c>
      <c r="H414" s="70">
        <f>COUNTIFS('Error Log'!$A:$A,$A414,'Error Log'!$F:$F,"Source")</f>
        <v>0</v>
      </c>
      <c r="I414" s="70">
        <f>COUNTIFS('Error Log'!$A:$A,$A414,'Error Log'!$F:$F,"Target")</f>
        <v>0</v>
      </c>
      <c r="J414" s="71">
        <f t="shared" si="6"/>
        <v>0</v>
      </c>
    </row>
    <row r="415" spans="1:10">
      <c r="A415" s="81"/>
      <c r="B415" s="70" t="str">
        <f>IF(ISBLANK(A415),"",INDEX('Error Log'!$A:$J,MATCH('Scores per segment'!$A415,'Error Log'!$A:$A,0),MATCH('Scores per segment'!B$1,'Error Log'!$A$1:$J$1,0)))</f>
        <v/>
      </c>
      <c r="C415" s="70" t="str">
        <f>IF(ISBLANK(A415),"",INDEX('Error Log'!$A:$J,MATCH('Scores per segment'!$A415,'Error Log'!$A:$A,0),MATCH('Scores per segment'!C$1,'Error Log'!$A$1:$J$1,0)))</f>
        <v/>
      </c>
      <c r="D415" s="70">
        <f>IF(H415=0,wdct(TRIM(C415)),0)</f>
        <v>0</v>
      </c>
      <c r="E415" s="70">
        <f>COUNTIFS('Error Log'!$A:$A,$A415,'Error Log'!$J:$J,E$1)</f>
        <v>0</v>
      </c>
      <c r="F415" s="70">
        <f>COUNTIFS('Error Log'!$A:$A,$A415,'Error Log'!$J:$J,F$1)</f>
        <v>0</v>
      </c>
      <c r="G415" s="70">
        <f>COUNTIFS('Error Log'!$A:$A,$A415,'Error Log'!$J:$J,G$1)</f>
        <v>0</v>
      </c>
      <c r="H415" s="70">
        <f>COUNTIFS('Error Log'!$A:$A,$A415,'Error Log'!$F:$F,"Source")</f>
        <v>0</v>
      </c>
      <c r="I415" s="70">
        <f>COUNTIFS('Error Log'!$A:$A,$A415,'Error Log'!$F:$F,"Target")</f>
        <v>0</v>
      </c>
      <c r="J415" s="71">
        <f t="shared" si="6"/>
        <v>0</v>
      </c>
    </row>
    <row r="416" spans="1:10">
      <c r="A416" s="81"/>
      <c r="B416" s="70" t="str">
        <f>IF(ISBLANK(A416),"",INDEX('Error Log'!$A:$J,MATCH('Scores per segment'!$A416,'Error Log'!$A:$A,0),MATCH('Scores per segment'!B$1,'Error Log'!$A$1:$J$1,0)))</f>
        <v/>
      </c>
      <c r="C416" s="70" t="str">
        <f>IF(ISBLANK(A416),"",INDEX('Error Log'!$A:$J,MATCH('Scores per segment'!$A416,'Error Log'!$A:$A,0),MATCH('Scores per segment'!C$1,'Error Log'!$A$1:$J$1,0)))</f>
        <v/>
      </c>
      <c r="D416" s="70">
        <f>IF(H416=0,wdct(TRIM(C416)),0)</f>
        <v>0</v>
      </c>
      <c r="E416" s="70">
        <f>COUNTIFS('Error Log'!$A:$A,$A416,'Error Log'!$J:$J,E$1)</f>
        <v>0</v>
      </c>
      <c r="F416" s="70">
        <f>COUNTIFS('Error Log'!$A:$A,$A416,'Error Log'!$J:$J,F$1)</f>
        <v>0</v>
      </c>
      <c r="G416" s="70">
        <f>COUNTIFS('Error Log'!$A:$A,$A416,'Error Log'!$J:$J,G$1)</f>
        <v>0</v>
      </c>
      <c r="H416" s="70">
        <f>COUNTIFS('Error Log'!$A:$A,$A416,'Error Log'!$F:$F,"Source")</f>
        <v>0</v>
      </c>
      <c r="I416" s="70">
        <f>COUNTIFS('Error Log'!$A:$A,$A416,'Error Log'!$F:$F,"Target")</f>
        <v>0</v>
      </c>
      <c r="J416" s="71">
        <f t="shared" si="6"/>
        <v>0</v>
      </c>
    </row>
    <row r="417" spans="1:10">
      <c r="A417" s="81"/>
      <c r="B417" s="70" t="str">
        <f>IF(ISBLANK(A417),"",INDEX('Error Log'!$A:$J,MATCH('Scores per segment'!$A417,'Error Log'!$A:$A,0),MATCH('Scores per segment'!B$1,'Error Log'!$A$1:$J$1,0)))</f>
        <v/>
      </c>
      <c r="C417" s="70" t="str">
        <f>IF(ISBLANK(A417),"",INDEX('Error Log'!$A:$J,MATCH('Scores per segment'!$A417,'Error Log'!$A:$A,0),MATCH('Scores per segment'!C$1,'Error Log'!$A$1:$J$1,0)))</f>
        <v/>
      </c>
      <c r="D417" s="70">
        <f>IF(H417=0,wdct(TRIM(C417)),0)</f>
        <v>0</v>
      </c>
      <c r="E417" s="70">
        <f>COUNTIFS('Error Log'!$A:$A,$A417,'Error Log'!$J:$J,E$1)</f>
        <v>0</v>
      </c>
      <c r="F417" s="70">
        <f>COUNTIFS('Error Log'!$A:$A,$A417,'Error Log'!$J:$J,F$1)</f>
        <v>0</v>
      </c>
      <c r="G417" s="70">
        <f>COUNTIFS('Error Log'!$A:$A,$A417,'Error Log'!$J:$J,G$1)</f>
        <v>0</v>
      </c>
      <c r="H417" s="70">
        <f>COUNTIFS('Error Log'!$A:$A,$A417,'Error Log'!$F:$F,"Source")</f>
        <v>0</v>
      </c>
      <c r="I417" s="70">
        <f>COUNTIFS('Error Log'!$A:$A,$A417,'Error Log'!$F:$F,"Target")</f>
        <v>0</v>
      </c>
      <c r="J417" s="71">
        <f t="shared" si="6"/>
        <v>0</v>
      </c>
    </row>
    <row r="418" spans="1:10">
      <c r="A418" s="81"/>
      <c r="B418" s="70" t="str">
        <f>IF(ISBLANK(A418),"",INDEX('Error Log'!$A:$J,MATCH('Scores per segment'!$A418,'Error Log'!$A:$A,0),MATCH('Scores per segment'!B$1,'Error Log'!$A$1:$J$1,0)))</f>
        <v/>
      </c>
      <c r="C418" s="70" t="str">
        <f>IF(ISBLANK(A418),"",INDEX('Error Log'!$A:$J,MATCH('Scores per segment'!$A418,'Error Log'!$A:$A,0),MATCH('Scores per segment'!C$1,'Error Log'!$A$1:$J$1,0)))</f>
        <v/>
      </c>
      <c r="D418" s="70">
        <f>IF(H418=0,wdct(TRIM(C418)),0)</f>
        <v>0</v>
      </c>
      <c r="E418" s="70">
        <f>COUNTIFS('Error Log'!$A:$A,$A418,'Error Log'!$J:$J,E$1)</f>
        <v>0</v>
      </c>
      <c r="F418" s="70">
        <f>COUNTIFS('Error Log'!$A:$A,$A418,'Error Log'!$J:$J,F$1)</f>
        <v>0</v>
      </c>
      <c r="G418" s="70">
        <f>COUNTIFS('Error Log'!$A:$A,$A418,'Error Log'!$J:$J,G$1)</f>
        <v>0</v>
      </c>
      <c r="H418" s="70">
        <f>COUNTIFS('Error Log'!$A:$A,$A418,'Error Log'!$F:$F,"Source")</f>
        <v>0</v>
      </c>
      <c r="I418" s="70">
        <f>COUNTIFS('Error Log'!$A:$A,$A418,'Error Log'!$F:$F,"Target")</f>
        <v>0</v>
      </c>
      <c r="J418" s="71">
        <f t="shared" si="6"/>
        <v>0</v>
      </c>
    </row>
    <row r="419" spans="1:10">
      <c r="A419" s="81"/>
      <c r="B419" s="70" t="str">
        <f>IF(ISBLANK(A419),"",INDEX('Error Log'!$A:$J,MATCH('Scores per segment'!$A419,'Error Log'!$A:$A,0),MATCH('Scores per segment'!B$1,'Error Log'!$A$1:$J$1,0)))</f>
        <v/>
      </c>
      <c r="C419" s="70" t="str">
        <f>IF(ISBLANK(A419),"",INDEX('Error Log'!$A:$J,MATCH('Scores per segment'!$A419,'Error Log'!$A:$A,0),MATCH('Scores per segment'!C$1,'Error Log'!$A$1:$J$1,0)))</f>
        <v/>
      </c>
      <c r="D419" s="70">
        <f>IF(H419=0,wdct(TRIM(C419)),0)</f>
        <v>0</v>
      </c>
      <c r="E419" s="70">
        <f>COUNTIFS('Error Log'!$A:$A,$A419,'Error Log'!$J:$J,E$1)</f>
        <v>0</v>
      </c>
      <c r="F419" s="70">
        <f>COUNTIFS('Error Log'!$A:$A,$A419,'Error Log'!$J:$J,F$1)</f>
        <v>0</v>
      </c>
      <c r="G419" s="70">
        <f>COUNTIFS('Error Log'!$A:$A,$A419,'Error Log'!$J:$J,G$1)</f>
        <v>0</v>
      </c>
      <c r="H419" s="70">
        <f>COUNTIFS('Error Log'!$A:$A,$A419,'Error Log'!$F:$F,"Source")</f>
        <v>0</v>
      </c>
      <c r="I419" s="70">
        <f>COUNTIFS('Error Log'!$A:$A,$A419,'Error Log'!$F:$F,"Target")</f>
        <v>0</v>
      </c>
      <c r="J419" s="71">
        <f t="shared" si="6"/>
        <v>0</v>
      </c>
    </row>
    <row r="420" spans="1:10">
      <c r="A420" s="81"/>
      <c r="B420" s="70" t="str">
        <f>IF(ISBLANK(A420),"",INDEX('Error Log'!$A:$J,MATCH('Scores per segment'!$A420,'Error Log'!$A:$A,0),MATCH('Scores per segment'!B$1,'Error Log'!$A$1:$J$1,0)))</f>
        <v/>
      </c>
      <c r="C420" s="70" t="str">
        <f>IF(ISBLANK(A420),"",INDEX('Error Log'!$A:$J,MATCH('Scores per segment'!$A420,'Error Log'!$A:$A,0),MATCH('Scores per segment'!C$1,'Error Log'!$A$1:$J$1,0)))</f>
        <v/>
      </c>
      <c r="D420" s="70">
        <f>IF(H420=0,wdct(TRIM(C420)),0)</f>
        <v>0</v>
      </c>
      <c r="E420" s="70">
        <f>COUNTIFS('Error Log'!$A:$A,$A420,'Error Log'!$J:$J,E$1)</f>
        <v>0</v>
      </c>
      <c r="F420" s="70">
        <f>COUNTIFS('Error Log'!$A:$A,$A420,'Error Log'!$J:$J,F$1)</f>
        <v>0</v>
      </c>
      <c r="G420" s="70">
        <f>COUNTIFS('Error Log'!$A:$A,$A420,'Error Log'!$J:$J,G$1)</f>
        <v>0</v>
      </c>
      <c r="H420" s="70">
        <f>COUNTIFS('Error Log'!$A:$A,$A420,'Error Log'!$F:$F,"Source")</f>
        <v>0</v>
      </c>
      <c r="I420" s="70">
        <f>COUNTIFS('Error Log'!$A:$A,$A420,'Error Log'!$F:$F,"Target")</f>
        <v>0</v>
      </c>
      <c r="J420" s="71">
        <f t="shared" si="6"/>
        <v>0</v>
      </c>
    </row>
    <row r="421" spans="1:10">
      <c r="A421" s="81"/>
      <c r="B421" s="70" t="str">
        <f>IF(ISBLANK(A421),"",INDEX('Error Log'!$A:$J,MATCH('Scores per segment'!$A421,'Error Log'!$A:$A,0),MATCH('Scores per segment'!B$1,'Error Log'!$A$1:$J$1,0)))</f>
        <v/>
      </c>
      <c r="C421" s="70" t="str">
        <f>IF(ISBLANK(A421),"",INDEX('Error Log'!$A:$J,MATCH('Scores per segment'!$A421,'Error Log'!$A:$A,0),MATCH('Scores per segment'!C$1,'Error Log'!$A$1:$J$1,0)))</f>
        <v/>
      </c>
      <c r="D421" s="70">
        <f>IF(H421=0,wdct(TRIM(C421)),0)</f>
        <v>0</v>
      </c>
      <c r="E421" s="70">
        <f>COUNTIFS('Error Log'!$A:$A,$A421,'Error Log'!$J:$J,E$1)</f>
        <v>0</v>
      </c>
      <c r="F421" s="70">
        <f>COUNTIFS('Error Log'!$A:$A,$A421,'Error Log'!$J:$J,F$1)</f>
        <v>0</v>
      </c>
      <c r="G421" s="70">
        <f>COUNTIFS('Error Log'!$A:$A,$A421,'Error Log'!$J:$J,G$1)</f>
        <v>0</v>
      </c>
      <c r="H421" s="70">
        <f>COUNTIFS('Error Log'!$A:$A,$A421,'Error Log'!$F:$F,"Source")</f>
        <v>0</v>
      </c>
      <c r="I421" s="70">
        <f>COUNTIFS('Error Log'!$A:$A,$A421,'Error Log'!$F:$F,"Target")</f>
        <v>0</v>
      </c>
      <c r="J421" s="71">
        <f t="shared" si="6"/>
        <v>0</v>
      </c>
    </row>
    <row r="422" spans="1:10">
      <c r="A422" s="81"/>
      <c r="B422" s="70" t="str">
        <f>IF(ISBLANK(A422),"",INDEX('Error Log'!$A:$J,MATCH('Scores per segment'!$A422,'Error Log'!$A:$A,0),MATCH('Scores per segment'!B$1,'Error Log'!$A$1:$J$1,0)))</f>
        <v/>
      </c>
      <c r="C422" s="70" t="str">
        <f>IF(ISBLANK(A422),"",INDEX('Error Log'!$A:$J,MATCH('Scores per segment'!$A422,'Error Log'!$A:$A,0),MATCH('Scores per segment'!C$1,'Error Log'!$A$1:$J$1,0)))</f>
        <v/>
      </c>
      <c r="D422" s="70">
        <f>IF(H422=0,wdct(TRIM(C422)),0)</f>
        <v>0</v>
      </c>
      <c r="E422" s="70">
        <f>COUNTIFS('Error Log'!$A:$A,$A422,'Error Log'!$J:$J,E$1)</f>
        <v>0</v>
      </c>
      <c r="F422" s="70">
        <f>COUNTIFS('Error Log'!$A:$A,$A422,'Error Log'!$J:$J,F$1)</f>
        <v>0</v>
      </c>
      <c r="G422" s="70">
        <f>COUNTIFS('Error Log'!$A:$A,$A422,'Error Log'!$J:$J,G$1)</f>
        <v>0</v>
      </c>
      <c r="H422" s="70">
        <f>COUNTIFS('Error Log'!$A:$A,$A422,'Error Log'!$F:$F,"Source")</f>
        <v>0</v>
      </c>
      <c r="I422" s="70">
        <f>COUNTIFS('Error Log'!$A:$A,$A422,'Error Log'!$F:$F,"Target")</f>
        <v>0</v>
      </c>
      <c r="J422" s="71">
        <f t="shared" si="6"/>
        <v>0</v>
      </c>
    </row>
    <row r="423" spans="1:10">
      <c r="A423" s="81"/>
      <c r="B423" s="70" t="str">
        <f>IF(ISBLANK(A423),"",INDEX('Error Log'!$A:$J,MATCH('Scores per segment'!$A423,'Error Log'!$A:$A,0),MATCH('Scores per segment'!B$1,'Error Log'!$A$1:$J$1,0)))</f>
        <v/>
      </c>
      <c r="C423" s="70" t="str">
        <f>IF(ISBLANK(A423),"",INDEX('Error Log'!$A:$J,MATCH('Scores per segment'!$A423,'Error Log'!$A:$A,0),MATCH('Scores per segment'!C$1,'Error Log'!$A$1:$J$1,0)))</f>
        <v/>
      </c>
      <c r="D423" s="70">
        <f>IF(H423=0,wdct(TRIM(C423)),0)</f>
        <v>0</v>
      </c>
      <c r="E423" s="70">
        <f>COUNTIFS('Error Log'!$A:$A,$A423,'Error Log'!$J:$J,E$1)</f>
        <v>0</v>
      </c>
      <c r="F423" s="70">
        <f>COUNTIFS('Error Log'!$A:$A,$A423,'Error Log'!$J:$J,F$1)</f>
        <v>0</v>
      </c>
      <c r="G423" s="70">
        <f>COUNTIFS('Error Log'!$A:$A,$A423,'Error Log'!$J:$J,G$1)</f>
        <v>0</v>
      </c>
      <c r="H423" s="70">
        <f>COUNTIFS('Error Log'!$A:$A,$A423,'Error Log'!$F:$F,"Source")</f>
        <v>0</v>
      </c>
      <c r="I423" s="70">
        <f>COUNTIFS('Error Log'!$A:$A,$A423,'Error Log'!$F:$F,"Target")</f>
        <v>0</v>
      </c>
      <c r="J423" s="71">
        <f t="shared" si="6"/>
        <v>0</v>
      </c>
    </row>
    <row r="424" spans="1:10">
      <c r="A424" s="81"/>
      <c r="B424" s="70" t="str">
        <f>IF(ISBLANK(A424),"",INDEX('Error Log'!$A:$J,MATCH('Scores per segment'!$A424,'Error Log'!$A:$A,0),MATCH('Scores per segment'!B$1,'Error Log'!$A$1:$J$1,0)))</f>
        <v/>
      </c>
      <c r="C424" s="70" t="str">
        <f>IF(ISBLANK(A424),"",INDEX('Error Log'!$A:$J,MATCH('Scores per segment'!$A424,'Error Log'!$A:$A,0),MATCH('Scores per segment'!C$1,'Error Log'!$A$1:$J$1,0)))</f>
        <v/>
      </c>
      <c r="D424" s="70">
        <f>IF(H424=0,wdct(TRIM(C424)),0)</f>
        <v>0</v>
      </c>
      <c r="E424" s="70">
        <f>COUNTIFS('Error Log'!$A:$A,$A424,'Error Log'!$J:$J,E$1)</f>
        <v>0</v>
      </c>
      <c r="F424" s="70">
        <f>COUNTIFS('Error Log'!$A:$A,$A424,'Error Log'!$J:$J,F$1)</f>
        <v>0</v>
      </c>
      <c r="G424" s="70">
        <f>COUNTIFS('Error Log'!$A:$A,$A424,'Error Log'!$J:$J,G$1)</f>
        <v>0</v>
      </c>
      <c r="H424" s="70">
        <f>COUNTIFS('Error Log'!$A:$A,$A424,'Error Log'!$F:$F,"Source")</f>
        <v>0</v>
      </c>
      <c r="I424" s="70">
        <f>COUNTIFS('Error Log'!$A:$A,$A424,'Error Log'!$F:$F,"Target")</f>
        <v>0</v>
      </c>
      <c r="J424" s="71">
        <f t="shared" si="6"/>
        <v>0</v>
      </c>
    </row>
    <row r="425" spans="1:10">
      <c r="A425" s="81"/>
      <c r="B425" s="70" t="str">
        <f>IF(ISBLANK(A425),"",INDEX('Error Log'!$A:$J,MATCH('Scores per segment'!$A425,'Error Log'!$A:$A,0),MATCH('Scores per segment'!B$1,'Error Log'!$A$1:$J$1,0)))</f>
        <v/>
      </c>
      <c r="C425" s="70" t="str">
        <f>IF(ISBLANK(A425),"",INDEX('Error Log'!$A:$J,MATCH('Scores per segment'!$A425,'Error Log'!$A:$A,0),MATCH('Scores per segment'!C$1,'Error Log'!$A$1:$J$1,0)))</f>
        <v/>
      </c>
      <c r="D425" s="70">
        <f>IF(H425=0,wdct(TRIM(C425)),0)</f>
        <v>0</v>
      </c>
      <c r="E425" s="70">
        <f>COUNTIFS('Error Log'!$A:$A,$A425,'Error Log'!$J:$J,E$1)</f>
        <v>0</v>
      </c>
      <c r="F425" s="70">
        <f>COUNTIFS('Error Log'!$A:$A,$A425,'Error Log'!$J:$J,F$1)</f>
        <v>0</v>
      </c>
      <c r="G425" s="70">
        <f>COUNTIFS('Error Log'!$A:$A,$A425,'Error Log'!$J:$J,G$1)</f>
        <v>0</v>
      </c>
      <c r="H425" s="70">
        <f>COUNTIFS('Error Log'!$A:$A,$A425,'Error Log'!$F:$F,"Source")</f>
        <v>0</v>
      </c>
      <c r="I425" s="70">
        <f>COUNTIFS('Error Log'!$A:$A,$A425,'Error Log'!$F:$F,"Target")</f>
        <v>0</v>
      </c>
      <c r="J425" s="71">
        <f t="shared" si="6"/>
        <v>0</v>
      </c>
    </row>
    <row r="426" spans="1:10">
      <c r="A426" s="81"/>
      <c r="B426" s="70" t="str">
        <f>IF(ISBLANK(A426),"",INDEX('Error Log'!$A:$J,MATCH('Scores per segment'!$A426,'Error Log'!$A:$A,0),MATCH('Scores per segment'!B$1,'Error Log'!$A$1:$J$1,0)))</f>
        <v/>
      </c>
      <c r="C426" s="70" t="str">
        <f>IF(ISBLANK(A426),"",INDEX('Error Log'!$A:$J,MATCH('Scores per segment'!$A426,'Error Log'!$A:$A,0),MATCH('Scores per segment'!C$1,'Error Log'!$A$1:$J$1,0)))</f>
        <v/>
      </c>
      <c r="D426" s="70">
        <f>IF(H426=0,wdct(TRIM(C426)),0)</f>
        <v>0</v>
      </c>
      <c r="E426" s="70">
        <f>COUNTIFS('Error Log'!$A:$A,$A426,'Error Log'!$J:$J,E$1)</f>
        <v>0</v>
      </c>
      <c r="F426" s="70">
        <f>COUNTIFS('Error Log'!$A:$A,$A426,'Error Log'!$J:$J,F$1)</f>
        <v>0</v>
      </c>
      <c r="G426" s="70">
        <f>COUNTIFS('Error Log'!$A:$A,$A426,'Error Log'!$J:$J,G$1)</f>
        <v>0</v>
      </c>
      <c r="H426" s="70">
        <f>COUNTIFS('Error Log'!$A:$A,$A426,'Error Log'!$F:$F,"Source")</f>
        <v>0</v>
      </c>
      <c r="I426" s="70">
        <f>COUNTIFS('Error Log'!$A:$A,$A426,'Error Log'!$F:$F,"Target")</f>
        <v>0</v>
      </c>
      <c r="J426" s="71">
        <f t="shared" si="6"/>
        <v>0</v>
      </c>
    </row>
    <row r="427" spans="1:10">
      <c r="A427" s="81"/>
      <c r="B427" s="70" t="str">
        <f>IF(ISBLANK(A427),"",INDEX('Error Log'!$A:$J,MATCH('Scores per segment'!$A427,'Error Log'!$A:$A,0),MATCH('Scores per segment'!B$1,'Error Log'!$A$1:$J$1,0)))</f>
        <v/>
      </c>
      <c r="C427" s="70" t="str">
        <f>IF(ISBLANK(A427),"",INDEX('Error Log'!$A:$J,MATCH('Scores per segment'!$A427,'Error Log'!$A:$A,0),MATCH('Scores per segment'!C$1,'Error Log'!$A$1:$J$1,0)))</f>
        <v/>
      </c>
      <c r="D427" s="70">
        <f>IF(H427=0,wdct(TRIM(C427)),0)</f>
        <v>0</v>
      </c>
      <c r="E427" s="70">
        <f>COUNTIFS('Error Log'!$A:$A,$A427,'Error Log'!$J:$J,E$1)</f>
        <v>0</v>
      </c>
      <c r="F427" s="70">
        <f>COUNTIFS('Error Log'!$A:$A,$A427,'Error Log'!$J:$J,F$1)</f>
        <v>0</v>
      </c>
      <c r="G427" s="70">
        <f>COUNTIFS('Error Log'!$A:$A,$A427,'Error Log'!$J:$J,G$1)</f>
        <v>0</v>
      </c>
      <c r="H427" s="70">
        <f>COUNTIFS('Error Log'!$A:$A,$A427,'Error Log'!$F:$F,"Source")</f>
        <v>0</v>
      </c>
      <c r="I427" s="70">
        <f>COUNTIFS('Error Log'!$A:$A,$A427,'Error Log'!$F:$F,"Target")</f>
        <v>0</v>
      </c>
      <c r="J427" s="71">
        <f t="shared" si="6"/>
        <v>0</v>
      </c>
    </row>
    <row r="428" spans="1:10">
      <c r="A428" s="81"/>
      <c r="B428" s="70" t="str">
        <f>IF(ISBLANK(A428),"",INDEX('Error Log'!$A:$J,MATCH('Scores per segment'!$A428,'Error Log'!$A:$A,0),MATCH('Scores per segment'!B$1,'Error Log'!$A$1:$J$1,0)))</f>
        <v/>
      </c>
      <c r="C428" s="70" t="str">
        <f>IF(ISBLANK(A428),"",INDEX('Error Log'!$A:$J,MATCH('Scores per segment'!$A428,'Error Log'!$A:$A,0),MATCH('Scores per segment'!C$1,'Error Log'!$A$1:$J$1,0)))</f>
        <v/>
      </c>
      <c r="D428" s="70">
        <f>IF(H428=0,wdct(TRIM(C428)),0)</f>
        <v>0</v>
      </c>
      <c r="E428" s="70">
        <f>COUNTIFS('Error Log'!$A:$A,$A428,'Error Log'!$J:$J,E$1)</f>
        <v>0</v>
      </c>
      <c r="F428" s="70">
        <f>COUNTIFS('Error Log'!$A:$A,$A428,'Error Log'!$J:$J,F$1)</f>
        <v>0</v>
      </c>
      <c r="G428" s="70">
        <f>COUNTIFS('Error Log'!$A:$A,$A428,'Error Log'!$J:$J,G$1)</f>
        <v>0</v>
      </c>
      <c r="H428" s="70">
        <f>COUNTIFS('Error Log'!$A:$A,$A428,'Error Log'!$F:$F,"Source")</f>
        <v>0</v>
      </c>
      <c r="I428" s="70">
        <f>COUNTIFS('Error Log'!$A:$A,$A428,'Error Log'!$F:$F,"Target")</f>
        <v>0</v>
      </c>
      <c r="J428" s="71">
        <f t="shared" si="6"/>
        <v>0</v>
      </c>
    </row>
    <row r="429" spans="1:10">
      <c r="A429" s="81"/>
      <c r="B429" s="70" t="str">
        <f>IF(ISBLANK(A429),"",INDEX('Error Log'!$A:$J,MATCH('Scores per segment'!$A429,'Error Log'!$A:$A,0),MATCH('Scores per segment'!B$1,'Error Log'!$A$1:$J$1,0)))</f>
        <v/>
      </c>
      <c r="C429" s="70" t="str">
        <f>IF(ISBLANK(A429),"",INDEX('Error Log'!$A:$J,MATCH('Scores per segment'!$A429,'Error Log'!$A:$A,0),MATCH('Scores per segment'!C$1,'Error Log'!$A$1:$J$1,0)))</f>
        <v/>
      </c>
      <c r="D429" s="70">
        <f>IF(H429=0,wdct(TRIM(C429)),0)</f>
        <v>0</v>
      </c>
      <c r="E429" s="70">
        <f>COUNTIFS('Error Log'!$A:$A,$A429,'Error Log'!$J:$J,E$1)</f>
        <v>0</v>
      </c>
      <c r="F429" s="70">
        <f>COUNTIFS('Error Log'!$A:$A,$A429,'Error Log'!$J:$J,F$1)</f>
        <v>0</v>
      </c>
      <c r="G429" s="70">
        <f>COUNTIFS('Error Log'!$A:$A,$A429,'Error Log'!$J:$J,G$1)</f>
        <v>0</v>
      </c>
      <c r="H429" s="70">
        <f>COUNTIFS('Error Log'!$A:$A,$A429,'Error Log'!$F:$F,"Source")</f>
        <v>0</v>
      </c>
      <c r="I429" s="70">
        <f>COUNTIFS('Error Log'!$A:$A,$A429,'Error Log'!$F:$F,"Target")</f>
        <v>0</v>
      </c>
      <c r="J429" s="71">
        <f t="shared" si="6"/>
        <v>0</v>
      </c>
    </row>
    <row r="430" spans="1:10">
      <c r="A430" s="81"/>
      <c r="B430" s="70" t="str">
        <f>IF(ISBLANK(A430),"",INDEX('Error Log'!$A:$J,MATCH('Scores per segment'!$A430,'Error Log'!$A:$A,0),MATCH('Scores per segment'!B$1,'Error Log'!$A$1:$J$1,0)))</f>
        <v/>
      </c>
      <c r="C430" s="70" t="str">
        <f>IF(ISBLANK(A430),"",INDEX('Error Log'!$A:$J,MATCH('Scores per segment'!$A430,'Error Log'!$A:$A,0),MATCH('Scores per segment'!C$1,'Error Log'!$A$1:$J$1,0)))</f>
        <v/>
      </c>
      <c r="D430" s="70">
        <f>IF(H430=0,wdct(TRIM(C430)),0)</f>
        <v>0</v>
      </c>
      <c r="E430" s="70">
        <f>COUNTIFS('Error Log'!$A:$A,$A430,'Error Log'!$J:$J,E$1)</f>
        <v>0</v>
      </c>
      <c r="F430" s="70">
        <f>COUNTIFS('Error Log'!$A:$A,$A430,'Error Log'!$J:$J,F$1)</f>
        <v>0</v>
      </c>
      <c r="G430" s="70">
        <f>COUNTIFS('Error Log'!$A:$A,$A430,'Error Log'!$J:$J,G$1)</f>
        <v>0</v>
      </c>
      <c r="H430" s="70">
        <f>COUNTIFS('Error Log'!$A:$A,$A430,'Error Log'!$F:$F,"Source")</f>
        <v>0</v>
      </c>
      <c r="I430" s="70">
        <f>COUNTIFS('Error Log'!$A:$A,$A430,'Error Log'!$F:$F,"Target")</f>
        <v>0</v>
      </c>
      <c r="J430" s="71">
        <f t="shared" si="6"/>
        <v>0</v>
      </c>
    </row>
    <row r="431" spans="1:10">
      <c r="A431" s="81"/>
      <c r="B431" s="70" t="str">
        <f>IF(ISBLANK(A431),"",INDEX('Error Log'!$A:$J,MATCH('Scores per segment'!$A431,'Error Log'!$A:$A,0),MATCH('Scores per segment'!B$1,'Error Log'!$A$1:$J$1,0)))</f>
        <v/>
      </c>
      <c r="C431" s="70" t="str">
        <f>IF(ISBLANK(A431),"",INDEX('Error Log'!$A:$J,MATCH('Scores per segment'!$A431,'Error Log'!$A:$A,0),MATCH('Scores per segment'!C$1,'Error Log'!$A$1:$J$1,0)))</f>
        <v/>
      </c>
      <c r="D431" s="70">
        <f>IF(H431=0,wdct(TRIM(C431)),0)</f>
        <v>0</v>
      </c>
      <c r="E431" s="70">
        <f>COUNTIFS('Error Log'!$A:$A,$A431,'Error Log'!$J:$J,E$1)</f>
        <v>0</v>
      </c>
      <c r="F431" s="70">
        <f>COUNTIFS('Error Log'!$A:$A,$A431,'Error Log'!$J:$J,F$1)</f>
        <v>0</v>
      </c>
      <c r="G431" s="70">
        <f>COUNTIFS('Error Log'!$A:$A,$A431,'Error Log'!$J:$J,G$1)</f>
        <v>0</v>
      </c>
      <c r="H431" s="70">
        <f>COUNTIFS('Error Log'!$A:$A,$A431,'Error Log'!$F:$F,"Source")</f>
        <v>0</v>
      </c>
      <c r="I431" s="70">
        <f>COUNTIFS('Error Log'!$A:$A,$A431,'Error Log'!$F:$F,"Target")</f>
        <v>0</v>
      </c>
      <c r="J431" s="71">
        <f t="shared" si="6"/>
        <v>0</v>
      </c>
    </row>
    <row r="432" spans="1:10">
      <c r="A432" s="81"/>
      <c r="B432" s="70" t="str">
        <f>IF(ISBLANK(A432),"",INDEX('Error Log'!$A:$J,MATCH('Scores per segment'!$A432,'Error Log'!$A:$A,0),MATCH('Scores per segment'!B$1,'Error Log'!$A$1:$J$1,0)))</f>
        <v/>
      </c>
      <c r="C432" s="70" t="str">
        <f>IF(ISBLANK(A432),"",INDEX('Error Log'!$A:$J,MATCH('Scores per segment'!$A432,'Error Log'!$A:$A,0),MATCH('Scores per segment'!C$1,'Error Log'!$A$1:$J$1,0)))</f>
        <v/>
      </c>
      <c r="D432" s="70">
        <f>IF(H432=0,wdct(TRIM(C432)),0)</f>
        <v>0</v>
      </c>
      <c r="E432" s="70">
        <f>COUNTIFS('Error Log'!$A:$A,$A432,'Error Log'!$J:$J,E$1)</f>
        <v>0</v>
      </c>
      <c r="F432" s="70">
        <f>COUNTIFS('Error Log'!$A:$A,$A432,'Error Log'!$J:$J,F$1)</f>
        <v>0</v>
      </c>
      <c r="G432" s="70">
        <f>COUNTIFS('Error Log'!$A:$A,$A432,'Error Log'!$J:$J,G$1)</f>
        <v>0</v>
      </c>
      <c r="H432" s="70">
        <f>COUNTIFS('Error Log'!$A:$A,$A432,'Error Log'!$F:$F,"Source")</f>
        <v>0</v>
      </c>
      <c r="I432" s="70">
        <f>COUNTIFS('Error Log'!$A:$A,$A432,'Error Log'!$F:$F,"Target")</f>
        <v>0</v>
      </c>
      <c r="J432" s="71">
        <f t="shared" si="6"/>
        <v>0</v>
      </c>
    </row>
    <row r="433" spans="1:10">
      <c r="A433" s="81"/>
      <c r="B433" s="70" t="str">
        <f>IF(ISBLANK(A433),"",INDEX('Error Log'!$A:$J,MATCH('Scores per segment'!$A433,'Error Log'!$A:$A,0),MATCH('Scores per segment'!B$1,'Error Log'!$A$1:$J$1,0)))</f>
        <v/>
      </c>
      <c r="C433" s="70" t="str">
        <f>IF(ISBLANK(A433),"",INDEX('Error Log'!$A:$J,MATCH('Scores per segment'!$A433,'Error Log'!$A:$A,0),MATCH('Scores per segment'!C$1,'Error Log'!$A$1:$J$1,0)))</f>
        <v/>
      </c>
      <c r="D433" s="70">
        <f>IF(H433=0,wdct(TRIM(C433)),0)</f>
        <v>0</v>
      </c>
      <c r="E433" s="70">
        <f>COUNTIFS('Error Log'!$A:$A,$A433,'Error Log'!$J:$J,E$1)</f>
        <v>0</v>
      </c>
      <c r="F433" s="70">
        <f>COUNTIFS('Error Log'!$A:$A,$A433,'Error Log'!$J:$J,F$1)</f>
        <v>0</v>
      </c>
      <c r="G433" s="70">
        <f>COUNTIFS('Error Log'!$A:$A,$A433,'Error Log'!$J:$J,G$1)</f>
        <v>0</v>
      </c>
      <c r="H433" s="70">
        <f>COUNTIFS('Error Log'!$A:$A,$A433,'Error Log'!$F:$F,"Source")</f>
        <v>0</v>
      </c>
      <c r="I433" s="70">
        <f>COUNTIFS('Error Log'!$A:$A,$A433,'Error Log'!$F:$F,"Target")</f>
        <v>0</v>
      </c>
      <c r="J433" s="71">
        <f t="shared" si="6"/>
        <v>0</v>
      </c>
    </row>
    <row r="434" spans="1:10">
      <c r="A434" s="81"/>
      <c r="B434" s="70" t="str">
        <f>IF(ISBLANK(A434),"",INDEX('Error Log'!$A:$J,MATCH('Scores per segment'!$A434,'Error Log'!$A:$A,0),MATCH('Scores per segment'!B$1,'Error Log'!$A$1:$J$1,0)))</f>
        <v/>
      </c>
      <c r="C434" s="70" t="str">
        <f>IF(ISBLANK(A434),"",INDEX('Error Log'!$A:$J,MATCH('Scores per segment'!$A434,'Error Log'!$A:$A,0),MATCH('Scores per segment'!C$1,'Error Log'!$A$1:$J$1,0)))</f>
        <v/>
      </c>
      <c r="D434" s="70">
        <f>IF(H434=0,wdct(TRIM(C434)),0)</f>
        <v>0</v>
      </c>
      <c r="E434" s="70">
        <f>COUNTIFS('Error Log'!$A:$A,$A434,'Error Log'!$J:$J,E$1)</f>
        <v>0</v>
      </c>
      <c r="F434" s="70">
        <f>COUNTIFS('Error Log'!$A:$A,$A434,'Error Log'!$J:$J,F$1)</f>
        <v>0</v>
      </c>
      <c r="G434" s="70">
        <f>COUNTIFS('Error Log'!$A:$A,$A434,'Error Log'!$J:$J,G$1)</f>
        <v>0</v>
      </c>
      <c r="H434" s="70">
        <f>COUNTIFS('Error Log'!$A:$A,$A434,'Error Log'!$F:$F,"Source")</f>
        <v>0</v>
      </c>
      <c r="I434" s="70">
        <f>COUNTIFS('Error Log'!$A:$A,$A434,'Error Log'!$F:$F,"Target")</f>
        <v>0</v>
      </c>
      <c r="J434" s="71">
        <f t="shared" si="6"/>
        <v>0</v>
      </c>
    </row>
    <row r="435" spans="1:10">
      <c r="A435" s="81"/>
      <c r="B435" s="70" t="str">
        <f>IF(ISBLANK(A435),"",INDEX('Error Log'!$A:$J,MATCH('Scores per segment'!$A435,'Error Log'!$A:$A,0),MATCH('Scores per segment'!B$1,'Error Log'!$A$1:$J$1,0)))</f>
        <v/>
      </c>
      <c r="C435" s="70" t="str">
        <f>IF(ISBLANK(A435),"",INDEX('Error Log'!$A:$J,MATCH('Scores per segment'!$A435,'Error Log'!$A:$A,0),MATCH('Scores per segment'!C$1,'Error Log'!$A$1:$J$1,0)))</f>
        <v/>
      </c>
      <c r="D435" s="70">
        <f>IF(H435=0,wdct(TRIM(C435)),0)</f>
        <v>0</v>
      </c>
      <c r="E435" s="70">
        <f>COUNTIFS('Error Log'!$A:$A,$A435,'Error Log'!$J:$J,E$1)</f>
        <v>0</v>
      </c>
      <c r="F435" s="70">
        <f>COUNTIFS('Error Log'!$A:$A,$A435,'Error Log'!$J:$J,F$1)</f>
        <v>0</v>
      </c>
      <c r="G435" s="70">
        <f>COUNTIFS('Error Log'!$A:$A,$A435,'Error Log'!$J:$J,G$1)</f>
        <v>0</v>
      </c>
      <c r="H435" s="70">
        <f>COUNTIFS('Error Log'!$A:$A,$A435,'Error Log'!$F:$F,"Source")</f>
        <v>0</v>
      </c>
      <c r="I435" s="70">
        <f>COUNTIFS('Error Log'!$A:$A,$A435,'Error Log'!$F:$F,"Target")</f>
        <v>0</v>
      </c>
      <c r="J435" s="71">
        <f t="shared" si="6"/>
        <v>0</v>
      </c>
    </row>
    <row r="436" spans="1:10">
      <c r="A436" s="81"/>
      <c r="B436" s="70" t="str">
        <f>IF(ISBLANK(A436),"",INDEX('Error Log'!$A:$J,MATCH('Scores per segment'!$A436,'Error Log'!$A:$A,0),MATCH('Scores per segment'!B$1,'Error Log'!$A$1:$J$1,0)))</f>
        <v/>
      </c>
      <c r="C436" s="70" t="str">
        <f>IF(ISBLANK(A436),"",INDEX('Error Log'!$A:$J,MATCH('Scores per segment'!$A436,'Error Log'!$A:$A,0),MATCH('Scores per segment'!C$1,'Error Log'!$A$1:$J$1,0)))</f>
        <v/>
      </c>
      <c r="D436" s="70">
        <f>IF(H436=0,wdct(TRIM(C436)),0)</f>
        <v>0</v>
      </c>
      <c r="E436" s="70">
        <f>COUNTIFS('Error Log'!$A:$A,$A436,'Error Log'!$J:$J,E$1)</f>
        <v>0</v>
      </c>
      <c r="F436" s="70">
        <f>COUNTIFS('Error Log'!$A:$A,$A436,'Error Log'!$J:$J,F$1)</f>
        <v>0</v>
      </c>
      <c r="G436" s="70">
        <f>COUNTIFS('Error Log'!$A:$A,$A436,'Error Log'!$J:$J,G$1)</f>
        <v>0</v>
      </c>
      <c r="H436" s="70">
        <f>COUNTIFS('Error Log'!$A:$A,$A436,'Error Log'!$F:$F,"Source")</f>
        <v>0</v>
      </c>
      <c r="I436" s="70">
        <f>COUNTIFS('Error Log'!$A:$A,$A436,'Error Log'!$F:$F,"Target")</f>
        <v>0</v>
      </c>
      <c r="J436" s="71">
        <f t="shared" si="6"/>
        <v>0</v>
      </c>
    </row>
    <row r="437" spans="1:10">
      <c r="A437" s="81"/>
      <c r="B437" s="70" t="str">
        <f>IF(ISBLANK(A437),"",INDEX('Error Log'!$A:$J,MATCH('Scores per segment'!$A437,'Error Log'!$A:$A,0),MATCH('Scores per segment'!B$1,'Error Log'!$A$1:$J$1,0)))</f>
        <v/>
      </c>
      <c r="C437" s="70" t="str">
        <f>IF(ISBLANK(A437),"",INDEX('Error Log'!$A:$J,MATCH('Scores per segment'!$A437,'Error Log'!$A:$A,0),MATCH('Scores per segment'!C$1,'Error Log'!$A$1:$J$1,0)))</f>
        <v/>
      </c>
      <c r="D437" s="70">
        <f>IF(H437=0,wdct(TRIM(C437)),0)</f>
        <v>0</v>
      </c>
      <c r="E437" s="70">
        <f>COUNTIFS('Error Log'!$A:$A,$A437,'Error Log'!$J:$J,E$1)</f>
        <v>0</v>
      </c>
      <c r="F437" s="70">
        <f>COUNTIFS('Error Log'!$A:$A,$A437,'Error Log'!$J:$J,F$1)</f>
        <v>0</v>
      </c>
      <c r="G437" s="70">
        <f>COUNTIFS('Error Log'!$A:$A,$A437,'Error Log'!$J:$J,G$1)</f>
        <v>0</v>
      </c>
      <c r="H437" s="70">
        <f>COUNTIFS('Error Log'!$A:$A,$A437,'Error Log'!$F:$F,"Source")</f>
        <v>0</v>
      </c>
      <c r="I437" s="70">
        <f>COUNTIFS('Error Log'!$A:$A,$A437,'Error Log'!$F:$F,"Target")</f>
        <v>0</v>
      </c>
      <c r="J437" s="71">
        <f t="shared" si="6"/>
        <v>0</v>
      </c>
    </row>
    <row r="438" spans="1:10">
      <c r="A438" s="81"/>
      <c r="B438" s="70" t="str">
        <f>IF(ISBLANK(A438),"",INDEX('Error Log'!$A:$J,MATCH('Scores per segment'!$A438,'Error Log'!$A:$A,0),MATCH('Scores per segment'!B$1,'Error Log'!$A$1:$J$1,0)))</f>
        <v/>
      </c>
      <c r="C438" s="70" t="str">
        <f>IF(ISBLANK(A438),"",INDEX('Error Log'!$A:$J,MATCH('Scores per segment'!$A438,'Error Log'!$A:$A,0),MATCH('Scores per segment'!C$1,'Error Log'!$A$1:$J$1,0)))</f>
        <v/>
      </c>
      <c r="D438" s="70">
        <f>IF(H438=0,wdct(TRIM(C438)),0)</f>
        <v>0</v>
      </c>
      <c r="E438" s="70">
        <f>COUNTIFS('Error Log'!$A:$A,$A438,'Error Log'!$J:$J,E$1)</f>
        <v>0</v>
      </c>
      <c r="F438" s="70">
        <f>COUNTIFS('Error Log'!$A:$A,$A438,'Error Log'!$J:$J,F$1)</f>
        <v>0</v>
      </c>
      <c r="G438" s="70">
        <f>COUNTIFS('Error Log'!$A:$A,$A438,'Error Log'!$J:$J,G$1)</f>
        <v>0</v>
      </c>
      <c r="H438" s="70">
        <f>COUNTIFS('Error Log'!$A:$A,$A438,'Error Log'!$F:$F,"Source")</f>
        <v>0</v>
      </c>
      <c r="I438" s="70">
        <f>COUNTIFS('Error Log'!$A:$A,$A438,'Error Log'!$F:$F,"Target")</f>
        <v>0</v>
      </c>
      <c r="J438" s="71">
        <f t="shared" si="6"/>
        <v>0</v>
      </c>
    </row>
    <row r="439" spans="1:10">
      <c r="A439" s="81"/>
      <c r="B439" s="70" t="str">
        <f>IF(ISBLANK(A439),"",INDEX('Error Log'!$A:$J,MATCH('Scores per segment'!$A439,'Error Log'!$A:$A,0),MATCH('Scores per segment'!B$1,'Error Log'!$A$1:$J$1,0)))</f>
        <v/>
      </c>
      <c r="C439" s="70" t="str">
        <f>IF(ISBLANK(A439),"",INDEX('Error Log'!$A:$J,MATCH('Scores per segment'!$A439,'Error Log'!$A:$A,0),MATCH('Scores per segment'!C$1,'Error Log'!$A$1:$J$1,0)))</f>
        <v/>
      </c>
      <c r="D439" s="70">
        <f>IF(H439=0,wdct(TRIM(C439)),0)</f>
        <v>0</v>
      </c>
      <c r="E439" s="70">
        <f>COUNTIFS('Error Log'!$A:$A,$A439,'Error Log'!$J:$J,E$1)</f>
        <v>0</v>
      </c>
      <c r="F439" s="70">
        <f>COUNTIFS('Error Log'!$A:$A,$A439,'Error Log'!$J:$J,F$1)</f>
        <v>0</v>
      </c>
      <c r="G439" s="70">
        <f>COUNTIFS('Error Log'!$A:$A,$A439,'Error Log'!$J:$J,G$1)</f>
        <v>0</v>
      </c>
      <c r="H439" s="70">
        <f>COUNTIFS('Error Log'!$A:$A,$A439,'Error Log'!$F:$F,"Source")</f>
        <v>0</v>
      </c>
      <c r="I439" s="70">
        <f>COUNTIFS('Error Log'!$A:$A,$A439,'Error Log'!$F:$F,"Target")</f>
        <v>0</v>
      </c>
      <c r="J439" s="71">
        <f t="shared" si="6"/>
        <v>0</v>
      </c>
    </row>
    <row r="440" spans="1:10">
      <c r="A440" s="81"/>
      <c r="B440" s="70" t="str">
        <f>IF(ISBLANK(A440),"",INDEX('Error Log'!$A:$J,MATCH('Scores per segment'!$A440,'Error Log'!$A:$A,0),MATCH('Scores per segment'!B$1,'Error Log'!$A$1:$J$1,0)))</f>
        <v/>
      </c>
      <c r="C440" s="70" t="str">
        <f>IF(ISBLANK(A440),"",INDEX('Error Log'!$A:$J,MATCH('Scores per segment'!$A440,'Error Log'!$A:$A,0),MATCH('Scores per segment'!C$1,'Error Log'!$A$1:$J$1,0)))</f>
        <v/>
      </c>
      <c r="D440" s="70">
        <f>IF(H440=0,wdct(TRIM(C440)),0)</f>
        <v>0</v>
      </c>
      <c r="E440" s="70">
        <f>COUNTIFS('Error Log'!$A:$A,$A440,'Error Log'!$J:$J,E$1)</f>
        <v>0</v>
      </c>
      <c r="F440" s="70">
        <f>COUNTIFS('Error Log'!$A:$A,$A440,'Error Log'!$J:$J,F$1)</f>
        <v>0</v>
      </c>
      <c r="G440" s="70">
        <f>COUNTIFS('Error Log'!$A:$A,$A440,'Error Log'!$J:$J,G$1)</f>
        <v>0</v>
      </c>
      <c r="H440" s="70">
        <f>COUNTIFS('Error Log'!$A:$A,$A440,'Error Log'!$F:$F,"Source")</f>
        <v>0</v>
      </c>
      <c r="I440" s="70">
        <f>COUNTIFS('Error Log'!$A:$A,$A440,'Error Log'!$F:$F,"Target")</f>
        <v>0</v>
      </c>
      <c r="J440" s="71">
        <f t="shared" si="6"/>
        <v>0</v>
      </c>
    </row>
    <row r="441" spans="1:10">
      <c r="A441" s="81"/>
      <c r="B441" s="70" t="str">
        <f>IF(ISBLANK(A441),"",INDEX('Error Log'!$A:$J,MATCH('Scores per segment'!$A441,'Error Log'!$A:$A,0),MATCH('Scores per segment'!B$1,'Error Log'!$A$1:$J$1,0)))</f>
        <v/>
      </c>
      <c r="C441" s="70" t="str">
        <f>IF(ISBLANK(A441),"",INDEX('Error Log'!$A:$J,MATCH('Scores per segment'!$A441,'Error Log'!$A:$A,0),MATCH('Scores per segment'!C$1,'Error Log'!$A$1:$J$1,0)))</f>
        <v/>
      </c>
      <c r="D441" s="70">
        <f>IF(H441=0,wdct(TRIM(C441)),0)</f>
        <v>0</v>
      </c>
      <c r="E441" s="70">
        <f>COUNTIFS('Error Log'!$A:$A,$A441,'Error Log'!$J:$J,E$1)</f>
        <v>0</v>
      </c>
      <c r="F441" s="70">
        <f>COUNTIFS('Error Log'!$A:$A,$A441,'Error Log'!$J:$J,F$1)</f>
        <v>0</v>
      </c>
      <c r="G441" s="70">
        <f>COUNTIFS('Error Log'!$A:$A,$A441,'Error Log'!$J:$J,G$1)</f>
        <v>0</v>
      </c>
      <c r="H441" s="70">
        <f>COUNTIFS('Error Log'!$A:$A,$A441,'Error Log'!$F:$F,"Source")</f>
        <v>0</v>
      </c>
      <c r="I441" s="70">
        <f>COUNTIFS('Error Log'!$A:$A,$A441,'Error Log'!$F:$F,"Target")</f>
        <v>0</v>
      </c>
      <c r="J441" s="71">
        <f t="shared" si="6"/>
        <v>0</v>
      </c>
    </row>
    <row r="442" spans="1:10">
      <c r="A442" s="81"/>
      <c r="B442" s="70" t="str">
        <f>IF(ISBLANK(A442),"",INDEX('Error Log'!$A:$J,MATCH('Scores per segment'!$A442,'Error Log'!$A:$A,0),MATCH('Scores per segment'!B$1,'Error Log'!$A$1:$J$1,0)))</f>
        <v/>
      </c>
      <c r="C442" s="70" t="str">
        <f>IF(ISBLANK(A442),"",INDEX('Error Log'!$A:$J,MATCH('Scores per segment'!$A442,'Error Log'!$A:$A,0),MATCH('Scores per segment'!C$1,'Error Log'!$A$1:$J$1,0)))</f>
        <v/>
      </c>
      <c r="D442" s="70">
        <f>IF(H442=0,wdct(TRIM(C442)),0)</f>
        <v>0</v>
      </c>
      <c r="E442" s="70">
        <f>COUNTIFS('Error Log'!$A:$A,$A442,'Error Log'!$J:$J,E$1)</f>
        <v>0</v>
      </c>
      <c r="F442" s="70">
        <f>COUNTIFS('Error Log'!$A:$A,$A442,'Error Log'!$J:$J,F$1)</f>
        <v>0</v>
      </c>
      <c r="G442" s="70">
        <f>COUNTIFS('Error Log'!$A:$A,$A442,'Error Log'!$J:$J,G$1)</f>
        <v>0</v>
      </c>
      <c r="H442" s="70">
        <f>COUNTIFS('Error Log'!$A:$A,$A442,'Error Log'!$F:$F,"Source")</f>
        <v>0</v>
      </c>
      <c r="I442" s="70">
        <f>COUNTIFS('Error Log'!$A:$A,$A442,'Error Log'!$F:$F,"Target")</f>
        <v>0</v>
      </c>
      <c r="J442" s="71">
        <f t="shared" si="6"/>
        <v>0</v>
      </c>
    </row>
    <row r="443" spans="1:10">
      <c r="A443" s="81"/>
      <c r="B443" s="70" t="str">
        <f>IF(ISBLANK(A443),"",INDEX('Error Log'!$A:$J,MATCH('Scores per segment'!$A443,'Error Log'!$A:$A,0),MATCH('Scores per segment'!B$1,'Error Log'!$A$1:$J$1,0)))</f>
        <v/>
      </c>
      <c r="C443" s="70" t="str">
        <f>IF(ISBLANK(A443),"",INDEX('Error Log'!$A:$J,MATCH('Scores per segment'!$A443,'Error Log'!$A:$A,0),MATCH('Scores per segment'!C$1,'Error Log'!$A$1:$J$1,0)))</f>
        <v/>
      </c>
      <c r="D443" s="70">
        <f>IF(H443=0,wdct(TRIM(C443)),0)</f>
        <v>0</v>
      </c>
      <c r="E443" s="70">
        <f>COUNTIFS('Error Log'!$A:$A,$A443,'Error Log'!$J:$J,E$1)</f>
        <v>0</v>
      </c>
      <c r="F443" s="70">
        <f>COUNTIFS('Error Log'!$A:$A,$A443,'Error Log'!$J:$J,F$1)</f>
        <v>0</v>
      </c>
      <c r="G443" s="70">
        <f>COUNTIFS('Error Log'!$A:$A,$A443,'Error Log'!$J:$J,G$1)</f>
        <v>0</v>
      </c>
      <c r="H443" s="70">
        <f>COUNTIFS('Error Log'!$A:$A,$A443,'Error Log'!$F:$F,"Source")</f>
        <v>0</v>
      </c>
      <c r="I443" s="70">
        <f>COUNTIFS('Error Log'!$A:$A,$A443,'Error Log'!$F:$F,"Target")</f>
        <v>0</v>
      </c>
      <c r="J443" s="71">
        <f t="shared" si="6"/>
        <v>0</v>
      </c>
    </row>
    <row r="444" spans="1:10">
      <c r="A444" s="81"/>
      <c r="B444" s="70" t="str">
        <f>IF(ISBLANK(A444),"",INDEX('Error Log'!$A:$J,MATCH('Scores per segment'!$A444,'Error Log'!$A:$A,0),MATCH('Scores per segment'!B$1,'Error Log'!$A$1:$J$1,0)))</f>
        <v/>
      </c>
      <c r="C444" s="70" t="str">
        <f>IF(ISBLANK(A444),"",INDEX('Error Log'!$A:$J,MATCH('Scores per segment'!$A444,'Error Log'!$A:$A,0),MATCH('Scores per segment'!C$1,'Error Log'!$A$1:$J$1,0)))</f>
        <v/>
      </c>
      <c r="D444" s="70">
        <f>IF(H444=0,wdct(TRIM(C444)),0)</f>
        <v>0</v>
      </c>
      <c r="E444" s="70">
        <f>COUNTIFS('Error Log'!$A:$A,$A444,'Error Log'!$J:$J,E$1)</f>
        <v>0</v>
      </c>
      <c r="F444" s="70">
        <f>COUNTIFS('Error Log'!$A:$A,$A444,'Error Log'!$J:$J,F$1)</f>
        <v>0</v>
      </c>
      <c r="G444" s="70">
        <f>COUNTIFS('Error Log'!$A:$A,$A444,'Error Log'!$J:$J,G$1)</f>
        <v>0</v>
      </c>
      <c r="H444" s="70">
        <f>COUNTIFS('Error Log'!$A:$A,$A444,'Error Log'!$F:$F,"Source")</f>
        <v>0</v>
      </c>
      <c r="I444" s="70">
        <f>COUNTIFS('Error Log'!$A:$A,$A444,'Error Log'!$F:$F,"Target")</f>
        <v>0</v>
      </c>
      <c r="J444" s="71">
        <f t="shared" si="6"/>
        <v>0</v>
      </c>
    </row>
    <row r="445" spans="1:10">
      <c r="A445" s="81"/>
      <c r="B445" s="70" t="str">
        <f>IF(ISBLANK(A445),"",INDEX('Error Log'!$A:$J,MATCH('Scores per segment'!$A445,'Error Log'!$A:$A,0),MATCH('Scores per segment'!B$1,'Error Log'!$A$1:$J$1,0)))</f>
        <v/>
      </c>
      <c r="C445" s="70" t="str">
        <f>IF(ISBLANK(A445),"",INDEX('Error Log'!$A:$J,MATCH('Scores per segment'!$A445,'Error Log'!$A:$A,0),MATCH('Scores per segment'!C$1,'Error Log'!$A$1:$J$1,0)))</f>
        <v/>
      </c>
      <c r="D445" s="70">
        <f>IF(H445=0,wdct(TRIM(C445)),0)</f>
        <v>0</v>
      </c>
      <c r="E445" s="70">
        <f>COUNTIFS('Error Log'!$A:$A,$A445,'Error Log'!$J:$J,E$1)</f>
        <v>0</v>
      </c>
      <c r="F445" s="70">
        <f>COUNTIFS('Error Log'!$A:$A,$A445,'Error Log'!$J:$J,F$1)</f>
        <v>0</v>
      </c>
      <c r="G445" s="70">
        <f>COUNTIFS('Error Log'!$A:$A,$A445,'Error Log'!$J:$J,G$1)</f>
        <v>0</v>
      </c>
      <c r="H445" s="70">
        <f>COUNTIFS('Error Log'!$A:$A,$A445,'Error Log'!$F:$F,"Source")</f>
        <v>0</v>
      </c>
      <c r="I445" s="70">
        <f>COUNTIFS('Error Log'!$A:$A,$A445,'Error Log'!$F:$F,"Target")</f>
        <v>0</v>
      </c>
      <c r="J445" s="71">
        <f t="shared" si="6"/>
        <v>0</v>
      </c>
    </row>
    <row r="446" spans="1:10">
      <c r="A446" s="81"/>
      <c r="B446" s="70" t="str">
        <f>IF(ISBLANK(A446),"",INDEX('Error Log'!$A:$J,MATCH('Scores per segment'!$A446,'Error Log'!$A:$A,0),MATCH('Scores per segment'!B$1,'Error Log'!$A$1:$J$1,0)))</f>
        <v/>
      </c>
      <c r="C446" s="70" t="str">
        <f>IF(ISBLANK(A446),"",INDEX('Error Log'!$A:$J,MATCH('Scores per segment'!$A446,'Error Log'!$A:$A,0),MATCH('Scores per segment'!C$1,'Error Log'!$A$1:$J$1,0)))</f>
        <v/>
      </c>
      <c r="D446" s="70">
        <f>IF(H446=0,wdct(TRIM(C446)),0)</f>
        <v>0</v>
      </c>
      <c r="E446" s="70">
        <f>COUNTIFS('Error Log'!$A:$A,$A446,'Error Log'!$J:$J,E$1)</f>
        <v>0</v>
      </c>
      <c r="F446" s="70">
        <f>COUNTIFS('Error Log'!$A:$A,$A446,'Error Log'!$J:$J,F$1)</f>
        <v>0</v>
      </c>
      <c r="G446" s="70">
        <f>COUNTIFS('Error Log'!$A:$A,$A446,'Error Log'!$J:$J,G$1)</f>
        <v>0</v>
      </c>
      <c r="H446" s="70">
        <f>COUNTIFS('Error Log'!$A:$A,$A446,'Error Log'!$F:$F,"Source")</f>
        <v>0</v>
      </c>
      <c r="I446" s="70">
        <f>COUNTIFS('Error Log'!$A:$A,$A446,'Error Log'!$F:$F,"Target")</f>
        <v>0</v>
      </c>
      <c r="J446" s="71">
        <f t="shared" si="6"/>
        <v>0</v>
      </c>
    </row>
    <row r="447" spans="1:10">
      <c r="A447" s="81"/>
      <c r="B447" s="70" t="str">
        <f>IF(ISBLANK(A447),"",INDEX('Error Log'!$A:$J,MATCH('Scores per segment'!$A447,'Error Log'!$A:$A,0),MATCH('Scores per segment'!B$1,'Error Log'!$A$1:$J$1,0)))</f>
        <v/>
      </c>
      <c r="C447" s="70" t="str">
        <f>IF(ISBLANK(A447),"",INDEX('Error Log'!$A:$J,MATCH('Scores per segment'!$A447,'Error Log'!$A:$A,0),MATCH('Scores per segment'!C$1,'Error Log'!$A$1:$J$1,0)))</f>
        <v/>
      </c>
      <c r="D447" s="70">
        <f>IF(H447=0,wdct(TRIM(C447)),0)</f>
        <v>0</v>
      </c>
      <c r="E447" s="70">
        <f>COUNTIFS('Error Log'!$A:$A,$A447,'Error Log'!$J:$J,E$1)</f>
        <v>0</v>
      </c>
      <c r="F447" s="70">
        <f>COUNTIFS('Error Log'!$A:$A,$A447,'Error Log'!$J:$J,F$1)</f>
        <v>0</v>
      </c>
      <c r="G447" s="70">
        <f>COUNTIFS('Error Log'!$A:$A,$A447,'Error Log'!$J:$J,G$1)</f>
        <v>0</v>
      </c>
      <c r="H447" s="70">
        <f>COUNTIFS('Error Log'!$A:$A,$A447,'Error Log'!$F:$F,"Source")</f>
        <v>0</v>
      </c>
      <c r="I447" s="70">
        <f>COUNTIFS('Error Log'!$A:$A,$A447,'Error Log'!$F:$F,"Target")</f>
        <v>0</v>
      </c>
      <c r="J447" s="71">
        <f t="shared" si="6"/>
        <v>0</v>
      </c>
    </row>
    <row r="448" spans="1:10">
      <c r="A448" s="81"/>
      <c r="B448" s="70" t="str">
        <f>IF(ISBLANK(A448),"",INDEX('Error Log'!$A:$J,MATCH('Scores per segment'!$A448,'Error Log'!$A:$A,0),MATCH('Scores per segment'!B$1,'Error Log'!$A$1:$J$1,0)))</f>
        <v/>
      </c>
      <c r="C448" s="70" t="str">
        <f>IF(ISBLANK(A448),"",INDEX('Error Log'!$A:$J,MATCH('Scores per segment'!$A448,'Error Log'!$A:$A,0),MATCH('Scores per segment'!C$1,'Error Log'!$A$1:$J$1,0)))</f>
        <v/>
      </c>
      <c r="D448" s="70">
        <f>IF(H448=0,wdct(TRIM(C448)),0)</f>
        <v>0</v>
      </c>
      <c r="E448" s="70">
        <f>COUNTIFS('Error Log'!$A:$A,$A448,'Error Log'!$J:$J,E$1)</f>
        <v>0</v>
      </c>
      <c r="F448" s="70">
        <f>COUNTIFS('Error Log'!$A:$A,$A448,'Error Log'!$J:$J,F$1)</f>
        <v>0</v>
      </c>
      <c r="G448" s="70">
        <f>COUNTIFS('Error Log'!$A:$A,$A448,'Error Log'!$J:$J,G$1)</f>
        <v>0</v>
      </c>
      <c r="H448" s="70">
        <f>COUNTIFS('Error Log'!$A:$A,$A448,'Error Log'!$F:$F,"Source")</f>
        <v>0</v>
      </c>
      <c r="I448" s="70">
        <f>COUNTIFS('Error Log'!$A:$A,$A448,'Error Log'!$F:$F,"Target")</f>
        <v>0</v>
      </c>
      <c r="J448" s="71">
        <f t="shared" si="6"/>
        <v>0</v>
      </c>
    </row>
    <row r="449" spans="1:10">
      <c r="A449" s="81"/>
      <c r="B449" s="70" t="str">
        <f>IF(ISBLANK(A449),"",INDEX('Error Log'!$A:$J,MATCH('Scores per segment'!$A449,'Error Log'!$A:$A,0),MATCH('Scores per segment'!B$1,'Error Log'!$A$1:$J$1,0)))</f>
        <v/>
      </c>
      <c r="C449" s="70" t="str">
        <f>IF(ISBLANK(A449),"",INDEX('Error Log'!$A:$J,MATCH('Scores per segment'!$A449,'Error Log'!$A:$A,0),MATCH('Scores per segment'!C$1,'Error Log'!$A$1:$J$1,0)))</f>
        <v/>
      </c>
      <c r="D449" s="70">
        <f>IF(H449=0,wdct(TRIM(C449)),0)</f>
        <v>0</v>
      </c>
      <c r="E449" s="70">
        <f>COUNTIFS('Error Log'!$A:$A,$A449,'Error Log'!$J:$J,E$1)</f>
        <v>0</v>
      </c>
      <c r="F449" s="70">
        <f>COUNTIFS('Error Log'!$A:$A,$A449,'Error Log'!$J:$J,F$1)</f>
        <v>0</v>
      </c>
      <c r="G449" s="70">
        <f>COUNTIFS('Error Log'!$A:$A,$A449,'Error Log'!$J:$J,G$1)</f>
        <v>0</v>
      </c>
      <c r="H449" s="70">
        <f>COUNTIFS('Error Log'!$A:$A,$A449,'Error Log'!$F:$F,"Source")</f>
        <v>0</v>
      </c>
      <c r="I449" s="70">
        <f>COUNTIFS('Error Log'!$A:$A,$A449,'Error Log'!$F:$F,"Target")</f>
        <v>0</v>
      </c>
      <c r="J449" s="71">
        <f t="shared" si="6"/>
        <v>0</v>
      </c>
    </row>
    <row r="450" spans="1:10">
      <c r="A450" s="81"/>
      <c r="B450" s="70" t="str">
        <f>IF(ISBLANK(A450),"",INDEX('Error Log'!$A:$J,MATCH('Scores per segment'!$A450,'Error Log'!$A:$A,0),MATCH('Scores per segment'!B$1,'Error Log'!$A$1:$J$1,0)))</f>
        <v/>
      </c>
      <c r="C450" s="70" t="str">
        <f>IF(ISBLANK(A450),"",INDEX('Error Log'!$A:$J,MATCH('Scores per segment'!$A450,'Error Log'!$A:$A,0),MATCH('Scores per segment'!C$1,'Error Log'!$A$1:$J$1,0)))</f>
        <v/>
      </c>
      <c r="D450" s="70">
        <f>IF(H450=0,wdct(TRIM(C450)),0)</f>
        <v>0</v>
      </c>
      <c r="E450" s="70">
        <f>COUNTIFS('Error Log'!$A:$A,$A450,'Error Log'!$J:$J,E$1)</f>
        <v>0</v>
      </c>
      <c r="F450" s="70">
        <f>COUNTIFS('Error Log'!$A:$A,$A450,'Error Log'!$J:$J,F$1)</f>
        <v>0</v>
      </c>
      <c r="G450" s="70">
        <f>COUNTIFS('Error Log'!$A:$A,$A450,'Error Log'!$J:$J,G$1)</f>
        <v>0</v>
      </c>
      <c r="H450" s="70">
        <f>COUNTIFS('Error Log'!$A:$A,$A450,'Error Log'!$F:$F,"Source")</f>
        <v>0</v>
      </c>
      <c r="I450" s="70">
        <f>COUNTIFS('Error Log'!$A:$A,$A450,'Error Log'!$F:$F,"Target")</f>
        <v>0</v>
      </c>
      <c r="J450" s="71">
        <f t="shared" ref="J450:J501" si="7">IF(I450=0,IFERROR((((1-((E450*10+F450*5+G450*1)/D450))*100)+100)/2,0),-150)</f>
        <v>0</v>
      </c>
    </row>
    <row r="451" spans="1:10">
      <c r="A451" s="81"/>
      <c r="B451" s="70" t="str">
        <f>IF(ISBLANK(A451),"",INDEX('Error Log'!$A:$J,MATCH('Scores per segment'!$A451,'Error Log'!$A:$A,0),MATCH('Scores per segment'!B$1,'Error Log'!$A$1:$J$1,0)))</f>
        <v/>
      </c>
      <c r="C451" s="70" t="str">
        <f>IF(ISBLANK(A451),"",INDEX('Error Log'!$A:$J,MATCH('Scores per segment'!$A451,'Error Log'!$A:$A,0),MATCH('Scores per segment'!C$1,'Error Log'!$A$1:$J$1,0)))</f>
        <v/>
      </c>
      <c r="D451" s="70">
        <f>IF(H451=0,wdct(TRIM(C451)),0)</f>
        <v>0</v>
      </c>
      <c r="E451" s="70">
        <f>COUNTIFS('Error Log'!$A:$A,$A451,'Error Log'!$J:$J,E$1)</f>
        <v>0</v>
      </c>
      <c r="F451" s="70">
        <f>COUNTIFS('Error Log'!$A:$A,$A451,'Error Log'!$J:$J,F$1)</f>
        <v>0</v>
      </c>
      <c r="G451" s="70">
        <f>COUNTIFS('Error Log'!$A:$A,$A451,'Error Log'!$J:$J,G$1)</f>
        <v>0</v>
      </c>
      <c r="H451" s="70">
        <f>COUNTIFS('Error Log'!$A:$A,$A451,'Error Log'!$F:$F,"Source")</f>
        <v>0</v>
      </c>
      <c r="I451" s="70">
        <f>COUNTIFS('Error Log'!$A:$A,$A451,'Error Log'!$F:$F,"Target")</f>
        <v>0</v>
      </c>
      <c r="J451" s="71">
        <f t="shared" si="7"/>
        <v>0</v>
      </c>
    </row>
    <row r="452" spans="1:10">
      <c r="A452" s="81"/>
      <c r="B452" s="70" t="str">
        <f>IF(ISBLANK(A452),"",INDEX('Error Log'!$A:$J,MATCH('Scores per segment'!$A452,'Error Log'!$A:$A,0),MATCH('Scores per segment'!B$1,'Error Log'!$A$1:$J$1,0)))</f>
        <v/>
      </c>
      <c r="C452" s="70" t="str">
        <f>IF(ISBLANK(A452),"",INDEX('Error Log'!$A:$J,MATCH('Scores per segment'!$A452,'Error Log'!$A:$A,0),MATCH('Scores per segment'!C$1,'Error Log'!$A$1:$J$1,0)))</f>
        <v/>
      </c>
      <c r="D452" s="70">
        <f>IF(H452=0,wdct(TRIM(C452)),0)</f>
        <v>0</v>
      </c>
      <c r="E452" s="70">
        <f>COUNTIFS('Error Log'!$A:$A,$A452,'Error Log'!$J:$J,E$1)</f>
        <v>0</v>
      </c>
      <c r="F452" s="70">
        <f>COUNTIFS('Error Log'!$A:$A,$A452,'Error Log'!$J:$J,F$1)</f>
        <v>0</v>
      </c>
      <c r="G452" s="70">
        <f>COUNTIFS('Error Log'!$A:$A,$A452,'Error Log'!$J:$J,G$1)</f>
        <v>0</v>
      </c>
      <c r="H452" s="70">
        <f>COUNTIFS('Error Log'!$A:$A,$A452,'Error Log'!$F:$F,"Source")</f>
        <v>0</v>
      </c>
      <c r="I452" s="70">
        <f>COUNTIFS('Error Log'!$A:$A,$A452,'Error Log'!$F:$F,"Target")</f>
        <v>0</v>
      </c>
      <c r="J452" s="71">
        <f t="shared" si="7"/>
        <v>0</v>
      </c>
    </row>
    <row r="453" spans="1:10">
      <c r="A453" s="81"/>
      <c r="B453" s="70" t="str">
        <f>IF(ISBLANK(A453),"",INDEX('Error Log'!$A:$J,MATCH('Scores per segment'!$A453,'Error Log'!$A:$A,0),MATCH('Scores per segment'!B$1,'Error Log'!$A$1:$J$1,0)))</f>
        <v/>
      </c>
      <c r="C453" s="70" t="str">
        <f>IF(ISBLANK(A453),"",INDEX('Error Log'!$A:$J,MATCH('Scores per segment'!$A453,'Error Log'!$A:$A,0),MATCH('Scores per segment'!C$1,'Error Log'!$A$1:$J$1,0)))</f>
        <v/>
      </c>
      <c r="D453" s="70">
        <f>IF(H453=0,wdct(TRIM(C453)),0)</f>
        <v>0</v>
      </c>
      <c r="E453" s="70">
        <f>COUNTIFS('Error Log'!$A:$A,$A453,'Error Log'!$J:$J,E$1)</f>
        <v>0</v>
      </c>
      <c r="F453" s="70">
        <f>COUNTIFS('Error Log'!$A:$A,$A453,'Error Log'!$J:$J,F$1)</f>
        <v>0</v>
      </c>
      <c r="G453" s="70">
        <f>COUNTIFS('Error Log'!$A:$A,$A453,'Error Log'!$J:$J,G$1)</f>
        <v>0</v>
      </c>
      <c r="H453" s="70">
        <f>COUNTIFS('Error Log'!$A:$A,$A453,'Error Log'!$F:$F,"Source")</f>
        <v>0</v>
      </c>
      <c r="I453" s="70">
        <f>COUNTIFS('Error Log'!$A:$A,$A453,'Error Log'!$F:$F,"Target")</f>
        <v>0</v>
      </c>
      <c r="J453" s="71">
        <f t="shared" si="7"/>
        <v>0</v>
      </c>
    </row>
    <row r="454" spans="1:10">
      <c r="A454" s="81"/>
      <c r="B454" s="70" t="str">
        <f>IF(ISBLANK(A454),"",INDEX('Error Log'!$A:$J,MATCH('Scores per segment'!$A454,'Error Log'!$A:$A,0),MATCH('Scores per segment'!B$1,'Error Log'!$A$1:$J$1,0)))</f>
        <v/>
      </c>
      <c r="C454" s="70" t="str">
        <f>IF(ISBLANK(A454),"",INDEX('Error Log'!$A:$J,MATCH('Scores per segment'!$A454,'Error Log'!$A:$A,0),MATCH('Scores per segment'!C$1,'Error Log'!$A$1:$J$1,0)))</f>
        <v/>
      </c>
      <c r="D454" s="70">
        <f>IF(H454=0,wdct(TRIM(C454)),0)</f>
        <v>0</v>
      </c>
      <c r="E454" s="70">
        <f>COUNTIFS('Error Log'!$A:$A,$A454,'Error Log'!$J:$J,E$1)</f>
        <v>0</v>
      </c>
      <c r="F454" s="70">
        <f>COUNTIFS('Error Log'!$A:$A,$A454,'Error Log'!$J:$J,F$1)</f>
        <v>0</v>
      </c>
      <c r="G454" s="70">
        <f>COUNTIFS('Error Log'!$A:$A,$A454,'Error Log'!$J:$J,G$1)</f>
        <v>0</v>
      </c>
      <c r="H454" s="70">
        <f>COUNTIFS('Error Log'!$A:$A,$A454,'Error Log'!$F:$F,"Source")</f>
        <v>0</v>
      </c>
      <c r="I454" s="70">
        <f>COUNTIFS('Error Log'!$A:$A,$A454,'Error Log'!$F:$F,"Target")</f>
        <v>0</v>
      </c>
      <c r="J454" s="71">
        <f t="shared" si="7"/>
        <v>0</v>
      </c>
    </row>
    <row r="455" spans="1:10">
      <c r="A455" s="81"/>
      <c r="B455" s="70" t="str">
        <f>IF(ISBLANK(A455),"",INDEX('Error Log'!$A:$J,MATCH('Scores per segment'!$A455,'Error Log'!$A:$A,0),MATCH('Scores per segment'!B$1,'Error Log'!$A$1:$J$1,0)))</f>
        <v/>
      </c>
      <c r="C455" s="70" t="str">
        <f>IF(ISBLANK(A455),"",INDEX('Error Log'!$A:$J,MATCH('Scores per segment'!$A455,'Error Log'!$A:$A,0),MATCH('Scores per segment'!C$1,'Error Log'!$A$1:$J$1,0)))</f>
        <v/>
      </c>
      <c r="D455" s="70">
        <f>IF(H455=0,wdct(TRIM(C455)),0)</f>
        <v>0</v>
      </c>
      <c r="E455" s="70">
        <f>COUNTIFS('Error Log'!$A:$A,$A455,'Error Log'!$J:$J,E$1)</f>
        <v>0</v>
      </c>
      <c r="F455" s="70">
        <f>COUNTIFS('Error Log'!$A:$A,$A455,'Error Log'!$J:$J,F$1)</f>
        <v>0</v>
      </c>
      <c r="G455" s="70">
        <f>COUNTIFS('Error Log'!$A:$A,$A455,'Error Log'!$J:$J,G$1)</f>
        <v>0</v>
      </c>
      <c r="H455" s="70">
        <f>COUNTIFS('Error Log'!$A:$A,$A455,'Error Log'!$F:$F,"Source")</f>
        <v>0</v>
      </c>
      <c r="I455" s="70">
        <f>COUNTIFS('Error Log'!$A:$A,$A455,'Error Log'!$F:$F,"Target")</f>
        <v>0</v>
      </c>
      <c r="J455" s="71">
        <f t="shared" si="7"/>
        <v>0</v>
      </c>
    </row>
    <row r="456" spans="1:10">
      <c r="A456" s="81"/>
      <c r="B456" s="70" t="str">
        <f>IF(ISBLANK(A456),"",INDEX('Error Log'!$A:$J,MATCH('Scores per segment'!$A456,'Error Log'!$A:$A,0),MATCH('Scores per segment'!B$1,'Error Log'!$A$1:$J$1,0)))</f>
        <v/>
      </c>
      <c r="C456" s="70" t="str">
        <f>IF(ISBLANK(A456),"",INDEX('Error Log'!$A:$J,MATCH('Scores per segment'!$A456,'Error Log'!$A:$A,0),MATCH('Scores per segment'!C$1,'Error Log'!$A$1:$J$1,0)))</f>
        <v/>
      </c>
      <c r="D456" s="70">
        <f>IF(H456=0,wdct(TRIM(C456)),0)</f>
        <v>0</v>
      </c>
      <c r="E456" s="70">
        <f>COUNTIFS('Error Log'!$A:$A,$A456,'Error Log'!$J:$J,E$1)</f>
        <v>0</v>
      </c>
      <c r="F456" s="70">
        <f>COUNTIFS('Error Log'!$A:$A,$A456,'Error Log'!$J:$J,F$1)</f>
        <v>0</v>
      </c>
      <c r="G456" s="70">
        <f>COUNTIFS('Error Log'!$A:$A,$A456,'Error Log'!$J:$J,G$1)</f>
        <v>0</v>
      </c>
      <c r="H456" s="70">
        <f>COUNTIFS('Error Log'!$A:$A,$A456,'Error Log'!$F:$F,"Source")</f>
        <v>0</v>
      </c>
      <c r="I456" s="70">
        <f>COUNTIFS('Error Log'!$A:$A,$A456,'Error Log'!$F:$F,"Target")</f>
        <v>0</v>
      </c>
      <c r="J456" s="71">
        <f t="shared" si="7"/>
        <v>0</v>
      </c>
    </row>
    <row r="457" spans="1:10">
      <c r="A457" s="81"/>
      <c r="B457" s="70" t="str">
        <f>IF(ISBLANK(A457),"",INDEX('Error Log'!$A:$J,MATCH('Scores per segment'!$A457,'Error Log'!$A:$A,0),MATCH('Scores per segment'!B$1,'Error Log'!$A$1:$J$1,0)))</f>
        <v/>
      </c>
      <c r="C457" s="70" t="str">
        <f>IF(ISBLANK(A457),"",INDEX('Error Log'!$A:$J,MATCH('Scores per segment'!$A457,'Error Log'!$A:$A,0),MATCH('Scores per segment'!C$1,'Error Log'!$A$1:$J$1,0)))</f>
        <v/>
      </c>
      <c r="D457" s="70">
        <f>IF(H457=0,wdct(TRIM(C457)),0)</f>
        <v>0</v>
      </c>
      <c r="E457" s="70">
        <f>COUNTIFS('Error Log'!$A:$A,$A457,'Error Log'!$J:$J,E$1)</f>
        <v>0</v>
      </c>
      <c r="F457" s="70">
        <f>COUNTIFS('Error Log'!$A:$A,$A457,'Error Log'!$J:$J,F$1)</f>
        <v>0</v>
      </c>
      <c r="G457" s="70">
        <f>COUNTIFS('Error Log'!$A:$A,$A457,'Error Log'!$J:$J,G$1)</f>
        <v>0</v>
      </c>
      <c r="H457" s="70">
        <f>COUNTIFS('Error Log'!$A:$A,$A457,'Error Log'!$F:$F,"Source")</f>
        <v>0</v>
      </c>
      <c r="I457" s="70">
        <f>COUNTIFS('Error Log'!$A:$A,$A457,'Error Log'!$F:$F,"Target")</f>
        <v>0</v>
      </c>
      <c r="J457" s="71">
        <f t="shared" si="7"/>
        <v>0</v>
      </c>
    </row>
    <row r="458" spans="1:10">
      <c r="A458" s="81"/>
      <c r="B458" s="70" t="str">
        <f>IF(ISBLANK(A458),"",INDEX('Error Log'!$A:$J,MATCH('Scores per segment'!$A458,'Error Log'!$A:$A,0),MATCH('Scores per segment'!B$1,'Error Log'!$A$1:$J$1,0)))</f>
        <v/>
      </c>
      <c r="C458" s="70" t="str">
        <f>IF(ISBLANK(A458),"",INDEX('Error Log'!$A:$J,MATCH('Scores per segment'!$A458,'Error Log'!$A:$A,0),MATCH('Scores per segment'!C$1,'Error Log'!$A$1:$J$1,0)))</f>
        <v/>
      </c>
      <c r="D458" s="70">
        <f>IF(H458=0,wdct(TRIM(C458)),0)</f>
        <v>0</v>
      </c>
      <c r="E458" s="70">
        <f>COUNTIFS('Error Log'!$A:$A,$A458,'Error Log'!$J:$J,E$1)</f>
        <v>0</v>
      </c>
      <c r="F458" s="70">
        <f>COUNTIFS('Error Log'!$A:$A,$A458,'Error Log'!$J:$J,F$1)</f>
        <v>0</v>
      </c>
      <c r="G458" s="70">
        <f>COUNTIFS('Error Log'!$A:$A,$A458,'Error Log'!$J:$J,G$1)</f>
        <v>0</v>
      </c>
      <c r="H458" s="70">
        <f>COUNTIFS('Error Log'!$A:$A,$A458,'Error Log'!$F:$F,"Source")</f>
        <v>0</v>
      </c>
      <c r="I458" s="70">
        <f>COUNTIFS('Error Log'!$A:$A,$A458,'Error Log'!$F:$F,"Target")</f>
        <v>0</v>
      </c>
      <c r="J458" s="71">
        <f t="shared" si="7"/>
        <v>0</v>
      </c>
    </row>
    <row r="459" spans="1:10">
      <c r="A459" s="81"/>
      <c r="B459" s="70" t="str">
        <f>IF(ISBLANK(A459),"",INDEX('Error Log'!$A:$J,MATCH('Scores per segment'!$A459,'Error Log'!$A:$A,0),MATCH('Scores per segment'!B$1,'Error Log'!$A$1:$J$1,0)))</f>
        <v/>
      </c>
      <c r="C459" s="70" t="str">
        <f>IF(ISBLANK(A459),"",INDEX('Error Log'!$A:$J,MATCH('Scores per segment'!$A459,'Error Log'!$A:$A,0),MATCH('Scores per segment'!C$1,'Error Log'!$A$1:$J$1,0)))</f>
        <v/>
      </c>
      <c r="D459" s="70">
        <f>IF(H459=0,wdct(TRIM(C459)),0)</f>
        <v>0</v>
      </c>
      <c r="E459" s="70">
        <f>COUNTIFS('Error Log'!$A:$A,$A459,'Error Log'!$J:$J,E$1)</f>
        <v>0</v>
      </c>
      <c r="F459" s="70">
        <f>COUNTIFS('Error Log'!$A:$A,$A459,'Error Log'!$J:$J,F$1)</f>
        <v>0</v>
      </c>
      <c r="G459" s="70">
        <f>COUNTIFS('Error Log'!$A:$A,$A459,'Error Log'!$J:$J,G$1)</f>
        <v>0</v>
      </c>
      <c r="H459" s="70">
        <f>COUNTIFS('Error Log'!$A:$A,$A459,'Error Log'!$F:$F,"Source")</f>
        <v>0</v>
      </c>
      <c r="I459" s="70">
        <f>COUNTIFS('Error Log'!$A:$A,$A459,'Error Log'!$F:$F,"Target")</f>
        <v>0</v>
      </c>
      <c r="J459" s="71">
        <f t="shared" si="7"/>
        <v>0</v>
      </c>
    </row>
    <row r="460" spans="1:10">
      <c r="A460" s="81"/>
      <c r="B460" s="70" t="str">
        <f>IF(ISBLANK(A460),"",INDEX('Error Log'!$A:$J,MATCH('Scores per segment'!$A460,'Error Log'!$A:$A,0),MATCH('Scores per segment'!B$1,'Error Log'!$A$1:$J$1,0)))</f>
        <v/>
      </c>
      <c r="C460" s="70" t="str">
        <f>IF(ISBLANK(A460),"",INDEX('Error Log'!$A:$J,MATCH('Scores per segment'!$A460,'Error Log'!$A:$A,0),MATCH('Scores per segment'!C$1,'Error Log'!$A$1:$J$1,0)))</f>
        <v/>
      </c>
      <c r="D460" s="70">
        <f>IF(H460=0,wdct(TRIM(C460)),0)</f>
        <v>0</v>
      </c>
      <c r="E460" s="70">
        <f>COUNTIFS('Error Log'!$A:$A,$A460,'Error Log'!$J:$J,E$1)</f>
        <v>0</v>
      </c>
      <c r="F460" s="70">
        <f>COUNTIFS('Error Log'!$A:$A,$A460,'Error Log'!$J:$J,F$1)</f>
        <v>0</v>
      </c>
      <c r="G460" s="70">
        <f>COUNTIFS('Error Log'!$A:$A,$A460,'Error Log'!$J:$J,G$1)</f>
        <v>0</v>
      </c>
      <c r="H460" s="70">
        <f>COUNTIFS('Error Log'!$A:$A,$A460,'Error Log'!$F:$F,"Source")</f>
        <v>0</v>
      </c>
      <c r="I460" s="70">
        <f>COUNTIFS('Error Log'!$A:$A,$A460,'Error Log'!$F:$F,"Target")</f>
        <v>0</v>
      </c>
      <c r="J460" s="71">
        <f t="shared" si="7"/>
        <v>0</v>
      </c>
    </row>
    <row r="461" spans="1:10">
      <c r="A461" s="81"/>
      <c r="B461" s="70" t="str">
        <f>IF(ISBLANK(A461),"",INDEX('Error Log'!$A:$J,MATCH('Scores per segment'!$A461,'Error Log'!$A:$A,0),MATCH('Scores per segment'!B$1,'Error Log'!$A$1:$J$1,0)))</f>
        <v/>
      </c>
      <c r="C461" s="70" t="str">
        <f>IF(ISBLANK(A461),"",INDEX('Error Log'!$A:$J,MATCH('Scores per segment'!$A461,'Error Log'!$A:$A,0),MATCH('Scores per segment'!C$1,'Error Log'!$A$1:$J$1,0)))</f>
        <v/>
      </c>
      <c r="D461" s="70">
        <f>IF(H461=0,wdct(TRIM(C461)),0)</f>
        <v>0</v>
      </c>
      <c r="E461" s="70">
        <f>COUNTIFS('Error Log'!$A:$A,$A461,'Error Log'!$J:$J,E$1)</f>
        <v>0</v>
      </c>
      <c r="F461" s="70">
        <f>COUNTIFS('Error Log'!$A:$A,$A461,'Error Log'!$J:$J,F$1)</f>
        <v>0</v>
      </c>
      <c r="G461" s="70">
        <f>COUNTIFS('Error Log'!$A:$A,$A461,'Error Log'!$J:$J,G$1)</f>
        <v>0</v>
      </c>
      <c r="H461" s="70">
        <f>COUNTIFS('Error Log'!$A:$A,$A461,'Error Log'!$F:$F,"Source")</f>
        <v>0</v>
      </c>
      <c r="I461" s="70">
        <f>COUNTIFS('Error Log'!$A:$A,$A461,'Error Log'!$F:$F,"Target")</f>
        <v>0</v>
      </c>
      <c r="J461" s="71">
        <f t="shared" si="7"/>
        <v>0</v>
      </c>
    </row>
    <row r="462" spans="1:10">
      <c r="A462" s="81"/>
      <c r="B462" s="70" t="str">
        <f>IF(ISBLANK(A462),"",INDEX('Error Log'!$A:$J,MATCH('Scores per segment'!$A462,'Error Log'!$A:$A,0),MATCH('Scores per segment'!B$1,'Error Log'!$A$1:$J$1,0)))</f>
        <v/>
      </c>
      <c r="C462" s="70" t="str">
        <f>IF(ISBLANK(A462),"",INDEX('Error Log'!$A:$J,MATCH('Scores per segment'!$A462,'Error Log'!$A:$A,0),MATCH('Scores per segment'!C$1,'Error Log'!$A$1:$J$1,0)))</f>
        <v/>
      </c>
      <c r="D462" s="70">
        <f>IF(H462=0,wdct(TRIM(C462)),0)</f>
        <v>0</v>
      </c>
      <c r="E462" s="70">
        <f>COUNTIFS('Error Log'!$A:$A,$A462,'Error Log'!$J:$J,E$1)</f>
        <v>0</v>
      </c>
      <c r="F462" s="70">
        <f>COUNTIFS('Error Log'!$A:$A,$A462,'Error Log'!$J:$J,F$1)</f>
        <v>0</v>
      </c>
      <c r="G462" s="70">
        <f>COUNTIFS('Error Log'!$A:$A,$A462,'Error Log'!$J:$J,G$1)</f>
        <v>0</v>
      </c>
      <c r="H462" s="70">
        <f>COUNTIFS('Error Log'!$A:$A,$A462,'Error Log'!$F:$F,"Source")</f>
        <v>0</v>
      </c>
      <c r="I462" s="70">
        <f>COUNTIFS('Error Log'!$A:$A,$A462,'Error Log'!$F:$F,"Target")</f>
        <v>0</v>
      </c>
      <c r="J462" s="71">
        <f t="shared" si="7"/>
        <v>0</v>
      </c>
    </row>
    <row r="463" spans="1:10">
      <c r="A463" s="81"/>
      <c r="B463" s="70" t="str">
        <f>IF(ISBLANK(A463),"",INDEX('Error Log'!$A:$J,MATCH('Scores per segment'!$A463,'Error Log'!$A:$A,0),MATCH('Scores per segment'!B$1,'Error Log'!$A$1:$J$1,0)))</f>
        <v/>
      </c>
      <c r="C463" s="70" t="str">
        <f>IF(ISBLANK(A463),"",INDEX('Error Log'!$A:$J,MATCH('Scores per segment'!$A463,'Error Log'!$A:$A,0),MATCH('Scores per segment'!C$1,'Error Log'!$A$1:$J$1,0)))</f>
        <v/>
      </c>
      <c r="D463" s="70">
        <f>IF(H463=0,wdct(TRIM(C463)),0)</f>
        <v>0</v>
      </c>
      <c r="E463" s="70">
        <f>COUNTIFS('Error Log'!$A:$A,$A463,'Error Log'!$J:$J,E$1)</f>
        <v>0</v>
      </c>
      <c r="F463" s="70">
        <f>COUNTIFS('Error Log'!$A:$A,$A463,'Error Log'!$J:$J,F$1)</f>
        <v>0</v>
      </c>
      <c r="G463" s="70">
        <f>COUNTIFS('Error Log'!$A:$A,$A463,'Error Log'!$J:$J,G$1)</f>
        <v>0</v>
      </c>
      <c r="H463" s="70">
        <f>COUNTIFS('Error Log'!$A:$A,$A463,'Error Log'!$F:$F,"Source")</f>
        <v>0</v>
      </c>
      <c r="I463" s="70">
        <f>COUNTIFS('Error Log'!$A:$A,$A463,'Error Log'!$F:$F,"Target")</f>
        <v>0</v>
      </c>
      <c r="J463" s="71">
        <f t="shared" si="7"/>
        <v>0</v>
      </c>
    </row>
    <row r="464" spans="1:10">
      <c r="A464" s="81"/>
      <c r="B464" s="70" t="str">
        <f>IF(ISBLANK(A464),"",INDEX('Error Log'!$A:$J,MATCH('Scores per segment'!$A464,'Error Log'!$A:$A,0),MATCH('Scores per segment'!B$1,'Error Log'!$A$1:$J$1,0)))</f>
        <v/>
      </c>
      <c r="C464" s="70" t="str">
        <f>IF(ISBLANK(A464),"",INDEX('Error Log'!$A:$J,MATCH('Scores per segment'!$A464,'Error Log'!$A:$A,0),MATCH('Scores per segment'!C$1,'Error Log'!$A$1:$J$1,0)))</f>
        <v/>
      </c>
      <c r="D464" s="70">
        <f>IF(H464=0,wdct(TRIM(C464)),0)</f>
        <v>0</v>
      </c>
      <c r="E464" s="70">
        <f>COUNTIFS('Error Log'!$A:$A,$A464,'Error Log'!$J:$J,E$1)</f>
        <v>0</v>
      </c>
      <c r="F464" s="70">
        <f>COUNTIFS('Error Log'!$A:$A,$A464,'Error Log'!$J:$J,F$1)</f>
        <v>0</v>
      </c>
      <c r="G464" s="70">
        <f>COUNTIFS('Error Log'!$A:$A,$A464,'Error Log'!$J:$J,G$1)</f>
        <v>0</v>
      </c>
      <c r="H464" s="70">
        <f>COUNTIFS('Error Log'!$A:$A,$A464,'Error Log'!$F:$F,"Source")</f>
        <v>0</v>
      </c>
      <c r="I464" s="70">
        <f>COUNTIFS('Error Log'!$A:$A,$A464,'Error Log'!$F:$F,"Target")</f>
        <v>0</v>
      </c>
      <c r="J464" s="71">
        <f t="shared" si="7"/>
        <v>0</v>
      </c>
    </row>
    <row r="465" spans="1:10">
      <c r="A465" s="81"/>
      <c r="B465" s="70" t="str">
        <f>IF(ISBLANK(A465),"",INDEX('Error Log'!$A:$J,MATCH('Scores per segment'!$A465,'Error Log'!$A:$A,0),MATCH('Scores per segment'!B$1,'Error Log'!$A$1:$J$1,0)))</f>
        <v/>
      </c>
      <c r="C465" s="70" t="str">
        <f>IF(ISBLANK(A465),"",INDEX('Error Log'!$A:$J,MATCH('Scores per segment'!$A465,'Error Log'!$A:$A,0),MATCH('Scores per segment'!C$1,'Error Log'!$A$1:$J$1,0)))</f>
        <v/>
      </c>
      <c r="D465" s="70">
        <f>IF(H465=0,wdct(TRIM(C465)),0)</f>
        <v>0</v>
      </c>
      <c r="E465" s="70">
        <f>COUNTIFS('Error Log'!$A:$A,$A465,'Error Log'!$J:$J,E$1)</f>
        <v>0</v>
      </c>
      <c r="F465" s="70">
        <f>COUNTIFS('Error Log'!$A:$A,$A465,'Error Log'!$J:$J,F$1)</f>
        <v>0</v>
      </c>
      <c r="G465" s="70">
        <f>COUNTIFS('Error Log'!$A:$A,$A465,'Error Log'!$J:$J,G$1)</f>
        <v>0</v>
      </c>
      <c r="H465" s="70">
        <f>COUNTIFS('Error Log'!$A:$A,$A465,'Error Log'!$F:$F,"Source")</f>
        <v>0</v>
      </c>
      <c r="I465" s="70">
        <f>COUNTIFS('Error Log'!$A:$A,$A465,'Error Log'!$F:$F,"Target")</f>
        <v>0</v>
      </c>
      <c r="J465" s="71">
        <f t="shared" si="7"/>
        <v>0</v>
      </c>
    </row>
    <row r="466" spans="1:10">
      <c r="A466" s="81"/>
      <c r="B466" s="70" t="str">
        <f>IF(ISBLANK(A466),"",INDEX('Error Log'!$A:$J,MATCH('Scores per segment'!$A466,'Error Log'!$A:$A,0),MATCH('Scores per segment'!B$1,'Error Log'!$A$1:$J$1,0)))</f>
        <v/>
      </c>
      <c r="C466" s="70" t="str">
        <f>IF(ISBLANK(A466),"",INDEX('Error Log'!$A:$J,MATCH('Scores per segment'!$A466,'Error Log'!$A:$A,0),MATCH('Scores per segment'!C$1,'Error Log'!$A$1:$J$1,0)))</f>
        <v/>
      </c>
      <c r="D466" s="70">
        <f>IF(H466=0,wdct(TRIM(C466)),0)</f>
        <v>0</v>
      </c>
      <c r="E466" s="70">
        <f>COUNTIFS('Error Log'!$A:$A,$A466,'Error Log'!$J:$J,E$1)</f>
        <v>0</v>
      </c>
      <c r="F466" s="70">
        <f>COUNTIFS('Error Log'!$A:$A,$A466,'Error Log'!$J:$J,F$1)</f>
        <v>0</v>
      </c>
      <c r="G466" s="70">
        <f>COUNTIFS('Error Log'!$A:$A,$A466,'Error Log'!$J:$J,G$1)</f>
        <v>0</v>
      </c>
      <c r="H466" s="70">
        <f>COUNTIFS('Error Log'!$A:$A,$A466,'Error Log'!$F:$F,"Source")</f>
        <v>0</v>
      </c>
      <c r="I466" s="70">
        <f>COUNTIFS('Error Log'!$A:$A,$A466,'Error Log'!$F:$F,"Target")</f>
        <v>0</v>
      </c>
      <c r="J466" s="71">
        <f t="shared" si="7"/>
        <v>0</v>
      </c>
    </row>
    <row r="467" spans="1:10">
      <c r="A467" s="81"/>
      <c r="B467" s="70" t="str">
        <f>IF(ISBLANK(A467),"",INDEX('Error Log'!$A:$J,MATCH('Scores per segment'!$A467,'Error Log'!$A:$A,0),MATCH('Scores per segment'!B$1,'Error Log'!$A$1:$J$1,0)))</f>
        <v/>
      </c>
      <c r="C467" s="70" t="str">
        <f>IF(ISBLANK(A467),"",INDEX('Error Log'!$A:$J,MATCH('Scores per segment'!$A467,'Error Log'!$A:$A,0),MATCH('Scores per segment'!C$1,'Error Log'!$A$1:$J$1,0)))</f>
        <v/>
      </c>
      <c r="D467" s="70">
        <f>IF(H467=0,wdct(TRIM(C467)),0)</f>
        <v>0</v>
      </c>
      <c r="E467" s="70">
        <f>COUNTIFS('Error Log'!$A:$A,$A467,'Error Log'!$J:$J,E$1)</f>
        <v>0</v>
      </c>
      <c r="F467" s="70">
        <f>COUNTIFS('Error Log'!$A:$A,$A467,'Error Log'!$J:$J,F$1)</f>
        <v>0</v>
      </c>
      <c r="G467" s="70">
        <f>COUNTIFS('Error Log'!$A:$A,$A467,'Error Log'!$J:$J,G$1)</f>
        <v>0</v>
      </c>
      <c r="H467" s="70">
        <f>COUNTIFS('Error Log'!$A:$A,$A467,'Error Log'!$F:$F,"Source")</f>
        <v>0</v>
      </c>
      <c r="I467" s="70">
        <f>COUNTIFS('Error Log'!$A:$A,$A467,'Error Log'!$F:$F,"Target")</f>
        <v>0</v>
      </c>
      <c r="J467" s="71">
        <f t="shared" si="7"/>
        <v>0</v>
      </c>
    </row>
    <row r="468" spans="1:10">
      <c r="A468" s="81"/>
      <c r="B468" s="70" t="str">
        <f>IF(ISBLANK(A468),"",INDEX('Error Log'!$A:$J,MATCH('Scores per segment'!$A468,'Error Log'!$A:$A,0),MATCH('Scores per segment'!B$1,'Error Log'!$A$1:$J$1,0)))</f>
        <v/>
      </c>
      <c r="C468" s="70" t="str">
        <f>IF(ISBLANK(A468),"",INDEX('Error Log'!$A:$J,MATCH('Scores per segment'!$A468,'Error Log'!$A:$A,0),MATCH('Scores per segment'!C$1,'Error Log'!$A$1:$J$1,0)))</f>
        <v/>
      </c>
      <c r="D468" s="70">
        <f>IF(H468=0,wdct(TRIM(C468)),0)</f>
        <v>0</v>
      </c>
      <c r="E468" s="70">
        <f>COUNTIFS('Error Log'!$A:$A,$A468,'Error Log'!$J:$J,E$1)</f>
        <v>0</v>
      </c>
      <c r="F468" s="70">
        <f>COUNTIFS('Error Log'!$A:$A,$A468,'Error Log'!$J:$J,F$1)</f>
        <v>0</v>
      </c>
      <c r="G468" s="70">
        <f>COUNTIFS('Error Log'!$A:$A,$A468,'Error Log'!$J:$J,G$1)</f>
        <v>0</v>
      </c>
      <c r="H468" s="70">
        <f>COUNTIFS('Error Log'!$A:$A,$A468,'Error Log'!$F:$F,"Source")</f>
        <v>0</v>
      </c>
      <c r="I468" s="70">
        <f>COUNTIFS('Error Log'!$A:$A,$A468,'Error Log'!$F:$F,"Target")</f>
        <v>0</v>
      </c>
      <c r="J468" s="71">
        <f t="shared" si="7"/>
        <v>0</v>
      </c>
    </row>
    <row r="469" spans="1:10">
      <c r="A469" s="81"/>
      <c r="B469" s="70" t="str">
        <f>IF(ISBLANK(A469),"",INDEX('Error Log'!$A:$J,MATCH('Scores per segment'!$A469,'Error Log'!$A:$A,0),MATCH('Scores per segment'!B$1,'Error Log'!$A$1:$J$1,0)))</f>
        <v/>
      </c>
      <c r="C469" s="70" t="str">
        <f>IF(ISBLANK(A469),"",INDEX('Error Log'!$A:$J,MATCH('Scores per segment'!$A469,'Error Log'!$A:$A,0),MATCH('Scores per segment'!C$1,'Error Log'!$A$1:$J$1,0)))</f>
        <v/>
      </c>
      <c r="D469" s="70">
        <f>IF(H469=0,wdct(TRIM(C469)),0)</f>
        <v>0</v>
      </c>
      <c r="E469" s="70">
        <f>COUNTIFS('Error Log'!$A:$A,$A469,'Error Log'!$J:$J,E$1)</f>
        <v>0</v>
      </c>
      <c r="F469" s="70">
        <f>COUNTIFS('Error Log'!$A:$A,$A469,'Error Log'!$J:$J,F$1)</f>
        <v>0</v>
      </c>
      <c r="G469" s="70">
        <f>COUNTIFS('Error Log'!$A:$A,$A469,'Error Log'!$J:$J,G$1)</f>
        <v>0</v>
      </c>
      <c r="H469" s="70">
        <f>COUNTIFS('Error Log'!$A:$A,$A469,'Error Log'!$F:$F,"Source")</f>
        <v>0</v>
      </c>
      <c r="I469" s="70">
        <f>COUNTIFS('Error Log'!$A:$A,$A469,'Error Log'!$F:$F,"Target")</f>
        <v>0</v>
      </c>
      <c r="J469" s="71">
        <f t="shared" si="7"/>
        <v>0</v>
      </c>
    </row>
    <row r="470" spans="1:10">
      <c r="A470" s="81"/>
      <c r="B470" s="70" t="str">
        <f>IF(ISBLANK(A470),"",INDEX('Error Log'!$A:$J,MATCH('Scores per segment'!$A470,'Error Log'!$A:$A,0),MATCH('Scores per segment'!B$1,'Error Log'!$A$1:$J$1,0)))</f>
        <v/>
      </c>
      <c r="C470" s="70" t="str">
        <f>IF(ISBLANK(A470),"",INDEX('Error Log'!$A:$J,MATCH('Scores per segment'!$A470,'Error Log'!$A:$A,0),MATCH('Scores per segment'!C$1,'Error Log'!$A$1:$J$1,0)))</f>
        <v/>
      </c>
      <c r="D470" s="70">
        <f>IF(H470=0,wdct(TRIM(C470)),0)</f>
        <v>0</v>
      </c>
      <c r="E470" s="70">
        <f>COUNTIFS('Error Log'!$A:$A,$A470,'Error Log'!$J:$J,E$1)</f>
        <v>0</v>
      </c>
      <c r="F470" s="70">
        <f>COUNTIFS('Error Log'!$A:$A,$A470,'Error Log'!$J:$J,F$1)</f>
        <v>0</v>
      </c>
      <c r="G470" s="70">
        <f>COUNTIFS('Error Log'!$A:$A,$A470,'Error Log'!$J:$J,G$1)</f>
        <v>0</v>
      </c>
      <c r="H470" s="70">
        <f>COUNTIFS('Error Log'!$A:$A,$A470,'Error Log'!$F:$F,"Source")</f>
        <v>0</v>
      </c>
      <c r="I470" s="70">
        <f>COUNTIFS('Error Log'!$A:$A,$A470,'Error Log'!$F:$F,"Target")</f>
        <v>0</v>
      </c>
      <c r="J470" s="71">
        <f t="shared" si="7"/>
        <v>0</v>
      </c>
    </row>
    <row r="471" spans="1:10">
      <c r="A471" s="81"/>
      <c r="B471" s="70" t="str">
        <f>IF(ISBLANK(A471),"",INDEX('Error Log'!$A:$J,MATCH('Scores per segment'!$A471,'Error Log'!$A:$A,0),MATCH('Scores per segment'!B$1,'Error Log'!$A$1:$J$1,0)))</f>
        <v/>
      </c>
      <c r="C471" s="70" t="str">
        <f>IF(ISBLANK(A471),"",INDEX('Error Log'!$A:$J,MATCH('Scores per segment'!$A471,'Error Log'!$A:$A,0),MATCH('Scores per segment'!C$1,'Error Log'!$A$1:$J$1,0)))</f>
        <v/>
      </c>
      <c r="D471" s="70">
        <f>IF(H471=0,wdct(TRIM(C471)),0)</f>
        <v>0</v>
      </c>
      <c r="E471" s="70">
        <f>COUNTIFS('Error Log'!$A:$A,$A471,'Error Log'!$J:$J,E$1)</f>
        <v>0</v>
      </c>
      <c r="F471" s="70">
        <f>COUNTIFS('Error Log'!$A:$A,$A471,'Error Log'!$J:$J,F$1)</f>
        <v>0</v>
      </c>
      <c r="G471" s="70">
        <f>COUNTIFS('Error Log'!$A:$A,$A471,'Error Log'!$J:$J,G$1)</f>
        <v>0</v>
      </c>
      <c r="H471" s="70">
        <f>COUNTIFS('Error Log'!$A:$A,$A471,'Error Log'!$F:$F,"Source")</f>
        <v>0</v>
      </c>
      <c r="I471" s="70">
        <f>COUNTIFS('Error Log'!$A:$A,$A471,'Error Log'!$F:$F,"Target")</f>
        <v>0</v>
      </c>
      <c r="J471" s="71">
        <f t="shared" si="7"/>
        <v>0</v>
      </c>
    </row>
    <row r="472" spans="1:10">
      <c r="A472" s="81"/>
      <c r="B472" s="70" t="str">
        <f>IF(ISBLANK(A472),"",INDEX('Error Log'!$A:$J,MATCH('Scores per segment'!$A472,'Error Log'!$A:$A,0),MATCH('Scores per segment'!B$1,'Error Log'!$A$1:$J$1,0)))</f>
        <v/>
      </c>
      <c r="C472" s="70" t="str">
        <f>IF(ISBLANK(A472),"",INDEX('Error Log'!$A:$J,MATCH('Scores per segment'!$A472,'Error Log'!$A:$A,0),MATCH('Scores per segment'!C$1,'Error Log'!$A$1:$J$1,0)))</f>
        <v/>
      </c>
      <c r="D472" s="70">
        <f>IF(H472=0,wdct(TRIM(C472)),0)</f>
        <v>0</v>
      </c>
      <c r="E472" s="70">
        <f>COUNTIFS('Error Log'!$A:$A,$A472,'Error Log'!$J:$J,E$1)</f>
        <v>0</v>
      </c>
      <c r="F472" s="70">
        <f>COUNTIFS('Error Log'!$A:$A,$A472,'Error Log'!$J:$J,F$1)</f>
        <v>0</v>
      </c>
      <c r="G472" s="70">
        <f>COUNTIFS('Error Log'!$A:$A,$A472,'Error Log'!$J:$J,G$1)</f>
        <v>0</v>
      </c>
      <c r="H472" s="70">
        <f>COUNTIFS('Error Log'!$A:$A,$A472,'Error Log'!$F:$F,"Source")</f>
        <v>0</v>
      </c>
      <c r="I472" s="70">
        <f>COUNTIFS('Error Log'!$A:$A,$A472,'Error Log'!$F:$F,"Target")</f>
        <v>0</v>
      </c>
      <c r="J472" s="71">
        <f t="shared" si="7"/>
        <v>0</v>
      </c>
    </row>
    <row r="473" spans="1:10">
      <c r="A473" s="81"/>
      <c r="B473" s="70" t="str">
        <f>IF(ISBLANK(A473),"",INDEX('Error Log'!$A:$J,MATCH('Scores per segment'!$A473,'Error Log'!$A:$A,0),MATCH('Scores per segment'!B$1,'Error Log'!$A$1:$J$1,0)))</f>
        <v/>
      </c>
      <c r="C473" s="70" t="str">
        <f>IF(ISBLANK(A473),"",INDEX('Error Log'!$A:$J,MATCH('Scores per segment'!$A473,'Error Log'!$A:$A,0),MATCH('Scores per segment'!C$1,'Error Log'!$A$1:$J$1,0)))</f>
        <v/>
      </c>
      <c r="D473" s="70">
        <f>IF(H473=0,wdct(TRIM(C473)),0)</f>
        <v>0</v>
      </c>
      <c r="E473" s="70">
        <f>COUNTIFS('Error Log'!$A:$A,$A473,'Error Log'!$J:$J,E$1)</f>
        <v>0</v>
      </c>
      <c r="F473" s="70">
        <f>COUNTIFS('Error Log'!$A:$A,$A473,'Error Log'!$J:$J,F$1)</f>
        <v>0</v>
      </c>
      <c r="G473" s="70">
        <f>COUNTIFS('Error Log'!$A:$A,$A473,'Error Log'!$J:$J,G$1)</f>
        <v>0</v>
      </c>
      <c r="H473" s="70">
        <f>COUNTIFS('Error Log'!$A:$A,$A473,'Error Log'!$F:$F,"Source")</f>
        <v>0</v>
      </c>
      <c r="I473" s="70">
        <f>COUNTIFS('Error Log'!$A:$A,$A473,'Error Log'!$F:$F,"Target")</f>
        <v>0</v>
      </c>
      <c r="J473" s="71">
        <f t="shared" si="7"/>
        <v>0</v>
      </c>
    </row>
    <row r="474" spans="1:10">
      <c r="A474" s="81"/>
      <c r="B474" s="70" t="str">
        <f>IF(ISBLANK(A474),"",INDEX('Error Log'!$A:$J,MATCH('Scores per segment'!$A474,'Error Log'!$A:$A,0),MATCH('Scores per segment'!B$1,'Error Log'!$A$1:$J$1,0)))</f>
        <v/>
      </c>
      <c r="C474" s="70" t="str">
        <f>IF(ISBLANK(A474),"",INDEX('Error Log'!$A:$J,MATCH('Scores per segment'!$A474,'Error Log'!$A:$A,0),MATCH('Scores per segment'!C$1,'Error Log'!$A$1:$J$1,0)))</f>
        <v/>
      </c>
      <c r="D474" s="70">
        <f>IF(H474=0,wdct(TRIM(C474)),0)</f>
        <v>0</v>
      </c>
      <c r="E474" s="70">
        <f>COUNTIFS('Error Log'!$A:$A,$A474,'Error Log'!$J:$J,E$1)</f>
        <v>0</v>
      </c>
      <c r="F474" s="70">
        <f>COUNTIFS('Error Log'!$A:$A,$A474,'Error Log'!$J:$J,F$1)</f>
        <v>0</v>
      </c>
      <c r="G474" s="70">
        <f>COUNTIFS('Error Log'!$A:$A,$A474,'Error Log'!$J:$J,G$1)</f>
        <v>0</v>
      </c>
      <c r="H474" s="70">
        <f>COUNTIFS('Error Log'!$A:$A,$A474,'Error Log'!$F:$F,"Source")</f>
        <v>0</v>
      </c>
      <c r="I474" s="70">
        <f>COUNTIFS('Error Log'!$A:$A,$A474,'Error Log'!$F:$F,"Target")</f>
        <v>0</v>
      </c>
      <c r="J474" s="71">
        <f t="shared" si="7"/>
        <v>0</v>
      </c>
    </row>
    <row r="475" spans="1:10">
      <c r="A475" s="81"/>
      <c r="B475" s="70" t="str">
        <f>IF(ISBLANK(A475),"",INDEX('Error Log'!$A:$J,MATCH('Scores per segment'!$A475,'Error Log'!$A:$A,0),MATCH('Scores per segment'!B$1,'Error Log'!$A$1:$J$1,0)))</f>
        <v/>
      </c>
      <c r="C475" s="70" t="str">
        <f>IF(ISBLANK(A475),"",INDEX('Error Log'!$A:$J,MATCH('Scores per segment'!$A475,'Error Log'!$A:$A,0),MATCH('Scores per segment'!C$1,'Error Log'!$A$1:$J$1,0)))</f>
        <v/>
      </c>
      <c r="D475" s="70">
        <f>IF(H475=0,wdct(TRIM(C475)),0)</f>
        <v>0</v>
      </c>
      <c r="E475" s="70">
        <f>COUNTIFS('Error Log'!$A:$A,$A475,'Error Log'!$J:$J,E$1)</f>
        <v>0</v>
      </c>
      <c r="F475" s="70">
        <f>COUNTIFS('Error Log'!$A:$A,$A475,'Error Log'!$J:$J,F$1)</f>
        <v>0</v>
      </c>
      <c r="G475" s="70">
        <f>COUNTIFS('Error Log'!$A:$A,$A475,'Error Log'!$J:$J,G$1)</f>
        <v>0</v>
      </c>
      <c r="H475" s="70">
        <f>COUNTIFS('Error Log'!$A:$A,$A475,'Error Log'!$F:$F,"Source")</f>
        <v>0</v>
      </c>
      <c r="I475" s="70">
        <f>COUNTIFS('Error Log'!$A:$A,$A475,'Error Log'!$F:$F,"Target")</f>
        <v>0</v>
      </c>
      <c r="J475" s="71">
        <f t="shared" si="7"/>
        <v>0</v>
      </c>
    </row>
    <row r="476" spans="1:10">
      <c r="A476" s="81"/>
      <c r="B476" s="70" t="str">
        <f>IF(ISBLANK(A476),"",INDEX('Error Log'!$A:$J,MATCH('Scores per segment'!$A476,'Error Log'!$A:$A,0),MATCH('Scores per segment'!B$1,'Error Log'!$A$1:$J$1,0)))</f>
        <v/>
      </c>
      <c r="C476" s="70" t="str">
        <f>IF(ISBLANK(A476),"",INDEX('Error Log'!$A:$J,MATCH('Scores per segment'!$A476,'Error Log'!$A:$A,0),MATCH('Scores per segment'!C$1,'Error Log'!$A$1:$J$1,0)))</f>
        <v/>
      </c>
      <c r="D476" s="70">
        <f>IF(H476=0,wdct(TRIM(C476)),0)</f>
        <v>0</v>
      </c>
      <c r="E476" s="70">
        <f>COUNTIFS('Error Log'!$A:$A,$A476,'Error Log'!$J:$J,E$1)</f>
        <v>0</v>
      </c>
      <c r="F476" s="70">
        <f>COUNTIFS('Error Log'!$A:$A,$A476,'Error Log'!$J:$J,F$1)</f>
        <v>0</v>
      </c>
      <c r="G476" s="70">
        <f>COUNTIFS('Error Log'!$A:$A,$A476,'Error Log'!$J:$J,G$1)</f>
        <v>0</v>
      </c>
      <c r="H476" s="70">
        <f>COUNTIFS('Error Log'!$A:$A,$A476,'Error Log'!$F:$F,"Source")</f>
        <v>0</v>
      </c>
      <c r="I476" s="70">
        <f>COUNTIFS('Error Log'!$A:$A,$A476,'Error Log'!$F:$F,"Target")</f>
        <v>0</v>
      </c>
      <c r="J476" s="71">
        <f t="shared" si="7"/>
        <v>0</v>
      </c>
    </row>
    <row r="477" spans="1:10">
      <c r="A477" s="81"/>
      <c r="B477" s="70" t="str">
        <f>IF(ISBLANK(A477),"",INDEX('Error Log'!$A:$J,MATCH('Scores per segment'!$A477,'Error Log'!$A:$A,0),MATCH('Scores per segment'!B$1,'Error Log'!$A$1:$J$1,0)))</f>
        <v/>
      </c>
      <c r="C477" s="70" t="str">
        <f>IF(ISBLANK(A477),"",INDEX('Error Log'!$A:$J,MATCH('Scores per segment'!$A477,'Error Log'!$A:$A,0),MATCH('Scores per segment'!C$1,'Error Log'!$A$1:$J$1,0)))</f>
        <v/>
      </c>
      <c r="D477" s="70">
        <f>IF(H477=0,wdct(TRIM(C477)),0)</f>
        <v>0</v>
      </c>
      <c r="E477" s="70">
        <f>COUNTIFS('Error Log'!$A:$A,$A477,'Error Log'!$J:$J,E$1)</f>
        <v>0</v>
      </c>
      <c r="F477" s="70">
        <f>COUNTIFS('Error Log'!$A:$A,$A477,'Error Log'!$J:$J,F$1)</f>
        <v>0</v>
      </c>
      <c r="G477" s="70">
        <f>COUNTIFS('Error Log'!$A:$A,$A477,'Error Log'!$J:$J,G$1)</f>
        <v>0</v>
      </c>
      <c r="H477" s="70">
        <f>COUNTIFS('Error Log'!$A:$A,$A477,'Error Log'!$F:$F,"Source")</f>
        <v>0</v>
      </c>
      <c r="I477" s="70">
        <f>COUNTIFS('Error Log'!$A:$A,$A477,'Error Log'!$F:$F,"Target")</f>
        <v>0</v>
      </c>
      <c r="J477" s="71">
        <f t="shared" si="7"/>
        <v>0</v>
      </c>
    </row>
    <row r="478" spans="1:10">
      <c r="A478" s="81"/>
      <c r="B478" s="70" t="str">
        <f>IF(ISBLANK(A478),"",INDEX('Error Log'!$A:$J,MATCH('Scores per segment'!$A478,'Error Log'!$A:$A,0),MATCH('Scores per segment'!B$1,'Error Log'!$A$1:$J$1,0)))</f>
        <v/>
      </c>
      <c r="C478" s="70" t="str">
        <f>IF(ISBLANK(A478),"",INDEX('Error Log'!$A:$J,MATCH('Scores per segment'!$A478,'Error Log'!$A:$A,0),MATCH('Scores per segment'!C$1,'Error Log'!$A$1:$J$1,0)))</f>
        <v/>
      </c>
      <c r="D478" s="70">
        <f>IF(H478=0,wdct(TRIM(C478)),0)</f>
        <v>0</v>
      </c>
      <c r="E478" s="70">
        <f>COUNTIFS('Error Log'!$A:$A,$A478,'Error Log'!$J:$J,E$1)</f>
        <v>0</v>
      </c>
      <c r="F478" s="70">
        <f>COUNTIFS('Error Log'!$A:$A,$A478,'Error Log'!$J:$J,F$1)</f>
        <v>0</v>
      </c>
      <c r="G478" s="70">
        <f>COUNTIFS('Error Log'!$A:$A,$A478,'Error Log'!$J:$J,G$1)</f>
        <v>0</v>
      </c>
      <c r="H478" s="70">
        <f>COUNTIFS('Error Log'!$A:$A,$A478,'Error Log'!$F:$F,"Source")</f>
        <v>0</v>
      </c>
      <c r="I478" s="70">
        <f>COUNTIFS('Error Log'!$A:$A,$A478,'Error Log'!$F:$F,"Target")</f>
        <v>0</v>
      </c>
      <c r="J478" s="71">
        <f t="shared" si="7"/>
        <v>0</v>
      </c>
    </row>
    <row r="479" spans="1:10">
      <c r="A479" s="81"/>
      <c r="B479" s="70" t="str">
        <f>IF(ISBLANK(A479),"",INDEX('Error Log'!$A:$J,MATCH('Scores per segment'!$A479,'Error Log'!$A:$A,0),MATCH('Scores per segment'!B$1,'Error Log'!$A$1:$J$1,0)))</f>
        <v/>
      </c>
      <c r="C479" s="70" t="str">
        <f>IF(ISBLANK(A479),"",INDEX('Error Log'!$A:$J,MATCH('Scores per segment'!$A479,'Error Log'!$A:$A,0),MATCH('Scores per segment'!C$1,'Error Log'!$A$1:$J$1,0)))</f>
        <v/>
      </c>
      <c r="D479" s="70">
        <f>IF(H479=0,wdct(TRIM(C479)),0)</f>
        <v>0</v>
      </c>
      <c r="E479" s="70">
        <f>COUNTIFS('Error Log'!$A:$A,$A479,'Error Log'!$J:$J,E$1)</f>
        <v>0</v>
      </c>
      <c r="F479" s="70">
        <f>COUNTIFS('Error Log'!$A:$A,$A479,'Error Log'!$J:$J,F$1)</f>
        <v>0</v>
      </c>
      <c r="G479" s="70">
        <f>COUNTIFS('Error Log'!$A:$A,$A479,'Error Log'!$J:$J,G$1)</f>
        <v>0</v>
      </c>
      <c r="H479" s="70">
        <f>COUNTIFS('Error Log'!$A:$A,$A479,'Error Log'!$F:$F,"Source")</f>
        <v>0</v>
      </c>
      <c r="I479" s="70">
        <f>COUNTIFS('Error Log'!$A:$A,$A479,'Error Log'!$F:$F,"Target")</f>
        <v>0</v>
      </c>
      <c r="J479" s="71">
        <f t="shared" si="7"/>
        <v>0</v>
      </c>
    </row>
    <row r="480" spans="1:10">
      <c r="A480" s="81"/>
      <c r="B480" s="70" t="str">
        <f>IF(ISBLANK(A480),"",INDEX('Error Log'!$A:$J,MATCH('Scores per segment'!$A480,'Error Log'!$A:$A,0),MATCH('Scores per segment'!B$1,'Error Log'!$A$1:$J$1,0)))</f>
        <v/>
      </c>
      <c r="C480" s="70" t="str">
        <f>IF(ISBLANK(A480),"",INDEX('Error Log'!$A:$J,MATCH('Scores per segment'!$A480,'Error Log'!$A:$A,0),MATCH('Scores per segment'!C$1,'Error Log'!$A$1:$J$1,0)))</f>
        <v/>
      </c>
      <c r="D480" s="70">
        <f>IF(H480=0,wdct(TRIM(C480)),0)</f>
        <v>0</v>
      </c>
      <c r="E480" s="70">
        <f>COUNTIFS('Error Log'!$A:$A,$A480,'Error Log'!$J:$J,E$1)</f>
        <v>0</v>
      </c>
      <c r="F480" s="70">
        <f>COUNTIFS('Error Log'!$A:$A,$A480,'Error Log'!$J:$J,F$1)</f>
        <v>0</v>
      </c>
      <c r="G480" s="70">
        <f>COUNTIFS('Error Log'!$A:$A,$A480,'Error Log'!$J:$J,G$1)</f>
        <v>0</v>
      </c>
      <c r="H480" s="70">
        <f>COUNTIFS('Error Log'!$A:$A,$A480,'Error Log'!$F:$F,"Source")</f>
        <v>0</v>
      </c>
      <c r="I480" s="70">
        <f>COUNTIFS('Error Log'!$A:$A,$A480,'Error Log'!$F:$F,"Target")</f>
        <v>0</v>
      </c>
      <c r="J480" s="71">
        <f t="shared" si="7"/>
        <v>0</v>
      </c>
    </row>
    <row r="481" spans="1:10">
      <c r="A481" s="81"/>
      <c r="B481" s="70" t="str">
        <f>IF(ISBLANK(A481),"",INDEX('Error Log'!$A:$J,MATCH('Scores per segment'!$A481,'Error Log'!$A:$A,0),MATCH('Scores per segment'!B$1,'Error Log'!$A$1:$J$1,0)))</f>
        <v/>
      </c>
      <c r="C481" s="70" t="str">
        <f>IF(ISBLANK(A481),"",INDEX('Error Log'!$A:$J,MATCH('Scores per segment'!$A481,'Error Log'!$A:$A,0),MATCH('Scores per segment'!C$1,'Error Log'!$A$1:$J$1,0)))</f>
        <v/>
      </c>
      <c r="D481" s="70">
        <f>IF(H481=0,wdct(TRIM(C481)),0)</f>
        <v>0</v>
      </c>
      <c r="E481" s="70">
        <f>COUNTIFS('Error Log'!$A:$A,$A481,'Error Log'!$J:$J,E$1)</f>
        <v>0</v>
      </c>
      <c r="F481" s="70">
        <f>COUNTIFS('Error Log'!$A:$A,$A481,'Error Log'!$J:$J,F$1)</f>
        <v>0</v>
      </c>
      <c r="G481" s="70">
        <f>COUNTIFS('Error Log'!$A:$A,$A481,'Error Log'!$J:$J,G$1)</f>
        <v>0</v>
      </c>
      <c r="H481" s="70">
        <f>COUNTIFS('Error Log'!$A:$A,$A481,'Error Log'!$F:$F,"Source")</f>
        <v>0</v>
      </c>
      <c r="I481" s="70">
        <f>COUNTIFS('Error Log'!$A:$A,$A481,'Error Log'!$F:$F,"Target")</f>
        <v>0</v>
      </c>
      <c r="J481" s="71">
        <f t="shared" si="7"/>
        <v>0</v>
      </c>
    </row>
    <row r="482" spans="1:10">
      <c r="A482" s="81"/>
      <c r="B482" s="70" t="str">
        <f>IF(ISBLANK(A482),"",INDEX('Error Log'!$A:$J,MATCH('Scores per segment'!$A482,'Error Log'!$A:$A,0),MATCH('Scores per segment'!B$1,'Error Log'!$A$1:$J$1,0)))</f>
        <v/>
      </c>
      <c r="C482" s="70" t="str">
        <f>IF(ISBLANK(A482),"",INDEX('Error Log'!$A:$J,MATCH('Scores per segment'!$A482,'Error Log'!$A:$A,0),MATCH('Scores per segment'!C$1,'Error Log'!$A$1:$J$1,0)))</f>
        <v/>
      </c>
      <c r="D482" s="70">
        <f>IF(H482=0,wdct(TRIM(C482)),0)</f>
        <v>0</v>
      </c>
      <c r="E482" s="70">
        <f>COUNTIFS('Error Log'!$A:$A,$A482,'Error Log'!$J:$J,E$1)</f>
        <v>0</v>
      </c>
      <c r="F482" s="70">
        <f>COUNTIFS('Error Log'!$A:$A,$A482,'Error Log'!$J:$J,F$1)</f>
        <v>0</v>
      </c>
      <c r="G482" s="70">
        <f>COUNTIFS('Error Log'!$A:$A,$A482,'Error Log'!$J:$J,G$1)</f>
        <v>0</v>
      </c>
      <c r="H482" s="70">
        <f>COUNTIFS('Error Log'!$A:$A,$A482,'Error Log'!$F:$F,"Source")</f>
        <v>0</v>
      </c>
      <c r="I482" s="70">
        <f>COUNTIFS('Error Log'!$A:$A,$A482,'Error Log'!$F:$F,"Target")</f>
        <v>0</v>
      </c>
      <c r="J482" s="71">
        <f t="shared" si="7"/>
        <v>0</v>
      </c>
    </row>
    <row r="483" spans="1:10">
      <c r="A483" s="81"/>
      <c r="B483" s="70" t="str">
        <f>IF(ISBLANK(A483),"",INDEX('Error Log'!$A:$J,MATCH('Scores per segment'!$A483,'Error Log'!$A:$A,0),MATCH('Scores per segment'!B$1,'Error Log'!$A$1:$J$1,0)))</f>
        <v/>
      </c>
      <c r="C483" s="70" t="str">
        <f>IF(ISBLANK(A483),"",INDEX('Error Log'!$A:$J,MATCH('Scores per segment'!$A483,'Error Log'!$A:$A,0),MATCH('Scores per segment'!C$1,'Error Log'!$A$1:$J$1,0)))</f>
        <v/>
      </c>
      <c r="D483" s="70">
        <f>IF(H483=0,wdct(TRIM(C483)),0)</f>
        <v>0</v>
      </c>
      <c r="E483" s="70">
        <f>COUNTIFS('Error Log'!$A:$A,$A483,'Error Log'!$J:$J,E$1)</f>
        <v>0</v>
      </c>
      <c r="F483" s="70">
        <f>COUNTIFS('Error Log'!$A:$A,$A483,'Error Log'!$J:$J,F$1)</f>
        <v>0</v>
      </c>
      <c r="G483" s="70">
        <f>COUNTIFS('Error Log'!$A:$A,$A483,'Error Log'!$J:$J,G$1)</f>
        <v>0</v>
      </c>
      <c r="H483" s="70">
        <f>COUNTIFS('Error Log'!$A:$A,$A483,'Error Log'!$F:$F,"Source")</f>
        <v>0</v>
      </c>
      <c r="I483" s="70">
        <f>COUNTIFS('Error Log'!$A:$A,$A483,'Error Log'!$F:$F,"Target")</f>
        <v>0</v>
      </c>
      <c r="J483" s="71">
        <f t="shared" si="7"/>
        <v>0</v>
      </c>
    </row>
    <row r="484" spans="1:10">
      <c r="A484" s="81"/>
      <c r="B484" s="70" t="str">
        <f>IF(ISBLANK(A484),"",INDEX('Error Log'!$A:$J,MATCH('Scores per segment'!$A484,'Error Log'!$A:$A,0),MATCH('Scores per segment'!B$1,'Error Log'!$A$1:$J$1,0)))</f>
        <v/>
      </c>
      <c r="C484" s="70" t="str">
        <f>IF(ISBLANK(A484),"",INDEX('Error Log'!$A:$J,MATCH('Scores per segment'!$A484,'Error Log'!$A:$A,0),MATCH('Scores per segment'!C$1,'Error Log'!$A$1:$J$1,0)))</f>
        <v/>
      </c>
      <c r="D484" s="70">
        <f>IF(H484=0,wdct(TRIM(C484)),0)</f>
        <v>0</v>
      </c>
      <c r="E484" s="70">
        <f>COUNTIFS('Error Log'!$A:$A,$A484,'Error Log'!$J:$J,E$1)</f>
        <v>0</v>
      </c>
      <c r="F484" s="70">
        <f>COUNTIFS('Error Log'!$A:$A,$A484,'Error Log'!$J:$J,F$1)</f>
        <v>0</v>
      </c>
      <c r="G484" s="70">
        <f>COUNTIFS('Error Log'!$A:$A,$A484,'Error Log'!$J:$J,G$1)</f>
        <v>0</v>
      </c>
      <c r="H484" s="70">
        <f>COUNTIFS('Error Log'!$A:$A,$A484,'Error Log'!$F:$F,"Source")</f>
        <v>0</v>
      </c>
      <c r="I484" s="70">
        <f>COUNTIFS('Error Log'!$A:$A,$A484,'Error Log'!$F:$F,"Target")</f>
        <v>0</v>
      </c>
      <c r="J484" s="71">
        <f t="shared" si="7"/>
        <v>0</v>
      </c>
    </row>
    <row r="485" spans="1:10">
      <c r="A485" s="81"/>
      <c r="B485" s="70" t="str">
        <f>IF(ISBLANK(A485),"",INDEX('Error Log'!$A:$J,MATCH('Scores per segment'!$A485,'Error Log'!$A:$A,0),MATCH('Scores per segment'!B$1,'Error Log'!$A$1:$J$1,0)))</f>
        <v/>
      </c>
      <c r="C485" s="70" t="str">
        <f>IF(ISBLANK(A485),"",INDEX('Error Log'!$A:$J,MATCH('Scores per segment'!$A485,'Error Log'!$A:$A,0),MATCH('Scores per segment'!C$1,'Error Log'!$A$1:$J$1,0)))</f>
        <v/>
      </c>
      <c r="D485" s="70">
        <f>IF(H485=0,wdct(TRIM(C485)),0)</f>
        <v>0</v>
      </c>
      <c r="E485" s="70">
        <f>COUNTIFS('Error Log'!$A:$A,$A485,'Error Log'!$J:$J,E$1)</f>
        <v>0</v>
      </c>
      <c r="F485" s="70">
        <f>COUNTIFS('Error Log'!$A:$A,$A485,'Error Log'!$J:$J,F$1)</f>
        <v>0</v>
      </c>
      <c r="G485" s="70">
        <f>COUNTIFS('Error Log'!$A:$A,$A485,'Error Log'!$J:$J,G$1)</f>
        <v>0</v>
      </c>
      <c r="H485" s="70">
        <f>COUNTIFS('Error Log'!$A:$A,$A485,'Error Log'!$F:$F,"Source")</f>
        <v>0</v>
      </c>
      <c r="I485" s="70">
        <f>COUNTIFS('Error Log'!$A:$A,$A485,'Error Log'!$F:$F,"Target")</f>
        <v>0</v>
      </c>
      <c r="J485" s="71">
        <f t="shared" si="7"/>
        <v>0</v>
      </c>
    </row>
    <row r="486" spans="1:10">
      <c r="A486" s="81"/>
      <c r="B486" s="70" t="str">
        <f>IF(ISBLANK(A486),"",INDEX('Error Log'!$A:$J,MATCH('Scores per segment'!$A486,'Error Log'!$A:$A,0),MATCH('Scores per segment'!B$1,'Error Log'!$A$1:$J$1,0)))</f>
        <v/>
      </c>
      <c r="C486" s="70" t="str">
        <f>IF(ISBLANK(A486),"",INDEX('Error Log'!$A:$J,MATCH('Scores per segment'!$A486,'Error Log'!$A:$A,0),MATCH('Scores per segment'!C$1,'Error Log'!$A$1:$J$1,0)))</f>
        <v/>
      </c>
      <c r="D486" s="70">
        <f>IF(H486=0,wdct(TRIM(C486)),0)</f>
        <v>0</v>
      </c>
      <c r="E486" s="70">
        <f>COUNTIFS('Error Log'!$A:$A,$A486,'Error Log'!$J:$J,E$1)</f>
        <v>0</v>
      </c>
      <c r="F486" s="70">
        <f>COUNTIFS('Error Log'!$A:$A,$A486,'Error Log'!$J:$J,F$1)</f>
        <v>0</v>
      </c>
      <c r="G486" s="70">
        <f>COUNTIFS('Error Log'!$A:$A,$A486,'Error Log'!$J:$J,G$1)</f>
        <v>0</v>
      </c>
      <c r="H486" s="70">
        <f>COUNTIFS('Error Log'!$A:$A,$A486,'Error Log'!$F:$F,"Source")</f>
        <v>0</v>
      </c>
      <c r="I486" s="70">
        <f>COUNTIFS('Error Log'!$A:$A,$A486,'Error Log'!$F:$F,"Target")</f>
        <v>0</v>
      </c>
      <c r="J486" s="71">
        <f t="shared" si="7"/>
        <v>0</v>
      </c>
    </row>
    <row r="487" spans="1:10">
      <c r="A487" s="81"/>
      <c r="B487" s="70" t="str">
        <f>IF(ISBLANK(A487),"",INDEX('Error Log'!$A:$J,MATCH('Scores per segment'!$A487,'Error Log'!$A:$A,0),MATCH('Scores per segment'!B$1,'Error Log'!$A$1:$J$1,0)))</f>
        <v/>
      </c>
      <c r="C487" s="70" t="str">
        <f>IF(ISBLANK(A487),"",INDEX('Error Log'!$A:$J,MATCH('Scores per segment'!$A487,'Error Log'!$A:$A,0),MATCH('Scores per segment'!C$1,'Error Log'!$A$1:$J$1,0)))</f>
        <v/>
      </c>
      <c r="D487" s="70">
        <f>IF(H487=0,wdct(TRIM(C487)),0)</f>
        <v>0</v>
      </c>
      <c r="E487" s="70">
        <f>COUNTIFS('Error Log'!$A:$A,$A487,'Error Log'!$J:$J,E$1)</f>
        <v>0</v>
      </c>
      <c r="F487" s="70">
        <f>COUNTIFS('Error Log'!$A:$A,$A487,'Error Log'!$J:$J,F$1)</f>
        <v>0</v>
      </c>
      <c r="G487" s="70">
        <f>COUNTIFS('Error Log'!$A:$A,$A487,'Error Log'!$J:$J,G$1)</f>
        <v>0</v>
      </c>
      <c r="H487" s="70">
        <f>COUNTIFS('Error Log'!$A:$A,$A487,'Error Log'!$F:$F,"Source")</f>
        <v>0</v>
      </c>
      <c r="I487" s="70">
        <f>COUNTIFS('Error Log'!$A:$A,$A487,'Error Log'!$F:$F,"Target")</f>
        <v>0</v>
      </c>
      <c r="J487" s="71">
        <f t="shared" si="7"/>
        <v>0</v>
      </c>
    </row>
    <row r="488" spans="1:10">
      <c r="A488" s="81"/>
      <c r="B488" s="70" t="str">
        <f>IF(ISBLANK(A488),"",INDEX('Error Log'!$A:$J,MATCH('Scores per segment'!$A488,'Error Log'!$A:$A,0),MATCH('Scores per segment'!B$1,'Error Log'!$A$1:$J$1,0)))</f>
        <v/>
      </c>
      <c r="C488" s="70" t="str">
        <f>IF(ISBLANK(A488),"",INDEX('Error Log'!$A:$J,MATCH('Scores per segment'!$A488,'Error Log'!$A:$A,0),MATCH('Scores per segment'!C$1,'Error Log'!$A$1:$J$1,0)))</f>
        <v/>
      </c>
      <c r="D488" s="70">
        <f>IF(H488=0,wdct(TRIM(C488)),0)</f>
        <v>0</v>
      </c>
      <c r="E488" s="70">
        <f>COUNTIFS('Error Log'!$A:$A,$A488,'Error Log'!$J:$J,E$1)</f>
        <v>0</v>
      </c>
      <c r="F488" s="70">
        <f>COUNTIFS('Error Log'!$A:$A,$A488,'Error Log'!$J:$J,F$1)</f>
        <v>0</v>
      </c>
      <c r="G488" s="70">
        <f>COUNTIFS('Error Log'!$A:$A,$A488,'Error Log'!$J:$J,G$1)</f>
        <v>0</v>
      </c>
      <c r="H488" s="70">
        <f>COUNTIFS('Error Log'!$A:$A,$A488,'Error Log'!$F:$F,"Source")</f>
        <v>0</v>
      </c>
      <c r="I488" s="70">
        <f>COUNTIFS('Error Log'!$A:$A,$A488,'Error Log'!$F:$F,"Target")</f>
        <v>0</v>
      </c>
      <c r="J488" s="71">
        <f t="shared" si="7"/>
        <v>0</v>
      </c>
    </row>
    <row r="489" spans="1:10">
      <c r="A489" s="81"/>
      <c r="B489" s="70" t="str">
        <f>IF(ISBLANK(A489),"",INDEX('Error Log'!$A:$J,MATCH('Scores per segment'!$A489,'Error Log'!$A:$A,0),MATCH('Scores per segment'!B$1,'Error Log'!$A$1:$J$1,0)))</f>
        <v/>
      </c>
      <c r="C489" s="70" t="str">
        <f>IF(ISBLANK(A489),"",INDEX('Error Log'!$A:$J,MATCH('Scores per segment'!$A489,'Error Log'!$A:$A,0),MATCH('Scores per segment'!C$1,'Error Log'!$A$1:$J$1,0)))</f>
        <v/>
      </c>
      <c r="D489" s="70">
        <f>IF(H489=0,wdct(TRIM(C489)),0)</f>
        <v>0</v>
      </c>
      <c r="E489" s="70">
        <f>COUNTIFS('Error Log'!$A:$A,$A489,'Error Log'!$J:$J,E$1)</f>
        <v>0</v>
      </c>
      <c r="F489" s="70">
        <f>COUNTIFS('Error Log'!$A:$A,$A489,'Error Log'!$J:$J,F$1)</f>
        <v>0</v>
      </c>
      <c r="G489" s="70">
        <f>COUNTIFS('Error Log'!$A:$A,$A489,'Error Log'!$J:$J,G$1)</f>
        <v>0</v>
      </c>
      <c r="H489" s="70">
        <f>COUNTIFS('Error Log'!$A:$A,$A489,'Error Log'!$F:$F,"Source")</f>
        <v>0</v>
      </c>
      <c r="I489" s="70">
        <f>COUNTIFS('Error Log'!$A:$A,$A489,'Error Log'!$F:$F,"Target")</f>
        <v>0</v>
      </c>
      <c r="J489" s="71">
        <f t="shared" si="7"/>
        <v>0</v>
      </c>
    </row>
    <row r="490" spans="1:10">
      <c r="A490" s="81"/>
      <c r="B490" s="70" t="str">
        <f>IF(ISBLANK(A490),"",INDEX('Error Log'!$A:$J,MATCH('Scores per segment'!$A490,'Error Log'!$A:$A,0),MATCH('Scores per segment'!B$1,'Error Log'!$A$1:$J$1,0)))</f>
        <v/>
      </c>
      <c r="C490" s="70" t="str">
        <f>IF(ISBLANK(A490),"",INDEX('Error Log'!$A:$J,MATCH('Scores per segment'!$A490,'Error Log'!$A:$A,0),MATCH('Scores per segment'!C$1,'Error Log'!$A$1:$J$1,0)))</f>
        <v/>
      </c>
      <c r="D490" s="70">
        <f>IF(H490=0,wdct(TRIM(C490)),0)</f>
        <v>0</v>
      </c>
      <c r="E490" s="70">
        <f>COUNTIFS('Error Log'!$A:$A,$A490,'Error Log'!$J:$J,E$1)</f>
        <v>0</v>
      </c>
      <c r="F490" s="70">
        <f>COUNTIFS('Error Log'!$A:$A,$A490,'Error Log'!$J:$J,F$1)</f>
        <v>0</v>
      </c>
      <c r="G490" s="70">
        <f>COUNTIFS('Error Log'!$A:$A,$A490,'Error Log'!$J:$J,G$1)</f>
        <v>0</v>
      </c>
      <c r="H490" s="70">
        <f>COUNTIFS('Error Log'!$A:$A,$A490,'Error Log'!$F:$F,"Source")</f>
        <v>0</v>
      </c>
      <c r="I490" s="70">
        <f>COUNTIFS('Error Log'!$A:$A,$A490,'Error Log'!$F:$F,"Target")</f>
        <v>0</v>
      </c>
      <c r="J490" s="71">
        <f t="shared" si="7"/>
        <v>0</v>
      </c>
    </row>
    <row r="491" spans="1:10">
      <c r="A491" s="81"/>
      <c r="B491" s="70" t="str">
        <f>IF(ISBLANK(A491),"",INDEX('Error Log'!$A:$J,MATCH('Scores per segment'!$A491,'Error Log'!$A:$A,0),MATCH('Scores per segment'!B$1,'Error Log'!$A$1:$J$1,0)))</f>
        <v/>
      </c>
      <c r="C491" s="70" t="str">
        <f>IF(ISBLANK(A491),"",INDEX('Error Log'!$A:$J,MATCH('Scores per segment'!$A491,'Error Log'!$A:$A,0),MATCH('Scores per segment'!C$1,'Error Log'!$A$1:$J$1,0)))</f>
        <v/>
      </c>
      <c r="D491" s="70">
        <f>IF(H491=0,wdct(TRIM(C491)),0)</f>
        <v>0</v>
      </c>
      <c r="E491" s="70">
        <f>COUNTIFS('Error Log'!$A:$A,$A491,'Error Log'!$J:$J,E$1)</f>
        <v>0</v>
      </c>
      <c r="F491" s="70">
        <f>COUNTIFS('Error Log'!$A:$A,$A491,'Error Log'!$J:$J,F$1)</f>
        <v>0</v>
      </c>
      <c r="G491" s="70">
        <f>COUNTIFS('Error Log'!$A:$A,$A491,'Error Log'!$J:$J,G$1)</f>
        <v>0</v>
      </c>
      <c r="H491" s="70">
        <f>COUNTIFS('Error Log'!$A:$A,$A491,'Error Log'!$F:$F,"Source")</f>
        <v>0</v>
      </c>
      <c r="I491" s="70">
        <f>COUNTIFS('Error Log'!$A:$A,$A491,'Error Log'!$F:$F,"Target")</f>
        <v>0</v>
      </c>
      <c r="J491" s="71">
        <f t="shared" si="7"/>
        <v>0</v>
      </c>
    </row>
    <row r="492" spans="1:10">
      <c r="A492" s="81"/>
      <c r="B492" s="70" t="str">
        <f>IF(ISBLANK(A492),"",INDEX('Error Log'!$A:$J,MATCH('Scores per segment'!$A492,'Error Log'!$A:$A,0),MATCH('Scores per segment'!B$1,'Error Log'!$A$1:$J$1,0)))</f>
        <v/>
      </c>
      <c r="C492" s="70" t="str">
        <f>IF(ISBLANK(A492),"",INDEX('Error Log'!$A:$J,MATCH('Scores per segment'!$A492,'Error Log'!$A:$A,0),MATCH('Scores per segment'!C$1,'Error Log'!$A$1:$J$1,0)))</f>
        <v/>
      </c>
      <c r="D492" s="70">
        <f>IF(H492=0,wdct(TRIM(C492)),0)</f>
        <v>0</v>
      </c>
      <c r="E492" s="70">
        <f>COUNTIFS('Error Log'!$A:$A,$A492,'Error Log'!$J:$J,E$1)</f>
        <v>0</v>
      </c>
      <c r="F492" s="70">
        <f>COUNTIFS('Error Log'!$A:$A,$A492,'Error Log'!$J:$J,F$1)</f>
        <v>0</v>
      </c>
      <c r="G492" s="70">
        <f>COUNTIFS('Error Log'!$A:$A,$A492,'Error Log'!$J:$J,G$1)</f>
        <v>0</v>
      </c>
      <c r="H492" s="70">
        <f>COUNTIFS('Error Log'!$A:$A,$A492,'Error Log'!$F:$F,"Source")</f>
        <v>0</v>
      </c>
      <c r="I492" s="70">
        <f>COUNTIFS('Error Log'!$A:$A,$A492,'Error Log'!$F:$F,"Target")</f>
        <v>0</v>
      </c>
      <c r="J492" s="71">
        <f t="shared" si="7"/>
        <v>0</v>
      </c>
    </row>
    <row r="493" spans="1:10">
      <c r="A493" s="81"/>
      <c r="B493" s="70" t="str">
        <f>IF(ISBLANK(A493),"",INDEX('Error Log'!$A:$J,MATCH('Scores per segment'!$A493,'Error Log'!$A:$A,0),MATCH('Scores per segment'!B$1,'Error Log'!$A$1:$J$1,0)))</f>
        <v/>
      </c>
      <c r="C493" s="70" t="str">
        <f>IF(ISBLANK(A493),"",INDEX('Error Log'!$A:$J,MATCH('Scores per segment'!$A493,'Error Log'!$A:$A,0),MATCH('Scores per segment'!C$1,'Error Log'!$A$1:$J$1,0)))</f>
        <v/>
      </c>
      <c r="D493" s="70">
        <f>IF(H493=0,wdct(TRIM(C493)),0)</f>
        <v>0</v>
      </c>
      <c r="E493" s="70">
        <f>COUNTIFS('Error Log'!$A:$A,$A493,'Error Log'!$J:$J,E$1)</f>
        <v>0</v>
      </c>
      <c r="F493" s="70">
        <f>COUNTIFS('Error Log'!$A:$A,$A493,'Error Log'!$J:$J,F$1)</f>
        <v>0</v>
      </c>
      <c r="G493" s="70">
        <f>COUNTIFS('Error Log'!$A:$A,$A493,'Error Log'!$J:$J,G$1)</f>
        <v>0</v>
      </c>
      <c r="H493" s="70">
        <f>COUNTIFS('Error Log'!$A:$A,$A493,'Error Log'!$F:$F,"Source")</f>
        <v>0</v>
      </c>
      <c r="I493" s="70">
        <f>COUNTIFS('Error Log'!$A:$A,$A493,'Error Log'!$F:$F,"Target")</f>
        <v>0</v>
      </c>
      <c r="J493" s="71">
        <f t="shared" si="7"/>
        <v>0</v>
      </c>
    </row>
    <row r="494" spans="1:10">
      <c r="A494" s="81"/>
      <c r="B494" s="70" t="str">
        <f>IF(ISBLANK(A494),"",INDEX('Error Log'!$A:$J,MATCH('Scores per segment'!$A494,'Error Log'!$A:$A,0),MATCH('Scores per segment'!B$1,'Error Log'!$A$1:$J$1,0)))</f>
        <v/>
      </c>
      <c r="C494" s="70" t="str">
        <f>IF(ISBLANK(A494),"",INDEX('Error Log'!$A:$J,MATCH('Scores per segment'!$A494,'Error Log'!$A:$A,0),MATCH('Scores per segment'!C$1,'Error Log'!$A$1:$J$1,0)))</f>
        <v/>
      </c>
      <c r="D494" s="70">
        <f>IF(H494=0,wdct(TRIM(C494)),0)</f>
        <v>0</v>
      </c>
      <c r="E494" s="70">
        <f>COUNTIFS('Error Log'!$A:$A,$A494,'Error Log'!$J:$J,E$1)</f>
        <v>0</v>
      </c>
      <c r="F494" s="70">
        <f>COUNTIFS('Error Log'!$A:$A,$A494,'Error Log'!$J:$J,F$1)</f>
        <v>0</v>
      </c>
      <c r="G494" s="70">
        <f>COUNTIFS('Error Log'!$A:$A,$A494,'Error Log'!$J:$J,G$1)</f>
        <v>0</v>
      </c>
      <c r="H494" s="70">
        <f>COUNTIFS('Error Log'!$A:$A,$A494,'Error Log'!$F:$F,"Source")</f>
        <v>0</v>
      </c>
      <c r="I494" s="70">
        <f>COUNTIFS('Error Log'!$A:$A,$A494,'Error Log'!$F:$F,"Target")</f>
        <v>0</v>
      </c>
      <c r="J494" s="71">
        <f t="shared" si="7"/>
        <v>0</v>
      </c>
    </row>
    <row r="495" spans="1:10">
      <c r="A495" s="81"/>
      <c r="B495" s="70" t="str">
        <f>IF(ISBLANK(A495),"",INDEX('Error Log'!$A:$J,MATCH('Scores per segment'!$A495,'Error Log'!$A:$A,0),MATCH('Scores per segment'!B$1,'Error Log'!$A$1:$J$1,0)))</f>
        <v/>
      </c>
      <c r="C495" s="70" t="str">
        <f>IF(ISBLANK(A495),"",INDEX('Error Log'!$A:$J,MATCH('Scores per segment'!$A495,'Error Log'!$A:$A,0),MATCH('Scores per segment'!C$1,'Error Log'!$A$1:$J$1,0)))</f>
        <v/>
      </c>
      <c r="D495" s="70">
        <f>IF(H495=0,wdct(TRIM(C495)),0)</f>
        <v>0</v>
      </c>
      <c r="E495" s="70">
        <f>COUNTIFS('Error Log'!$A:$A,$A495,'Error Log'!$J:$J,E$1)</f>
        <v>0</v>
      </c>
      <c r="F495" s="70">
        <f>COUNTIFS('Error Log'!$A:$A,$A495,'Error Log'!$J:$J,F$1)</f>
        <v>0</v>
      </c>
      <c r="G495" s="70">
        <f>COUNTIFS('Error Log'!$A:$A,$A495,'Error Log'!$J:$J,G$1)</f>
        <v>0</v>
      </c>
      <c r="H495" s="70">
        <f>COUNTIFS('Error Log'!$A:$A,$A495,'Error Log'!$F:$F,"Source")</f>
        <v>0</v>
      </c>
      <c r="I495" s="70">
        <f>COUNTIFS('Error Log'!$A:$A,$A495,'Error Log'!$F:$F,"Target")</f>
        <v>0</v>
      </c>
      <c r="J495" s="71">
        <f t="shared" si="7"/>
        <v>0</v>
      </c>
    </row>
    <row r="496" spans="1:10">
      <c r="A496" s="81"/>
      <c r="B496" s="70" t="str">
        <f>IF(ISBLANK(A496),"",INDEX('Error Log'!$A:$J,MATCH('Scores per segment'!$A496,'Error Log'!$A:$A,0),MATCH('Scores per segment'!B$1,'Error Log'!$A$1:$J$1,0)))</f>
        <v/>
      </c>
      <c r="C496" s="70" t="str">
        <f>IF(ISBLANK(A496),"",INDEX('Error Log'!$A:$J,MATCH('Scores per segment'!$A496,'Error Log'!$A:$A,0),MATCH('Scores per segment'!C$1,'Error Log'!$A$1:$J$1,0)))</f>
        <v/>
      </c>
      <c r="D496" s="70">
        <f>IF(H496=0,wdct(TRIM(C496)),0)</f>
        <v>0</v>
      </c>
      <c r="E496" s="70">
        <f>COUNTIFS('Error Log'!$A:$A,$A496,'Error Log'!$J:$J,E$1)</f>
        <v>0</v>
      </c>
      <c r="F496" s="70">
        <f>COUNTIFS('Error Log'!$A:$A,$A496,'Error Log'!$J:$J,F$1)</f>
        <v>0</v>
      </c>
      <c r="G496" s="70">
        <f>COUNTIFS('Error Log'!$A:$A,$A496,'Error Log'!$J:$J,G$1)</f>
        <v>0</v>
      </c>
      <c r="H496" s="70">
        <f>COUNTIFS('Error Log'!$A:$A,$A496,'Error Log'!$F:$F,"Source")</f>
        <v>0</v>
      </c>
      <c r="I496" s="70">
        <f>COUNTIFS('Error Log'!$A:$A,$A496,'Error Log'!$F:$F,"Target")</f>
        <v>0</v>
      </c>
      <c r="J496" s="71">
        <f t="shared" si="7"/>
        <v>0</v>
      </c>
    </row>
    <row r="497" spans="1:10">
      <c r="A497" s="81"/>
      <c r="B497" s="70" t="str">
        <f>IF(ISBLANK(A497),"",INDEX('Error Log'!$A:$J,MATCH('Scores per segment'!$A497,'Error Log'!$A:$A,0),MATCH('Scores per segment'!B$1,'Error Log'!$A$1:$J$1,0)))</f>
        <v/>
      </c>
      <c r="C497" s="70" t="str">
        <f>IF(ISBLANK(A497),"",INDEX('Error Log'!$A:$J,MATCH('Scores per segment'!$A497,'Error Log'!$A:$A,0),MATCH('Scores per segment'!C$1,'Error Log'!$A$1:$J$1,0)))</f>
        <v/>
      </c>
      <c r="D497" s="70">
        <f>IF(H497=0,wdct(TRIM(C497)),0)</f>
        <v>0</v>
      </c>
      <c r="E497" s="70">
        <f>COUNTIFS('Error Log'!$A:$A,$A497,'Error Log'!$J:$J,E$1)</f>
        <v>0</v>
      </c>
      <c r="F497" s="70">
        <f>COUNTIFS('Error Log'!$A:$A,$A497,'Error Log'!$J:$J,F$1)</f>
        <v>0</v>
      </c>
      <c r="G497" s="70">
        <f>COUNTIFS('Error Log'!$A:$A,$A497,'Error Log'!$J:$J,G$1)</f>
        <v>0</v>
      </c>
      <c r="H497" s="70">
        <f>COUNTIFS('Error Log'!$A:$A,$A497,'Error Log'!$F:$F,"Source")</f>
        <v>0</v>
      </c>
      <c r="I497" s="70">
        <f>COUNTIFS('Error Log'!$A:$A,$A497,'Error Log'!$F:$F,"Target")</f>
        <v>0</v>
      </c>
      <c r="J497" s="71">
        <f t="shared" si="7"/>
        <v>0</v>
      </c>
    </row>
    <row r="498" spans="1:10">
      <c r="A498" s="81"/>
      <c r="B498" s="70" t="str">
        <f>IF(ISBLANK(A498),"",INDEX('Error Log'!$A:$J,MATCH('Scores per segment'!$A498,'Error Log'!$A:$A,0),MATCH('Scores per segment'!B$1,'Error Log'!$A$1:$J$1,0)))</f>
        <v/>
      </c>
      <c r="C498" s="70" t="str">
        <f>IF(ISBLANK(A498),"",INDEX('Error Log'!$A:$J,MATCH('Scores per segment'!$A498,'Error Log'!$A:$A,0),MATCH('Scores per segment'!C$1,'Error Log'!$A$1:$J$1,0)))</f>
        <v/>
      </c>
      <c r="D498" s="70">
        <f>IF(H498=0,wdct(TRIM(C498)),0)</f>
        <v>0</v>
      </c>
      <c r="E498" s="70">
        <f>COUNTIFS('Error Log'!$A:$A,$A498,'Error Log'!$J:$J,E$1)</f>
        <v>0</v>
      </c>
      <c r="F498" s="70">
        <f>COUNTIFS('Error Log'!$A:$A,$A498,'Error Log'!$J:$J,F$1)</f>
        <v>0</v>
      </c>
      <c r="G498" s="70">
        <f>COUNTIFS('Error Log'!$A:$A,$A498,'Error Log'!$J:$J,G$1)</f>
        <v>0</v>
      </c>
      <c r="H498" s="70">
        <f>COUNTIFS('Error Log'!$A:$A,$A498,'Error Log'!$F:$F,"Source")</f>
        <v>0</v>
      </c>
      <c r="I498" s="70">
        <f>COUNTIFS('Error Log'!$A:$A,$A498,'Error Log'!$F:$F,"Target")</f>
        <v>0</v>
      </c>
      <c r="J498" s="71">
        <f t="shared" si="7"/>
        <v>0</v>
      </c>
    </row>
    <row r="499" spans="1:10">
      <c r="A499" s="81"/>
      <c r="B499" s="70" t="str">
        <f>IF(ISBLANK(A499),"",INDEX('Error Log'!$A:$J,MATCH('Scores per segment'!$A499,'Error Log'!$A:$A,0),MATCH('Scores per segment'!B$1,'Error Log'!$A$1:$J$1,0)))</f>
        <v/>
      </c>
      <c r="C499" s="70" t="str">
        <f>IF(ISBLANK(A499),"",INDEX('Error Log'!$A:$J,MATCH('Scores per segment'!$A499,'Error Log'!$A:$A,0),MATCH('Scores per segment'!C$1,'Error Log'!$A$1:$J$1,0)))</f>
        <v/>
      </c>
      <c r="D499" s="70">
        <f>IF(H499=0,wdct(TRIM(C499)),0)</f>
        <v>0</v>
      </c>
      <c r="E499" s="70">
        <f>COUNTIFS('Error Log'!$A:$A,$A499,'Error Log'!$J:$J,E$1)</f>
        <v>0</v>
      </c>
      <c r="F499" s="70">
        <f>COUNTIFS('Error Log'!$A:$A,$A499,'Error Log'!$J:$J,F$1)</f>
        <v>0</v>
      </c>
      <c r="G499" s="70">
        <f>COUNTIFS('Error Log'!$A:$A,$A499,'Error Log'!$J:$J,G$1)</f>
        <v>0</v>
      </c>
      <c r="H499" s="70">
        <f>COUNTIFS('Error Log'!$A:$A,$A499,'Error Log'!$F:$F,"Source")</f>
        <v>0</v>
      </c>
      <c r="I499" s="70">
        <f>COUNTIFS('Error Log'!$A:$A,$A499,'Error Log'!$F:$F,"Target")</f>
        <v>0</v>
      </c>
      <c r="J499" s="71">
        <f t="shared" si="7"/>
        <v>0</v>
      </c>
    </row>
    <row r="500" spans="1:10">
      <c r="A500" s="81"/>
      <c r="B500" s="70" t="str">
        <f>IF(ISBLANK(A500),"",INDEX('Error Log'!$A:$J,MATCH('Scores per segment'!$A500,'Error Log'!$A:$A,0),MATCH('Scores per segment'!B$1,'Error Log'!$A$1:$J$1,0)))</f>
        <v/>
      </c>
      <c r="C500" s="70" t="str">
        <f>IF(ISBLANK(A500),"",INDEX('Error Log'!$A:$J,MATCH('Scores per segment'!$A500,'Error Log'!$A:$A,0),MATCH('Scores per segment'!C$1,'Error Log'!$A$1:$J$1,0)))</f>
        <v/>
      </c>
      <c r="D500" s="70">
        <f>IF(H500=0,wdct(TRIM(C500)),0)</f>
        <v>0</v>
      </c>
      <c r="E500" s="70">
        <f>COUNTIFS('Error Log'!$A:$A,$A500,'Error Log'!$J:$J,E$1)</f>
        <v>0</v>
      </c>
      <c r="F500" s="70">
        <f>COUNTIFS('Error Log'!$A:$A,$A500,'Error Log'!$J:$J,F$1)</f>
        <v>0</v>
      </c>
      <c r="G500" s="70">
        <f>COUNTIFS('Error Log'!$A:$A,$A500,'Error Log'!$J:$J,G$1)</f>
        <v>0</v>
      </c>
      <c r="H500" s="70">
        <f>COUNTIFS('Error Log'!$A:$A,$A500,'Error Log'!$F:$F,"Source")</f>
        <v>0</v>
      </c>
      <c r="I500" s="70">
        <f>COUNTIFS('Error Log'!$A:$A,$A500,'Error Log'!$F:$F,"Target")</f>
        <v>0</v>
      </c>
      <c r="J500" s="71">
        <f t="shared" si="7"/>
        <v>0</v>
      </c>
    </row>
    <row r="501" spans="1:10">
      <c r="A501" s="81"/>
      <c r="B501" s="70" t="str">
        <f>IF(ISBLANK(A501),"",INDEX('Error Log'!$A:$J,MATCH('Scores per segment'!$A501,'Error Log'!$A:$A,0),MATCH('Scores per segment'!B$1,'Error Log'!$A$1:$J$1,0)))</f>
        <v/>
      </c>
      <c r="C501" s="70" t="str">
        <f>IF(ISBLANK(A501),"",INDEX('Error Log'!$A:$J,MATCH('Scores per segment'!$A501,'Error Log'!$A:$A,0),MATCH('Scores per segment'!C$1,'Error Log'!$A$1:$J$1,0)))</f>
        <v/>
      </c>
      <c r="D501" s="70">
        <f>IF(H501=0,wdct(TRIM(C501)),0)</f>
        <v>0</v>
      </c>
      <c r="E501" s="70">
        <f>COUNTIFS('Error Log'!$A:$A,$A501,'Error Log'!$J:$J,E$1)</f>
        <v>0</v>
      </c>
      <c r="F501" s="70">
        <f>COUNTIFS('Error Log'!$A:$A,$A501,'Error Log'!$J:$J,F$1)</f>
        <v>0</v>
      </c>
      <c r="G501" s="70">
        <f>COUNTIFS('Error Log'!$A:$A,$A501,'Error Log'!$J:$J,G$1)</f>
        <v>0</v>
      </c>
      <c r="H501" s="70">
        <f>COUNTIFS('Error Log'!$A:$A,$A501,'Error Log'!$F:$F,"Source")</f>
        <v>0</v>
      </c>
      <c r="I501" s="70">
        <f>COUNTIFS('Error Log'!$A:$A,$A501,'Error Log'!$F:$F,"Target")</f>
        <v>0</v>
      </c>
      <c r="J501" s="71">
        <f t="shared" si="7"/>
        <v>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57"/>
  <sheetViews>
    <sheetView tabSelected="1" zoomScaleNormal="100" workbookViewId="0">
      <pane ySplit="1" topLeftCell="A2" activePane="bottomLeft" state="frozen"/>
      <selection pane="bottomLeft" activeCell="C5" sqref="C5"/>
    </sheetView>
  </sheetViews>
  <sheetFormatPr defaultColWidth="9" defaultRowHeight="14.4"/>
  <cols>
    <col min="1" max="1" width="21.69921875" style="2" customWidth="1"/>
    <col min="2" max="2" width="30" style="2" customWidth="1"/>
    <col min="3" max="3" width="22.19921875" style="2" bestFit="1" customWidth="1"/>
    <col min="4" max="4" width="21.69921875" style="2" bestFit="1" customWidth="1"/>
    <col min="5" max="5" width="22.19921875" style="2" bestFit="1" customWidth="1"/>
    <col min="6" max="7" width="18.69921875" style="2" bestFit="1" customWidth="1"/>
    <col min="8" max="8" width="16.5" style="2" bestFit="1" customWidth="1"/>
    <col min="9" max="9" width="24.5" style="2" customWidth="1"/>
    <col min="10" max="10" width="13.69921875" style="2" customWidth="1"/>
    <col min="11" max="11" width="12.69921875" style="2" bestFit="1" customWidth="1"/>
    <col min="12" max="12" width="11.5" style="2" bestFit="1" customWidth="1"/>
    <col min="13" max="13" width="14" style="2" bestFit="1" customWidth="1"/>
    <col min="14" max="16384" width="9" style="72"/>
  </cols>
  <sheetData>
    <row r="1" spans="1:14">
      <c r="A1" s="108" t="s">
        <v>50</v>
      </c>
      <c r="B1" s="109"/>
      <c r="C1" s="109"/>
      <c r="D1" s="109"/>
      <c r="E1" s="109"/>
      <c r="F1" s="109"/>
      <c r="G1" s="109"/>
      <c r="H1" s="109"/>
      <c r="I1" s="109"/>
      <c r="J1" s="109"/>
      <c r="K1" s="109"/>
      <c r="L1" s="109"/>
      <c r="M1" s="110"/>
    </row>
    <row r="2" spans="1:14">
      <c r="A2" s="5" t="s">
        <v>31</v>
      </c>
      <c r="B2" s="5" t="s">
        <v>30</v>
      </c>
      <c r="C2" s="5" t="s">
        <v>54</v>
      </c>
      <c r="D2" s="5" t="s">
        <v>55</v>
      </c>
      <c r="E2" s="5" t="s">
        <v>56</v>
      </c>
      <c r="F2" s="5" t="s">
        <v>29</v>
      </c>
      <c r="G2" s="5" t="s">
        <v>27</v>
      </c>
      <c r="H2" s="5" t="s">
        <v>28</v>
      </c>
      <c r="I2" s="5" t="s">
        <v>58</v>
      </c>
      <c r="J2" s="5" t="s">
        <v>57</v>
      </c>
    </row>
    <row r="3" spans="1:14">
      <c r="A3" s="107" t="s">
        <v>21</v>
      </c>
      <c r="B3" s="4" t="s">
        <v>22</v>
      </c>
      <c r="C3" s="3" t="s">
        <v>25</v>
      </c>
      <c r="D3" s="3" t="s">
        <v>25</v>
      </c>
      <c r="E3" s="3" t="s">
        <v>25</v>
      </c>
      <c r="F3" s="3" t="s">
        <v>23</v>
      </c>
      <c r="G3" s="3" t="s">
        <v>23</v>
      </c>
      <c r="H3" s="3" t="s">
        <v>23</v>
      </c>
      <c r="I3" s="3" t="s">
        <v>59</v>
      </c>
      <c r="J3" s="3" t="s">
        <v>23</v>
      </c>
      <c r="N3" s="2"/>
    </row>
    <row r="4" spans="1:14">
      <c r="A4" s="107"/>
      <c r="B4" s="4" t="s">
        <v>7</v>
      </c>
      <c r="C4" s="3" t="s">
        <v>25</v>
      </c>
      <c r="D4" s="3" t="s">
        <v>25</v>
      </c>
      <c r="E4" s="3" t="s">
        <v>25</v>
      </c>
      <c r="F4" s="3" t="s">
        <v>60</v>
      </c>
      <c r="G4" s="3" t="s">
        <v>23</v>
      </c>
      <c r="H4" s="3" t="s">
        <v>23</v>
      </c>
      <c r="I4" s="3" t="s">
        <v>59</v>
      </c>
      <c r="J4" s="3" t="s">
        <v>60</v>
      </c>
      <c r="N4" s="2"/>
    </row>
    <row r="5" spans="1:14">
      <c r="A5" s="107"/>
      <c r="B5" s="4" t="s">
        <v>63</v>
      </c>
      <c r="C5" s="3" t="s">
        <v>25</v>
      </c>
      <c r="D5" s="3" t="s">
        <v>25</v>
      </c>
      <c r="E5" s="3" t="s">
        <v>25</v>
      </c>
      <c r="F5" s="3" t="s">
        <v>60</v>
      </c>
      <c r="G5" s="3" t="s">
        <v>60</v>
      </c>
      <c r="H5" s="3" t="s">
        <v>23</v>
      </c>
      <c r="I5" s="3" t="s">
        <v>59</v>
      </c>
      <c r="J5" s="3" t="s">
        <v>24</v>
      </c>
      <c r="N5" s="2"/>
    </row>
    <row r="6" spans="1:14">
      <c r="A6" s="107"/>
      <c r="B6" s="4" t="s">
        <v>64</v>
      </c>
      <c r="C6" s="3" t="s">
        <v>25</v>
      </c>
      <c r="D6" s="3" t="s">
        <v>25</v>
      </c>
      <c r="E6" s="3" t="s">
        <v>25</v>
      </c>
      <c r="F6" s="3" t="s">
        <v>25</v>
      </c>
      <c r="G6" s="3" t="s">
        <v>25</v>
      </c>
      <c r="H6" s="3" t="s">
        <v>25</v>
      </c>
      <c r="I6" s="3" t="s">
        <v>24</v>
      </c>
      <c r="J6" s="3" t="s">
        <v>24</v>
      </c>
      <c r="N6" s="2"/>
    </row>
    <row r="7" spans="1:14">
      <c r="A7" s="107"/>
      <c r="B7" s="4" t="s">
        <v>45</v>
      </c>
      <c r="C7" s="3" t="s">
        <v>24</v>
      </c>
      <c r="D7" s="3" t="s">
        <v>24</v>
      </c>
      <c r="E7" s="3" t="s">
        <v>25</v>
      </c>
      <c r="F7" s="3" t="s">
        <v>24</v>
      </c>
      <c r="G7" s="3" t="s">
        <v>24</v>
      </c>
      <c r="H7" s="3" t="s">
        <v>61</v>
      </c>
      <c r="I7" s="3" t="s">
        <v>24</v>
      </c>
      <c r="J7" s="3" t="s">
        <v>24</v>
      </c>
      <c r="N7" s="2"/>
    </row>
    <row r="8" spans="1:14">
      <c r="A8" s="107" t="s">
        <v>2</v>
      </c>
      <c r="B8" s="4" t="s">
        <v>65</v>
      </c>
      <c r="C8" s="3" t="s">
        <v>24</v>
      </c>
      <c r="D8" s="3" t="s">
        <v>24</v>
      </c>
      <c r="E8" s="3" t="s">
        <v>23</v>
      </c>
      <c r="F8" s="3" t="s">
        <v>24</v>
      </c>
      <c r="G8" s="3" t="s">
        <v>24</v>
      </c>
      <c r="H8" s="3" t="s">
        <v>23</v>
      </c>
      <c r="I8" s="3" t="s">
        <v>1</v>
      </c>
      <c r="J8" s="3" t="s">
        <v>24</v>
      </c>
      <c r="N8" s="2"/>
    </row>
    <row r="9" spans="1:14">
      <c r="A9" s="107"/>
      <c r="B9" s="4" t="s">
        <v>26</v>
      </c>
      <c r="C9" s="3" t="s">
        <v>23</v>
      </c>
      <c r="D9" s="3" t="s">
        <v>23</v>
      </c>
      <c r="E9" s="3" t="s">
        <v>23</v>
      </c>
      <c r="F9" s="3" t="s">
        <v>23</v>
      </c>
      <c r="G9" s="3" t="s">
        <v>23</v>
      </c>
      <c r="H9" s="3" t="s">
        <v>23</v>
      </c>
      <c r="I9" s="3" t="s">
        <v>59</v>
      </c>
      <c r="J9" s="3" t="s">
        <v>23</v>
      </c>
      <c r="N9" s="2"/>
    </row>
    <row r="10" spans="1:14">
      <c r="A10" s="107"/>
      <c r="B10" s="4" t="s">
        <v>66</v>
      </c>
      <c r="C10" s="3" t="s">
        <v>1</v>
      </c>
      <c r="D10" s="3" t="s">
        <v>1</v>
      </c>
      <c r="E10" s="3" t="s">
        <v>1</v>
      </c>
      <c r="F10" s="3" t="s">
        <v>1</v>
      </c>
      <c r="G10" s="3" t="s">
        <v>1</v>
      </c>
      <c r="H10" s="3" t="s">
        <v>1</v>
      </c>
      <c r="I10" s="3" t="s">
        <v>1</v>
      </c>
      <c r="J10" s="3" t="s">
        <v>24</v>
      </c>
      <c r="N10" s="2"/>
    </row>
    <row r="11" spans="1:14">
      <c r="A11" s="74"/>
      <c r="B11" s="74"/>
      <c r="C11" s="75"/>
      <c r="D11" s="75"/>
      <c r="E11" s="75"/>
      <c r="F11" s="75"/>
      <c r="G11" s="75"/>
      <c r="H11" s="75"/>
      <c r="N11" s="2"/>
    </row>
    <row r="13" spans="1:14">
      <c r="A13" s="9" t="s">
        <v>31</v>
      </c>
      <c r="B13" s="8" t="s">
        <v>21</v>
      </c>
      <c r="C13" s="8" t="s">
        <v>2</v>
      </c>
    </row>
    <row r="14" spans="1:14">
      <c r="A14" s="7" t="s">
        <v>21</v>
      </c>
      <c r="B14" s="10" t="s">
        <v>22</v>
      </c>
      <c r="C14" s="10" t="s">
        <v>65</v>
      </c>
    </row>
    <row r="15" spans="1:14">
      <c r="A15" s="7" t="s">
        <v>2</v>
      </c>
      <c r="B15" s="10" t="s">
        <v>7</v>
      </c>
      <c r="C15" s="10" t="s">
        <v>26</v>
      </c>
    </row>
    <row r="16" spans="1:14">
      <c r="A16" s="7"/>
      <c r="B16" s="10" t="s">
        <v>63</v>
      </c>
      <c r="C16" s="10" t="s">
        <v>66</v>
      </c>
    </row>
    <row r="17" spans="1:5">
      <c r="A17" s="7"/>
      <c r="B17" s="10" t="s">
        <v>64</v>
      </c>
      <c r="C17" s="10"/>
      <c r="D17" s="6"/>
    </row>
    <row r="18" spans="1:5">
      <c r="B18" s="10" t="s">
        <v>45</v>
      </c>
      <c r="C18" s="10"/>
      <c r="D18" s="6"/>
    </row>
    <row r="19" spans="1:5">
      <c r="B19" s="6"/>
      <c r="C19" s="6"/>
      <c r="D19" s="6"/>
    </row>
    <row r="20" spans="1:5">
      <c r="A20" s="6"/>
      <c r="B20" s="6"/>
      <c r="C20" s="6"/>
      <c r="D20" s="6"/>
    </row>
    <row r="21" spans="1:5">
      <c r="A21" s="6"/>
      <c r="B21" s="6"/>
      <c r="D21" s="6"/>
    </row>
    <row r="24" spans="1:5">
      <c r="A24" s="8" t="s">
        <v>21</v>
      </c>
      <c r="B24" s="8" t="s">
        <v>21</v>
      </c>
      <c r="C24" s="8" t="s">
        <v>21</v>
      </c>
      <c r="D24" s="8" t="s">
        <v>21</v>
      </c>
      <c r="E24" s="8" t="s">
        <v>21</v>
      </c>
    </row>
    <row r="25" spans="1:5">
      <c r="A25" s="8" t="s">
        <v>22</v>
      </c>
      <c r="B25" s="8" t="s">
        <v>7</v>
      </c>
      <c r="C25" s="8" t="s">
        <v>63</v>
      </c>
      <c r="D25" s="8" t="s">
        <v>64</v>
      </c>
      <c r="E25" s="8" t="s">
        <v>45</v>
      </c>
    </row>
    <row r="26" spans="1:5">
      <c r="A26" s="11" t="s">
        <v>54</v>
      </c>
      <c r="B26" s="11" t="s">
        <v>54</v>
      </c>
      <c r="C26" s="11" t="s">
        <v>54</v>
      </c>
      <c r="D26" s="11" t="s">
        <v>54</v>
      </c>
      <c r="E26" s="11" t="s">
        <v>56</v>
      </c>
    </row>
    <row r="27" spans="1:5">
      <c r="A27" s="11" t="s">
        <v>55</v>
      </c>
      <c r="B27" s="11" t="s">
        <v>55</v>
      </c>
      <c r="C27" s="11" t="s">
        <v>55</v>
      </c>
      <c r="D27" s="11" t="s">
        <v>55</v>
      </c>
      <c r="E27" s="11" t="s">
        <v>28</v>
      </c>
    </row>
    <row r="28" spans="1:5">
      <c r="A28" s="11" t="s">
        <v>56</v>
      </c>
      <c r="B28" s="11" t="s">
        <v>56</v>
      </c>
      <c r="C28" s="11" t="s">
        <v>56</v>
      </c>
      <c r="D28" s="11" t="s">
        <v>56</v>
      </c>
    </row>
    <row r="29" spans="1:5">
      <c r="A29" s="11" t="s">
        <v>29</v>
      </c>
      <c r="B29" s="11" t="s">
        <v>29</v>
      </c>
      <c r="C29" s="11" t="s">
        <v>29</v>
      </c>
      <c r="D29" s="11" t="s">
        <v>29</v>
      </c>
    </row>
    <row r="30" spans="1:5">
      <c r="A30" s="11" t="s">
        <v>27</v>
      </c>
      <c r="B30" s="11" t="s">
        <v>27</v>
      </c>
      <c r="C30" s="11" t="s">
        <v>27</v>
      </c>
      <c r="D30" s="11" t="s">
        <v>27</v>
      </c>
    </row>
    <row r="31" spans="1:5">
      <c r="A31" s="11" t="s">
        <v>28</v>
      </c>
      <c r="B31" s="11" t="s">
        <v>28</v>
      </c>
      <c r="C31" s="11" t="s">
        <v>28</v>
      </c>
      <c r="D31" s="11" t="s">
        <v>28</v>
      </c>
    </row>
    <row r="32" spans="1:5">
      <c r="A32" s="11" t="s">
        <v>58</v>
      </c>
      <c r="B32" s="11" t="s">
        <v>58</v>
      </c>
      <c r="C32" s="11" t="s">
        <v>58</v>
      </c>
      <c r="D32" s="11"/>
    </row>
    <row r="33" spans="1:13">
      <c r="A33" s="11" t="s">
        <v>57</v>
      </c>
      <c r="B33" s="11" t="s">
        <v>57</v>
      </c>
      <c r="C33" s="72"/>
    </row>
    <row r="34" spans="1:13">
      <c r="A34" s="72"/>
      <c r="B34" s="72"/>
      <c r="C34" s="72"/>
    </row>
    <row r="35" spans="1:13">
      <c r="A35" s="72"/>
      <c r="B35" s="72"/>
      <c r="C35" s="72"/>
    </row>
    <row r="36" spans="1:13">
      <c r="A36" s="72"/>
      <c r="B36" s="72"/>
      <c r="C36" s="76"/>
    </row>
    <row r="37" spans="1:13">
      <c r="A37" s="76"/>
      <c r="E37" s="76"/>
    </row>
    <row r="39" spans="1:13">
      <c r="A39" s="8" t="s">
        <v>2</v>
      </c>
      <c r="B39" s="8" t="s">
        <v>2</v>
      </c>
      <c r="C39" s="8" t="s">
        <v>2</v>
      </c>
      <c r="M39" s="72"/>
    </row>
    <row r="40" spans="1:13">
      <c r="A40" s="8" t="s">
        <v>65</v>
      </c>
      <c r="B40" s="8" t="s">
        <v>26</v>
      </c>
      <c r="C40" s="8" t="s">
        <v>67</v>
      </c>
      <c r="M40" s="72"/>
    </row>
    <row r="41" spans="1:13">
      <c r="A41" s="11" t="s">
        <v>56</v>
      </c>
      <c r="B41" s="11" t="s">
        <v>54</v>
      </c>
      <c r="C41" s="11" t="s">
        <v>54</v>
      </c>
      <c r="M41" s="72"/>
    </row>
    <row r="42" spans="1:13">
      <c r="A42" s="11" t="s">
        <v>28</v>
      </c>
      <c r="B42" s="11" t="s">
        <v>55</v>
      </c>
      <c r="C42" s="11" t="s">
        <v>55</v>
      </c>
      <c r="M42" s="72"/>
    </row>
    <row r="43" spans="1:13">
      <c r="A43" s="11" t="s">
        <v>58</v>
      </c>
      <c r="B43" s="11" t="s">
        <v>56</v>
      </c>
      <c r="C43" s="11" t="s">
        <v>56</v>
      </c>
      <c r="M43" s="72"/>
    </row>
    <row r="44" spans="1:13">
      <c r="A44" s="11"/>
      <c r="B44" s="11" t="s">
        <v>29</v>
      </c>
      <c r="C44" s="11" t="s">
        <v>29</v>
      </c>
      <c r="M44" s="72"/>
    </row>
    <row r="45" spans="1:13">
      <c r="A45" s="11"/>
      <c r="B45" s="11" t="s">
        <v>27</v>
      </c>
      <c r="C45" s="11" t="s">
        <v>27</v>
      </c>
      <c r="M45" s="72"/>
    </row>
    <row r="46" spans="1:13">
      <c r="B46" s="11" t="s">
        <v>28</v>
      </c>
      <c r="C46" s="11" t="s">
        <v>28</v>
      </c>
      <c r="M46" s="72"/>
    </row>
    <row r="47" spans="1:13">
      <c r="B47" s="11" t="s">
        <v>58</v>
      </c>
      <c r="M47" s="72"/>
    </row>
    <row r="48" spans="1:13">
      <c r="B48" s="11" t="s">
        <v>57</v>
      </c>
    </row>
    <row r="51" spans="1:1">
      <c r="A51" s="76"/>
    </row>
    <row r="53" spans="1:1">
      <c r="A53" s="76"/>
    </row>
    <row r="55" spans="1:1">
      <c r="A55" s="76"/>
    </row>
    <row r="57" spans="1:1">
      <c r="A57" s="76"/>
    </row>
  </sheetData>
  <mergeCells count="3">
    <mergeCell ref="A8:A10"/>
    <mergeCell ref="A3:A7"/>
    <mergeCell ref="A1:M1"/>
  </mergeCells>
  <phoneticPr fontId="15" type="noConversion"/>
  <pageMargins left="0.7" right="0.7" top="0.75" bottom="0.75" header="0.3" footer="0.3"/>
  <pageSetup paperSize="9" orientation="portrait"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13</vt:i4>
      </vt:variant>
    </vt:vector>
  </HeadingPairs>
  <TitlesOfParts>
    <vt:vector size="17" baseType="lpstr">
      <vt:lpstr>ScoreCard</vt:lpstr>
      <vt:lpstr>Error Log</vt:lpstr>
      <vt:lpstr>Scores per segment</vt:lpstr>
      <vt:lpstr>Severity_Matrix</vt:lpstr>
      <vt:lpstr>Accuracy</vt:lpstr>
      <vt:lpstr>Addition</vt:lpstr>
      <vt:lpstr>Duplication</vt:lpstr>
      <vt:lpstr>Fluency</vt:lpstr>
      <vt:lpstr>Inaccuracy_external</vt:lpstr>
      <vt:lpstr>Inaccuracy_internal</vt:lpstr>
      <vt:lpstr>Inappropriate_Selection_of_Words</vt:lpstr>
      <vt:lpstr>Issue_Type</vt:lpstr>
      <vt:lpstr>Omission</vt:lpstr>
      <vt:lpstr>Positive_Negative_Aspect</vt:lpstr>
      <vt:lpstr>Spelling</vt:lpstr>
      <vt:lpstr>Word_From</vt:lpstr>
      <vt:lpstr>Word_Order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庵 怒</dc:creator>
  <cp:lastModifiedBy>hdd</cp:lastModifiedBy>
  <dcterms:created xsi:type="dcterms:W3CDTF">2016-06-07T12:18:19Z</dcterms:created>
  <dcterms:modified xsi:type="dcterms:W3CDTF">2020-11-27T09:14:01Z</dcterms:modified>
</cp:coreProperties>
</file>