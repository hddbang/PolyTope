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B37A2AEC-0E95-428C-B741-35D342C901F0}" xr6:coauthVersionLast="45" xr6:coauthVersionMax="45" xr10:uidLastSave="{00000000-0000-0000-0000-000000000000}"/>
  <bookViews>
    <workbookView xWindow="384" yWindow="384" windowWidth="21252" windowHeight="11184" tabRatio="868" activeTab="3" xr2:uid="{00000000-000D-0000-FFFF-FFFF00000000}"/>
  </bookViews>
  <sheets>
    <sheet name="ScoreCard" sheetId="18" r:id="rId1"/>
    <sheet name="Error Log" sheetId="14" r:id="rId2"/>
    <sheet name="Scores per segment" sheetId="21" r:id="rId3"/>
    <sheet name="Severity_Matrix" sheetId="19" r:id="rId4"/>
  </sheets>
  <functionGroups builtInGroupCount="19"/>
  <externalReferences>
    <externalReference r:id="rId5"/>
  </externalReferences>
  <definedNames>
    <definedName name="_xlnm._FilterDatabase" localSheetId="1" hidden="1">'Error Log'!$A$1:$L$584</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585" i="14" l="1"/>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545" i="14" l="1"/>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301" i="14" l="1"/>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2" i="14"/>
  <c r="H31" i="18" l="1"/>
  <c r="I35" i="18" l="1"/>
  <c r="I34" i="18"/>
  <c r="I33" i="18"/>
  <c r="H35" i="18"/>
  <c r="H34" i="18"/>
  <c r="H33" i="18"/>
  <c r="I32" i="18"/>
  <c r="H32" i="18"/>
  <c r="I31" i="18"/>
  <c r="I30" i="18"/>
  <c r="H30" i="18"/>
  <c r="H29" i="18"/>
  <c r="I29" i="18"/>
  <c r="I28" i="18"/>
  <c r="H28" i="18"/>
  <c r="D28" i="18"/>
  <c r="D31" i="18"/>
  <c r="E31" i="18"/>
  <c r="F31" i="18"/>
  <c r="G31" i="18"/>
  <c r="J31" i="18"/>
  <c r="K31" i="18"/>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195" i="21"/>
  <c r="D325" i="21"/>
  <c r="D17" i="21"/>
  <c r="D89" i="21"/>
  <c r="D206" i="21"/>
  <c r="D492" i="21"/>
  <c r="D400" i="21"/>
  <c r="D59" i="21"/>
  <c r="D235" i="21"/>
  <c r="D432" i="21"/>
  <c r="D169" i="21"/>
  <c r="D72" i="21"/>
  <c r="D193" i="21"/>
  <c r="D157" i="21"/>
  <c r="D328" i="21"/>
  <c r="D472" i="21"/>
  <c r="D73" i="21"/>
  <c r="D280" i="21"/>
  <c r="D439" i="21"/>
  <c r="D413" i="21"/>
  <c r="D385" i="21"/>
  <c r="D369" i="21"/>
  <c r="D54" i="21"/>
  <c r="D151" i="21"/>
  <c r="D426" i="21"/>
  <c r="D8" i="21"/>
  <c r="D359" i="21"/>
  <c r="D136" i="21"/>
  <c r="D404" i="21"/>
  <c r="D14" i="21"/>
  <c r="D488" i="21"/>
  <c r="D358" i="21"/>
  <c r="D202" i="21"/>
  <c r="D199" i="21"/>
  <c r="D48" i="21"/>
  <c r="D234" i="21"/>
  <c r="D363" i="21"/>
  <c r="D84" i="21"/>
  <c r="D52" i="21"/>
  <c r="D101" i="21"/>
  <c r="D228" i="21"/>
  <c r="D311" i="21"/>
  <c r="D30" i="21"/>
  <c r="D465" i="21"/>
  <c r="D64" i="21"/>
  <c r="D231" i="21"/>
  <c r="D263" i="21"/>
  <c r="D297" i="21"/>
  <c r="D412" i="21"/>
  <c r="D474" i="21"/>
  <c r="D276" i="21"/>
  <c r="D134" i="21"/>
  <c r="D128" i="21"/>
  <c r="D18" i="21"/>
  <c r="D60" i="21"/>
  <c r="D4" i="21"/>
  <c r="D317" i="21"/>
  <c r="D446" i="21"/>
  <c r="D388" i="21"/>
  <c r="D410" i="21"/>
  <c r="D248" i="21"/>
  <c r="D129" i="21"/>
  <c r="D141" i="21"/>
  <c r="D315" i="21"/>
  <c r="D309" i="21"/>
  <c r="D286" i="21"/>
  <c r="D201" i="21"/>
  <c r="D282" i="21"/>
  <c r="D319" i="21"/>
  <c r="D192" i="21"/>
  <c r="D498" i="21"/>
  <c r="D500" i="21"/>
  <c r="D86" i="21"/>
  <c r="D361" i="21"/>
  <c r="D37" i="21"/>
  <c r="D161" i="21"/>
  <c r="D274" i="21"/>
  <c r="D162" i="21"/>
  <c r="D378" i="21"/>
  <c r="D105" i="21"/>
  <c r="D324" i="21"/>
  <c r="D440" i="21"/>
  <c r="D431" i="21"/>
  <c r="D239" i="21"/>
  <c r="D258" i="21"/>
  <c r="D466" i="21"/>
  <c r="D245" i="21"/>
  <c r="D191" i="21"/>
  <c r="D341" i="21"/>
  <c r="D95" i="21"/>
  <c r="D497" i="21"/>
  <c r="D437" i="21"/>
  <c r="D292" i="21"/>
  <c r="D171" i="21"/>
  <c r="D99" i="21"/>
  <c r="D336" i="21"/>
  <c r="D108" i="21"/>
  <c r="D163" i="21"/>
  <c r="D418" i="21"/>
  <c r="D156" i="21"/>
  <c r="D374" i="21"/>
  <c r="D28" i="21"/>
  <c r="D392" i="21"/>
  <c r="D150" i="21"/>
  <c r="D313" i="21"/>
  <c r="D277" i="21"/>
  <c r="D79" i="21"/>
  <c r="D132" i="21"/>
  <c r="D75" i="21"/>
  <c r="D111" i="21"/>
  <c r="D429" i="21"/>
  <c r="D330" i="21"/>
  <c r="D221" i="21"/>
  <c r="D145" i="21"/>
  <c r="D479" i="21"/>
  <c r="D496" i="21"/>
  <c r="D148" i="21"/>
  <c r="D63" i="21"/>
  <c r="D45" i="21"/>
  <c r="D442" i="21"/>
  <c r="D188" i="21"/>
  <c r="D275" i="21"/>
  <c r="D194" i="21"/>
  <c r="D337" i="21"/>
  <c r="D106" i="21"/>
  <c r="D271" i="21"/>
  <c r="D304" i="21"/>
  <c r="D254" i="21"/>
  <c r="D262" i="21"/>
  <c r="D158" i="21"/>
  <c r="D164" i="21"/>
  <c r="D299" i="21"/>
  <c r="D253" i="21"/>
  <c r="D327" i="21"/>
  <c r="D168" i="21"/>
  <c r="D266" i="21"/>
  <c r="D265" i="21"/>
  <c r="D187" i="21"/>
  <c r="D300" i="21"/>
  <c r="D22" i="21"/>
  <c r="D394" i="21"/>
  <c r="D285" i="21"/>
  <c r="D441" i="21"/>
  <c r="D172" i="21"/>
  <c r="D320" i="21"/>
  <c r="D483" i="21"/>
  <c r="D417" i="21"/>
  <c r="D393" i="21"/>
  <c r="D236" i="21"/>
  <c r="D454" i="21"/>
  <c r="D316" i="21"/>
  <c r="D100" i="21"/>
  <c r="D486" i="21"/>
  <c r="D291" i="21"/>
  <c r="D26" i="21"/>
  <c r="D428" i="21"/>
  <c r="D435" i="21"/>
  <c r="D473" i="21"/>
  <c r="D305" i="21"/>
  <c r="D179" i="21"/>
  <c r="D477" i="21"/>
  <c r="D88" i="21"/>
  <c r="D391" i="21"/>
  <c r="D471" i="21"/>
  <c r="D423" i="21"/>
  <c r="D35" i="21"/>
  <c r="D42" i="21"/>
  <c r="D190" i="21"/>
  <c r="D62" i="21"/>
  <c r="D31" i="21"/>
  <c r="D29" i="21"/>
  <c r="D354" i="21"/>
  <c r="D489" i="21"/>
  <c r="D241" i="21"/>
  <c r="D481" i="21"/>
  <c r="D267" i="21"/>
  <c r="D260" i="21"/>
  <c r="D355" i="21"/>
  <c r="D415" i="21"/>
  <c r="D482" i="21"/>
  <c r="D310" i="21"/>
  <c r="D216" i="21"/>
  <c r="D464" i="21"/>
  <c r="D112" i="21"/>
  <c r="D56" i="21"/>
  <c r="D294" i="21"/>
  <c r="D21" i="21"/>
  <c r="D243" i="21"/>
  <c r="D117" i="21"/>
  <c r="D436" i="21"/>
  <c r="D238" i="21"/>
  <c r="D181" i="21"/>
  <c r="D381" i="21"/>
  <c r="D346" i="21"/>
  <c r="D289" i="21"/>
  <c r="D360" i="21"/>
  <c r="D438" i="21"/>
  <c r="D349" i="21"/>
  <c r="D121" i="21"/>
  <c r="D116" i="21"/>
  <c r="D443" i="21"/>
  <c r="D110" i="21"/>
  <c r="D70" i="21"/>
  <c r="D348" i="21"/>
  <c r="D159" i="21"/>
  <c r="D205" i="21"/>
  <c r="D189" i="21"/>
  <c r="D377" i="21"/>
  <c r="D246" i="21"/>
  <c r="D366" i="21"/>
  <c r="D143" i="21"/>
  <c r="D147" i="21"/>
  <c r="D269" i="21"/>
  <c r="D396" i="21"/>
  <c r="D13" i="21"/>
  <c r="D484" i="21"/>
  <c r="D402" i="21"/>
  <c r="D485" i="21"/>
  <c r="D333" i="21"/>
  <c r="D50" i="21"/>
  <c r="D204" i="21"/>
  <c r="D273" i="21"/>
  <c r="D302" i="21"/>
  <c r="D208" i="21"/>
  <c r="D144" i="21"/>
  <c r="D397" i="21"/>
  <c r="D365" i="21"/>
  <c r="D122" i="21"/>
  <c r="D154" i="21"/>
  <c r="D9" i="21"/>
  <c r="D214" i="21"/>
  <c r="D335" i="21"/>
  <c r="D298" i="21"/>
  <c r="D287" i="21"/>
  <c r="D47" i="21"/>
  <c r="D16" i="21"/>
  <c r="D357" i="21"/>
  <c r="D198" i="21"/>
  <c r="D36" i="21"/>
  <c r="D186" i="21"/>
  <c r="D90" i="21"/>
  <c r="D389" i="21"/>
  <c r="D463" i="21"/>
  <c r="D176" i="21"/>
  <c r="D80" i="21"/>
  <c r="D447" i="21"/>
  <c r="D453" i="21"/>
  <c r="D167" i="21"/>
  <c r="D76" i="21"/>
  <c r="D409" i="21"/>
  <c r="D296" i="21"/>
  <c r="D306" i="21"/>
  <c r="D49" i="21"/>
  <c r="D7" i="21"/>
  <c r="D166" i="21"/>
  <c r="D384" i="21"/>
  <c r="D230" i="21"/>
  <c r="D242" i="21"/>
  <c r="D53" i="21"/>
  <c r="D5" i="21"/>
  <c r="D344" i="21"/>
  <c r="D308" i="21"/>
  <c r="D491" i="21"/>
  <c r="D183" i="21"/>
  <c r="D83" i="21"/>
  <c r="D12" i="21"/>
  <c r="D303" i="21"/>
  <c r="D153" i="21"/>
  <c r="D104" i="21"/>
  <c r="D332" i="21"/>
  <c r="D123" i="21"/>
  <c r="D155" i="21"/>
  <c r="D323" i="21"/>
  <c r="D272" i="21"/>
  <c r="D232" i="21"/>
  <c r="D281" i="21"/>
  <c r="D406" i="21"/>
  <c r="D249" i="21"/>
  <c r="D268" i="21"/>
  <c r="D455" i="21"/>
  <c r="D283" i="21"/>
  <c r="D411" i="21"/>
  <c r="D215" i="21"/>
  <c r="D220" i="21"/>
  <c r="D425" i="21"/>
  <c r="D342" i="21"/>
  <c r="D118" i="21"/>
  <c r="D140" i="21"/>
  <c r="D252" i="21"/>
  <c r="D434" i="21"/>
  <c r="D329" i="21"/>
  <c r="D139" i="21"/>
  <c r="D55" i="21"/>
  <c r="D307" i="21"/>
  <c r="D367" i="21"/>
  <c r="D85" i="21"/>
  <c r="D210" i="21"/>
  <c r="D226" i="21"/>
  <c r="D250" i="21"/>
  <c r="D137" i="21"/>
  <c r="D264" i="21"/>
  <c r="D213" i="21"/>
  <c r="D229" i="21"/>
  <c r="D459" i="21"/>
  <c r="D495" i="21"/>
  <c r="D119" i="21"/>
  <c r="D58" i="21"/>
  <c r="D20" i="21"/>
  <c r="D107" i="21"/>
  <c r="D403" i="21"/>
  <c r="D87" i="21"/>
  <c r="D173" i="21"/>
  <c r="D224" i="21"/>
  <c r="D376" i="21"/>
  <c r="D407" i="21"/>
  <c r="D427" i="21"/>
  <c r="D462" i="21"/>
  <c r="D3" i="21"/>
  <c r="D475" i="21"/>
  <c r="D501" i="21"/>
  <c r="D125" i="21"/>
  <c r="D401" i="21"/>
  <c r="D351" i="21"/>
  <c r="D184" i="21"/>
  <c r="D487" i="21"/>
  <c r="D414" i="21"/>
  <c r="D247" i="21"/>
  <c r="D223" i="21"/>
  <c r="D91" i="21"/>
  <c r="D461" i="21"/>
  <c r="D66" i="21"/>
  <c r="D353" i="21"/>
  <c r="D93" i="21"/>
  <c r="D390" i="21"/>
  <c r="D127" i="21"/>
  <c r="D44" i="21"/>
  <c r="D197" i="21"/>
  <c r="D43" i="21"/>
  <c r="D15" i="21"/>
  <c r="D256" i="21"/>
  <c r="D331" i="21"/>
  <c r="D387" i="21"/>
  <c r="D74" i="21"/>
  <c r="D212" i="21"/>
  <c r="D61" i="21"/>
  <c r="D218" i="21"/>
  <c r="D445" i="21"/>
  <c r="D290" i="21"/>
  <c r="D109" i="21"/>
  <c r="D114" i="21"/>
  <c r="D424" i="21"/>
  <c r="D301" i="21"/>
  <c r="D120" i="21"/>
  <c r="D113" i="21"/>
  <c r="D11" i="21"/>
  <c r="D103" i="21"/>
  <c r="D371" i="21"/>
  <c r="D295" i="21"/>
  <c r="D398" i="21"/>
  <c r="D368" i="21"/>
  <c r="D41" i="21"/>
  <c r="D467" i="21"/>
  <c r="D382" i="21"/>
  <c r="D94" i="21"/>
  <c r="D255" i="21"/>
  <c r="D152" i="21"/>
  <c r="D67" i="21"/>
  <c r="D405" i="21"/>
  <c r="D420" i="21"/>
  <c r="D135" i="21"/>
  <c r="D408" i="21"/>
  <c r="D257" i="21"/>
  <c r="D338" i="21"/>
  <c r="D160" i="21"/>
  <c r="D451" i="21"/>
  <c r="D10" i="21"/>
  <c r="D261" i="21"/>
  <c r="D6" i="21"/>
  <c r="D350" i="21"/>
  <c r="D490" i="21"/>
  <c r="D452" i="21"/>
  <c r="D450" i="21"/>
  <c r="D96" i="21"/>
  <c r="D46" i="21"/>
  <c r="D38" i="21"/>
  <c r="D219" i="21"/>
  <c r="D343" i="21"/>
  <c r="D142" i="21"/>
  <c r="D372" i="21"/>
  <c r="D288" i="21"/>
  <c r="D115" i="21"/>
  <c r="D182" i="21"/>
  <c r="D433" i="21"/>
  <c r="D278" i="21"/>
  <c r="D340" i="21"/>
  <c r="D51" i="21"/>
  <c r="D200" i="21"/>
  <c r="D270" i="21"/>
  <c r="D279" i="21"/>
  <c r="D237" i="21"/>
  <c r="D284" i="21"/>
  <c r="D240" i="21"/>
  <c r="D386" i="21"/>
  <c r="D23" i="21"/>
  <c r="D65" i="21"/>
  <c r="D383" i="21"/>
  <c r="D211" i="21"/>
  <c r="D312" i="21"/>
  <c r="D165" i="21"/>
  <c r="D499" i="21"/>
  <c r="D430" i="21"/>
  <c r="D421" i="21"/>
  <c r="D69" i="21"/>
  <c r="D24" i="21"/>
  <c r="D177" i="21"/>
  <c r="D77" i="21"/>
  <c r="D399" i="21"/>
  <c r="D203" i="21"/>
  <c r="D97" i="21"/>
  <c r="D233" i="21"/>
  <c r="D469" i="21"/>
  <c r="D422" i="21"/>
  <c r="D133" i="21"/>
  <c r="D379" i="21"/>
  <c r="D370" i="21"/>
  <c r="D138" i="21"/>
  <c r="D470" i="21"/>
  <c r="D352" i="21"/>
  <c r="D217" i="21"/>
  <c r="D180" i="21"/>
  <c r="D175" i="21"/>
  <c r="D225" i="21"/>
  <c r="D460" i="21"/>
  <c r="D244" i="21"/>
  <c r="D449" i="21"/>
  <c r="D40" i="21"/>
  <c r="D356" i="21"/>
  <c r="D222" i="21"/>
  <c r="D345" i="21"/>
  <c r="D185" i="21"/>
  <c r="D19" i="21"/>
  <c r="D82" i="21"/>
  <c r="D174" i="21"/>
  <c r="D81" i="21"/>
  <c r="D33" i="21"/>
  <c r="D178" i="21"/>
  <c r="D362" i="21"/>
  <c r="D196" i="21"/>
  <c r="D318" i="21"/>
  <c r="D480" i="21"/>
  <c r="D71" i="21"/>
  <c r="D293" i="21"/>
  <c r="D458" i="21"/>
  <c r="D146" i="21"/>
  <c r="D68" i="21"/>
  <c r="D170" i="21"/>
  <c r="D380" i="21"/>
  <c r="D124" i="21"/>
  <c r="D444" i="21"/>
  <c r="D2" i="21"/>
  <c r="D322" i="21"/>
  <c r="D25" i="21"/>
  <c r="D493" i="21"/>
  <c r="D373" i="21"/>
  <c r="D78" i="21"/>
  <c r="D209" i="21"/>
  <c r="D494" i="21"/>
  <c r="D259" i="21"/>
  <c r="D149" i="21"/>
  <c r="D314" i="21"/>
  <c r="D416" i="21"/>
  <c r="D321" i="21"/>
  <c r="D102" i="21"/>
  <c r="D57" i="21"/>
  <c r="D39" i="21"/>
  <c r="D92" i="21"/>
  <c r="D98" i="21"/>
  <c r="D339" i="21"/>
  <c r="D130" i="21"/>
  <c r="D251" i="21"/>
  <c r="D32" i="21"/>
  <c r="D326" i="21"/>
  <c r="D476" i="21"/>
  <c r="D419" i="21"/>
  <c r="D478" i="21"/>
  <c r="D227" i="21"/>
  <c r="D456" i="21"/>
  <c r="D131" i="21"/>
  <c r="D334" i="21"/>
  <c r="D126" i="21"/>
  <c r="D395" i="21"/>
  <c r="D457" i="21"/>
  <c r="D364" i="21"/>
  <c r="D207" i="21"/>
  <c r="D27" i="21"/>
  <c r="D448" i="21"/>
  <c r="D375" i="21"/>
  <c r="D468" i="21"/>
  <c r="D347" i="21"/>
  <c r="D34" i="21"/>
  <c r="J34" i="21" l="1"/>
  <c r="J347" i="21"/>
  <c r="J468" i="21"/>
  <c r="J375" i="21"/>
  <c r="J448" i="21"/>
  <c r="J27" i="21"/>
  <c r="J207" i="21"/>
  <c r="J364" i="21"/>
  <c r="J457" i="21"/>
  <c r="J395" i="21"/>
  <c r="J126" i="21"/>
  <c r="J334" i="21"/>
  <c r="J131" i="21"/>
  <c r="J456" i="21"/>
  <c r="J227" i="21"/>
  <c r="J478" i="21"/>
  <c r="J419" i="21"/>
  <c r="J476" i="21"/>
  <c r="J326" i="21"/>
  <c r="J32" i="21"/>
  <c r="J251" i="21"/>
  <c r="J130" i="21"/>
  <c r="J339" i="21"/>
  <c r="J98" i="21"/>
  <c r="J92" i="21"/>
  <c r="J39" i="21"/>
  <c r="J57" i="21"/>
  <c r="J102" i="21"/>
  <c r="J321" i="21"/>
  <c r="J416" i="21"/>
  <c r="J314" i="21"/>
  <c r="J149" i="21"/>
  <c r="J259" i="21"/>
  <c r="J494" i="21"/>
  <c r="J209" i="21"/>
  <c r="J78" i="21"/>
  <c r="J373" i="21"/>
  <c r="J493" i="21"/>
  <c r="J25" i="21"/>
  <c r="J322" i="21"/>
  <c r="C8" i="18"/>
  <c r="I6" i="18" s="1"/>
  <c r="J2" i="21"/>
  <c r="J444" i="21"/>
  <c r="J124" i="21"/>
  <c r="J380" i="21"/>
  <c r="J170" i="21"/>
  <c r="J68" i="21"/>
  <c r="J146" i="21"/>
  <c r="J458" i="21"/>
  <c r="J293" i="21"/>
  <c r="J71" i="21"/>
  <c r="J480" i="21"/>
  <c r="J318" i="21"/>
  <c r="J196" i="21"/>
  <c r="J362" i="21"/>
  <c r="J178" i="21"/>
  <c r="J33" i="21"/>
  <c r="J81" i="21"/>
  <c r="J174" i="21"/>
  <c r="J82" i="21"/>
  <c r="J19" i="21"/>
  <c r="J185" i="21"/>
  <c r="J345" i="21"/>
  <c r="J222" i="21"/>
  <c r="J356" i="21"/>
  <c r="J40" i="21"/>
  <c r="J449" i="21"/>
  <c r="J244" i="21"/>
  <c r="J460" i="21"/>
  <c r="J225" i="21"/>
  <c r="J175" i="21"/>
  <c r="J180" i="21"/>
  <c r="J217" i="21"/>
  <c r="J352" i="21"/>
  <c r="J470" i="21"/>
  <c r="J138" i="21"/>
  <c r="J370" i="21"/>
  <c r="J379" i="21"/>
  <c r="J133" i="21"/>
  <c r="J422" i="21"/>
  <c r="J469" i="21"/>
  <c r="J233" i="21"/>
  <c r="J97" i="21"/>
  <c r="J203" i="21"/>
  <c r="J399" i="21"/>
  <c r="J77" i="21"/>
  <c r="J177" i="21"/>
  <c r="J24" i="21"/>
  <c r="J69" i="21"/>
  <c r="J421" i="21"/>
  <c r="J430" i="21"/>
  <c r="J499" i="21"/>
  <c r="J165" i="21"/>
  <c r="J312" i="21"/>
  <c r="J211" i="21"/>
  <c r="J383" i="21"/>
  <c r="J65" i="21"/>
  <c r="J23" i="21"/>
  <c r="J386" i="21"/>
  <c r="J240" i="21"/>
  <c r="J284" i="21"/>
  <c r="J237" i="21"/>
  <c r="J279" i="21"/>
  <c r="J270" i="21"/>
  <c r="J200" i="21"/>
  <c r="J51" i="21"/>
  <c r="J340" i="21"/>
  <c r="J278" i="21"/>
  <c r="J433" i="21"/>
  <c r="J182" i="21"/>
  <c r="J115" i="21"/>
  <c r="J288" i="21"/>
  <c r="J372" i="21"/>
  <c r="J142" i="21"/>
  <c r="J343" i="21"/>
  <c r="J219" i="21"/>
  <c r="J38" i="21"/>
  <c r="J46" i="21"/>
  <c r="J96" i="21"/>
  <c r="J450" i="21"/>
  <c r="J452" i="21"/>
  <c r="J490" i="21"/>
  <c r="J350" i="21"/>
  <c r="J6" i="21"/>
  <c r="J261" i="21"/>
  <c r="J10" i="21"/>
  <c r="J451" i="21"/>
  <c r="J160" i="21"/>
  <c r="J338" i="21"/>
  <c r="J257" i="21"/>
  <c r="J408" i="21"/>
  <c r="J135" i="21"/>
  <c r="J420" i="21"/>
  <c r="J405" i="21"/>
  <c r="J67" i="21"/>
  <c r="J152" i="21"/>
  <c r="J255" i="21"/>
  <c r="J94" i="21"/>
  <c r="J382" i="21"/>
  <c r="J467" i="21"/>
  <c r="J41" i="21"/>
  <c r="J368" i="21"/>
  <c r="J398" i="21"/>
  <c r="J295" i="21"/>
  <c r="J371" i="21"/>
  <c r="J103" i="21"/>
  <c r="J11" i="21"/>
  <c r="J113" i="21"/>
  <c r="J120" i="21"/>
  <c r="J301" i="21"/>
  <c r="J424" i="21"/>
  <c r="J114" i="21"/>
  <c r="J109" i="21"/>
  <c r="J290" i="21"/>
  <c r="J445" i="21"/>
  <c r="J218" i="21"/>
  <c r="J61" i="21"/>
  <c r="J212" i="21"/>
  <c r="J74" i="21"/>
  <c r="J387" i="21"/>
  <c r="J331" i="21"/>
  <c r="J256" i="21"/>
  <c r="J15" i="21"/>
  <c r="J43" i="21"/>
  <c r="J197" i="21"/>
  <c r="J44" i="21"/>
  <c r="J127" i="21"/>
  <c r="J390" i="21"/>
  <c r="J93" i="21"/>
  <c r="J353" i="21"/>
  <c r="J66" i="21"/>
  <c r="J461" i="21"/>
  <c r="J91" i="21"/>
  <c r="J223" i="21"/>
  <c r="J247" i="21"/>
  <c r="J414" i="21"/>
  <c r="J487" i="21"/>
  <c r="J184" i="21"/>
  <c r="J351" i="21"/>
  <c r="J401" i="21"/>
  <c r="J125" i="21"/>
  <c r="J501" i="21"/>
  <c r="J475" i="21"/>
  <c r="J3" i="21"/>
  <c r="J462" i="21"/>
  <c r="J427" i="21"/>
  <c r="J407" i="21"/>
  <c r="J376" i="21"/>
  <c r="J224" i="21"/>
  <c r="J173" i="21"/>
  <c r="J87" i="21"/>
  <c r="J403" i="21"/>
  <c r="J107" i="21"/>
  <c r="J20" i="21"/>
  <c r="J58" i="21"/>
  <c r="J119" i="21"/>
  <c r="J495" i="21"/>
  <c r="J459" i="21"/>
  <c r="J229" i="21"/>
  <c r="J213" i="21"/>
  <c r="J264" i="21"/>
  <c r="J137" i="21"/>
  <c r="J250" i="21"/>
  <c r="J226" i="21"/>
  <c r="J210" i="21"/>
  <c r="J85" i="21"/>
  <c r="J367" i="21"/>
  <c r="J307" i="21"/>
  <c r="J55" i="21"/>
  <c r="J139" i="21"/>
  <c r="J329" i="21"/>
  <c r="J434" i="21"/>
  <c r="J252" i="21"/>
  <c r="J140" i="21"/>
  <c r="J118" i="21"/>
  <c r="J342" i="21"/>
  <c r="J425" i="21"/>
  <c r="J220" i="21"/>
  <c r="J215" i="21"/>
  <c r="J411" i="21"/>
  <c r="J283" i="21"/>
  <c r="J455" i="21"/>
  <c r="J268" i="21"/>
  <c r="J249" i="21"/>
  <c r="J406" i="21"/>
  <c r="J281" i="21"/>
  <c r="J232" i="21"/>
  <c r="J272" i="21"/>
  <c r="J323" i="21"/>
  <c r="J155" i="21"/>
  <c r="J123" i="21"/>
  <c r="J332" i="21"/>
  <c r="J104" i="21"/>
  <c r="J153" i="21"/>
  <c r="J303" i="21"/>
  <c r="J12" i="21"/>
  <c r="J83" i="21"/>
  <c r="J183" i="21"/>
  <c r="J491" i="21"/>
  <c r="J308" i="21"/>
  <c r="J344" i="21"/>
  <c r="J5" i="21"/>
  <c r="J53" i="21"/>
  <c r="J242" i="21"/>
  <c r="J230" i="21"/>
  <c r="J384" i="21"/>
  <c r="J166" i="21"/>
  <c r="J7" i="21"/>
  <c r="J49" i="21"/>
  <c r="J306" i="21"/>
  <c r="J296" i="21"/>
  <c r="J409" i="21"/>
  <c r="J76" i="21"/>
  <c r="J167" i="21"/>
  <c r="J453" i="21"/>
  <c r="J447" i="21"/>
  <c r="J80" i="21"/>
  <c r="J176" i="21"/>
  <c r="J463" i="21"/>
  <c r="J389" i="21"/>
  <c r="J90" i="21"/>
  <c r="J186" i="21"/>
  <c r="J36" i="21"/>
  <c r="J198" i="21"/>
  <c r="J357" i="21"/>
  <c r="J16" i="21"/>
  <c r="J47" i="21"/>
  <c r="J287" i="21"/>
  <c r="J298" i="21"/>
  <c r="J335" i="21"/>
  <c r="J214" i="21"/>
  <c r="J9" i="21"/>
  <c r="J154" i="21"/>
  <c r="J122" i="21"/>
  <c r="J365" i="21"/>
  <c r="J397" i="21"/>
  <c r="J144" i="21"/>
  <c r="J208" i="21"/>
  <c r="J302" i="21"/>
  <c r="J273" i="21"/>
  <c r="J204" i="21"/>
  <c r="J50" i="21"/>
  <c r="J333" i="21"/>
  <c r="J485" i="21"/>
  <c r="J402" i="21"/>
  <c r="J484" i="21"/>
  <c r="J13" i="21"/>
  <c r="J396" i="21"/>
  <c r="J269" i="21"/>
  <c r="J147" i="21"/>
  <c r="J143" i="21"/>
  <c r="J366" i="21"/>
  <c r="J246" i="21"/>
  <c r="J377" i="21"/>
  <c r="J189" i="21"/>
  <c r="J205" i="21"/>
  <c r="J159" i="21"/>
  <c r="J348" i="21"/>
  <c r="J70" i="21"/>
  <c r="J110" i="21"/>
  <c r="J443" i="21"/>
  <c r="J116" i="21"/>
  <c r="J121" i="21"/>
  <c r="J349" i="21"/>
  <c r="J438" i="21"/>
  <c r="J360" i="21"/>
  <c r="J289" i="21"/>
  <c r="J346" i="21"/>
  <c r="J381" i="21"/>
  <c r="J181" i="21"/>
  <c r="J238" i="21"/>
  <c r="J436" i="21"/>
  <c r="J117" i="21"/>
  <c r="J243" i="21"/>
  <c r="J21" i="21"/>
  <c r="J294" i="21"/>
  <c r="J56" i="21"/>
  <c r="J112" i="21"/>
  <c r="J464" i="21"/>
  <c r="J216" i="21"/>
  <c r="J310" i="21"/>
  <c r="J482" i="21"/>
  <c r="J415" i="21"/>
  <c r="J355" i="21"/>
  <c r="J260" i="21"/>
  <c r="J267" i="21"/>
  <c r="J481" i="21"/>
  <c r="J241" i="21"/>
  <c r="J489" i="21"/>
  <c r="J354" i="21"/>
  <c r="J29" i="21"/>
  <c r="J31" i="21"/>
  <c r="J62" i="21"/>
  <c r="J190" i="21"/>
  <c r="J42" i="21"/>
  <c r="J35" i="21"/>
  <c r="J423" i="21"/>
  <c r="J471" i="21"/>
  <c r="J391" i="21"/>
  <c r="J88" i="21"/>
  <c r="J477" i="21"/>
  <c r="J179" i="21"/>
  <c r="J305" i="21"/>
  <c r="J473" i="21"/>
  <c r="J435" i="21"/>
  <c r="J428" i="21"/>
  <c r="J26" i="21"/>
  <c r="J291" i="21"/>
  <c r="J486" i="21"/>
  <c r="J100" i="21"/>
  <c r="J316" i="21"/>
  <c r="J454" i="21"/>
  <c r="J236" i="21"/>
  <c r="J393" i="21"/>
  <c r="J417" i="21"/>
  <c r="J483" i="21"/>
  <c r="J320" i="21"/>
  <c r="J172" i="21"/>
  <c r="J441" i="21"/>
  <c r="J285" i="21"/>
  <c r="J394" i="21"/>
  <c r="J22" i="21"/>
  <c r="J300" i="21"/>
  <c r="J187" i="21"/>
  <c r="J265" i="21"/>
  <c r="J266" i="21"/>
  <c r="J168" i="21"/>
  <c r="J327" i="21"/>
  <c r="J253" i="21"/>
  <c r="J299" i="21"/>
  <c r="J164" i="21"/>
  <c r="J158" i="21"/>
  <c r="J262" i="21"/>
  <c r="J254" i="21"/>
  <c r="J304" i="21"/>
  <c r="J271" i="21"/>
  <c r="J106" i="21"/>
  <c r="J337" i="21"/>
  <c r="J194" i="21"/>
  <c r="J275" i="21"/>
  <c r="J188" i="21"/>
  <c r="J442" i="21"/>
  <c r="J45" i="21"/>
  <c r="J63" i="21"/>
  <c r="J148" i="21"/>
  <c r="J496" i="21"/>
  <c r="J479" i="21"/>
  <c r="J145" i="21"/>
  <c r="J221" i="21"/>
  <c r="J330" i="21"/>
  <c r="J429" i="21"/>
  <c r="J111" i="21"/>
  <c r="J75" i="21"/>
  <c r="J132" i="21"/>
  <c r="J79" i="21"/>
  <c r="J277" i="21"/>
  <c r="J313" i="21"/>
  <c r="J150" i="21"/>
  <c r="J392" i="21"/>
  <c r="J28" i="21"/>
  <c r="J374" i="21"/>
  <c r="J156" i="21"/>
  <c r="J418" i="21"/>
  <c r="J163" i="21"/>
  <c r="J108" i="21"/>
  <c r="J336" i="21"/>
  <c r="J99" i="21"/>
  <c r="J171" i="21"/>
  <c r="J292" i="21"/>
  <c r="J437" i="21"/>
  <c r="J497" i="21"/>
  <c r="J95" i="21"/>
  <c r="J341" i="21"/>
  <c r="J191" i="21"/>
  <c r="J245" i="21"/>
  <c r="J466" i="21"/>
  <c r="J258" i="21"/>
  <c r="J239" i="21"/>
  <c r="J431" i="21"/>
  <c r="J440" i="21"/>
  <c r="J324" i="21"/>
  <c r="J105" i="21"/>
  <c r="J378" i="21"/>
  <c r="J162" i="21"/>
  <c r="J274" i="21"/>
  <c r="J161" i="21"/>
  <c r="J37" i="21"/>
  <c r="J361" i="21"/>
  <c r="J86" i="21"/>
  <c r="J500" i="21"/>
  <c r="J498" i="21"/>
  <c r="J192" i="21"/>
  <c r="J319" i="21"/>
  <c r="J282" i="21"/>
  <c r="J201" i="21"/>
  <c r="J286" i="21"/>
  <c r="J309" i="21"/>
  <c r="J315" i="21"/>
  <c r="J141" i="21"/>
  <c r="J129" i="21"/>
  <c r="J248" i="21"/>
  <c r="J410" i="21"/>
  <c r="J388" i="21"/>
  <c r="J446" i="21"/>
  <c r="J317" i="21"/>
  <c r="J4" i="21"/>
  <c r="J60" i="21"/>
  <c r="J18" i="21"/>
  <c r="J128" i="21"/>
  <c r="J134" i="21"/>
  <c r="J276" i="21"/>
  <c r="J474" i="21"/>
  <c r="J412" i="21"/>
  <c r="J297" i="21"/>
  <c r="J263" i="21"/>
  <c r="J231" i="21"/>
  <c r="J64" i="21"/>
  <c r="J465" i="21"/>
  <c r="J30" i="21"/>
  <c r="J311" i="21"/>
  <c r="J228" i="21"/>
  <c r="J101" i="21"/>
  <c r="J52" i="21"/>
  <c r="J84" i="21"/>
  <c r="J363" i="21"/>
  <c r="J234" i="21"/>
  <c r="J48" i="21"/>
  <c r="J199" i="21"/>
  <c r="J202" i="21"/>
  <c r="J358" i="21"/>
  <c r="J488" i="21"/>
  <c r="J14" i="21"/>
  <c r="J404" i="21"/>
  <c r="J136" i="21"/>
  <c r="J359" i="21"/>
  <c r="J8" i="21"/>
  <c r="J426" i="21"/>
  <c r="J151" i="21"/>
  <c r="J54" i="21"/>
  <c r="J369" i="21"/>
  <c r="J385" i="21"/>
  <c r="J413" i="21"/>
  <c r="J439" i="21"/>
  <c r="J280" i="21"/>
  <c r="J73" i="21"/>
  <c r="J472" i="21"/>
  <c r="J328" i="21"/>
  <c r="J157" i="21"/>
  <c r="J193" i="21"/>
  <c r="J72" i="21"/>
  <c r="J169" i="21"/>
  <c r="J432" i="21"/>
  <c r="J235" i="21"/>
  <c r="J59" i="21"/>
  <c r="J400" i="21"/>
  <c r="J492" i="21"/>
  <c r="J206" i="21"/>
  <c r="J89" i="21"/>
  <c r="J17" i="21"/>
  <c r="J325" i="21"/>
  <c r="J195" i="21"/>
  <c r="H18" i="18" l="1"/>
  <c r="I4" i="18" s="1"/>
  <c r="K5" i="18" s="1"/>
  <c r="K7" i="18" s="1"/>
</calcChain>
</file>

<file path=xl/sharedStrings.xml><?xml version="1.0" encoding="utf-8"?>
<sst xmlns="http://schemas.openxmlformats.org/spreadsheetml/2006/main" count="4615" uniqueCount="1310">
  <si>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</si>
  <si>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</si>
  <si>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</si>
  <si>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</si>
  <si>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</si>
  <si>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</si>
  <si>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</si>
  <si>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</si>
  <si>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</si>
  <si>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</si>
  <si>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</si>
  <si>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</si>
  <si>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</si>
  <si>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</si>
  <si>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</si>
  <si>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</si>
  <si>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</si>
  <si>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</si>
  <si>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</si>
  <si>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</si>
  <si>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</si>
  <si>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</si>
  <si>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</si>
  <si>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</si>
  <si>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</si>
  <si>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</si>
  <si>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</si>
  <si>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</si>
  <si>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</si>
  <si>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</si>
  <si>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</si>
  <si>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</si>
  <si>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</si>
  <si>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</si>
  <si>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</si>
  <si>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</si>
  <si>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</si>
  <si>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</si>
  <si>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</si>
  <si>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</si>
  <si>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</si>
  <si>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</si>
  <si>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</si>
  <si>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</si>
  <si>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</si>
  <si>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</si>
  <si>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</si>
  <si>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</si>
  <si>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</si>
  <si>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</si>
  <si>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</si>
  <si>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</si>
  <si>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</si>
  <si>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</si>
  <si>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</si>
  <si>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</si>
  <si>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</si>
  <si>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</si>
  <si>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</si>
  <si>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</si>
  <si>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</si>
  <si>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</si>
  <si>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</si>
  <si>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</si>
  <si>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</si>
  <si>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</si>
  <si>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</si>
  <si>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</si>
  <si>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</si>
  <si>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</si>
  <si>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</si>
  <si>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</si>
  <si>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</si>
  <si>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</si>
  <si>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0-4</t>
  </si>
  <si>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</si>
  <si>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 xml:space="preserve">corry ` corey ' campbell , 21 , was sentenced to 23 months in state prison for her role in the abuse in march/april 21 .  campbell believed the victim had hurt his cat , pebbles .  valecce , an unemployed drug addict , had been staying in the basement of campbell 's mother 's house in mayfair . </t>
    <phoneticPr fontId="4" type="noConversion"/>
  </si>
  <si>
    <t>23 months</t>
  </si>
  <si>
    <t xml:space="preserve">corry ` corey ' campbell , 21 , was sentenced to 23 months in state prison for her role in the abuse in march/april 21 .  campbell believed the victim had hurt his cat , pebbles .  valecce , an unemployed drug addict , had been staying in the basement of campbell 's mother 's house in mayfair . </t>
  </si>
  <si>
    <t>her</t>
  </si>
  <si>
    <t>yet</t>
  </si>
  <si>
    <t>be abused</t>
  </si>
  <si>
    <t>his girlfriend sandra ng , 18 , received 23 months</t>
  </si>
  <si>
    <t>two others are awaiting sentencing</t>
  </si>
  <si>
    <t>1-4</t>
  </si>
  <si>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</si>
  <si>
    <t xml:space="preserve">jack nicklaus was nicklaus ' first in the par-3 contest at augusta national .  the golden bear is the youngest person to wear a green jacket in 1963 .  he is one of five men to win career grand slam . </t>
  </si>
  <si>
    <t>jack nicklaus--one in hole</t>
  </si>
  <si>
    <t>ace</t>
  </si>
  <si>
    <t>the crowd roared in celebration</t>
  </si>
  <si>
    <t>players cheer</t>
  </si>
  <si>
    <t>colombian camilo villegas later eclipsed nicklaus ' achievement</t>
  </si>
  <si>
    <t>villegas was beaten in a play-off by world no 74 kevin streelman</t>
  </si>
  <si>
    <t>3-4</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</si>
  <si>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</si>
  <si>
    <t xml:space="preserve">oklahoma reserve sheriff 's deputy accused of shooting man eric harris .  bates , 73 , pleaded not guilty tuesday to a charge of second-degree manslaughter .  bates ' attorney says shooting was accidental . </t>
  </si>
  <si>
    <t>the judge said bates was free to travel to the bahamas for a family vacation</t>
  </si>
  <si>
    <t>the preliminary hearing is scheduled for july 2</t>
  </si>
  <si>
    <t>4-4</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</si>
  <si>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</si>
  <si>
    <t xml:space="preserve">stephen curry scored 45 points to rally the golden state warriors .  he hit six before halftime and eight overall .  thompson scored 26 to help golden state avoid its first losing streak this season . </t>
  </si>
  <si>
    <t>to a 116-105 victory over the portland trail blazers on Thursday</t>
  </si>
  <si>
    <t>stephen curry broke his three-point record for a total nba season</t>
  </si>
  <si>
    <t>curry hit eight three 's to surpass his previous best of 272 three-pointers</t>
  </si>
  <si>
    <t>miami heat lost 78-89 vs chicago bulls in the eastern conference</t>
  </si>
  <si>
    <t>5-4</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</si>
  <si>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</si>
  <si>
    <t xml:space="preserve">conor mcgregor has already got a picture of a gorilla eating a heart inked on his chest and ` the notorious ' has now revealed a tiger 's face on his stomach .  mcgregor wrote next to the instagram post of his new artwork .  mcgregor claims he has no motivation to win the title in las vegas on july 11 . </t>
  </si>
  <si>
    <t>no</t>
  </si>
  <si>
    <t>the 26-year-old mcgregor is set to challenge jose aldo on july 11</t>
  </si>
  <si>
    <t>mcgregor grabbed aldo 's featherweight champion belt in dublin</t>
  </si>
  <si>
    <t>6-4</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</si>
  <si>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</si>
  <si>
    <t xml:space="preserve">mario balotelli , fabio borini , rickie lambert and lazar markovic scored for youtube star bas van velzen .  the dutch free-kick specialist was a competition winner at melwood .  balotelli had one of the liverpool forward 's slogan slogan . </t>
  </si>
  <si>
    <t>scored--give</t>
  </si>
  <si>
    <t>for</t>
  </si>
  <si>
    <t>a</t>
  </si>
  <si>
    <t>free-kick</t>
  </si>
  <si>
    <t>masterclass</t>
  </si>
  <si>
    <t>balotelli had one of the liverpool forward 's slogan slogan .</t>
  </si>
  <si>
    <t>van velzen 's dead ball skills became apparent very quickly</t>
  </si>
  <si>
    <t>7-4</t>
    <phoneticPr fontId="4" type="noConversion"/>
  </si>
  <si>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</si>
  <si>
    <t>cultural studies professor julie robert said it was ` problematic '  she believes it acceptable to ` showcase his masculinity ' by skolling a beer .  mr abbott came under fire after the incident as anti-drinking campaigners said he was glorifying binge drinking .  dr robert warned people can forget their limits .</t>
    <phoneticPr fontId="4" type="noConversion"/>
  </si>
  <si>
    <t>she</t>
    <phoneticPr fontId="4" type="noConversion"/>
  </si>
  <si>
    <t>dr robert warned people can forget their limits .</t>
    <phoneticPr fontId="4" type="noConversion"/>
  </si>
  <si>
    <t>australian prime minister skols a beer with celebrating football players</t>
    <phoneticPr fontId="4" type="noConversion"/>
  </si>
  <si>
    <t>7-4</t>
  </si>
  <si>
    <t>tony abbott drinking the beer in six seconds</t>
    <phoneticPr fontId="4" type="noConversion"/>
  </si>
  <si>
    <t>criticism also levelled at media and officials who made light of the event</t>
    <phoneticPr fontId="4" type="noConversion"/>
  </si>
  <si>
    <t>8-4</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</si>
  <si>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</si>
  <si>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 xml:space="preserve">women diagnosed with breast cancer caused by the gene carried by angelina jolie could be helped to beat the disease if they have their ovaries removed .  miss jolie , 39 , had the procedure in march .  two years before she had a double mastectomy .  there were nine deaths from ovarian cancer in the women who did not have oophorectomies . </t>
    <phoneticPr fontId="4" type="noConversion"/>
  </si>
  <si>
    <t>but the theory does not apply for those with brca2 gene mutation</t>
  </si>
  <si>
    <t>women diagnosed with breast cancer caused by the gene carried by angelina jolie could be helped to beat the disease if they have their ovaries removed .  miss jolie , 40 , had the procedure in march .  two years before she had a double mastectomy .  ther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</si>
  <si>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having the brca1 or brca2 genes increase risk of breast cancer by 70 %</t>
    <phoneticPr fontId="4" type="noConversion"/>
  </si>
  <si>
    <t>8-4</t>
  </si>
  <si>
    <t>women diagnosed with breast cancer caused by the gene carried by angelina jolie could be helped to beat the disease if they have their ovaries removed .  miss jolie , 41 , had the procedure in march .  two years before she had a double mastectomy .  ther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</si>
  <si>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experts said benefits of having ovaries removed lasted for up to 15 years
</t>
    <phoneticPr fontId="4" type="noConversion"/>
  </si>
  <si>
    <t>women diagnosed with breast cancer caused by the gene carried by angelina jolie could be helped to beat the disease if they have their ovaries removed .  miss jolie , 42 , had the procedure in march .  two years before she had a double mastectomy .  ther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</si>
  <si>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miss jolie , 39 , had the procedure in march </t>
  </si>
  <si>
    <t>women diagnosed with breast cancer caused by the gene carried by angelina jolie could be helped to beat the disease if they have their ovaries removed .  miss jolie , 43 , had the procedure in march .  two years before she had a double mastectomy .  ther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</si>
  <si>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two years before she had a double mastectomy . </t>
  </si>
  <si>
    <t>women diagnosed with breast cancer caused by the gene carried by angelina jolie could be helped to beat the disease if they have their ovaries removed .  miss jolie , 44 , had the procedure in march .  two years before she had a double mastectomy .  ther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</si>
  <si>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 there were nine deaths from ovarian cancer in the women who did not have oophorectomies . </t>
  </si>
  <si>
    <t>9-4</t>
    <phoneticPr fontId="4" type="noConversion"/>
  </si>
  <si>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</si>
  <si>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 xml:space="preserve">
there are 120 confirmed hiv cases and 10 preliminary positive cases tied to scott county , about 30 miles north of louisville , kentucky .  health officials said they expect the number of cases to rise as more people are tested .  the growing number could put pressure on pence to extend the needle exchange program that he approved on march 26 . </t>
    <phoneticPr fontId="4" type="noConversion"/>
  </si>
  <si>
    <t>outbreak has occurred among intravenous drug users and primarily involves the use of the high-powered prescription painkiller opana</t>
  </si>
  <si>
    <t>gov. mike pence approved a short-term needle exchange program two weeks ago to help combat the problem</t>
  </si>
  <si>
    <t>the growing number could put pressure on pence to extend the needle exchange program that he approved on march 26 .</t>
    <phoneticPr fontId="4" type="noConversion"/>
  </si>
  <si>
    <t>10-4</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</si>
  <si>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</si>
  <si>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 xml:space="preserve">derek lowe , 38 , and tina lowe , 33 , were struck and killed by an amtrak train shortly before 10am on sunday in durham , north carolina .  train no. 80 , the carolinian , was headed from charlotte to new york city when the accident occurred on property owned by norfolk-southern .  authorities say none of the 166 passengers on the train were injured . </t>
    <phoneticPr fontId="4" type="noConversion"/>
  </si>
  <si>
    <t>they were homeless</t>
    <phoneticPr fontId="4" type="noConversion"/>
  </si>
  <si>
    <t>11-4</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</si>
  <si>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</si>
  <si>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 xml:space="preserve">
arsenal fan made his girlfriend sit a test about his favourite football club .  saskia 's feedback she ` could have performed better on q17 '  alexis sanchez is arsenal the best team to ever grace english football .  saskia scored 87 per cent in a school exam . </t>
    <phoneticPr fontId="4" type="noConversion"/>
  </si>
  <si>
    <t>saskia--boyfriend</t>
    <phoneticPr fontId="4" type="noConversion"/>
  </si>
  <si>
    <t xml:space="preserve">she ` could have performed better on q17 ' </t>
    <phoneticPr fontId="4" type="noConversion"/>
  </si>
  <si>
    <t>alexis sanchez</t>
    <phoneticPr fontId="4" type="noConversion"/>
  </si>
  <si>
    <t>is</t>
    <phoneticPr fontId="4" type="noConversion"/>
  </si>
  <si>
    <t xml:space="preserve">arsenal the best team to ever grace english football </t>
    <phoneticPr fontId="4" type="noConversion"/>
  </si>
  <si>
    <t>school</t>
    <phoneticPr fontId="4" type="noConversion"/>
  </si>
  <si>
    <t>arsenal fan 's girlfriend avoids getting dumped after passing football test</t>
    <phoneticPr fontId="4" type="noConversion"/>
  </si>
  <si>
    <t>needs to work on her player positions</t>
  </si>
  <si>
    <t>woman posted pictures of boyfriend 's test on twitter</t>
    <phoneticPr fontId="4" type="noConversion"/>
  </si>
  <si>
    <t>12-4</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</si>
  <si>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</si>
  <si>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 xml:space="preserve">carlos toro , 66 , worked as a mid-level member of the medellin cartel in the 1980s when a confrontation with his boss caused him to flee from colombia fearing for his life .  toro came to the united states and eventually began working for the dea as an informant .  carlos lehder rivas of colombia was taken down thanks in part to fomer medellin cartel member toro . </t>
    <phoneticPr fontId="4" type="noConversion"/>
  </si>
  <si>
    <t>carlos toro , 66 , worked as a mid-level member of the medellin cartel in the 1980s when a confrontation with his boss caused him to flee from colombia fearing for his life .</t>
    <phoneticPr fontId="4" type="noConversion"/>
  </si>
  <si>
    <t xml:space="preserve">toro came to the united states and eventually began working for the dea as an informant . </t>
    <phoneticPr fontId="4" type="noConversion"/>
  </si>
  <si>
    <t>12-4</t>
  </si>
  <si>
    <t>carlos toro was promised he could stay in the us but is facing deportation</t>
    <phoneticPr fontId="4" type="noConversion"/>
  </si>
  <si>
    <t>being sent back to native country of colombia would be ` death sentence '</t>
    <phoneticPr fontId="4" type="noConversion"/>
  </si>
  <si>
    <t>also provided information on former dictator of panama manuel noriega</t>
    <phoneticPr fontId="4" type="noConversion"/>
  </si>
  <si>
    <t>he is hoping for visa or green card but ca n't yet collect social security</t>
    <phoneticPr fontId="4" type="noConversion"/>
  </si>
  <si>
    <t>13-4</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</si>
  <si>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</si>
  <si>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 xml:space="preserve">the former all black , who denies the allegations , was arrested last night after his team was defeated in the european challenge cup .  he had come off injured during connacht 's 14-7 defeat at gloucester last night when he was approached by police .  married muliaina is accused of assaulting the woman in a crowded bar in the brewery quarter of cardiff city centre after his irish team connacht played against cardiff blues . </t>
    <phoneticPr fontId="4" type="noConversion"/>
  </si>
  <si>
    <t>muliaina was held in cells overnight and questioned by officers in cardiff</t>
  </si>
  <si>
    <t>mils muliaina</t>
    <phoneticPr fontId="4" type="noConversion"/>
  </si>
  <si>
    <t>14-4</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</si>
  <si>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</si>
  <si>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kevin spacey reportedly paid have his name removed from one of the '  sucks ' domains opened on 30 march .  taylor swift has also had to spend defensively in the past to remove her name from '  porn ' domains .  it has recommended charging $ 2,499 a year for the privilege .</t>
    <phoneticPr fontId="4" type="noConversion"/>
  </si>
  <si>
    <t xml:space="preserve">  taylor swift has also had to spend defensively in the past to remove her name from '  porn ' domains . </t>
    <phoneticPr fontId="4" type="noConversion"/>
  </si>
  <si>
    <t>porn</t>
    <phoneticPr fontId="4" type="noConversion"/>
  </si>
  <si>
    <t>youtube , bing , visa , bank of america and yahoo among others targeted</t>
    <phoneticPr fontId="4" type="noConversion"/>
  </si>
  <si>
    <t>us regulator will see if the actions of vox populi registry ltd. were illegal</t>
    <phoneticPr fontId="4" type="noConversion"/>
  </si>
  <si>
    <t>15-4</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</si>
  <si>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</si>
  <si>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 xml:space="preserve">a teenager set herself on fire after allegedly being raped by five men from her village in india .  she was allegedly gang-raped on sunday when she went outside her house in kosi kalan , in uttar pradesh 's mathura district .  she is now fighting for her life in delhi 's safdarjung hospital with 70 per cent burns . </t>
    <phoneticPr fontId="4" type="noConversion"/>
  </si>
  <si>
    <t>her brother apparently saw her covered in flames and threw water on her</t>
    <phoneticPr fontId="4" type="noConversion"/>
  </si>
  <si>
    <t>to</t>
    <phoneticPr fontId="4" type="noConversion"/>
  </si>
  <si>
    <t xml:space="preserve"> relieve </t>
    <phoneticPr fontId="4" type="noConversion"/>
  </si>
  <si>
    <t>16-4</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</si>
  <si>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</si>
  <si>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 xml:space="preserve">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 </t>
    <phoneticPr fontId="4" type="noConversion"/>
  </si>
  <si>
    <t>Accuracy</t>
    <phoneticPr fontId="4" type="noConversion"/>
  </si>
  <si>
    <t>cps may now charge her with failing to register the birth and preventing a lawful burial</t>
    <phoneticPr fontId="4" type="noConversion"/>
  </si>
  <si>
    <t>17-4</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</si>
  <si>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</si>
  <si>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robin van persie said he was fit to feature in the game against manchester city on sunday after ankle trouble but van gaal has ruled him out .  louis van gaal said van persie is not yet fit enough to play .  united boss van persie will not return to manchester united on sunday .</t>
    <phoneticPr fontId="4" type="noConversion"/>
  </si>
  <si>
    <t>manchester united face manchester city in the premier league on Sunday</t>
    <phoneticPr fontId="4" type="noConversion"/>
  </si>
  <si>
    <t>18-4</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</si>
  <si>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</si>
  <si>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 xml:space="preserve">kristopher hicks was on his way home from a taxi driven by michael young , 56 , five years ago .  he mistakenly believed mr hicks was planning to ` do a runner ' and decided to drive him back to the rank in a bid to teach him a lesson .  mr hicks suffered devastating brain injuries , developed epilepsy and now requires round-the-clock care from his mother . </t>
    <phoneticPr fontId="4" type="noConversion"/>
  </si>
  <si>
    <t>judge rules mr hicks was unlawfully imprisoned and will now get damages</t>
    <phoneticPr fontId="4" type="noConversion"/>
  </si>
  <si>
    <t>20-4</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</si>
  <si>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</si>
  <si>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 64 a ticket ' the cheapest tickets for the lunchtime kick-off were # 64 .  arsenal and liverpool fans left their seats empty at the emirates stadium .  supporters from both clubs say they are ` disgusted ' at the rise of ticket prices .</t>
    <phoneticPr fontId="4" type="noConversion"/>
  </si>
  <si>
    <t xml:space="preserve"># 64 a ticket ' the cheapest tickets for the lunchtime kick-off were # 64 </t>
    <phoneticPr fontId="4" type="noConversion"/>
  </si>
  <si>
    <t>as</t>
    <phoneticPr fontId="4" type="noConversion"/>
  </si>
  <si>
    <t>20-4</t>
  </si>
  <si>
    <t>part</t>
    <phoneticPr fontId="4" type="noConversion"/>
  </si>
  <si>
    <t>of</t>
    <phoneticPr fontId="4" type="noConversion"/>
  </si>
  <si>
    <t>a</t>
    <phoneticPr fontId="4" type="noConversion"/>
  </si>
  <si>
    <t>protest</t>
    <phoneticPr fontId="4" type="noConversion"/>
  </si>
  <si>
    <t>more protests are expected after the lunchtime kick-off at the emirates</t>
    <phoneticPr fontId="4" type="noConversion"/>
  </si>
  <si>
    <t>21-4</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</si>
  <si>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</si>
  <si>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new : three of the sightings were near aetna .  new : `` nighttime tornadoes are the most deadly , '' spotters expert says .  `` there will be storms pop up all night long , '' a expert says .</t>
    <phoneticPr fontId="4" type="noConversion"/>
  </si>
  <si>
    <t>new</t>
    <phoneticPr fontId="4" type="noConversion"/>
  </si>
  <si>
    <t xml:space="preserve"> three of the sightings were near aetna . </t>
    <phoneticPr fontId="4" type="noConversion"/>
  </si>
  <si>
    <t>21-4</t>
  </si>
  <si>
    <t>`` nighttime tornadoes are the most deadly , '' spotters expert says</t>
    <phoneticPr fontId="4" type="noConversion"/>
  </si>
  <si>
    <t>` there will be storms pop up all night long , '' a expert says .</t>
    <phoneticPr fontId="4" type="noConversion"/>
  </si>
  <si>
    <t>kansas spotters report at least four tornadoes</t>
    <phoneticPr fontId="4" type="noConversion"/>
  </si>
  <si>
    <t>potosi , missouri , sees wind damage to roofs and some flooding</t>
    <phoneticPr fontId="4" type="noConversion"/>
  </si>
  <si>
    <t>thursday 's forecast calls for more storms but to the east</t>
    <phoneticPr fontId="4" type="noConversion"/>
  </si>
  <si>
    <t>22-4</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</si>
  <si>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</si>
  <si>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 xml:space="preserve">jade reader said she was ` overcome with emotion ' when her twin sister shanell gave up her liver to save niece star within days of being born in barnsley , west yorkshire .  doctors discovered the baby 's bile ducts were blocked , a condition which can prove fatal if untreated .  her parents , jade reader and matthew bygrave , were told the infant would need a liver transplant in order to survive . </t>
    <phoneticPr fontId="4" type="noConversion"/>
  </si>
  <si>
    <t>neither of her parents were suitable candidates for partial liver transplant</t>
    <phoneticPr fontId="4" type="noConversion"/>
  </si>
  <si>
    <t>her maternal aunt shanell was the best chance she had at survival</t>
  </si>
  <si>
    <t>star underwent operation in leeds in november and has since recovered</t>
    <phoneticPr fontId="4" type="noConversion"/>
  </si>
  <si>
    <t>23-4</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</si>
  <si>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</si>
  <si>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luke rockhold beat machida machida in new jersey on saturday .  the californian is bidding for his fourth consecutive victory since beating belfort two years ago .  machida machida has a title shot in his position .</t>
    <phoneticPr fontId="4" type="noConversion"/>
  </si>
  <si>
    <t>beat</t>
    <phoneticPr fontId="4" type="noConversion"/>
  </si>
  <si>
    <t>beating</t>
    <phoneticPr fontId="4" type="noConversion"/>
  </si>
  <si>
    <t xml:space="preserve"> machida</t>
    <phoneticPr fontId="4" type="noConversion"/>
  </si>
  <si>
    <t>24-4</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</si>
  <si>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</si>
  <si>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eden hazard and nathan ake paired up to take on loic remy and willian .  hazard and ake took part in audi 's football challenge .  chelsea stars in round one from close range .</t>
    <phoneticPr fontId="4" type="noConversion"/>
  </si>
  <si>
    <t xml:space="preserve"> hazard and ake</t>
    <phoneticPr fontId="4" type="noConversion"/>
  </si>
  <si>
    <t>willian accidentally smashes the wing mirror of one of the audi 's</t>
    <phoneticPr fontId="4" type="noConversion"/>
  </si>
  <si>
    <t>24-4</t>
  </si>
  <si>
    <t xml:space="preserve">fire balls </t>
    <phoneticPr fontId="4" type="noConversion"/>
  </si>
  <si>
    <t>into</t>
    <phoneticPr fontId="4" type="noConversion"/>
  </si>
  <si>
    <t>boots</t>
    <phoneticPr fontId="4" type="noConversion"/>
  </si>
  <si>
    <t xml:space="preserve"> chelsea stars in round one from close range .</t>
    <phoneticPr fontId="4" type="noConversion"/>
  </si>
  <si>
    <t>25-4</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</si>
  <si>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</si>
  <si>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 xml:space="preserve">captured in fort pierce , florida , footage shows light general aviation aircraft .  landing gear has not been deployed and scratches along the tarmac .  plane 's propellers have been damaged in the collision with the runway . </t>
    <phoneticPr fontId="4" type="noConversion"/>
  </si>
  <si>
    <t>approaching</t>
    <phoneticPr fontId="4" type="noConversion"/>
  </si>
  <si>
    <t>at speed</t>
    <phoneticPr fontId="4" type="noConversion"/>
  </si>
  <si>
    <t>25-4</t>
  </si>
  <si>
    <t>its propellers ricochet off the ground before pilot re-engages engines</t>
    <phoneticPr fontId="4" type="noConversion"/>
  </si>
  <si>
    <t xml:space="preserve">plane 's propellers have been damaged in the collision with the runway . </t>
    <phoneticPr fontId="4" type="noConversion"/>
  </si>
  <si>
    <t>aircraft takes off and flies 100 miles away to fort lauderdale , florida</t>
    <phoneticPr fontId="4" type="noConversion"/>
  </si>
  <si>
    <t>26-4</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</si>
  <si>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</si>
  <si>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 xml:space="preserve">robert dellinger , 54 , told investigators he was trying to kill himself in december 2013 when he drove his pickup truck across a median at more than 100mph and plowed into an oncoming suv .  john timmons , 29 , and amanda murphy , 24 , were killed instantly in the crash on december 7 , 2013 .  dellinger pleaded guilty in february to negligent homicide in the deaths of the young couple and to one count of assault for the fetus ' death . </t>
    <phoneticPr fontId="4" type="noConversion"/>
  </si>
  <si>
    <t>murphy was eight months pregnant with their first child , a girl</t>
  </si>
  <si>
    <t>he faces 12 to 24 years in prison when sentencing resumes thursday</t>
    <phoneticPr fontId="4" type="noConversion"/>
  </si>
  <si>
    <t>deborah dellinger , defendant 's wife , described her husband from the witness stand as a ` man of ethics , integrity and friendship '</t>
  </si>
  <si>
    <t>27-4</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</si>
  <si>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</si>
  <si>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 xml:space="preserve">manchester city midfielder yaya toure has been disappointed by the ivory coast midfielder 's level .  manuel pellegrini admits he is disappointed by yaya toure .  toure has come in for criticism for city 's premier league campaign . </t>
    <phoneticPr fontId="4" type="noConversion"/>
  </si>
  <si>
    <t>midfielder</t>
  </si>
  <si>
    <t>yaya toure</t>
  </si>
  <si>
    <t xml:space="preserve"> toure has come in for criticism for city 's premier league campaign . </t>
  </si>
  <si>
    <t>27-4</t>
  </si>
  <si>
    <t>sportsmail revealed manchester city would listen to offers for yaya toure</t>
  </si>
  <si>
    <t>but the city boss has vowed to support him until the end of the season</t>
  </si>
  <si>
    <t>manchester city face west ham at upton park on sunday</t>
  </si>
  <si>
    <t>sam allardyce has warned aaron cresswell about joining manchester city</t>
  </si>
  <si>
    <t>28-4</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</si>
  <si>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</si>
  <si>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 xml:space="preserve">lacey spears of scottsville , kentucky , appeared emotionless as the verdict was read in the death of her son garnett-paul spears .  the boy 's father chris hill was spared the maximum 25 years to life and instead received 20 .  she wrote of his wife 's sentence ; ` crazy a ** woman needs to be beat to death in prison . </t>
    <phoneticPr fontId="4" type="noConversion"/>
  </si>
  <si>
    <t>father</t>
    <phoneticPr fontId="4" type="noConversion"/>
  </si>
  <si>
    <t>chris hill</t>
    <phoneticPr fontId="4" type="noConversion"/>
  </si>
  <si>
    <t>28-4</t>
  </si>
  <si>
    <t xml:space="preserve">  the boy 's father chris hill was spared the maximum 25 years to life and instead received 20 .  </t>
  </si>
  <si>
    <t>lacey spears of scottsville , kentucky , was found guilty last month of second-degree murder in the death of garnett-paul spears</t>
  </si>
  <si>
    <t>the 27-year-old spears force-fed heavy concentrations of sodium through the boy 's stomach tube</t>
  </si>
  <si>
    <t>judge who sentenced spears on wednesday said she suffers from a mental illness and said the crime was still ` unfathomable in its cruelty '</t>
  </si>
  <si>
    <t>29-4</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</si>
  <si>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</si>
  <si>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 xml:space="preserve">domenico rancadore , who has lived in britain for 20 years , was given a seven-year sentence by an italian court in 1999 for being a member of the cosa nostra .  he lost his year-and-a-half battle against extradition and was told he must return to italy to serve his sentence .  rancadore 's case expired last october and his european arrest warrant is to be withdrawn . </t>
    <phoneticPr fontId="4" type="noConversion"/>
  </si>
  <si>
    <t>he was convicted for role as a ` man of honour ' , taking bribes from builders</t>
  </si>
  <si>
    <t>30-4</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</si>
  <si>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</si>
  <si>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 xml:space="preserve">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flu .  experts say the modified version of the vaccination is worth waiting for . </t>
    <phoneticPr fontId="4" type="noConversion"/>
  </si>
  <si>
    <t xml:space="preserve">experts say the modified version of the vaccination is worth waiting for . </t>
  </si>
  <si>
    <t>high-risk groups in australia will be able to get free flu shots from april 20</t>
  </si>
  <si>
    <t>31-4</t>
    <phoneticPr fontId="4" type="noConversion"/>
  </si>
  <si>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</si>
  <si>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 xml:space="preserve">ap mccoy 's mount in the grade one celebration chase at sandown on saturday has been installed as one of three 7-2 co-favourites in the seven-runner line-up .  mr mole will be mccoy 's last ride in a grade one race .  ap mccoy and nicky henderson 's sprinter sacre will have six rivals in the celebration at sandown to be ridden by cheltenham gold cup winner nico de boinville in chase of injured barry geraghty . </t>
    <phoneticPr fontId="4" type="noConversion"/>
  </si>
  <si>
    <t xml:space="preserve">ap mccoy and nicky henderson 's sprinter sacre will have six rivals in the celebration at sandown to be ridden by cheltenham gold cup winner nico de boinville in chase of injured barry geraghty . </t>
  </si>
  <si>
    <t>ap mccoy 's mount mr mole is bracketed with special tiara and sprinter sacre for saturday 's race</t>
  </si>
  <si>
    <t>32-4</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</si>
  <si>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</si>
  <si>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 xml:space="preserve">the popular tourist site was pilloried in this month 's issue of national geographic magazine as having ` all the historical character of an office lobby '  president lincoln was assassinated by john wilkes booth at a performance of the play ` our american cousin ' in april 1865 .  he would roll the agency into another department .  for the state , even as they commemorate the 150th anniversary of the u.s. civil war president 's assassination . </t>
    <phoneticPr fontId="4" type="noConversion"/>
  </si>
  <si>
    <t>president lincoln was assassinated by john wilkes booth at a performance of the play ` our american cousin ' in april 1865 .</t>
  </si>
  <si>
    <t>he</t>
    <phoneticPr fontId="4" type="noConversion"/>
  </si>
  <si>
    <t>32-4</t>
  </si>
  <si>
    <t xml:space="preserve">for the state , even as they commemorate the 150th anniversary of the u.s. civil war president 's assassination . </t>
  </si>
  <si>
    <t>caretakers of lincoln 's tomb are on the defensive over an unflattering magazine critique and looming budget cuts</t>
  </si>
  <si>
    <t>gov. bruce rauner has proposed eliminating the state historic preservation agency , which manages the tomb</t>
  </si>
  <si>
    <t>lincoln 's tomb was designed by vermont sculptor larkin mead , who won a national contest</t>
  </si>
  <si>
    <t>it was dedicated by president ulysses s. grant in 1874</t>
  </si>
  <si>
    <t>the tomb was reconstructed in both 1899 and 1930</t>
  </si>
  <si>
    <t>33-4</t>
    <phoneticPr fontId="4" type="noConversion"/>
  </si>
  <si>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</si>
  <si>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 xml:space="preserve">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t>
    <phoneticPr fontId="4" type="noConversion"/>
  </si>
  <si>
    <t xml:space="preserve"> marcia 's body was found 33 days after she disappeared and ritter 's then-husband advised her against seeing the body and the crime scene photos . </t>
  </si>
  <si>
    <t xml:space="preserve"> charlie , who died in 1989 , wanted their last memory to be of her running in and out of the house . </t>
  </si>
  <si>
    <t>33-4</t>
  </si>
  <si>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</si>
  <si>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</si>
  <si>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</si>
  <si>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34-4</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</si>
  <si>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</si>
  <si>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 xml:space="preserve">jcno , the bucket hat , is set to be the brand 's first ` rave ' jeans .  it has the worst offenders , and it is the first time in the world .  jnco , a bucket hat and calvin klein t-shirts are all the worst . </t>
    <phoneticPr fontId="4" type="noConversion"/>
  </si>
  <si>
    <t>the</t>
    <phoneticPr fontId="4" type="noConversion"/>
  </si>
  <si>
    <t xml:space="preserve">bucket hat </t>
    <phoneticPr fontId="4" type="noConversion"/>
  </si>
  <si>
    <t>34-4</t>
  </si>
  <si>
    <t>it</t>
  </si>
  <si>
    <t xml:space="preserve">worst </t>
  </si>
  <si>
    <t>jcno , the bucket hat , is set to be the brand 's first ` rave ' jeans .</t>
  </si>
  <si>
    <t xml:space="preserve"> it has the worst offenders , and it is the first time in the world </t>
  </si>
  <si>
    <t xml:space="preserve">jnco , a bucket hat and calvin klein t-shirts are all the worst . </t>
  </si>
  <si>
    <t>jnco ` rave jean 's are on their way back</t>
  </si>
  <si>
    <t>other 90s/00s trends here to stay include uggs , velour and corsets</t>
  </si>
  <si>
    <t>35-4</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</si>
  <si>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</si>
  <si>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 xml:space="preserve">rory mcilroy tees off at the arnold palmer invitational golf tournament in orlando on march 19 .  mcilroy has just one top-10 finish to win all four major titles after gene sarazen , ben hogan , gary player , jack nicklaus and tiger woods .  mcilroy believes it is ` unthinkable ' that he will not win the masters at some point to complete the career grand slam . </t>
    <phoneticPr fontId="4" type="noConversion"/>
  </si>
  <si>
    <t>rory mcilroy tees off at the arnold palmer invitational golf tournament in orlando on march 19 .</t>
  </si>
  <si>
    <t xml:space="preserve">mcilroy believes it is ` unthinkable ' that he will not win the masters at some point to complete the career grand slam . </t>
  </si>
  <si>
    <t>35-4</t>
  </si>
  <si>
    <t>final-round collapse at augusta national in 2011 was the most important day of career , mcilroy reveals</t>
  </si>
  <si>
    <t>the northern irishman finished joint eighth last year</t>
  </si>
  <si>
    <t>37-4</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</si>
  <si>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</si>
  <si>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 xml:space="preserve">klopp will leave borussia dortmund at the end of the season after seven years in charge .  colourful 47-year-old coach has been linked with several other teams .  jurgen klopp said dortmund need a change of manager next season . </t>
    <phoneticPr fontId="4" type="noConversion"/>
  </si>
  <si>
    <t xml:space="preserve"> colourful 47-year-old coach has been linked with several other teams .</t>
  </si>
  <si>
    <t>he has denied that he wants to take a break because of exhaustion</t>
  </si>
  <si>
    <t>klopp has won two bundesliga titles and the german cup at dortmund</t>
  </si>
  <si>
    <t>36-4</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</si>
  <si>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</si>
  <si>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 xml:space="preserve">amanda curtis is ceo of a fashion company .  in china , hiring exotic dancers to perform at wakes is an option .  rdj alice barker has n't been seen since the new york area . </t>
    <phoneticPr fontId="4" type="noConversion"/>
  </si>
  <si>
    <t xml:space="preserve">amanda curtis is ceo of a fashion company . </t>
  </si>
  <si>
    <t xml:space="preserve"> in china , hiring exotic dancers to perform at wakes is an option .</t>
  </si>
  <si>
    <t>36-4</t>
  </si>
  <si>
    <t>option</t>
    <phoneticPr fontId="4" type="noConversion"/>
  </si>
  <si>
    <t>rdj</t>
    <phoneticPr fontId="4" type="noConversion"/>
  </si>
  <si>
    <t>alice barker</t>
    <phoneticPr fontId="4" type="noConversion"/>
  </si>
  <si>
    <t xml:space="preserve"> rdj alice barker has n't been seen since the new york area . </t>
  </si>
  <si>
    <t>what do funeral strippers , a quadruple rainbow and kylie jenner have in common ? they all trended this week !</t>
  </si>
  <si>
    <t>38-4</t>
    <phoneticPr fontId="4" type="noConversion"/>
  </si>
  <si>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</si>
  <si>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 xml:space="preserve">serena williams beat sloane stephens 6-1 , 7-5 in the miami open .  williams beat sabine lisicki in three sets on wednesday .  williams will face romania 's simona halep for a place in the final . </t>
    <phoneticPr fontId="4" type="noConversion"/>
  </si>
  <si>
    <t>serena williams</t>
  </si>
  <si>
    <t>serena williams beat sloane stephens 6-1 , 7-5 in the miami open .</t>
  </si>
  <si>
    <t xml:space="preserve">williams will face romania 's simona halep for a place in the final . </t>
  </si>
  <si>
    <t>38-4</t>
  </si>
  <si>
    <t>7-6</t>
    <phoneticPr fontId="4" type="noConversion"/>
  </si>
  <si>
    <t>1-6</t>
    <phoneticPr fontId="4" type="noConversion"/>
  </si>
  <si>
    <t>6-3</t>
    <phoneticPr fontId="4" type="noConversion"/>
  </si>
  <si>
    <t>world no 1 presented with cake after 700th career victory</t>
  </si>
  <si>
    <t>andy murray was similarly given reward after 500th career win</t>
  </si>
  <si>
    <t>39-4</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</si>
  <si>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</si>
  <si>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 xml:space="preserve">272 youngsters left disabled by foetal alcohol syndrome were hospitalised in england over the past 12 months .  but at least one in 100 babies born in the uk could suffer learning , behavioural and physical problems because of exposure to alcohol in the womb .  in total , hundreds of children were admitted to hospital last year after being born brain damaged by their mother ' s drinking could be greater . </t>
    <phoneticPr fontId="4" type="noConversion"/>
  </si>
  <si>
    <t>and</t>
    <phoneticPr fontId="4" type="noConversion"/>
  </si>
  <si>
    <t>number</t>
    <phoneticPr fontId="4" type="noConversion"/>
  </si>
  <si>
    <t>40-4</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</si>
  <si>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</si>
  <si>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 xml:space="preserve">in pakistan , free speech is dangerous .  mahmud died from five bullet wounds .  she is expected to be released on time for her daughter 's funeral . </t>
    <phoneticPr fontId="4" type="noConversion"/>
  </si>
  <si>
    <t>in pakistan , free speech is dangerous .</t>
  </si>
  <si>
    <t>mahmud died from five bullet wounds .</t>
  </si>
  <si>
    <t>40-4</t>
  </si>
  <si>
    <t xml:space="preserve">she is expected to be released on time for her daughter 's funeral . </t>
  </si>
  <si>
    <t>she hosted a controversial discussion on the disappearance of people</t>
  </si>
  <si>
    <t>she knew what she was doing was dangerous and had received death threats before</t>
  </si>
  <si>
    <t>mahmud loved books , jimi hendrix and discussions about human rights</t>
  </si>
  <si>
    <t>41-4</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</si>
  <si>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</si>
  <si>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 xml:space="preserve">boomerang boy or homing pigeon boy burst into shildon post office and stores , county durham , at 8pm on march 15 .  masked 31-year-old waved an axe as he demanded cash from terrified assistant andrea brighty , but did not see owner sab dhillon 's rugby tackle .  mr dhillon 's wife sam helped to make him drop the weapon . </t>
    <phoneticPr fontId="4" type="noConversion"/>
  </si>
  <si>
    <t>masked 31-year-old waved an axe as he demanded cash from terrified assistant andrea brighty , but did not see owner sab dhillon 's rugby tackle .</t>
  </si>
  <si>
    <t xml:space="preserve">mr dhillon 's wife sam helped to make him drop the weapon . </t>
  </si>
  <si>
    <t>41-4</t>
  </si>
  <si>
    <t>an axe-wielding robber has been jailed for attempting to rob a corner shop</t>
  </si>
  <si>
    <t>shaun andrew mckerry , 31 , had been arrested 80 times by the age of 15</t>
  </si>
  <si>
    <t>42-4</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</si>
  <si>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</si>
  <si>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 xml:space="preserve">mangu ram was 14 when he fled to kashmir as a refugee - now an old man .  prime minister narendra modi 's hindu nationalist party won share of power in india 's state elections .  ram , a hindu , was born in punjab province . </t>
    <phoneticPr fontId="4" type="noConversion"/>
  </si>
  <si>
    <t xml:space="preserve">mangu ram was 14 when he fled to kashmir as a refugee - now an old man . </t>
  </si>
  <si>
    <t xml:space="preserve"> ram , a hindu , was born in punjab province . </t>
  </si>
  <si>
    <t>42-4</t>
  </si>
  <si>
    <t>prime minister narendra modi 's hindu nationalist party won share of power in india 's state elections .</t>
  </si>
  <si>
    <t>thousands of people caught in poverty because successive governments refuse to change their refugee status</t>
  </si>
  <si>
    <t>laws mean that the west pakistan refugees living in jammur and kashmir can not vote in elections or own property</t>
  </si>
  <si>
    <t>hopes that election of hindu nationalist party as a coalition partner could herald historic change for the community</t>
  </si>
  <si>
    <t>43-4</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</si>
  <si>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</si>
  <si>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 xml:space="preserve">the four men appeared in turn in a courtroom in dartmouth , near halifax .  they were given identical but unusual bail conditions could see them live on a naval base for the next few years .  two of the accused , simon radford , 31 , of gosport , hampshire , and his co-accused were ordered to surrender their passports as part of their bail conditions . </t>
    <phoneticPr fontId="4" type="noConversion"/>
  </si>
  <si>
    <t>that</t>
    <phoneticPr fontId="4" type="noConversion"/>
  </si>
  <si>
    <t>simon radford</t>
  </si>
  <si>
    <t>43-4</t>
  </si>
  <si>
    <t>the four men appeared in turn in a courtroom in dartmouth , near halifax .</t>
  </si>
  <si>
    <t xml:space="preserve">two of the accused , simon radford , 31 , of gosport , hampshire , and his co-accused were ordered to surrender their passports as part of their bail conditions . </t>
  </si>
  <si>
    <t>they are charged with raping a 21-year-old woman at military base party</t>
  </si>
  <si>
    <t>men were in canada playing a hockey tournament with canadian forces</t>
  </si>
  <si>
    <t>44-4</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</si>
  <si>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</si>
  <si>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 xml:space="preserve">fc tokyo forward yoshinori muto has admitted that he is still considering whether to join chelsea this summer .  chelsea have made an offer for muto to partner club vitesse arnhem next season but the 22-year-old is keen to join a club .  muto muto has a shot against shonan bellmare during a j-league clash . </t>
    <phoneticPr fontId="4" type="noConversion"/>
  </si>
  <si>
    <t>chelsea have made an offer for muto to partner club vitesse arnhem next season but the 22-year-old is keen to join a club</t>
  </si>
  <si>
    <t>44-4</t>
  </si>
  <si>
    <t>moto</t>
    <phoneticPr fontId="4" type="noConversion"/>
  </si>
  <si>
    <t xml:space="preserve">muto muto has a shot against shonan bellmare during a j-league clash . </t>
  </si>
  <si>
    <t>muto 's former manager , ranko popovic , says his potential is ` amazing '</t>
  </si>
  <si>
    <t>jose mourinho has admitted that he is aware of the japan international</t>
  </si>
  <si>
    <t>45-4</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</si>
  <si>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</si>
  <si>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 xml:space="preserve">rj jackson is one of just 70 people in the world who suffers netherton 's syndrome .  his skin appears red and inflamed , and is often covered in dry skin that appears like scales on his body .  mrs jackson was suddenly surrounded by armed police , who had been called by a member of the public . </t>
    <phoneticPr fontId="4" type="noConversion"/>
  </si>
  <si>
    <t xml:space="preserve"> mrs jackson was suddenly surrounded by armed police , who had been called by a member of the public . </t>
  </si>
  <si>
    <t>mother valerie jackson is regularly accused of ` scalding or burning ' him</t>
  </si>
  <si>
    <t>says rj faces cruel taunts from bullies - most of whom are ignorant adults</t>
  </si>
  <si>
    <t>46-4</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</si>
  <si>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</si>
  <si>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 xml:space="preserve">stuart lancaster must be free to pick his best players .  matt giteau and drew mitchell for toulon .  toulon 's steffon armitage takes on leinster in champions cup semi-final . </t>
    <phoneticPr fontId="4" type="noConversion"/>
  </si>
  <si>
    <t xml:space="preserve">stuart lancaster must be free to pick his best players . </t>
  </si>
  <si>
    <t>are</t>
    <phoneticPr fontId="4" type="noConversion"/>
  </si>
  <si>
    <t>46-4</t>
  </si>
  <si>
    <t>top-class</t>
    <phoneticPr fontId="4" type="noConversion"/>
  </si>
  <si>
    <t>performers</t>
    <phoneticPr fontId="4" type="noConversion"/>
  </si>
  <si>
    <t xml:space="preserve">toulon 's steffon armitage takes on leinster in champions cup semi-final . </t>
  </si>
  <si>
    <t>australia have seen sense by revamping their overseas selection policy</t>
  </si>
  <si>
    <t>it leaves england looking old-fashioned and they need to react</t>
  </si>
  <si>
    <t>england need the best squad possible for the forthcoming world cup</t>
  </si>
  <si>
    <t>47-4</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</si>
  <si>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</si>
  <si>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 xml:space="preserve">campaigners against the new protein world ` are you beach body ready ? '  transport for london said adverts are being removed .  change.org petition calling for adverts to be pulled has already attracted 50,000 signatures .  advertising standards authority has also been defaced by bloggers . </t>
    <phoneticPr fontId="4" type="noConversion"/>
  </si>
  <si>
    <t xml:space="preserve">change.org petition calling for adverts to be pulled has already attracted 50,000 signatures .  </t>
  </si>
  <si>
    <t xml:space="preserve">advertising standards authority has also been defaced by bloggers . </t>
  </si>
  <si>
    <t>47-4</t>
  </si>
  <si>
    <t>tfl say protein world has come to end of three-week ad placement period</t>
  </si>
  <si>
    <t>48-4</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</si>
  <si>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</si>
  <si>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 xml:space="preserve">developers at open garden have built a small egg-shaped gadget that acts like a beacon , or booster , to help messages move around so-called wireless mesh networks more easily .  firechat launched last year and has been downloaded more than five million times .  it creates what 's called a wireless mesh network that connects phones to each other . </t>
    <phoneticPr fontId="4" type="noConversion"/>
  </si>
  <si>
    <t xml:space="preserve">firechat launched last year and has been downloaded more than five million times . </t>
  </si>
  <si>
    <t>both use an ios feature called multipeer connectivity framework ( mcf )</t>
  </si>
  <si>
    <t>48-4</t>
  </si>
  <si>
    <t>instead of sending messages using a mobile signal , the free app and gadget create a localised network where each mobile becomes a ` node '</t>
  </si>
  <si>
    <t>49-4</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</si>
  <si>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</si>
  <si>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 xml:space="preserve">prime minister has requested first great western ` urgently review ' decision to almost double some fares on the route between london and cotswolds .  mr cameron has promised to freeze fares in real terms for the next parliament .  labour also pledged to bring in a ` cap ' on price hikes . </t>
    <phoneticPr fontId="4" type="noConversion"/>
  </si>
  <si>
    <t xml:space="preserve">mr cameron has promised to freeze fares in real terms for the next parliament .  labour also pledged to bring in a ` cap ' on price hikes . </t>
  </si>
  <si>
    <t>passengers in his witney constituency could face increases of up to 87 % comes after mr cameron pledged to freeze fares for whole of next term</t>
  </si>
  <si>
    <t>49-4</t>
  </si>
  <si>
    <t>other sharp hikes include virgin 's service between stafford and liverpool</t>
  </si>
  <si>
    <t>50-4</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</si>
  <si>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</si>
  <si>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 xml:space="preserve">lillian bustle , from new jersey , revealed that she calls herself ` short ' , because she is 5 ' 3 '' and ` wife '  ` we as women are programmed to tell each other that we 're not fat is the worst thing that you can be , ' she said in her ted talk .  the word does n't have to be used as a synonym for ` ugly '  the top ` magic wish ' has risen 66 per cent in the past 30 years . </t>
    <phoneticPr fontId="4" type="noConversion"/>
  </si>
  <si>
    <t xml:space="preserve">lillian bustle , from new jersey , revealed that she calls herself ` short ' , because she is 5 ' 3 '' and ` wife ' </t>
  </si>
  <si>
    <t xml:space="preserve">we as women are programmed to tell each other that we 're not fat is the worst thing that you can be , ' she said in her ted talk . </t>
  </si>
  <si>
    <t>50-4</t>
  </si>
  <si>
    <t xml:space="preserve"> the top ` magic wish '</t>
  </si>
  <si>
    <t xml:space="preserve"> the top ` magic wish ' has risen 66 per cent in the past 30 years . </t>
  </si>
  <si>
    <t>she says she likes performing burlesque because it helps open people up to liking different body types</t>
  </si>
  <si>
    <t>the dancer says she 's thrilled at the positive reception her ted talk has received , adding that she believes it means ` body-positivity ' is working</t>
  </si>
  <si>
    <t>51-4</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</si>
  <si>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</si>
  <si>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 xml:space="preserve">john young , 66 , has been left blinded in one eye after being hit in the face with a brick hurled into his home by vandalising yobs .  he suffered an open wound to his forehead and a serious injury to his left eye and was taken to hospital .  doctors were unable to save his eyesight despite undergoing emergency surgery . </t>
    <phoneticPr fontId="4" type="noConversion"/>
  </si>
  <si>
    <t>ex-soldier was sat in living room of oldham home when stones hit window</t>
  </si>
  <si>
    <t>52-4</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</si>
  <si>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</si>
  <si>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 xml:space="preserve">theo walcott was pictured with calum chambers , jack wilshere , mikel arteta , david ospina , mathieu flamini and mesut ozil .  arsenal 's first team stars have posed for an official portrait for paris ' oldest fashion house .  walcott has spent much of the season on the bench . </t>
    <phoneticPr fontId="4" type="noConversion"/>
  </si>
  <si>
    <t>team stars</t>
  </si>
  <si>
    <t xml:space="preserve">arsenal 's first team stars have posed for an official portrait for paris ' oldest fashion house . </t>
  </si>
  <si>
    <t>52-4</t>
  </si>
  <si>
    <t xml:space="preserve">walcott has spent much of the season on the bench . </t>
  </si>
  <si>
    <t>walcott has been named on the bench for 17 of arsenal 's league games</t>
  </si>
  <si>
    <t>53-4</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</si>
  <si>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</si>
  <si>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derbyshire wicketkeeper tom poynton has been rewarded for his successful return from injury .  he missed the entire campaign due to leg injuries sustained in a road accident in which his father keith died last april .  he will be available for the start of the season .</t>
    <phoneticPr fontId="4" type="noConversion"/>
  </si>
  <si>
    <t>54-4</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</si>
  <si>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</si>
  <si>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 xml:space="preserve">the collection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the two face mask from batman forever is valued at , $ 1,500 . </t>
    <phoneticPr fontId="4" type="noConversion"/>
  </si>
  <si>
    <t xml:space="preserve"> the two face mask from batman forever is valued at , $ 1,500 . </t>
  </si>
  <si>
    <t>more than 400 items from rick baker 's cinovation studio will be auctioned</t>
  </si>
  <si>
    <t>54-4</t>
  </si>
  <si>
    <t>artist has worked on hits like men in black , batman forever and gremlins</t>
  </si>
  <si>
    <t>baker worked on michael jackson 's moonwalker film and thriller video</t>
  </si>
  <si>
    <t>56-4</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</si>
  <si>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</si>
  <si>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 xml:space="preserve">harley renshaw was diagnosed with cancer in his kidney , neck , lungs and bones .  but his ninja turtle mask helped him feel stronger while he was having radiotherapy .  harley renshaw has been told he is cancer-free after battling an aggressive form of the disease for a year . </t>
    <phoneticPr fontId="4" type="noConversion"/>
  </si>
  <si>
    <t>he underwent months of gruelling chemotherapy and radiotherapy</t>
  </si>
  <si>
    <t>57-4</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</si>
  <si>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</si>
  <si>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 xml:space="preserve">carwyn scott-howell fell to his death while on holiday with his mother ceri scott-howell , nine-year-old sister antonia and brother gerwyn , 19 , in the alps .  it is thought carwyn scott-howell may have entered the dense woodland because he thought it was a shortcut to his hotel in the ski resort .  carwyn would help feed cows and pigs on the farm . </t>
    <phoneticPr fontId="4" type="noConversion"/>
  </si>
  <si>
    <t>feed</t>
    <phoneticPr fontId="4" type="noConversion"/>
  </si>
  <si>
    <t>cows</t>
    <phoneticPr fontId="4" type="noConversion"/>
  </si>
  <si>
    <t>57-4</t>
  </si>
  <si>
    <t>pigs</t>
    <phoneticPr fontId="4" type="noConversion"/>
  </si>
  <si>
    <t>he went ahead alone when sister fell and his mother stopped to help</t>
  </si>
  <si>
    <t>skied into dense woodland before sliding towards a 164-foot cliff</t>
  </si>
  <si>
    <t>family described him as a ` very daring , outgoing , determined little boy '</t>
  </si>
  <si>
    <t>58-4</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</si>
  <si>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</si>
  <si>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 xml:space="preserve">jack grealish impressed against liverpool and is wanted by the republic of ireland and england .  the 19-year-old starred for villa in their fa cup semi-final win at wembley on sunday .  sherwood wants grealish to force his way into the villa first team . </t>
    <phoneticPr fontId="4" type="noConversion"/>
  </si>
  <si>
    <t>the 19-year-old starred for villa in their fa cup semi-final win at wembley on sunday .</t>
  </si>
  <si>
    <t>grealish will make a decision over international future at end of the season</t>
  </si>
  <si>
    <t>59-4</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</si>
  <si>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</si>
  <si>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 xml:space="preserve">laura scurr , 15 , from whitley bay , was left on a heart machine .  collapsed through starvation but has spoken about pressures on girls to be a size zero .  became obsessed with having perfect figure she would hide food down the side of her bed . </t>
    <phoneticPr fontId="4" type="noConversion"/>
  </si>
  <si>
    <t>laura scurr , 15 , from whitley bay , was left on a heart machine .</t>
  </si>
  <si>
    <t>laura scurr</t>
  </si>
  <si>
    <t>59-4</t>
  </si>
  <si>
    <t xml:space="preserve">became obsessed with having perfect figure she would hide food down the side of her bed . </t>
  </si>
  <si>
    <t>at 13 , laura scurr went on a diet which would turn into a scary obsession</t>
  </si>
  <si>
    <t>laura developed anorexia and would survive on one piece of fruit a day</t>
  </si>
  <si>
    <t>now 15 she has overcome the disorder and is battling back</t>
  </si>
  <si>
    <t>60-4</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</si>
  <si>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</si>
  <si>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 xml:space="preserve">travelling by private jet is a luxury industry for the rich and famous .  2.5 million flights recorded in the us in 2013 and 705,000 in europe .  salzburg , austria , to darwin in australia . </t>
    <phoneticPr fontId="4" type="noConversion"/>
  </si>
  <si>
    <t xml:space="preserve">travelling by private jet is a luxury industry for the rich and famous . </t>
  </si>
  <si>
    <t>2.5 million flights recorded in the us in 2013 and 705,000 in europe .</t>
    <phoneticPr fontId="4" type="noConversion"/>
  </si>
  <si>
    <t>60-4</t>
  </si>
  <si>
    <t>salzburg</t>
  </si>
  <si>
    <t>austria</t>
  </si>
  <si>
    <t>darwin</t>
  </si>
  <si>
    <t>in</t>
    <phoneticPr fontId="4" type="noConversion"/>
  </si>
  <si>
    <t>australia</t>
  </si>
  <si>
    <t>the richest compiled a list of the top airport landing charges</t>
  </si>
  <si>
    <t>prices are based on landing a private 767-400 jet carrier</t>
  </si>
  <si>
    <t>61-4</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</si>
  <si>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</si>
  <si>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 xml:space="preserve">raheem sterling told liverpool supporters they expect him to remain at the club this summer on the day he was the new home kit at anfield .  raheem sterling , daniel sturridge , martin skrtel and simon mignolet unveiled the new gingham strip to fans in the centenary stand on friday afternoon .  the new jersey design is the first offering from us sports brand new balance . </t>
    <phoneticPr fontId="4" type="noConversion"/>
  </si>
  <si>
    <t>was</t>
    <phoneticPr fontId="4" type="noConversion"/>
  </si>
  <si>
    <t>by</t>
    <phoneticPr fontId="4" type="noConversion"/>
  </si>
  <si>
    <t>61-4</t>
  </si>
  <si>
    <t>parading</t>
  </si>
  <si>
    <t>raheem sterling , daniel sturridge , martin skrtel and simon mignolet unveiled the new gingham strip to fans in the centenary stand on friday afternoon .</t>
  </si>
  <si>
    <t xml:space="preserve"> the new jersey design is the first offering from us sports brand new balance . </t>
  </si>
  <si>
    <t>midfielder has been linked with a move away from liverpool after refusing to sign new # 100,000-a-week contract</t>
  </si>
  <si>
    <t>new balance struck a record-breaking # 300m four-year kit deal to replace sister company warrior at liverpool</t>
  </si>
  <si>
    <t>captain steven gerrard did not model new strip as he prepares to leave for la galaxy in the summer</t>
  </si>
  <si>
    <t>62-4</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</si>
  <si>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t>
    <phoneticPr fontId="4" type="noConversion"/>
  </si>
  <si>
    <t xml:space="preserve">floyd mayweather v manny pacquiao will be the sixth fight of all time .  sugar ray leonard v roberto duran , felix trinidad to win the world welterweight title .  the first two of the three fights in 12 fights in the mgm grand garden arena . </t>
    <phoneticPr fontId="4" type="noConversion"/>
  </si>
  <si>
    <t>sixth</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</si>
  <si>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1990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</si>
  <si>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13 fights in the mgm grand garden arena .</t>
  </si>
  <si>
    <t xml:space="preserve">felix trinidad </t>
    <phoneticPr fontId="4" type="noConversion"/>
  </si>
  <si>
    <t>62-4</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</si>
  <si>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1991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</si>
  <si>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14 fights in the mgm grand garden arena .</t>
  </si>
  <si>
    <t xml:space="preserve">to </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</si>
  <si>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1992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</si>
  <si>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15 fights in the mgm grand garden arena .</t>
  </si>
  <si>
    <t>win</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</si>
  <si>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1993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</si>
  <si>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16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</si>
  <si>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1994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</si>
  <si>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17 fights in the mgm grand garden arena .</t>
  </si>
  <si>
    <t>world</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</si>
  <si>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1995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</si>
  <si>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18 fights in the mgm grand garden arena .</t>
  </si>
  <si>
    <t>welterweight</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</si>
  <si>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1996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</si>
  <si>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19 fights in the mgm grand garden arena .</t>
  </si>
  <si>
    <t>title</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</si>
  <si>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1997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</si>
  <si>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20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</si>
  <si>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1998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</si>
  <si>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21 fights in the mgm grand garden arena .</t>
  </si>
  <si>
    <t>first</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</si>
  <si>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1999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</si>
  <si>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22 fights in the mgm grand garden arena .</t>
  </si>
  <si>
    <t>two</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</si>
  <si>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2000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</si>
  <si>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23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</si>
  <si>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2001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</si>
  <si>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24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</si>
  <si>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2002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</si>
  <si>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25 fights in the mgm grand garden arena .</t>
  </si>
  <si>
    <t>three</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</si>
  <si>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2003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</si>
  <si>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26 fights in the mgm grand garden arena .</t>
  </si>
  <si>
    <t>fights</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</si>
  <si>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2004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</si>
  <si>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27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</si>
  <si>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2005 by a points landslide , thereby retaining the world super-middleweight title .
but sugar ray took most pride from the trilogy from forcing duran to say no mas .
he said : ` to me , making roberto duran to quit was better than knocking him out . '</t>
    <phoneticPr fontId="4" type="noConversion"/>
  </si>
  <si>
    <t>floyd mayweather v manny pacquiao will be the sixth fight of all time .  sugar ray leonard v roberto duran , felix trinidad to win the world welterweight title .  the first two of the three fights in 28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</si>
  <si>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2006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</si>
  <si>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29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</si>
  <si>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2007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</si>
  <si>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30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</si>
  <si>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2008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</si>
  <si>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31 fights in the mgm grand garden arena .</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</si>
  <si>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2009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</si>
  <si>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32 fights in the mgm grand garden arena .</t>
  </si>
  <si>
    <t xml:space="preserve"> mgm grand garden arena</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</si>
  <si>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2010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</si>
  <si>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33 fights in the mgm grand garden arena .</t>
  </si>
  <si>
    <t>in the sixth of a series of 12 fights that shaped boxing history , we have sugar ray leonard v roberto duran</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</si>
  <si>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2011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</si>
  <si>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34 fights in the mgm grand garden arena .</t>
  </si>
  <si>
    <t>leonard humiliated his opponent until he said ` no mas ' - no more</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</si>
  <si>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2012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</si>
  <si>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sixth fight of all time .  sugar ray leonard v roberto duran , felix trinidad to win the world welterweight title .  the first two of the three fights in 35 fights in the mgm grand garden arena .</t>
  </si>
  <si>
    <t>it took duran three years to reclaim his mantle as a hero in panama</t>
  </si>
  <si>
    <t>63-4</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</si>
  <si>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</si>
  <si>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 xml:space="preserve">the map should allow astronomers to study how galaxies formed in the universe .  it shows clumps of mystery particles across 0.4 per cent of the sky .  the map was released today at the april meeting of the american physical society in baltimore , maryland . </t>
    <phoneticPr fontId="4" type="noConversion"/>
  </si>
  <si>
    <t>the goal is to eventually map 12.5 per cent over five years</t>
  </si>
  <si>
    <t>64-4</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</si>
  <si>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</si>
  <si>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 xml:space="preserve">katie gallegos from clackamas county , oregon , took cooper the dog to a mcdonald 's drive-thru for an ice cream with his pal daisy .  the video of cooper 's ice cream outing has been watched more than seven million times .  the video shows that cooper always eats very quickly . </t>
    <phoneticPr fontId="4" type="noConversion"/>
  </si>
  <si>
    <t xml:space="preserve"> the video of cooper 's ice cream outing has been watched more than seven million times .  </t>
    <phoneticPr fontId="4" type="noConversion"/>
  </si>
  <si>
    <t xml:space="preserve">the video shows that cooper always eats very quickly . </t>
  </si>
  <si>
    <t>64-4</t>
  </si>
  <si>
    <t>but while the small female pup takes a few ladylike licks , cooper gobbles the rest of the cone up in one bite</t>
  </si>
  <si>
    <t>gallegos says ice cream is a weekly treat for her pets</t>
  </si>
  <si>
    <t>65-4</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</si>
  <si>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</si>
  <si>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poised to link up with belgian club royal mouscron-peruwelz .  the belgian club have been in the top flight for a season since promotion .  nemanja matic is one of three players on loan at vitesse arnhem from chelsea this season .</t>
    <phoneticPr fontId="4" type="noConversion"/>
  </si>
  <si>
    <t>nemanja matic is one of three players on loan at vitesse arnhem from chelsea this season .</t>
    <phoneticPr fontId="4" type="noConversion"/>
  </si>
  <si>
    <t>nemanja matic</t>
  </si>
  <si>
    <t>65-4</t>
  </si>
  <si>
    <t>chelsea already have an agreement with vitesse arnheim in holland</t>
  </si>
  <si>
    <t>66-4</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</si>
  <si>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t>
    <phoneticPr fontId="4" type="noConversion"/>
  </si>
  <si>
    <t>the global coffeehouse chain said in an update on its site that stores are expected to open for ` business as usual '  
starbucks says a sales register computer glitch has disrupted sales at company-operated stores in the us and canada .  
it did not explain exactly what caused the outage , which began in the early evening on the east coast and in the late afternoon .  
the company offered free drinks and baked goods to customers at starbucks ' first-ever store in seattle .</t>
    <phoneticPr fontId="4" type="noConversion"/>
  </si>
  <si>
    <t>saturday</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</si>
  <si>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$ 4.7 billion</t>
  </si>
  <si>
    <t xml:space="preserve">starbucks says a sales register computer glitch has disrupted sales at company-operated stores in the us and canada . </t>
  </si>
  <si>
    <t>66-4</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</si>
  <si>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$ 4.8 billion</t>
  </si>
  <si>
    <t xml:space="preserve">it did not explain exactly what caused the outage , which began in the early evening on the east coast and in the late afternoon .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</si>
  <si>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$ 4.9 billion</t>
  </si>
  <si>
    <t>the company offered free drinks and baked goods to customers at starbucks ' first-ever store in seattle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</si>
  <si>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$ 4.10 billion</t>
  </si>
  <si>
    <t>point-of-sale shutdown is effecting 8,000 starbucks locations in us and canada</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</si>
  <si>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$ 4.11 billion</t>
  </si>
  <si>
    <t>company said in statement glitch was caused by a failure during a daily system refresh</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</si>
  <si>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$ 4.12 billion</t>
  </si>
  <si>
    <t>glitch also affected starbucks ' evolution fresh and teavana stores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</si>
  <si>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$ 4.13 billion</t>
  </si>
  <si>
    <t>many starbucks locations closed their doors so as not to give away free drinks</t>
  </si>
  <si>
    <t>67-4</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</si>
  <si>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t>
  </si>
  <si>
    <t xml:space="preserve">floyd mayweather and manny pacquiao will retire on may 2 .  
the two men are in and out of the ring .  
mayweather does not earn any money . </t>
    <phoneticPr fontId="4" type="noConversion"/>
  </si>
  <si>
    <t>retire</t>
  </si>
  <si>
    <t>from</t>
    <phoneticPr fontId="4" type="noConversion"/>
  </si>
  <si>
    <t>67-4</t>
  </si>
  <si>
    <t>endorsment</t>
    <phoneticPr fontId="4" type="noConversion"/>
  </si>
  <si>
    <t xml:space="preserve">the two men are in and out of the ring .  </t>
  </si>
  <si>
    <t>the two men will split a $ 300m purse , with mayweather taking 60 per cent</t>
  </si>
  <si>
    <t>69-4</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</si>
  <si>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phoneticPr fontId="4" type="noConversion"/>
  </si>
  <si>
    <t xml:space="preserve">locations in ceredigion , powys and pembrokeshire are also being used to radicalise muslims , an officer from the wales extremism and counter terrorism unit .  those involved in activities ` take part in ordinary activities ' in the community but ` have an ulterior motive '  it is alleged hate preacher sent abu hamza to train in the brecon beacons .  he was arrested as part of an al-qaeda inspired gang . </t>
    <phoneticPr fontId="4" type="noConversion"/>
  </si>
  <si>
    <t>abu hamza</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</si>
  <si>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26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</si>
  <si>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it is alleged hate preacher sent abu hamza to train in the brecon beacons .</t>
  </si>
  <si>
    <t>69-4</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</si>
  <si>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27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</si>
  <si>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28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</si>
  <si>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 xml:space="preserve">he was arrested as part of an al-qaeda inspired gang . </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</si>
  <si>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</si>
  <si>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he said those involved are ` seemingly normal ' but have an ` ulterior motive '</t>
  </si>
  <si>
    <t>70-4</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</si>
  <si>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3-6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</si>
  <si>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 xml:space="preserve">louis van gaal is keen to make the winger of his first signings this summer .  the 21-year-old has scored 20 goals in 26 league games for psv this season .  manchester united have made a move over the holland international . </t>
    <phoneticPr fontId="4" type="noConversion"/>
  </si>
  <si>
    <t>louis van gaal is keen to make the winger of his first signings this summer .</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</si>
  <si>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3-7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</si>
  <si>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louis van gaal is keen to make the winger of his first signings this summer .  the 21-year-old has scored 20 goals in 27 league games for psv this season .  manchester united have made a move over the holland international .</t>
  </si>
  <si>
    <t xml:space="preserve">manchester united have made a move over the holland international . </t>
  </si>
  <si>
    <t>70-4</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</si>
  <si>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3-8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</si>
  <si>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louis van gaal is keen to make the winger of his first signings this summer .  the 21-year-old has scored 20 goals in 28 league games for psv this season .  manchester united have made a move over the holland international .</t>
  </si>
  <si>
    <t>psv beat heerenveen to lift their first eredivisie title in seven years</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</si>
  <si>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3-9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</si>
  <si>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louis van gaal is keen to make the winger of his first signings this summer .  the 21-year-old has scored 20 goals in 29 league games for psv this season .  manchester united have made a move over the holland international .</t>
  </si>
  <si>
    <t>paris-saint germain are also interested in the highly-rated 21-year-old</t>
  </si>
  <si>
    <t>71-4</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</si>
  <si>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63 vertebrae</t>
  </si>
  <si>
    <t>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t>
    <phoneticPr fontId="4" type="noConversion"/>
  </si>
  <si>
    <t>however dna profiling confirmed it was an omura 's whale</t>
  </si>
  <si>
    <t>72-4</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</si>
  <si>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21 )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</si>
  <si>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3-1 lead back to west london .  
tammy abraham double scored in manchester city 's first half lead .  
norwegian international has been on the bench for chelsea .</t>
    <phoneticPr fontId="4" type="noConversion"/>
  </si>
  <si>
    <t>give</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</si>
  <si>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22 )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</si>
  <si>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3-2 lead back to west london .  
tammy abraham double scored in manchester city 's first half lead .  
norwegian international has been on the bench for chelsea .</t>
  </si>
  <si>
    <t>chelaea</t>
    <phoneticPr fontId="4" type="noConversion"/>
  </si>
  <si>
    <t>72-4</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</si>
  <si>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23 )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</si>
  <si>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3-3 lead back to west london .  
tammy abraham double scored in manchester city 's first half lead .  
norwegian international has been on the bench for chelsea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</si>
  <si>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24 )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</si>
  <si>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3-4 lead back to west london .  
tammy abraham double scored in manchester city 's first half lead .  
norwegian international has been on the bench for chelsea .</t>
  </si>
  <si>
    <t>lead</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</si>
  <si>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25 )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</si>
  <si>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3-5 lead back to west london .  
tammy abraham double scored in manchester city 's first half lead .  
norwegian international has been on the bench for chelsea .</t>
  </si>
  <si>
    <t>back</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</si>
  <si>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26 )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</si>
  <si>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3-6 lead back to west london .  
tammy abraham double scored in manchester city 's first half lead .  
norwegian international has been on the bench for chelsea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</si>
  <si>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27 )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</si>
  <si>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3-7 lead back to west london .  
tammy abraham double scored in manchester city 's first half lead .  
norwegian international has been on the bench for chelsea .</t>
  </si>
  <si>
    <t>west london</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</si>
  <si>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28 )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</si>
  <si>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3-8 lead back to west london .  
tammy abraham double scored in manchester city 's first half lead .  
norwegian international has been on the bench for chelsea .</t>
  </si>
  <si>
    <t>chelsea</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</si>
  <si>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29 )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</si>
  <si>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3-9 lead back to west london .  
tammy abraham double scored in manchester city 's first half lead .  
norwegian international has been on the bench for chelsea .</t>
  </si>
  <si>
    <t>norwegian international has been on the bench for chelsea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</si>
  <si>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30 )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</si>
  <si>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3-10 lead back to west london .  
tammy abraham double scored in manchester city 's first half lead .  
norwegian international has been on the bench for chelsea .</t>
  </si>
  <si>
    <t>dominic solanke adds a third late on as chelsea look set to win trophy</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</si>
  <si>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31 )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</si>
  <si>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give chelsea 3-11 lead back to west london .  
tammy abraham double scored in manchester city 's first half lead .  
norwegian international has been on the bench for chelsea .</t>
  </si>
  <si>
    <t>manchester city struggle without injured star thierry ambrose</t>
  </si>
  <si>
    <t>73-4</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</si>
  <si>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2004 .
correction : an earlier version of this article incorrectly stated that canadians elected their first female prime minister , kim campbell .</t>
  </si>
  <si>
    <t>hillary clinton should n't be president as george w. bush 's testosterone to blame .  
cheryl rios says her hormones are a `` perfect '' age to be president .  
rios is the ceo of go ape marketing .</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</si>
  <si>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2005 .
correction : an earlier version of this article incorrectly stated that canadians elected their first female prime minister , kim campbell .</t>
  </si>
  <si>
    <t xml:space="preserve"> george w. bush</t>
  </si>
  <si>
    <t>73-4</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</si>
  <si>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2006 .
correction : an earlier version of this article incorrectly stated that canadians elected their first female prime minister , kim campbell .</t>
  </si>
  <si>
    <t>testosterone</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</si>
  <si>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2007 .
correction : an earlier version of this article incorrectly stated that canadians elected their first female prime minister , kim campbell .</t>
  </si>
  <si>
    <t xml:space="preserve"> to</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</si>
  <si>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2008 .
correction : an earlier version of this article incorrectly stated that canadians elected their first female prime minister , kim campbell .</t>
  </si>
  <si>
    <t>blame</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</si>
  <si>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2009 .
correction : an earlier version of this article incorrectly stated that canadians elected their first female prime minister , kim campbell .</t>
  </si>
  <si>
    <t xml:space="preserve">hillary clinton should n't be president as george w. bush 's testosterone to blame .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</si>
  <si>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2010 .
correction : an earlier version of this article incorrectly stated that canadians elected their first female prime minister , kim campbell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</si>
  <si>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2011 .
correction : an earlier version of this article incorrectly stated that canadians elected their first female prime minister , kim campbell .</t>
  </si>
  <si>
    <t>perfect</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</si>
  <si>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2012 .
correction : an earlier version of this article incorrectly stated that canadians elected their first female prime minister , kim campbell .</t>
  </si>
  <si>
    <t>age</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</si>
  <si>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2013 .
correction : an earlier version of this article incorrectly stated that canadians elected their first female prime minister , kim campbell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</si>
  <si>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2014 .
correction : an earlier version of this article incorrectly stated that canadians elected their first female prime minister , kim campbell .</t>
  </si>
  <si>
    <t>be</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</si>
  <si>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2015 .
correction : an earlier version of this article incorrectly stated that canadians elected their first female prime minister , kim campbell .</t>
  </si>
  <si>
    <t>president</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</si>
  <si>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2016 .
correction : an earlier version of this article incorrectly stated that canadians elected their first female prime minister , kim campbell .</t>
  </si>
  <si>
    <t xml:space="preserve">cheryl rios says her hormones are a `` perfect '' age to be president .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</si>
  <si>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2017 .
correction : an earlier version of this article incorrectly stated that canadians elected their first female prime minister , kim campbell .</t>
  </si>
  <si>
    <t>rios is the ceo of go ape marketing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</si>
  <si>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2018 .
correction : an earlier version of this article incorrectly stated that canadians elected their first female prime minister , kim campbell .</t>
  </si>
  <si>
    <t>a businesswoman worries that if hillary clinton becomes president , her hormones will make her go to war</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</si>
  <si>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2019 .
correction : an earlier version of this article incorrectly stated that canadians elected their first female prime minister , kim campbell .</t>
  </si>
  <si>
    <t>mel robbins : what 's scary is that the bias against women in the workplace is still going strong in 2015</t>
  </si>
  <si>
    <t>74-4</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</si>
  <si>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$ 42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</si>
  <si>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the florida senator told bob schieffer he was n't against gay marriage , but believes the ` definition of the institution of marriage should be between one man and one woman '  
he said state legislators should petition the state legislature and have a political debate . 
rubio believes people are born with a sexual preference but insisted same-sex marriage should not be a constitutional right .  
rubio is running for president last week .</t>
    <phoneticPr fontId="4" type="noConversion"/>
  </si>
  <si>
    <t xml:space="preserve">the florida senator told bob schieffer he was n't against gay marriage , but believes the ` definition of the institution of marriage should be between one man and one woman '  </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</si>
  <si>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$ 43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</si>
  <si>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rubio is running for president last week .</t>
  </si>
  <si>
    <t>74-4</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</si>
  <si>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$ 44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</si>
  <si>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state legislators</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</si>
  <si>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$ 45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</si>
  <si>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said he does n't agree with gay marriage , but would attend a same-sex union if it was somebody he ` cared ' for</t>
  </si>
  <si>
    <t>75-4</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</si>
  <si>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</si>
  <si>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 89 , is selling off his collection of antiques in a # 100,000 auction .  
mr hardy is a keen military historian who studied english and is now an expert on the medieval longbow .  
the piece was created by actor robert hardy .</t>
    <phoneticPr fontId="4" type="noConversion"/>
  </si>
  <si>
    <t>the piece was created by actor robert hardy .</t>
  </si>
  <si>
    <t>robert hardy</t>
  </si>
  <si>
    <t>75-4</t>
  </si>
  <si>
    <t>among the objects which have gone up for auction are a huge 3d diorama of the battle of agincourt</t>
  </si>
  <si>
    <t>76-4</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</si>
  <si>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213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</si>
  <si>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 xml:space="preserve">spanish pablo , 27 , and latvian ilze , 31 , met in riga in 2011 .  in 356 days so far they 've covered almost 7,000 miles -lrb- 11,131.92 km by their measurements -rrb- and been through 16 countries .  one of the 16 countries are off to a start . </t>
    <phoneticPr fontId="4" type="noConversion"/>
  </si>
  <si>
    <t xml:space="preserve">spanish pablo , 27 , and latvian ilze , 31 , met in riga in 2011 .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</si>
  <si>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214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</si>
  <si>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17 countries are off to a start .</t>
  </si>
  <si>
    <t xml:space="preserve"> in 356 days so far they 've covered almost 7,000 miles -lrb- 11,131.92 km by their measurements -rrb- and been through 16 countries . </t>
  </si>
  <si>
    <t>76-4</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</si>
  <si>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215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</si>
  <si>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18 countries are off to a start .</t>
  </si>
  <si>
    <t>lrb</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</si>
  <si>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216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</si>
  <si>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19 countries are off to a start .</t>
  </si>
  <si>
    <t>rrb</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</si>
  <si>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217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</si>
  <si>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20 countries are off to a start .</t>
  </si>
  <si>
    <t xml:space="preserve"> one of the 16 countries are off to a start .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</si>
  <si>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218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</si>
  <si>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21 countries are off to a start .</t>
  </si>
  <si>
    <t>pablo mandado and ilze zebolde left london last year on a quest to explore the world on bicycles</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</si>
  <si>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219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</si>
  <si>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22 countries are off to a start .</t>
  </si>
  <si>
    <t>they camp or stay with couchsurfing and warmshowers hosts and spent an average $ 2.99 per day</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</si>
  <si>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</si>
  <si>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met in riga in 2011 .  in 356 days so far they 've covered almost 7,000 miles -lrb- 11,131.92 km by their measurements -rrb- and been through 16 countries .  one of the 23 countries are off to a start .</t>
  </si>
  <si>
    <t>they saved up for their travels , which they share on their website , while working in english restaurants</t>
  </si>
  <si>
    <t>77-4</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</si>
  <si>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</si>
  <si>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michael scott shemansky is on the run after authorities named him as a suspect in the murder of his mother sandra shemansky , 57 .  
the body was discovered at the home they shared in winter garden .  
his wife filed a domestic violence injunction against him two years ago .</t>
    <phoneticPr fontId="4" type="noConversion"/>
  </si>
  <si>
    <t>his wife filed a domestic violence injunction against him two years ago .</t>
  </si>
  <si>
    <t>police say michael scott shemansky came to their attention after he failed to appear for a supervised visit with his son saturday</t>
  </si>
  <si>
    <t>77-4</t>
  </si>
  <si>
    <t>michael shemansky was going through a difficult divorce and neighbors believe the stress may have caused him to snap</t>
  </si>
  <si>
    <t>78-4</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</si>
  <si>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</si>
  <si>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 who does not wish to be identified , hired attorney cathy hale to sue james evans the owner of premiere photos for allegedly providing a photo booth that printed ` poor n ***** party ' on the bottom of the pictures .  the couple was n't alerted of the photos until many months after the celebration when the bride 's sister told the family about the racist incident at the photo booth the couple rented for the party .  hale claims evans did n't apologize for the racial slur and told</t>
    <phoneticPr fontId="4" type="noConversion"/>
  </si>
  <si>
    <t>couple</t>
  </si>
  <si>
    <t>78-4</t>
  </si>
  <si>
    <t>sue</t>
    <phoneticPr fontId="4" type="noConversion"/>
  </si>
  <si>
    <t>him</t>
    <phoneticPr fontId="4" type="noConversion"/>
  </si>
  <si>
    <t>79-4</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</si>
  <si>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t>
  </si>
  <si>
    <t>eugene in the united states has been awarded the rights to host the 2021 iaaf world championships .  
the decision was taken by the international association of athletics federations council .  eugene failed last november in its bid to host 2019 event .</t>
    <phoneticPr fontId="4" type="noConversion"/>
  </si>
  <si>
    <t>the decision was taken by the international association of athletics federations council .</t>
    <phoneticPr fontId="4" type="noConversion"/>
  </si>
  <si>
    <t>the sport 's governing body iaaf bypassed the normal bidding process</t>
  </si>
  <si>
    <t>80-4</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</si>
  <si>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t>
  </si>
  <si>
    <t>england full back mike brown admitted he is unsure when he will return to action for harlequins .  
northampton wing george north has been advised by leading medics not to play again this season .  
ireland 's johnny sexton was stood down for 12 weeks .</t>
    <phoneticPr fontId="4" type="noConversion"/>
  </si>
  <si>
    <t>ireland 's johnny sexton was stood down for 12 weeks .</t>
  </si>
  <si>
    <t xml:space="preserve">northampton wing george north has been advised by leading medics not to play again this season . </t>
  </si>
  <si>
    <t>80-4</t>
  </si>
  <si>
    <t>harlequins full back mike brown pulled out of the aviva premiership clash</t>
  </si>
  <si>
    <t>brown is still wary after suffering concussion while on england duty</t>
  </si>
  <si>
    <t>81-4</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</si>
  <si>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</si>
  <si>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50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phoneticPr fontId="4" type="noConversion"/>
  </si>
  <si>
    <t xml:space="preserve">leonie granger , 25 , targeted playboy mehmet hassan , 56 , flashing a roll of # 50 notes at a casino in london 's west end .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</si>
  <si>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£ 59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</si>
  <si>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51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</si>
  <si>
    <t xml:space="preserve">the care assistant , from gillingham , kent , used her good looks to befriend the poker player , who showered her with gifts , cash and trips to fancy restaurants .  </t>
  </si>
  <si>
    <t>81-4</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</si>
  <si>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</si>
  <si>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52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</si>
  <si>
    <t>they tied up the father of three and kicked him to death as they ransacked his home to find his hidden winnings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</si>
  <si>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£ 61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</si>
  <si>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53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</si>
  <si>
    <t>leonie granger , 25 , has been jailed for 16 years for luring gambler to death</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</si>
  <si>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£ 62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</si>
  <si>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54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</si>
  <si>
    <r>
      <t>went to his flat and let in boyfriend kyrron jackson and nicholas chandler</t>
    </r>
    <r>
      <rPr>
        <sz val="11"/>
        <color rgb="FF000000"/>
        <rFont val="宋体"/>
        <family val="2"/>
        <charset val="134"/>
      </rPr>
      <t>，</t>
    </r>
    <r>
      <rPr>
        <sz val="11"/>
        <color indexed="8"/>
        <rFont val="Arial"/>
        <family val="2"/>
      </rPr>
      <t>they kicked mr hassan to death and stole some of his gambling winnings</t>
    </r>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</si>
  <si>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£ 63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</si>
  <si>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flashing a roll of # 55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t>
  </si>
  <si>
    <t>granger convicted of manslaughter and two men found guilty of murder</t>
    <phoneticPr fontId="4" type="noConversion"/>
  </si>
  <si>
    <t>82-4</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</si>
  <si>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</si>
  <si>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the frequency with which britons are having sex has been in decline .  
professor david spiegelhalter revealed in new book how a typical heterosexual couple was now having sex three times a month .  
this was compared to four times a year in 1990 and five times in 1990 .</t>
    <phoneticPr fontId="4" type="noConversion"/>
  </si>
  <si>
    <t>83-4</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</si>
  <si>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t>
  </si>
  <si>
    <t>chelsea midfielder cesc fabregas captained spain on tuesday .  
the chelsea midfielder was given just four out of 10 at stamford bridge .  
his first international appearance since october .</t>
    <phoneticPr fontId="4" type="noConversion"/>
  </si>
  <si>
    <t>stamford bridge</t>
  </si>
  <si>
    <t xml:space="preserve">the chelsea midfielder was given just four out of 10 at stamford bridge .  </t>
  </si>
  <si>
    <t>83-4</t>
  </si>
  <si>
    <t>his first international appearance since october .</t>
    <phoneticPr fontId="4" type="noConversion"/>
  </si>
  <si>
    <t xml:space="preserve">chelsea midfielder cesc fabregas captained spain on tuesday . </t>
  </si>
  <si>
    <t>cesc fabregas ' poor form continued for spain against holland on tuesday</t>
  </si>
  <si>
    <t>chelsea midfielder captained his country but they lost 2-0 in amsterdam</t>
  </si>
  <si>
    <t>thierry henry 's mark of 20 in 2002-03 is four more than fabregas ' total</t>
  </si>
  <si>
    <t>84-4</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</si>
  <si>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t>
  </si>
  <si>
    <t>tibetan mastiffs now so unpopular in china they are being sent to slaughterhouses .  
wealthy businessmen would give prized mastiffs to officials in anti-corruption crackdown .  it is thought recent bans on owning dogs of more than 50kg in cities .</t>
    <phoneticPr fontId="4" type="noConversion"/>
  </si>
  <si>
    <t>would</t>
  </si>
  <si>
    <t>it is thought recent bans on owning dogs of more than 50kg in cities .</t>
  </si>
  <si>
    <t>84-4</t>
  </si>
  <si>
    <t>tibetan mastiffs had been status symbols for china 's wealthiest</t>
  </si>
  <si>
    <t>they were given as gifts to grateful officials by businessmen</t>
  </si>
  <si>
    <t>85-4</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</si>
  <si>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2016-20 season .</t>
  </si>
  <si>
    <t>jamaican starlet deshane beckford was invited to train with west ham 's academy earlier this month .  beckford also has offers from clubs in belgium .  
west ham have cheapest tickets at the olympic stadium will cost as little .</t>
    <phoneticPr fontId="4" type="noConversion"/>
  </si>
  <si>
    <t xml:space="preserve">jamaican starlet deshane beckford was invited to train with west ham 's academy earlier this month . </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</si>
  <si>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2016-21 season .</t>
  </si>
  <si>
    <t xml:space="preserve">beckford also has offers from clubs in belgium . </t>
  </si>
  <si>
    <t>85-4</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</si>
  <si>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2016-22 season .</t>
  </si>
  <si>
    <t>west ham</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</si>
  <si>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2016-23 season .</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</si>
  <si>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t>
  </si>
  <si>
    <t>87-4</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</si>
  <si>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</si>
  <si>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poll led to calls for a campaign to stem sexist or threatening behaviour on buses and trains .  
half of them were assaulted before they were 18 years old .  
survey found that six out of ten women were attacked on public transport .</t>
    <phoneticPr fontId="4" type="noConversion"/>
  </si>
  <si>
    <t>six out of ten</t>
  </si>
  <si>
    <t>88-4</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</si>
  <si>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58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</si>
  <si>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40 , was beaten by protesters with iron bars on ropes .  
he condemned the decision by police as ` pathetic '  
he was admitted to hospital with concussion and broken teeth .  
police have dropped an investigation into a vicious assault .</t>
    <phoneticPr fontId="4" type="noConversion"/>
  </si>
  <si>
    <t xml:space="preserve">he was admitted to hospital with concussion and broken teeth .  </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</si>
  <si>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59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</si>
  <si>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41 , was beaten by protesters with iron bars on ropes .  
he condemned the decision by police as ` pathetic '  
he was admitted to hospital with concussion and broken teeth .  
police have dropped an investigation into a vicious assault .</t>
  </si>
  <si>
    <t>police have dropped an investigation into a vicious assault .</t>
  </si>
  <si>
    <t>88-4</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</si>
  <si>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60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</si>
  <si>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42 , was beaten by protesters with iron bars on ropes .  
he condemned the decision by police as ` pathetic '  
he was admitted to hospital with concussion and broken teeth .  
police have dropped an investigation into a vicious assault .</t>
  </si>
  <si>
    <t>attack happened as 30 riders and hounds were chasing artificial scent</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</si>
  <si>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</si>
  <si>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43 , was beaten by protesters with iron bars on ropes .  
he condemned the decision by police as ` pathetic '  
he was admitted to hospital with concussion and broken teeth .  
police have dropped an investigation into a vicious assault .</t>
  </si>
  <si>
    <t>wiltshire police handed video footage and some names of saboteurs</t>
  </si>
  <si>
    <t>89-4</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</si>
  <si>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</si>
  <si>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leeds-based direct line is running a competition called #everydayfix .  
they asked people to pick their top ten ` everyday emergencies ' - things that caused them an undue amount of stress in their daily lives .  
groups from london-based design company makerversity were asked to design products that could alleviate certain emergencies - and three were picked for a shortlist .</t>
    <phoneticPr fontId="4" type="noConversion"/>
  </si>
  <si>
    <t>they asked people to pick their top ten ` everyday emergencies ' - things that caused them an undue amount of stress in their daily lives</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</si>
  <si>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33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</si>
  <si>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groups from london-based design company makerversity were asked to design products that could alleviate certain emergencies - and three were picked for a shortlist .</t>
  </si>
  <si>
    <t>89-4</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</si>
  <si>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34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</si>
  <si>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they asked groups to design products to deal with common problems</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</si>
  <si>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35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</si>
  <si>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these include forgetting to lock the door and running out of battery</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</si>
  <si>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</si>
  <si>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you can vote for your favourite design and the winner will be crowdfunded</t>
  </si>
  <si>
    <t>90-4</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</si>
  <si>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</si>
  <si>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gary locke has been given the role on a permanent basis .  
the former hearts boss joined the club as assistant boss to allan johnston last summer but took control of the team when his team-mate quit at the start of february .  
locke has lost just once in seven games at rugby park .</t>
    <phoneticPr fontId="4" type="noConversion"/>
  </si>
  <si>
    <t>93-4</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</si>
  <si>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</si>
  <si>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donated # 500,000 to victims first northumbria , a charity which supports crime victims in her area .  
the pair now face a ministry of justice probe as critics accuse them of concocting ' a soap opera ' within the force .  
it comes after the home secretary implemented a rule allowing pccs for victims of crime .</t>
    <phoneticPr fontId="4" type="noConversion"/>
  </si>
  <si>
    <t>it comes after the home secretary implemented a rule allowing pccs for victims of crime .</t>
  </si>
  <si>
    <t>police and crime commissioner is a director at the newly set-up charity</t>
  </si>
  <si>
    <t>chief constable sue sim is also on the organisation 's board of directors</t>
  </si>
  <si>
    <t>94-4</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</si>
  <si>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2027 letter from gadahn making recommendations for al qaeda 's media strategy .
gadahn was married to a muslim woman from afghanistan and reportedly had at least one child .
cnn 's steve almasy contributed to this report .</t>
  </si>
  <si>
    <t xml:space="preserve">adam gadahn , 36 , was killed in january in a u.s. counterterrorism operation .  
his parents changed their name from pearlman after their marriage .  
he was abducted by al qaeda in 2011 </t>
    <phoneticPr fontId="4" type="noConversion"/>
  </si>
  <si>
    <t xml:space="preserve">adam gadahn , 36 , was killed in january in a u.s. counterterrorism operation .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</si>
  <si>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2028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</si>
  <si>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2012</t>
  </si>
  <si>
    <t xml:space="preserve">his parents changed their name from pearlman after their marriage .  </t>
  </si>
  <si>
    <t>94-4</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</si>
  <si>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2029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</si>
  <si>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2013</t>
  </si>
  <si>
    <t>he</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</si>
  <si>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2030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</si>
  <si>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2014</t>
  </si>
  <si>
    <t xml:space="preserve">he was abducted by al qaeda in 2011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</si>
  <si>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2031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</si>
  <si>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2015</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</si>
  <si>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</si>
  <si>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2032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</si>
  <si>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2016</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</si>
  <si>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</si>
  <si>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2033 letter from gadahn making recommendations for al qaeda 's media strategy .
gadahn was married to a muslim woman from afghanistan and reportedly had at least one child .
cnn 's steve almasy contributed to this report .</t>
  </si>
  <si>
    <t>adam gadahn , 36 , was killed in january in a u.s. counterterrorism operation .  
his parents changed their name from pearlman after their marriage .  
he was abducted by al qaeda in 2017</t>
  </si>
  <si>
    <t>he converted to islam in 1995 , left u.s. in 1998 and joined al qaeda , becoming a spokesman</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</si>
  <si>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</si>
  <si>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 xml:space="preserve">liverpool captain steven gerrard is still one of the best players in the world . 
 gerrard is set to feature for liverpool in the fa cup semi-final against aston villa at wembley on sunday . 
 liverpool captain martin skrtel believes liverpool can fill gerrard 's . </t>
    <phoneticPr fontId="4" type="noConversion"/>
  </si>
  <si>
    <t>gerrard is set to feature for liverpool in the fa cup semi-final against aston villa at wembley on sunday .</t>
    <phoneticPr fontId="4" type="noConversion"/>
  </si>
  <si>
    <t>steven gerrard will leave liverpool for la galaxy at the end of the season .</t>
  </si>
  <si>
    <t>captain</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</si>
  <si>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</si>
  <si>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she claims her boy has been using them all year , but then a teacher 's aide complained .</t>
    <phoneticPr fontId="4" type="noConversion"/>
  </si>
  <si>
    <t xml:space="preserve">she claims her boy has been using them all year , but then a teacher 's aide complained . </t>
    <phoneticPr fontId="4" type="noConversion"/>
  </si>
  <si>
    <t xml:space="preserve">jessica kemp , 32 , has slammed seminole county elementary in eustis . </t>
  </si>
  <si>
    <t xml:space="preserve">school district have said they will not suspend him as it 's a ` health issue '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</si>
  <si>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</si>
  <si>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three-quarters of women never wash their own car with drivers more likely to take it to a car wash on a local forecourt . 
 a third of men have never picked up a bucket and a chamois leather to clean their own motor . 
 only five per cent of those said that had ever asked their children to wash the car as a way for them to earn extra pocket money .</t>
    <phoneticPr fontId="4" type="noConversion"/>
  </si>
  <si>
    <t xml:space="preserve">three-quarters of women never wash their own car with drivers more likely to take it to a car wash on a local forecourt . </t>
  </si>
  <si>
    <t>only five per cent of those said that had ever asked their children to wash the car as a way for them to earn extra pocket money .</t>
  </si>
  <si>
    <t>only 12 per cent that have cleaned their own car say they do it regularly .</t>
    <phoneticPr fontId="4" type="noConversion"/>
  </si>
  <si>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</si>
  <si>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 xml:space="preserve">smoked poured over westhampton beach on wednesday at 3pm as a fire spread through 90 condos before the building collapsed . 
 it is not known what started the blaze , which was so intense it melted the paint off nearby buildings . 
 it is used as a holiday home by residents between may and november . </t>
    <phoneticPr fontId="4" type="noConversion"/>
  </si>
  <si>
    <t xml:space="preserve">it is used as a holiday home by residents between may and november . </t>
  </si>
  <si>
    <t xml:space="preserve">twelve fire teams were deployed to fight the blaze but could only battle it from the outside , it lasted past 8pm . </t>
    <phoneticPr fontId="4" type="noConversion"/>
  </si>
  <si>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</si>
  <si>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 xml:space="preserve">alice barker was a dancer in new york as the cotton club and the cafe zanzibar . 
 `` soundies , '' mark cantor of jazz-on-film , was in a video of her music videos . 
 she said she did n't know what she had dancing . </t>
    <phoneticPr fontId="4" type="noConversion"/>
  </si>
  <si>
    <t xml:space="preserve">alice barker was a dancer in new york as the cotton club and the cafe zanzibar . </t>
  </si>
  <si>
    <t xml:space="preserve">alice barker was a dancer in the 1930s and '40s . </t>
  </si>
  <si>
    <t xml:space="preserve">she said she did n't know what she had dancing . </t>
  </si>
  <si>
    <t>.com</t>
  </si>
  <si>
    <t>in</t>
  </si>
  <si>
    <t xml:space="preserve"> `` soundies , '' mark cantor of jazz-on-film , was in a video of her music videos .</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</si>
  <si>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</si>
  <si>
    <t xml:space="preserve">alice barker was a dancer in new york as the cotton club and the cafe zanzibar . 
 `` soundies , '' mark cantor of jazz-on-film , was in a video of her music videos . 
 she said she did n't know what she had dancing . </t>
  </si>
  <si>
    <t xml:space="preserve"> thanks to filmmakers , barker -- now 102 -- finally saw herself dance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</si>
  <si>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</si>
  <si>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 xml:space="preserve">the monarch , 88 , was spotted trotting through windsor great park aboard her faithful black fell pony , carltonlima emma . 
 the queen is reportedly reluctant to wear one because of her hair . 
 the queen has been encouraged to wear the safety hats . </t>
    <phoneticPr fontId="4" type="noConversion"/>
  </si>
  <si>
    <t>helmet</t>
    <phoneticPr fontId="4" type="noConversion"/>
  </si>
  <si>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</si>
  <si>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 xml:space="preserve">two french tourists allegedly ignited an aerosol spray with a lighter causing a large flame to make contact with a quokka on rottnest island off perth in western australia on april 3 . 
 detectives went to rottnest island on saturday and questioned the two men and seized video evidence of the careless act . 
 they have each been charged with animal cruelty and will appear in fremantle magistrates court on april 17 . </t>
    <phoneticPr fontId="4" type="noConversion"/>
  </si>
  <si>
    <t xml:space="preserve">detectives went to rottnest island on saturday and questioned the two men and seized video evidence of the careless act . </t>
  </si>
  <si>
    <t>the lucky little critter survived the reckless incident but was singed by the flame .</t>
    <phoneticPr fontId="4" type="noConversion"/>
  </si>
  <si>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</si>
  <si>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 xml:space="preserve">leon yeaman , 55 , was allegedly killed by a single punch in the head from 28-year-old shift worker phillip pama , 28 , during a row in front of their north brisbane homes . 
 mr yeaman was granted conditional bail on friday . 
 he was ordered to return to court on may 18 . </t>
    <phoneticPr fontId="4" type="noConversion"/>
  </si>
  <si>
    <t>yeaman</t>
  </si>
  <si>
    <t xml:space="preserve">two men got in an argument about noise levels on thursday night .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</si>
  <si>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</si>
  <si>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more than 200 students signed the school not to show the movie as part of umix , a series of social events for students . 
 bradley cooper was nominated for an oscar for his portrayal of chris kyle , a navy seal and most lethal sniper . 
 michigan head football coach jim harbaugh .</t>
    <phoneticPr fontId="4" type="noConversion"/>
  </si>
  <si>
    <t xml:space="preserve">a </t>
    <phoneticPr fontId="4" type="noConversion"/>
  </si>
  <si>
    <t xml:space="preserve">petition </t>
    <phoneticPr fontId="4" type="noConversion"/>
  </si>
  <si>
    <t>asking</t>
  </si>
  <si>
    <t>bradley cooper was nominated for an oscar for his portrayal of chris kyle , a navy seal and most lethal sniper .</t>
  </si>
  <si>
    <t xml:space="preserve">michigan head football coach jim harbaugh . </t>
  </si>
  <si>
    <t>the university of michigan has decided to proceed with a screening of the film `` american sniper '' .</t>
  </si>
  <si>
    <t xml:space="preserve">some complained about the film 's depiction of the iraq war . </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</si>
  <si>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</si>
  <si>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 xml:space="preserve">yulia simonova , 52 , wanted to hire a hitman to torture and murder 15-year-old damian vanya in exchange for 100,000 rubles , after he dumped her for a classmate . 
 police arrested the 52-year-old in her car . 
 russian music teacher now faces 15 years in prison after being charged with attempted murder . </t>
    <phoneticPr fontId="4" type="noConversion"/>
  </si>
  <si>
    <t xml:space="preserve"> police arrested the 52-year-old in her car .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</si>
  <si>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</si>
  <si>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louise redknapp says trouser can come as the wide leg trouser jean . 
 lou jeans will not go out of the leg trouser . 
 the trouser is a wide leg trouser .</t>
    <phoneticPr fontId="4" type="noConversion"/>
  </si>
  <si>
    <t>wide-leg</t>
  </si>
  <si>
    <t xml:space="preserve">wide leg </t>
    <phoneticPr fontId="4" type="noConversion"/>
  </si>
  <si>
    <t xml:space="preserve">trouser </t>
    <phoneticPr fontId="4" type="noConversion"/>
  </si>
  <si>
    <t>jean</t>
  </si>
  <si>
    <t>a welcome relief from the skinny jean</t>
  </si>
  <si>
    <t xml:space="preserve"> lou jeans will not go out of the leg trouser . </t>
  </si>
  <si>
    <t xml:space="preserve"> the trouser is a wide leg trouser . </t>
  </si>
  <si>
    <t>louise and emma say to avoid being drowned by too much fabric try a high heeled shoe</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</si>
  <si>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</si>
  <si>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jose mourinho said he tries his best to separate his professional and family life . 
 the father-of-two said that he and his family ` know about poverty ' and have been privileged to have worked with the word food programme as an ambassador against hunger . 
 chelsea are currently top of the league and are playing struggling qpr this weekend .</t>
    <phoneticPr fontId="4" type="noConversion"/>
  </si>
  <si>
    <t xml:space="preserve"> in a wide-ranging interview he said he is a deeply religious person . </t>
  </si>
  <si>
    <t xml:space="preserve"> he also claims that he is essentially a ` very good person ' despite his antics . </t>
  </si>
  <si>
    <t>chelsea are currently top of the league and are playing struggling qpr this weekend .</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</si>
  <si>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</si>
  <si>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james haskell showed off his inner iron man in a instagram post . 
 the movie premiered at westfield london shopping centre on tuesday . 
 haskell returned to wasps for the 2012 season after spells with stade francais and ricoh black rams and highlanders in new zealand .</t>
    <phoneticPr fontId="4" type="noConversion"/>
  </si>
  <si>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</si>
  <si>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bob barker hosted `` the price is right '' on april 1 edition . 
 contestants told to `` come on down ! '' for the first time in eight years . 
 barker 's `` lucky seven '' game show for 35 years .</t>
    <phoneticPr fontId="4" type="noConversion"/>
  </si>
  <si>
    <t xml:space="preserve"> contestants told to `` come on down ! '' for the first time in eight years . </t>
  </si>
  <si>
    <t xml:space="preserve"> barker 's `` lucky seven '' game show for 35 years .</t>
  </si>
  <si>
    <t xml:space="preserve">barker , 91 , had retired as host in 2007 .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</si>
  <si>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</si>
  <si>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amateur jockey lee lewis ferguson has just a cut on his nose to show for the fall . 
 ferguson was flung from his horse in the 4.20 pm on thursday morning . 
 ferguson 's double somersault fall from merrion square was watched online .</t>
    <phoneticPr fontId="4" type="noConversion"/>
  </si>
  <si>
    <t>on thursday morning</t>
  </si>
  <si>
    <t>lewis ferguson was mucking out the stables as usual on thursday .</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</si>
  <si>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</si>
  <si>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t>
    <phoneticPr fontId="4" type="noConversion"/>
  </si>
  <si>
    <t xml:space="preserve">baldwin was arrested by officers returning to the scene of the alleged crime , on the 3200 block of d street se . </t>
  </si>
  <si>
    <t xml:space="preserve"> baldwin 's arrest comes two days after a high-ranking supervisor was also put on leave .</t>
  </si>
  <si>
    <t>the agency revoked baldwin 's security clearance and put him on leave in light of the arrest .</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</si>
  <si>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</si>
  <si>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has urged italian legends andrea pirlo and francesco totti to move to boca juniors . 
 the 29-year-old moved to his current side on a loan deal from southampton . 
 osvaldo believes that the duo would be a good fit for boca juniors .</t>
    <phoneticPr fontId="4" type="noConversion"/>
  </si>
  <si>
    <t xml:space="preserve"> osvaldo believes that the duo would be a good fit for boca juniors . </t>
  </si>
  <si>
    <t>osvaldo believes the boca fans ' would go crazy ' for the italian duo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</si>
  <si>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</si>
  <si>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atif saeed , 38 , from lahore , pakistan was in the safari park when he spotted the male lion in the distance . 
 mr saeed got out of his car and fired off the hunter armed only with a camera . 
 atif saeed crept to within 10 feet of the lion .</t>
    <phoneticPr fontId="4" type="noConversion"/>
  </si>
  <si>
    <t xml:space="preserve"> as soon as the camera captured the image , mr saeed had to flee for his life . </t>
  </si>
  <si>
    <t xml:space="preserve"> the lion charged at the intrepid photographer as he closed the car 's door . </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</si>
  <si>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</si>
  <si>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 xml:space="preserve">dani alves has been unable to agree a new deal with the catalan club and will leave the nou camp this summer . 
 former sevilla full-back has been linked with manchester united and manchester city . 
 alves has enjoyed seven successful years at barcelona . </t>
    <phoneticPr fontId="4" type="noConversion"/>
  </si>
  <si>
    <t xml:space="preserve">former sevilla full-back has been linked with manchester united and manchester city . </t>
  </si>
  <si>
    <t>dani alves looks set to leave barcelona this summer after his representative confirmed the brazilian right-back had rejected the club 's final contract offer .</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</si>
  <si>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</si>
  <si>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 xml:space="preserve">the unnamed woman , believed to be 25 to 45 years old , was discovered lying unconscious march 22 in the area near shore parkway and 26th avenue in the gravesend section of brooklyn . 
 paramedics who were unable to revive her and she was pronounced dead that evening . 
 police are still awaiting a medical examiner 's report . </t>
    <phoneticPr fontId="4" type="noConversion"/>
  </si>
  <si>
    <t xml:space="preserve"> paramedics who were unable to revive her and she was pronounced dead that evening . </t>
  </si>
  <si>
    <t xml:space="preserve"> police are still awaiting a medical examiner 's report . </t>
  </si>
  <si>
    <t>nypd has released images of a heart tattoo with the name ` monique ' found on an unnamed woman who died in brooklyn last month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</si>
  <si>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</si>
  <si>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t>
    <phoneticPr fontId="4" type="noConversion"/>
  </si>
  <si>
    <t xml:space="preserve">no other organization has so far claimed responsibility . </t>
  </si>
  <si>
    <t xml:space="preserve">an afghan member of parliament for khost province . </t>
  </si>
  <si>
    <t>an afghan lawmaker taking part in the protests in the city of khost was among the 64 people wounded , said faizullah ghairat , the provincial police chief .</t>
  </si>
  <si>
    <t>taliban spokesman zabiullah mujahid denied his group was responsible for the attack .</t>
  </si>
  <si>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</si>
  <si>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 xml:space="preserve">hannah and alex purchased a solar-powered two-bedroom , wood and steel home that now allows them to live almost self-sufficiently in nelson , new zealand . 
 a new zealand couple built this country home on the bed of a flatbed truck . 
 the couple built a home in about a year and a half . </t>
    <phoneticPr fontId="4" type="noConversion"/>
  </si>
  <si>
    <t xml:space="preserve">the couple built a home in about a year and a half . </t>
  </si>
  <si>
    <t>purchased</t>
  </si>
  <si>
    <t>hannah and alex needed a place to live after they moved back to new zealand from the uk in 2009</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</si>
  <si>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</si>
  <si>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 xml:space="preserve">12 per cent of people questioned thought the child should be named after william 's mother - diana the princess of wales . 
 brits are hoping for a baby princess this time and favour the name diana . alice and charlotte were next in terms of preference . </t>
    <phoneticPr fontId="4" type="noConversion"/>
  </si>
  <si>
    <t xml:space="preserve">12 per cent of people questioned thought the child should be named after william 's mother - diana the princess of wales . </t>
  </si>
  <si>
    <t xml:space="preserve"> if it 's a boy , then the favourite name is james , followed by alexander .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</si>
  <si>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</si>
  <si>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 xml:space="preserve">children who share ipads in class do much better in early literacy tests than those who do n't , researchers claim . 
 shared ipad students scored around 30 points higher in a test than students who used the device on their own and non-ipad users . 
 she worked with 352 students at a suburban school district during the research . </t>
    <phoneticPr fontId="4" type="noConversion"/>
  </si>
  <si>
    <t xml:space="preserve">children who share ipads in class do much better in early literacy tests than those who do n't , researchers claim . </t>
  </si>
  <si>
    <t xml:space="preserve"> she worked with 352 students at a suburban school district during the research .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</si>
  <si>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</si>
  <si>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nina moric , 38 , posted photos of heavy bruising on her instagram account . 
 italian media reported that ms moric tried to take her own life . 
 ms moric told her fans that she was recovering at home after being treated in hospital on saturday night .</t>
    <phoneticPr fontId="4" type="noConversion"/>
  </si>
  <si>
    <t xml:space="preserve">nina moric , 38 , posted photos of heavy bruising on her instagram account . </t>
  </si>
  <si>
    <t xml:space="preserve"> ms moric told her fans that she was recovering at home after being treated in hospital on saturday night . </t>
  </si>
  <si>
    <t xml:space="preserve">nina moric , 38 , claims she collapsed at her apartment in milan on saturday . </t>
  </si>
  <si>
    <t xml:space="preserve"> she told followers on instagram her fall was due to ` low blood pressure ' </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</si>
  <si>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</si>
  <si>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 
 the clip featured on the people 's daily online shows the young animal . 
 the piglet have all been born with all four legs .</t>
    <phoneticPr fontId="4" type="noConversion"/>
  </si>
  <si>
    <t xml:space="preserve"> the clip featured on the people 's daily online shows the young animal . </t>
  </si>
  <si>
    <t xml:space="preserve"> the piglet have all been born with all four legs .</t>
  </si>
  <si>
    <t xml:space="preserve">piglet was born in china with only two front legs has learned to walk . </t>
  </si>
  <si>
    <t xml:space="preserve"> villagers have flocked to see the two-legged animal in qionglai city . </t>
  </si>
  <si>
    <t xml:space="preserve"> a video released online and has captured the hearts of thousands .</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</si>
  <si>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</si>
  <si>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residents of new south wales are being warned to brace for more floods and damage , with heavy rain possible from thursday . 
 state emergency service was deluged with calls for assistance last week and has more than 4,000 jobs from the 24,196 requests still to be completed . 
 the same weather system that lashed the state 's east coast for three days last week could hit the region .</t>
    <phoneticPr fontId="4" type="noConversion"/>
  </si>
  <si>
    <t xml:space="preserve"> state emergency service was deluged with calls for assistance last week and has more than 4,000 jobs from the 24,196 requests still to be completed .</t>
  </si>
  <si>
    <t xml:space="preserve"> the ses says it is concerned about the impact this will have on communities hard hit by last week 's storms - particularly in the hunter . </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</si>
  <si>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</si>
  <si>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todd phillips , a front-outside tire changer for dayle coyne racing , was injuried when he was struck by the car of francesco dracone , who had come in on lap 25 for tires and fuel . 
 dracone spun while exiting his put box , clipping phillips ' leg . 
 phillips was taken to the care center for treatment where he has received stitches for a cut on his leg and has been released .</t>
    <phoneticPr fontId="4" type="noConversion"/>
  </si>
  <si>
    <t>dracone spun while exiting his put box , clipping phillips ' leg .</t>
  </si>
  <si>
    <t>dracone did not finish the race and wound up 23rd .</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</si>
  <si>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</si>
  <si>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russia beat lisicki 4-6 , 7-6 -lrb- 4 -rrb- , 6-3 . 
 anastasia pavlyuchenkova beat germany 's sabine lisicki for a 2-0 lead in the opening rubber . 
 russia are on the fed cup final with 2-0 lead after svetlana lisicki .</t>
    <phoneticPr fontId="4" type="noConversion"/>
  </si>
  <si>
    <t>lrb</t>
  </si>
  <si>
    <t>russia</t>
  </si>
  <si>
    <t>anastasia pavlyuchenkova</t>
  </si>
  <si>
    <t xml:space="preserve">russia beat lisicki 4-6 , 7-6 -lrb- 4 -rrb- , 6-3 . </t>
  </si>
  <si>
    <t>beat</t>
  </si>
  <si>
    <t xml:space="preserve">svetlana kuznetsova beats julia goerges in straight sets in fed cup .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</si>
  <si>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</si>
  <si>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milton vieira severiano , 32 , confessed that he battered and shot his dancer wife 's head into concrete paving 11 times then shooting her in the face five times . 
 sickening video captured on security cameras shows crazed dancer cicera alves de sena , 29 , into the garden of their apartment in rio de janeiro in eastern brazil . 
 severiano confessed he 'd carried out the act because he was jealous of men looking at her .</t>
    <phoneticPr fontId="4" type="noConversion"/>
  </si>
  <si>
    <t>dancer cicera alves de sena</t>
  </si>
  <si>
    <t>dragging</t>
  </si>
  <si>
    <t>cicera alves de sena</t>
  </si>
  <si>
    <t>sickening video captured on security cameras shows crazed dancer cicera alves de sena , 29 , into the garden of their apartment in rio de janeiro in eastern brazil .</t>
  </si>
  <si>
    <t xml:space="preserve">severiano confessed he 'd carried out the act because he was jealous of men looking at her . </t>
  </si>
  <si>
    <t xml:space="preserve">milton vieira severiano was filmed killing his wife , cicera alves de sen . </t>
  </si>
  <si>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</si>
  <si>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bobbi kristina brown is the daughter of bobby brown and whitney houston . 
 she remains in the same neurological state she has been in for three months . 
 she also has a tracheostomy in her throat .</t>
    <phoneticPr fontId="4" type="noConversion"/>
  </si>
  <si>
    <t xml:space="preserve">bobbi kristina brown is the daughter of bobby brown and whitney houston . </t>
  </si>
  <si>
    <t xml:space="preserve"> she remains in the same neurological state she has been in for three months . </t>
  </si>
  <si>
    <t xml:space="preserve"> she also has a tracheostomy in her throat .</t>
  </si>
  <si>
    <t>bobbi kristina brown has `` global and irreversible '' brain damage</t>
  </si>
  <si>
    <t xml:space="preserve">brown 's mother says bobbi kristina brown 's condition has improved </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</si>
  <si>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</si>
  <si>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journalist and author of the best-selling book i quit sugar has opened up about her own personal battle with mental illness , revealing she came close to taking her own life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t>
    <phoneticPr fontId="4" type="noConversion"/>
  </si>
  <si>
    <t xml:space="preserve"> during a candid interview ms wilson revealed it was a combination of issues . </t>
  </si>
  <si>
    <t xml:space="preserve"> in ms wilson 's eyes , depression and anxiety are intrinsically linked . </t>
  </si>
  <si>
    <t xml:space="preserve"> she said ` people get on with their lives ' and that she had n't found a husband nor had children . </t>
  </si>
  <si>
    <t>anxiety , stress , loneliness and a thyroid disease made her feel worthless</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</si>
  <si>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</si>
  <si>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</si>
  <si>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takes to aston villa for first premier league start on tuesday night . 
 ireland under 21 international says he is n't about to change . 
 the aston villa teenager says he will carry on that way .</t>
    <phoneticPr fontId="4" type="noConversion"/>
  </si>
  <si>
    <t xml:space="preserve"> ireland under 21 international says he is n't about to change . </t>
  </si>
  <si>
    <t xml:space="preserve"> the aston villa teenager says he will carry on that way .</t>
  </si>
  <si>
    <t xml:space="preserve"> the ireland under 21 international renowned for keeping his socks low . </t>
  </si>
  <si>
    <t xml:space="preserve"> grealish actually wears children 's shinpads underneath . </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</si>
  <si>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</si>
  <si>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t>
    <phoneticPr fontId="4" type="noConversion"/>
  </si>
  <si>
    <t xml:space="preserve"> oregon law allows for use of physical force against an intruder who wo n't leave a resident 's home .</t>
  </si>
  <si>
    <t>curtin</t>
  </si>
  <si>
    <t xml:space="preserve"> parents</t>
  </si>
  <si>
    <t>boyfriend 's ex was injecting drugs in her bathroom when she came home</t>
  </si>
  <si>
    <t>prosecutors dropped charge</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</si>
  <si>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</si>
  <si>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the blast occurred at an oil storage facility monday night after an oil leak . 
 five out of six people were injured by broken glass and have been sent to hospital for treatment . 
 more than 600 firefighters were sent to battle the blaze and the fire is now under control .</t>
    <phoneticPr fontId="4" type="noConversion"/>
  </si>
  <si>
    <t xml:space="preserve"> five out of six people were injured by broken glass and have been sent to hospital for treatment . </t>
  </si>
  <si>
    <t xml:space="preserve"> more than 600 firefighters were sent to battle the blaze and the fire is now under control .</t>
  </si>
  <si>
    <t xml:space="preserve">a blast rocks a chemical plant in china 's southeastern fujian province for the second time in two years . </t>
  </si>
  <si>
    <t xml:space="preserve"> six were injured after the explosion and are being hospitalized . </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</si>
  <si>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</si>
  <si>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her owner throws a broccoli spear into the mix . 
 she then proceeds to spit it out on the floor .</t>
    <phoneticPr fontId="4" type="noConversion"/>
  </si>
  <si>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</si>
  <si>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lost his varsity coaching job at a private academy after testifying this week about his years selling marijuana . 
 kushner , 32 , is one of more than a dozen former drug dealers testifying for the federal government about allegations of police wrongdoing . 
 kushner had passed a background check when he was hired to coach basketball in 2010 .</t>
    <phoneticPr fontId="4" type="noConversion"/>
  </si>
  <si>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</si>
  <si>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 xml:space="preserve">hsbc has apologised after a link on its official website directed visitors to a pornographic page . 
 anyone trying to access the porn site took over the address after the awards were scrapped in 2011 and the organisers allowed its registration on hsbc.com.hk to retire . 
 hsbc removed the hyperlink from its main website after mistake . </t>
    <phoneticPr fontId="4" type="noConversion"/>
  </si>
  <si>
    <t xml:space="preserve">and denied association with the page . </t>
  </si>
  <si>
    <t xml:space="preserve"> hsbc removed the hyperlink from its main website after mistake .</t>
  </si>
  <si>
    <t xml:space="preserve"> anyone </t>
    <phoneticPr fontId="4" type="noConversion"/>
  </si>
  <si>
    <t xml:space="preserve">trying to access </t>
    <phoneticPr fontId="4" type="noConversion"/>
  </si>
  <si>
    <t>graphic images appeared on defunct young entrepreneurs awards sites .</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</si>
  <si>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</si>
  <si>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youtube user lionel hutz filmed his young son chasing the family feline around the garden in a bid to get some rest . 
 footage shows the cat licking his fur before his human friend comes along and plonks himself on top . 
 the boy then proceeds to follow the pet to his new location .</t>
    <phoneticPr fontId="4" type="noConversion"/>
  </si>
  <si>
    <t xml:space="preserve"> the boy then proceeds to follow the pet to his new location .</t>
  </si>
  <si>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</si>
  <si>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 xml:space="preserve">a 13-year-old maryland boy provided firefighters with instructions during a 911 call and got himself and his little sister rescued after his family 's home caught fire on sunday morning . 
 the boy called 911 shortly before 7am after he smelled smoke and told the dispatcher the siblings were trapped in the room because it was too hot to get out through the hallway . 
 marcus was rescued along with his 9-year-old sister . </t>
    <phoneticPr fontId="4" type="noConversion"/>
  </si>
  <si>
    <t>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</si>
  <si>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</si>
  <si>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's name will be removed from an israeli memorial commemorating fallen soldiers and victims of terrorism . 
 abu khdeir , 16 , was beaten and burned alive by three israelis in july . 
 his father says he 's not a terror victim .</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</si>
  <si>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</si>
  <si>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the images were taken in jervis bay , the south coast of nsw . 
 a similar display was shown in sydney 's manly beach back in august 2014 . 
 photographer andy hutchinson described the sight as a ` beautiful supernatural scene ' caused by millions of plankton .</t>
    <phoneticPr fontId="4" type="noConversion"/>
  </si>
  <si>
    <t xml:space="preserve">iain suthers , of university of new south wales , says the algae blossoms in the spring and the autumn . </t>
    <phoneticPr fontId="4" type="noConversion"/>
  </si>
  <si>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</si>
  <si>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bolton-born boxer amir khan spent his day a safari park with his family in northern california . 
 khan posed alongside , and also fed , a rare but dangerous white tiger as he posed with stunning giraffes and sea lions at six flags discovery kingdom . 
 the 28-year-old will fight former light-welterweight world champion chris algieri on may 30 .</t>
    <phoneticPr fontId="4" type="noConversion"/>
  </si>
  <si>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</si>
  <si>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 xml:space="preserve">after surgery , the cancer cells are sent to a lab where they are screened , and women can be told within days whether they have a high or low risk of the disease returning . 
 most of the tests are available only privately and cost about # 2,500 . 
 experts say the risk of chemotherapy is as low as five per cent . </t>
    <phoneticPr fontId="4" type="noConversion"/>
  </si>
  <si>
    <t xml:space="preserve"> experts say the risk of chemotherapy is as low as five per cent . </t>
    <phoneticPr fontId="4" type="noConversion"/>
  </si>
  <si>
    <t>breast cancer patients may be spared chemotherapy thanks to new tests pinpoint genetic ` markers ' in tumour and determine aggressiveness .</t>
    <phoneticPr fontId="4" type="noConversion"/>
  </si>
  <si>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</si>
  <si>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 xml:space="preserve">ten pieces produces capsule collection of ten pieces of unisex clothing designed to be worn in 20 ways . 
 empty pool was used as part of mercedes-benz fashion week australia . 
 ten pieces is worn in ten ways . </t>
    <phoneticPr fontId="4" type="noConversion"/>
  </si>
  <si>
    <t xml:space="preserve"> guests sat in and around the pool to take in the capsule collection of monochrome unisex pieces . </t>
  </si>
  <si>
    <t xml:space="preserve"> label is owned by icebergs restaurateur maurice terzini and partner lucy hinckfuss .</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</si>
  <si>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</si>
  <si>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 xml:space="preserve">at least one woman was airlifted from hms illustrious , which was nicknamed ` hms lusty ' by the crew before it was decommissioned last year . 
 more than 25 women have been airlifted from royal navy ships because of pregnancy . 
 data comes nine months after commander sarah west , the first woman to captain a royal navy warship . </t>
    <phoneticPr fontId="4" type="noConversion"/>
  </si>
  <si>
    <t xml:space="preserve"> more than 25 women have been airlifted from royal navy ships because of pregnancy . </t>
  </si>
  <si>
    <t xml:space="preserve"> data comes nine months after commander sarah west , the first woman to captain a royal navy warship .</t>
  </si>
  <si>
    <t>hms ocean had five women removed in nine years , according to new data .</t>
  </si>
  <si>
    <t>mod spokesman confirmed there was a strict ' no touching ' rule in place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</si>
  <si>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</si>
  <si>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former open university information officer , has joined the supporters of the media pressure group hacked off . 
 it wants mps to set up a statutory body to regulate the press . 
 pie was formed in 1974 to campaign for sex with children to be legalised .</t>
    <phoneticPr fontId="4" type="noConversion"/>
  </si>
  <si>
    <t xml:space="preserve"> it wants mps to set up a statutory body to regulate the press . </t>
  </si>
  <si>
    <t>69-year-old former key activist jailed in 1981 for ' corrupting public morals ' .</t>
  </si>
  <si>
    <t>his attendance at the meeting is likely to be an embarrassment for group .</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</si>
  <si>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</si>
  <si>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the discovery came on the same day a japanese court approved a government plan to restart two reactors at the sendai nuclear power plant . 
 prime minister shinzo abe 's push to restart the reactors is unpopular . 
 drone was found on the rooftop of japan 's rooftop to the white house .</t>
    <phoneticPr fontId="4" type="noConversion"/>
  </si>
  <si>
    <t xml:space="preserve"> prime minister shinzo abe 's push to restart the reactors is unpopular . </t>
  </si>
  <si>
    <t xml:space="preserve"> drone was found on the rooftop of japan 's rooftop to the white house .</t>
  </si>
  <si>
    <t xml:space="preserve">the drone is sparking terrorism concerns , authorities say . </t>
  </si>
  <si>
    <t xml:space="preserve"> it was equipped with a bottle containing radioactive material . </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</si>
  <si>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</si>
  <si>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 xml:space="preserve">chinese parents called mai zizhuo and he has been shooting hoops since he was two and a half years old . 
 now a new basketball star is on the rise in china . 
 lakers fan ` siu720 ' says he ca n't believe it . </t>
    <phoneticPr fontId="4" type="noConversion"/>
  </si>
  <si>
    <t>chinese parents</t>
  </si>
  <si>
    <t xml:space="preserve"> now a new basketball star is on the rise in china . </t>
  </si>
  <si>
    <t xml:space="preserve"> lakers fan ` siu720 ' says he ca n't believe it .</t>
  </si>
  <si>
    <t xml:space="preserve"> video shows him shooting the hoops and dribbling two basketballs . </t>
  </si>
  <si>
    <t xml:space="preserve"> his incredible skills have won him legions of fans around china .</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</si>
  <si>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</si>
  <si>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 xml:space="preserve">lu xincai takes his 84-year-old mother to work with him on the back of his motorbike every day . 
 the security guard says he is scared his mother will get lost if he leaves her at home by herself because she suffers from the degenerative disease . 
 he takes his mother with him to work on his back every day . </t>
    <phoneticPr fontId="4" type="noConversion"/>
  </si>
  <si>
    <t xml:space="preserve"> he takes his mother with him to work on his back every day .</t>
  </si>
  <si>
    <t xml:space="preserve">lu xincai says no one else can look after his 84-year-old mother . </t>
  </si>
  <si>
    <t xml:space="preserve">he ties her to him with a sash to make sure she does not fall off . </t>
  </si>
  <si>
    <t xml:space="preserve"> she 's now been given her own room at the bank where he works . </t>
  </si>
  <si>
    <t>95-4</t>
  </si>
  <si>
    <t>96-4</t>
  </si>
  <si>
    <t>97-4</t>
  </si>
  <si>
    <t>98-4</t>
  </si>
  <si>
    <t>99-4</t>
  </si>
  <si>
    <t>100-4</t>
  </si>
  <si>
    <t>101-4</t>
  </si>
  <si>
    <t>102-4</t>
  </si>
  <si>
    <t>103-4</t>
  </si>
  <si>
    <t>104-4</t>
  </si>
  <si>
    <t>105-4</t>
  </si>
  <si>
    <t>106-4</t>
  </si>
  <si>
    <t>107-4</t>
  </si>
  <si>
    <t>108-4</t>
  </si>
  <si>
    <t>109-4</t>
  </si>
  <si>
    <t>110-4</t>
  </si>
  <si>
    <t>111-4</t>
  </si>
  <si>
    <t>112-4</t>
  </si>
  <si>
    <t>113-4</t>
  </si>
  <si>
    <t>114-4</t>
  </si>
  <si>
    <t>115-4</t>
  </si>
  <si>
    <t>116-4</t>
  </si>
  <si>
    <t>117-4</t>
  </si>
  <si>
    <t>118-4</t>
  </si>
  <si>
    <t>119-4</t>
  </si>
  <si>
    <t>120-4</t>
  </si>
  <si>
    <t>121-4</t>
  </si>
  <si>
    <t>122-4</t>
  </si>
  <si>
    <t>123-4</t>
  </si>
  <si>
    <t>124-4</t>
  </si>
  <si>
    <t>125-4</t>
  </si>
  <si>
    <t>126-4</t>
  </si>
  <si>
    <t>127-4</t>
  </si>
  <si>
    <t>128-4</t>
  </si>
  <si>
    <t>129-4</t>
  </si>
  <si>
    <t>130-4</t>
  </si>
  <si>
    <t>131-4</t>
  </si>
  <si>
    <t>132-4</t>
  </si>
  <si>
    <t>133-4</t>
  </si>
  <si>
    <t>134-4</t>
  </si>
  <si>
    <t>135-4</t>
  </si>
  <si>
    <t>136-4</t>
  </si>
  <si>
    <t>137-4</t>
  </si>
  <si>
    <t>138-4</t>
  </si>
  <si>
    <t>139-4</t>
  </si>
  <si>
    <t>140-4</t>
  </si>
  <si>
    <t>141-4</t>
  </si>
  <si>
    <t>142-4</t>
  </si>
  <si>
    <t>143-4</t>
  </si>
  <si>
    <t>144-4</t>
  </si>
  <si>
    <t>2-4</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</si>
  <si>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</si>
  <si>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 15 , and his friends were hanging out in an alleyway in south l.a. before school on february 10 . 
 one of the teenagers was holding a toy gun that the officers thought was real . 
 nicholson was shot in the back by officer miguel gutierrez and is in pain but he says he and his friend feel lucky to be alive .</t>
  </si>
  <si>
    <t xml:space="preserve">jamar nicholson , 15 , and his friends were hanging out in an alleyway in south l.a. before school on february 10 . </t>
  </si>
  <si>
    <t xml:space="preserve"> one of the teenagers was holding a toy gun that the officers thought was real . </t>
  </si>
  <si>
    <t>but he says he and his friend feel lucky to be alive .</t>
  </si>
  <si>
    <t>nicholson and his friend jason huerta , 17 , are suing the city of los angeles for $ 20m</t>
  </si>
  <si>
    <t>officer miguel gutierrez who shot nicholson has returned to duty but the incident is under investigation</t>
  </si>
  <si>
    <t>19-4</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</si>
  <si>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</si>
  <si>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women 's binge drinking rates rose by nearly 36 percent between 2002 and 2012 . 
 rate of binge drinking among women increased more than seven times .</t>
  </si>
  <si>
    <t xml:space="preserve"> rate of binge drinking among women increased more than seven times .</t>
  </si>
  <si>
    <t>it 's now more acceptable for women to drink the way men traditionally have , says one expert</t>
  </si>
  <si>
    <t>55-4</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</si>
  <si>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</si>
  <si>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 xml:space="preserve">a passenger filmed the driver on a bus in auckland , new zealand , and sent the video to bus company ritchies coachlines along with a complaint . 
 in the footage the driver can be seen flicking through pages of the newspaper while the bus is in motion . 
 ritchies coachlines boss andrew ritchie said he was embarrassed by the ` idiot ' driver 's actions . </t>
  </si>
  <si>
    <t>68-4</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</si>
  <si>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</si>
  <si>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just over a quarter of women giving birth in england now have a caesarean and the rate has more than doubled since the early 1990s . 
 doctors say the procedure should only be carried out when ` medically necessary ' because it can lead to infections and even death . 
 experts say this figure should ideally be between just 10 per cent and 15 per cent .</t>
  </si>
  <si>
    <t xml:space="preserve"> experts say this figure should ideally be between just 10 per cent and 15 per cent .</t>
  </si>
  <si>
    <t xml:space="preserve"> doctors</t>
  </si>
  <si>
    <t>86-4</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</si>
  <si>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</si>
  <si>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 xml:space="preserve">james robarge , 45 , from saxtons river , vermont was sentenced in court for second-degree murder in the death of his wife kelly robarge , 42 . 
 her badly decomposed body , with her hands and head detached , was found 10 days later in unity . 
 robarge has served nearly two years behind bars which means he could be eligible for parole in about 28 years . </t>
  </si>
  <si>
    <t xml:space="preserve"> her badly decomposed body , with her hands and head detached , was found 10 days later in unity . </t>
  </si>
  <si>
    <t>91-4</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</si>
  <si>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</si>
  <si>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 
 she was discovered at the court street property in edgartown by owner mark conklin on april 17 after she allegedly broke into a gray nissan pickup truck when conklin called the police . 
 when he confronted her she claimed that she owned the house .</t>
  </si>
  <si>
    <t>after</t>
  </si>
  <si>
    <t>when he confronted her she claimed that she owned the house .</t>
  </si>
  <si>
    <t>a neighbor told police he saw filkins outside with items from the house and that she appeared to be having a yard sale or giving the items away</t>
  </si>
  <si>
    <t>92-4</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</si>
  <si>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</si>
  <si>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 xml:space="preserve">french customs officers seized more than 2 tons of cocaine aboard a sailboat that was falsely flying an american flag in the caribbean . 
 french authorities arrested one venezuelan and two spanish citizens on board the vessel off martinique . 
 martinique 's value is estimated at more than $ 105 million . </t>
  </si>
  <si>
    <t xml:space="preserve"> that was falsely flying an american flag in the caribbean . </t>
  </si>
  <si>
    <t>145-4</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</si>
  <si>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</si>
  <si>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 xml:space="preserve">the phone , which belonged to bella crooke from melbourne , was handed in to albury police station on sunday morning . 
 police officers realised the phone was unlocked and used it to post selfies and photos of the phone in locations around the police station . 
 officers from albury police posted selfies on a woman 's facebook page saying she could come and collect her phone . </t>
  </si>
  <si>
    <t xml:space="preserve"> officers from albury police posted selfies on a woman 's facebook page saying she could come and collect her phone . </t>
  </si>
  <si>
    <t>bella crooke lost the phone on saturday at a friend 's birthday party</t>
  </si>
  <si>
    <t>146-4</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</si>
  <si>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</si>
  <si>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a baby girl was found crying in the ladies ' toilet of a burger bar in sichuan province . 
 workers who found the baby , who was wrapped in a shirt but was still attached to the umbilical cord and placenta , called the police and ambulance . 
 the woman , yuan yen , 34 , was found to have blood on her when she was approached . 
 workers at the restaurant said yuan yen had returned to her table and sat ` in a trance ' she was arre</t>
  </si>
  <si>
    <t>but was otherwise fine</t>
  </si>
  <si>
    <t xml:space="preserve"> the woman , yuan yen , 34 , was found to have blood on her when she was approached . </t>
  </si>
  <si>
    <t xml:space="preserve"> workers at the restaurant said yuan yen had returned to her table and sat ` in a trance ' she was arre</t>
  </si>
  <si>
    <t>she was arrested after cctv showed her visiting the restroom</t>
  </si>
  <si>
    <t>147-4</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</si>
  <si>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</si>
  <si>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 xml:space="preserve">five-day-old hippopotamus was seen being hurled into the air before being dragged along the surface of the water in the isimangaliso wetland park , in eastern south africa . 
 the calf 's mother watched in horror as the hippo was flung into the firing line of an adult male , which was tussling with its rival . 
 the two male hippos had been fighting for two adults . </t>
  </si>
  <si>
    <t>two adults</t>
  </si>
  <si>
    <t>148-4</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</si>
  <si>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</si>
  <si>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 xml:space="preserve">ian rogers owns nine haunted dolls all of which he says contain their own personality . 
 ian 's favourite doll is annabel , who he thinks is haunted by a seven-year-old girl who drowned . 
 # 50 haunted dolls are said to contain the spirits of people who have passed on . </t>
  </si>
  <si>
    <t xml:space="preserve"> ian 's favourite doll is annabel , who he thinks is haunted by a seven-year-old girl who drowned . </t>
  </si>
  <si>
    <t>ian rogers has spent hundreds of pounds on his collection of nine dolls</t>
  </si>
  <si>
    <t>149-4</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</si>
  <si>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</si>
  <si>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 xml:space="preserve">the knightsbridge flat , london , has just three years left on the lease . 
 the cost would work out at # 191,000 per year , or # 15,000 per month . 
 it boasts three bedrooms , two bathrooms , a reception room and utility room . </t>
  </si>
  <si>
    <t>at £ 575,000</t>
  </si>
  <si>
    <t xml:space="preserve"> it boasts three bedrooms , two bathrooms , a reception room and utility room . </t>
  </si>
  <si>
    <t>property experts said if a buyer decides to extend the lease , the property could be worth upwards of £ 6 million</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</si>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</sst>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name val="Arial"/>
      <family val="2"/>
    </font>
    <font>
      <sz val="11"/>
      <color rgb="FF000000"/>
      <name val="宋体"/>
      <family val="2"/>
      <charset val="134"/>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19">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49" fontId="6" fillId="0" borderId="1" xfId="0" applyNumberFormat="1" applyFont="1" applyBorder="1" applyAlignment="1"/>
    <xf numFmtId="0" fontId="17" fillId="0" borderId="1" xfId="0" applyFont="1" applyBorder="1" applyAlignment="1" applyProtection="1">
      <alignment horizontal="left" vertical="center"/>
      <protection locked="0"/>
    </xf>
    <xf numFmtId="0" fontId="17" fillId="0" borderId="1" xfId="0" applyFont="1" applyBorder="1" applyAlignment="1"/>
    <xf numFmtId="0" fontId="17" fillId="0" borderId="0" xfId="0" applyFont="1" applyBorder="1" applyAlignment="1" applyProtection="1">
      <alignment horizontal="left" vertical="center"/>
      <protection locked="0"/>
    </xf>
    <xf numFmtId="14" fontId="17" fillId="0" borderId="1" xfId="0" applyNumberFormat="1" applyFont="1" applyBorder="1" applyAlignment="1" applyProtection="1">
      <alignment horizontal="left" vertical="center"/>
      <protection locked="0"/>
    </xf>
    <xf numFmtId="0" fontId="34" fillId="0" borderId="1" xfId="0" applyFont="1" applyBorder="1" applyAlignment="1" applyProtection="1">
      <alignment horizontal="left" vertical="center"/>
      <protection locked="0"/>
    </xf>
    <xf numFmtId="49" fontId="34" fillId="0" borderId="1" xfId="0" applyNumberFormat="1" applyFont="1" applyBorder="1" applyAlignment="1" applyProtection="1">
      <alignment horizontal="left" vertical="center"/>
      <protection locked="0"/>
    </xf>
    <xf numFmtId="49" fontId="17" fillId="0" borderId="1" xfId="0" applyNumberFormat="1" applyFont="1" applyBorder="1" applyAlignment="1" applyProtection="1">
      <alignment horizontal="left" vertical="center"/>
      <protection locked="0"/>
    </xf>
    <xf numFmtId="49" fontId="17" fillId="0" borderId="1" xfId="0" applyNumberFormat="1" applyFont="1" applyFill="1" applyBorder="1" applyAlignment="1">
      <alignment horizontal="left" vertical="center"/>
    </xf>
    <xf numFmtId="165" fontId="17" fillId="0" borderId="1" xfId="0" applyNumberFormat="1" applyFont="1" applyFill="1" applyBorder="1" applyAlignment="1">
      <alignment horizontal="center" vertical="center"/>
    </xf>
    <xf numFmtId="0" fontId="17" fillId="0" borderId="1" xfId="0" applyFont="1" applyFill="1" applyBorder="1" applyAlignment="1"/>
    <xf numFmtId="0" fontId="17" fillId="0" borderId="1" xfId="0" applyFont="1" applyFill="1" applyBorder="1" applyAlignment="1" applyProtection="1">
      <alignment horizontal="left" vertical="center"/>
      <protection locked="0"/>
    </xf>
    <xf numFmtId="0" fontId="17" fillId="0" borderId="1" xfId="0" applyFont="1" applyFill="1" applyBorder="1" applyAlignment="1" applyProtection="1">
      <alignment horizontal="left" vertical="center" wrapText="1"/>
      <protection locked="0"/>
    </xf>
    <xf numFmtId="0" fontId="17" fillId="0" borderId="1" xfId="0" applyFont="1" applyFill="1" applyBorder="1" applyAlignment="1">
      <alignment vertical="center"/>
    </xf>
    <xf numFmtId="0" fontId="17" fillId="0" borderId="0" xfId="0" applyFont="1" applyFill="1" applyBorder="1" applyAlignment="1">
      <alignment vertical="center"/>
    </xf>
    <xf numFmtId="49" fontId="11" fillId="0" borderId="1" xfId="0" applyNumberFormat="1" applyFont="1" applyBorder="1"/>
    <xf numFmtId="0" fontId="17" fillId="0" borderId="1" xfId="0" quotePrefix="1" applyFont="1" applyBorder="1" applyAlignment="1" applyProtection="1">
      <alignment horizontal="left" vertical="center"/>
      <protection locked="0"/>
    </xf>
    <xf numFmtId="0" fontId="17" fillId="0" borderId="1" xfId="0" applyFont="1" applyBorder="1"/>
    <xf numFmtId="0" fontId="17" fillId="0" borderId="0" xfId="0" applyFont="1" applyAlignment="1" applyProtection="1">
      <alignment horizontal="left" vertical="center"/>
      <protection locked="0"/>
    </xf>
    <xf numFmtId="0" fontId="35" fillId="0" borderId="1" xfId="0" applyFont="1" applyBorder="1" applyAlignment="1" applyProtection="1">
      <alignment horizontal="left" vertical="center"/>
      <protection locked="0"/>
    </xf>
    <xf numFmtId="0" fontId="17" fillId="0" borderId="0" xfId="0" applyFont="1" applyAlignment="1">
      <alignment vertical="center"/>
    </xf>
    <xf numFmtId="49" fontId="9" fillId="0" borderId="0" xfId="0" applyNumberFormat="1" applyFont="1"/>
    <xf numFmtId="0" fontId="17" fillId="0" borderId="1" xfId="0" applyFont="1" applyBorder="1" applyAlignment="1">
      <alignment horizontal="left" vertical="center"/>
    </xf>
    <xf numFmtId="0" fontId="11" fillId="0" borderId="1" xfId="0" applyFont="1" applyBorder="1"/>
    <xf numFmtId="49" fontId="9" fillId="0" borderId="1" xfId="0" applyNumberFormat="1" applyFont="1" applyBorder="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xf numFmtId="49" fontId="17" fillId="0" borderId="1" xfId="0" applyNumberFormat="1" applyFont="1" applyFill="1" applyBorder="1" applyAlignment="1" applyProtection="1">
      <alignment horizontal="left" vertical="center"/>
      <protection locked="0"/>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810">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IGER02/Desktop/100test/Template_Summarization_withoutscoreboard_1126_u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ror Log"/>
      <sheetName val="Scores per segment"/>
      <sheetName val="Severity_Matrix"/>
    </sheetNames>
    <sheetDataSet>
      <sheetData sheetId="0"/>
      <sheetData sheetId="1"/>
      <sheetData sheetId="2" refreshError="1"/>
    </sheetDataSet>
  </externalBook>
</externalLink>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zoomScale="80" zoomScaleNormal="80" zoomScalePageLayoutView="110" workbookViewId="0">
      <selection activeCell="C34" sqref="C34"/>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108" t="s">
        <v>16</v>
      </c>
      <c r="C2" s="108"/>
      <c r="E2" s="108" t="s">
        <v>15</v>
      </c>
      <c r="F2" s="108"/>
      <c r="H2" s="108" t="s">
        <v>49</v>
      </c>
      <c r="I2" s="108"/>
    </row>
    <row r="4" spans="2:11">
      <c r="B4" s="26" t="s">
        <v>18</v>
      </c>
      <c r="C4" s="27"/>
      <c r="E4" s="26" t="s">
        <v>14</v>
      </c>
      <c r="F4" s="41">
        <f>COUNTA('Error Log'!A:A)-1</f>
        <v>611</v>
      </c>
      <c r="H4" s="26" t="s">
        <v>42</v>
      </c>
      <c r="I4" s="42">
        <f>H18</f>
        <v>69.642149742506277</v>
      </c>
      <c r="K4" s="35"/>
    </row>
    <row r="5" spans="2:11">
      <c r="C5" s="28"/>
      <c r="F5" s="28"/>
      <c r="K5" s="36">
        <f>I4</f>
        <v>69.642149742506277</v>
      </c>
    </row>
    <row r="6" spans="2:11">
      <c r="B6" s="26" t="s">
        <v>51</v>
      </c>
      <c r="C6" s="29"/>
      <c r="D6" s="26" t="s">
        <v>52</v>
      </c>
      <c r="E6" s="26" t="s">
        <v>9</v>
      </c>
      <c r="F6" s="41">
        <f>L36</f>
        <v>602</v>
      </c>
      <c r="H6" s="26" t="s">
        <v>12</v>
      </c>
      <c r="I6" s="43">
        <f>IF(C8=0,"0",1000*(F6/C8))</f>
        <v>79.492935428495969</v>
      </c>
      <c r="K6" s="37">
        <v>1</v>
      </c>
    </row>
    <row r="7" spans="2:11">
      <c r="C7" s="28"/>
      <c r="F7" s="28"/>
      <c r="I7" s="28"/>
      <c r="K7" s="38">
        <f>200-(K5+K6)</f>
        <v>129.35785025749374</v>
      </c>
    </row>
    <row r="8" spans="2:11">
      <c r="B8" s="26" t="s">
        <v>11</v>
      </c>
      <c r="C8" s="77">
        <f>SUM('Scores per segment'!D:D)</f>
        <v>7573</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9</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344</v>
      </c>
      <c r="E18" s="59">
        <f>COUNTIF('Error Log'!$J:$J,E$17)</f>
        <v>225</v>
      </c>
      <c r="F18" s="60">
        <f>COUNTIF('Error Log'!$J:$J,F$17)</f>
        <v>33</v>
      </c>
      <c r="G18" s="73">
        <f>COUNTIF('Error Log'!$F:$F,"Target")</f>
        <v>0</v>
      </c>
      <c r="H18" s="69">
        <f>SUMPRODUCT('Scores per segment'!J:J,'Scores per segment'!D:D)/SUM('Scores per segment'!D:D)</f>
        <v>69.642149742506277</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113" t="s">
        <v>8</v>
      </c>
      <c r="C28" s="61" t="s">
        <v>22</v>
      </c>
      <c r="D28" s="48">
        <f>COUNTIFS('Error Log'!$E:$E,$B$28,'Error Log'!$F:$F,$C28,'Error Log'!$G:$G,D$27)</f>
        <v>6</v>
      </c>
      <c r="E28" s="48">
        <f>COUNTIFS('Error Log'!$E:$E,$B$28,'Error Log'!$F:$F,$C28,'Error Log'!$G:$G,E$27)</f>
        <v>3</v>
      </c>
      <c r="F28" s="55">
        <f>COUNTIFS('Error Log'!$E:$E,$B$28,'Error Log'!$F:$F,$C28,'Error Log'!$G:$G,F$27)</f>
        <v>4</v>
      </c>
      <c r="G28" s="55">
        <f>COUNTIFS('Error Log'!$E:$E,$B$28,'Error Log'!$F:$F,$C28,'Error Log'!$G:$G,G$27)</f>
        <v>4</v>
      </c>
      <c r="H28" s="55">
        <f>COUNTIFS('Error Log'!$E:$E,$B$28,'Error Log'!$F:$F,$C28,'Error Log'!$G:$G,H$27)</f>
        <v>2</v>
      </c>
      <c r="I28" s="55">
        <f>COUNTIFS('Error Log'!$E:$E,$B$28,'Error Log'!$F:$F,$C28,'Error Log'!$G:$G,I$27)</f>
        <v>11</v>
      </c>
      <c r="J28" s="48">
        <f>COUNTIFS('Error Log'!$E:$E,$B$28,'Error Log'!$F:$F,$C28,'Error Log'!$G:$G,J$27)</f>
        <v>11</v>
      </c>
      <c r="K28" s="54">
        <f>COUNTIFS('Error Log'!$E:$E,$B$28,'Error Log'!$F:$F,$C28,'Error Log'!$G:$G,K$27)</f>
        <v>179</v>
      </c>
      <c r="L28" s="65">
        <f t="shared" ref="L28:L35" si="0">SUM(D28:K28)</f>
        <v>220</v>
      </c>
    </row>
    <row r="29" spans="2:12">
      <c r="B29" s="112"/>
      <c r="C29" s="62" t="s">
        <v>7</v>
      </c>
      <c r="D29" s="49">
        <f>COUNTIFS('Error Log'!$E:$E,$B$28,'Error Log'!$F:$F,$C29,'Error Log'!$G:$G,D$27)</f>
        <v>4</v>
      </c>
      <c r="E29" s="49">
        <f>COUNTIFS('Error Log'!$E:$E,$B$28,'Error Log'!$F:$F,$C29,'Error Log'!$G:$G,E$27)</f>
        <v>10</v>
      </c>
      <c r="F29" s="56">
        <f>COUNTIFS('Error Log'!$E:$E,$B$28,'Error Log'!$F:$F,$C29,'Error Log'!$G:$G,F$27)</f>
        <v>12</v>
      </c>
      <c r="G29" s="56">
        <f>COUNTIFS('Error Log'!$E:$E,$B$28,'Error Log'!$F:$F,$C29,'Error Log'!$G:$G,G$27)</f>
        <v>5</v>
      </c>
      <c r="H29" s="56">
        <f>COUNTIFS('Error Log'!$E:$E,$B$28,'Error Log'!$F:$F,$C29,'Error Log'!$G:$G,H$27)</f>
        <v>1</v>
      </c>
      <c r="I29" s="56">
        <f>COUNTIFS('Error Log'!$E:$E,$B$28,'Error Log'!$F:$F,$C29,'Error Log'!$G:$G,I$27)</f>
        <v>8</v>
      </c>
      <c r="J29" s="51">
        <f>COUNTIFS('Error Log'!$E:$E,$B$28,'Error Log'!$F:$F,$C29,'Error Log'!$G:$G,J$27)</f>
        <v>15</v>
      </c>
      <c r="K29" s="52">
        <f>COUNTIFS('Error Log'!$E:$E,$B$28,'Error Log'!$F:$F,$C29,'Error Log'!$G:$G,K$27)</f>
        <v>243</v>
      </c>
      <c r="L29" s="66">
        <f t="shared" si="0"/>
        <v>298</v>
      </c>
    </row>
    <row r="30" spans="2:12">
      <c r="B30" s="112"/>
      <c r="C30" s="62" t="s">
        <v>68</v>
      </c>
      <c r="D30" s="49">
        <f>COUNTIFS('Error Log'!$E:$E,$B$28,'Error Log'!$F:$F,$C30,'Error Log'!$G:$G,D$27)</f>
        <v>22</v>
      </c>
      <c r="E30" s="49">
        <f>COUNTIFS('Error Log'!$E:$E,$B$28,'Error Log'!$F:$F,$C30,'Error Log'!$G:$G,E$27)</f>
        <v>8</v>
      </c>
      <c r="F30" s="56">
        <f>COUNTIFS('Error Log'!$E:$E,$B$28,'Error Log'!$F:$F,$C30,'Error Log'!$G:$G,F$27)</f>
        <v>5</v>
      </c>
      <c r="G30" s="56">
        <f>COUNTIFS('Error Log'!$E:$E,$B$28,'Error Log'!$F:$F,$C30,'Error Log'!$G:$G,G$27)</f>
        <v>5</v>
      </c>
      <c r="H30" s="56">
        <f>COUNTIFS('Error Log'!$E:$E,$B$28,'Error Log'!$F:$F,$C30,'Error Log'!$G:$G,H$27)</f>
        <v>10</v>
      </c>
      <c r="I30" s="56">
        <f>COUNTIFS('Error Log'!$E:$E,$B$28,'Error Log'!$F:$F,$C30,'Error Log'!$G:$G,I$27)</f>
        <v>14</v>
      </c>
      <c r="J30" s="49">
        <f>COUNTIFS('Error Log'!$E:$E,$B$28,'Error Log'!$F:$F,$C30,'Error Log'!$G:$G,J$27)</f>
        <v>7</v>
      </c>
      <c r="K30" s="52">
        <f>COUNTIFS('Error Log'!$E:$E,$B$28,'Error Log'!$F:$F,$C30,'Error Log'!$G:$G,K$27)</f>
        <v>0</v>
      </c>
      <c r="L30" s="66">
        <f t="shared" si="0"/>
        <v>71</v>
      </c>
    </row>
    <row r="31" spans="2:12">
      <c r="B31" s="112"/>
      <c r="C31" s="62" t="s">
        <v>69</v>
      </c>
      <c r="D31" s="49">
        <f>COUNTIFS('Error Log'!$E:$E,$B$28,'Error Log'!$F:$F,$C31,'Error Log'!$G:$G,D$27)</f>
        <v>0</v>
      </c>
      <c r="E31" s="49">
        <f>COUNTIFS('Error Log'!$E:$E,$B$28,'Error Log'!$F:$F,$C31,'Error Log'!$G:$G,E$27)</f>
        <v>2</v>
      </c>
      <c r="F31" s="56">
        <f>COUNTIFS('Error Log'!$E:$E,$B$28,'Error Log'!$F:$F,$C31,'Error Log'!$G:$G,F$27)</f>
        <v>1</v>
      </c>
      <c r="G31" s="56">
        <f>COUNTIFS('Error Log'!$E:$E,$B$28,'Error Log'!$F:$F,$C31,'Error Log'!$G:$G,G$27)</f>
        <v>0</v>
      </c>
      <c r="H31" s="56">
        <f>COUNTIFS('Error Log'!$E:$E,$B$28,'Error Log'!$F:$F,$C31,'Error Log'!$G:$G,H$27)</f>
        <v>1</v>
      </c>
      <c r="I31" s="56">
        <f>COUNTIFS('Error Log'!$E:$E,$B$28,'Error Log'!$F:$F,$C31,'Error Log'!$G:$G,I$27)</f>
        <v>0</v>
      </c>
      <c r="J31" s="49">
        <f>COUNTIFS('Error Log'!$E:$E,$B$28,'Error Log'!$F:$F,$C31,'Error Log'!$G:$G,J$27)</f>
        <v>0</v>
      </c>
      <c r="K31" s="52">
        <f>COUNTIFS('Error Log'!$E:$E,$B$28,'Error Log'!$F:$F,$C31,'Error Log'!$G:$G,K$27)</f>
        <v>0</v>
      </c>
      <c r="L31" s="66">
        <f t="shared" ref="L31" si="1">SUM(D31:K31)</f>
        <v>4</v>
      </c>
    </row>
    <row r="32" spans="2:12" ht="14.4" thickBot="1">
      <c r="B32" s="112"/>
      <c r="C32" s="62" t="s">
        <v>45</v>
      </c>
      <c r="D32" s="51">
        <f>COUNTIFS('Error Log'!$E:$E,$B$28,'Error Log'!$F:$F,$C32,'Error Log'!$G:$G,D$27)</f>
        <v>0</v>
      </c>
      <c r="E32" s="51">
        <f>COUNTIFS('Error Log'!$E:$E,$B$28,'Error Log'!$F:$F,$C32,'Error Log'!$G:$G,E$27)</f>
        <v>0</v>
      </c>
      <c r="F32" s="51">
        <f>COUNTIFS('Error Log'!$E:$E,$B$28,'Error Log'!$F:$F,$C32,'Error Log'!$G:$G,F$27)</f>
        <v>2</v>
      </c>
      <c r="G32" s="51">
        <f>COUNTIFS('Error Log'!$E:$E,$B$28,'Error Log'!$F:$F,$C32,'Error Log'!$G:$G,G$27)</f>
        <v>0</v>
      </c>
      <c r="H32" s="51">
        <f>COUNTIFS('Error Log'!$E:$E,$B$28,'Error Log'!$F:$F,$C32,'Error Log'!$G:$G,H$27)</f>
        <v>0</v>
      </c>
      <c r="I32" s="51">
        <f>COUNTIFS('Error Log'!$E:$E,$B$28,'Error Log'!$F:$F,$C32,'Error Log'!$G:$G,I$27)</f>
        <v>1</v>
      </c>
      <c r="J32" s="49">
        <f>COUNTIFS('Error Log'!$E:$E,$B$28,'Error Log'!$F:$F,$C32,'Error Log'!$G:$G,J$27)</f>
        <v>0</v>
      </c>
      <c r="K32" s="52">
        <f>COUNTIFS('Error Log'!$E:$E,$B$28,'Error Log'!$F:$F,$C32,'Error Log'!$G:$G,K$27)</f>
        <v>0</v>
      </c>
      <c r="L32" s="66">
        <f t="shared" si="0"/>
        <v>3</v>
      </c>
    </row>
    <row r="33" spans="2:12">
      <c r="B33" s="111"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12"/>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2</v>
      </c>
      <c r="I34" s="52">
        <f>COUNTIFS('Error Log'!$E:$E,$B$33,'Error Log'!$F:$F,$C34,'Error Log'!$G:$G,I$27)</f>
        <v>0</v>
      </c>
      <c r="J34" s="51">
        <f>COUNTIFS('Error Log'!$E:$E,$B$33,'Error Log'!$F:$F,$C34,'Error Log'!$G:$G,J$27)</f>
        <v>0</v>
      </c>
      <c r="K34" s="52">
        <f>COUNTIFS('Error Log'!$E:$E,$B$33,'Error Log'!$F:$F,$C34,'Error Log'!$G:$G,K$27)</f>
        <v>4</v>
      </c>
      <c r="L34" s="66">
        <f t="shared" si="0"/>
        <v>6</v>
      </c>
    </row>
    <row r="35" spans="2:12" ht="14.4" thickBot="1">
      <c r="B35" s="112"/>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109" t="s">
        <v>6</v>
      </c>
      <c r="C36" s="110"/>
      <c r="D36" s="31">
        <f>SUM(D28:D35)</f>
        <v>32</v>
      </c>
      <c r="E36" s="31">
        <f>SUM(E28:E35)</f>
        <v>23</v>
      </c>
      <c r="F36" s="31">
        <f>SUM(F28:F35)</f>
        <v>24</v>
      </c>
      <c r="G36" s="31">
        <f>SUM(G28:G35)</f>
        <v>14</v>
      </c>
      <c r="H36" s="31">
        <f>SUM(H28:H35)</f>
        <v>16</v>
      </c>
      <c r="I36" s="31">
        <f>SUM(I28:I35)</f>
        <v>34</v>
      </c>
      <c r="J36" s="31">
        <f>SUM(J28:J35)</f>
        <v>33</v>
      </c>
      <c r="K36" s="31">
        <f>SUM(K28:K35)</f>
        <v>426</v>
      </c>
      <c r="L36" s="64">
        <f>SUM(L28:L35)</f>
        <v>602</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26"/>
  <sheetViews>
    <sheetView showGridLines="0" zoomScale="110" zoomScaleNormal="110" zoomScalePageLayoutView="80" workbookViewId="0">
      <pane ySplit="1" topLeftCell="A2" activePane="bottomLeft" state="frozen"/>
      <selection pane="bottomLeft" activeCell="D7" sqref="D7"/>
    </sheetView>
  </sheetViews>
  <sheetFormatPr defaultColWidth="11" defaultRowHeight="13.8"/>
  <cols>
    <col min="1" max="1" width="13.69921875" style="22" customWidth="1"/>
    <col min="2" max="2" width="10" style="23" bestFit="1" customWidth="1"/>
    <col min="3" max="3" width="19.19921875" style="24" customWidth="1"/>
    <col min="4" max="4" width="42.69921875" style="24" customWidth="1"/>
    <col min="5" max="5" width="14.69921875" style="25" bestFit="1" customWidth="1"/>
    <col min="6" max="6" width="23.5" style="25" customWidth="1"/>
    <col min="7" max="7" width="25.69921875" style="25"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ht="41.4">
      <c r="A1" s="16" t="s">
        <v>20</v>
      </c>
      <c r="B1" s="17" t="s">
        <v>17</v>
      </c>
      <c r="C1" s="13" t="s">
        <v>4</v>
      </c>
      <c r="D1" s="13" t="s">
        <v>5</v>
      </c>
      <c r="E1" s="12" t="s">
        <v>0</v>
      </c>
      <c r="F1" s="12" t="s">
        <v>3</v>
      </c>
      <c r="G1" s="12" t="s">
        <v>33</v>
      </c>
      <c r="H1" s="12" t="s">
        <v>32</v>
      </c>
      <c r="I1" s="12" t="s">
        <v>62</v>
      </c>
      <c r="J1" s="12" t="s">
        <v>34</v>
      </c>
    </row>
    <row r="2" spans="1:11" ht="14.4">
      <c r="A2" s="78" t="s">
        <v>74</v>
      </c>
      <c r="B2" s="18">
        <v>1</v>
      </c>
      <c r="C2" s="83" t="s">
        <v>75</v>
      </c>
      <c r="D2" s="78" t="s">
        <v>76</v>
      </c>
      <c r="E2" s="84" t="s">
        <v>21</v>
      </c>
      <c r="F2" s="84" t="s">
        <v>63</v>
      </c>
      <c r="G2" s="84" t="s">
        <v>29</v>
      </c>
      <c r="H2" s="84" t="s">
        <v>77</v>
      </c>
      <c r="I2" s="14"/>
      <c r="J2" s="15" t="str">
        <f>IF(E2="Invalid_Segment","Invalid",IFERROR(INDEX(Severity_Matrix!$C$3:$M$10,MATCH('Error Log'!$F2,Severity_Matrix!$B$3:$B$10,0),MATCH('Error Log'!$G2,Severity_Matrix!$C$2:$M$2,0)),"No errors"))</f>
        <v>Critical</v>
      </c>
      <c r="K2" s="1"/>
    </row>
    <row r="3" spans="1:11" ht="14.4">
      <c r="A3" s="78" t="s">
        <v>74</v>
      </c>
      <c r="B3" s="18">
        <v>2</v>
      </c>
      <c r="C3" s="83" t="s">
        <v>75</v>
      </c>
      <c r="D3" s="78" t="s">
        <v>78</v>
      </c>
      <c r="E3" s="84" t="s">
        <v>21</v>
      </c>
      <c r="F3" s="84" t="s">
        <v>63</v>
      </c>
      <c r="G3" s="84" t="s">
        <v>28</v>
      </c>
      <c r="H3" s="84" t="s">
        <v>79</v>
      </c>
      <c r="I3" s="14"/>
      <c r="J3" s="15" t="str">
        <f>IF(E3="Invalid_Segment","Invalid",IFERROR(INDEX(Severity_Matrix!$C$3:$M$10,MATCH('Error Log'!$F3,Severity_Matrix!$B$3:$B$10,0),MATCH('Error Log'!$G3,Severity_Matrix!$C$2:$M$2,0)),"No errors"))</f>
        <v>Major</v>
      </c>
      <c r="K3" s="1"/>
    </row>
    <row r="4" spans="1:11" ht="14.4">
      <c r="A4" s="78" t="s">
        <v>74</v>
      </c>
      <c r="B4" s="18">
        <v>3</v>
      </c>
      <c r="C4" s="83" t="s">
        <v>75</v>
      </c>
      <c r="D4" s="78" t="s">
        <v>78</v>
      </c>
      <c r="E4" s="84" t="s">
        <v>21</v>
      </c>
      <c r="F4" s="84" t="s">
        <v>7</v>
      </c>
      <c r="G4" s="84" t="s">
        <v>28</v>
      </c>
      <c r="H4" s="84" t="s">
        <v>80</v>
      </c>
      <c r="I4" s="14"/>
      <c r="J4" s="15" t="str">
        <f>IF(E4="Invalid_Segment","Invalid",IFERROR(INDEX(Severity_Matrix!$C$3:$M$10,MATCH('Error Log'!$F4,Severity_Matrix!$B$3:$B$10,0),MATCH('Error Log'!$G4,Severity_Matrix!$C$2:$M$2,0)),"No errors"))</f>
        <v>Major</v>
      </c>
      <c r="K4" s="1"/>
    </row>
    <row r="5" spans="1:11" ht="14.4">
      <c r="A5" s="78" t="s">
        <v>74</v>
      </c>
      <c r="B5" s="18">
        <v>4</v>
      </c>
      <c r="C5" s="83" t="s">
        <v>75</v>
      </c>
      <c r="D5" s="78" t="s">
        <v>78</v>
      </c>
      <c r="E5" s="84" t="s">
        <v>21</v>
      </c>
      <c r="F5" s="84" t="s">
        <v>7</v>
      </c>
      <c r="G5" s="84" t="s">
        <v>56</v>
      </c>
      <c r="H5" s="84" t="s">
        <v>81</v>
      </c>
      <c r="I5" s="14"/>
      <c r="J5" s="15" t="str">
        <f>IF(E5="Invalid_Segment","Invalid",IFERROR(INDEX(Severity_Matrix!$C$3:$M$10,MATCH('Error Log'!$F5,Severity_Matrix!$B$3:$B$10,0),MATCH('Error Log'!$G5,Severity_Matrix!$C$2:$M$2,0)),"No errors"))</f>
        <v>Critical</v>
      </c>
      <c r="K5" s="1"/>
    </row>
    <row r="6" spans="1:11" ht="14.4">
      <c r="A6" s="78" t="s">
        <v>74</v>
      </c>
      <c r="B6" s="18">
        <v>5</v>
      </c>
      <c r="C6" s="83" t="s">
        <v>75</v>
      </c>
      <c r="D6" s="78" t="s">
        <v>78</v>
      </c>
      <c r="E6" s="84" t="s">
        <v>21</v>
      </c>
      <c r="F6" s="84" t="s">
        <v>7</v>
      </c>
      <c r="G6" s="84" t="s">
        <v>57</v>
      </c>
      <c r="H6" s="84" t="s">
        <v>82</v>
      </c>
      <c r="I6" s="14"/>
      <c r="J6" s="15" t="str">
        <f>IF(E6="Invalid_Segment","Invalid",IFERROR(INDEX(Severity_Matrix!$C$3:$M$10,MATCH('Error Log'!$F6,Severity_Matrix!$B$3:$B$10,0),MATCH('Error Log'!$G6,Severity_Matrix!$C$2:$M$2,0)),"No errors"))</f>
        <v>Critical</v>
      </c>
      <c r="K6" s="1"/>
    </row>
    <row r="7" spans="1:11" ht="14.4">
      <c r="A7" s="78" t="s">
        <v>74</v>
      </c>
      <c r="B7" s="18">
        <v>6</v>
      </c>
      <c r="C7" s="83" t="s">
        <v>75</v>
      </c>
      <c r="D7" s="78" t="s">
        <v>78</v>
      </c>
      <c r="E7" s="84" t="s">
        <v>21</v>
      </c>
      <c r="F7" s="84" t="s">
        <v>7</v>
      </c>
      <c r="G7" s="84" t="s">
        <v>57</v>
      </c>
      <c r="H7" s="84" t="s">
        <v>83</v>
      </c>
      <c r="I7" s="14"/>
      <c r="J7" s="15" t="str">
        <f>IF(E7="Invalid_Segment","Invalid",IFERROR(INDEX(Severity_Matrix!$C$3:$M$10,MATCH('Error Log'!$F7,Severity_Matrix!$B$3:$B$10,0),MATCH('Error Log'!$G7,Severity_Matrix!$C$2:$M$2,0)),"No errors"))</f>
        <v>Critical</v>
      </c>
      <c r="K7" s="1"/>
    </row>
    <row r="8" spans="1:11" ht="14.4">
      <c r="A8" s="78" t="s">
        <v>84</v>
      </c>
      <c r="B8" s="18">
        <v>1</v>
      </c>
      <c r="C8" s="83" t="s">
        <v>85</v>
      </c>
      <c r="D8" s="78" t="s">
        <v>86</v>
      </c>
      <c r="E8" s="84" t="s">
        <v>21</v>
      </c>
      <c r="F8" s="84" t="s">
        <v>63</v>
      </c>
      <c r="G8" s="84" t="s">
        <v>54</v>
      </c>
      <c r="H8" s="84" t="s">
        <v>87</v>
      </c>
      <c r="I8" s="14"/>
      <c r="J8" s="15" t="str">
        <f>IF(E8="Invalid_Segment","Invalid",IFERROR(INDEX(Severity_Matrix!$C$3:$M$10,MATCH('Error Log'!$F8,Severity_Matrix!$B$3:$B$10,0),MATCH('Error Log'!$G8,Severity_Matrix!$C$2:$M$2,0)),"No errors"))</f>
        <v>Critical</v>
      </c>
      <c r="K8" s="1"/>
    </row>
    <row r="9" spans="1:11" ht="14.4">
      <c r="A9" s="78" t="s">
        <v>84</v>
      </c>
      <c r="B9" s="18">
        <v>2</v>
      </c>
      <c r="C9" s="83" t="s">
        <v>85</v>
      </c>
      <c r="D9" s="78" t="s">
        <v>86</v>
      </c>
      <c r="E9" s="84" t="s">
        <v>21</v>
      </c>
      <c r="F9" s="84" t="s">
        <v>7</v>
      </c>
      <c r="G9" s="84" t="s">
        <v>56</v>
      </c>
      <c r="H9" s="84" t="s">
        <v>88</v>
      </c>
      <c r="I9" s="14"/>
      <c r="J9" s="15" t="str">
        <f>IF(E9="Invalid_Segment","Invalid",IFERROR(INDEX(Severity_Matrix!$C$3:$M$10,MATCH('Error Log'!$F9,Severity_Matrix!$B$3:$B$10,0),MATCH('Error Log'!$G9,Severity_Matrix!$C$2:$M$2,0)),"No errors"))</f>
        <v>Critical</v>
      </c>
      <c r="K9" s="1"/>
    </row>
    <row r="10" spans="1:11" ht="14.4">
      <c r="A10" s="78" t="s">
        <v>84</v>
      </c>
      <c r="B10" s="18">
        <v>3</v>
      </c>
      <c r="C10" s="83" t="s">
        <v>85</v>
      </c>
      <c r="D10" s="78" t="s">
        <v>86</v>
      </c>
      <c r="E10" s="84" t="s">
        <v>21</v>
      </c>
      <c r="F10" s="84" t="s">
        <v>7</v>
      </c>
      <c r="G10" s="84" t="s">
        <v>57</v>
      </c>
      <c r="H10" s="84" t="s">
        <v>89</v>
      </c>
      <c r="I10" s="14"/>
      <c r="J10" s="15" t="str">
        <f>IF(E10="Invalid_Segment","Invalid",IFERROR(INDEX(Severity_Matrix!$C$3:$M$10,MATCH('Error Log'!$F10,Severity_Matrix!$B$3:$B$10,0),MATCH('Error Log'!$G10,Severity_Matrix!$C$2:$M$2,0)),"No errors"))</f>
        <v>Critical</v>
      </c>
      <c r="K10" s="1"/>
    </row>
    <row r="11" spans="1:11" ht="14.4">
      <c r="A11" s="78" t="s">
        <v>84</v>
      </c>
      <c r="B11" s="18">
        <v>4</v>
      </c>
      <c r="C11" s="83" t="s">
        <v>85</v>
      </c>
      <c r="D11" s="78" t="s">
        <v>86</v>
      </c>
      <c r="E11" s="84" t="s">
        <v>21</v>
      </c>
      <c r="F11" s="84" t="s">
        <v>7</v>
      </c>
      <c r="G11" s="84" t="s">
        <v>57</v>
      </c>
      <c r="H11" s="84" t="s">
        <v>90</v>
      </c>
      <c r="I11" s="14"/>
      <c r="J11" s="15" t="str">
        <f>IF(E11="Invalid_Segment","Invalid",IFERROR(INDEX(Severity_Matrix!$C$3:$M$10,MATCH('Error Log'!$F11,Severity_Matrix!$B$3:$B$10,0),MATCH('Error Log'!$G11,Severity_Matrix!$C$2:$M$2,0)),"No errors"))</f>
        <v>Critical</v>
      </c>
      <c r="K11" s="1"/>
    </row>
    <row r="12" spans="1:11" ht="14.4">
      <c r="A12" s="78" t="s">
        <v>84</v>
      </c>
      <c r="B12" s="18">
        <v>5</v>
      </c>
      <c r="C12" s="83" t="s">
        <v>85</v>
      </c>
      <c r="D12" s="78" t="s">
        <v>86</v>
      </c>
      <c r="E12" s="84" t="s">
        <v>21</v>
      </c>
      <c r="F12" s="84" t="s">
        <v>7</v>
      </c>
      <c r="G12" s="84" t="s">
        <v>57</v>
      </c>
      <c r="H12" s="84" t="s">
        <v>91</v>
      </c>
      <c r="I12" s="14"/>
      <c r="J12" s="15" t="str">
        <f>IF(E12="Invalid_Segment","Invalid",IFERROR(INDEX(Severity_Matrix!$C$3:$M$10,MATCH('Error Log'!$F12,Severity_Matrix!$B$3:$B$10,0),MATCH('Error Log'!$G12,Severity_Matrix!$C$2:$M$2,0)),"No errors"))</f>
        <v>Critical</v>
      </c>
      <c r="K12" s="1"/>
    </row>
    <row r="13" spans="1:11" ht="14.4">
      <c r="A13" s="78" t="s">
        <v>84</v>
      </c>
      <c r="B13" s="18">
        <v>6</v>
      </c>
      <c r="C13" s="83" t="s">
        <v>85</v>
      </c>
      <c r="D13" s="78" t="s">
        <v>86</v>
      </c>
      <c r="E13" s="84" t="s">
        <v>21</v>
      </c>
      <c r="F13" s="84" t="s">
        <v>7</v>
      </c>
      <c r="G13" s="84" t="s">
        <v>57</v>
      </c>
      <c r="H13" s="84" t="s">
        <v>92</v>
      </c>
      <c r="I13" s="14"/>
      <c r="J13" s="15" t="str">
        <f>IF(E13="Invalid_Segment","Invalid",IFERROR(INDEX(Severity_Matrix!$C$3:$M$10,MATCH('Error Log'!$F13,Severity_Matrix!$B$3:$B$10,0),MATCH('Error Log'!$G13,Severity_Matrix!$C$2:$M$2,0)),"No errors"))</f>
        <v>Critical</v>
      </c>
      <c r="K13" s="1"/>
    </row>
    <row r="14" spans="1:11" ht="14.4">
      <c r="A14" s="78" t="s">
        <v>93</v>
      </c>
      <c r="B14" s="18">
        <v>1</v>
      </c>
      <c r="C14" s="83" t="s">
        <v>94</v>
      </c>
      <c r="D14" s="78" t="s">
        <v>95</v>
      </c>
      <c r="E14" s="84" t="s">
        <v>21</v>
      </c>
      <c r="F14" s="84" t="s">
        <v>7</v>
      </c>
      <c r="G14" s="84" t="s">
        <v>57</v>
      </c>
      <c r="H14" s="84" t="s">
        <v>96</v>
      </c>
      <c r="I14" s="14"/>
      <c r="J14" s="15" t="str">
        <f>IF(E14="Invalid_Segment","Invalid",IFERROR(INDEX(Severity_Matrix!$C$3:$M$10,MATCH('Error Log'!$F14,Severity_Matrix!$B$3:$B$10,0),MATCH('Error Log'!$G14,Severity_Matrix!$C$2:$M$2,0)),"No errors"))</f>
        <v>Critical</v>
      </c>
      <c r="K14" s="1"/>
    </row>
    <row r="15" spans="1:11" ht="14.4">
      <c r="A15" s="78" t="s">
        <v>93</v>
      </c>
      <c r="B15" s="18">
        <v>2</v>
      </c>
      <c r="C15" s="83" t="s">
        <v>94</v>
      </c>
      <c r="D15" s="78" t="s">
        <v>95</v>
      </c>
      <c r="E15" s="84" t="s">
        <v>21</v>
      </c>
      <c r="F15" s="84" t="s">
        <v>7</v>
      </c>
      <c r="G15" s="84" t="s">
        <v>57</v>
      </c>
      <c r="H15" s="84" t="s">
        <v>97</v>
      </c>
      <c r="I15" s="14"/>
      <c r="J15" s="15" t="str">
        <f>IF(E15="Invalid_Segment","Invalid",IFERROR(INDEX(Severity_Matrix!$C$3:$M$10,MATCH('Error Log'!$F15,Severity_Matrix!$B$3:$B$10,0),MATCH('Error Log'!$G15,Severity_Matrix!$C$2:$M$2,0)),"No errors"))</f>
        <v>Critical</v>
      </c>
      <c r="K15" s="1"/>
    </row>
    <row r="16" spans="1:11" ht="14.4">
      <c r="A16" s="78" t="s">
        <v>98</v>
      </c>
      <c r="B16" s="18">
        <v>1</v>
      </c>
      <c r="C16" s="83" t="s">
        <v>99</v>
      </c>
      <c r="D16" s="78" t="s">
        <v>100</v>
      </c>
      <c r="E16" s="84" t="s">
        <v>21</v>
      </c>
      <c r="F16" s="84" t="s">
        <v>7</v>
      </c>
      <c r="G16" s="84" t="s">
        <v>57</v>
      </c>
      <c r="H16" s="84" t="s">
        <v>101</v>
      </c>
      <c r="I16" s="14"/>
      <c r="J16" s="15" t="str">
        <f>IF(E16="Invalid_Segment","Invalid",IFERROR(INDEX(Severity_Matrix!$C$3:$M$10,MATCH('Error Log'!$F16,Severity_Matrix!$B$3:$B$10,0),MATCH('Error Log'!$G16,Severity_Matrix!$C$2:$M$2,0)),"No errors"))</f>
        <v>Critical</v>
      </c>
      <c r="K16" s="1"/>
    </row>
    <row r="17" spans="1:11" ht="14.4">
      <c r="A17" s="78" t="s">
        <v>98</v>
      </c>
      <c r="B17" s="18">
        <v>2</v>
      </c>
      <c r="C17" s="83" t="s">
        <v>99</v>
      </c>
      <c r="D17" s="78" t="s">
        <v>100</v>
      </c>
      <c r="E17" s="84" t="s">
        <v>21</v>
      </c>
      <c r="F17" s="84" t="s">
        <v>7</v>
      </c>
      <c r="G17" s="84" t="s">
        <v>57</v>
      </c>
      <c r="H17" s="84" t="s">
        <v>102</v>
      </c>
      <c r="I17" s="14"/>
      <c r="J17" s="15" t="str">
        <f>IF(E17="Invalid_Segment","Invalid",IFERROR(INDEX(Severity_Matrix!$C$3:$M$10,MATCH('Error Log'!$F17,Severity_Matrix!$B$3:$B$10,0),MATCH('Error Log'!$G17,Severity_Matrix!$C$2:$M$2,0)),"No errors"))</f>
        <v>Critical</v>
      </c>
      <c r="K17" s="1"/>
    </row>
    <row r="18" spans="1:11" ht="14.4">
      <c r="A18" s="78" t="s">
        <v>98</v>
      </c>
      <c r="B18" s="18">
        <v>3</v>
      </c>
      <c r="C18" s="83" t="s">
        <v>99</v>
      </c>
      <c r="D18" s="78" t="s">
        <v>100</v>
      </c>
      <c r="E18" s="84" t="s">
        <v>21</v>
      </c>
      <c r="F18" s="84" t="s">
        <v>7</v>
      </c>
      <c r="G18" s="84" t="s">
        <v>57</v>
      </c>
      <c r="H18" s="84" t="s">
        <v>103</v>
      </c>
      <c r="I18" s="14"/>
      <c r="J18" s="15" t="str">
        <f>IF(E18="Invalid_Segment","Invalid",IFERROR(INDEX(Severity_Matrix!$C$3:$M$10,MATCH('Error Log'!$F18,Severity_Matrix!$B$3:$B$10,0),MATCH('Error Log'!$G18,Severity_Matrix!$C$2:$M$2,0)),"No errors"))</f>
        <v>Critical</v>
      </c>
      <c r="K18" s="1"/>
    </row>
    <row r="19" spans="1:11" ht="14.4">
      <c r="A19" s="78" t="s">
        <v>98</v>
      </c>
      <c r="B19" s="18">
        <v>4</v>
      </c>
      <c r="C19" s="83" t="s">
        <v>99</v>
      </c>
      <c r="D19" s="78" t="s">
        <v>100</v>
      </c>
      <c r="E19" s="84" t="s">
        <v>21</v>
      </c>
      <c r="F19" s="84" t="s">
        <v>7</v>
      </c>
      <c r="G19" s="84" t="s">
        <v>57</v>
      </c>
      <c r="H19" s="84" t="s">
        <v>104</v>
      </c>
      <c r="I19" s="14"/>
      <c r="J19" s="15" t="str">
        <f>IF(E19="Invalid_Segment","Invalid",IFERROR(INDEX(Severity_Matrix!$C$3:$M$10,MATCH('Error Log'!$F19,Severity_Matrix!$B$3:$B$10,0),MATCH('Error Log'!$G19,Severity_Matrix!$C$2:$M$2,0)),"No errors"))</f>
        <v>Critical</v>
      </c>
      <c r="K19" s="1"/>
    </row>
    <row r="20" spans="1:11" ht="14.4">
      <c r="A20" s="78" t="s">
        <v>105</v>
      </c>
      <c r="B20" s="18">
        <v>1</v>
      </c>
      <c r="C20" s="83" t="s">
        <v>106</v>
      </c>
      <c r="D20" s="78" t="s">
        <v>107</v>
      </c>
      <c r="E20" s="84" t="s">
        <v>21</v>
      </c>
      <c r="F20" s="84" t="s">
        <v>45</v>
      </c>
      <c r="G20" s="84" t="s">
        <v>28</v>
      </c>
      <c r="H20" s="84" t="s">
        <v>108</v>
      </c>
      <c r="I20" s="14"/>
      <c r="J20" s="15" t="str">
        <f>IF(E20="Invalid_Segment","Invalid",IFERROR(INDEX(Severity_Matrix!$C$3:$M$10,MATCH('Error Log'!$F20,Severity_Matrix!$B$3:$B$10,0),MATCH('Error Log'!$G20,Severity_Matrix!$C$2:$M$2,0)),"No errors"))</f>
        <v>Critical</v>
      </c>
      <c r="K20" s="1"/>
    </row>
    <row r="21" spans="1:11" ht="14.4">
      <c r="A21" s="78" t="s">
        <v>105</v>
      </c>
      <c r="B21" s="18">
        <v>2</v>
      </c>
      <c r="C21" s="83" t="s">
        <v>106</v>
      </c>
      <c r="D21" s="78" t="s">
        <v>107</v>
      </c>
      <c r="E21" s="84" t="s">
        <v>21</v>
      </c>
      <c r="F21" s="84" t="s">
        <v>7</v>
      </c>
      <c r="G21" s="84" t="s">
        <v>57</v>
      </c>
      <c r="H21" s="84" t="s">
        <v>109</v>
      </c>
      <c r="I21" s="14"/>
      <c r="J21" s="15" t="str">
        <f>IF(E21="Invalid_Segment","Invalid",IFERROR(INDEX(Severity_Matrix!$C$3:$M$10,MATCH('Error Log'!$F21,Severity_Matrix!$B$3:$B$10,0),MATCH('Error Log'!$G21,Severity_Matrix!$C$2:$M$2,0)),"No errors"))</f>
        <v>Critical</v>
      </c>
      <c r="K21" s="1"/>
    </row>
    <row r="22" spans="1:11" ht="14.4">
      <c r="A22" s="78" t="s">
        <v>105</v>
      </c>
      <c r="B22" s="18">
        <v>3</v>
      </c>
      <c r="C22" s="83" t="s">
        <v>106</v>
      </c>
      <c r="D22" s="78" t="s">
        <v>107</v>
      </c>
      <c r="E22" s="84" t="s">
        <v>21</v>
      </c>
      <c r="F22" s="84" t="s">
        <v>7</v>
      </c>
      <c r="G22" s="84" t="s">
        <v>57</v>
      </c>
      <c r="H22" s="84" t="s">
        <v>110</v>
      </c>
      <c r="I22" s="14"/>
      <c r="J22" s="15" t="str">
        <f>IF(E22="Invalid_Segment","Invalid",IFERROR(INDEX(Severity_Matrix!$C$3:$M$10,MATCH('Error Log'!$F22,Severity_Matrix!$B$3:$B$10,0),MATCH('Error Log'!$G22,Severity_Matrix!$C$2:$M$2,0)),"No errors"))</f>
        <v>Critical</v>
      </c>
      <c r="K22" s="1"/>
    </row>
    <row r="23" spans="1:11">
      <c r="A23" s="78" t="s">
        <v>111</v>
      </c>
      <c r="B23" s="18">
        <v>1</v>
      </c>
      <c r="C23" s="78" t="s">
        <v>112</v>
      </c>
      <c r="D23" s="78" t="s">
        <v>113</v>
      </c>
      <c r="E23" s="84" t="s">
        <v>21</v>
      </c>
      <c r="F23" s="84" t="s">
        <v>63</v>
      </c>
      <c r="G23" s="84" t="s">
        <v>56</v>
      </c>
      <c r="H23" s="84" t="s">
        <v>114</v>
      </c>
      <c r="I23" s="14"/>
      <c r="J23" s="15" t="str">
        <f>IF(E23="Invalid_Segment","Invalid",IFERROR(INDEX(Severity_Matrix!$C$3:$M$10,MATCH('Error Log'!$F23,Severity_Matrix!$B$3:$B$10,0),MATCH('Error Log'!$G23,Severity_Matrix!$C$2:$M$2,0)),"No errors"))</f>
        <v>Critical</v>
      </c>
      <c r="K23" s="1"/>
    </row>
    <row r="24" spans="1:11">
      <c r="A24" s="78" t="s">
        <v>111</v>
      </c>
      <c r="B24" s="18">
        <v>2</v>
      </c>
      <c r="C24" s="78" t="s">
        <v>112</v>
      </c>
      <c r="D24" s="78" t="s">
        <v>113</v>
      </c>
      <c r="E24" s="84" t="s">
        <v>21</v>
      </c>
      <c r="F24" s="84" t="s">
        <v>63</v>
      </c>
      <c r="G24" s="84" t="s">
        <v>58</v>
      </c>
      <c r="H24" s="84" t="s">
        <v>115</v>
      </c>
      <c r="I24" s="14"/>
      <c r="J24" s="15" t="str">
        <f>IF(E24="Invalid_Segment","Invalid",IFERROR(INDEX(Severity_Matrix!$C$3:$M$10,MATCH('Error Log'!$F24,Severity_Matrix!$B$3:$B$10,0),MATCH('Error Log'!$G24,Severity_Matrix!$C$2:$M$2,0)),"No errors"))</f>
        <v>Minor</v>
      </c>
      <c r="K24" s="1"/>
    </row>
    <row r="25" spans="1:11">
      <c r="A25" s="78" t="s">
        <v>111</v>
      </c>
      <c r="B25" s="18">
        <v>3</v>
      </c>
      <c r="C25" s="78" t="s">
        <v>112</v>
      </c>
      <c r="D25" s="78" t="s">
        <v>113</v>
      </c>
      <c r="E25" s="84" t="s">
        <v>21</v>
      </c>
      <c r="F25" s="84" t="s">
        <v>7</v>
      </c>
      <c r="G25" s="84" t="s">
        <v>58</v>
      </c>
      <c r="H25" s="84" t="s">
        <v>116</v>
      </c>
      <c r="I25" s="14"/>
      <c r="J25" s="15" t="str">
        <f>IF(E25="Invalid_Segment","Invalid",IFERROR(INDEX(Severity_Matrix!$C$3:$M$10,MATCH('Error Log'!$F25,Severity_Matrix!$B$3:$B$10,0),MATCH('Error Log'!$G25,Severity_Matrix!$C$2:$M$2,0)),"No errors"))</f>
        <v>Minor</v>
      </c>
      <c r="K25" s="1"/>
    </row>
    <row r="26" spans="1:11">
      <c r="A26" s="78" t="s">
        <v>111</v>
      </c>
      <c r="B26" s="18">
        <v>4</v>
      </c>
      <c r="C26" s="78" t="s">
        <v>112</v>
      </c>
      <c r="D26" s="78" t="s">
        <v>113</v>
      </c>
      <c r="E26" s="84" t="s">
        <v>21</v>
      </c>
      <c r="F26" s="84" t="s">
        <v>7</v>
      </c>
      <c r="G26" s="84" t="s">
        <v>28</v>
      </c>
      <c r="H26" s="84" t="s">
        <v>117</v>
      </c>
      <c r="I26" s="14"/>
      <c r="J26" s="15" t="str">
        <f>IF(E26="Invalid_Segment","Invalid",IFERROR(INDEX(Severity_Matrix!$C$3:$M$10,MATCH('Error Log'!$F26,Severity_Matrix!$B$3:$B$10,0),MATCH('Error Log'!$G26,Severity_Matrix!$C$2:$M$2,0)),"No errors"))</f>
        <v>Major</v>
      </c>
      <c r="K26" s="1"/>
    </row>
    <row r="27" spans="1:11">
      <c r="A27" s="78" t="s">
        <v>111</v>
      </c>
      <c r="B27" s="18">
        <v>5</v>
      </c>
      <c r="C27" s="78" t="s">
        <v>112</v>
      </c>
      <c r="D27" s="78" t="s">
        <v>113</v>
      </c>
      <c r="E27" s="84" t="s">
        <v>21</v>
      </c>
      <c r="F27" s="84" t="s">
        <v>7</v>
      </c>
      <c r="G27" s="84" t="s">
        <v>55</v>
      </c>
      <c r="H27" s="84" t="s">
        <v>118</v>
      </c>
      <c r="I27" s="14"/>
      <c r="J27" s="15" t="str">
        <f>IF(E27="Invalid_Segment","Invalid",IFERROR(INDEX(Severity_Matrix!$C$3:$M$10,MATCH('Error Log'!$F27,Severity_Matrix!$B$3:$B$10,0),MATCH('Error Log'!$G27,Severity_Matrix!$C$2:$M$2,0)),"No errors"))</f>
        <v>Critical</v>
      </c>
      <c r="K27" s="1"/>
    </row>
    <row r="28" spans="1:11">
      <c r="A28" s="78" t="s">
        <v>111</v>
      </c>
      <c r="B28" s="18">
        <v>6</v>
      </c>
      <c r="C28" s="78" t="s">
        <v>112</v>
      </c>
      <c r="D28" s="78" t="s">
        <v>113</v>
      </c>
      <c r="E28" s="84" t="s">
        <v>21</v>
      </c>
      <c r="F28" s="84" t="s">
        <v>22</v>
      </c>
      <c r="G28" s="84" t="s">
        <v>57</v>
      </c>
      <c r="H28" s="84" t="s">
        <v>119</v>
      </c>
      <c r="I28" s="14"/>
      <c r="J28" s="15" t="str">
        <f>IF(E28="Invalid_Segment","Invalid",IFERROR(INDEX(Severity_Matrix!$C$3:$M$10,MATCH('Error Log'!$F28,Severity_Matrix!$B$3:$B$10,0),MATCH('Error Log'!$G28,Severity_Matrix!$C$2:$M$2,0)),"No errors"))</f>
        <v>Major</v>
      </c>
      <c r="K28" s="1"/>
    </row>
    <row r="29" spans="1:11">
      <c r="A29" s="78" t="s">
        <v>111</v>
      </c>
      <c r="B29" s="18">
        <v>7</v>
      </c>
      <c r="C29" s="78" t="s">
        <v>112</v>
      </c>
      <c r="D29" s="78" t="s">
        <v>113</v>
      </c>
      <c r="E29" s="84" t="s">
        <v>21</v>
      </c>
      <c r="F29" s="84" t="s">
        <v>7</v>
      </c>
      <c r="G29" s="84" t="s">
        <v>57</v>
      </c>
      <c r="H29" s="84" t="s">
        <v>120</v>
      </c>
      <c r="I29" s="14"/>
      <c r="J29" s="15" t="str">
        <f>IF(E29="Invalid_Segment","Invalid",IFERROR(INDEX(Severity_Matrix!$C$3:$M$10,MATCH('Error Log'!$F29,Severity_Matrix!$B$3:$B$10,0),MATCH('Error Log'!$G29,Severity_Matrix!$C$2:$M$2,0)),"No errors"))</f>
        <v>Critical</v>
      </c>
      <c r="K29" s="1"/>
    </row>
    <row r="30" spans="1:11">
      <c r="A30" s="78" t="s">
        <v>121</v>
      </c>
      <c r="B30" s="18">
        <v>1</v>
      </c>
      <c r="C30" s="78" t="s">
        <v>122</v>
      </c>
      <c r="D30" s="78" t="s">
        <v>123</v>
      </c>
      <c r="E30" s="84" t="s">
        <v>21</v>
      </c>
      <c r="F30" s="84" t="s">
        <v>63</v>
      </c>
      <c r="G30" s="84" t="s">
        <v>54</v>
      </c>
      <c r="H30" s="84" t="s">
        <v>124</v>
      </c>
      <c r="I30" s="14"/>
      <c r="J30" s="15" t="str">
        <f>IF(E30="Invalid_Segment","Invalid",IFERROR(INDEX(Severity_Matrix!$C$3:$M$10,MATCH('Error Log'!$F30,Severity_Matrix!$B$3:$B$10,0),MATCH('Error Log'!$G30,Severity_Matrix!$C$2:$M$2,0)),"No errors"))</f>
        <v>Critical</v>
      </c>
      <c r="K30" s="1"/>
    </row>
    <row r="31" spans="1:11">
      <c r="A31" s="78" t="s">
        <v>121</v>
      </c>
      <c r="B31" s="18">
        <v>2</v>
      </c>
      <c r="C31" s="78" t="s">
        <v>122</v>
      </c>
      <c r="D31" s="78" t="s">
        <v>123</v>
      </c>
      <c r="E31" s="84" t="s">
        <v>21</v>
      </c>
      <c r="F31" s="84" t="s">
        <v>22</v>
      </c>
      <c r="G31" s="84" t="s">
        <v>57</v>
      </c>
      <c r="H31" s="84" t="s">
        <v>125</v>
      </c>
      <c r="I31" s="14"/>
      <c r="J31" s="15" t="str">
        <f>IF(E31="Invalid_Segment","Invalid",IFERROR(INDEX(Severity_Matrix!$C$3:$M$10,MATCH('Error Log'!$F31,Severity_Matrix!$B$3:$B$10,0),MATCH('Error Log'!$G31,Severity_Matrix!$C$2:$M$2,0)),"No errors"))</f>
        <v>Major</v>
      </c>
      <c r="K31" s="1"/>
    </row>
    <row r="32" spans="1:11">
      <c r="A32" s="78" t="s">
        <v>121</v>
      </c>
      <c r="B32" s="18">
        <v>3</v>
      </c>
      <c r="C32" s="78" t="s">
        <v>122</v>
      </c>
      <c r="D32" s="78" t="s">
        <v>123</v>
      </c>
      <c r="E32" s="84" t="s">
        <v>21</v>
      </c>
      <c r="F32" s="84" t="s">
        <v>7</v>
      </c>
      <c r="G32" s="84" t="s">
        <v>57</v>
      </c>
      <c r="H32" s="84" t="s">
        <v>126</v>
      </c>
      <c r="I32" s="14"/>
      <c r="J32" s="15" t="str">
        <f>IF(E32="Invalid_Segment","Invalid",IFERROR(INDEX(Severity_Matrix!$C$3:$M$10,MATCH('Error Log'!$F32,Severity_Matrix!$B$3:$B$10,0),MATCH('Error Log'!$G32,Severity_Matrix!$C$2:$M$2,0)),"No errors"))</f>
        <v>Critical</v>
      </c>
      <c r="K32" s="1"/>
    </row>
    <row r="33" spans="1:11">
      <c r="A33" s="78" t="s">
        <v>127</v>
      </c>
      <c r="B33" s="18">
        <v>4</v>
      </c>
      <c r="C33" s="78" t="s">
        <v>122</v>
      </c>
      <c r="D33" s="78" t="s">
        <v>123</v>
      </c>
      <c r="E33" s="84" t="s">
        <v>21</v>
      </c>
      <c r="F33" s="84" t="s">
        <v>7</v>
      </c>
      <c r="G33" s="84" t="s">
        <v>57</v>
      </c>
      <c r="H33" s="84" t="s">
        <v>128</v>
      </c>
      <c r="I33" s="14"/>
      <c r="J33" s="15" t="str">
        <f>IF(E33="Invalid_Segment","Invalid",IFERROR(INDEX(Severity_Matrix!$C$3:$M$10,MATCH('Error Log'!$F33,Severity_Matrix!$B$3:$B$10,0),MATCH('Error Log'!$G33,Severity_Matrix!$C$2:$M$2,0)),"No errors"))</f>
        <v>Critical</v>
      </c>
      <c r="K33" s="1"/>
    </row>
    <row r="34" spans="1:11">
      <c r="A34" s="78" t="s">
        <v>127</v>
      </c>
      <c r="B34" s="18">
        <v>5</v>
      </c>
      <c r="C34" s="78" t="s">
        <v>122</v>
      </c>
      <c r="D34" s="78" t="s">
        <v>123</v>
      </c>
      <c r="E34" s="84" t="s">
        <v>21</v>
      </c>
      <c r="F34" s="84" t="s">
        <v>7</v>
      </c>
      <c r="G34" s="84" t="s">
        <v>57</v>
      </c>
      <c r="H34" s="84" t="s">
        <v>129</v>
      </c>
      <c r="I34" s="14"/>
      <c r="J34" s="15" t="str">
        <f>IF(E34="Invalid_Segment","Invalid",IFERROR(INDEX(Severity_Matrix!$C$3:$M$10,MATCH('Error Log'!$F34,Severity_Matrix!$B$3:$B$10,0),MATCH('Error Log'!$G34,Severity_Matrix!$C$2:$M$2,0)),"No errors"))</f>
        <v>Critical</v>
      </c>
      <c r="K34" s="1"/>
    </row>
    <row r="35" spans="1:11">
      <c r="A35" s="78" t="s">
        <v>130</v>
      </c>
      <c r="B35" s="18">
        <v>1</v>
      </c>
      <c r="C35" s="78" t="s">
        <v>131</v>
      </c>
      <c r="D35" s="78" t="s">
        <v>132</v>
      </c>
      <c r="E35" s="84" t="s">
        <v>21</v>
      </c>
      <c r="F35" s="84" t="s">
        <v>7</v>
      </c>
      <c r="G35" s="84" t="s">
        <v>57</v>
      </c>
      <c r="H35" s="84" t="s">
        <v>133</v>
      </c>
      <c r="I35" s="14"/>
      <c r="J35" s="15" t="str">
        <f>IF(E35="Invalid_Segment","Invalid",IFERROR(INDEX(Severity_Matrix!$C$3:$M$10,MATCH('Error Log'!$F35,Severity_Matrix!$B$3:$B$10,0),MATCH('Error Log'!$G35,Severity_Matrix!$C$2:$M$2,0)),"No errors"))</f>
        <v>Critical</v>
      </c>
      <c r="K35" s="1"/>
    </row>
    <row r="36" spans="1:11">
      <c r="A36" s="78" t="s">
        <v>130</v>
      </c>
      <c r="B36" s="18">
        <v>2</v>
      </c>
      <c r="C36" s="78" t="s">
        <v>131</v>
      </c>
      <c r="D36" s="78" t="s">
        <v>134</v>
      </c>
      <c r="E36" s="84" t="s">
        <v>21</v>
      </c>
      <c r="F36" s="84" t="s">
        <v>7</v>
      </c>
      <c r="G36" s="84" t="s">
        <v>57</v>
      </c>
      <c r="H36" s="84" t="s">
        <v>135</v>
      </c>
      <c r="I36" s="14"/>
      <c r="J36" s="15" t="str">
        <f>IF(E36="Invalid_Segment","Invalid",IFERROR(INDEX(Severity_Matrix!$C$3:$M$10,MATCH('Error Log'!$F36,Severity_Matrix!$B$3:$B$10,0),MATCH('Error Log'!$G36,Severity_Matrix!$C$2:$M$2,0)),"No errors"))</f>
        <v>Critical</v>
      </c>
      <c r="K36" s="1"/>
    </row>
    <row r="37" spans="1:11">
      <c r="A37" s="78" t="s">
        <v>136</v>
      </c>
      <c r="B37" s="18">
        <v>3</v>
      </c>
      <c r="C37" s="78" t="s">
        <v>131</v>
      </c>
      <c r="D37" s="78" t="s">
        <v>137</v>
      </c>
      <c r="E37" s="84" t="s">
        <v>21</v>
      </c>
      <c r="F37" s="84" t="s">
        <v>7</v>
      </c>
      <c r="G37" s="84" t="s">
        <v>57</v>
      </c>
      <c r="H37" s="84" t="s">
        <v>138</v>
      </c>
      <c r="I37" s="14"/>
      <c r="J37" s="15" t="str">
        <f>IF(E37="Invalid_Segment","Invalid",IFERROR(INDEX(Severity_Matrix!$C$3:$M$10,MATCH('Error Log'!$F37,Severity_Matrix!$B$3:$B$10,0),MATCH('Error Log'!$G37,Severity_Matrix!$C$2:$M$2,0)),"No errors"))</f>
        <v>Critical</v>
      </c>
      <c r="K37" s="1"/>
    </row>
    <row r="38" spans="1:11">
      <c r="A38" s="78" t="s">
        <v>136</v>
      </c>
      <c r="B38" s="18">
        <v>4</v>
      </c>
      <c r="C38" s="78" t="s">
        <v>131</v>
      </c>
      <c r="D38" s="78" t="s">
        <v>139</v>
      </c>
      <c r="E38" s="84" t="s">
        <v>21</v>
      </c>
      <c r="F38" s="84" t="s">
        <v>22</v>
      </c>
      <c r="G38" s="84" t="s">
        <v>57</v>
      </c>
      <c r="H38" s="84" t="s">
        <v>140</v>
      </c>
      <c r="I38" s="14"/>
      <c r="J38" s="15" t="str">
        <f>IF(E38="Invalid_Segment","Invalid",IFERROR(INDEX(Severity_Matrix!$C$3:$M$10,MATCH('Error Log'!$F38,Severity_Matrix!$B$3:$B$10,0),MATCH('Error Log'!$G38,Severity_Matrix!$C$2:$M$2,0)),"No errors"))</f>
        <v>Major</v>
      </c>
      <c r="K38" s="1"/>
    </row>
    <row r="39" spans="1:11">
      <c r="A39" s="78" t="s">
        <v>136</v>
      </c>
      <c r="B39" s="18">
        <v>5</v>
      </c>
      <c r="C39" s="78" t="s">
        <v>131</v>
      </c>
      <c r="D39" s="78" t="s">
        <v>141</v>
      </c>
      <c r="E39" s="84" t="s">
        <v>21</v>
      </c>
      <c r="F39" s="84" t="s">
        <v>22</v>
      </c>
      <c r="G39" s="84" t="s">
        <v>57</v>
      </c>
      <c r="H39" s="84" t="s">
        <v>142</v>
      </c>
      <c r="I39" s="14"/>
      <c r="J39" s="15" t="str">
        <f>IF(E39="Invalid_Segment","Invalid",IFERROR(INDEX(Severity_Matrix!$C$3:$M$10,MATCH('Error Log'!$F39,Severity_Matrix!$B$3:$B$10,0),MATCH('Error Log'!$G39,Severity_Matrix!$C$2:$M$2,0)),"No errors"))</f>
        <v>Major</v>
      </c>
      <c r="K39" s="1"/>
    </row>
    <row r="40" spans="1:11">
      <c r="A40" s="78" t="s">
        <v>136</v>
      </c>
      <c r="B40" s="18">
        <v>6</v>
      </c>
      <c r="C40" s="78" t="s">
        <v>131</v>
      </c>
      <c r="D40" s="78" t="s">
        <v>143</v>
      </c>
      <c r="E40" s="84" t="s">
        <v>21</v>
      </c>
      <c r="F40" s="84" t="s">
        <v>22</v>
      </c>
      <c r="G40" s="84" t="s">
        <v>57</v>
      </c>
      <c r="H40" s="84" t="s">
        <v>144</v>
      </c>
      <c r="I40" s="14"/>
      <c r="J40" s="15" t="str">
        <f>IF(E40="Invalid_Segment","Invalid",IFERROR(INDEX(Severity_Matrix!$C$3:$M$10,MATCH('Error Log'!$F40,Severity_Matrix!$B$3:$B$10,0),MATCH('Error Log'!$G40,Severity_Matrix!$C$2:$M$2,0)),"No errors"))</f>
        <v>Major</v>
      </c>
      <c r="K40" s="1"/>
    </row>
    <row r="41" spans="1:11">
      <c r="A41" s="78" t="s">
        <v>145</v>
      </c>
      <c r="B41" s="18">
        <v>1</v>
      </c>
      <c r="C41" s="78" t="s">
        <v>146</v>
      </c>
      <c r="D41" s="78" t="s">
        <v>147</v>
      </c>
      <c r="E41" s="84" t="s">
        <v>21</v>
      </c>
      <c r="F41" s="84" t="s">
        <v>7</v>
      </c>
      <c r="G41" s="84" t="s">
        <v>57</v>
      </c>
      <c r="H41" s="84" t="s">
        <v>148</v>
      </c>
      <c r="I41" s="14"/>
      <c r="J41" s="15" t="str">
        <f>IF(E41="Invalid_Segment","Invalid",IFERROR(INDEX(Severity_Matrix!$C$3:$M$10,MATCH('Error Log'!$F41,Severity_Matrix!$B$3:$B$10,0),MATCH('Error Log'!$G41,Severity_Matrix!$C$2:$M$2,0)),"No errors"))</f>
        <v>Critical</v>
      </c>
      <c r="K41" s="1"/>
    </row>
    <row r="42" spans="1:11">
      <c r="A42" s="78" t="s">
        <v>145</v>
      </c>
      <c r="B42" s="18">
        <v>2</v>
      </c>
      <c r="C42" s="78" t="s">
        <v>146</v>
      </c>
      <c r="D42" s="78" t="s">
        <v>147</v>
      </c>
      <c r="E42" s="84" t="s">
        <v>21</v>
      </c>
      <c r="F42" s="84" t="s">
        <v>7</v>
      </c>
      <c r="G42" s="84" t="s">
        <v>57</v>
      </c>
      <c r="H42" s="84" t="s">
        <v>149</v>
      </c>
      <c r="I42" s="14"/>
      <c r="J42" s="15" t="str">
        <f>IF(E42="Invalid_Segment","Invalid",IFERROR(INDEX(Severity_Matrix!$C$3:$M$10,MATCH('Error Log'!$F42,Severity_Matrix!$B$3:$B$10,0),MATCH('Error Log'!$G42,Severity_Matrix!$C$2:$M$2,0)),"No errors"))</f>
        <v>Critical</v>
      </c>
      <c r="K42" s="1"/>
    </row>
    <row r="43" spans="1:11">
      <c r="A43" s="78" t="s">
        <v>145</v>
      </c>
      <c r="B43" s="18">
        <v>3</v>
      </c>
      <c r="C43" s="78" t="s">
        <v>146</v>
      </c>
      <c r="D43" s="78" t="s">
        <v>147</v>
      </c>
      <c r="E43" s="84" t="s">
        <v>21</v>
      </c>
      <c r="F43" s="84" t="s">
        <v>22</v>
      </c>
      <c r="G43" s="84" t="s">
        <v>57</v>
      </c>
      <c r="H43" s="84" t="s">
        <v>150</v>
      </c>
      <c r="I43" s="14"/>
      <c r="J43" s="15" t="str">
        <f>IF(E43="Invalid_Segment","Invalid",IFERROR(INDEX(Severity_Matrix!$C$3:$M$10,MATCH('Error Log'!$F43,Severity_Matrix!$B$3:$B$10,0),MATCH('Error Log'!$G43,Severity_Matrix!$C$2:$M$2,0)),"No errors"))</f>
        <v>Major</v>
      </c>
      <c r="K43" s="1"/>
    </row>
    <row r="44" spans="1:11">
      <c r="A44" s="78" t="s">
        <v>151</v>
      </c>
      <c r="B44" s="18">
        <v>1</v>
      </c>
      <c r="C44" s="78" t="s">
        <v>152</v>
      </c>
      <c r="D44" s="78" t="s">
        <v>153</v>
      </c>
      <c r="E44" s="84" t="s">
        <v>21</v>
      </c>
      <c r="F44" s="84" t="s">
        <v>7</v>
      </c>
      <c r="G44" s="84" t="s">
        <v>57</v>
      </c>
      <c r="H44" s="84" t="s">
        <v>154</v>
      </c>
      <c r="I44" s="14"/>
      <c r="J44" s="15" t="str">
        <f>IF(E44="Invalid_Segment","Invalid",IFERROR(INDEX(Severity_Matrix!$C$3:$M$10,MATCH('Error Log'!$F44,Severity_Matrix!$B$3:$B$10,0),MATCH('Error Log'!$G44,Severity_Matrix!$C$2:$M$2,0)),"No errors"))</f>
        <v>Critical</v>
      </c>
      <c r="K44" s="1"/>
    </row>
    <row r="45" spans="1:11">
      <c r="A45" s="78" t="s">
        <v>155</v>
      </c>
      <c r="B45" s="18">
        <v>1</v>
      </c>
      <c r="C45" s="78" t="s">
        <v>156</v>
      </c>
      <c r="D45" s="78" t="s">
        <v>157</v>
      </c>
      <c r="E45" s="84" t="s">
        <v>21</v>
      </c>
      <c r="F45" s="84" t="s">
        <v>63</v>
      </c>
      <c r="G45" s="84" t="s">
        <v>54</v>
      </c>
      <c r="H45" s="84" t="s">
        <v>158</v>
      </c>
      <c r="I45" s="14"/>
      <c r="J45" s="15" t="str">
        <f>IF(E45="Invalid_Segment","Invalid",IFERROR(INDEX(Severity_Matrix!$C$3:$M$10,MATCH('Error Log'!$F45,Severity_Matrix!$B$3:$B$10,0),MATCH('Error Log'!$G45,Severity_Matrix!$C$2:$M$2,0)),"No errors"))</f>
        <v>Critical</v>
      </c>
      <c r="K45" s="1"/>
    </row>
    <row r="46" spans="1:11">
      <c r="A46" s="78" t="s">
        <v>155</v>
      </c>
      <c r="B46" s="18">
        <v>2</v>
      </c>
      <c r="C46" s="78" t="s">
        <v>156</v>
      </c>
      <c r="D46" s="78" t="s">
        <v>157</v>
      </c>
      <c r="E46" s="84" t="s">
        <v>21</v>
      </c>
      <c r="F46" s="84" t="s">
        <v>22</v>
      </c>
      <c r="G46" s="84" t="s">
        <v>57</v>
      </c>
      <c r="H46" s="84" t="s">
        <v>159</v>
      </c>
      <c r="I46" s="14"/>
      <c r="J46" s="15" t="str">
        <f>IF(E46="Invalid_Segment","Invalid",IFERROR(INDEX(Severity_Matrix!$C$3:$M$10,MATCH('Error Log'!$F46,Severity_Matrix!$B$3:$B$10,0),MATCH('Error Log'!$G46,Severity_Matrix!$C$2:$M$2,0)),"No errors"))</f>
        <v>Major</v>
      </c>
      <c r="K46" s="1"/>
    </row>
    <row r="47" spans="1:11">
      <c r="A47" s="78" t="s">
        <v>155</v>
      </c>
      <c r="B47" s="18">
        <v>3</v>
      </c>
      <c r="C47" s="78" t="s">
        <v>156</v>
      </c>
      <c r="D47" s="78" t="s">
        <v>157</v>
      </c>
      <c r="E47" s="84" t="s">
        <v>21</v>
      </c>
      <c r="F47" s="84" t="s">
        <v>22</v>
      </c>
      <c r="G47" s="84" t="s">
        <v>54</v>
      </c>
      <c r="H47" s="84" t="s">
        <v>160</v>
      </c>
      <c r="I47" s="14"/>
      <c r="J47" s="15" t="str">
        <f>IF(E47="Invalid_Segment","Invalid",IFERROR(INDEX(Severity_Matrix!$C$3:$M$10,MATCH('Error Log'!$F47,Severity_Matrix!$B$3:$B$10,0),MATCH('Error Log'!$G47,Severity_Matrix!$C$2:$M$2,0)),"No errors"))</f>
        <v>Critical</v>
      </c>
      <c r="K47" s="1"/>
    </row>
    <row r="48" spans="1:11">
      <c r="A48" s="78" t="s">
        <v>155</v>
      </c>
      <c r="B48" s="18">
        <v>4</v>
      </c>
      <c r="C48" s="78" t="s">
        <v>156</v>
      </c>
      <c r="D48" s="78" t="s">
        <v>157</v>
      </c>
      <c r="E48" s="84" t="s">
        <v>21</v>
      </c>
      <c r="F48" s="84" t="s">
        <v>22</v>
      </c>
      <c r="G48" s="84" t="s">
        <v>56</v>
      </c>
      <c r="H48" s="84" t="s">
        <v>161</v>
      </c>
      <c r="I48" s="14"/>
      <c r="J48" s="15" t="str">
        <f>IF(E48="Invalid_Segment","Invalid",IFERROR(INDEX(Severity_Matrix!$C$3:$M$10,MATCH('Error Log'!$F48,Severity_Matrix!$B$3:$B$10,0),MATCH('Error Log'!$G48,Severity_Matrix!$C$2:$M$2,0)),"No errors"))</f>
        <v>Critical</v>
      </c>
      <c r="K48" s="1"/>
    </row>
    <row r="49" spans="1:11">
      <c r="A49" s="78" t="s">
        <v>155</v>
      </c>
      <c r="B49" s="18">
        <v>5</v>
      </c>
      <c r="C49" s="78" t="s">
        <v>156</v>
      </c>
      <c r="D49" s="78" t="s">
        <v>157</v>
      </c>
      <c r="E49" s="84" t="s">
        <v>21</v>
      </c>
      <c r="F49" s="84" t="s">
        <v>22</v>
      </c>
      <c r="G49" s="84" t="s">
        <v>57</v>
      </c>
      <c r="H49" s="84" t="s">
        <v>162</v>
      </c>
      <c r="I49" s="14"/>
      <c r="J49" s="15" t="str">
        <f>IF(E49="Invalid_Segment","Invalid",IFERROR(INDEX(Severity_Matrix!$C$3:$M$10,MATCH('Error Log'!$F49,Severity_Matrix!$B$3:$B$10,0),MATCH('Error Log'!$G49,Severity_Matrix!$C$2:$M$2,0)),"No errors"))</f>
        <v>Major</v>
      </c>
      <c r="K49" s="1"/>
    </row>
    <row r="50" spans="1:11">
      <c r="A50" s="78" t="s">
        <v>155</v>
      </c>
      <c r="B50" s="18">
        <v>6</v>
      </c>
      <c r="C50" s="78" t="s">
        <v>156</v>
      </c>
      <c r="D50" s="78" t="s">
        <v>157</v>
      </c>
      <c r="E50" s="84" t="s">
        <v>21</v>
      </c>
      <c r="F50" s="84" t="s">
        <v>63</v>
      </c>
      <c r="G50" s="84" t="s">
        <v>28</v>
      </c>
      <c r="H50" s="84" t="s">
        <v>163</v>
      </c>
      <c r="I50" s="14"/>
      <c r="J50" s="15" t="str">
        <f>IF(E50="Invalid_Segment","Invalid",IFERROR(INDEX(Severity_Matrix!$C$3:$M$10,MATCH('Error Log'!$F50,Severity_Matrix!$B$3:$B$10,0),MATCH('Error Log'!$G50,Severity_Matrix!$C$2:$M$2,0)),"No errors"))</f>
        <v>Major</v>
      </c>
      <c r="K50" s="1"/>
    </row>
    <row r="51" spans="1:11">
      <c r="A51" s="78" t="s">
        <v>155</v>
      </c>
      <c r="B51" s="18">
        <v>7</v>
      </c>
      <c r="C51" s="78" t="s">
        <v>156</v>
      </c>
      <c r="D51" s="78" t="s">
        <v>157</v>
      </c>
      <c r="E51" s="84" t="s">
        <v>21</v>
      </c>
      <c r="F51" s="84" t="s">
        <v>7</v>
      </c>
      <c r="G51" s="84" t="s">
        <v>57</v>
      </c>
      <c r="H51" s="84" t="s">
        <v>164</v>
      </c>
      <c r="I51" s="14"/>
      <c r="J51" s="15" t="str">
        <f>IF(E51="Invalid_Segment","Invalid",IFERROR(INDEX(Severity_Matrix!$C$3:$M$10,MATCH('Error Log'!$F51,Severity_Matrix!$B$3:$B$10,0),MATCH('Error Log'!$G51,Severity_Matrix!$C$2:$M$2,0)),"No errors"))</f>
        <v>Critical</v>
      </c>
      <c r="K51" s="1"/>
    </row>
    <row r="52" spans="1:11">
      <c r="A52" s="78" t="s">
        <v>155</v>
      </c>
      <c r="B52" s="18">
        <v>8</v>
      </c>
      <c r="C52" s="78" t="s">
        <v>156</v>
      </c>
      <c r="D52" s="78" t="s">
        <v>157</v>
      </c>
      <c r="E52" s="84" t="s">
        <v>21</v>
      </c>
      <c r="F52" s="84" t="s">
        <v>7</v>
      </c>
      <c r="G52" s="84" t="s">
        <v>57</v>
      </c>
      <c r="H52" s="84" t="s">
        <v>165</v>
      </c>
      <c r="I52" s="14"/>
      <c r="J52" s="15" t="str">
        <f>IF(E52="Invalid_Segment","Invalid",IFERROR(INDEX(Severity_Matrix!$C$3:$M$10,MATCH('Error Log'!$F52,Severity_Matrix!$B$3:$B$10,0),MATCH('Error Log'!$G52,Severity_Matrix!$C$2:$M$2,0)),"No errors"))</f>
        <v>Critical</v>
      </c>
      <c r="K52" s="1"/>
    </row>
    <row r="53" spans="1:11">
      <c r="A53" s="78" t="s">
        <v>155</v>
      </c>
      <c r="B53" s="18">
        <v>9</v>
      </c>
      <c r="C53" s="78" t="s">
        <v>156</v>
      </c>
      <c r="D53" s="78" t="s">
        <v>157</v>
      </c>
      <c r="E53" s="84" t="s">
        <v>21</v>
      </c>
      <c r="F53" s="84" t="s">
        <v>7</v>
      </c>
      <c r="G53" s="84" t="s">
        <v>57</v>
      </c>
      <c r="H53" s="84" t="s">
        <v>166</v>
      </c>
      <c r="I53" s="14"/>
      <c r="J53" s="15" t="str">
        <f>IF(E53="Invalid_Segment","Invalid",IFERROR(INDEX(Severity_Matrix!$C$3:$M$10,MATCH('Error Log'!$F53,Severity_Matrix!$B$3:$B$10,0),MATCH('Error Log'!$G53,Severity_Matrix!$C$2:$M$2,0)),"No errors"))</f>
        <v>Critical</v>
      </c>
      <c r="K53" s="79"/>
    </row>
    <row r="54" spans="1:11">
      <c r="A54" s="78" t="s">
        <v>167</v>
      </c>
      <c r="B54" s="18">
        <v>1</v>
      </c>
      <c r="C54" s="78" t="s">
        <v>168</v>
      </c>
      <c r="D54" s="78" t="s">
        <v>169</v>
      </c>
      <c r="E54" s="84" t="s">
        <v>21</v>
      </c>
      <c r="F54" s="84" t="s">
        <v>22</v>
      </c>
      <c r="G54" s="84" t="s">
        <v>57</v>
      </c>
      <c r="H54" s="84" t="s">
        <v>170</v>
      </c>
      <c r="I54" s="14"/>
      <c r="J54" s="15" t="str">
        <f>IF(E54="Invalid_Segment","Invalid",IFERROR(INDEX(Severity_Matrix!$C$3:$M$10,MATCH('Error Log'!$F54,Severity_Matrix!$B$3:$B$10,0),MATCH('Error Log'!$G54,Severity_Matrix!$C$2:$M$2,0)),"No errors"))</f>
        <v>Major</v>
      </c>
      <c r="K54" s="79"/>
    </row>
    <row r="55" spans="1:11">
      <c r="A55" s="78" t="s">
        <v>167</v>
      </c>
      <c r="B55" s="18">
        <v>2</v>
      </c>
      <c r="C55" s="78" t="s">
        <v>168</v>
      </c>
      <c r="D55" s="78" t="s">
        <v>169</v>
      </c>
      <c r="E55" s="84" t="s">
        <v>21</v>
      </c>
      <c r="F55" s="84" t="s">
        <v>22</v>
      </c>
      <c r="G55" s="84" t="s">
        <v>57</v>
      </c>
      <c r="H55" s="84" t="s">
        <v>171</v>
      </c>
      <c r="I55" s="14"/>
      <c r="J55" s="15" t="str">
        <f>IF(E55="Invalid_Segment","Invalid",IFERROR(INDEX(Severity_Matrix!$C$3:$M$10,MATCH('Error Log'!$F55,Severity_Matrix!$B$3:$B$10,0),MATCH('Error Log'!$G55,Severity_Matrix!$C$2:$M$2,0)),"No errors"))</f>
        <v>Major</v>
      </c>
      <c r="K55" s="79"/>
    </row>
    <row r="56" spans="1:11">
      <c r="A56" s="78" t="s">
        <v>172</v>
      </c>
      <c r="B56" s="18">
        <v>3</v>
      </c>
      <c r="C56" s="78" t="s">
        <v>168</v>
      </c>
      <c r="D56" s="78" t="s">
        <v>169</v>
      </c>
      <c r="E56" s="84" t="s">
        <v>21</v>
      </c>
      <c r="F56" s="84" t="s">
        <v>7</v>
      </c>
      <c r="G56" s="84" t="s">
        <v>57</v>
      </c>
      <c r="H56" s="84" t="s">
        <v>173</v>
      </c>
      <c r="I56" s="14"/>
      <c r="J56" s="15" t="str">
        <f>IF(E56="Invalid_Segment","Invalid",IFERROR(INDEX(Severity_Matrix!$C$3:$M$10,MATCH('Error Log'!$F56,Severity_Matrix!$B$3:$B$10,0),MATCH('Error Log'!$G56,Severity_Matrix!$C$2:$M$2,0)),"No errors"))</f>
        <v>Critical</v>
      </c>
      <c r="K56" s="79"/>
    </row>
    <row r="57" spans="1:11">
      <c r="A57" s="78" t="s">
        <v>172</v>
      </c>
      <c r="B57" s="18">
        <v>4</v>
      </c>
      <c r="C57" s="78" t="s">
        <v>168</v>
      </c>
      <c r="D57" s="78" t="s">
        <v>169</v>
      </c>
      <c r="E57" s="84" t="s">
        <v>21</v>
      </c>
      <c r="F57" s="84" t="s">
        <v>7</v>
      </c>
      <c r="G57" s="84" t="s">
        <v>57</v>
      </c>
      <c r="H57" s="84" t="s">
        <v>174</v>
      </c>
      <c r="I57" s="14"/>
      <c r="J57" s="15" t="str">
        <f>IF(E57="Invalid_Segment","Invalid",IFERROR(INDEX(Severity_Matrix!$C$3:$M$10,MATCH('Error Log'!$F57,Severity_Matrix!$B$3:$B$10,0),MATCH('Error Log'!$G57,Severity_Matrix!$C$2:$M$2,0)),"No errors"))</f>
        <v>Critical</v>
      </c>
      <c r="K57" s="79"/>
    </row>
    <row r="58" spans="1:11">
      <c r="A58" s="78" t="s">
        <v>172</v>
      </c>
      <c r="B58" s="18">
        <v>5</v>
      </c>
      <c r="C58" s="78" t="s">
        <v>168</v>
      </c>
      <c r="D58" s="78" t="s">
        <v>169</v>
      </c>
      <c r="E58" s="84" t="s">
        <v>21</v>
      </c>
      <c r="F58" s="84" t="s">
        <v>7</v>
      </c>
      <c r="G58" s="84" t="s">
        <v>57</v>
      </c>
      <c r="H58" s="84" t="s">
        <v>175</v>
      </c>
      <c r="I58" s="14"/>
      <c r="J58" s="15" t="str">
        <f>IF(E58="Invalid_Segment","Invalid",IFERROR(INDEX(Severity_Matrix!$C$3:$M$10,MATCH('Error Log'!$F58,Severity_Matrix!$B$3:$B$10,0),MATCH('Error Log'!$G58,Severity_Matrix!$C$2:$M$2,0)),"No errors"))</f>
        <v>Critical</v>
      </c>
      <c r="K58" s="79"/>
    </row>
    <row r="59" spans="1:11">
      <c r="A59" s="78" t="s">
        <v>172</v>
      </c>
      <c r="B59" s="18">
        <v>6</v>
      </c>
      <c r="C59" s="78" t="s">
        <v>168</v>
      </c>
      <c r="D59" s="78" t="s">
        <v>169</v>
      </c>
      <c r="E59" s="84" t="s">
        <v>21</v>
      </c>
      <c r="F59" s="84" t="s">
        <v>7</v>
      </c>
      <c r="G59" s="84" t="s">
        <v>57</v>
      </c>
      <c r="H59" s="84" t="s">
        <v>176</v>
      </c>
      <c r="I59" s="14"/>
      <c r="J59" s="15" t="str">
        <f>IF(E59="Invalid_Segment","Invalid",IFERROR(INDEX(Severity_Matrix!$C$3:$M$10,MATCH('Error Log'!$F59,Severity_Matrix!$B$3:$B$10,0),MATCH('Error Log'!$G59,Severity_Matrix!$C$2:$M$2,0)),"No errors"))</f>
        <v>Critical</v>
      </c>
      <c r="K59" s="79"/>
    </row>
    <row r="60" spans="1:11">
      <c r="A60" s="78" t="s">
        <v>177</v>
      </c>
      <c r="B60" s="18">
        <v>1</v>
      </c>
      <c r="C60" s="78" t="s">
        <v>178</v>
      </c>
      <c r="D60" s="78" t="s">
        <v>179</v>
      </c>
      <c r="E60" s="84" t="s">
        <v>21</v>
      </c>
      <c r="F60" s="84" t="s">
        <v>7</v>
      </c>
      <c r="G60" s="84" t="s">
        <v>57</v>
      </c>
      <c r="H60" s="84" t="s">
        <v>180</v>
      </c>
      <c r="I60" s="14"/>
      <c r="J60" s="15" t="str">
        <f>IF(E60="Invalid_Segment","Invalid",IFERROR(INDEX(Severity_Matrix!$C$3:$M$10,MATCH('Error Log'!$F60,Severity_Matrix!$B$3:$B$10,0),MATCH('Error Log'!$G60,Severity_Matrix!$C$2:$M$2,0)),"No errors"))</f>
        <v>Critical</v>
      </c>
      <c r="K60" s="79"/>
    </row>
    <row r="61" spans="1:11">
      <c r="A61" s="78" t="s">
        <v>177</v>
      </c>
      <c r="B61" s="18">
        <v>2</v>
      </c>
      <c r="C61" s="78" t="s">
        <v>178</v>
      </c>
      <c r="D61" s="78" t="s">
        <v>179</v>
      </c>
      <c r="E61" s="84" t="s">
        <v>21</v>
      </c>
      <c r="F61" s="84" t="s">
        <v>7</v>
      </c>
      <c r="G61" s="84" t="s">
        <v>27</v>
      </c>
      <c r="H61" s="84" t="s">
        <v>181</v>
      </c>
      <c r="I61" s="14"/>
      <c r="J61" s="15" t="str">
        <f>IF(E61="Invalid_Segment","Invalid",IFERROR(INDEX(Severity_Matrix!$C$3:$M$10,MATCH('Error Log'!$F61,Severity_Matrix!$B$3:$B$10,0),MATCH('Error Log'!$G61,Severity_Matrix!$C$2:$M$2,0)),"No errors"))</f>
        <v>Major</v>
      </c>
      <c r="K61" s="79"/>
    </row>
    <row r="62" spans="1:11">
      <c r="A62" s="78" t="s">
        <v>182</v>
      </c>
      <c r="B62" s="18">
        <v>1</v>
      </c>
      <c r="C62" s="78" t="s">
        <v>183</v>
      </c>
      <c r="D62" s="78" t="s">
        <v>184</v>
      </c>
      <c r="E62" s="84" t="s">
        <v>21</v>
      </c>
      <c r="F62" s="84" t="s">
        <v>22</v>
      </c>
      <c r="G62" s="84" t="s">
        <v>57</v>
      </c>
      <c r="H62" s="84" t="s">
        <v>185</v>
      </c>
      <c r="I62" s="14"/>
      <c r="J62" s="15" t="str">
        <f>IF(E62="Invalid_Segment","Invalid",IFERROR(INDEX(Severity_Matrix!$C$3:$M$10,MATCH('Error Log'!$F62,Severity_Matrix!$B$3:$B$10,0),MATCH('Error Log'!$G62,Severity_Matrix!$C$2:$M$2,0)),"No errors"))</f>
        <v>Major</v>
      </c>
      <c r="K62" s="79"/>
    </row>
    <row r="63" spans="1:11">
      <c r="A63" s="78" t="s">
        <v>182</v>
      </c>
      <c r="B63" s="18">
        <v>2</v>
      </c>
      <c r="C63" s="78" t="s">
        <v>183</v>
      </c>
      <c r="D63" s="78" t="s">
        <v>184</v>
      </c>
      <c r="E63" s="84" t="s">
        <v>21</v>
      </c>
      <c r="F63" s="84" t="s">
        <v>64</v>
      </c>
      <c r="G63" s="84" t="s">
        <v>27</v>
      </c>
      <c r="H63" s="84" t="s">
        <v>186</v>
      </c>
      <c r="I63" s="14"/>
      <c r="J63" s="15" t="str">
        <f>IF(E63="Invalid_Segment","Invalid",IFERROR(INDEX(Severity_Matrix!$C$3:$M$10,MATCH('Error Log'!$F63,Severity_Matrix!$B$3:$B$10,0),MATCH('Error Log'!$G63,Severity_Matrix!$C$2:$M$2,0)),"No errors"))</f>
        <v>Critical</v>
      </c>
      <c r="K63" s="79"/>
    </row>
    <row r="64" spans="1:11">
      <c r="A64" s="78" t="s">
        <v>182</v>
      </c>
      <c r="B64" s="18">
        <v>3</v>
      </c>
      <c r="C64" s="78" t="s">
        <v>183</v>
      </c>
      <c r="D64" s="78" t="s">
        <v>184</v>
      </c>
      <c r="E64" s="84" t="s">
        <v>21</v>
      </c>
      <c r="F64" s="84" t="s">
        <v>7</v>
      </c>
      <c r="G64" s="84" t="s">
        <v>57</v>
      </c>
      <c r="H64" s="84" t="s">
        <v>187</v>
      </c>
      <c r="I64" s="14"/>
      <c r="J64" s="15" t="str">
        <f>IF(E64="Invalid_Segment","Invalid",IFERROR(INDEX(Severity_Matrix!$C$3:$M$10,MATCH('Error Log'!$F64,Severity_Matrix!$B$3:$B$10,0),MATCH('Error Log'!$G64,Severity_Matrix!$C$2:$M$2,0)),"No errors"))</f>
        <v>Critical</v>
      </c>
      <c r="K64" s="79"/>
    </row>
    <row r="65" spans="1:11">
      <c r="A65" s="78" t="s">
        <v>182</v>
      </c>
      <c r="B65" s="18">
        <v>4</v>
      </c>
      <c r="C65" s="78" t="s">
        <v>183</v>
      </c>
      <c r="D65" s="78" t="s">
        <v>184</v>
      </c>
      <c r="E65" s="84" t="s">
        <v>21</v>
      </c>
      <c r="F65" s="84" t="s">
        <v>7</v>
      </c>
      <c r="G65" s="84" t="s">
        <v>57</v>
      </c>
      <c r="H65" s="84" t="s">
        <v>188</v>
      </c>
      <c r="I65" s="14"/>
      <c r="J65" s="15" t="str">
        <f>IF(E65="Invalid_Segment","Invalid",IFERROR(INDEX(Severity_Matrix!$C$3:$M$10,MATCH('Error Log'!$F65,Severity_Matrix!$B$3:$B$10,0),MATCH('Error Log'!$G65,Severity_Matrix!$C$2:$M$2,0)),"No errors"))</f>
        <v>Critical</v>
      </c>
      <c r="K65" s="79"/>
    </row>
    <row r="66" spans="1:11">
      <c r="A66" s="78" t="s">
        <v>189</v>
      </c>
      <c r="B66" s="18">
        <v>1</v>
      </c>
      <c r="C66" s="78" t="s">
        <v>190</v>
      </c>
      <c r="D66" s="78" t="s">
        <v>191</v>
      </c>
      <c r="E66" s="84" t="s">
        <v>21</v>
      </c>
      <c r="F66" s="84" t="s">
        <v>7</v>
      </c>
      <c r="G66" s="84" t="s">
        <v>57</v>
      </c>
      <c r="H66" s="84" t="s">
        <v>192</v>
      </c>
      <c r="I66" s="14"/>
      <c r="J66" s="15" t="str">
        <f>IF(E66="Invalid_Segment","Invalid",IFERROR(INDEX(Severity_Matrix!$C$3:$M$10,MATCH('Error Log'!$F66,Severity_Matrix!$B$3:$B$10,0),MATCH('Error Log'!$G66,Severity_Matrix!$C$2:$M$2,0)),"No errors"))</f>
        <v>Critical</v>
      </c>
      <c r="K66" s="79"/>
    </row>
    <row r="67" spans="1:11">
      <c r="A67" s="78" t="s">
        <v>189</v>
      </c>
      <c r="B67" s="18">
        <v>2</v>
      </c>
      <c r="C67" s="78" t="s">
        <v>190</v>
      </c>
      <c r="D67" s="78" t="s">
        <v>191</v>
      </c>
      <c r="E67" s="84" t="s">
        <v>21</v>
      </c>
      <c r="F67" s="84" t="s">
        <v>7</v>
      </c>
      <c r="G67" s="84" t="s">
        <v>58</v>
      </c>
      <c r="H67" s="84" t="s">
        <v>193</v>
      </c>
      <c r="I67" s="14"/>
      <c r="J67" s="15" t="str">
        <f>IF(E67="Invalid_Segment","Invalid",IFERROR(INDEX(Severity_Matrix!$C$3:$M$10,MATCH('Error Log'!$F67,Severity_Matrix!$B$3:$B$10,0),MATCH('Error Log'!$G67,Severity_Matrix!$C$2:$M$2,0)),"No errors"))</f>
        <v>Minor</v>
      </c>
      <c r="K67" s="79"/>
    </row>
    <row r="68" spans="1:11">
      <c r="A68" s="78" t="s">
        <v>189</v>
      </c>
      <c r="B68" s="18">
        <v>3</v>
      </c>
      <c r="C68" s="78" t="s">
        <v>190</v>
      </c>
      <c r="D68" s="78" t="s">
        <v>191</v>
      </c>
      <c r="E68" s="84" t="s">
        <v>21</v>
      </c>
      <c r="F68" s="84" t="s">
        <v>7</v>
      </c>
      <c r="G68" s="84" t="s">
        <v>56</v>
      </c>
      <c r="H68" s="84" t="s">
        <v>194</v>
      </c>
      <c r="I68" s="14"/>
      <c r="J68" s="15" t="str">
        <f>IF(E68="Invalid_Segment","Invalid",IFERROR(INDEX(Severity_Matrix!$C$3:$M$10,MATCH('Error Log'!$F68,Severity_Matrix!$B$3:$B$10,0),MATCH('Error Log'!$G68,Severity_Matrix!$C$2:$M$2,0)),"No errors"))</f>
        <v>Critical</v>
      </c>
      <c r="K68" s="79"/>
    </row>
    <row r="69" spans="1:11">
      <c r="A69" s="78" t="s">
        <v>195</v>
      </c>
      <c r="B69" s="18">
        <v>1</v>
      </c>
      <c r="C69" s="18" t="s">
        <v>196</v>
      </c>
      <c r="D69" s="78" t="s">
        <v>197</v>
      </c>
      <c r="E69" s="84" t="s">
        <v>198</v>
      </c>
      <c r="F69" s="84" t="s">
        <v>7</v>
      </c>
      <c r="G69" s="84" t="s">
        <v>57</v>
      </c>
      <c r="H69" s="84" t="s">
        <v>199</v>
      </c>
      <c r="I69" s="14"/>
      <c r="J69" s="15" t="str">
        <f>IF(E69="Invalid_Segment","Invalid",IFERROR(INDEX(Severity_Matrix!$C$3:$M$10,MATCH('Error Log'!$F69,Severity_Matrix!$B$3:$B$10,0),MATCH('Error Log'!$G69,Severity_Matrix!$C$2:$M$2,0)),"No errors"))</f>
        <v>Critical</v>
      </c>
      <c r="K69" s="79"/>
    </row>
    <row r="70" spans="1:11">
      <c r="A70" s="78" t="s">
        <v>200</v>
      </c>
      <c r="B70" s="18">
        <v>1</v>
      </c>
      <c r="C70" s="78" t="s">
        <v>201</v>
      </c>
      <c r="D70" s="78" t="s">
        <v>202</v>
      </c>
      <c r="E70" s="84" t="s">
        <v>21</v>
      </c>
      <c r="F70" s="84" t="s">
        <v>7</v>
      </c>
      <c r="G70" s="84" t="s">
        <v>57</v>
      </c>
      <c r="H70" s="84" t="s">
        <v>203</v>
      </c>
      <c r="I70" s="14"/>
      <c r="J70" s="15" t="str">
        <f>IF(E70="Invalid_Segment","Invalid",IFERROR(INDEX(Severity_Matrix!$C$3:$M$10,MATCH('Error Log'!$F70,Severity_Matrix!$B$3:$B$10,0),MATCH('Error Log'!$G70,Severity_Matrix!$C$2:$M$2,0)),"No errors"))</f>
        <v>Critical</v>
      </c>
      <c r="K70" s="79"/>
    </row>
    <row r="71" spans="1:11">
      <c r="A71" s="78" t="s">
        <v>204</v>
      </c>
      <c r="B71" s="18">
        <v>1</v>
      </c>
      <c r="C71" s="78" t="s">
        <v>205</v>
      </c>
      <c r="D71" s="78" t="s">
        <v>206</v>
      </c>
      <c r="E71" s="84" t="s">
        <v>21</v>
      </c>
      <c r="F71" s="84" t="s">
        <v>7</v>
      </c>
      <c r="G71" s="84" t="s">
        <v>57</v>
      </c>
      <c r="H71" s="84" t="s">
        <v>207</v>
      </c>
      <c r="I71" s="14"/>
      <c r="J71" s="15" t="str">
        <f>IF(E71="Invalid_Segment","Invalid",IFERROR(INDEX(Severity_Matrix!$C$3:$M$10,MATCH('Error Log'!$F71,Severity_Matrix!$B$3:$B$10,0),MATCH('Error Log'!$G71,Severity_Matrix!$C$2:$M$2,0)),"No errors"))</f>
        <v>Critical</v>
      </c>
      <c r="K71" s="79"/>
    </row>
    <row r="72" spans="1:11">
      <c r="A72" s="78" t="s">
        <v>208</v>
      </c>
      <c r="B72" s="18">
        <v>1</v>
      </c>
      <c r="C72" s="78" t="s">
        <v>209</v>
      </c>
      <c r="D72" s="78" t="s">
        <v>210</v>
      </c>
      <c r="E72" s="84" t="s">
        <v>21</v>
      </c>
      <c r="F72" s="84" t="s">
        <v>22</v>
      </c>
      <c r="G72" s="84" t="s">
        <v>57</v>
      </c>
      <c r="H72" s="84" t="s">
        <v>211</v>
      </c>
      <c r="I72" s="14"/>
      <c r="J72" s="15" t="str">
        <f>IF(E72="Invalid_Segment","Invalid",IFERROR(INDEX(Severity_Matrix!$C$3:$M$10,MATCH('Error Log'!$F72,Severity_Matrix!$B$3:$B$10,0),MATCH('Error Log'!$G72,Severity_Matrix!$C$2:$M$2,0)),"No errors"))</f>
        <v>Major</v>
      </c>
      <c r="K72" s="79"/>
    </row>
    <row r="73" spans="1:11">
      <c r="A73" s="78" t="s">
        <v>208</v>
      </c>
      <c r="B73" s="18">
        <v>2</v>
      </c>
      <c r="C73" s="78" t="s">
        <v>209</v>
      </c>
      <c r="D73" s="78" t="s">
        <v>210</v>
      </c>
      <c r="E73" s="84" t="s">
        <v>21</v>
      </c>
      <c r="F73" s="84" t="s">
        <v>7</v>
      </c>
      <c r="G73" s="84" t="s">
        <v>58</v>
      </c>
      <c r="H73" s="84" t="s">
        <v>212</v>
      </c>
      <c r="I73" s="14"/>
      <c r="J73" s="15" t="str">
        <f>IF(E73="Invalid_Segment","Invalid",IFERROR(INDEX(Severity_Matrix!$C$3:$M$10,MATCH('Error Log'!$F73,Severity_Matrix!$B$3:$B$10,0),MATCH('Error Log'!$G73,Severity_Matrix!$C$2:$M$2,0)),"No errors"))</f>
        <v>Minor</v>
      </c>
      <c r="K73" s="79"/>
    </row>
    <row r="74" spans="1:11">
      <c r="A74" s="78" t="s">
        <v>213</v>
      </c>
      <c r="B74" s="18">
        <v>3</v>
      </c>
      <c r="C74" s="78" t="s">
        <v>209</v>
      </c>
      <c r="D74" s="78" t="s">
        <v>210</v>
      </c>
      <c r="E74" s="84" t="s">
        <v>21</v>
      </c>
      <c r="F74" s="84" t="s">
        <v>7</v>
      </c>
      <c r="G74" s="84" t="s">
        <v>28</v>
      </c>
      <c r="H74" s="84" t="s">
        <v>214</v>
      </c>
      <c r="I74" s="14"/>
      <c r="J74" s="15" t="str">
        <f>IF(E74="Invalid_Segment","Invalid",IFERROR(INDEX(Severity_Matrix!$C$3:$M$10,MATCH('Error Log'!$F74,Severity_Matrix!$B$3:$B$10,0),MATCH('Error Log'!$G74,Severity_Matrix!$C$2:$M$2,0)),"No errors"))</f>
        <v>Major</v>
      </c>
      <c r="K74" s="79"/>
    </row>
    <row r="75" spans="1:11">
      <c r="A75" s="78" t="s">
        <v>213</v>
      </c>
      <c r="B75" s="18">
        <v>4</v>
      </c>
      <c r="C75" s="78" t="s">
        <v>209</v>
      </c>
      <c r="D75" s="78" t="s">
        <v>210</v>
      </c>
      <c r="E75" s="84" t="s">
        <v>21</v>
      </c>
      <c r="F75" s="84" t="s">
        <v>7</v>
      </c>
      <c r="G75" s="84" t="s">
        <v>58</v>
      </c>
      <c r="H75" s="84" t="s">
        <v>215</v>
      </c>
      <c r="I75" s="14"/>
      <c r="J75" s="15" t="str">
        <f>IF(E75="Invalid_Segment","Invalid",IFERROR(INDEX(Severity_Matrix!$C$3:$M$10,MATCH('Error Log'!$F75,Severity_Matrix!$B$3:$B$10,0),MATCH('Error Log'!$G75,Severity_Matrix!$C$2:$M$2,0)),"No errors"))</f>
        <v>Minor</v>
      </c>
      <c r="K75" s="79"/>
    </row>
    <row r="76" spans="1:11">
      <c r="A76" s="78" t="s">
        <v>213</v>
      </c>
      <c r="B76" s="18">
        <v>5</v>
      </c>
      <c r="C76" s="78" t="s">
        <v>209</v>
      </c>
      <c r="D76" s="78" t="s">
        <v>210</v>
      </c>
      <c r="E76" s="84" t="s">
        <v>21</v>
      </c>
      <c r="F76" s="84" t="s">
        <v>7</v>
      </c>
      <c r="G76" s="84" t="s">
        <v>58</v>
      </c>
      <c r="H76" s="84" t="s">
        <v>216</v>
      </c>
      <c r="I76" s="14"/>
      <c r="J76" s="15" t="str">
        <f>IF(E76="Invalid_Segment","Invalid",IFERROR(INDEX(Severity_Matrix!$C$3:$M$10,MATCH('Error Log'!$F76,Severity_Matrix!$B$3:$B$10,0),MATCH('Error Log'!$G76,Severity_Matrix!$C$2:$M$2,0)),"No errors"))</f>
        <v>Minor</v>
      </c>
      <c r="K76" s="79"/>
    </row>
    <row r="77" spans="1:11">
      <c r="A77" s="78" t="s">
        <v>213</v>
      </c>
      <c r="B77" s="18">
        <v>6</v>
      </c>
      <c r="C77" s="78" t="s">
        <v>209</v>
      </c>
      <c r="D77" s="78" t="s">
        <v>210</v>
      </c>
      <c r="E77" s="84" t="s">
        <v>21</v>
      </c>
      <c r="F77" s="84" t="s">
        <v>7</v>
      </c>
      <c r="G77" s="84" t="s">
        <v>55</v>
      </c>
      <c r="H77" s="84" t="s">
        <v>217</v>
      </c>
      <c r="I77" s="14"/>
      <c r="J77" s="15" t="str">
        <f>IF(E77="Invalid_Segment","Invalid",IFERROR(INDEX(Severity_Matrix!$C$3:$M$10,MATCH('Error Log'!$F77,Severity_Matrix!$B$3:$B$10,0),MATCH('Error Log'!$G77,Severity_Matrix!$C$2:$M$2,0)),"No errors"))</f>
        <v>Critical</v>
      </c>
      <c r="K77" s="79"/>
    </row>
    <row r="78" spans="1:11">
      <c r="A78" s="78" t="s">
        <v>213</v>
      </c>
      <c r="B78" s="18">
        <v>7</v>
      </c>
      <c r="C78" s="78" t="s">
        <v>209</v>
      </c>
      <c r="D78" s="78" t="s">
        <v>210</v>
      </c>
      <c r="E78" s="84" t="s">
        <v>21</v>
      </c>
      <c r="F78" s="84" t="s">
        <v>7</v>
      </c>
      <c r="G78" s="84" t="s">
        <v>57</v>
      </c>
      <c r="H78" s="84" t="s">
        <v>218</v>
      </c>
      <c r="I78" s="14"/>
      <c r="J78" s="15" t="str">
        <f>IF(E78="Invalid_Segment","Invalid",IFERROR(INDEX(Severity_Matrix!$C$3:$M$10,MATCH('Error Log'!$F78,Severity_Matrix!$B$3:$B$10,0),MATCH('Error Log'!$G78,Severity_Matrix!$C$2:$M$2,0)),"No errors"))</f>
        <v>Critical</v>
      </c>
      <c r="K78" s="79"/>
    </row>
    <row r="79" spans="1:11">
      <c r="A79" s="79" t="s">
        <v>219</v>
      </c>
      <c r="B79" s="18">
        <v>1</v>
      </c>
      <c r="C79" s="78" t="s">
        <v>220</v>
      </c>
      <c r="D79" s="85" t="s">
        <v>221</v>
      </c>
      <c r="E79" s="84" t="s">
        <v>21</v>
      </c>
      <c r="F79" s="84" t="s">
        <v>22</v>
      </c>
      <c r="G79" s="84" t="s">
        <v>28</v>
      </c>
      <c r="H79" s="84" t="s">
        <v>222</v>
      </c>
      <c r="I79" s="14"/>
      <c r="J79" s="15" t="str">
        <f>IF(E79="Invalid_Segment","Invalid",IFERROR(INDEX(Severity_Matrix!$C$3:$M$10,MATCH('Error Log'!$F79,Severity_Matrix!$B$3:$B$10,0),MATCH('Error Log'!$G79,Severity_Matrix!$C$2:$M$2,0)),"No errors"))</f>
        <v>Major</v>
      </c>
      <c r="K79" s="79"/>
    </row>
    <row r="80" spans="1:11">
      <c r="A80" s="79" t="s">
        <v>219</v>
      </c>
      <c r="B80" s="18">
        <v>2</v>
      </c>
      <c r="C80" s="78" t="s">
        <v>220</v>
      </c>
      <c r="D80" s="85" t="s">
        <v>221</v>
      </c>
      <c r="E80" s="84" t="s">
        <v>21</v>
      </c>
      <c r="F80" s="84" t="s">
        <v>22</v>
      </c>
      <c r="G80" s="84" t="s">
        <v>57</v>
      </c>
      <c r="H80" s="84" t="s">
        <v>223</v>
      </c>
      <c r="I80" s="14"/>
      <c r="J80" s="15" t="str">
        <f>IF(E80="Invalid_Segment","Invalid",IFERROR(INDEX(Severity_Matrix!$C$3:$M$10,MATCH('Error Log'!$F80,Severity_Matrix!$B$3:$B$10,0),MATCH('Error Log'!$G80,Severity_Matrix!$C$2:$M$2,0)),"No errors"))</f>
        <v>Major</v>
      </c>
      <c r="K80" s="79"/>
    </row>
    <row r="81" spans="1:11">
      <c r="A81" s="79" t="s">
        <v>219</v>
      </c>
      <c r="B81" s="18">
        <v>3</v>
      </c>
      <c r="C81" s="78" t="s">
        <v>220</v>
      </c>
      <c r="D81" s="85" t="s">
        <v>221</v>
      </c>
      <c r="E81" s="84" t="s">
        <v>21</v>
      </c>
      <c r="F81" s="84" t="s">
        <v>22</v>
      </c>
      <c r="G81" s="84" t="s">
        <v>28</v>
      </c>
      <c r="H81" s="84" t="s">
        <v>222</v>
      </c>
      <c r="I81" s="14"/>
      <c r="J81" s="15" t="str">
        <f>IF(E81="Invalid_Segment","Invalid",IFERROR(INDEX(Severity_Matrix!$C$3:$M$10,MATCH('Error Log'!$F81,Severity_Matrix!$B$3:$B$10,0),MATCH('Error Log'!$G81,Severity_Matrix!$C$2:$M$2,0)),"No errors"))</f>
        <v>Major</v>
      </c>
      <c r="K81" s="79"/>
    </row>
    <row r="82" spans="1:11">
      <c r="A82" s="79" t="s">
        <v>224</v>
      </c>
      <c r="B82" s="18">
        <v>4</v>
      </c>
      <c r="C82" s="78" t="s">
        <v>220</v>
      </c>
      <c r="D82" s="85" t="s">
        <v>221</v>
      </c>
      <c r="E82" s="84" t="s">
        <v>21</v>
      </c>
      <c r="F82" s="84" t="s">
        <v>22</v>
      </c>
      <c r="G82" s="84" t="s">
        <v>57</v>
      </c>
      <c r="H82" s="84" t="s">
        <v>225</v>
      </c>
      <c r="I82" s="14"/>
      <c r="J82" s="15" t="str">
        <f>IF(E82="Invalid_Segment","Invalid",IFERROR(INDEX(Severity_Matrix!$C$3:$M$10,MATCH('Error Log'!$F82,Severity_Matrix!$B$3:$B$10,0),MATCH('Error Log'!$G82,Severity_Matrix!$C$2:$M$2,0)),"No errors"))</f>
        <v>Major</v>
      </c>
      <c r="K82" s="79"/>
    </row>
    <row r="83" spans="1:11">
      <c r="A83" s="79" t="s">
        <v>224</v>
      </c>
      <c r="B83" s="18">
        <v>5</v>
      </c>
      <c r="C83" s="78" t="s">
        <v>220</v>
      </c>
      <c r="D83" s="85" t="s">
        <v>221</v>
      </c>
      <c r="E83" s="84" t="s">
        <v>21</v>
      </c>
      <c r="F83" s="84" t="s">
        <v>22</v>
      </c>
      <c r="G83" s="84" t="s">
        <v>57</v>
      </c>
      <c r="H83" s="84" t="s">
        <v>226</v>
      </c>
      <c r="I83" s="14"/>
      <c r="J83" s="15" t="str">
        <f>IF(E83="Invalid_Segment","Invalid",IFERROR(INDEX(Severity_Matrix!$C$3:$M$10,MATCH('Error Log'!$F83,Severity_Matrix!$B$3:$B$10,0),MATCH('Error Log'!$G83,Severity_Matrix!$C$2:$M$2,0)),"No errors"))</f>
        <v>Major</v>
      </c>
      <c r="K83" s="79"/>
    </row>
    <row r="84" spans="1:11">
      <c r="A84" s="79" t="s">
        <v>224</v>
      </c>
      <c r="B84" s="18">
        <v>6</v>
      </c>
      <c r="C84" s="78" t="s">
        <v>220</v>
      </c>
      <c r="D84" s="85" t="s">
        <v>221</v>
      </c>
      <c r="E84" s="84" t="s">
        <v>21</v>
      </c>
      <c r="F84" s="84" t="s">
        <v>7</v>
      </c>
      <c r="G84" s="84" t="s">
        <v>57</v>
      </c>
      <c r="H84" s="84" t="s">
        <v>227</v>
      </c>
      <c r="I84" s="14"/>
      <c r="J84" s="15" t="str">
        <f>IF(E84="Invalid_Segment","Invalid",IFERROR(INDEX(Severity_Matrix!$C$3:$M$10,MATCH('Error Log'!$F84,Severity_Matrix!$B$3:$B$10,0),MATCH('Error Log'!$G84,Severity_Matrix!$C$2:$M$2,0)),"No errors"))</f>
        <v>Critical</v>
      </c>
      <c r="K84" s="79"/>
    </row>
    <row r="85" spans="1:11">
      <c r="A85" s="79" t="s">
        <v>224</v>
      </c>
      <c r="B85" s="18">
        <v>7</v>
      </c>
      <c r="C85" s="78" t="s">
        <v>220</v>
      </c>
      <c r="D85" s="85" t="s">
        <v>221</v>
      </c>
      <c r="E85" s="84" t="s">
        <v>21</v>
      </c>
      <c r="F85" s="84" t="s">
        <v>7</v>
      </c>
      <c r="G85" s="84" t="s">
        <v>57</v>
      </c>
      <c r="H85" s="84" t="s">
        <v>228</v>
      </c>
      <c r="I85" s="14"/>
      <c r="J85" s="15" t="str">
        <f>IF(E85="Invalid_Segment","Invalid",IFERROR(INDEX(Severity_Matrix!$C$3:$M$10,MATCH('Error Log'!$F85,Severity_Matrix!$B$3:$B$10,0),MATCH('Error Log'!$G85,Severity_Matrix!$C$2:$M$2,0)),"No errors"))</f>
        <v>Critical</v>
      </c>
      <c r="K85" s="79"/>
    </row>
    <row r="86" spans="1:11">
      <c r="A86" s="79" t="s">
        <v>224</v>
      </c>
      <c r="B86" s="18">
        <v>8</v>
      </c>
      <c r="C86" s="78" t="s">
        <v>220</v>
      </c>
      <c r="D86" s="85" t="s">
        <v>221</v>
      </c>
      <c r="E86" s="84" t="s">
        <v>21</v>
      </c>
      <c r="F86" s="84" t="s">
        <v>7</v>
      </c>
      <c r="G86" s="84" t="s">
        <v>57</v>
      </c>
      <c r="H86" s="84" t="s">
        <v>229</v>
      </c>
      <c r="I86" s="14"/>
      <c r="J86" s="15" t="str">
        <f>IF(E86="Invalid_Segment","Invalid",IFERROR(INDEX(Severity_Matrix!$C$3:$M$10,MATCH('Error Log'!$F86,Severity_Matrix!$B$3:$B$10,0),MATCH('Error Log'!$G86,Severity_Matrix!$C$2:$M$2,0)),"No errors"))</f>
        <v>Critical</v>
      </c>
      <c r="K86" s="79"/>
    </row>
    <row r="87" spans="1:11">
      <c r="A87" s="79" t="s">
        <v>230</v>
      </c>
      <c r="B87" s="18">
        <v>1</v>
      </c>
      <c r="C87" s="85" t="s">
        <v>231</v>
      </c>
      <c r="D87" s="85" t="s">
        <v>232</v>
      </c>
      <c r="E87" s="84" t="s">
        <v>21</v>
      </c>
      <c r="F87" s="84" t="s">
        <v>7</v>
      </c>
      <c r="G87" s="84" t="s">
        <v>57</v>
      </c>
      <c r="H87" s="84" t="s">
        <v>233</v>
      </c>
      <c r="I87" s="14"/>
      <c r="J87" s="15" t="str">
        <f>IF(E87="Invalid_Segment","Invalid",IFERROR(INDEX(Severity_Matrix!$C$3:$M$10,MATCH('Error Log'!$F87,Severity_Matrix!$B$3:$B$10,0),MATCH('Error Log'!$G87,Severity_Matrix!$C$2:$M$2,0)),"No errors"))</f>
        <v>Critical</v>
      </c>
      <c r="K87" s="79"/>
    </row>
    <row r="88" spans="1:11">
      <c r="A88" s="79" t="s">
        <v>230</v>
      </c>
      <c r="B88" s="18">
        <v>2</v>
      </c>
      <c r="C88" s="85" t="s">
        <v>231</v>
      </c>
      <c r="D88" s="85" t="s">
        <v>232</v>
      </c>
      <c r="E88" s="84" t="s">
        <v>21</v>
      </c>
      <c r="F88" s="84" t="s">
        <v>7</v>
      </c>
      <c r="G88" s="84" t="s">
        <v>57</v>
      </c>
      <c r="H88" s="84" t="s">
        <v>234</v>
      </c>
      <c r="I88" s="14"/>
      <c r="J88" s="15" t="str">
        <f>IF(E88="Invalid_Segment","Invalid",IFERROR(INDEX(Severity_Matrix!$C$3:$M$10,MATCH('Error Log'!$F88,Severity_Matrix!$B$3:$B$10,0),MATCH('Error Log'!$G88,Severity_Matrix!$C$2:$M$2,0)),"No errors"))</f>
        <v>Critical</v>
      </c>
      <c r="K88" s="79"/>
    </row>
    <row r="89" spans="1:11">
      <c r="A89" s="79" t="s">
        <v>230</v>
      </c>
      <c r="B89" s="18">
        <v>3</v>
      </c>
      <c r="C89" s="85" t="s">
        <v>231</v>
      </c>
      <c r="D89" s="85" t="s">
        <v>232</v>
      </c>
      <c r="E89" s="84" t="s">
        <v>21</v>
      </c>
      <c r="F89" s="84" t="s">
        <v>7</v>
      </c>
      <c r="G89" s="84" t="s">
        <v>57</v>
      </c>
      <c r="H89" s="84" t="s">
        <v>235</v>
      </c>
      <c r="I89" s="14"/>
      <c r="J89" s="15" t="str">
        <f>IF(E89="Invalid_Segment","Invalid",IFERROR(INDEX(Severity_Matrix!$C$3:$M$10,MATCH('Error Log'!$F89,Severity_Matrix!$B$3:$B$10,0),MATCH('Error Log'!$G89,Severity_Matrix!$C$2:$M$2,0)),"No errors"))</f>
        <v>Critical</v>
      </c>
      <c r="K89" s="79"/>
    </row>
    <row r="90" spans="1:11">
      <c r="A90" s="79" t="s">
        <v>236</v>
      </c>
      <c r="B90" s="18">
        <v>1</v>
      </c>
      <c r="C90" s="85" t="s">
        <v>237</v>
      </c>
      <c r="D90" s="85" t="s">
        <v>238</v>
      </c>
      <c r="E90" s="84" t="s">
        <v>21</v>
      </c>
      <c r="F90" s="84" t="s">
        <v>63</v>
      </c>
      <c r="G90" s="84" t="s">
        <v>55</v>
      </c>
      <c r="H90" s="84" t="s">
        <v>239</v>
      </c>
      <c r="I90" s="14"/>
      <c r="J90" s="15" t="str">
        <f>IF(E90="Invalid_Segment","Invalid",IFERROR(INDEX(Severity_Matrix!$C$3:$M$10,MATCH('Error Log'!$F90,Severity_Matrix!$B$3:$B$10,0),MATCH('Error Log'!$G90,Severity_Matrix!$C$2:$M$2,0)),"No errors"))</f>
        <v>Critical</v>
      </c>
      <c r="K90" s="79"/>
    </row>
    <row r="91" spans="1:11">
      <c r="A91" s="79" t="s">
        <v>236</v>
      </c>
      <c r="B91" s="18">
        <v>2</v>
      </c>
      <c r="C91" s="85" t="s">
        <v>237</v>
      </c>
      <c r="D91" s="85" t="s">
        <v>238</v>
      </c>
      <c r="E91" s="84" t="s">
        <v>21</v>
      </c>
      <c r="F91" s="84" t="s">
        <v>45</v>
      </c>
      <c r="G91" s="84" t="s">
        <v>56</v>
      </c>
      <c r="H91" s="84" t="s">
        <v>240</v>
      </c>
      <c r="I91" s="14"/>
      <c r="J91" s="15" t="str">
        <f>IF(E91="Invalid_Segment","Invalid",IFERROR(INDEX(Severity_Matrix!$C$3:$M$10,MATCH('Error Log'!$F91,Severity_Matrix!$B$3:$B$10,0),MATCH('Error Log'!$G91,Severity_Matrix!$C$2:$M$2,0)),"No errors"))</f>
        <v>Critical</v>
      </c>
      <c r="K91" s="79"/>
    </row>
    <row r="92" spans="1:11">
      <c r="A92" s="79" t="s">
        <v>236</v>
      </c>
      <c r="B92" s="18">
        <v>3</v>
      </c>
      <c r="C92" s="85" t="s">
        <v>237</v>
      </c>
      <c r="D92" s="85" t="s">
        <v>238</v>
      </c>
      <c r="E92" s="84" t="s">
        <v>21</v>
      </c>
      <c r="F92" s="84" t="s">
        <v>63</v>
      </c>
      <c r="G92" s="84" t="s">
        <v>27</v>
      </c>
      <c r="H92" s="84" t="s">
        <v>241</v>
      </c>
      <c r="I92" s="14"/>
      <c r="J92" s="15" t="str">
        <f>IF(E92="Invalid_Segment","Invalid",IFERROR(INDEX(Severity_Matrix!$C$3:$M$10,MATCH('Error Log'!$F92,Severity_Matrix!$B$3:$B$10,0),MATCH('Error Log'!$G92,Severity_Matrix!$C$2:$M$2,0)),"No errors"))</f>
        <v>Critical</v>
      </c>
      <c r="K92" s="79"/>
    </row>
    <row r="93" spans="1:11">
      <c r="A93" s="79" t="s">
        <v>236</v>
      </c>
      <c r="B93" s="18">
        <v>4</v>
      </c>
      <c r="C93" s="85" t="s">
        <v>237</v>
      </c>
      <c r="D93" s="85" t="s">
        <v>238</v>
      </c>
      <c r="E93" s="84" t="s">
        <v>2</v>
      </c>
      <c r="F93" s="84" t="s">
        <v>26</v>
      </c>
      <c r="G93" s="84" t="s">
        <v>27</v>
      </c>
      <c r="H93" s="84" t="s">
        <v>241</v>
      </c>
      <c r="I93" s="14"/>
      <c r="J93" s="15" t="str">
        <f>IF(E93="Invalid_Segment","Invalid",IFERROR(INDEX(Severity_Matrix!$C$3:$M$10,MATCH('Error Log'!$F93,Severity_Matrix!$B$3:$B$10,0),MATCH('Error Log'!$G93,Severity_Matrix!$C$2:$M$2,0)),"No errors"))</f>
        <v>Major</v>
      </c>
      <c r="K93" s="79"/>
    </row>
    <row r="94" spans="1:11">
      <c r="A94" s="79" t="s">
        <v>242</v>
      </c>
      <c r="B94" s="18">
        <v>1</v>
      </c>
      <c r="C94" s="85" t="s">
        <v>243</v>
      </c>
      <c r="D94" s="85" t="s">
        <v>244</v>
      </c>
      <c r="E94" s="84" t="s">
        <v>21</v>
      </c>
      <c r="F94" s="84" t="s">
        <v>63</v>
      </c>
      <c r="G94" s="84" t="s">
        <v>54</v>
      </c>
      <c r="H94" s="84" t="s">
        <v>245</v>
      </c>
      <c r="I94" s="14"/>
      <c r="J94" s="15" t="str">
        <f>IF(E94="Invalid_Segment","Invalid",IFERROR(INDEX(Severity_Matrix!$C$3:$M$10,MATCH('Error Log'!$F94,Severity_Matrix!$B$3:$B$10,0),MATCH('Error Log'!$G94,Severity_Matrix!$C$2:$M$2,0)),"No errors"))</f>
        <v>Critical</v>
      </c>
      <c r="K94" s="79"/>
    </row>
    <row r="95" spans="1:11">
      <c r="A95" s="79" t="s">
        <v>242</v>
      </c>
      <c r="B95" s="18">
        <v>2</v>
      </c>
      <c r="C95" s="85" t="s">
        <v>243</v>
      </c>
      <c r="D95" s="85" t="s">
        <v>244</v>
      </c>
      <c r="E95" s="84" t="s">
        <v>21</v>
      </c>
      <c r="F95" s="84" t="s">
        <v>7</v>
      </c>
      <c r="G95" s="84" t="s">
        <v>57</v>
      </c>
      <c r="H95" s="84" t="s">
        <v>246</v>
      </c>
      <c r="I95" s="14"/>
      <c r="J95" s="15" t="str">
        <f>IF(E95="Invalid_Segment","Invalid",IFERROR(INDEX(Severity_Matrix!$C$3:$M$10,MATCH('Error Log'!$F95,Severity_Matrix!$B$3:$B$10,0),MATCH('Error Log'!$G95,Severity_Matrix!$C$2:$M$2,0)),"No errors"))</f>
        <v>Critical</v>
      </c>
      <c r="K95" s="79"/>
    </row>
    <row r="96" spans="1:11">
      <c r="A96" s="79" t="s">
        <v>247</v>
      </c>
      <c r="B96" s="18">
        <v>3</v>
      </c>
      <c r="C96" s="85" t="s">
        <v>243</v>
      </c>
      <c r="D96" s="85" t="s">
        <v>244</v>
      </c>
      <c r="E96" s="84" t="s">
        <v>21</v>
      </c>
      <c r="F96" s="84" t="s">
        <v>7</v>
      </c>
      <c r="G96" s="84" t="s">
        <v>56</v>
      </c>
      <c r="H96" s="84" t="s">
        <v>248</v>
      </c>
      <c r="I96" s="14"/>
      <c r="J96" s="15" t="str">
        <f>IF(E96="Invalid_Segment","Invalid",IFERROR(INDEX(Severity_Matrix!$C$3:$M$10,MATCH('Error Log'!$F96,Severity_Matrix!$B$3:$B$10,0),MATCH('Error Log'!$G96,Severity_Matrix!$C$2:$M$2,0)),"No errors"))</f>
        <v>Critical</v>
      </c>
      <c r="K96" s="79"/>
    </row>
    <row r="97" spans="1:11">
      <c r="A97" s="79" t="s">
        <v>247</v>
      </c>
      <c r="B97" s="18">
        <v>4</v>
      </c>
      <c r="C97" s="85" t="s">
        <v>243</v>
      </c>
      <c r="D97" s="85" t="s">
        <v>244</v>
      </c>
      <c r="E97" s="84" t="s">
        <v>21</v>
      </c>
      <c r="F97" s="84" t="s">
        <v>7</v>
      </c>
      <c r="G97" s="84" t="s">
        <v>58</v>
      </c>
      <c r="H97" s="84" t="s">
        <v>249</v>
      </c>
      <c r="I97" s="14"/>
      <c r="J97" s="15" t="str">
        <f>IF(E97="Invalid_Segment","Invalid",IFERROR(INDEX(Severity_Matrix!$C$3:$M$10,MATCH('Error Log'!$F97,Severity_Matrix!$B$3:$B$10,0),MATCH('Error Log'!$G97,Severity_Matrix!$C$2:$M$2,0)),"No errors"))</f>
        <v>Minor</v>
      </c>
      <c r="K97" s="79"/>
    </row>
    <row r="98" spans="1:11">
      <c r="A98" s="79" t="s">
        <v>247</v>
      </c>
      <c r="B98" s="18">
        <v>5</v>
      </c>
      <c r="C98" s="85" t="s">
        <v>243</v>
      </c>
      <c r="D98" s="85" t="s">
        <v>244</v>
      </c>
      <c r="E98" s="84" t="s">
        <v>21</v>
      </c>
      <c r="F98" s="84" t="s">
        <v>7</v>
      </c>
      <c r="G98" s="84" t="s">
        <v>55</v>
      </c>
      <c r="H98" s="84" t="s">
        <v>250</v>
      </c>
      <c r="I98" s="14"/>
      <c r="J98" s="15" t="str">
        <f>IF(E98="Invalid_Segment","Invalid",IFERROR(INDEX(Severity_Matrix!$C$3:$M$10,MATCH('Error Log'!$F98,Severity_Matrix!$B$3:$B$10,0),MATCH('Error Log'!$G98,Severity_Matrix!$C$2:$M$2,0)),"No errors"))</f>
        <v>Critical</v>
      </c>
      <c r="K98" s="79"/>
    </row>
    <row r="99" spans="1:11">
      <c r="A99" s="79" t="s">
        <v>247</v>
      </c>
      <c r="B99" s="18">
        <v>6</v>
      </c>
      <c r="C99" s="85" t="s">
        <v>243</v>
      </c>
      <c r="D99" s="85" t="s">
        <v>244</v>
      </c>
      <c r="E99" s="84" t="s">
        <v>21</v>
      </c>
      <c r="F99" s="84" t="s">
        <v>22</v>
      </c>
      <c r="G99" s="84" t="s">
        <v>57</v>
      </c>
      <c r="H99" s="84" t="s">
        <v>251</v>
      </c>
      <c r="I99" s="14"/>
      <c r="J99" s="15" t="str">
        <f>IF(E99="Invalid_Segment","Invalid",IFERROR(INDEX(Severity_Matrix!$C$3:$M$10,MATCH('Error Log'!$F99,Severity_Matrix!$B$3:$B$10,0),MATCH('Error Log'!$G99,Severity_Matrix!$C$2:$M$2,0)),"No errors"))</f>
        <v>Major</v>
      </c>
      <c r="K99" s="79"/>
    </row>
    <row r="100" spans="1:11">
      <c r="A100" s="79" t="s">
        <v>252</v>
      </c>
      <c r="B100" s="18">
        <v>1</v>
      </c>
      <c r="C100" s="85" t="s">
        <v>253</v>
      </c>
      <c r="D100" s="85" t="s">
        <v>254</v>
      </c>
      <c r="E100" s="84" t="s">
        <v>21</v>
      </c>
      <c r="F100" s="84" t="s">
        <v>7</v>
      </c>
      <c r="G100" s="84" t="s">
        <v>56</v>
      </c>
      <c r="H100" s="84" t="s">
        <v>255</v>
      </c>
      <c r="I100" s="14"/>
      <c r="J100" s="15" t="str">
        <f>IF(E100="Invalid_Segment","Invalid",IFERROR(INDEX(Severity_Matrix!$C$3:$M$10,MATCH('Error Log'!$F100,Severity_Matrix!$B$3:$B$10,0),MATCH('Error Log'!$G100,Severity_Matrix!$C$2:$M$2,0)),"No errors"))</f>
        <v>Critical</v>
      </c>
      <c r="K100" s="79"/>
    </row>
    <row r="101" spans="1:11">
      <c r="A101" s="79" t="s">
        <v>252</v>
      </c>
      <c r="B101" s="18">
        <v>2</v>
      </c>
      <c r="C101" s="85" t="s">
        <v>253</v>
      </c>
      <c r="D101" s="85" t="s">
        <v>254</v>
      </c>
      <c r="E101" s="84" t="s">
        <v>21</v>
      </c>
      <c r="F101" s="84" t="s">
        <v>7</v>
      </c>
      <c r="G101" s="84" t="s">
        <v>28</v>
      </c>
      <c r="H101" s="84" t="s">
        <v>256</v>
      </c>
      <c r="I101" s="14"/>
      <c r="J101" s="15" t="str">
        <f>IF(E101="Invalid_Segment","Invalid",IFERROR(INDEX(Severity_Matrix!$C$3:$M$10,MATCH('Error Log'!$F101,Severity_Matrix!$B$3:$B$10,0),MATCH('Error Log'!$G101,Severity_Matrix!$C$2:$M$2,0)),"No errors"))</f>
        <v>Major</v>
      </c>
      <c r="K101" s="79"/>
    </row>
    <row r="102" spans="1:11">
      <c r="A102" s="79" t="s">
        <v>257</v>
      </c>
      <c r="B102" s="18">
        <v>3</v>
      </c>
      <c r="C102" s="85" t="s">
        <v>253</v>
      </c>
      <c r="D102" s="85" t="s">
        <v>254</v>
      </c>
      <c r="E102" s="84" t="s">
        <v>21</v>
      </c>
      <c r="F102" s="84" t="s">
        <v>7</v>
      </c>
      <c r="G102" s="84" t="s">
        <v>57</v>
      </c>
      <c r="H102" s="84" t="s">
        <v>258</v>
      </c>
      <c r="I102" s="14"/>
      <c r="J102" s="15" t="str">
        <f>IF(E102="Invalid_Segment","Invalid",IFERROR(INDEX(Severity_Matrix!$C$3:$M$10,MATCH('Error Log'!$F102,Severity_Matrix!$B$3:$B$10,0),MATCH('Error Log'!$G102,Severity_Matrix!$C$2:$M$2,0)),"No errors"))</f>
        <v>Critical</v>
      </c>
      <c r="K102" s="79"/>
    </row>
    <row r="103" spans="1:11">
      <c r="A103" s="79" t="s">
        <v>257</v>
      </c>
      <c r="B103" s="18">
        <v>4</v>
      </c>
      <c r="C103" s="85" t="s">
        <v>253</v>
      </c>
      <c r="D103" s="85" t="s">
        <v>254</v>
      </c>
      <c r="E103" s="84" t="s">
        <v>21</v>
      </c>
      <c r="F103" s="84" t="s">
        <v>22</v>
      </c>
      <c r="G103" s="84" t="s">
        <v>57</v>
      </c>
      <c r="H103" s="84" t="s">
        <v>259</v>
      </c>
      <c r="I103" s="14"/>
      <c r="J103" s="15" t="str">
        <f>IF(E103="Invalid_Segment","Invalid",IFERROR(INDEX(Severity_Matrix!$C$3:$M$10,MATCH('Error Log'!$F103,Severity_Matrix!$B$3:$B$10,0),MATCH('Error Log'!$G103,Severity_Matrix!$C$2:$M$2,0)),"No errors"))</f>
        <v>Major</v>
      </c>
      <c r="K103" s="79"/>
    </row>
    <row r="104" spans="1:11">
      <c r="A104" s="79" t="s">
        <v>257</v>
      </c>
      <c r="B104" s="18">
        <v>5</v>
      </c>
      <c r="C104" s="85" t="s">
        <v>253</v>
      </c>
      <c r="D104" s="85" t="s">
        <v>254</v>
      </c>
      <c r="E104" s="84" t="s">
        <v>21</v>
      </c>
      <c r="F104" s="84" t="s">
        <v>7</v>
      </c>
      <c r="G104" s="84" t="s">
        <v>57</v>
      </c>
      <c r="H104" s="84" t="s">
        <v>260</v>
      </c>
      <c r="I104" s="14"/>
      <c r="J104" s="15" t="str">
        <f>IF(E104="Invalid_Segment","Invalid",IFERROR(INDEX(Severity_Matrix!$C$3:$M$10,MATCH('Error Log'!$F104,Severity_Matrix!$B$3:$B$10,0),MATCH('Error Log'!$G104,Severity_Matrix!$C$2:$M$2,0)),"No errors"))</f>
        <v>Critical</v>
      </c>
      <c r="K104" s="79"/>
    </row>
    <row r="105" spans="1:11">
      <c r="A105" s="79" t="s">
        <v>261</v>
      </c>
      <c r="B105" s="18">
        <v>1</v>
      </c>
      <c r="C105" s="85" t="s">
        <v>262</v>
      </c>
      <c r="D105" s="85" t="s">
        <v>263</v>
      </c>
      <c r="E105" s="84" t="s">
        <v>21</v>
      </c>
      <c r="F105" s="84" t="s">
        <v>7</v>
      </c>
      <c r="G105" s="84" t="s">
        <v>57</v>
      </c>
      <c r="H105" s="84" t="s">
        <v>264</v>
      </c>
      <c r="I105" s="14"/>
      <c r="J105" s="15" t="str">
        <f>IF(E105="Invalid_Segment","Invalid",IFERROR(INDEX(Severity_Matrix!$C$3:$M$10,MATCH('Error Log'!$F105,Severity_Matrix!$B$3:$B$10,0),MATCH('Error Log'!$G105,Severity_Matrix!$C$2:$M$2,0)),"No errors"))</f>
        <v>Critical</v>
      </c>
      <c r="K105" s="79"/>
    </row>
    <row r="106" spans="1:11">
      <c r="A106" s="79" t="s">
        <v>261</v>
      </c>
      <c r="B106" s="18">
        <v>2</v>
      </c>
      <c r="C106" s="85" t="s">
        <v>262</v>
      </c>
      <c r="D106" s="85" t="s">
        <v>263</v>
      </c>
      <c r="E106" s="84" t="s">
        <v>21</v>
      </c>
      <c r="F106" s="84" t="s">
        <v>7</v>
      </c>
      <c r="G106" s="84" t="s">
        <v>57</v>
      </c>
      <c r="H106" s="84" t="s">
        <v>265</v>
      </c>
      <c r="I106" s="14"/>
      <c r="J106" s="15" t="str">
        <f>IF(E106="Invalid_Segment","Invalid",IFERROR(INDEX(Severity_Matrix!$C$3:$M$10,MATCH('Error Log'!$F106,Severity_Matrix!$B$3:$B$10,0),MATCH('Error Log'!$G106,Severity_Matrix!$C$2:$M$2,0)),"No errors"))</f>
        <v>Critical</v>
      </c>
      <c r="K106" s="79"/>
    </row>
    <row r="107" spans="1:11">
      <c r="A107" s="79" t="s">
        <v>261</v>
      </c>
      <c r="B107" s="18">
        <v>3</v>
      </c>
      <c r="C107" s="85" t="s">
        <v>262</v>
      </c>
      <c r="D107" s="85" t="s">
        <v>263</v>
      </c>
      <c r="E107" s="84" t="s">
        <v>21</v>
      </c>
      <c r="F107" s="84" t="s">
        <v>7</v>
      </c>
      <c r="G107" s="84" t="s">
        <v>57</v>
      </c>
      <c r="H107" s="84" t="s">
        <v>266</v>
      </c>
      <c r="I107" s="14"/>
      <c r="J107" s="15" t="str">
        <f>IF(E107="Invalid_Segment","Invalid",IFERROR(INDEX(Severity_Matrix!$C$3:$M$10,MATCH('Error Log'!$F107,Severity_Matrix!$B$3:$B$10,0),MATCH('Error Log'!$G107,Severity_Matrix!$C$2:$M$2,0)),"No errors"))</f>
        <v>Critical</v>
      </c>
      <c r="K107" s="79"/>
    </row>
    <row r="108" spans="1:11">
      <c r="A108" s="79" t="s">
        <v>267</v>
      </c>
      <c r="B108" s="18">
        <v>1</v>
      </c>
      <c r="C108" s="85" t="s">
        <v>268</v>
      </c>
      <c r="D108" s="85" t="s">
        <v>269</v>
      </c>
      <c r="E108" s="84" t="s">
        <v>21</v>
      </c>
      <c r="F108" s="84" t="s">
        <v>63</v>
      </c>
      <c r="G108" s="84" t="s">
        <v>28</v>
      </c>
      <c r="H108" s="84" t="s">
        <v>270</v>
      </c>
      <c r="I108" s="14"/>
      <c r="J108" s="15" t="str">
        <f>IF(E108="Invalid_Segment","Invalid",IFERROR(INDEX(Severity_Matrix!$C$3:$M$10,MATCH('Error Log'!$F108,Severity_Matrix!$B$3:$B$10,0),MATCH('Error Log'!$G108,Severity_Matrix!$C$2:$M$2,0)),"No errors"))</f>
        <v>Major</v>
      </c>
      <c r="K108" s="79"/>
    </row>
    <row r="109" spans="1:11">
      <c r="A109" s="79" t="s">
        <v>267</v>
      </c>
      <c r="B109" s="18">
        <v>2</v>
      </c>
      <c r="C109" s="85" t="s">
        <v>268</v>
      </c>
      <c r="D109" s="85" t="s">
        <v>269</v>
      </c>
      <c r="E109" s="84" t="s">
        <v>21</v>
      </c>
      <c r="F109" s="84" t="s">
        <v>63</v>
      </c>
      <c r="G109" s="84" t="s">
        <v>27</v>
      </c>
      <c r="H109" s="84" t="s">
        <v>271</v>
      </c>
      <c r="I109" s="14"/>
      <c r="J109" s="15" t="str">
        <f>IF(E109="Invalid_Segment","Invalid",IFERROR(INDEX(Severity_Matrix!$C$3:$M$10,MATCH('Error Log'!$F109,Severity_Matrix!$B$3:$B$10,0),MATCH('Error Log'!$G109,Severity_Matrix!$C$2:$M$2,0)),"No errors"))</f>
        <v>Critical</v>
      </c>
      <c r="K109" s="79"/>
    </row>
    <row r="110" spans="1:11">
      <c r="A110" s="79" t="s">
        <v>267</v>
      </c>
      <c r="B110" s="18">
        <v>3</v>
      </c>
      <c r="C110" s="85" t="s">
        <v>268</v>
      </c>
      <c r="D110" s="85" t="s">
        <v>269</v>
      </c>
      <c r="E110" s="84" t="s">
        <v>21</v>
      </c>
      <c r="F110" s="84" t="s">
        <v>22</v>
      </c>
      <c r="G110" s="84" t="s">
        <v>57</v>
      </c>
      <c r="H110" s="84" t="s">
        <v>272</v>
      </c>
      <c r="I110" s="14"/>
      <c r="J110" s="15" t="str">
        <f>IF(E110="Invalid_Segment","Invalid",IFERROR(INDEX(Severity_Matrix!$C$3:$M$10,MATCH('Error Log'!$F110,Severity_Matrix!$B$3:$B$10,0),MATCH('Error Log'!$G110,Severity_Matrix!$C$2:$M$2,0)),"No errors"))</f>
        <v>Major</v>
      </c>
      <c r="K110" s="79"/>
    </row>
    <row r="111" spans="1:11">
      <c r="A111" s="79" t="s">
        <v>273</v>
      </c>
      <c r="B111" s="18">
        <v>4</v>
      </c>
      <c r="C111" s="85" t="s">
        <v>268</v>
      </c>
      <c r="D111" s="85" t="s">
        <v>269</v>
      </c>
      <c r="E111" s="84" t="s">
        <v>21</v>
      </c>
      <c r="F111" s="84" t="s">
        <v>7</v>
      </c>
      <c r="G111" s="84" t="s">
        <v>57</v>
      </c>
      <c r="H111" s="84" t="s">
        <v>274</v>
      </c>
      <c r="I111" s="14"/>
      <c r="J111" s="15" t="str">
        <f>IF(E111="Invalid_Segment","Invalid",IFERROR(INDEX(Severity_Matrix!$C$3:$M$10,MATCH('Error Log'!$F111,Severity_Matrix!$B$3:$B$10,0),MATCH('Error Log'!$G111,Severity_Matrix!$C$2:$M$2,0)),"No errors"))</f>
        <v>Critical</v>
      </c>
      <c r="K111" s="79"/>
    </row>
    <row r="112" spans="1:11">
      <c r="A112" s="79" t="s">
        <v>273</v>
      </c>
      <c r="B112" s="18">
        <v>5</v>
      </c>
      <c r="C112" s="85" t="s">
        <v>268</v>
      </c>
      <c r="D112" s="85" t="s">
        <v>269</v>
      </c>
      <c r="E112" s="84" t="s">
        <v>21</v>
      </c>
      <c r="F112" s="84" t="s">
        <v>7</v>
      </c>
      <c r="G112" s="84" t="s">
        <v>57</v>
      </c>
      <c r="H112" s="84" t="s">
        <v>275</v>
      </c>
      <c r="I112" s="14"/>
      <c r="J112" s="15" t="str">
        <f>IF(E112="Invalid_Segment","Invalid",IFERROR(INDEX(Severity_Matrix!$C$3:$M$10,MATCH('Error Log'!$F112,Severity_Matrix!$B$3:$B$10,0),MATCH('Error Log'!$G112,Severity_Matrix!$C$2:$M$2,0)),"No errors"))</f>
        <v>Critical</v>
      </c>
      <c r="K112" s="79"/>
    </row>
    <row r="113" spans="1:11">
      <c r="A113" s="79" t="s">
        <v>273</v>
      </c>
      <c r="B113" s="18">
        <v>6</v>
      </c>
      <c r="C113" s="85" t="s">
        <v>268</v>
      </c>
      <c r="D113" s="85" t="s">
        <v>269</v>
      </c>
      <c r="E113" s="84" t="s">
        <v>21</v>
      </c>
      <c r="F113" s="84" t="s">
        <v>7</v>
      </c>
      <c r="G113" s="84" t="s">
        <v>57</v>
      </c>
      <c r="H113" s="84" t="s">
        <v>276</v>
      </c>
      <c r="I113" s="14"/>
      <c r="J113" s="15" t="str">
        <f>IF(E113="Invalid_Segment","Invalid",IFERROR(INDEX(Severity_Matrix!$C$3:$M$10,MATCH('Error Log'!$F113,Severity_Matrix!$B$3:$B$10,0),MATCH('Error Log'!$G113,Severity_Matrix!$C$2:$M$2,0)),"No errors"))</f>
        <v>Critical</v>
      </c>
      <c r="K113" s="79"/>
    </row>
    <row r="114" spans="1:11">
      <c r="A114" s="79" t="s">
        <v>273</v>
      </c>
      <c r="B114" s="18">
        <v>7</v>
      </c>
      <c r="C114" s="85" t="s">
        <v>268</v>
      </c>
      <c r="D114" s="85" t="s">
        <v>269</v>
      </c>
      <c r="E114" s="84" t="s">
        <v>21</v>
      </c>
      <c r="F114" s="84" t="s">
        <v>7</v>
      </c>
      <c r="G114" s="84" t="s">
        <v>57</v>
      </c>
      <c r="H114" s="84" t="s">
        <v>277</v>
      </c>
      <c r="I114" s="14"/>
      <c r="J114" s="15" t="str">
        <f>IF(E114="Invalid_Segment","Invalid",IFERROR(INDEX(Severity_Matrix!$C$3:$M$10,MATCH('Error Log'!$F114,Severity_Matrix!$B$3:$B$10,0),MATCH('Error Log'!$G114,Severity_Matrix!$C$2:$M$2,0)),"No errors"))</f>
        <v>Critical</v>
      </c>
      <c r="K114" s="79"/>
    </row>
    <row r="115" spans="1:11">
      <c r="A115" s="79" t="s">
        <v>278</v>
      </c>
      <c r="B115" s="18">
        <v>1</v>
      </c>
      <c r="C115" s="85" t="s">
        <v>279</v>
      </c>
      <c r="D115" s="85" t="s">
        <v>280</v>
      </c>
      <c r="E115" s="84" t="s">
        <v>21</v>
      </c>
      <c r="F115" s="84" t="s">
        <v>63</v>
      </c>
      <c r="G115" s="84" t="s">
        <v>28</v>
      </c>
      <c r="H115" s="84" t="s">
        <v>281</v>
      </c>
      <c r="I115" s="14"/>
      <c r="J115" s="15" t="str">
        <f>IF(E115="Invalid_Segment","Invalid",IFERROR(INDEX(Severity_Matrix!$C$3:$M$10,MATCH('Error Log'!$F115,Severity_Matrix!$B$3:$B$10,0),MATCH('Error Log'!$G115,Severity_Matrix!$C$2:$M$2,0)),"No errors"))</f>
        <v>Major</v>
      </c>
      <c r="K115" s="79"/>
    </row>
    <row r="116" spans="1:11">
      <c r="A116" s="79" t="s">
        <v>278</v>
      </c>
      <c r="B116" s="18">
        <v>2</v>
      </c>
      <c r="C116" s="85" t="s">
        <v>279</v>
      </c>
      <c r="D116" s="85" t="s">
        <v>280</v>
      </c>
      <c r="E116" s="84" t="s">
        <v>21</v>
      </c>
      <c r="F116" s="84" t="s">
        <v>63</v>
      </c>
      <c r="G116" s="84" t="s">
        <v>54</v>
      </c>
      <c r="H116" s="84" t="s">
        <v>282</v>
      </c>
      <c r="I116" s="14"/>
      <c r="J116" s="15" t="str">
        <f>IF(E116="Invalid_Segment","Invalid",IFERROR(INDEX(Severity_Matrix!$C$3:$M$10,MATCH('Error Log'!$F116,Severity_Matrix!$B$3:$B$10,0),MATCH('Error Log'!$G116,Severity_Matrix!$C$2:$M$2,0)),"No errors"))</f>
        <v>Critical</v>
      </c>
      <c r="K116" s="79"/>
    </row>
    <row r="117" spans="1:11">
      <c r="A117" s="79" t="s">
        <v>283</v>
      </c>
      <c r="B117" s="18">
        <v>3</v>
      </c>
      <c r="C117" s="85" t="s">
        <v>279</v>
      </c>
      <c r="D117" s="85" t="s">
        <v>280</v>
      </c>
      <c r="E117" s="84" t="s">
        <v>21</v>
      </c>
      <c r="F117" s="84" t="s">
        <v>22</v>
      </c>
      <c r="G117" s="84" t="s">
        <v>57</v>
      </c>
      <c r="H117" s="84" t="s">
        <v>284</v>
      </c>
      <c r="I117" s="14"/>
      <c r="J117" s="15" t="str">
        <f>IF(E117="Invalid_Segment","Invalid",IFERROR(INDEX(Severity_Matrix!$C$3:$M$10,MATCH('Error Log'!$F117,Severity_Matrix!$B$3:$B$10,0),MATCH('Error Log'!$G117,Severity_Matrix!$C$2:$M$2,0)),"No errors"))</f>
        <v>Major</v>
      </c>
      <c r="K117" s="79"/>
    </row>
    <row r="118" spans="1:11">
      <c r="A118" s="79" t="s">
        <v>283</v>
      </c>
      <c r="B118" s="18">
        <v>4</v>
      </c>
      <c r="C118" s="85" t="s">
        <v>279</v>
      </c>
      <c r="D118" s="85" t="s">
        <v>280</v>
      </c>
      <c r="E118" s="84" t="s">
        <v>21</v>
      </c>
      <c r="F118" s="84" t="s">
        <v>63</v>
      </c>
      <c r="G118" s="84" t="s">
        <v>54</v>
      </c>
      <c r="H118" s="84" t="s">
        <v>124</v>
      </c>
      <c r="I118" s="14"/>
      <c r="J118" s="15" t="str">
        <f>IF(E118="Invalid_Segment","Invalid",IFERROR(INDEX(Severity_Matrix!$C$3:$M$10,MATCH('Error Log'!$F118,Severity_Matrix!$B$3:$B$10,0),MATCH('Error Log'!$G118,Severity_Matrix!$C$2:$M$2,0)),"No errors"))</f>
        <v>Critical</v>
      </c>
      <c r="K118" s="79"/>
    </row>
    <row r="119" spans="1:11">
      <c r="A119" s="79" t="s">
        <v>283</v>
      </c>
      <c r="B119" s="18">
        <v>5</v>
      </c>
      <c r="C119" s="85" t="s">
        <v>279</v>
      </c>
      <c r="D119" s="85" t="s">
        <v>280</v>
      </c>
      <c r="E119" s="84" t="s">
        <v>21</v>
      </c>
      <c r="F119" s="84" t="s">
        <v>7</v>
      </c>
      <c r="G119" s="84" t="s">
        <v>57</v>
      </c>
      <c r="H119" s="84" t="s">
        <v>285</v>
      </c>
      <c r="I119" s="14"/>
      <c r="J119" s="15" t="str">
        <f>IF(E119="Invalid_Segment","Invalid",IFERROR(INDEX(Severity_Matrix!$C$3:$M$10,MATCH('Error Log'!$F119,Severity_Matrix!$B$3:$B$10,0),MATCH('Error Log'!$G119,Severity_Matrix!$C$2:$M$2,0)),"No errors"))</f>
        <v>Critical</v>
      </c>
      <c r="K119" s="79"/>
    </row>
    <row r="120" spans="1:11">
      <c r="A120" s="79" t="s">
        <v>283</v>
      </c>
      <c r="B120" s="18">
        <v>6</v>
      </c>
      <c r="C120" s="85" t="s">
        <v>279</v>
      </c>
      <c r="D120" s="85" t="s">
        <v>280</v>
      </c>
      <c r="E120" s="84" t="s">
        <v>21</v>
      </c>
      <c r="F120" s="84" t="s">
        <v>7</v>
      </c>
      <c r="G120" s="84" t="s">
        <v>57</v>
      </c>
      <c r="H120" s="84" t="s">
        <v>286</v>
      </c>
      <c r="I120" s="14"/>
      <c r="J120" s="15" t="str">
        <f>IF(E120="Invalid_Segment","Invalid",IFERROR(INDEX(Severity_Matrix!$C$3:$M$10,MATCH('Error Log'!$F120,Severity_Matrix!$B$3:$B$10,0),MATCH('Error Log'!$G120,Severity_Matrix!$C$2:$M$2,0)),"No errors"))</f>
        <v>Critical</v>
      </c>
      <c r="K120" s="79"/>
    </row>
    <row r="121" spans="1:11">
      <c r="A121" s="79" t="s">
        <v>283</v>
      </c>
      <c r="B121" s="18">
        <v>7</v>
      </c>
      <c r="C121" s="85" t="s">
        <v>279</v>
      </c>
      <c r="D121" s="85" t="s">
        <v>280</v>
      </c>
      <c r="E121" s="84" t="s">
        <v>21</v>
      </c>
      <c r="F121" s="84" t="s">
        <v>7</v>
      </c>
      <c r="G121" s="84" t="s">
        <v>57</v>
      </c>
      <c r="H121" s="84" t="s">
        <v>287</v>
      </c>
      <c r="I121" s="14"/>
      <c r="J121" s="15" t="str">
        <f>IF(E121="Invalid_Segment","Invalid",IFERROR(INDEX(Severity_Matrix!$C$3:$M$10,MATCH('Error Log'!$F121,Severity_Matrix!$B$3:$B$10,0),MATCH('Error Log'!$G121,Severity_Matrix!$C$2:$M$2,0)),"No errors"))</f>
        <v>Critical</v>
      </c>
      <c r="K121" s="79"/>
    </row>
    <row r="122" spans="1:11">
      <c r="A122" s="79" t="s">
        <v>288</v>
      </c>
      <c r="B122" s="18">
        <v>1</v>
      </c>
      <c r="C122" s="85" t="s">
        <v>289</v>
      </c>
      <c r="D122" s="85" t="s">
        <v>290</v>
      </c>
      <c r="E122" s="84" t="s">
        <v>21</v>
      </c>
      <c r="F122" s="84" t="s">
        <v>7</v>
      </c>
      <c r="G122" s="84" t="s">
        <v>57</v>
      </c>
      <c r="H122" s="84" t="s">
        <v>291</v>
      </c>
      <c r="I122" s="14"/>
      <c r="J122" s="15" t="str">
        <f>IF(E122="Invalid_Segment","Invalid",IFERROR(INDEX(Severity_Matrix!$C$3:$M$10,MATCH('Error Log'!$F122,Severity_Matrix!$B$3:$B$10,0),MATCH('Error Log'!$G122,Severity_Matrix!$C$2:$M$2,0)),"No errors"))</f>
        <v>Critical</v>
      </c>
      <c r="K122" s="79"/>
    </row>
    <row r="123" spans="1:11">
      <c r="A123" s="79" t="s">
        <v>292</v>
      </c>
      <c r="B123" s="18">
        <v>1</v>
      </c>
      <c r="C123" s="85" t="s">
        <v>293</v>
      </c>
      <c r="D123" s="85" t="s">
        <v>294</v>
      </c>
      <c r="E123" s="84" t="s">
        <v>21</v>
      </c>
      <c r="F123" s="84" t="s">
        <v>22</v>
      </c>
      <c r="G123" s="84" t="s">
        <v>57</v>
      </c>
      <c r="H123" s="84" t="s">
        <v>295</v>
      </c>
      <c r="I123" s="14"/>
      <c r="J123" s="15" t="str">
        <f>IF(E123="Invalid_Segment","Invalid",IFERROR(INDEX(Severity_Matrix!$C$3:$M$10,MATCH('Error Log'!$F123,Severity_Matrix!$B$3:$B$10,0),MATCH('Error Log'!$G123,Severity_Matrix!$C$2:$M$2,0)),"No errors"))</f>
        <v>Major</v>
      </c>
      <c r="K123" s="79"/>
    </row>
    <row r="124" spans="1:11">
      <c r="A124" s="79" t="s">
        <v>292</v>
      </c>
      <c r="B124" s="18">
        <v>2</v>
      </c>
      <c r="C124" s="85" t="s">
        <v>293</v>
      </c>
      <c r="D124" s="85" t="s">
        <v>294</v>
      </c>
      <c r="E124" s="84" t="s">
        <v>21</v>
      </c>
      <c r="F124" s="84" t="s">
        <v>7</v>
      </c>
      <c r="G124" s="84" t="s">
        <v>57</v>
      </c>
      <c r="H124" s="84" t="s">
        <v>296</v>
      </c>
      <c r="I124" s="14"/>
      <c r="J124" s="15" t="str">
        <f>IF(E124="Invalid_Segment","Invalid",IFERROR(INDEX(Severity_Matrix!$C$3:$M$10,MATCH('Error Log'!$F124,Severity_Matrix!$B$3:$B$10,0),MATCH('Error Log'!$G124,Severity_Matrix!$C$2:$M$2,0)),"No errors"))</f>
        <v>Critical</v>
      </c>
      <c r="K124" s="79"/>
    </row>
    <row r="125" spans="1:11">
      <c r="A125" s="79" t="s">
        <v>297</v>
      </c>
      <c r="B125" s="18">
        <v>1</v>
      </c>
      <c r="C125" s="85" t="s">
        <v>298</v>
      </c>
      <c r="D125" s="85" t="s">
        <v>299</v>
      </c>
      <c r="E125" s="84" t="s">
        <v>21</v>
      </c>
      <c r="F125" s="84" t="s">
        <v>22</v>
      </c>
      <c r="G125" s="84" t="s">
        <v>57</v>
      </c>
      <c r="H125" s="84" t="s">
        <v>300</v>
      </c>
      <c r="I125" s="14"/>
      <c r="J125" s="15" t="str">
        <f>IF(E125="Invalid_Segment","Invalid",IFERROR(INDEX(Severity_Matrix!$C$3:$M$10,MATCH('Error Log'!$F125,Severity_Matrix!$B$3:$B$10,0),MATCH('Error Log'!$G125,Severity_Matrix!$C$2:$M$2,0)),"No errors"))</f>
        <v>Major</v>
      </c>
      <c r="K125" s="79"/>
    </row>
    <row r="126" spans="1:11">
      <c r="A126" s="79" t="s">
        <v>297</v>
      </c>
      <c r="B126" s="18">
        <v>2</v>
      </c>
      <c r="C126" s="85" t="s">
        <v>298</v>
      </c>
      <c r="D126" s="85" t="s">
        <v>299</v>
      </c>
      <c r="E126" s="84" t="s">
        <v>21</v>
      </c>
      <c r="F126" s="84" t="s">
        <v>7</v>
      </c>
      <c r="G126" s="84" t="s">
        <v>57</v>
      </c>
      <c r="H126" s="84" t="s">
        <v>301</v>
      </c>
      <c r="I126" s="14"/>
      <c r="J126" s="15" t="str">
        <f>IF(E126="Invalid_Segment","Invalid",IFERROR(INDEX(Severity_Matrix!$C$3:$M$10,MATCH('Error Log'!$F126,Severity_Matrix!$B$3:$B$10,0),MATCH('Error Log'!$G126,Severity_Matrix!$C$2:$M$2,0)),"No errors"))</f>
        <v>Critical</v>
      </c>
      <c r="K126" s="79"/>
    </row>
    <row r="127" spans="1:11">
      <c r="A127" s="79" t="s">
        <v>302</v>
      </c>
      <c r="B127" s="18">
        <v>1</v>
      </c>
      <c r="C127" s="85" t="s">
        <v>303</v>
      </c>
      <c r="D127" s="85" t="s">
        <v>304</v>
      </c>
      <c r="E127" s="84" t="s">
        <v>21</v>
      </c>
      <c r="F127" s="84" t="s">
        <v>22</v>
      </c>
      <c r="G127" s="84" t="s">
        <v>57</v>
      </c>
      <c r="H127" s="84" t="s">
        <v>305</v>
      </c>
      <c r="I127" s="14"/>
      <c r="J127" s="15" t="str">
        <f>IF(E127="Invalid_Segment","Invalid",IFERROR(INDEX(Severity_Matrix!$C$3:$M$10,MATCH('Error Log'!$F127,Severity_Matrix!$B$3:$B$10,0),MATCH('Error Log'!$G127,Severity_Matrix!$C$2:$M$2,0)),"No errors"))</f>
        <v>Major</v>
      </c>
      <c r="K127" s="79"/>
    </row>
    <row r="128" spans="1:11">
      <c r="A128" s="79" t="s">
        <v>302</v>
      </c>
      <c r="B128" s="18">
        <v>2</v>
      </c>
      <c r="C128" s="85" t="s">
        <v>303</v>
      </c>
      <c r="D128" s="85" t="s">
        <v>304</v>
      </c>
      <c r="E128" s="84" t="s">
        <v>21</v>
      </c>
      <c r="F128" s="84" t="s">
        <v>22</v>
      </c>
      <c r="G128" s="84" t="s">
        <v>54</v>
      </c>
      <c r="H128" s="84" t="s">
        <v>306</v>
      </c>
      <c r="I128" s="14"/>
      <c r="J128" s="15" t="str">
        <f>IF(E128="Invalid_Segment","Invalid",IFERROR(INDEX(Severity_Matrix!$C$3:$M$10,MATCH('Error Log'!$F128,Severity_Matrix!$B$3:$B$10,0),MATCH('Error Log'!$G128,Severity_Matrix!$C$2:$M$2,0)),"No errors"))</f>
        <v>Critical</v>
      </c>
      <c r="K128" s="79"/>
    </row>
    <row r="129" spans="1:10">
      <c r="A129" s="79" t="s">
        <v>307</v>
      </c>
      <c r="B129" s="18">
        <v>3</v>
      </c>
      <c r="C129" s="85" t="s">
        <v>303</v>
      </c>
      <c r="D129" s="85" t="s">
        <v>304</v>
      </c>
      <c r="E129" s="84" t="s">
        <v>21</v>
      </c>
      <c r="F129" s="84" t="s">
        <v>22</v>
      </c>
      <c r="G129" s="84" t="s">
        <v>57</v>
      </c>
      <c r="H129" s="84" t="s">
        <v>308</v>
      </c>
      <c r="I129" s="14"/>
      <c r="J129" s="15" t="str">
        <f>IF(E129="Invalid_Segment","Invalid",IFERROR(INDEX(Severity_Matrix!$C$3:$M$10,MATCH('Error Log'!$F129,Severity_Matrix!$B$3:$B$10,0),MATCH('Error Log'!$G129,Severity_Matrix!$C$2:$M$2,0)),"No errors"))</f>
        <v>Major</v>
      </c>
    </row>
    <row r="130" spans="1:10">
      <c r="A130" s="79" t="s">
        <v>307</v>
      </c>
      <c r="B130" s="18">
        <v>4</v>
      </c>
      <c r="C130" s="85" t="s">
        <v>303</v>
      </c>
      <c r="D130" s="85" t="s">
        <v>304</v>
      </c>
      <c r="E130" s="84" t="s">
        <v>21</v>
      </c>
      <c r="F130" s="84" t="s">
        <v>7</v>
      </c>
      <c r="G130" s="84" t="s">
        <v>57</v>
      </c>
      <c r="H130" s="84" t="s">
        <v>309</v>
      </c>
      <c r="I130" s="14"/>
      <c r="J130" s="15" t="str">
        <f>IF(E130="Invalid_Segment","Invalid",IFERROR(INDEX(Severity_Matrix!$C$3:$M$10,MATCH('Error Log'!$F130,Severity_Matrix!$B$3:$B$10,0),MATCH('Error Log'!$G130,Severity_Matrix!$C$2:$M$2,0)),"No errors"))</f>
        <v>Critical</v>
      </c>
    </row>
    <row r="131" spans="1:10">
      <c r="A131" s="79" t="s">
        <v>307</v>
      </c>
      <c r="B131" s="18">
        <v>5</v>
      </c>
      <c r="C131" s="85" t="s">
        <v>303</v>
      </c>
      <c r="D131" s="85" t="s">
        <v>304</v>
      </c>
      <c r="E131" s="84" t="s">
        <v>21</v>
      </c>
      <c r="F131" s="84" t="s">
        <v>7</v>
      </c>
      <c r="G131" s="84" t="s">
        <v>57</v>
      </c>
      <c r="H131" s="84" t="s">
        <v>310</v>
      </c>
      <c r="I131" s="14"/>
      <c r="J131" s="15" t="str">
        <f>IF(E131="Invalid_Segment","Invalid",IFERROR(INDEX(Severity_Matrix!$C$3:$M$10,MATCH('Error Log'!$F131,Severity_Matrix!$B$3:$B$10,0),MATCH('Error Log'!$G131,Severity_Matrix!$C$2:$M$2,0)),"No errors"))</f>
        <v>Critical</v>
      </c>
    </row>
    <row r="132" spans="1:10">
      <c r="A132" s="79" t="s">
        <v>307</v>
      </c>
      <c r="B132" s="18">
        <v>6</v>
      </c>
      <c r="C132" s="85" t="s">
        <v>303</v>
      </c>
      <c r="D132" s="85" t="s">
        <v>304</v>
      </c>
      <c r="E132" s="84" t="s">
        <v>21</v>
      </c>
      <c r="F132" s="84" t="s">
        <v>7</v>
      </c>
      <c r="G132" s="84" t="s">
        <v>57</v>
      </c>
      <c r="H132" s="84" t="s">
        <v>311</v>
      </c>
      <c r="I132" s="14"/>
      <c r="J132" s="15" t="str">
        <f>IF(E132="Invalid_Segment","Invalid",IFERROR(INDEX(Severity_Matrix!$C$3:$M$10,MATCH('Error Log'!$F132,Severity_Matrix!$B$3:$B$10,0),MATCH('Error Log'!$G132,Severity_Matrix!$C$2:$M$2,0)),"No errors"))</f>
        <v>Critical</v>
      </c>
    </row>
    <row r="133" spans="1:10">
      <c r="A133" s="79" t="s">
        <v>307</v>
      </c>
      <c r="B133" s="18">
        <v>7</v>
      </c>
      <c r="C133" s="85" t="s">
        <v>303</v>
      </c>
      <c r="D133" s="85" t="s">
        <v>304</v>
      </c>
      <c r="E133" s="84" t="s">
        <v>21</v>
      </c>
      <c r="F133" s="84" t="s">
        <v>7</v>
      </c>
      <c r="G133" s="84" t="s">
        <v>57</v>
      </c>
      <c r="H133" s="84" t="s">
        <v>312</v>
      </c>
      <c r="I133" s="14"/>
      <c r="J133" s="15" t="str">
        <f>IF(E133="Invalid_Segment","Invalid",IFERROR(INDEX(Severity_Matrix!$C$3:$M$10,MATCH('Error Log'!$F133,Severity_Matrix!$B$3:$B$10,0),MATCH('Error Log'!$G133,Severity_Matrix!$C$2:$M$2,0)),"No errors"))</f>
        <v>Critical</v>
      </c>
    </row>
    <row r="134" spans="1:10">
      <c r="A134" s="79" t="s">
        <v>307</v>
      </c>
      <c r="B134" s="18">
        <v>8</v>
      </c>
      <c r="C134" s="85" t="s">
        <v>303</v>
      </c>
      <c r="D134" s="85" t="s">
        <v>304</v>
      </c>
      <c r="E134" s="84" t="s">
        <v>21</v>
      </c>
      <c r="F134" s="84" t="s">
        <v>7</v>
      </c>
      <c r="G134" s="84" t="s">
        <v>57</v>
      </c>
      <c r="H134" s="84" t="s">
        <v>313</v>
      </c>
      <c r="I134" s="14"/>
      <c r="J134" s="15" t="str">
        <f>IF(E134="Invalid_Segment","Invalid",IFERROR(INDEX(Severity_Matrix!$C$3:$M$10,MATCH('Error Log'!$F134,Severity_Matrix!$B$3:$B$10,0),MATCH('Error Log'!$G134,Severity_Matrix!$C$2:$M$2,0)),"No errors"))</f>
        <v>Critical</v>
      </c>
    </row>
    <row r="135" spans="1:10">
      <c r="A135" s="79" t="s">
        <v>314</v>
      </c>
      <c r="B135" s="18">
        <v>1</v>
      </c>
      <c r="C135" s="85" t="s">
        <v>315</v>
      </c>
      <c r="D135" s="85" t="s">
        <v>316</v>
      </c>
      <c r="E135" s="84" t="s">
        <v>21</v>
      </c>
      <c r="F135" s="84" t="s">
        <v>22</v>
      </c>
      <c r="G135" s="84" t="s">
        <v>57</v>
      </c>
      <c r="H135" s="84" t="s">
        <v>317</v>
      </c>
      <c r="I135" s="14"/>
      <c r="J135" s="15" t="str">
        <f>IF(E135="Invalid_Segment","Invalid",IFERROR(INDEX(Severity_Matrix!$C$3:$M$10,MATCH('Error Log'!$F135,Severity_Matrix!$B$3:$B$10,0),MATCH('Error Log'!$G135,Severity_Matrix!$C$2:$M$2,0)),"No errors"))</f>
        <v>Major</v>
      </c>
    </row>
    <row r="136" spans="1:10">
      <c r="A136" s="79" t="s">
        <v>314</v>
      </c>
      <c r="B136" s="18">
        <v>2</v>
      </c>
      <c r="C136" s="85" t="s">
        <v>315</v>
      </c>
      <c r="D136" s="85" t="s">
        <v>316</v>
      </c>
      <c r="E136" s="84" t="s">
        <v>21</v>
      </c>
      <c r="F136" s="84" t="s">
        <v>22</v>
      </c>
      <c r="G136" s="84" t="s">
        <v>57</v>
      </c>
      <c r="H136" s="84" t="s">
        <v>318</v>
      </c>
      <c r="I136" s="14"/>
      <c r="J136" s="15" t="str">
        <f>IF(E136="Invalid_Segment","Invalid",IFERROR(INDEX(Severity_Matrix!$C$3:$M$10,MATCH('Error Log'!$F136,Severity_Matrix!$B$3:$B$10,0),MATCH('Error Log'!$G136,Severity_Matrix!$C$2:$M$2,0)),"No errors"))</f>
        <v>Major</v>
      </c>
    </row>
    <row r="137" spans="1:10">
      <c r="A137" s="79" t="s">
        <v>319</v>
      </c>
      <c r="B137" s="18">
        <v>3</v>
      </c>
      <c r="C137" s="85" t="s">
        <v>315</v>
      </c>
      <c r="D137" s="85" t="s">
        <v>316</v>
      </c>
      <c r="E137" s="84" t="s">
        <v>21</v>
      </c>
      <c r="F137" s="84" t="s">
        <v>7</v>
      </c>
      <c r="G137" s="84" t="s">
        <v>57</v>
      </c>
      <c r="H137" s="84" t="s">
        <v>320</v>
      </c>
      <c r="I137" s="14"/>
      <c r="J137" s="15" t="str">
        <f>IF(E137="Invalid_Segment","Invalid",IFERROR(INDEX(Severity_Matrix!$C$3:$M$10,MATCH('Error Log'!$F137,Severity_Matrix!$B$3:$B$10,0),MATCH('Error Log'!$G137,Severity_Matrix!$C$2:$M$2,0)),"No errors"))</f>
        <v>Critical</v>
      </c>
    </row>
    <row r="138" spans="1:10">
      <c r="A138" s="79" t="s">
        <v>319</v>
      </c>
      <c r="B138" s="18">
        <v>4</v>
      </c>
      <c r="C138" s="85" t="s">
        <v>315</v>
      </c>
      <c r="D138" s="85" t="s">
        <v>316</v>
      </c>
      <c r="E138" s="84" t="s">
        <v>21</v>
      </c>
      <c r="F138" s="84" t="s">
        <v>7</v>
      </c>
      <c r="G138" s="84" t="s">
        <v>57</v>
      </c>
      <c r="H138" s="84" t="s">
        <v>321</v>
      </c>
      <c r="I138" s="14"/>
      <c r="J138" s="15" t="str">
        <f>IF(E138="Invalid_Segment","Invalid",IFERROR(INDEX(Severity_Matrix!$C$3:$M$10,MATCH('Error Log'!$F138,Severity_Matrix!$B$3:$B$10,0),MATCH('Error Log'!$G138,Severity_Matrix!$C$2:$M$2,0)),"No errors"))</f>
        <v>Critical</v>
      </c>
    </row>
    <row r="139" spans="1:10">
      <c r="A139" s="79" t="s">
        <v>319</v>
      </c>
      <c r="B139" s="18">
        <v>5</v>
      </c>
      <c r="C139" s="85" t="s">
        <v>315</v>
      </c>
      <c r="D139" s="85" t="s">
        <v>316</v>
      </c>
      <c r="E139" s="84" t="s">
        <v>21</v>
      </c>
      <c r="F139" s="84" t="s">
        <v>7</v>
      </c>
      <c r="G139" s="84" t="s">
        <v>57</v>
      </c>
      <c r="H139" s="84" t="s">
        <v>322</v>
      </c>
      <c r="I139" s="14"/>
      <c r="J139" s="15" t="str">
        <f>IF(E139="Invalid_Segment","Invalid",IFERROR(INDEX(Severity_Matrix!$C$3:$M$10,MATCH('Error Log'!$F139,Severity_Matrix!$B$3:$B$10,0),MATCH('Error Log'!$G139,Severity_Matrix!$C$2:$M$2,0)),"No errors"))</f>
        <v>Critical</v>
      </c>
    </row>
    <row r="140" spans="1:10">
      <c r="A140" s="79" t="s">
        <v>323</v>
      </c>
      <c r="B140" s="18">
        <v>1</v>
      </c>
      <c r="C140" s="85" t="s">
        <v>324</v>
      </c>
      <c r="D140" s="85" t="s">
        <v>325</v>
      </c>
      <c r="E140" s="84" t="s">
        <v>21</v>
      </c>
      <c r="F140" s="84" t="s">
        <v>63</v>
      </c>
      <c r="G140" s="84" t="s">
        <v>58</v>
      </c>
      <c r="H140" s="84" t="s">
        <v>326</v>
      </c>
      <c r="I140" s="14"/>
      <c r="J140" s="15" t="str">
        <f>IF(E140="Invalid_Segment","Invalid",IFERROR(INDEX(Severity_Matrix!$C$3:$M$10,MATCH('Error Log'!$F140,Severity_Matrix!$B$3:$B$10,0),MATCH('Error Log'!$G140,Severity_Matrix!$C$2:$M$2,0)),"No errors"))</f>
        <v>Minor</v>
      </c>
    </row>
    <row r="141" spans="1:10">
      <c r="A141" s="79" t="s">
        <v>323</v>
      </c>
      <c r="B141" s="18">
        <v>2</v>
      </c>
      <c r="C141" s="85" t="s">
        <v>324</v>
      </c>
      <c r="D141" s="85" t="s">
        <v>325</v>
      </c>
      <c r="E141" s="84" t="s">
        <v>21</v>
      </c>
      <c r="F141" s="84" t="s">
        <v>63</v>
      </c>
      <c r="G141" s="84" t="s">
        <v>28</v>
      </c>
      <c r="H141" s="84" t="s">
        <v>327</v>
      </c>
      <c r="I141" s="14"/>
      <c r="J141" s="15" t="str">
        <f>IF(E141="Invalid_Segment","Invalid",IFERROR(INDEX(Severity_Matrix!$C$3:$M$10,MATCH('Error Log'!$F141,Severity_Matrix!$B$3:$B$10,0),MATCH('Error Log'!$G141,Severity_Matrix!$C$2:$M$2,0)),"No errors"))</f>
        <v>Major</v>
      </c>
    </row>
    <row r="142" spans="1:10">
      <c r="A142" s="79" t="s">
        <v>328</v>
      </c>
      <c r="B142" s="18">
        <v>3</v>
      </c>
      <c r="C142" s="85" t="s">
        <v>324</v>
      </c>
      <c r="D142" s="85" t="s">
        <v>325</v>
      </c>
      <c r="E142" s="84" t="s">
        <v>21</v>
      </c>
      <c r="F142" s="84" t="s">
        <v>22</v>
      </c>
      <c r="G142" s="84" t="s">
        <v>54</v>
      </c>
      <c r="H142" s="84" t="s">
        <v>329</v>
      </c>
      <c r="I142" s="14"/>
      <c r="J142" s="15" t="str">
        <f>IF(E142="Invalid_Segment","Invalid",IFERROR(INDEX(Severity_Matrix!$C$3:$M$10,MATCH('Error Log'!$F142,Severity_Matrix!$B$3:$B$10,0),MATCH('Error Log'!$G142,Severity_Matrix!$C$2:$M$2,0)),"No errors"))</f>
        <v>Critical</v>
      </c>
    </row>
    <row r="143" spans="1:10">
      <c r="A143" s="79" t="s">
        <v>328</v>
      </c>
      <c r="B143" s="18">
        <v>4</v>
      </c>
      <c r="C143" s="85" t="s">
        <v>324</v>
      </c>
      <c r="D143" s="85" t="s">
        <v>325</v>
      </c>
      <c r="E143" s="84" t="s">
        <v>21</v>
      </c>
      <c r="F143" s="84" t="s">
        <v>63</v>
      </c>
      <c r="G143" s="84" t="s">
        <v>28</v>
      </c>
      <c r="H143" s="84" t="s">
        <v>330</v>
      </c>
      <c r="I143" s="14"/>
      <c r="J143" s="15" t="str">
        <f>IF(E143="Invalid_Segment","Invalid",IFERROR(INDEX(Severity_Matrix!$C$3:$M$10,MATCH('Error Log'!$F143,Severity_Matrix!$B$3:$B$10,0),MATCH('Error Log'!$G143,Severity_Matrix!$C$2:$M$2,0)),"No errors"))</f>
        <v>Major</v>
      </c>
    </row>
    <row r="144" spans="1:10">
      <c r="A144" s="79" t="s">
        <v>328</v>
      </c>
      <c r="B144" s="18">
        <v>5</v>
      </c>
      <c r="C144" s="85" t="s">
        <v>324</v>
      </c>
      <c r="D144" s="85" t="s">
        <v>325</v>
      </c>
      <c r="E144" s="84" t="s">
        <v>21</v>
      </c>
      <c r="F144" s="84" t="s">
        <v>22</v>
      </c>
      <c r="G144" s="84" t="s">
        <v>57</v>
      </c>
      <c r="H144" s="84" t="s">
        <v>331</v>
      </c>
      <c r="I144" s="14"/>
      <c r="J144" s="15" t="str">
        <f>IF(E144="Invalid_Segment","Invalid",IFERROR(INDEX(Severity_Matrix!$C$3:$M$10,MATCH('Error Log'!$F144,Severity_Matrix!$B$3:$B$10,0),MATCH('Error Log'!$G144,Severity_Matrix!$C$2:$M$2,0)),"No errors"))</f>
        <v>Major</v>
      </c>
    </row>
    <row r="145" spans="1:10">
      <c r="A145" s="79" t="s">
        <v>328</v>
      </c>
      <c r="B145" s="18">
        <v>6</v>
      </c>
      <c r="C145" s="85" t="s">
        <v>324</v>
      </c>
      <c r="D145" s="85" t="s">
        <v>325</v>
      </c>
      <c r="E145" s="84" t="s">
        <v>21</v>
      </c>
      <c r="F145" s="84" t="s">
        <v>22</v>
      </c>
      <c r="G145" s="84" t="s">
        <v>57</v>
      </c>
      <c r="H145" s="84" t="s">
        <v>332</v>
      </c>
      <c r="I145" s="14"/>
      <c r="J145" s="15" t="str">
        <f>IF(E145="Invalid_Segment","Invalid",IFERROR(INDEX(Severity_Matrix!$C$3:$M$10,MATCH('Error Log'!$F145,Severity_Matrix!$B$3:$B$10,0),MATCH('Error Log'!$G145,Severity_Matrix!$C$2:$M$2,0)),"No errors"))</f>
        <v>Major</v>
      </c>
    </row>
    <row r="146" spans="1:10">
      <c r="A146" s="79" t="s">
        <v>328</v>
      </c>
      <c r="B146" s="18">
        <v>7</v>
      </c>
      <c r="C146" s="85" t="s">
        <v>324</v>
      </c>
      <c r="D146" s="85" t="s">
        <v>325</v>
      </c>
      <c r="E146" s="84" t="s">
        <v>21</v>
      </c>
      <c r="F146" s="84" t="s">
        <v>22</v>
      </c>
      <c r="G146" s="84" t="s">
        <v>57</v>
      </c>
      <c r="H146" s="84" t="s">
        <v>333</v>
      </c>
      <c r="I146" s="14"/>
      <c r="J146" s="15" t="str">
        <f>IF(E146="Invalid_Segment","Invalid",IFERROR(INDEX(Severity_Matrix!$C$3:$M$10,MATCH('Error Log'!$F146,Severity_Matrix!$B$3:$B$10,0),MATCH('Error Log'!$G146,Severity_Matrix!$C$2:$M$2,0)),"No errors"))</f>
        <v>Major</v>
      </c>
    </row>
    <row r="147" spans="1:10">
      <c r="A147" s="79" t="s">
        <v>328</v>
      </c>
      <c r="B147" s="18">
        <v>8</v>
      </c>
      <c r="C147" s="85" t="s">
        <v>324</v>
      </c>
      <c r="D147" s="85" t="s">
        <v>325</v>
      </c>
      <c r="E147" s="84" t="s">
        <v>21</v>
      </c>
      <c r="F147" s="84" t="s">
        <v>7</v>
      </c>
      <c r="G147" s="84" t="s">
        <v>57</v>
      </c>
      <c r="H147" s="84" t="s">
        <v>334</v>
      </c>
      <c r="I147" s="14"/>
      <c r="J147" s="15" t="str">
        <f>IF(E147="Invalid_Segment","Invalid",IFERROR(INDEX(Severity_Matrix!$C$3:$M$10,MATCH('Error Log'!$F147,Severity_Matrix!$B$3:$B$10,0),MATCH('Error Log'!$G147,Severity_Matrix!$C$2:$M$2,0)),"No errors"))</f>
        <v>Critical</v>
      </c>
    </row>
    <row r="148" spans="1:10">
      <c r="A148" s="79" t="s">
        <v>328</v>
      </c>
      <c r="B148" s="18">
        <v>9</v>
      </c>
      <c r="C148" s="85" t="s">
        <v>324</v>
      </c>
      <c r="D148" s="85" t="s">
        <v>325</v>
      </c>
      <c r="E148" s="84" t="s">
        <v>21</v>
      </c>
      <c r="F148" s="84" t="s">
        <v>7</v>
      </c>
      <c r="G148" s="84" t="s">
        <v>57</v>
      </c>
      <c r="H148" s="84" t="s">
        <v>335</v>
      </c>
      <c r="I148" s="14"/>
      <c r="J148" s="15" t="str">
        <f>IF(E148="Invalid_Segment","Invalid",IFERROR(INDEX(Severity_Matrix!$C$3:$M$10,MATCH('Error Log'!$F148,Severity_Matrix!$B$3:$B$10,0),MATCH('Error Log'!$G148,Severity_Matrix!$C$2:$M$2,0)),"No errors"))</f>
        <v>Critical</v>
      </c>
    </row>
    <row r="149" spans="1:10">
      <c r="A149" s="79" t="s">
        <v>336</v>
      </c>
      <c r="B149" s="18">
        <v>1</v>
      </c>
      <c r="C149" s="85" t="s">
        <v>337</v>
      </c>
      <c r="D149" s="85" t="s">
        <v>338</v>
      </c>
      <c r="E149" s="84" t="s">
        <v>21</v>
      </c>
      <c r="F149" s="84" t="s">
        <v>22</v>
      </c>
      <c r="G149" s="84" t="s">
        <v>57</v>
      </c>
      <c r="H149" s="84" t="s">
        <v>339</v>
      </c>
      <c r="I149" s="14"/>
      <c r="J149" s="15" t="str">
        <f>IF(E149="Invalid_Segment","Invalid",IFERROR(INDEX(Severity_Matrix!$C$3:$M$10,MATCH('Error Log'!$F149,Severity_Matrix!$B$3:$B$10,0),MATCH('Error Log'!$G149,Severity_Matrix!$C$2:$M$2,0)),"No errors"))</f>
        <v>Major</v>
      </c>
    </row>
    <row r="150" spans="1:10">
      <c r="A150" s="79" t="s">
        <v>336</v>
      </c>
      <c r="B150" s="18">
        <v>2</v>
      </c>
      <c r="C150" s="85" t="s">
        <v>337</v>
      </c>
      <c r="D150" s="85" t="s">
        <v>338</v>
      </c>
      <c r="E150" s="84" t="s">
        <v>21</v>
      </c>
      <c r="F150" s="84" t="s">
        <v>22</v>
      </c>
      <c r="G150" s="84" t="s">
        <v>57</v>
      </c>
      <c r="H150" s="84" t="s">
        <v>340</v>
      </c>
      <c r="I150" s="14"/>
      <c r="J150" s="15" t="str">
        <f>IF(E150="Invalid_Segment","Invalid",IFERROR(INDEX(Severity_Matrix!$C$3:$M$10,MATCH('Error Log'!$F150,Severity_Matrix!$B$3:$B$10,0),MATCH('Error Log'!$G150,Severity_Matrix!$C$2:$M$2,0)),"No errors"))</f>
        <v>Major</v>
      </c>
    </row>
    <row r="151" spans="1:10">
      <c r="A151" s="79" t="s">
        <v>341</v>
      </c>
      <c r="B151" s="18">
        <v>3</v>
      </c>
      <c r="C151" s="85" t="s">
        <v>337</v>
      </c>
      <c r="D151" s="85" t="s">
        <v>338</v>
      </c>
      <c r="E151" s="84" t="s">
        <v>21</v>
      </c>
      <c r="F151" s="84" t="s">
        <v>7</v>
      </c>
      <c r="G151" s="84" t="s">
        <v>57</v>
      </c>
      <c r="H151" s="84" t="s">
        <v>342</v>
      </c>
      <c r="I151" s="14"/>
      <c r="J151" s="15" t="str">
        <f>IF(E151="Invalid_Segment","Invalid",IFERROR(INDEX(Severity_Matrix!$C$3:$M$10,MATCH('Error Log'!$F151,Severity_Matrix!$B$3:$B$10,0),MATCH('Error Log'!$G151,Severity_Matrix!$C$2:$M$2,0)),"No errors"))</f>
        <v>Critical</v>
      </c>
    </row>
    <row r="152" spans="1:10">
      <c r="A152" s="79" t="s">
        <v>341</v>
      </c>
      <c r="B152" s="18">
        <v>4</v>
      </c>
      <c r="C152" s="85" t="s">
        <v>337</v>
      </c>
      <c r="D152" s="85" t="s">
        <v>338</v>
      </c>
      <c r="E152" s="84" t="s">
        <v>21</v>
      </c>
      <c r="F152" s="84" t="s">
        <v>7</v>
      </c>
      <c r="G152" s="84" t="s">
        <v>57</v>
      </c>
      <c r="H152" s="84" t="s">
        <v>343</v>
      </c>
      <c r="I152" s="14"/>
      <c r="J152" s="15" t="str">
        <f>IF(E152="Invalid_Segment","Invalid",IFERROR(INDEX(Severity_Matrix!$C$3:$M$10,MATCH('Error Log'!$F152,Severity_Matrix!$B$3:$B$10,0),MATCH('Error Log'!$G152,Severity_Matrix!$C$2:$M$2,0)),"No errors"))</f>
        <v>Critical</v>
      </c>
    </row>
    <row r="153" spans="1:10">
      <c r="A153" s="79" t="s">
        <v>344</v>
      </c>
      <c r="B153" s="18">
        <v>1</v>
      </c>
      <c r="C153" s="85" t="s">
        <v>345</v>
      </c>
      <c r="D153" s="85" t="s">
        <v>346</v>
      </c>
      <c r="E153" s="84" t="s">
        <v>21</v>
      </c>
      <c r="F153" s="84" t="s">
        <v>22</v>
      </c>
      <c r="G153" s="84" t="s">
        <v>57</v>
      </c>
      <c r="H153" s="84" t="s">
        <v>347</v>
      </c>
      <c r="I153" s="14"/>
      <c r="J153" s="15" t="str">
        <f>IF(E153="Invalid_Segment","Invalid",IFERROR(INDEX(Severity_Matrix!$C$3:$M$10,MATCH('Error Log'!$F153,Severity_Matrix!$B$3:$B$10,0),MATCH('Error Log'!$G153,Severity_Matrix!$C$2:$M$2,0)),"No errors"))</f>
        <v>Major</v>
      </c>
    </row>
    <row r="154" spans="1:10">
      <c r="A154" s="79" t="s">
        <v>344</v>
      </c>
      <c r="B154" s="18">
        <v>2</v>
      </c>
      <c r="C154" s="85" t="s">
        <v>345</v>
      </c>
      <c r="D154" s="85" t="s">
        <v>346</v>
      </c>
      <c r="E154" s="84" t="s">
        <v>21</v>
      </c>
      <c r="F154" s="84" t="s">
        <v>7</v>
      </c>
      <c r="G154" s="84" t="s">
        <v>57</v>
      </c>
      <c r="H154" s="84" t="s">
        <v>348</v>
      </c>
      <c r="I154" s="14"/>
      <c r="J154" s="15" t="str">
        <f>IF(E154="Invalid_Segment","Invalid",IFERROR(INDEX(Severity_Matrix!$C$3:$M$10,MATCH('Error Log'!$F154,Severity_Matrix!$B$3:$B$10,0),MATCH('Error Log'!$G154,Severity_Matrix!$C$2:$M$2,0)),"No errors"))</f>
        <v>Critical</v>
      </c>
    </row>
    <row r="155" spans="1:10">
      <c r="A155" s="79" t="s">
        <v>344</v>
      </c>
      <c r="B155" s="18">
        <v>3</v>
      </c>
      <c r="C155" s="85" t="s">
        <v>345</v>
      </c>
      <c r="D155" s="85" t="s">
        <v>346</v>
      </c>
      <c r="E155" s="84" t="s">
        <v>21</v>
      </c>
      <c r="F155" s="84" t="s">
        <v>7</v>
      </c>
      <c r="G155" s="84" t="s">
        <v>57</v>
      </c>
      <c r="H155" s="84" t="s">
        <v>349</v>
      </c>
      <c r="I155" s="14"/>
      <c r="J155" s="15" t="str">
        <f>IF(E155="Invalid_Segment","Invalid",IFERROR(INDEX(Severity_Matrix!$C$3:$M$10,MATCH('Error Log'!$F155,Severity_Matrix!$B$3:$B$10,0),MATCH('Error Log'!$G155,Severity_Matrix!$C$2:$M$2,0)),"No errors"))</f>
        <v>Critical</v>
      </c>
    </row>
    <row r="156" spans="1:10" s="97" customFormat="1">
      <c r="A156" s="91" t="s">
        <v>350</v>
      </c>
      <c r="B156" s="92">
        <v>1</v>
      </c>
      <c r="C156" s="93" t="s">
        <v>351</v>
      </c>
      <c r="D156" s="93" t="s">
        <v>352</v>
      </c>
      <c r="E156" s="84" t="s">
        <v>21</v>
      </c>
      <c r="F156" s="84" t="s">
        <v>22</v>
      </c>
      <c r="G156" s="94" t="s">
        <v>57</v>
      </c>
      <c r="H156" s="94" t="s">
        <v>353</v>
      </c>
      <c r="I156" s="95"/>
      <c r="J156" s="96" t="str">
        <f>IF(E156="Invalid_Segment","Invalid",IFERROR(INDEX(Severity_Matrix!$C$3:$M$10,MATCH('Error Log'!$F156,Severity_Matrix!$B$3:$B$10,0),MATCH('Error Log'!$G156,Severity_Matrix!$C$2:$M$2,0)),"No errors"))</f>
        <v>Major</v>
      </c>
    </row>
    <row r="157" spans="1:10" s="97" customFormat="1">
      <c r="A157" s="91" t="s">
        <v>350</v>
      </c>
      <c r="B157" s="92">
        <v>2</v>
      </c>
      <c r="C157" s="93" t="s">
        <v>351</v>
      </c>
      <c r="D157" s="93" t="s">
        <v>352</v>
      </c>
      <c r="E157" s="84" t="s">
        <v>21</v>
      </c>
      <c r="F157" s="84" t="s">
        <v>22</v>
      </c>
      <c r="G157" s="94" t="s">
        <v>57</v>
      </c>
      <c r="H157" s="94" t="s">
        <v>354</v>
      </c>
      <c r="I157" s="95"/>
      <c r="J157" s="96" t="str">
        <f>IF(E157="Invalid_Segment","Invalid",IFERROR(INDEX(Severity_Matrix!$C$3:$M$10,MATCH('Error Log'!$F157,Severity_Matrix!$B$3:$B$10,0),MATCH('Error Log'!$G157,Severity_Matrix!$C$2:$M$2,0)),"No errors"))</f>
        <v>Major</v>
      </c>
    </row>
    <row r="158" spans="1:10" s="97" customFormat="1">
      <c r="A158" s="91" t="s">
        <v>355</v>
      </c>
      <c r="B158" s="92">
        <v>3</v>
      </c>
      <c r="C158" s="93" t="s">
        <v>351</v>
      </c>
      <c r="D158" s="93" t="s">
        <v>352</v>
      </c>
      <c r="E158" s="94" t="s">
        <v>21</v>
      </c>
      <c r="F158" s="94" t="s">
        <v>63</v>
      </c>
      <c r="G158" s="94" t="s">
        <v>56</v>
      </c>
      <c r="H158" s="94" t="s">
        <v>356</v>
      </c>
      <c r="I158" s="95"/>
      <c r="J158" s="96" t="str">
        <f>IF(E158="Invalid_Segment","Invalid",IFERROR(INDEX(Severity_Matrix!$C$3:$M$10,MATCH('Error Log'!$F158,Severity_Matrix!$B$3:$B$10,0),MATCH('Error Log'!$G158,Severity_Matrix!$C$2:$M$2,0)),"No errors"))</f>
        <v>Critical</v>
      </c>
    </row>
    <row r="159" spans="1:10" s="97" customFormat="1">
      <c r="A159" s="91" t="s">
        <v>355</v>
      </c>
      <c r="B159" s="92">
        <v>4</v>
      </c>
      <c r="C159" s="93" t="s">
        <v>351</v>
      </c>
      <c r="D159" s="93" t="s">
        <v>352</v>
      </c>
      <c r="E159" s="94" t="s">
        <v>21</v>
      </c>
      <c r="F159" s="94" t="s">
        <v>63</v>
      </c>
      <c r="G159" s="94" t="s">
        <v>54</v>
      </c>
      <c r="H159" s="94" t="s">
        <v>357</v>
      </c>
      <c r="I159" s="95"/>
      <c r="J159" s="96" t="str">
        <f>IF(E159="Invalid_Segment","Invalid",IFERROR(INDEX(Severity_Matrix!$C$3:$M$10,MATCH('Error Log'!$F159,Severity_Matrix!$B$3:$B$10,0),MATCH('Error Log'!$G159,Severity_Matrix!$C$2:$M$2,0)),"No errors"))</f>
        <v>Critical</v>
      </c>
    </row>
    <row r="160" spans="1:10" s="97" customFormat="1">
      <c r="A160" s="91" t="s">
        <v>355</v>
      </c>
      <c r="B160" s="92">
        <v>5</v>
      </c>
      <c r="C160" s="93" t="s">
        <v>351</v>
      </c>
      <c r="D160" s="93" t="s">
        <v>352</v>
      </c>
      <c r="E160" s="94" t="s">
        <v>21</v>
      </c>
      <c r="F160" s="94" t="s">
        <v>63</v>
      </c>
      <c r="G160" s="94" t="s">
        <v>54</v>
      </c>
      <c r="H160" s="94" t="s">
        <v>358</v>
      </c>
      <c r="I160" s="95"/>
      <c r="J160" s="96" t="str">
        <f>IF(E160="Invalid_Segment","Invalid",IFERROR(INDEX(Severity_Matrix!$C$3:$M$10,MATCH('Error Log'!$F160,Severity_Matrix!$B$3:$B$10,0),MATCH('Error Log'!$G160,Severity_Matrix!$C$2:$M$2,0)),"No errors"))</f>
        <v>Critical</v>
      </c>
    </row>
    <row r="161" spans="1:10" s="97" customFormat="1">
      <c r="A161" s="91" t="s">
        <v>355</v>
      </c>
      <c r="B161" s="92">
        <v>6</v>
      </c>
      <c r="C161" s="93" t="s">
        <v>351</v>
      </c>
      <c r="D161" s="93" t="s">
        <v>352</v>
      </c>
      <c r="E161" s="84" t="s">
        <v>21</v>
      </c>
      <c r="F161" s="84" t="s">
        <v>22</v>
      </c>
      <c r="G161" s="94" t="s">
        <v>57</v>
      </c>
      <c r="H161" s="94" t="s">
        <v>359</v>
      </c>
      <c r="I161" s="95"/>
      <c r="J161" s="96" t="str">
        <f>IF(E161="Invalid_Segment","Invalid",IFERROR(INDEX(Severity_Matrix!$C$3:$M$10,MATCH('Error Log'!$F161,Severity_Matrix!$B$3:$B$10,0),MATCH('Error Log'!$G161,Severity_Matrix!$C$2:$M$2,0)),"No errors"))</f>
        <v>Major</v>
      </c>
    </row>
    <row r="162" spans="1:10" s="97" customFormat="1">
      <c r="A162" s="91" t="s">
        <v>355</v>
      </c>
      <c r="B162" s="92">
        <v>7</v>
      </c>
      <c r="C162" s="93" t="s">
        <v>351</v>
      </c>
      <c r="D162" s="93" t="s">
        <v>352</v>
      </c>
      <c r="E162" s="94" t="s">
        <v>21</v>
      </c>
      <c r="F162" s="94" t="s">
        <v>7</v>
      </c>
      <c r="G162" s="94" t="s">
        <v>57</v>
      </c>
      <c r="H162" s="94" t="s">
        <v>360</v>
      </c>
      <c r="I162" s="95"/>
      <c r="J162" s="96" t="str">
        <f>IF(E162="Invalid_Segment","Invalid",IFERROR(INDEX(Severity_Matrix!$C$3:$M$10,MATCH('Error Log'!$F162,Severity_Matrix!$B$3:$B$10,0),MATCH('Error Log'!$G162,Severity_Matrix!$C$2:$M$2,0)),"No errors"))</f>
        <v>Critical</v>
      </c>
    </row>
    <row r="163" spans="1:10" s="97" customFormat="1">
      <c r="A163" s="91" t="s">
        <v>361</v>
      </c>
      <c r="B163" s="92">
        <v>1</v>
      </c>
      <c r="C163" s="93" t="s">
        <v>362</v>
      </c>
      <c r="D163" s="93" t="s">
        <v>363</v>
      </c>
      <c r="E163" s="94" t="s">
        <v>21</v>
      </c>
      <c r="F163" s="94" t="s">
        <v>63</v>
      </c>
      <c r="G163" s="94" t="s">
        <v>27</v>
      </c>
      <c r="H163" s="94" t="s">
        <v>364</v>
      </c>
      <c r="I163" s="95"/>
      <c r="J163" s="96" t="str">
        <f>IF(E163="Invalid_Segment","Invalid",IFERROR(INDEX(Severity_Matrix!$C$3:$M$10,MATCH('Error Log'!$F163,Severity_Matrix!$B$3:$B$10,0),MATCH('Error Log'!$G163,Severity_Matrix!$C$2:$M$2,0)),"No errors"))</f>
        <v>Critical</v>
      </c>
    </row>
    <row r="164" spans="1:10" s="97" customFormat="1">
      <c r="A164" s="91" t="s">
        <v>361</v>
      </c>
      <c r="B164" s="92">
        <v>2</v>
      </c>
      <c r="C164" s="93" t="s">
        <v>362</v>
      </c>
      <c r="D164" s="93" t="s">
        <v>363</v>
      </c>
      <c r="E164" s="94" t="s">
        <v>21</v>
      </c>
      <c r="F164" s="94" t="s">
        <v>22</v>
      </c>
      <c r="G164" s="94" t="s">
        <v>57</v>
      </c>
      <c r="H164" s="94" t="s">
        <v>365</v>
      </c>
      <c r="I164" s="95"/>
      <c r="J164" s="96" t="str">
        <f>IF(E164="Invalid_Segment","Invalid",IFERROR(INDEX(Severity_Matrix!$C$3:$M$10,MATCH('Error Log'!$F164,Severity_Matrix!$B$3:$B$10,0),MATCH('Error Log'!$G164,Severity_Matrix!$C$2:$M$2,0)),"No errors"))</f>
        <v>Major</v>
      </c>
    </row>
    <row r="165" spans="1:10" s="97" customFormat="1">
      <c r="A165" s="91" t="s">
        <v>361</v>
      </c>
      <c r="B165" s="92">
        <v>3</v>
      </c>
      <c r="C165" s="93" t="s">
        <v>362</v>
      </c>
      <c r="D165" s="93" t="s">
        <v>363</v>
      </c>
      <c r="E165" s="94" t="s">
        <v>21</v>
      </c>
      <c r="F165" s="94" t="s">
        <v>22</v>
      </c>
      <c r="G165" s="94" t="s">
        <v>57</v>
      </c>
      <c r="H165" s="94" t="s">
        <v>366</v>
      </c>
      <c r="I165" s="95"/>
      <c r="J165" s="96" t="str">
        <f>IF(E165="Invalid_Segment","Invalid",IFERROR(INDEX(Severity_Matrix!$C$3:$M$10,MATCH('Error Log'!$F165,Severity_Matrix!$B$3:$B$10,0),MATCH('Error Log'!$G165,Severity_Matrix!$C$2:$M$2,0)),"No errors"))</f>
        <v>Major</v>
      </c>
    </row>
    <row r="166" spans="1:10" s="97" customFormat="1">
      <c r="A166" s="91" t="s">
        <v>367</v>
      </c>
      <c r="B166" s="92">
        <v>4</v>
      </c>
      <c r="C166" s="93" t="s">
        <v>362</v>
      </c>
      <c r="D166" s="93" t="s">
        <v>363</v>
      </c>
      <c r="E166" s="94" t="s">
        <v>21</v>
      </c>
      <c r="F166" s="94" t="s">
        <v>7</v>
      </c>
      <c r="G166" s="94" t="s">
        <v>29</v>
      </c>
      <c r="H166" s="118" t="s">
        <v>368</v>
      </c>
      <c r="I166" s="95"/>
      <c r="J166" s="96" t="str">
        <f>IF(E166="Invalid_Segment","Invalid",IFERROR(INDEX(Severity_Matrix!$C$3:$M$10,MATCH('Error Log'!$F166,Severity_Matrix!$B$3:$B$10,0),MATCH('Error Log'!$G166,Severity_Matrix!$C$2:$M$2,0)),"No errors"))</f>
        <v>Critical</v>
      </c>
    </row>
    <row r="167" spans="1:10" s="97" customFormat="1">
      <c r="A167" s="91" t="s">
        <v>367</v>
      </c>
      <c r="B167" s="92">
        <v>5</v>
      </c>
      <c r="C167" s="93" t="s">
        <v>362</v>
      </c>
      <c r="D167" s="93" t="s">
        <v>363</v>
      </c>
      <c r="E167" s="94" t="s">
        <v>21</v>
      </c>
      <c r="F167" s="94" t="s">
        <v>7</v>
      </c>
      <c r="G167" s="94" t="s">
        <v>29</v>
      </c>
      <c r="H167" s="118" t="s">
        <v>369</v>
      </c>
      <c r="I167" s="95"/>
      <c r="J167" s="96" t="str">
        <f>IF(E167="Invalid_Segment","Invalid",IFERROR(INDEX(Severity_Matrix!$C$3:$M$10,MATCH('Error Log'!$F167,Severity_Matrix!$B$3:$B$10,0),MATCH('Error Log'!$G167,Severity_Matrix!$C$2:$M$2,0)),"No errors"))</f>
        <v>Critical</v>
      </c>
    </row>
    <row r="168" spans="1:10" s="97" customFormat="1">
      <c r="A168" s="91" t="s">
        <v>367</v>
      </c>
      <c r="B168" s="92">
        <v>6</v>
      </c>
      <c r="C168" s="93" t="s">
        <v>362</v>
      </c>
      <c r="D168" s="93" t="s">
        <v>363</v>
      </c>
      <c r="E168" s="94" t="s">
        <v>21</v>
      </c>
      <c r="F168" s="94" t="s">
        <v>7</v>
      </c>
      <c r="G168" s="94" t="s">
        <v>29</v>
      </c>
      <c r="H168" s="118" t="s">
        <v>370</v>
      </c>
      <c r="I168" s="95"/>
      <c r="J168" s="96" t="str">
        <f>IF(E168="Invalid_Segment","Invalid",IFERROR(INDEX(Severity_Matrix!$C$3:$M$10,MATCH('Error Log'!$F168,Severity_Matrix!$B$3:$B$10,0),MATCH('Error Log'!$G168,Severity_Matrix!$C$2:$M$2,0)),"No errors"))</f>
        <v>Critical</v>
      </c>
    </row>
    <row r="169" spans="1:10" s="97" customFormat="1">
      <c r="A169" s="91" t="s">
        <v>367</v>
      </c>
      <c r="B169" s="92">
        <v>7</v>
      </c>
      <c r="C169" s="93" t="s">
        <v>362</v>
      </c>
      <c r="D169" s="93" t="s">
        <v>363</v>
      </c>
      <c r="E169" s="94" t="s">
        <v>21</v>
      </c>
      <c r="F169" s="94" t="s">
        <v>7</v>
      </c>
      <c r="G169" s="94" t="s">
        <v>57</v>
      </c>
      <c r="H169" s="94" t="s">
        <v>371</v>
      </c>
      <c r="I169" s="95"/>
      <c r="J169" s="96" t="str">
        <f>IF(E169="Invalid_Segment","Invalid",IFERROR(INDEX(Severity_Matrix!$C$3:$M$10,MATCH('Error Log'!$F169,Severity_Matrix!$B$3:$B$10,0),MATCH('Error Log'!$G169,Severity_Matrix!$C$2:$M$2,0)),"No errors"))</f>
        <v>Critical</v>
      </c>
    </row>
    <row r="170" spans="1:10" s="97" customFormat="1">
      <c r="A170" s="91" t="s">
        <v>367</v>
      </c>
      <c r="B170" s="92">
        <v>8</v>
      </c>
      <c r="C170" s="93" t="s">
        <v>362</v>
      </c>
      <c r="D170" s="93" t="s">
        <v>363</v>
      </c>
      <c r="E170" s="94" t="s">
        <v>21</v>
      </c>
      <c r="F170" s="94" t="s">
        <v>7</v>
      </c>
      <c r="G170" s="94" t="s">
        <v>57</v>
      </c>
      <c r="H170" s="94" t="s">
        <v>372</v>
      </c>
      <c r="I170" s="95"/>
      <c r="J170" s="96" t="str">
        <f>IF(E170="Invalid_Segment","Invalid",IFERROR(INDEX(Severity_Matrix!$C$3:$M$10,MATCH('Error Log'!$F170,Severity_Matrix!$B$3:$B$10,0),MATCH('Error Log'!$G170,Severity_Matrix!$C$2:$M$2,0)),"No errors"))</f>
        <v>Critical</v>
      </c>
    </row>
    <row r="171" spans="1:10">
      <c r="A171" s="79" t="s">
        <v>373</v>
      </c>
      <c r="B171" s="18">
        <v>1</v>
      </c>
      <c r="C171" s="85" t="s">
        <v>374</v>
      </c>
      <c r="D171" s="85" t="s">
        <v>375</v>
      </c>
      <c r="E171" s="84" t="s">
        <v>21</v>
      </c>
      <c r="F171" s="84" t="s">
        <v>7</v>
      </c>
      <c r="G171" s="84" t="s">
        <v>58</v>
      </c>
      <c r="H171" s="84" t="s">
        <v>376</v>
      </c>
      <c r="I171" s="14"/>
      <c r="J171" s="15" t="str">
        <f>IF(E171="Invalid_Segment","Invalid",IFERROR(INDEX(Severity_Matrix!$C$3:$M$10,MATCH('Error Log'!$F171,Severity_Matrix!$B$3:$B$10,0),MATCH('Error Log'!$G171,Severity_Matrix!$C$2:$M$2,0)),"No errors"))</f>
        <v>Minor</v>
      </c>
    </row>
    <row r="172" spans="1:10">
      <c r="A172" s="79" t="s">
        <v>373</v>
      </c>
      <c r="B172" s="18">
        <v>2</v>
      </c>
      <c r="C172" s="85" t="s">
        <v>374</v>
      </c>
      <c r="D172" s="85" t="s">
        <v>375</v>
      </c>
      <c r="E172" s="84" t="s">
        <v>21</v>
      </c>
      <c r="F172" s="84" t="s">
        <v>7</v>
      </c>
      <c r="G172" s="84" t="s">
        <v>58</v>
      </c>
      <c r="H172" s="84" t="s">
        <v>326</v>
      </c>
      <c r="I172" s="14"/>
      <c r="J172" s="15" t="str">
        <f>IF(E172="Invalid_Segment","Invalid",IFERROR(INDEX(Severity_Matrix!$C$3:$M$10,MATCH('Error Log'!$F172,Severity_Matrix!$B$3:$B$10,0),MATCH('Error Log'!$G172,Severity_Matrix!$C$2:$M$2,0)),"No errors"))</f>
        <v>Minor</v>
      </c>
    </row>
    <row r="173" spans="1:10">
      <c r="A173" s="79" t="s">
        <v>373</v>
      </c>
      <c r="B173" s="18">
        <v>3</v>
      </c>
      <c r="C173" s="85" t="s">
        <v>374</v>
      </c>
      <c r="D173" s="85" t="s">
        <v>375</v>
      </c>
      <c r="E173" s="84" t="s">
        <v>21</v>
      </c>
      <c r="F173" s="84" t="s">
        <v>7</v>
      </c>
      <c r="G173" s="84" t="s">
        <v>54</v>
      </c>
      <c r="H173" s="84" t="s">
        <v>377</v>
      </c>
      <c r="I173" s="14"/>
      <c r="J173" s="15" t="str">
        <f>IF(E173="Invalid_Segment","Invalid",IFERROR(INDEX(Severity_Matrix!$C$3:$M$10,MATCH('Error Log'!$F173,Severity_Matrix!$B$3:$B$10,0),MATCH('Error Log'!$G173,Severity_Matrix!$C$2:$M$2,0)),"No errors"))</f>
        <v>Critical</v>
      </c>
    </row>
    <row r="174" spans="1:10">
      <c r="A174" s="79" t="s">
        <v>378</v>
      </c>
      <c r="B174" s="18">
        <v>1</v>
      </c>
      <c r="C174" s="85" t="s">
        <v>379</v>
      </c>
      <c r="D174" s="85" t="s">
        <v>380</v>
      </c>
      <c r="E174" s="84" t="s">
        <v>21</v>
      </c>
      <c r="F174" s="84" t="s">
        <v>22</v>
      </c>
      <c r="G174" s="84" t="s">
        <v>57</v>
      </c>
      <c r="H174" s="84" t="s">
        <v>381</v>
      </c>
      <c r="I174" s="14"/>
      <c r="J174" s="15" t="str">
        <f>IF(E174="Invalid_Segment","Invalid",IFERROR(INDEX(Severity_Matrix!$C$3:$M$10,MATCH('Error Log'!$F174,Severity_Matrix!$B$3:$B$10,0),MATCH('Error Log'!$G174,Severity_Matrix!$C$2:$M$2,0)),"No errors"))</f>
        <v>Major</v>
      </c>
    </row>
    <row r="175" spans="1:10">
      <c r="A175" s="79" t="s">
        <v>378</v>
      </c>
      <c r="B175" s="18">
        <v>2</v>
      </c>
      <c r="C175" s="85" t="s">
        <v>379</v>
      </c>
      <c r="D175" s="85" t="s">
        <v>380</v>
      </c>
      <c r="E175" s="84" t="s">
        <v>21</v>
      </c>
      <c r="F175" s="84" t="s">
        <v>22</v>
      </c>
      <c r="G175" s="84" t="s">
        <v>57</v>
      </c>
      <c r="H175" s="84" t="s">
        <v>382</v>
      </c>
      <c r="I175" s="14"/>
      <c r="J175" s="15" t="str">
        <f>IF(E175="Invalid_Segment","Invalid",IFERROR(INDEX(Severity_Matrix!$C$3:$M$10,MATCH('Error Log'!$F175,Severity_Matrix!$B$3:$B$10,0),MATCH('Error Log'!$G175,Severity_Matrix!$C$2:$M$2,0)),"No errors"))</f>
        <v>Major</v>
      </c>
    </row>
    <row r="176" spans="1:10">
      <c r="A176" s="79" t="s">
        <v>383</v>
      </c>
      <c r="B176" s="18">
        <v>3</v>
      </c>
      <c r="C176" s="85" t="s">
        <v>379</v>
      </c>
      <c r="D176" s="85" t="s">
        <v>380</v>
      </c>
      <c r="E176" s="84" t="s">
        <v>21</v>
      </c>
      <c r="F176" s="84" t="s">
        <v>22</v>
      </c>
      <c r="G176" s="84" t="s">
        <v>57</v>
      </c>
      <c r="H176" s="84" t="s">
        <v>384</v>
      </c>
      <c r="I176" s="14"/>
      <c r="J176" s="15" t="str">
        <f>IF(E176="Invalid_Segment","Invalid",IFERROR(INDEX(Severity_Matrix!$C$3:$M$10,MATCH('Error Log'!$F176,Severity_Matrix!$B$3:$B$10,0),MATCH('Error Log'!$G176,Severity_Matrix!$C$2:$M$2,0)),"No errors"))</f>
        <v>Major</v>
      </c>
    </row>
    <row r="177" spans="1:10">
      <c r="A177" s="79" t="s">
        <v>383</v>
      </c>
      <c r="B177" s="18">
        <v>4</v>
      </c>
      <c r="C177" s="85" t="s">
        <v>379</v>
      </c>
      <c r="D177" s="85" t="s">
        <v>380</v>
      </c>
      <c r="E177" s="84" t="s">
        <v>21</v>
      </c>
      <c r="F177" s="84" t="s">
        <v>7</v>
      </c>
      <c r="G177" s="84" t="s">
        <v>57</v>
      </c>
      <c r="H177" s="84" t="s">
        <v>385</v>
      </c>
      <c r="I177" s="14"/>
      <c r="J177" s="15" t="str">
        <f>IF(E177="Invalid_Segment","Invalid",IFERROR(INDEX(Severity_Matrix!$C$3:$M$10,MATCH('Error Log'!$F177,Severity_Matrix!$B$3:$B$10,0),MATCH('Error Log'!$G177,Severity_Matrix!$C$2:$M$2,0)),"No errors"))</f>
        <v>Critical</v>
      </c>
    </row>
    <row r="178" spans="1:10">
      <c r="A178" s="79" t="s">
        <v>383</v>
      </c>
      <c r="B178" s="18">
        <v>5</v>
      </c>
      <c r="C178" s="85" t="s">
        <v>379</v>
      </c>
      <c r="D178" s="85" t="s">
        <v>380</v>
      </c>
      <c r="E178" s="84" t="s">
        <v>21</v>
      </c>
      <c r="F178" s="84" t="s">
        <v>7</v>
      </c>
      <c r="G178" s="84" t="s">
        <v>57</v>
      </c>
      <c r="H178" s="84" t="s">
        <v>386</v>
      </c>
      <c r="I178" s="14"/>
      <c r="J178" s="15" t="str">
        <f>IF(E178="Invalid_Segment","Invalid",IFERROR(INDEX(Severity_Matrix!$C$3:$M$10,MATCH('Error Log'!$F178,Severity_Matrix!$B$3:$B$10,0),MATCH('Error Log'!$G178,Severity_Matrix!$C$2:$M$2,0)),"No errors"))</f>
        <v>Critical</v>
      </c>
    </row>
    <row r="179" spans="1:10">
      <c r="A179" s="79" t="s">
        <v>383</v>
      </c>
      <c r="B179" s="18">
        <v>6</v>
      </c>
      <c r="C179" s="85" t="s">
        <v>379</v>
      </c>
      <c r="D179" s="85" t="s">
        <v>380</v>
      </c>
      <c r="E179" s="84" t="s">
        <v>21</v>
      </c>
      <c r="F179" s="84" t="s">
        <v>7</v>
      </c>
      <c r="G179" s="84" t="s">
        <v>57</v>
      </c>
      <c r="H179" s="84" t="s">
        <v>387</v>
      </c>
      <c r="I179" s="14"/>
      <c r="J179" s="15" t="str">
        <f>IF(E179="Invalid_Segment","Invalid",IFERROR(INDEX(Severity_Matrix!$C$3:$M$10,MATCH('Error Log'!$F179,Severity_Matrix!$B$3:$B$10,0),MATCH('Error Log'!$G179,Severity_Matrix!$C$2:$M$2,0)),"No errors"))</f>
        <v>Critical</v>
      </c>
    </row>
    <row r="180" spans="1:10">
      <c r="A180" s="79" t="s">
        <v>388</v>
      </c>
      <c r="B180" s="18">
        <v>1</v>
      </c>
      <c r="C180" s="85" t="s">
        <v>389</v>
      </c>
      <c r="D180" s="85" t="s">
        <v>390</v>
      </c>
      <c r="E180" s="84" t="s">
        <v>21</v>
      </c>
      <c r="F180" s="84" t="s">
        <v>22</v>
      </c>
      <c r="G180" s="84" t="s">
        <v>57</v>
      </c>
      <c r="H180" s="84" t="s">
        <v>391</v>
      </c>
      <c r="I180" s="14"/>
      <c r="J180" s="15" t="str">
        <f>IF(E180="Invalid_Segment","Invalid",IFERROR(INDEX(Severity_Matrix!$C$3:$M$10,MATCH('Error Log'!$F180,Severity_Matrix!$B$3:$B$10,0),MATCH('Error Log'!$G180,Severity_Matrix!$C$2:$M$2,0)),"No errors"))</f>
        <v>Major</v>
      </c>
    </row>
    <row r="181" spans="1:10">
      <c r="A181" s="79" t="s">
        <v>388</v>
      </c>
      <c r="B181" s="18">
        <v>2</v>
      </c>
      <c r="C181" s="85" t="s">
        <v>389</v>
      </c>
      <c r="D181" s="85" t="s">
        <v>390</v>
      </c>
      <c r="E181" s="84" t="s">
        <v>21</v>
      </c>
      <c r="F181" s="84" t="s">
        <v>22</v>
      </c>
      <c r="G181" s="84" t="s">
        <v>57</v>
      </c>
      <c r="H181" s="84" t="s">
        <v>392</v>
      </c>
      <c r="I181" s="14"/>
      <c r="J181" s="15" t="str">
        <f>IF(E181="Invalid_Segment","Invalid",IFERROR(INDEX(Severity_Matrix!$C$3:$M$10,MATCH('Error Log'!$F181,Severity_Matrix!$B$3:$B$10,0),MATCH('Error Log'!$G181,Severity_Matrix!$C$2:$M$2,0)),"No errors"))</f>
        <v>Major</v>
      </c>
    </row>
    <row r="182" spans="1:10">
      <c r="A182" s="79" t="s">
        <v>393</v>
      </c>
      <c r="B182" s="18">
        <v>3</v>
      </c>
      <c r="C182" s="85" t="s">
        <v>389</v>
      </c>
      <c r="D182" s="85" t="s">
        <v>390</v>
      </c>
      <c r="E182" s="84" t="s">
        <v>21</v>
      </c>
      <c r="F182" s="84" t="s">
        <v>7</v>
      </c>
      <c r="G182" s="84" t="s">
        <v>57</v>
      </c>
      <c r="H182" s="84" t="s">
        <v>394</v>
      </c>
      <c r="I182" s="14"/>
      <c r="J182" s="15" t="str">
        <f>IF(E182="Invalid_Segment","Invalid",IFERROR(INDEX(Severity_Matrix!$C$3:$M$10,MATCH('Error Log'!$F182,Severity_Matrix!$B$3:$B$10,0),MATCH('Error Log'!$G182,Severity_Matrix!$C$2:$M$2,0)),"No errors"))</f>
        <v>Critical</v>
      </c>
    </row>
    <row r="183" spans="1:10">
      <c r="A183" s="79" t="s">
        <v>393</v>
      </c>
      <c r="B183" s="18">
        <v>4</v>
      </c>
      <c r="C183" s="85" t="s">
        <v>389</v>
      </c>
      <c r="D183" s="85" t="s">
        <v>390</v>
      </c>
      <c r="E183" s="84" t="s">
        <v>21</v>
      </c>
      <c r="F183" s="84" t="s">
        <v>7</v>
      </c>
      <c r="G183" s="84" t="s">
        <v>57</v>
      </c>
      <c r="H183" s="84" t="s">
        <v>395</v>
      </c>
      <c r="I183" s="14"/>
      <c r="J183" s="15" t="str">
        <f>IF(E183="Invalid_Segment","Invalid",IFERROR(INDEX(Severity_Matrix!$C$3:$M$10,MATCH('Error Log'!$F183,Severity_Matrix!$B$3:$B$10,0),MATCH('Error Log'!$G183,Severity_Matrix!$C$2:$M$2,0)),"No errors"))</f>
        <v>Critical</v>
      </c>
    </row>
    <row r="184" spans="1:10">
      <c r="A184" s="79" t="s">
        <v>396</v>
      </c>
      <c r="B184" s="18">
        <v>1</v>
      </c>
      <c r="C184" s="85" t="s">
        <v>397</v>
      </c>
      <c r="D184" s="85" t="s">
        <v>398</v>
      </c>
      <c r="E184" s="84" t="s">
        <v>21</v>
      </c>
      <c r="F184" s="84" t="s">
        <v>22</v>
      </c>
      <c r="G184" s="84" t="s">
        <v>57</v>
      </c>
      <c r="H184" s="84" t="s">
        <v>399</v>
      </c>
      <c r="I184" s="14"/>
      <c r="J184" s="15" t="str">
        <f>IF(E184="Invalid_Segment","Invalid",IFERROR(INDEX(Severity_Matrix!$C$3:$M$10,MATCH('Error Log'!$F184,Severity_Matrix!$B$3:$B$10,0),MATCH('Error Log'!$G184,Severity_Matrix!$C$2:$M$2,0)),"No errors"))</f>
        <v>Major</v>
      </c>
    </row>
    <row r="185" spans="1:10">
      <c r="A185" s="79" t="s">
        <v>396</v>
      </c>
      <c r="B185" s="18">
        <v>2</v>
      </c>
      <c r="C185" s="85" t="s">
        <v>397</v>
      </c>
      <c r="D185" s="85" t="s">
        <v>398</v>
      </c>
      <c r="E185" s="84" t="s">
        <v>21</v>
      </c>
      <c r="F185" s="84" t="s">
        <v>22</v>
      </c>
      <c r="G185" s="84" t="s">
        <v>57</v>
      </c>
      <c r="H185" s="84" t="s">
        <v>400</v>
      </c>
      <c r="I185" s="14"/>
      <c r="J185" s="15" t="str">
        <f>IF(E185="Invalid_Segment","Invalid",IFERROR(INDEX(Severity_Matrix!$C$3:$M$10,MATCH('Error Log'!$F185,Severity_Matrix!$B$3:$B$10,0),MATCH('Error Log'!$G185,Severity_Matrix!$C$2:$M$2,0)),"No errors"))</f>
        <v>Major</v>
      </c>
    </row>
    <row r="186" spans="1:10">
      <c r="A186" s="79" t="s">
        <v>401</v>
      </c>
      <c r="B186" s="18">
        <v>3</v>
      </c>
      <c r="C186" s="85" t="s">
        <v>397</v>
      </c>
      <c r="D186" s="85" t="s">
        <v>398</v>
      </c>
      <c r="E186" s="84" t="s">
        <v>21</v>
      </c>
      <c r="F186" s="84" t="s">
        <v>22</v>
      </c>
      <c r="G186" s="84" t="s">
        <v>57</v>
      </c>
      <c r="H186" s="84" t="s">
        <v>402</v>
      </c>
      <c r="I186" s="14"/>
      <c r="J186" s="15" t="str">
        <f>IF(E186="Invalid_Segment","Invalid",IFERROR(INDEX(Severity_Matrix!$C$3:$M$10,MATCH('Error Log'!$F186,Severity_Matrix!$B$3:$B$10,0),MATCH('Error Log'!$G186,Severity_Matrix!$C$2:$M$2,0)),"No errors"))</f>
        <v>Major</v>
      </c>
    </row>
    <row r="187" spans="1:10">
      <c r="A187" s="79" t="s">
        <v>401</v>
      </c>
      <c r="B187" s="18">
        <v>4</v>
      </c>
      <c r="C187" s="85" t="s">
        <v>397</v>
      </c>
      <c r="D187" s="85" t="s">
        <v>398</v>
      </c>
      <c r="E187" s="84" t="s">
        <v>21</v>
      </c>
      <c r="F187" s="84" t="s">
        <v>7</v>
      </c>
      <c r="G187" s="84" t="s">
        <v>57</v>
      </c>
      <c r="H187" s="84" t="s">
        <v>403</v>
      </c>
      <c r="I187" s="14"/>
      <c r="J187" s="15" t="str">
        <f>IF(E187="Invalid_Segment","Invalid",IFERROR(INDEX(Severity_Matrix!$C$3:$M$10,MATCH('Error Log'!$F187,Severity_Matrix!$B$3:$B$10,0),MATCH('Error Log'!$G187,Severity_Matrix!$C$2:$M$2,0)),"No errors"))</f>
        <v>Critical</v>
      </c>
    </row>
    <row r="188" spans="1:10">
      <c r="A188" s="79" t="s">
        <v>401</v>
      </c>
      <c r="B188" s="18">
        <v>5</v>
      </c>
      <c r="C188" s="85" t="s">
        <v>397</v>
      </c>
      <c r="D188" s="85" t="s">
        <v>398</v>
      </c>
      <c r="E188" s="84" t="s">
        <v>21</v>
      </c>
      <c r="F188" s="84" t="s">
        <v>7</v>
      </c>
      <c r="G188" s="84" t="s">
        <v>57</v>
      </c>
      <c r="H188" s="84" t="s">
        <v>404</v>
      </c>
      <c r="I188" s="14"/>
      <c r="J188" s="15" t="str">
        <f>IF(E188="Invalid_Segment","Invalid",IFERROR(INDEX(Severity_Matrix!$C$3:$M$10,MATCH('Error Log'!$F188,Severity_Matrix!$B$3:$B$10,0),MATCH('Error Log'!$G188,Severity_Matrix!$C$2:$M$2,0)),"No errors"))</f>
        <v>Critical</v>
      </c>
    </row>
    <row r="189" spans="1:10">
      <c r="A189" s="79" t="s">
        <v>401</v>
      </c>
      <c r="B189" s="18">
        <v>6</v>
      </c>
      <c r="C189" s="85" t="s">
        <v>397</v>
      </c>
      <c r="D189" s="85" t="s">
        <v>398</v>
      </c>
      <c r="E189" s="84" t="s">
        <v>21</v>
      </c>
      <c r="F189" s="84" t="s">
        <v>7</v>
      </c>
      <c r="G189" s="84" t="s">
        <v>57</v>
      </c>
      <c r="H189" s="84" t="s">
        <v>405</v>
      </c>
      <c r="I189" s="14"/>
      <c r="J189" s="15" t="str">
        <f>IF(E189="Invalid_Segment","Invalid",IFERROR(INDEX(Severity_Matrix!$C$3:$M$10,MATCH('Error Log'!$F189,Severity_Matrix!$B$3:$B$10,0),MATCH('Error Log'!$G189,Severity_Matrix!$C$2:$M$2,0)),"No errors"))</f>
        <v>Critical</v>
      </c>
    </row>
    <row r="190" spans="1:10">
      <c r="A190" s="79" t="s">
        <v>406</v>
      </c>
      <c r="B190" s="18">
        <v>1</v>
      </c>
      <c r="C190" s="85" t="s">
        <v>407</v>
      </c>
      <c r="D190" s="85" t="s">
        <v>408</v>
      </c>
      <c r="E190" s="84" t="s">
        <v>21</v>
      </c>
      <c r="F190" s="84" t="s">
        <v>7</v>
      </c>
      <c r="G190" s="84" t="s">
        <v>58</v>
      </c>
      <c r="H190" s="84" t="s">
        <v>409</v>
      </c>
      <c r="I190" s="14"/>
      <c r="J190" s="15" t="str">
        <f>IF(E190="Invalid_Segment","Invalid",IFERROR(INDEX(Severity_Matrix!$C$3:$M$10,MATCH('Error Log'!$F190,Severity_Matrix!$B$3:$B$10,0),MATCH('Error Log'!$G190,Severity_Matrix!$C$2:$M$2,0)),"No errors"))</f>
        <v>Minor</v>
      </c>
    </row>
    <row r="191" spans="1:10">
      <c r="A191" s="79" t="s">
        <v>406</v>
      </c>
      <c r="B191" s="18">
        <v>2</v>
      </c>
      <c r="C191" s="85" t="s">
        <v>407</v>
      </c>
      <c r="D191" s="85" t="s">
        <v>408</v>
      </c>
      <c r="E191" s="84" t="s">
        <v>21</v>
      </c>
      <c r="F191" s="84" t="s">
        <v>63</v>
      </c>
      <c r="G191" s="84" t="s">
        <v>54</v>
      </c>
      <c r="H191" s="84" t="s">
        <v>410</v>
      </c>
      <c r="I191" s="14"/>
      <c r="J191" s="15" t="str">
        <f>IF(E191="Invalid_Segment","Invalid",IFERROR(INDEX(Severity_Matrix!$C$3:$M$10,MATCH('Error Log'!$F191,Severity_Matrix!$B$3:$B$10,0),MATCH('Error Log'!$G191,Severity_Matrix!$C$2:$M$2,0)),"No errors"))</f>
        <v>Critical</v>
      </c>
    </row>
    <row r="192" spans="1:10">
      <c r="A192" s="79" t="s">
        <v>411</v>
      </c>
      <c r="B192" s="18">
        <v>3</v>
      </c>
      <c r="C192" s="85" t="s">
        <v>407</v>
      </c>
      <c r="D192" s="85" t="s">
        <v>408</v>
      </c>
      <c r="E192" s="84" t="s">
        <v>21</v>
      </c>
      <c r="F192" s="84" t="s">
        <v>22</v>
      </c>
      <c r="G192" s="84" t="s">
        <v>57</v>
      </c>
      <c r="H192" s="84" t="s">
        <v>412</v>
      </c>
      <c r="I192" s="14"/>
      <c r="J192" s="15" t="str">
        <f>IF(E192="Invalid_Segment","Invalid",IFERROR(INDEX(Severity_Matrix!$C$3:$M$10,MATCH('Error Log'!$F192,Severity_Matrix!$B$3:$B$10,0),MATCH('Error Log'!$G192,Severity_Matrix!$C$2:$M$2,0)),"No errors"))</f>
        <v>Major</v>
      </c>
    </row>
    <row r="193" spans="1:10">
      <c r="A193" s="79" t="s">
        <v>411</v>
      </c>
      <c r="B193" s="18">
        <v>4</v>
      </c>
      <c r="C193" s="85" t="s">
        <v>407</v>
      </c>
      <c r="D193" s="85" t="s">
        <v>408</v>
      </c>
      <c r="E193" s="84" t="s">
        <v>21</v>
      </c>
      <c r="F193" s="84" t="s">
        <v>22</v>
      </c>
      <c r="G193" s="84" t="s">
        <v>57</v>
      </c>
      <c r="H193" s="84" t="s">
        <v>413</v>
      </c>
      <c r="I193" s="14"/>
      <c r="J193" s="15" t="str">
        <f>IF(E193="Invalid_Segment","Invalid",IFERROR(INDEX(Severity_Matrix!$C$3:$M$10,MATCH('Error Log'!$F193,Severity_Matrix!$B$3:$B$10,0),MATCH('Error Log'!$G193,Severity_Matrix!$C$2:$M$2,0)),"No errors"))</f>
        <v>Major</v>
      </c>
    </row>
    <row r="194" spans="1:10">
      <c r="A194" s="79" t="s">
        <v>411</v>
      </c>
      <c r="B194" s="18">
        <v>5</v>
      </c>
      <c r="C194" s="85" t="s">
        <v>407</v>
      </c>
      <c r="D194" s="85" t="s">
        <v>408</v>
      </c>
      <c r="E194" s="84" t="s">
        <v>21</v>
      </c>
      <c r="F194" s="84" t="s">
        <v>7</v>
      </c>
      <c r="G194" s="84" t="s">
        <v>57</v>
      </c>
      <c r="H194" s="84" t="s">
        <v>414</v>
      </c>
      <c r="I194" s="14"/>
      <c r="J194" s="15" t="str">
        <f>IF(E194="Invalid_Segment","Invalid",IFERROR(INDEX(Severity_Matrix!$C$3:$M$10,MATCH('Error Log'!$F194,Severity_Matrix!$B$3:$B$10,0),MATCH('Error Log'!$G194,Severity_Matrix!$C$2:$M$2,0)),"No errors"))</f>
        <v>Critical</v>
      </c>
    </row>
    <row r="195" spans="1:10">
      <c r="A195" s="79" t="s">
        <v>411</v>
      </c>
      <c r="B195" s="18">
        <v>6</v>
      </c>
      <c r="C195" s="85" t="s">
        <v>407</v>
      </c>
      <c r="D195" s="85" t="s">
        <v>408</v>
      </c>
      <c r="E195" s="84" t="s">
        <v>21</v>
      </c>
      <c r="F195" s="84" t="s">
        <v>7</v>
      </c>
      <c r="G195" s="84" t="s">
        <v>57</v>
      </c>
      <c r="H195" s="84" t="s">
        <v>415</v>
      </c>
      <c r="I195" s="14"/>
      <c r="J195" s="15" t="str">
        <f>IF(E195="Invalid_Segment","Invalid",IFERROR(INDEX(Severity_Matrix!$C$3:$M$10,MATCH('Error Log'!$F195,Severity_Matrix!$B$3:$B$10,0),MATCH('Error Log'!$G195,Severity_Matrix!$C$2:$M$2,0)),"No errors"))</f>
        <v>Critical</v>
      </c>
    </row>
    <row r="196" spans="1:10" ht="14.4">
      <c r="A196" s="78" t="s">
        <v>416</v>
      </c>
      <c r="B196" s="18">
        <v>1</v>
      </c>
      <c r="C196" s="83" t="s">
        <v>417</v>
      </c>
      <c r="D196" s="78" t="s">
        <v>418</v>
      </c>
      <c r="E196" s="84" t="s">
        <v>21</v>
      </c>
      <c r="F196" s="84" t="s">
        <v>22</v>
      </c>
      <c r="G196" s="84" t="s">
        <v>57</v>
      </c>
      <c r="H196" s="84" t="s">
        <v>419</v>
      </c>
      <c r="I196" s="14"/>
      <c r="J196" s="15" t="str">
        <f>IF(E196="Invalid_Segment","Invalid",IFERROR(INDEX(Severity_Matrix!$C$3:$M$10,MATCH('Error Log'!$F196,Severity_Matrix!$B$3:$B$10,0),MATCH('Error Log'!$G196,Severity_Matrix!$C$2:$M$2,0)),"No errors"))</f>
        <v>Major</v>
      </c>
    </row>
    <row r="197" spans="1:10" ht="14.4">
      <c r="A197" s="78" t="s">
        <v>420</v>
      </c>
      <c r="B197" s="18">
        <v>2</v>
      </c>
      <c r="C197" s="83" t="s">
        <v>417</v>
      </c>
      <c r="D197" s="78" t="s">
        <v>418</v>
      </c>
      <c r="E197" s="84" t="s">
        <v>2</v>
      </c>
      <c r="F197" s="84" t="s">
        <v>26</v>
      </c>
      <c r="G197" s="84" t="s">
        <v>27</v>
      </c>
      <c r="H197" s="84" t="s">
        <v>421</v>
      </c>
      <c r="I197" s="14"/>
      <c r="J197" s="15" t="str">
        <f>IF(E197="Invalid_Segment","Invalid",IFERROR(INDEX(Severity_Matrix!$C$3:$M$10,MATCH('Error Log'!$F197,Severity_Matrix!$B$3:$B$10,0),MATCH('Error Log'!$G197,Severity_Matrix!$C$2:$M$2,0)),"No errors"))</f>
        <v>Major</v>
      </c>
    </row>
    <row r="198" spans="1:10" ht="14.4">
      <c r="A198" s="78" t="s">
        <v>420</v>
      </c>
      <c r="B198" s="18">
        <v>3</v>
      </c>
      <c r="C198" s="83" t="s">
        <v>417</v>
      </c>
      <c r="D198" s="78" t="s">
        <v>418</v>
      </c>
      <c r="E198" s="84" t="s">
        <v>21</v>
      </c>
      <c r="F198" s="84" t="s">
        <v>22</v>
      </c>
      <c r="G198" s="84" t="s">
        <v>57</v>
      </c>
      <c r="H198" s="84" t="s">
        <v>422</v>
      </c>
      <c r="I198" s="14"/>
      <c r="J198" s="15" t="str">
        <f>IF(E198="Invalid_Segment","Invalid",IFERROR(INDEX(Severity_Matrix!$C$3:$M$10,MATCH('Error Log'!$F198,Severity_Matrix!$B$3:$B$10,0),MATCH('Error Log'!$G198,Severity_Matrix!$C$2:$M$2,0)),"No errors"))</f>
        <v>Major</v>
      </c>
    </row>
    <row r="199" spans="1:10" ht="14.4">
      <c r="A199" s="78" t="s">
        <v>420</v>
      </c>
      <c r="B199" s="18">
        <v>4</v>
      </c>
      <c r="C199" s="83" t="s">
        <v>417</v>
      </c>
      <c r="D199" s="78" t="s">
        <v>418</v>
      </c>
      <c r="E199" s="84" t="s">
        <v>21</v>
      </c>
      <c r="F199" s="84" t="s">
        <v>7</v>
      </c>
      <c r="G199" s="84" t="s">
        <v>57</v>
      </c>
      <c r="H199" s="84" t="s">
        <v>423</v>
      </c>
      <c r="I199" s="14"/>
      <c r="J199" s="15" t="str">
        <f>IF(E199="Invalid_Segment","Invalid",IFERROR(INDEX(Severity_Matrix!$C$3:$M$10,MATCH('Error Log'!$F199,Severity_Matrix!$B$3:$B$10,0),MATCH('Error Log'!$G199,Severity_Matrix!$C$2:$M$2,0)),"No errors"))</f>
        <v>Critical</v>
      </c>
    </row>
    <row r="200" spans="1:10" ht="14.4">
      <c r="A200" s="78" t="s">
        <v>420</v>
      </c>
      <c r="B200" s="18">
        <v>5</v>
      </c>
      <c r="C200" s="83" t="s">
        <v>417</v>
      </c>
      <c r="D200" s="78" t="s">
        <v>418</v>
      </c>
      <c r="E200" s="84" t="s">
        <v>21</v>
      </c>
      <c r="F200" s="84" t="s">
        <v>7</v>
      </c>
      <c r="G200" s="84" t="s">
        <v>57</v>
      </c>
      <c r="H200" s="84" t="s">
        <v>424</v>
      </c>
      <c r="I200" s="14"/>
      <c r="J200" s="15" t="str">
        <f>IF(E200="Invalid_Segment","Invalid",IFERROR(INDEX(Severity_Matrix!$C$3:$M$10,MATCH('Error Log'!$F200,Severity_Matrix!$B$3:$B$10,0),MATCH('Error Log'!$G200,Severity_Matrix!$C$2:$M$2,0)),"No errors"))</f>
        <v>Critical</v>
      </c>
    </row>
    <row r="201" spans="1:10" ht="14.4">
      <c r="A201" s="78" t="s">
        <v>425</v>
      </c>
      <c r="B201" s="18">
        <v>1</v>
      </c>
      <c r="C201" s="83" t="s">
        <v>426</v>
      </c>
      <c r="D201" s="78" t="s">
        <v>427</v>
      </c>
      <c r="E201" s="84" t="s">
        <v>21</v>
      </c>
      <c r="F201" s="84" t="s">
        <v>22</v>
      </c>
      <c r="G201" s="84" t="s">
        <v>57</v>
      </c>
      <c r="H201" s="84" t="s">
        <v>428</v>
      </c>
      <c r="I201" s="84"/>
      <c r="J201" s="15" t="str">
        <f>IF(E201="Invalid_Segment","Invalid",IFERROR(INDEX(Severity_Matrix!$C$3:$M$10,MATCH('Error Log'!$F201,Severity_Matrix!$B$3:$B$10,0),MATCH('Error Log'!$G201,Severity_Matrix!$C$2:$M$2,0)),"No errors"))</f>
        <v>Major</v>
      </c>
    </row>
    <row r="202" spans="1:10" ht="14.4">
      <c r="A202" s="78" t="s">
        <v>425</v>
      </c>
      <c r="B202" s="18">
        <v>2</v>
      </c>
      <c r="C202" s="83" t="s">
        <v>426</v>
      </c>
      <c r="D202" s="78" t="s">
        <v>427</v>
      </c>
      <c r="E202" s="84" t="s">
        <v>21</v>
      </c>
      <c r="F202" s="84" t="s">
        <v>7</v>
      </c>
      <c r="G202" s="84" t="s">
        <v>57</v>
      </c>
      <c r="H202" s="84" t="s">
        <v>429</v>
      </c>
      <c r="I202" s="84"/>
      <c r="J202" s="15" t="str">
        <f>IF(E202="Invalid_Segment","Invalid",IFERROR(INDEX(Severity_Matrix!$C$3:$M$10,MATCH('Error Log'!$F202,Severity_Matrix!$B$3:$B$10,0),MATCH('Error Log'!$G202,Severity_Matrix!$C$2:$M$2,0)),"No errors"))</f>
        <v>Critical</v>
      </c>
    </row>
    <row r="203" spans="1:10" ht="14.4">
      <c r="A203" s="78" t="s">
        <v>425</v>
      </c>
      <c r="B203" s="18">
        <v>3</v>
      </c>
      <c r="C203" s="83" t="s">
        <v>426</v>
      </c>
      <c r="D203" s="78" t="s">
        <v>427</v>
      </c>
      <c r="E203" s="84" t="s">
        <v>21</v>
      </c>
      <c r="F203" s="84" t="s">
        <v>7</v>
      </c>
      <c r="G203" s="84" t="s">
        <v>57</v>
      </c>
      <c r="H203" s="84" t="s">
        <v>430</v>
      </c>
      <c r="I203" s="84"/>
      <c r="J203" s="15" t="str">
        <f>IF(E203="Invalid_Segment","Invalid",IFERROR(INDEX(Severity_Matrix!$C$3:$M$10,MATCH('Error Log'!$F203,Severity_Matrix!$B$3:$B$10,0),MATCH('Error Log'!$G203,Severity_Matrix!$C$2:$M$2,0)),"No errors"))</f>
        <v>Critical</v>
      </c>
    </row>
    <row r="204" spans="1:10" ht="14.4">
      <c r="A204" s="78" t="s">
        <v>431</v>
      </c>
      <c r="B204" s="18">
        <v>1</v>
      </c>
      <c r="C204" s="83" t="s">
        <v>432</v>
      </c>
      <c r="D204" s="78" t="s">
        <v>433</v>
      </c>
      <c r="E204" s="84" t="s">
        <v>21</v>
      </c>
      <c r="F204" s="84" t="s">
        <v>22</v>
      </c>
      <c r="G204" s="84" t="s">
        <v>57</v>
      </c>
      <c r="H204" s="84" t="s">
        <v>434</v>
      </c>
      <c r="I204" s="84"/>
      <c r="J204" s="15" t="str">
        <f>IF(E204="Invalid_Segment","Invalid",IFERROR(INDEX(Severity_Matrix!$C$3:$M$10,MATCH('Error Log'!$F204,Severity_Matrix!$B$3:$B$10,0),MATCH('Error Log'!$G204,Severity_Matrix!$C$2:$M$2,0)),"No errors"))</f>
        <v>Major</v>
      </c>
    </row>
    <row r="205" spans="1:10" ht="14.4">
      <c r="A205" s="78" t="s">
        <v>431</v>
      </c>
      <c r="B205" s="18">
        <v>2</v>
      </c>
      <c r="C205" s="83" t="s">
        <v>432</v>
      </c>
      <c r="D205" s="78" t="s">
        <v>433</v>
      </c>
      <c r="E205" s="84" t="s">
        <v>21</v>
      </c>
      <c r="F205" s="84" t="s">
        <v>7</v>
      </c>
      <c r="G205" s="84" t="s">
        <v>56</v>
      </c>
      <c r="H205" s="84" t="s">
        <v>435</v>
      </c>
      <c r="I205" s="84"/>
      <c r="J205" s="15" t="str">
        <f>IF(E205="Invalid_Segment","Invalid",IFERROR(INDEX(Severity_Matrix!$C$3:$M$10,MATCH('Error Log'!$F205,Severity_Matrix!$B$3:$B$10,0),MATCH('Error Log'!$G205,Severity_Matrix!$C$2:$M$2,0)),"No errors"))</f>
        <v>Critical</v>
      </c>
    </row>
    <row r="206" spans="1:10" ht="14.4">
      <c r="A206" s="78" t="s">
        <v>436</v>
      </c>
      <c r="B206" s="18">
        <v>3</v>
      </c>
      <c r="C206" s="83" t="s">
        <v>432</v>
      </c>
      <c r="D206" s="78" t="s">
        <v>433</v>
      </c>
      <c r="E206" s="84" t="s">
        <v>21</v>
      </c>
      <c r="F206" s="84" t="s">
        <v>7</v>
      </c>
      <c r="G206" s="84" t="s">
        <v>28</v>
      </c>
      <c r="H206" s="84" t="s">
        <v>437</v>
      </c>
      <c r="I206" s="84"/>
      <c r="J206" s="15" t="str">
        <f>IF(E206="Invalid_Segment","Invalid",IFERROR(INDEX(Severity_Matrix!$C$3:$M$10,MATCH('Error Log'!$F206,Severity_Matrix!$B$3:$B$10,0),MATCH('Error Log'!$G206,Severity_Matrix!$C$2:$M$2,0)),"No errors"))</f>
        <v>Major</v>
      </c>
    </row>
    <row r="207" spans="1:10" ht="14.4">
      <c r="A207" s="78" t="s">
        <v>436</v>
      </c>
      <c r="B207" s="18">
        <v>4</v>
      </c>
      <c r="C207" s="83" t="s">
        <v>432</v>
      </c>
      <c r="D207" s="78" t="s">
        <v>433</v>
      </c>
      <c r="E207" s="84" t="s">
        <v>21</v>
      </c>
      <c r="F207" s="84" t="s">
        <v>7</v>
      </c>
      <c r="G207" s="84" t="s">
        <v>55</v>
      </c>
      <c r="H207" s="84" t="s">
        <v>438</v>
      </c>
      <c r="I207" s="84"/>
      <c r="J207" s="15" t="str">
        <f>IF(E207="Invalid_Segment","Invalid",IFERROR(INDEX(Severity_Matrix!$C$3:$M$10,MATCH('Error Log'!$F207,Severity_Matrix!$B$3:$B$10,0),MATCH('Error Log'!$G207,Severity_Matrix!$C$2:$M$2,0)),"No errors"))</f>
        <v>Critical</v>
      </c>
    </row>
    <row r="208" spans="1:10" ht="14.4">
      <c r="A208" s="78" t="s">
        <v>436</v>
      </c>
      <c r="B208" s="18">
        <v>5</v>
      </c>
      <c r="C208" s="83" t="s">
        <v>432</v>
      </c>
      <c r="D208" s="78" t="s">
        <v>433</v>
      </c>
      <c r="E208" s="84" t="s">
        <v>21</v>
      </c>
      <c r="F208" s="84" t="s">
        <v>22</v>
      </c>
      <c r="G208" s="84" t="s">
        <v>57</v>
      </c>
      <c r="H208" s="84" t="s">
        <v>439</v>
      </c>
      <c r="I208" s="84"/>
      <c r="J208" s="15" t="str">
        <f>IF(E208="Invalid_Segment","Invalid",IFERROR(INDEX(Severity_Matrix!$C$3:$M$10,MATCH('Error Log'!$F208,Severity_Matrix!$B$3:$B$10,0),MATCH('Error Log'!$G208,Severity_Matrix!$C$2:$M$2,0)),"No errors"))</f>
        <v>Major</v>
      </c>
    </row>
    <row r="209" spans="1:10" ht="14.4">
      <c r="A209" s="78" t="s">
        <v>436</v>
      </c>
      <c r="B209" s="18">
        <v>6</v>
      </c>
      <c r="C209" s="83" t="s">
        <v>432</v>
      </c>
      <c r="D209" s="78" t="s">
        <v>433</v>
      </c>
      <c r="E209" s="84" t="s">
        <v>21</v>
      </c>
      <c r="F209" s="84" t="s">
        <v>7</v>
      </c>
      <c r="G209" s="84" t="s">
        <v>57</v>
      </c>
      <c r="H209" s="84" t="s">
        <v>440</v>
      </c>
      <c r="I209" s="84"/>
      <c r="J209" s="15" t="str">
        <f>IF(E209="Invalid_Segment","Invalid",IFERROR(INDEX(Severity_Matrix!$C$3:$M$10,MATCH('Error Log'!$F209,Severity_Matrix!$B$3:$B$10,0),MATCH('Error Log'!$G209,Severity_Matrix!$C$2:$M$2,0)),"No errors"))</f>
        <v>Critical</v>
      </c>
    </row>
    <row r="210" spans="1:10" ht="14.4">
      <c r="A210" s="78" t="s">
        <v>436</v>
      </c>
      <c r="B210" s="18">
        <v>7</v>
      </c>
      <c r="C210" s="83" t="s">
        <v>432</v>
      </c>
      <c r="D210" s="78" t="s">
        <v>433</v>
      </c>
      <c r="E210" s="84" t="s">
        <v>21</v>
      </c>
      <c r="F210" s="84" t="s">
        <v>7</v>
      </c>
      <c r="G210" s="84" t="s">
        <v>57</v>
      </c>
      <c r="H210" s="84" t="s">
        <v>441</v>
      </c>
      <c r="I210" s="84"/>
      <c r="J210" s="15" t="str">
        <f>IF(E210="Invalid_Segment","Invalid",IFERROR(INDEX(Severity_Matrix!$C$3:$M$10,MATCH('Error Log'!$F210,Severity_Matrix!$B$3:$B$10,0),MATCH('Error Log'!$G210,Severity_Matrix!$C$2:$M$2,0)),"No errors"))</f>
        <v>Critical</v>
      </c>
    </row>
    <row r="211" spans="1:10" ht="14.4">
      <c r="A211" s="78" t="s">
        <v>436</v>
      </c>
      <c r="B211" s="18">
        <v>8</v>
      </c>
      <c r="C211" s="83" t="s">
        <v>432</v>
      </c>
      <c r="D211" s="78" t="s">
        <v>433</v>
      </c>
      <c r="E211" s="84" t="s">
        <v>21</v>
      </c>
      <c r="F211" s="84" t="s">
        <v>7</v>
      </c>
      <c r="G211" s="84" t="s">
        <v>57</v>
      </c>
      <c r="H211" s="84" t="s">
        <v>442</v>
      </c>
      <c r="I211" s="84"/>
      <c r="J211" s="15" t="str">
        <f>IF(E211="Invalid_Segment","Invalid",IFERROR(INDEX(Severity_Matrix!$C$3:$M$10,MATCH('Error Log'!$F211,Severity_Matrix!$B$3:$B$10,0),MATCH('Error Log'!$G211,Severity_Matrix!$C$2:$M$2,0)),"No errors"))</f>
        <v>Critical</v>
      </c>
    </row>
    <row r="212" spans="1:10" ht="14.4">
      <c r="A212" s="78" t="s">
        <v>443</v>
      </c>
      <c r="B212" s="18">
        <v>1</v>
      </c>
      <c r="C212" s="83" t="s">
        <v>444</v>
      </c>
      <c r="D212" s="78" t="s">
        <v>445</v>
      </c>
      <c r="E212" s="84" t="s">
        <v>21</v>
      </c>
      <c r="F212" s="84" t="s">
        <v>22</v>
      </c>
      <c r="G212" s="84" t="s">
        <v>57</v>
      </c>
      <c r="H212" s="84" t="s">
        <v>446</v>
      </c>
      <c r="I212" s="84"/>
      <c r="J212" s="15" t="str">
        <f>IF(E212="Invalid_Segment","Invalid",IFERROR(INDEX(Severity_Matrix!$C$3:$M$10,MATCH('Error Log'!$F212,Severity_Matrix!$B$3:$B$10,0),MATCH('Error Log'!$G212,Severity_Matrix!$C$2:$M$2,0)),"No errors"))</f>
        <v>Major</v>
      </c>
    </row>
    <row r="213" spans="1:10" ht="14.4">
      <c r="A213" s="78" t="s">
        <v>443</v>
      </c>
      <c r="B213" s="18">
        <v>2</v>
      </c>
      <c r="C213" s="83" t="s">
        <v>444</v>
      </c>
      <c r="D213" s="78" t="s">
        <v>445</v>
      </c>
      <c r="E213" s="84" t="s">
        <v>21</v>
      </c>
      <c r="F213" s="84" t="s">
        <v>22</v>
      </c>
      <c r="G213" s="84" t="s">
        <v>57</v>
      </c>
      <c r="H213" s="84" t="s">
        <v>447</v>
      </c>
      <c r="I213" s="84"/>
      <c r="J213" s="15" t="str">
        <f>IF(E213="Invalid_Segment","Invalid",IFERROR(INDEX(Severity_Matrix!$C$3:$M$10,MATCH('Error Log'!$F213,Severity_Matrix!$B$3:$B$10,0),MATCH('Error Log'!$G213,Severity_Matrix!$C$2:$M$2,0)),"No errors"))</f>
        <v>Major</v>
      </c>
    </row>
    <row r="214" spans="1:10" ht="14.4">
      <c r="A214" s="78" t="s">
        <v>448</v>
      </c>
      <c r="B214" s="18">
        <v>3</v>
      </c>
      <c r="C214" s="83" t="s">
        <v>444</v>
      </c>
      <c r="D214" s="78" t="s">
        <v>445</v>
      </c>
      <c r="E214" s="84" t="s">
        <v>21</v>
      </c>
      <c r="F214" s="84" t="s">
        <v>7</v>
      </c>
      <c r="G214" s="84" t="s">
        <v>57</v>
      </c>
      <c r="H214" s="84" t="s">
        <v>449</v>
      </c>
      <c r="I214" s="84"/>
      <c r="J214" s="15" t="str">
        <f>IF(E214="Invalid_Segment","Invalid",IFERROR(INDEX(Severity_Matrix!$C$3:$M$10,MATCH('Error Log'!$F214,Severity_Matrix!$B$3:$B$10,0),MATCH('Error Log'!$G214,Severity_Matrix!$C$2:$M$2,0)),"No errors"))</f>
        <v>Critical</v>
      </c>
    </row>
    <row r="215" spans="1:10">
      <c r="A215" s="78" t="s">
        <v>450</v>
      </c>
      <c r="B215" s="18">
        <v>1</v>
      </c>
      <c r="C215" s="78" t="s">
        <v>451</v>
      </c>
      <c r="D215" s="78" t="s">
        <v>452</v>
      </c>
      <c r="E215" s="84" t="s">
        <v>21</v>
      </c>
      <c r="F215" s="84" t="s">
        <v>22</v>
      </c>
      <c r="G215" s="84" t="s">
        <v>57</v>
      </c>
      <c r="H215" s="84" t="s">
        <v>453</v>
      </c>
      <c r="I215" s="84"/>
      <c r="J215" s="15" t="str">
        <f>IF(E215="Invalid_Segment","Invalid",IFERROR(INDEX(Severity_Matrix!$C$3:$M$10,MATCH('Error Log'!$F215,Severity_Matrix!$B$3:$B$10,0),MATCH('Error Log'!$G215,Severity_Matrix!$C$2:$M$2,0)),"No errors"))</f>
        <v>Major</v>
      </c>
    </row>
    <row r="216" spans="1:10">
      <c r="A216" s="78" t="s">
        <v>450</v>
      </c>
      <c r="B216" s="18">
        <v>2</v>
      </c>
      <c r="C216" s="78" t="s">
        <v>451</v>
      </c>
      <c r="D216" s="78" t="s">
        <v>452</v>
      </c>
      <c r="E216" s="84" t="s">
        <v>21</v>
      </c>
      <c r="F216" s="84" t="s">
        <v>7</v>
      </c>
      <c r="G216" s="84" t="s">
        <v>57</v>
      </c>
      <c r="H216" s="84" t="s">
        <v>454</v>
      </c>
      <c r="I216" s="84"/>
      <c r="J216" s="15" t="str">
        <f>IF(E216="Invalid_Segment","Invalid",IFERROR(INDEX(Severity_Matrix!$C$3:$M$10,MATCH('Error Log'!$F216,Severity_Matrix!$B$3:$B$10,0),MATCH('Error Log'!$G216,Severity_Matrix!$C$2:$M$2,0)),"No errors"))</f>
        <v>Critical</v>
      </c>
    </row>
    <row r="217" spans="1:10">
      <c r="A217" s="78" t="s">
        <v>455</v>
      </c>
      <c r="B217" s="18">
        <v>3</v>
      </c>
      <c r="C217" s="78" t="s">
        <v>451</v>
      </c>
      <c r="D217" s="78" t="s">
        <v>452</v>
      </c>
      <c r="E217" s="84" t="s">
        <v>21</v>
      </c>
      <c r="F217" s="84" t="s">
        <v>7</v>
      </c>
      <c r="G217" s="84" t="s">
        <v>57</v>
      </c>
      <c r="H217" s="90" t="s">
        <v>456</v>
      </c>
      <c r="I217" s="84"/>
      <c r="J217" s="15" t="str">
        <f>IF(E217="Invalid_Segment","Invalid",IFERROR(INDEX(Severity_Matrix!$C$3:$M$10,MATCH('Error Log'!$F217,Severity_Matrix!$B$3:$B$10,0),MATCH('Error Log'!$G217,Severity_Matrix!$C$2:$M$2,0)),"No errors"))</f>
        <v>Critical</v>
      </c>
    </row>
    <row r="218" spans="1:10">
      <c r="A218" s="78" t="s">
        <v>457</v>
      </c>
      <c r="B218" s="18">
        <v>1</v>
      </c>
      <c r="C218" s="78" t="s">
        <v>458</v>
      </c>
      <c r="D218" s="78" t="s">
        <v>459</v>
      </c>
      <c r="E218" s="84" t="s">
        <v>21</v>
      </c>
      <c r="F218" s="84" t="s">
        <v>22</v>
      </c>
      <c r="G218" s="84" t="s">
        <v>57</v>
      </c>
      <c r="H218" s="84" t="s">
        <v>460</v>
      </c>
      <c r="I218" s="84"/>
      <c r="J218" s="15" t="str">
        <f>IF(E218="Invalid_Segment","Invalid",IFERROR(INDEX(Severity_Matrix!$C$3:$M$10,MATCH('Error Log'!$F218,Severity_Matrix!$B$3:$B$10,0),MATCH('Error Log'!$G218,Severity_Matrix!$C$2:$M$2,0)),"No errors"))</f>
        <v>Major</v>
      </c>
    </row>
    <row r="219" spans="1:10">
      <c r="A219" s="78" t="s">
        <v>457</v>
      </c>
      <c r="B219" s="18">
        <v>2</v>
      </c>
      <c r="C219" s="78" t="s">
        <v>458</v>
      </c>
      <c r="D219" s="78" t="s">
        <v>459</v>
      </c>
      <c r="E219" s="84" t="s">
        <v>21</v>
      </c>
      <c r="F219" s="84" t="s">
        <v>7</v>
      </c>
      <c r="G219" s="84" t="s">
        <v>57</v>
      </c>
      <c r="H219" s="84" t="s">
        <v>461</v>
      </c>
      <c r="I219" s="84"/>
      <c r="J219" s="15" t="str">
        <f>IF(E219="Invalid_Segment","Invalid",IFERROR(INDEX(Severity_Matrix!$C$3:$M$10,MATCH('Error Log'!$F219,Severity_Matrix!$B$3:$B$10,0),MATCH('Error Log'!$G219,Severity_Matrix!$C$2:$M$2,0)),"No errors"))</f>
        <v>Critical</v>
      </c>
    </row>
    <row r="220" spans="1:10">
      <c r="A220" s="78" t="s">
        <v>462</v>
      </c>
      <c r="B220" s="18">
        <v>3</v>
      </c>
      <c r="C220" s="78" t="s">
        <v>458</v>
      </c>
      <c r="D220" s="78" t="s">
        <v>459</v>
      </c>
      <c r="E220" s="84" t="s">
        <v>21</v>
      </c>
      <c r="F220" s="84" t="s">
        <v>7</v>
      </c>
      <c r="G220" s="84" t="s">
        <v>57</v>
      </c>
      <c r="H220" s="84" t="s">
        <v>463</v>
      </c>
      <c r="I220" s="84"/>
      <c r="J220" s="15" t="str">
        <f>IF(E220="Invalid_Segment","Invalid",IFERROR(INDEX(Severity_Matrix!$C$3:$M$10,MATCH('Error Log'!$F220,Severity_Matrix!$B$3:$B$10,0),MATCH('Error Log'!$G220,Severity_Matrix!$C$2:$M$2,0)),"No errors"))</f>
        <v>Critical</v>
      </c>
    </row>
    <row r="221" spans="1:10">
      <c r="A221" s="78" t="s">
        <v>464</v>
      </c>
      <c r="B221" s="18">
        <v>1</v>
      </c>
      <c r="C221" s="78" t="s">
        <v>465</v>
      </c>
      <c r="D221" s="78" t="s">
        <v>466</v>
      </c>
      <c r="E221" s="84" t="s">
        <v>21</v>
      </c>
      <c r="F221" s="84" t="s">
        <v>22</v>
      </c>
      <c r="G221" s="84" t="s">
        <v>57</v>
      </c>
      <c r="H221" s="84" t="s">
        <v>467</v>
      </c>
      <c r="I221" s="84"/>
      <c r="J221" s="15" t="str">
        <f>IF(E221="Invalid_Segment","Invalid",IFERROR(INDEX(Severity_Matrix!$C$3:$M$10,MATCH('Error Log'!$F221,Severity_Matrix!$B$3:$B$10,0),MATCH('Error Log'!$G221,Severity_Matrix!$C$2:$M$2,0)),"No errors"))</f>
        <v>Major</v>
      </c>
    </row>
    <row r="222" spans="1:10">
      <c r="A222" s="78" t="s">
        <v>464</v>
      </c>
      <c r="B222" s="18">
        <v>2</v>
      </c>
      <c r="C222" s="78" t="s">
        <v>465</v>
      </c>
      <c r="D222" s="78" t="s">
        <v>466</v>
      </c>
      <c r="E222" s="84" t="s">
        <v>21</v>
      </c>
      <c r="F222" s="84" t="s">
        <v>22</v>
      </c>
      <c r="G222" s="84" t="s">
        <v>57</v>
      </c>
      <c r="H222" s="84" t="s">
        <v>468</v>
      </c>
      <c r="I222" s="84"/>
      <c r="J222" s="15" t="str">
        <f>IF(E222="Invalid_Segment","Invalid",IFERROR(INDEX(Severity_Matrix!$C$3:$M$10,MATCH('Error Log'!$F222,Severity_Matrix!$B$3:$B$10,0),MATCH('Error Log'!$G222,Severity_Matrix!$C$2:$M$2,0)),"No errors"))</f>
        <v>Major</v>
      </c>
    </row>
    <row r="223" spans="1:10">
      <c r="A223" s="78" t="s">
        <v>469</v>
      </c>
      <c r="B223" s="18">
        <v>3</v>
      </c>
      <c r="C223" s="78" t="s">
        <v>465</v>
      </c>
      <c r="D223" s="78" t="s">
        <v>466</v>
      </c>
      <c r="E223" s="84" t="s">
        <v>21</v>
      </c>
      <c r="F223" s="84" t="s">
        <v>63</v>
      </c>
      <c r="G223" s="84" t="s">
        <v>54</v>
      </c>
      <c r="H223" s="84" t="s">
        <v>470</v>
      </c>
      <c r="I223" s="84"/>
      <c r="J223" s="15" t="str">
        <f>IF(E223="Invalid_Segment","Invalid",IFERROR(INDEX(Severity_Matrix!$C$3:$M$10,MATCH('Error Log'!$F223,Severity_Matrix!$B$3:$B$10,0),MATCH('Error Log'!$G223,Severity_Matrix!$C$2:$M$2,0)),"No errors"))</f>
        <v>Critical</v>
      </c>
    </row>
    <row r="224" spans="1:10">
      <c r="A224" s="78" t="s">
        <v>469</v>
      </c>
      <c r="B224" s="18">
        <v>4</v>
      </c>
      <c r="C224" s="78" t="s">
        <v>465</v>
      </c>
      <c r="D224" s="78" t="s">
        <v>466</v>
      </c>
      <c r="E224" s="84" t="s">
        <v>21</v>
      </c>
      <c r="F224" s="84" t="s">
        <v>22</v>
      </c>
      <c r="G224" s="84" t="s">
        <v>57</v>
      </c>
      <c r="H224" s="84" t="s">
        <v>471</v>
      </c>
      <c r="I224" s="84"/>
      <c r="J224" s="15" t="str">
        <f>IF(E224="Invalid_Segment","Invalid",IFERROR(INDEX(Severity_Matrix!$C$3:$M$10,MATCH('Error Log'!$F224,Severity_Matrix!$B$3:$B$10,0),MATCH('Error Log'!$G224,Severity_Matrix!$C$2:$M$2,0)),"No errors"))</f>
        <v>Major</v>
      </c>
    </row>
    <row r="225" spans="1:10">
      <c r="A225" s="78" t="s">
        <v>469</v>
      </c>
      <c r="B225" s="18">
        <v>5</v>
      </c>
      <c r="C225" s="78" t="s">
        <v>465</v>
      </c>
      <c r="D225" s="78" t="s">
        <v>466</v>
      </c>
      <c r="E225" s="84" t="s">
        <v>21</v>
      </c>
      <c r="F225" s="84" t="s">
        <v>7</v>
      </c>
      <c r="G225" s="84" t="s">
        <v>57</v>
      </c>
      <c r="H225" s="84" t="s">
        <v>472</v>
      </c>
      <c r="I225" s="84"/>
      <c r="J225" s="15" t="str">
        <f>IF(E225="Invalid_Segment","Invalid",IFERROR(INDEX(Severity_Matrix!$C$3:$M$10,MATCH('Error Log'!$F225,Severity_Matrix!$B$3:$B$10,0),MATCH('Error Log'!$G225,Severity_Matrix!$C$2:$M$2,0)),"No errors"))</f>
        <v>Critical</v>
      </c>
    </row>
    <row r="226" spans="1:10">
      <c r="A226" s="78" t="s">
        <v>469</v>
      </c>
      <c r="B226" s="18">
        <v>6</v>
      </c>
      <c r="C226" s="78" t="s">
        <v>465</v>
      </c>
      <c r="D226" s="78" t="s">
        <v>466</v>
      </c>
      <c r="E226" s="84" t="s">
        <v>21</v>
      </c>
      <c r="F226" s="84" t="s">
        <v>7</v>
      </c>
      <c r="G226" s="84" t="s">
        <v>57</v>
      </c>
      <c r="H226" s="84" t="s">
        <v>473</v>
      </c>
      <c r="I226" s="84"/>
      <c r="J226" s="15" t="str">
        <f>IF(E226="Invalid_Segment","Invalid",IFERROR(INDEX(Severity_Matrix!$C$3:$M$10,MATCH('Error Log'!$F226,Severity_Matrix!$B$3:$B$10,0),MATCH('Error Log'!$G226,Severity_Matrix!$C$2:$M$2,0)),"No errors"))</f>
        <v>Critical</v>
      </c>
    </row>
    <row r="227" spans="1:10">
      <c r="A227" s="78" t="s">
        <v>474</v>
      </c>
      <c r="B227" s="18">
        <v>1</v>
      </c>
      <c r="C227" s="78" t="s">
        <v>475</v>
      </c>
      <c r="D227" s="78" t="s">
        <v>476</v>
      </c>
      <c r="E227" s="84" t="s">
        <v>21</v>
      </c>
      <c r="F227" s="84" t="s">
        <v>7</v>
      </c>
      <c r="G227" s="84" t="s">
        <v>57</v>
      </c>
      <c r="H227" s="84" t="s">
        <v>477</v>
      </c>
      <c r="I227" s="84"/>
      <c r="J227" s="15" t="str">
        <f>IF(E227="Invalid_Segment","Invalid",IFERROR(INDEX(Severity_Matrix!$C$3:$M$10,MATCH('Error Log'!$F227,Severity_Matrix!$B$3:$B$10,0),MATCH('Error Log'!$G227,Severity_Matrix!$C$2:$M$2,0)),"No errors"))</f>
        <v>Critical</v>
      </c>
    </row>
    <row r="228" spans="1:10">
      <c r="A228" s="78" t="s">
        <v>478</v>
      </c>
      <c r="B228" s="18">
        <v>1</v>
      </c>
      <c r="C228" s="78" t="s">
        <v>479</v>
      </c>
      <c r="D228" s="78" t="s">
        <v>480</v>
      </c>
      <c r="E228" s="84" t="s">
        <v>21</v>
      </c>
      <c r="F228" s="84" t="s">
        <v>63</v>
      </c>
      <c r="G228" s="84" t="s">
        <v>54</v>
      </c>
      <c r="H228" s="84" t="s">
        <v>481</v>
      </c>
      <c r="I228" s="84"/>
      <c r="J228" s="15" t="str">
        <f>IF(E228="Invalid_Segment","Invalid",IFERROR(INDEX(Severity_Matrix!$C$3:$M$10,MATCH('Error Log'!$F228,Severity_Matrix!$B$3:$B$10,0),MATCH('Error Log'!$G228,Severity_Matrix!$C$2:$M$2,0)),"No errors"))</f>
        <v>Critical</v>
      </c>
    </row>
    <row r="229" spans="1:10">
      <c r="A229" s="78" t="s">
        <v>478</v>
      </c>
      <c r="B229" s="18">
        <v>2</v>
      </c>
      <c r="C229" s="78" t="s">
        <v>479</v>
      </c>
      <c r="D229" s="78" t="s">
        <v>480</v>
      </c>
      <c r="E229" s="84" t="s">
        <v>21</v>
      </c>
      <c r="F229" s="84" t="s">
        <v>22</v>
      </c>
      <c r="G229" s="84" t="s">
        <v>57</v>
      </c>
      <c r="H229" s="84" t="s">
        <v>482</v>
      </c>
      <c r="I229" s="84"/>
      <c r="J229" s="15" t="str">
        <f>IF(E229="Invalid_Segment","Invalid",IFERROR(INDEX(Severity_Matrix!$C$3:$M$10,MATCH('Error Log'!$F229,Severity_Matrix!$B$3:$B$10,0),MATCH('Error Log'!$G229,Severity_Matrix!$C$2:$M$2,0)),"No errors"))</f>
        <v>Major</v>
      </c>
    </row>
    <row r="230" spans="1:10">
      <c r="A230" s="78" t="s">
        <v>483</v>
      </c>
      <c r="B230" s="18">
        <v>3</v>
      </c>
      <c r="C230" s="78" t="s">
        <v>479</v>
      </c>
      <c r="D230" s="78" t="s">
        <v>480</v>
      </c>
      <c r="E230" s="84" t="s">
        <v>21</v>
      </c>
      <c r="F230" s="84" t="s">
        <v>22</v>
      </c>
      <c r="G230" s="84" t="s">
        <v>57</v>
      </c>
      <c r="H230" s="84" t="s">
        <v>484</v>
      </c>
      <c r="I230" s="84"/>
      <c r="J230" s="15" t="str">
        <f>IF(E230="Invalid_Segment","Invalid",IFERROR(INDEX(Severity_Matrix!$C$3:$M$10,MATCH('Error Log'!$F230,Severity_Matrix!$B$3:$B$10,0),MATCH('Error Log'!$G230,Severity_Matrix!$C$2:$M$2,0)),"No errors"))</f>
        <v>Major</v>
      </c>
    </row>
    <row r="231" spans="1:10">
      <c r="A231" s="78" t="s">
        <v>483</v>
      </c>
      <c r="B231" s="18">
        <v>4</v>
      </c>
      <c r="C231" s="78" t="s">
        <v>479</v>
      </c>
      <c r="D231" s="78" t="s">
        <v>480</v>
      </c>
      <c r="E231" s="84" t="s">
        <v>21</v>
      </c>
      <c r="F231" s="84" t="s">
        <v>7</v>
      </c>
      <c r="G231" s="84" t="s">
        <v>57</v>
      </c>
      <c r="H231" s="84" t="s">
        <v>485</v>
      </c>
      <c r="I231" s="84"/>
      <c r="J231" s="15" t="str">
        <f>IF(E231="Invalid_Segment","Invalid",IFERROR(INDEX(Severity_Matrix!$C$3:$M$10,MATCH('Error Log'!$F231,Severity_Matrix!$B$3:$B$10,0),MATCH('Error Log'!$G231,Severity_Matrix!$C$2:$M$2,0)),"No errors"))</f>
        <v>Critical</v>
      </c>
    </row>
    <row r="232" spans="1:10">
      <c r="A232" s="78" t="s">
        <v>486</v>
      </c>
      <c r="B232" s="18">
        <v>1</v>
      </c>
      <c r="C232" s="78" t="s">
        <v>487</v>
      </c>
      <c r="D232" s="78" t="s">
        <v>488</v>
      </c>
      <c r="E232" s="84"/>
      <c r="F232" s="84"/>
      <c r="G232" s="84"/>
      <c r="H232" s="84"/>
      <c r="I232" s="84"/>
      <c r="J232" s="15" t="str">
        <f>IF(E232="Invalid_Segment","Invalid",IFERROR(INDEX(Severity_Matrix!$C$3:$M$10,MATCH('Error Log'!$F232,Severity_Matrix!$B$3:$B$10,0),MATCH('Error Log'!$G232,Severity_Matrix!$C$2:$M$2,0)),"No errors"))</f>
        <v>No errors</v>
      </c>
    </row>
    <row r="233" spans="1:10">
      <c r="A233" s="79" t="s">
        <v>489</v>
      </c>
      <c r="B233" s="18">
        <v>1</v>
      </c>
      <c r="C233" s="85" t="s">
        <v>490</v>
      </c>
      <c r="D233" s="85" t="s">
        <v>491</v>
      </c>
      <c r="E233" s="84" t="s">
        <v>21</v>
      </c>
      <c r="F233" s="84" t="s">
        <v>22</v>
      </c>
      <c r="G233" s="84" t="s">
        <v>57</v>
      </c>
      <c r="H233" s="84" t="s">
        <v>492</v>
      </c>
      <c r="I233" s="84"/>
      <c r="J233" s="15" t="str">
        <f>IF(E233="Invalid_Segment","Invalid",IFERROR(INDEX(Severity_Matrix!$C$3:$M$10,MATCH('Error Log'!$F233,Severity_Matrix!$B$3:$B$10,0),MATCH('Error Log'!$G233,Severity_Matrix!$C$2:$M$2,0)),"No errors"))</f>
        <v>Major</v>
      </c>
    </row>
    <row r="234" spans="1:10">
      <c r="A234" s="79" t="s">
        <v>489</v>
      </c>
      <c r="B234" s="18">
        <v>2</v>
      </c>
      <c r="C234" s="85" t="s">
        <v>490</v>
      </c>
      <c r="D234" s="85" t="s">
        <v>491</v>
      </c>
      <c r="E234" s="84" t="s">
        <v>21</v>
      </c>
      <c r="F234" s="84" t="s">
        <v>7</v>
      </c>
      <c r="G234" s="84" t="s">
        <v>57</v>
      </c>
      <c r="H234" s="84" t="s">
        <v>493</v>
      </c>
      <c r="I234" s="84"/>
      <c r="J234" s="15" t="str">
        <f>IF(E234="Invalid_Segment","Invalid",IFERROR(INDEX(Severity_Matrix!$C$3:$M$10,MATCH('Error Log'!$F234,Severity_Matrix!$B$3:$B$10,0),MATCH('Error Log'!$G234,Severity_Matrix!$C$2:$M$2,0)),"No errors"))</f>
        <v>Critical</v>
      </c>
    </row>
    <row r="235" spans="1:10">
      <c r="A235" s="79" t="s">
        <v>494</v>
      </c>
      <c r="B235" s="18">
        <v>3</v>
      </c>
      <c r="C235" s="85" t="s">
        <v>490</v>
      </c>
      <c r="D235" s="85" t="s">
        <v>491</v>
      </c>
      <c r="E235" s="84" t="s">
        <v>21</v>
      </c>
      <c r="F235" s="84" t="s">
        <v>7</v>
      </c>
      <c r="G235" s="84" t="s">
        <v>57</v>
      </c>
      <c r="H235" s="84" t="s">
        <v>495</v>
      </c>
      <c r="I235" s="84"/>
      <c r="J235" s="15" t="str">
        <f>IF(E235="Invalid_Segment","Invalid",IFERROR(INDEX(Severity_Matrix!$C$3:$M$10,MATCH('Error Log'!$F235,Severity_Matrix!$B$3:$B$10,0),MATCH('Error Log'!$G235,Severity_Matrix!$C$2:$M$2,0)),"No errors"))</f>
        <v>Critical</v>
      </c>
    </row>
    <row r="236" spans="1:10">
      <c r="A236" s="79" t="s">
        <v>494</v>
      </c>
      <c r="B236" s="18">
        <v>4</v>
      </c>
      <c r="C236" s="85" t="s">
        <v>490</v>
      </c>
      <c r="D236" s="85" t="s">
        <v>491</v>
      </c>
      <c r="E236" s="84" t="s">
        <v>21</v>
      </c>
      <c r="F236" s="84" t="s">
        <v>7</v>
      </c>
      <c r="G236" s="84" t="s">
        <v>57</v>
      </c>
      <c r="H236" s="84" t="s">
        <v>496</v>
      </c>
      <c r="I236" s="84"/>
      <c r="J236" s="15" t="str">
        <f>IF(E236="Invalid_Segment","Invalid",IFERROR(INDEX(Severity_Matrix!$C$3:$M$10,MATCH('Error Log'!$F236,Severity_Matrix!$B$3:$B$10,0),MATCH('Error Log'!$G236,Severity_Matrix!$C$2:$M$2,0)),"No errors"))</f>
        <v>Critical</v>
      </c>
    </row>
    <row r="237" spans="1:10">
      <c r="A237" s="79" t="s">
        <v>497</v>
      </c>
      <c r="B237" s="18">
        <v>1</v>
      </c>
      <c r="C237" s="85" t="s">
        <v>498</v>
      </c>
      <c r="D237" s="85" t="s">
        <v>499</v>
      </c>
      <c r="E237" s="84" t="s">
        <v>21</v>
      </c>
      <c r="F237" s="84" t="s">
        <v>7</v>
      </c>
      <c r="G237" s="84" t="s">
        <v>57</v>
      </c>
      <c r="H237" s="84" t="s">
        <v>500</v>
      </c>
      <c r="I237" s="84"/>
      <c r="J237" s="15" t="str">
        <f>IF(E237="Invalid_Segment","Invalid",IFERROR(INDEX(Severity_Matrix!$C$3:$M$10,MATCH('Error Log'!$F237,Severity_Matrix!$B$3:$B$10,0),MATCH('Error Log'!$G237,Severity_Matrix!$C$2:$M$2,0)),"No errors"))</f>
        <v>Critical</v>
      </c>
    </row>
    <row r="238" spans="1:10">
      <c r="A238" s="79" t="s">
        <v>501</v>
      </c>
      <c r="B238" s="18">
        <v>1</v>
      </c>
      <c r="C238" s="85" t="s">
        <v>502</v>
      </c>
      <c r="D238" s="85" t="s">
        <v>503</v>
      </c>
      <c r="E238" s="84" t="s">
        <v>21</v>
      </c>
      <c r="F238" s="84" t="s">
        <v>64</v>
      </c>
      <c r="G238" s="84" t="s">
        <v>56</v>
      </c>
      <c r="H238" s="84" t="s">
        <v>504</v>
      </c>
      <c r="I238" s="84"/>
      <c r="J238" s="15" t="str">
        <f>IF(E238="Invalid_Segment","Invalid",IFERROR(INDEX(Severity_Matrix!$C$3:$M$10,MATCH('Error Log'!$F238,Severity_Matrix!$B$3:$B$10,0),MATCH('Error Log'!$G238,Severity_Matrix!$C$2:$M$2,0)),"No errors"))</f>
        <v>Critical</v>
      </c>
    </row>
    <row r="239" spans="1:10">
      <c r="A239" s="79" t="s">
        <v>501</v>
      </c>
      <c r="B239" s="18">
        <v>2</v>
      </c>
      <c r="C239" s="85" t="s">
        <v>502</v>
      </c>
      <c r="D239" s="85" t="s">
        <v>503</v>
      </c>
      <c r="E239" s="84" t="s">
        <v>21</v>
      </c>
      <c r="F239" s="84" t="s">
        <v>64</v>
      </c>
      <c r="G239" s="84" t="s">
        <v>55</v>
      </c>
      <c r="H239" s="84" t="s">
        <v>505</v>
      </c>
      <c r="I239" s="84"/>
      <c r="J239" s="15" t="str">
        <f>IF(E239="Invalid_Segment","Invalid",IFERROR(INDEX(Severity_Matrix!$C$3:$M$10,MATCH('Error Log'!$F239,Severity_Matrix!$B$3:$B$10,0),MATCH('Error Log'!$G239,Severity_Matrix!$C$2:$M$2,0)),"No errors"))</f>
        <v>Critical</v>
      </c>
    </row>
    <row r="240" spans="1:10">
      <c r="A240" s="79" t="s">
        <v>506</v>
      </c>
      <c r="B240" s="18">
        <v>3</v>
      </c>
      <c r="C240" s="85" t="s">
        <v>502</v>
      </c>
      <c r="D240" s="85" t="s">
        <v>503</v>
      </c>
      <c r="E240" s="84" t="s">
        <v>21</v>
      </c>
      <c r="F240" s="84" t="s">
        <v>64</v>
      </c>
      <c r="G240" s="84" t="s">
        <v>55</v>
      </c>
      <c r="H240" s="84" t="s">
        <v>507</v>
      </c>
      <c r="I240" s="84"/>
      <c r="J240" s="15" t="str">
        <f>IF(E240="Invalid_Segment","Invalid",IFERROR(INDEX(Severity_Matrix!$C$3:$M$10,MATCH('Error Log'!$F240,Severity_Matrix!$B$3:$B$10,0),MATCH('Error Log'!$G240,Severity_Matrix!$C$2:$M$2,0)),"No errors"))</f>
        <v>Critical</v>
      </c>
    </row>
    <row r="241" spans="1:10">
      <c r="A241" s="79" t="s">
        <v>506</v>
      </c>
      <c r="B241" s="18">
        <v>4</v>
      </c>
      <c r="C241" s="85" t="s">
        <v>502</v>
      </c>
      <c r="D241" s="85" t="s">
        <v>503</v>
      </c>
      <c r="E241" s="84" t="s">
        <v>21</v>
      </c>
      <c r="F241" s="84" t="s">
        <v>7</v>
      </c>
      <c r="G241" s="84" t="s">
        <v>57</v>
      </c>
      <c r="H241" s="86" t="s">
        <v>508</v>
      </c>
      <c r="I241" s="84"/>
      <c r="J241" s="15" t="str">
        <f>IF(E241="Invalid_Segment","Invalid",IFERROR(INDEX(Severity_Matrix!$C$3:$M$10,MATCH('Error Log'!$F241,Severity_Matrix!$B$3:$B$10,0),MATCH('Error Log'!$G241,Severity_Matrix!$C$2:$M$2,0)),"No errors"))</f>
        <v>Critical</v>
      </c>
    </row>
    <row r="242" spans="1:10">
      <c r="A242" s="79" t="s">
        <v>506</v>
      </c>
      <c r="B242" s="18">
        <v>5</v>
      </c>
      <c r="C242" s="85" t="s">
        <v>502</v>
      </c>
      <c r="D242" s="85" t="s">
        <v>503</v>
      </c>
      <c r="E242" s="84" t="s">
        <v>21</v>
      </c>
      <c r="F242" s="84" t="s">
        <v>7</v>
      </c>
      <c r="G242" s="84" t="s">
        <v>57</v>
      </c>
      <c r="H242" s="84" t="s">
        <v>509</v>
      </c>
      <c r="I242" s="84"/>
      <c r="J242" s="15" t="str">
        <f>IF(E242="Invalid_Segment","Invalid",IFERROR(INDEX(Severity_Matrix!$C$3:$M$10,MATCH('Error Log'!$F242,Severity_Matrix!$B$3:$B$10,0),MATCH('Error Log'!$G242,Severity_Matrix!$C$2:$M$2,0)),"No errors"))</f>
        <v>Critical</v>
      </c>
    </row>
    <row r="243" spans="1:10">
      <c r="A243" s="79" t="s">
        <v>506</v>
      </c>
      <c r="B243" s="18">
        <v>6</v>
      </c>
      <c r="C243" s="85" t="s">
        <v>502</v>
      </c>
      <c r="D243" s="85" t="s">
        <v>503</v>
      </c>
      <c r="E243" s="84" t="s">
        <v>21</v>
      </c>
      <c r="F243" s="84" t="s">
        <v>7</v>
      </c>
      <c r="G243" s="84" t="s">
        <v>57</v>
      </c>
      <c r="H243" s="84" t="s">
        <v>510</v>
      </c>
      <c r="I243" s="84"/>
      <c r="J243" s="15" t="str">
        <f>IF(E243="Invalid_Segment","Invalid",IFERROR(INDEX(Severity_Matrix!$C$3:$M$10,MATCH('Error Log'!$F243,Severity_Matrix!$B$3:$B$10,0),MATCH('Error Log'!$G243,Severity_Matrix!$C$2:$M$2,0)),"No errors"))</f>
        <v>Critical</v>
      </c>
    </row>
    <row r="244" spans="1:10">
      <c r="A244" s="79" t="s">
        <v>511</v>
      </c>
      <c r="B244" s="18">
        <v>1</v>
      </c>
      <c r="C244" s="85" t="s">
        <v>512</v>
      </c>
      <c r="D244" s="85" t="s">
        <v>513</v>
      </c>
      <c r="E244" s="84" t="s">
        <v>21</v>
      </c>
      <c r="F244" s="84" t="s">
        <v>22</v>
      </c>
      <c r="G244" s="84" t="s">
        <v>57</v>
      </c>
      <c r="H244" s="84" t="s">
        <v>514</v>
      </c>
      <c r="I244" s="84"/>
      <c r="J244" s="15" t="str">
        <f>IF(E244="Invalid_Segment","Invalid",IFERROR(INDEX(Severity_Matrix!$C$3:$M$10,MATCH('Error Log'!$F244,Severity_Matrix!$B$3:$B$10,0),MATCH('Error Log'!$G244,Severity_Matrix!$C$2:$M$2,0)),"No errors"))</f>
        <v>Major</v>
      </c>
    </row>
    <row r="245" spans="1:10">
      <c r="A245" s="79" t="s">
        <v>511</v>
      </c>
      <c r="B245" s="18">
        <v>2</v>
      </c>
      <c r="C245" s="85" t="s">
        <v>512</v>
      </c>
      <c r="D245" s="85" t="s">
        <v>513</v>
      </c>
      <c r="E245" s="84" t="s">
        <v>21</v>
      </c>
      <c r="F245" s="84" t="s">
        <v>7</v>
      </c>
      <c r="G245" s="84" t="s">
        <v>57</v>
      </c>
      <c r="H245" s="84" t="s">
        <v>515</v>
      </c>
      <c r="I245" s="84"/>
      <c r="J245" s="15" t="str">
        <f>IF(E245="Invalid_Segment","Invalid",IFERROR(INDEX(Severity_Matrix!$C$3:$M$10,MATCH('Error Log'!$F245,Severity_Matrix!$B$3:$B$10,0),MATCH('Error Log'!$G245,Severity_Matrix!$C$2:$M$2,0)),"No errors"))</f>
        <v>Critical</v>
      </c>
    </row>
    <row r="246" spans="1:10">
      <c r="A246" s="79" t="s">
        <v>516</v>
      </c>
      <c r="B246" s="18">
        <v>1</v>
      </c>
      <c r="C246" s="85" t="s">
        <v>517</v>
      </c>
      <c r="D246" s="85" t="s">
        <v>518</v>
      </c>
      <c r="E246" s="84" t="s">
        <v>21</v>
      </c>
      <c r="F246" s="84" t="s">
        <v>22</v>
      </c>
      <c r="G246" s="84" t="s">
        <v>57</v>
      </c>
      <c r="H246" s="84" t="s">
        <v>519</v>
      </c>
      <c r="I246" s="84"/>
      <c r="J246" s="15" t="str">
        <f>IF(E246="Invalid_Segment","Invalid",IFERROR(INDEX(Severity_Matrix!$C$3:$M$10,MATCH('Error Log'!$F246,Severity_Matrix!$B$3:$B$10,0),MATCH('Error Log'!$G246,Severity_Matrix!$C$2:$M$2,0)),"No errors"))</f>
        <v>Major</v>
      </c>
    </row>
    <row r="247" spans="1:10">
      <c r="A247" s="79" t="s">
        <v>516</v>
      </c>
      <c r="B247" s="18">
        <v>2</v>
      </c>
      <c r="C247" s="85" t="s">
        <v>517</v>
      </c>
      <c r="D247" s="85" t="s">
        <v>518</v>
      </c>
      <c r="E247" s="84" t="s">
        <v>21</v>
      </c>
      <c r="F247" s="84" t="s">
        <v>7</v>
      </c>
      <c r="G247" s="84" t="s">
        <v>54</v>
      </c>
      <c r="H247" s="84" t="s">
        <v>520</v>
      </c>
      <c r="I247" s="84"/>
      <c r="J247" s="15" t="str">
        <f>IF(E247="Invalid_Segment","Invalid",IFERROR(INDEX(Severity_Matrix!$C$3:$M$10,MATCH('Error Log'!$F247,Severity_Matrix!$B$3:$B$10,0),MATCH('Error Log'!$G247,Severity_Matrix!$C$2:$M$2,0)),"No errors"))</f>
        <v>Critical</v>
      </c>
    </row>
    <row r="248" spans="1:10">
      <c r="A248" s="79" t="s">
        <v>521</v>
      </c>
      <c r="B248" s="18">
        <v>3</v>
      </c>
      <c r="C248" s="85" t="s">
        <v>517</v>
      </c>
      <c r="D248" s="85" t="s">
        <v>518</v>
      </c>
      <c r="E248" s="84" t="s">
        <v>21</v>
      </c>
      <c r="F248" s="84" t="s">
        <v>7</v>
      </c>
      <c r="G248" s="84" t="s">
        <v>54</v>
      </c>
      <c r="H248" s="84" t="s">
        <v>520</v>
      </c>
      <c r="I248" s="84"/>
      <c r="J248" s="15" t="str">
        <f>IF(E248="Invalid_Segment","Invalid",IFERROR(INDEX(Severity_Matrix!$C$3:$M$10,MATCH('Error Log'!$F248,Severity_Matrix!$B$3:$B$10,0),MATCH('Error Log'!$G248,Severity_Matrix!$C$2:$M$2,0)),"No errors"))</f>
        <v>Critical</v>
      </c>
    </row>
    <row r="249" spans="1:10">
      <c r="A249" s="79" t="s">
        <v>521</v>
      </c>
      <c r="B249" s="18">
        <v>4</v>
      </c>
      <c r="C249" s="85" t="s">
        <v>517</v>
      </c>
      <c r="D249" s="85" t="s">
        <v>518</v>
      </c>
      <c r="E249" s="84" t="s">
        <v>21</v>
      </c>
      <c r="F249" s="84" t="s">
        <v>22</v>
      </c>
      <c r="G249" s="84" t="s">
        <v>57</v>
      </c>
      <c r="H249" s="84" t="s">
        <v>522</v>
      </c>
      <c r="I249" s="84"/>
      <c r="J249" s="15" t="str">
        <f>IF(E249="Invalid_Segment","Invalid",IFERROR(INDEX(Severity_Matrix!$C$3:$M$10,MATCH('Error Log'!$F249,Severity_Matrix!$B$3:$B$10,0),MATCH('Error Log'!$G249,Severity_Matrix!$C$2:$M$2,0)),"No errors"))</f>
        <v>Major</v>
      </c>
    </row>
    <row r="250" spans="1:10">
      <c r="A250" s="79" t="s">
        <v>521</v>
      </c>
      <c r="B250" s="18">
        <v>5</v>
      </c>
      <c r="C250" s="85" t="s">
        <v>517</v>
      </c>
      <c r="D250" s="85" t="s">
        <v>518</v>
      </c>
      <c r="E250" s="84" t="s">
        <v>21</v>
      </c>
      <c r="F250" s="84" t="s">
        <v>7</v>
      </c>
      <c r="G250" s="84" t="s">
        <v>57</v>
      </c>
      <c r="H250" s="84" t="s">
        <v>523</v>
      </c>
      <c r="I250" s="84"/>
      <c r="J250" s="15" t="str">
        <f>IF(E250="Invalid_Segment","Invalid",IFERROR(INDEX(Severity_Matrix!$C$3:$M$10,MATCH('Error Log'!$F250,Severity_Matrix!$B$3:$B$10,0),MATCH('Error Log'!$G250,Severity_Matrix!$C$2:$M$2,0)),"No errors"))</f>
        <v>Critical</v>
      </c>
    </row>
    <row r="251" spans="1:10">
      <c r="A251" s="79" t="s">
        <v>521</v>
      </c>
      <c r="B251" s="18">
        <v>6</v>
      </c>
      <c r="C251" s="85" t="s">
        <v>517</v>
      </c>
      <c r="D251" s="85" t="s">
        <v>518</v>
      </c>
      <c r="E251" s="84" t="s">
        <v>21</v>
      </c>
      <c r="F251" s="84" t="s">
        <v>7</v>
      </c>
      <c r="G251" s="84" t="s">
        <v>57</v>
      </c>
      <c r="H251" s="84" t="s">
        <v>524</v>
      </c>
      <c r="I251" s="84"/>
      <c r="J251" s="15" t="str">
        <f>IF(E251="Invalid_Segment","Invalid",IFERROR(INDEX(Severity_Matrix!$C$3:$M$10,MATCH('Error Log'!$F251,Severity_Matrix!$B$3:$B$10,0),MATCH('Error Log'!$G251,Severity_Matrix!$C$2:$M$2,0)),"No errors"))</f>
        <v>Critical</v>
      </c>
    </row>
    <row r="252" spans="1:10">
      <c r="A252" s="79" t="s">
        <v>521</v>
      </c>
      <c r="B252" s="18">
        <v>7</v>
      </c>
      <c r="C252" s="85" t="s">
        <v>517</v>
      </c>
      <c r="D252" s="85" t="s">
        <v>518</v>
      </c>
      <c r="E252" s="84" t="s">
        <v>21</v>
      </c>
      <c r="F252" s="84" t="s">
        <v>7</v>
      </c>
      <c r="G252" s="84" t="s">
        <v>57</v>
      </c>
      <c r="H252" s="84" t="s">
        <v>525</v>
      </c>
      <c r="I252" s="84"/>
      <c r="J252" s="15" t="str">
        <f>IF(E252="Invalid_Segment","Invalid",IFERROR(INDEX(Severity_Matrix!$C$3:$M$10,MATCH('Error Log'!$F252,Severity_Matrix!$B$3:$B$10,0),MATCH('Error Log'!$G252,Severity_Matrix!$C$2:$M$2,0)),"No errors"))</f>
        <v>Critical</v>
      </c>
    </row>
    <row r="253" spans="1:10">
      <c r="A253" s="79" t="s">
        <v>526</v>
      </c>
      <c r="B253" s="18">
        <v>1</v>
      </c>
      <c r="C253" s="85" t="s">
        <v>527</v>
      </c>
      <c r="D253" s="85" t="s">
        <v>528</v>
      </c>
      <c r="E253" s="84" t="s">
        <v>21</v>
      </c>
      <c r="F253" s="84" t="s">
        <v>22</v>
      </c>
      <c r="G253" s="84" t="s">
        <v>57</v>
      </c>
      <c r="H253" s="84" t="s">
        <v>529</v>
      </c>
      <c r="I253" s="84"/>
      <c r="J253" s="15" t="str">
        <f>IF(E253="Invalid_Segment","Invalid",IFERROR(INDEX(Severity_Matrix!$C$3:$M$10,MATCH('Error Log'!$F253,Severity_Matrix!$B$3:$B$10,0),MATCH('Error Log'!$G253,Severity_Matrix!$C$2:$M$2,0)),"No errors"))</f>
        <v>Major</v>
      </c>
    </row>
    <row r="254" spans="1:10">
      <c r="A254" s="79" t="s">
        <v>526</v>
      </c>
      <c r="B254" s="18">
        <v>2</v>
      </c>
      <c r="C254" s="85" t="s">
        <v>527</v>
      </c>
      <c r="D254" s="85" t="s">
        <v>528</v>
      </c>
      <c r="E254" s="84" t="s">
        <v>21</v>
      </c>
      <c r="F254" s="84" t="s">
        <v>22</v>
      </c>
      <c r="G254" s="84" t="s">
        <v>57</v>
      </c>
      <c r="H254" s="84" t="s">
        <v>530</v>
      </c>
      <c r="I254" s="84"/>
      <c r="J254" s="15" t="str">
        <f>IF(E254="Invalid_Segment","Invalid",IFERROR(INDEX(Severity_Matrix!$C$3:$M$10,MATCH('Error Log'!$F254,Severity_Matrix!$B$3:$B$10,0),MATCH('Error Log'!$G254,Severity_Matrix!$C$2:$M$2,0)),"No errors"))</f>
        <v>Major</v>
      </c>
    </row>
    <row r="255" spans="1:10">
      <c r="A255" s="79" t="s">
        <v>531</v>
      </c>
      <c r="B255" s="18">
        <v>3</v>
      </c>
      <c r="C255" s="85" t="s">
        <v>527</v>
      </c>
      <c r="D255" s="85" t="s">
        <v>528</v>
      </c>
      <c r="E255" s="84" t="s">
        <v>21</v>
      </c>
      <c r="F255" s="84" t="s">
        <v>63</v>
      </c>
      <c r="G255" s="84" t="s">
        <v>27</v>
      </c>
      <c r="H255" s="84" t="s">
        <v>532</v>
      </c>
      <c r="I255" s="84"/>
      <c r="J255" s="15" t="str">
        <f>IF(E255="Invalid_Segment","Invalid",IFERROR(INDEX(Severity_Matrix!$C$3:$M$10,MATCH('Error Log'!$F255,Severity_Matrix!$B$3:$B$10,0),MATCH('Error Log'!$G255,Severity_Matrix!$C$2:$M$2,0)),"No errors"))</f>
        <v>Critical</v>
      </c>
    </row>
    <row r="256" spans="1:10">
      <c r="A256" s="79" t="s">
        <v>531</v>
      </c>
      <c r="B256" s="18">
        <v>4</v>
      </c>
      <c r="C256" s="85" t="s">
        <v>527</v>
      </c>
      <c r="D256" s="85" t="s">
        <v>528</v>
      </c>
      <c r="E256" s="84" t="s">
        <v>21</v>
      </c>
      <c r="F256" s="84" t="s">
        <v>63</v>
      </c>
      <c r="G256" s="84" t="s">
        <v>27</v>
      </c>
      <c r="H256" s="84" t="s">
        <v>533</v>
      </c>
      <c r="I256" s="84"/>
      <c r="J256" s="15" t="str">
        <f>IF(E256="Invalid_Segment","Invalid",IFERROR(INDEX(Severity_Matrix!$C$3:$M$10,MATCH('Error Log'!$F256,Severity_Matrix!$B$3:$B$10,0),MATCH('Error Log'!$G256,Severity_Matrix!$C$2:$M$2,0)),"No errors"))</f>
        <v>Critical</v>
      </c>
    </row>
    <row r="257" spans="1:10">
      <c r="A257" s="79" t="s">
        <v>531</v>
      </c>
      <c r="B257" s="18">
        <v>5</v>
      </c>
      <c r="C257" s="85" t="s">
        <v>527</v>
      </c>
      <c r="D257" s="85" t="s">
        <v>528</v>
      </c>
      <c r="E257" s="84" t="s">
        <v>21</v>
      </c>
      <c r="F257" s="84" t="s">
        <v>63</v>
      </c>
      <c r="G257" s="84" t="s">
        <v>58</v>
      </c>
      <c r="H257" s="84" t="s">
        <v>193</v>
      </c>
      <c r="I257" s="84"/>
      <c r="J257" s="15" t="str">
        <f>IF(E257="Invalid_Segment","Invalid",IFERROR(INDEX(Severity_Matrix!$C$3:$M$10,MATCH('Error Log'!$F257,Severity_Matrix!$B$3:$B$10,0),MATCH('Error Log'!$G257,Severity_Matrix!$C$2:$M$2,0)),"No errors"))</f>
        <v>Minor</v>
      </c>
    </row>
    <row r="258" spans="1:10">
      <c r="A258" s="79" t="s">
        <v>531</v>
      </c>
      <c r="B258" s="18">
        <v>6</v>
      </c>
      <c r="C258" s="85" t="s">
        <v>527</v>
      </c>
      <c r="D258" s="85" t="s">
        <v>528</v>
      </c>
      <c r="E258" s="84" t="s">
        <v>21</v>
      </c>
      <c r="F258" s="84" t="s">
        <v>63</v>
      </c>
      <c r="G258" s="84" t="s">
        <v>27</v>
      </c>
      <c r="H258" s="84" t="s">
        <v>534</v>
      </c>
      <c r="I258" s="84"/>
      <c r="J258" s="15" t="str">
        <f>IF(E258="Invalid_Segment","Invalid",IFERROR(INDEX(Severity_Matrix!$C$3:$M$10,MATCH('Error Log'!$F258,Severity_Matrix!$B$3:$B$10,0),MATCH('Error Log'!$G258,Severity_Matrix!$C$2:$M$2,0)),"No errors"))</f>
        <v>Critical</v>
      </c>
    </row>
    <row r="259" spans="1:10">
      <c r="A259" s="79" t="s">
        <v>531</v>
      </c>
      <c r="B259" s="18">
        <v>7</v>
      </c>
      <c r="C259" s="85" t="s">
        <v>527</v>
      </c>
      <c r="D259" s="85" t="s">
        <v>528</v>
      </c>
      <c r="E259" s="84" t="s">
        <v>21</v>
      </c>
      <c r="F259" s="84" t="s">
        <v>63</v>
      </c>
      <c r="G259" s="84" t="s">
        <v>73</v>
      </c>
      <c r="H259" s="84" t="s">
        <v>535</v>
      </c>
      <c r="I259" s="84"/>
      <c r="J259" s="15" t="str">
        <f>IF(E259="Invalid_Segment","Invalid",IFERROR(INDEX(Severity_Matrix!$C$3:$M$10,MATCH('Error Log'!$F259,Severity_Matrix!$B$3:$B$10,0),MATCH('Error Log'!$G259,Severity_Matrix!$C$2:$M$2,0)),"No errors"))</f>
        <v>Minor</v>
      </c>
    </row>
    <row r="260" spans="1:10">
      <c r="A260" s="79" t="s">
        <v>531</v>
      </c>
      <c r="B260" s="18">
        <v>8</v>
      </c>
      <c r="C260" s="85" t="s">
        <v>527</v>
      </c>
      <c r="D260" s="85" t="s">
        <v>528</v>
      </c>
      <c r="E260" s="84" t="s">
        <v>21</v>
      </c>
      <c r="F260" s="84" t="s">
        <v>63</v>
      </c>
      <c r="G260" s="84" t="s">
        <v>27</v>
      </c>
      <c r="H260" s="84" t="s">
        <v>536</v>
      </c>
      <c r="I260" s="84"/>
      <c r="J260" s="15" t="str">
        <f>IF(E260="Invalid_Segment","Invalid",IFERROR(INDEX(Severity_Matrix!$C$3:$M$10,MATCH('Error Log'!$F260,Severity_Matrix!$B$3:$B$10,0),MATCH('Error Log'!$G260,Severity_Matrix!$C$2:$M$2,0)),"No errors"))</f>
        <v>Critical</v>
      </c>
    </row>
    <row r="261" spans="1:10">
      <c r="A261" s="79" t="s">
        <v>531</v>
      </c>
      <c r="B261" s="18">
        <v>9</v>
      </c>
      <c r="C261" s="85" t="s">
        <v>527</v>
      </c>
      <c r="D261" s="85" t="s">
        <v>528</v>
      </c>
      <c r="E261" s="84" t="s">
        <v>21</v>
      </c>
      <c r="F261" s="84" t="s">
        <v>7</v>
      </c>
      <c r="G261" s="84" t="s">
        <v>57</v>
      </c>
      <c r="H261" s="84" t="s">
        <v>537</v>
      </c>
      <c r="I261" s="84"/>
      <c r="J261" s="15" t="str">
        <f>IF(E261="Invalid_Segment","Invalid",IFERROR(INDEX(Severity_Matrix!$C$3:$M$10,MATCH('Error Log'!$F261,Severity_Matrix!$B$3:$B$10,0),MATCH('Error Log'!$G261,Severity_Matrix!$C$2:$M$2,0)),"No errors"))</f>
        <v>Critical</v>
      </c>
    </row>
    <row r="262" spans="1:10">
      <c r="A262" s="79" t="s">
        <v>531</v>
      </c>
      <c r="B262" s="18">
        <v>10</v>
      </c>
      <c r="C262" s="85" t="s">
        <v>527</v>
      </c>
      <c r="D262" s="85" t="s">
        <v>528</v>
      </c>
      <c r="E262" s="84" t="s">
        <v>21</v>
      </c>
      <c r="F262" s="84" t="s">
        <v>7</v>
      </c>
      <c r="G262" s="84" t="s">
        <v>57</v>
      </c>
      <c r="H262" s="84" t="s">
        <v>538</v>
      </c>
      <c r="I262" s="84"/>
      <c r="J262" s="15" t="str">
        <f>IF(E262="Invalid_Segment","Invalid",IFERROR(INDEX(Severity_Matrix!$C$3:$M$10,MATCH('Error Log'!$F262,Severity_Matrix!$B$3:$B$10,0),MATCH('Error Log'!$G262,Severity_Matrix!$C$2:$M$2,0)),"No errors"))</f>
        <v>Critical</v>
      </c>
    </row>
    <row r="263" spans="1:10">
      <c r="A263" s="79" t="s">
        <v>539</v>
      </c>
      <c r="B263" s="18">
        <v>1</v>
      </c>
      <c r="C263" s="85" t="s">
        <v>540</v>
      </c>
      <c r="D263" s="85" t="s">
        <v>541</v>
      </c>
      <c r="E263" s="84" t="s">
        <v>21</v>
      </c>
      <c r="F263" s="84" t="s">
        <v>7</v>
      </c>
      <c r="G263" s="84" t="s">
        <v>56</v>
      </c>
      <c r="H263" s="84" t="s">
        <v>542</v>
      </c>
      <c r="I263" s="14"/>
      <c r="J263" s="15" t="str">
        <f>IF(E263="Invalid_Segment","Invalid",IFERROR(INDEX(Severity_Matrix!$C$3:$M$10,MATCH('Error Log'!$F263,Severity_Matrix!$B$3:$B$10,0),MATCH('Error Log'!$G263,Severity_Matrix!$C$2:$M$2,0)),"No errors"))</f>
        <v>Critical</v>
      </c>
    </row>
    <row r="264" spans="1:10">
      <c r="A264" s="79" t="s">
        <v>539</v>
      </c>
      <c r="B264" s="18">
        <v>2</v>
      </c>
      <c r="C264" s="85" t="s">
        <v>540</v>
      </c>
      <c r="D264" s="85" t="s">
        <v>541</v>
      </c>
      <c r="E264" s="84" t="s">
        <v>21</v>
      </c>
      <c r="F264" s="84" t="s">
        <v>7</v>
      </c>
      <c r="G264" s="84" t="s">
        <v>58</v>
      </c>
      <c r="H264" s="84" t="s">
        <v>543</v>
      </c>
      <c r="I264" s="14"/>
      <c r="J264" s="15" t="str">
        <f>IF(E264="Invalid_Segment","Invalid",IFERROR(INDEX(Severity_Matrix!$C$3:$M$10,MATCH('Error Log'!$F264,Severity_Matrix!$B$3:$B$10,0),MATCH('Error Log'!$G264,Severity_Matrix!$C$2:$M$2,0)),"No errors"))</f>
        <v>Minor</v>
      </c>
    </row>
    <row r="265" spans="1:10">
      <c r="A265" s="79" t="s">
        <v>544</v>
      </c>
      <c r="B265" s="18">
        <v>3</v>
      </c>
      <c r="C265" s="85" t="s">
        <v>540</v>
      </c>
      <c r="D265" s="85" t="s">
        <v>541</v>
      </c>
      <c r="E265" s="84" t="s">
        <v>21</v>
      </c>
      <c r="F265" s="84" t="s">
        <v>7</v>
      </c>
      <c r="G265" s="84" t="s">
        <v>58</v>
      </c>
      <c r="H265" s="84" t="s">
        <v>409</v>
      </c>
      <c r="I265" s="14"/>
      <c r="J265" s="15" t="str">
        <f>IF(E265="Invalid_Segment","Invalid",IFERROR(INDEX(Severity_Matrix!$C$3:$M$10,MATCH('Error Log'!$F265,Severity_Matrix!$B$3:$B$10,0),MATCH('Error Log'!$G265,Severity_Matrix!$C$2:$M$2,0)),"No errors"))</f>
        <v>Minor</v>
      </c>
    </row>
    <row r="266" spans="1:10">
      <c r="A266" s="79" t="s">
        <v>544</v>
      </c>
      <c r="B266" s="18">
        <v>4</v>
      </c>
      <c r="C266" s="85" t="s">
        <v>540</v>
      </c>
      <c r="D266" s="85" t="s">
        <v>541</v>
      </c>
      <c r="E266" s="84" t="s">
        <v>21</v>
      </c>
      <c r="F266" s="84" t="s">
        <v>7</v>
      </c>
      <c r="G266" s="84" t="s">
        <v>56</v>
      </c>
      <c r="H266" s="84" t="s">
        <v>545</v>
      </c>
      <c r="I266" s="14"/>
      <c r="J266" s="15" t="str">
        <f>IF(E266="Invalid_Segment","Invalid",IFERROR(INDEX(Severity_Matrix!$C$3:$M$10,MATCH('Error Log'!$F266,Severity_Matrix!$B$3:$B$10,0),MATCH('Error Log'!$G266,Severity_Matrix!$C$2:$M$2,0)),"No errors"))</f>
        <v>Critical</v>
      </c>
    </row>
    <row r="267" spans="1:10">
      <c r="A267" s="79" t="s">
        <v>544</v>
      </c>
      <c r="B267" s="18">
        <v>5</v>
      </c>
      <c r="C267" s="85" t="s">
        <v>540</v>
      </c>
      <c r="D267" s="85" t="s">
        <v>541</v>
      </c>
      <c r="E267" s="84" t="s">
        <v>21</v>
      </c>
      <c r="F267" s="84" t="s">
        <v>22</v>
      </c>
      <c r="G267" s="84" t="s">
        <v>57</v>
      </c>
      <c r="H267" s="84" t="s">
        <v>546</v>
      </c>
      <c r="I267" s="14"/>
      <c r="J267" s="15" t="str">
        <f>IF(E267="Invalid_Segment","Invalid",IFERROR(INDEX(Severity_Matrix!$C$3:$M$10,MATCH('Error Log'!$F267,Severity_Matrix!$B$3:$B$10,0),MATCH('Error Log'!$G267,Severity_Matrix!$C$2:$M$2,0)),"No errors"))</f>
        <v>Major</v>
      </c>
    </row>
    <row r="268" spans="1:10">
      <c r="A268" s="79" t="s">
        <v>544</v>
      </c>
      <c r="B268" s="18">
        <v>6</v>
      </c>
      <c r="C268" s="85" t="s">
        <v>540</v>
      </c>
      <c r="D268" s="85" t="s">
        <v>541</v>
      </c>
      <c r="E268" s="84" t="s">
        <v>21</v>
      </c>
      <c r="F268" s="84" t="s">
        <v>22</v>
      </c>
      <c r="G268" s="84" t="s">
        <v>57</v>
      </c>
      <c r="H268" s="84" t="s">
        <v>547</v>
      </c>
      <c r="I268" s="14"/>
      <c r="J268" s="15" t="str">
        <f>IF(E268="Invalid_Segment","Invalid",IFERROR(INDEX(Severity_Matrix!$C$3:$M$10,MATCH('Error Log'!$F268,Severity_Matrix!$B$3:$B$10,0),MATCH('Error Log'!$G268,Severity_Matrix!$C$2:$M$2,0)),"No errors"))</f>
        <v>Major</v>
      </c>
    </row>
    <row r="269" spans="1:10">
      <c r="A269" s="79" t="s">
        <v>544</v>
      </c>
      <c r="B269" s="18">
        <v>7</v>
      </c>
      <c r="C269" s="85" t="s">
        <v>540</v>
      </c>
      <c r="D269" s="85" t="s">
        <v>541</v>
      </c>
      <c r="E269" s="84" t="s">
        <v>21</v>
      </c>
      <c r="F269" s="84" t="s">
        <v>7</v>
      </c>
      <c r="G269" s="84" t="s">
        <v>57</v>
      </c>
      <c r="H269" s="84" t="s">
        <v>548</v>
      </c>
      <c r="I269" s="14"/>
      <c r="J269" s="15" t="str">
        <f>IF(E269="Invalid_Segment","Invalid",IFERROR(INDEX(Severity_Matrix!$C$3:$M$10,MATCH('Error Log'!$F269,Severity_Matrix!$B$3:$B$10,0),MATCH('Error Log'!$G269,Severity_Matrix!$C$2:$M$2,0)),"No errors"))</f>
        <v>Critical</v>
      </c>
    </row>
    <row r="270" spans="1:10">
      <c r="A270" s="79" t="s">
        <v>544</v>
      </c>
      <c r="B270" s="18">
        <v>8</v>
      </c>
      <c r="C270" s="85" t="s">
        <v>540</v>
      </c>
      <c r="D270" s="85" t="s">
        <v>541</v>
      </c>
      <c r="E270" s="84" t="s">
        <v>21</v>
      </c>
      <c r="F270" s="84" t="s">
        <v>7</v>
      </c>
      <c r="G270" s="84" t="s">
        <v>57</v>
      </c>
      <c r="H270" s="84" t="s">
        <v>549</v>
      </c>
      <c r="I270" s="14"/>
      <c r="J270" s="15" t="str">
        <f>IF(E270="Invalid_Segment","Invalid",IFERROR(INDEX(Severity_Matrix!$C$3:$M$10,MATCH('Error Log'!$F270,Severity_Matrix!$B$3:$B$10,0),MATCH('Error Log'!$G270,Severity_Matrix!$C$2:$M$2,0)),"No errors"))</f>
        <v>Critical</v>
      </c>
    </row>
    <row r="271" spans="1:10">
      <c r="A271" s="79" t="s">
        <v>544</v>
      </c>
      <c r="B271" s="18">
        <v>9</v>
      </c>
      <c r="C271" s="85" t="s">
        <v>540</v>
      </c>
      <c r="D271" s="85" t="s">
        <v>541</v>
      </c>
      <c r="E271" s="84" t="s">
        <v>21</v>
      </c>
      <c r="F271" s="84" t="s">
        <v>7</v>
      </c>
      <c r="G271" s="84" t="s">
        <v>57</v>
      </c>
      <c r="H271" s="84" t="s">
        <v>550</v>
      </c>
      <c r="I271" s="14"/>
      <c r="J271" s="15" t="str">
        <f>IF(E271="Invalid_Segment","Invalid",IFERROR(INDEX(Severity_Matrix!$C$3:$M$10,MATCH('Error Log'!$F271,Severity_Matrix!$B$3:$B$10,0),MATCH('Error Log'!$G271,Severity_Matrix!$C$2:$M$2,0)),"No errors"))</f>
        <v>Critical</v>
      </c>
    </row>
    <row r="272" spans="1:10">
      <c r="A272" s="79" t="s">
        <v>551</v>
      </c>
      <c r="B272" s="18">
        <v>1</v>
      </c>
      <c r="C272" s="85" t="s">
        <v>552</v>
      </c>
      <c r="D272" s="85" t="s">
        <v>553</v>
      </c>
      <c r="E272" s="84" t="s">
        <v>21</v>
      </c>
      <c r="F272" s="84" t="s">
        <v>63</v>
      </c>
      <c r="G272" s="84" t="s">
        <v>28</v>
      </c>
      <c r="H272" s="84" t="s">
        <v>554</v>
      </c>
      <c r="I272" s="14"/>
      <c r="J272" s="15" t="str">
        <f>IF(E272="Invalid_Segment","Invalid",IFERROR(INDEX(Severity_Matrix!$C$3:$M$10,MATCH('Error Log'!$F272,Severity_Matrix!$B$3:$B$10,0),MATCH('Error Log'!$G272,Severity_Matrix!$C$2:$M$2,0)),"No errors"))</f>
        <v>Major</v>
      </c>
    </row>
    <row r="273" spans="1:10">
      <c r="A273" s="79" t="s">
        <v>551</v>
      </c>
      <c r="B273" s="18">
        <v>2</v>
      </c>
      <c r="C273" s="85" t="s">
        <v>555</v>
      </c>
      <c r="D273" s="85" t="s">
        <v>556</v>
      </c>
      <c r="E273" s="84" t="s">
        <v>21</v>
      </c>
      <c r="F273" s="84" t="s">
        <v>22</v>
      </c>
      <c r="G273" s="84" t="s">
        <v>27</v>
      </c>
      <c r="H273" s="84" t="s">
        <v>557</v>
      </c>
      <c r="I273" s="14"/>
      <c r="J273" s="15" t="str">
        <f>IF(E273="Invalid_Segment","Invalid",IFERROR(INDEX(Severity_Matrix!$C$3:$M$10,MATCH('Error Log'!$F273,Severity_Matrix!$B$3:$B$10,0),MATCH('Error Log'!$G273,Severity_Matrix!$C$2:$M$2,0)),"No errors"))</f>
        <v>Major</v>
      </c>
    </row>
    <row r="274" spans="1:10">
      <c r="A274" s="79" t="s">
        <v>558</v>
      </c>
      <c r="B274" s="18">
        <v>3</v>
      </c>
      <c r="C274" s="85" t="s">
        <v>559</v>
      </c>
      <c r="D274" s="85" t="s">
        <v>560</v>
      </c>
      <c r="E274" s="84" t="s">
        <v>21</v>
      </c>
      <c r="F274" s="84" t="s">
        <v>22</v>
      </c>
      <c r="G274" s="84" t="s">
        <v>58</v>
      </c>
      <c r="H274" s="84" t="s">
        <v>561</v>
      </c>
      <c r="I274" s="14"/>
      <c r="J274" s="15" t="str">
        <f>IF(E274="Invalid_Segment","Invalid",IFERROR(INDEX(Severity_Matrix!$C$3:$M$10,MATCH('Error Log'!$F274,Severity_Matrix!$B$3:$B$10,0),MATCH('Error Log'!$G274,Severity_Matrix!$C$2:$M$2,0)),"No errors"))</f>
        <v>Minor</v>
      </c>
    </row>
    <row r="275" spans="1:10">
      <c r="A275" s="79" t="s">
        <v>558</v>
      </c>
      <c r="B275" s="18">
        <v>4</v>
      </c>
      <c r="C275" s="85" t="s">
        <v>562</v>
      </c>
      <c r="D275" s="85" t="s">
        <v>563</v>
      </c>
      <c r="E275" s="84" t="s">
        <v>21</v>
      </c>
      <c r="F275" s="84" t="s">
        <v>22</v>
      </c>
      <c r="G275" s="84" t="s">
        <v>56</v>
      </c>
      <c r="H275" s="84" t="s">
        <v>564</v>
      </c>
      <c r="I275" s="14"/>
      <c r="J275" s="15" t="str">
        <f>IF(E275="Invalid_Segment","Invalid",IFERROR(INDEX(Severity_Matrix!$C$3:$M$10,MATCH('Error Log'!$F275,Severity_Matrix!$B$3:$B$10,0),MATCH('Error Log'!$G275,Severity_Matrix!$C$2:$M$2,0)),"No errors"))</f>
        <v>Critical</v>
      </c>
    </row>
    <row r="276" spans="1:10">
      <c r="A276" s="79" t="s">
        <v>558</v>
      </c>
      <c r="B276" s="18">
        <v>5</v>
      </c>
      <c r="C276" s="85" t="s">
        <v>565</v>
      </c>
      <c r="D276" s="85" t="s">
        <v>566</v>
      </c>
      <c r="E276" s="84" t="s">
        <v>21</v>
      </c>
      <c r="F276" s="84" t="s">
        <v>22</v>
      </c>
      <c r="G276" s="84" t="s">
        <v>58</v>
      </c>
      <c r="H276" s="84" t="s">
        <v>326</v>
      </c>
      <c r="I276" s="14"/>
      <c r="J276" s="15" t="str">
        <f>IF(E276="Invalid_Segment","Invalid",IFERROR(INDEX(Severity_Matrix!$C$3:$M$10,MATCH('Error Log'!$F276,Severity_Matrix!$B$3:$B$10,0),MATCH('Error Log'!$G276,Severity_Matrix!$C$2:$M$2,0)),"No errors"))</f>
        <v>Minor</v>
      </c>
    </row>
    <row r="277" spans="1:10">
      <c r="A277" s="79" t="s">
        <v>558</v>
      </c>
      <c r="B277" s="18">
        <v>6</v>
      </c>
      <c r="C277" s="85" t="s">
        <v>567</v>
      </c>
      <c r="D277" s="85" t="s">
        <v>568</v>
      </c>
      <c r="E277" s="84" t="s">
        <v>21</v>
      </c>
      <c r="F277" s="84" t="s">
        <v>22</v>
      </c>
      <c r="G277" s="84" t="s">
        <v>28</v>
      </c>
      <c r="H277" s="84" t="s">
        <v>569</v>
      </c>
      <c r="I277" s="14"/>
      <c r="J277" s="15" t="str">
        <f>IF(E277="Invalid_Segment","Invalid",IFERROR(INDEX(Severity_Matrix!$C$3:$M$10,MATCH('Error Log'!$F277,Severity_Matrix!$B$3:$B$10,0),MATCH('Error Log'!$G277,Severity_Matrix!$C$2:$M$2,0)),"No errors"))</f>
        <v>Major</v>
      </c>
    </row>
    <row r="278" spans="1:10">
      <c r="A278" s="79" t="s">
        <v>558</v>
      </c>
      <c r="B278" s="18">
        <v>7</v>
      </c>
      <c r="C278" s="85" t="s">
        <v>570</v>
      </c>
      <c r="D278" s="85" t="s">
        <v>571</v>
      </c>
      <c r="E278" s="84" t="s">
        <v>21</v>
      </c>
      <c r="F278" s="84" t="s">
        <v>22</v>
      </c>
      <c r="G278" s="84" t="s">
        <v>28</v>
      </c>
      <c r="H278" s="84" t="s">
        <v>572</v>
      </c>
      <c r="I278" s="14"/>
      <c r="J278" s="15" t="str">
        <f>IF(E278="Invalid_Segment","Invalid",IFERROR(INDEX(Severity_Matrix!$C$3:$M$10,MATCH('Error Log'!$F278,Severity_Matrix!$B$3:$B$10,0),MATCH('Error Log'!$G278,Severity_Matrix!$C$2:$M$2,0)),"No errors"))</f>
        <v>Major</v>
      </c>
    </row>
    <row r="279" spans="1:10">
      <c r="A279" s="79" t="s">
        <v>558</v>
      </c>
      <c r="B279" s="18">
        <v>8</v>
      </c>
      <c r="C279" s="85" t="s">
        <v>573</v>
      </c>
      <c r="D279" s="85" t="s">
        <v>574</v>
      </c>
      <c r="E279" s="84" t="s">
        <v>21</v>
      </c>
      <c r="F279" s="84" t="s">
        <v>22</v>
      </c>
      <c r="G279" s="84" t="s">
        <v>55</v>
      </c>
      <c r="H279" s="84" t="s">
        <v>575</v>
      </c>
      <c r="I279" s="14"/>
      <c r="J279" s="15" t="str">
        <f>IF(E279="Invalid_Segment","Invalid",IFERROR(INDEX(Severity_Matrix!$C$3:$M$10,MATCH('Error Log'!$F279,Severity_Matrix!$B$3:$B$10,0),MATCH('Error Log'!$G279,Severity_Matrix!$C$2:$M$2,0)),"No errors"))</f>
        <v>Critical</v>
      </c>
    </row>
    <row r="280" spans="1:10">
      <c r="A280" s="79" t="s">
        <v>558</v>
      </c>
      <c r="B280" s="18">
        <v>9</v>
      </c>
      <c r="C280" s="85" t="s">
        <v>576</v>
      </c>
      <c r="D280" s="85" t="s">
        <v>577</v>
      </c>
      <c r="E280" s="84" t="s">
        <v>21</v>
      </c>
      <c r="F280" s="84" t="s">
        <v>22</v>
      </c>
      <c r="G280" s="84" t="s">
        <v>58</v>
      </c>
      <c r="H280" s="84" t="s">
        <v>326</v>
      </c>
      <c r="I280" s="14"/>
      <c r="J280" s="15" t="str">
        <f>IF(E280="Invalid_Segment","Invalid",IFERROR(INDEX(Severity_Matrix!$C$3:$M$10,MATCH('Error Log'!$F280,Severity_Matrix!$B$3:$B$10,0),MATCH('Error Log'!$G280,Severity_Matrix!$C$2:$M$2,0)),"No errors"))</f>
        <v>Minor</v>
      </c>
    </row>
    <row r="281" spans="1:10">
      <c r="A281" s="79" t="s">
        <v>558</v>
      </c>
      <c r="B281" s="18">
        <v>10</v>
      </c>
      <c r="C281" s="85" t="s">
        <v>578</v>
      </c>
      <c r="D281" s="85" t="s">
        <v>579</v>
      </c>
      <c r="E281" s="84" t="s">
        <v>21</v>
      </c>
      <c r="F281" s="84" t="s">
        <v>22</v>
      </c>
      <c r="G281" s="84" t="s">
        <v>29</v>
      </c>
      <c r="H281" s="84" t="s">
        <v>580</v>
      </c>
      <c r="I281" s="14"/>
      <c r="J281" s="15" t="str">
        <f>IF(E281="Invalid_Segment","Invalid",IFERROR(INDEX(Severity_Matrix!$C$3:$M$10,MATCH('Error Log'!$F281,Severity_Matrix!$B$3:$B$10,0),MATCH('Error Log'!$G281,Severity_Matrix!$C$2:$M$2,0)),"No errors"))</f>
        <v>Major</v>
      </c>
    </row>
    <row r="282" spans="1:10">
      <c r="A282" s="79" t="s">
        <v>558</v>
      </c>
      <c r="B282" s="18">
        <v>11</v>
      </c>
      <c r="C282" s="85" t="s">
        <v>581</v>
      </c>
      <c r="D282" s="85" t="s">
        <v>582</v>
      </c>
      <c r="E282" s="84" t="s">
        <v>21</v>
      </c>
      <c r="F282" s="84" t="s">
        <v>22</v>
      </c>
      <c r="G282" s="84" t="s">
        <v>29</v>
      </c>
      <c r="H282" s="84" t="s">
        <v>583</v>
      </c>
      <c r="I282" s="14"/>
      <c r="J282" s="15" t="str">
        <f>IF(E282="Invalid_Segment","Invalid",IFERROR(INDEX(Severity_Matrix!$C$3:$M$10,MATCH('Error Log'!$F282,Severity_Matrix!$B$3:$B$10,0),MATCH('Error Log'!$G282,Severity_Matrix!$C$2:$M$2,0)),"No errors"))</f>
        <v>Major</v>
      </c>
    </row>
    <row r="283" spans="1:10">
      <c r="A283" s="79" t="s">
        <v>558</v>
      </c>
      <c r="B283" s="18">
        <v>12</v>
      </c>
      <c r="C283" s="85" t="s">
        <v>584</v>
      </c>
      <c r="D283" s="85" t="s">
        <v>585</v>
      </c>
      <c r="E283" s="84" t="s">
        <v>21</v>
      </c>
      <c r="F283" s="84" t="s">
        <v>22</v>
      </c>
      <c r="G283" s="84" t="s">
        <v>58</v>
      </c>
      <c r="H283" s="84" t="s">
        <v>215</v>
      </c>
      <c r="I283" s="14"/>
      <c r="J283" s="15" t="str">
        <f>IF(E283="Invalid_Segment","Invalid",IFERROR(INDEX(Severity_Matrix!$C$3:$M$10,MATCH('Error Log'!$F283,Severity_Matrix!$B$3:$B$10,0),MATCH('Error Log'!$G283,Severity_Matrix!$C$2:$M$2,0)),"No errors"))</f>
        <v>Minor</v>
      </c>
    </row>
    <row r="284" spans="1:10">
      <c r="A284" s="79" t="s">
        <v>558</v>
      </c>
      <c r="B284" s="18">
        <v>13</v>
      </c>
      <c r="C284" s="85" t="s">
        <v>586</v>
      </c>
      <c r="D284" s="85" t="s">
        <v>587</v>
      </c>
      <c r="E284" s="84" t="s">
        <v>21</v>
      </c>
      <c r="F284" s="84" t="s">
        <v>22</v>
      </c>
      <c r="G284" s="84" t="s">
        <v>58</v>
      </c>
      <c r="H284" s="84" t="s">
        <v>326</v>
      </c>
      <c r="I284" s="14"/>
      <c r="J284" s="15" t="str">
        <f>IF(E284="Invalid_Segment","Invalid",IFERROR(INDEX(Severity_Matrix!$C$3:$M$10,MATCH('Error Log'!$F284,Severity_Matrix!$B$3:$B$10,0),MATCH('Error Log'!$G284,Severity_Matrix!$C$2:$M$2,0)),"No errors"))</f>
        <v>Minor</v>
      </c>
    </row>
    <row r="285" spans="1:10">
      <c r="A285" s="79" t="s">
        <v>558</v>
      </c>
      <c r="B285" s="18">
        <v>14</v>
      </c>
      <c r="C285" s="85" t="s">
        <v>588</v>
      </c>
      <c r="D285" s="85" t="s">
        <v>589</v>
      </c>
      <c r="E285" s="84" t="s">
        <v>21</v>
      </c>
      <c r="F285" s="84" t="s">
        <v>22</v>
      </c>
      <c r="G285" s="84" t="s">
        <v>29</v>
      </c>
      <c r="H285" s="84" t="s">
        <v>590</v>
      </c>
      <c r="I285" s="14"/>
      <c r="J285" s="15" t="str">
        <f>IF(E285="Invalid_Segment","Invalid",IFERROR(INDEX(Severity_Matrix!$C$3:$M$10,MATCH('Error Log'!$F285,Severity_Matrix!$B$3:$B$10,0),MATCH('Error Log'!$G285,Severity_Matrix!$C$2:$M$2,0)),"No errors"))</f>
        <v>Major</v>
      </c>
    </row>
    <row r="286" spans="1:10">
      <c r="A286" s="79" t="s">
        <v>558</v>
      </c>
      <c r="B286" s="18">
        <v>15</v>
      </c>
      <c r="C286" s="85" t="s">
        <v>591</v>
      </c>
      <c r="D286" s="85" t="s">
        <v>592</v>
      </c>
      <c r="E286" s="84" t="s">
        <v>21</v>
      </c>
      <c r="F286" s="84" t="s">
        <v>22</v>
      </c>
      <c r="G286" s="84" t="s">
        <v>54</v>
      </c>
      <c r="H286" s="84" t="s">
        <v>593</v>
      </c>
      <c r="I286" s="14"/>
      <c r="J286" s="15" t="str">
        <f>IF(E286="Invalid_Segment","Invalid",IFERROR(INDEX(Severity_Matrix!$C$3:$M$10,MATCH('Error Log'!$F286,Severity_Matrix!$B$3:$B$10,0),MATCH('Error Log'!$G286,Severity_Matrix!$C$2:$M$2,0)),"No errors"))</f>
        <v>Critical</v>
      </c>
    </row>
    <row r="287" spans="1:10">
      <c r="A287" s="79" t="s">
        <v>558</v>
      </c>
      <c r="B287" s="18">
        <v>16</v>
      </c>
      <c r="C287" s="85" t="s">
        <v>594</v>
      </c>
      <c r="D287" s="85" t="s">
        <v>595</v>
      </c>
      <c r="E287" s="84" t="s">
        <v>21</v>
      </c>
      <c r="F287" s="84" t="s">
        <v>22</v>
      </c>
      <c r="G287" s="84" t="s">
        <v>58</v>
      </c>
      <c r="H287" s="84" t="s">
        <v>535</v>
      </c>
      <c r="I287" s="14"/>
      <c r="J287" s="15" t="str">
        <f>IF(E287="Invalid_Segment","Invalid",IFERROR(INDEX(Severity_Matrix!$C$3:$M$10,MATCH('Error Log'!$F287,Severity_Matrix!$B$3:$B$10,0),MATCH('Error Log'!$G287,Severity_Matrix!$C$2:$M$2,0)),"No errors"))</f>
        <v>Minor</v>
      </c>
    </row>
    <row r="288" spans="1:10">
      <c r="A288" s="79" t="s">
        <v>558</v>
      </c>
      <c r="B288" s="18">
        <v>17</v>
      </c>
      <c r="C288" s="85" t="s">
        <v>596</v>
      </c>
      <c r="D288" s="85" t="s">
        <v>597</v>
      </c>
      <c r="E288" s="84" t="s">
        <v>21</v>
      </c>
      <c r="F288" s="84" t="s">
        <v>22</v>
      </c>
      <c r="G288" s="84" t="s">
        <v>29</v>
      </c>
      <c r="H288" s="84">
        <v>12</v>
      </c>
      <c r="I288" s="14"/>
      <c r="J288" s="15" t="str">
        <f>IF(E288="Invalid_Segment","Invalid",IFERROR(INDEX(Severity_Matrix!$C$3:$M$10,MATCH('Error Log'!$F288,Severity_Matrix!$B$3:$B$10,0),MATCH('Error Log'!$G288,Severity_Matrix!$C$2:$M$2,0)),"No errors"))</f>
        <v>Major</v>
      </c>
    </row>
    <row r="289" spans="1:10">
      <c r="A289" s="79" t="s">
        <v>558</v>
      </c>
      <c r="B289" s="18">
        <v>18</v>
      </c>
      <c r="C289" s="85" t="s">
        <v>598</v>
      </c>
      <c r="D289" s="85" t="s">
        <v>599</v>
      </c>
      <c r="E289" s="84" t="s">
        <v>21</v>
      </c>
      <c r="F289" s="84" t="s">
        <v>22</v>
      </c>
      <c r="G289" s="84" t="s">
        <v>55</v>
      </c>
      <c r="H289" s="84" t="s">
        <v>593</v>
      </c>
      <c r="I289" s="14"/>
      <c r="J289" s="15" t="str">
        <f>IF(E289="Invalid_Segment","Invalid",IFERROR(INDEX(Severity_Matrix!$C$3:$M$10,MATCH('Error Log'!$F289,Severity_Matrix!$B$3:$B$10,0),MATCH('Error Log'!$G289,Severity_Matrix!$C$2:$M$2,0)),"No errors"))</f>
        <v>Critical</v>
      </c>
    </row>
    <row r="290" spans="1:10">
      <c r="A290" s="79" t="s">
        <v>558</v>
      </c>
      <c r="B290" s="18">
        <v>19</v>
      </c>
      <c r="C290" s="85" t="s">
        <v>600</v>
      </c>
      <c r="D290" s="85" t="s">
        <v>601</v>
      </c>
      <c r="E290" s="84" t="s">
        <v>21</v>
      </c>
      <c r="F290" s="84" t="s">
        <v>22</v>
      </c>
      <c r="G290" s="84" t="s">
        <v>58</v>
      </c>
      <c r="H290" s="84" t="s">
        <v>535</v>
      </c>
      <c r="I290" s="14"/>
      <c r="J290" s="15" t="str">
        <f>IF(E290="Invalid_Segment","Invalid",IFERROR(INDEX(Severity_Matrix!$C$3:$M$10,MATCH('Error Log'!$F290,Severity_Matrix!$B$3:$B$10,0),MATCH('Error Log'!$G290,Severity_Matrix!$C$2:$M$2,0)),"No errors"))</f>
        <v>Minor</v>
      </c>
    </row>
    <row r="291" spans="1:10">
      <c r="A291" s="79" t="s">
        <v>558</v>
      </c>
      <c r="B291" s="18">
        <v>20</v>
      </c>
      <c r="C291" s="85" t="s">
        <v>602</v>
      </c>
      <c r="D291" s="85" t="s">
        <v>603</v>
      </c>
      <c r="E291" s="84" t="s">
        <v>21</v>
      </c>
      <c r="F291" s="84" t="s">
        <v>22</v>
      </c>
      <c r="G291" s="84" t="s">
        <v>58</v>
      </c>
      <c r="H291" s="84" t="s">
        <v>326</v>
      </c>
      <c r="I291" s="14"/>
      <c r="J291" s="15" t="str">
        <f>IF(E291="Invalid_Segment","Invalid",IFERROR(INDEX(Severity_Matrix!$C$3:$M$10,MATCH('Error Log'!$F291,Severity_Matrix!$B$3:$B$10,0),MATCH('Error Log'!$G291,Severity_Matrix!$C$2:$M$2,0)),"No errors"))</f>
        <v>Minor</v>
      </c>
    </row>
    <row r="292" spans="1:10">
      <c r="A292" s="79" t="s">
        <v>558</v>
      </c>
      <c r="B292" s="18">
        <v>21</v>
      </c>
      <c r="C292" s="85" t="s">
        <v>604</v>
      </c>
      <c r="D292" s="85" t="s">
        <v>605</v>
      </c>
      <c r="E292" s="84" t="s">
        <v>21</v>
      </c>
      <c r="F292" s="84" t="s">
        <v>22</v>
      </c>
      <c r="G292" s="84" t="s">
        <v>27</v>
      </c>
      <c r="H292" s="84" t="s">
        <v>606</v>
      </c>
      <c r="I292" s="14"/>
      <c r="J292" s="15" t="str">
        <f>IF(E292="Invalid_Segment","Invalid",IFERROR(INDEX(Severity_Matrix!$C$3:$M$10,MATCH('Error Log'!$F292,Severity_Matrix!$B$3:$B$10,0),MATCH('Error Log'!$G292,Severity_Matrix!$C$2:$M$2,0)),"No errors"))</f>
        <v>Major</v>
      </c>
    </row>
    <row r="293" spans="1:10">
      <c r="A293" s="79" t="s">
        <v>558</v>
      </c>
      <c r="B293" s="18">
        <v>22</v>
      </c>
      <c r="C293" s="85" t="s">
        <v>607</v>
      </c>
      <c r="D293" s="85" t="s">
        <v>608</v>
      </c>
      <c r="E293" s="84" t="s">
        <v>21</v>
      </c>
      <c r="F293" s="84" t="s">
        <v>7</v>
      </c>
      <c r="G293" s="84" t="s">
        <v>57</v>
      </c>
      <c r="H293" s="84" t="s">
        <v>609</v>
      </c>
      <c r="I293" s="14"/>
      <c r="J293" s="15" t="str">
        <f>IF(E293="Invalid_Segment","Invalid",IFERROR(INDEX(Severity_Matrix!$C$3:$M$10,MATCH('Error Log'!$F293,Severity_Matrix!$B$3:$B$10,0),MATCH('Error Log'!$G293,Severity_Matrix!$C$2:$M$2,0)),"No errors"))</f>
        <v>Critical</v>
      </c>
    </row>
    <row r="294" spans="1:10">
      <c r="A294" s="79" t="s">
        <v>558</v>
      </c>
      <c r="B294" s="18">
        <v>23</v>
      </c>
      <c r="C294" s="85" t="s">
        <v>610</v>
      </c>
      <c r="D294" s="85" t="s">
        <v>611</v>
      </c>
      <c r="E294" s="84" t="s">
        <v>21</v>
      </c>
      <c r="F294" s="84" t="s">
        <v>7</v>
      </c>
      <c r="G294" s="84" t="s">
        <v>57</v>
      </c>
      <c r="H294" s="84" t="s">
        <v>612</v>
      </c>
      <c r="I294" s="14"/>
      <c r="J294" s="15" t="str">
        <f>IF(E294="Invalid_Segment","Invalid",IFERROR(INDEX(Severity_Matrix!$C$3:$M$10,MATCH('Error Log'!$F294,Severity_Matrix!$B$3:$B$10,0),MATCH('Error Log'!$G294,Severity_Matrix!$C$2:$M$2,0)),"No errors"))</f>
        <v>Critical</v>
      </c>
    </row>
    <row r="295" spans="1:10">
      <c r="A295" s="79" t="s">
        <v>558</v>
      </c>
      <c r="B295" s="18">
        <v>24</v>
      </c>
      <c r="C295" s="85" t="s">
        <v>613</v>
      </c>
      <c r="D295" s="85" t="s">
        <v>614</v>
      </c>
      <c r="E295" s="84" t="s">
        <v>21</v>
      </c>
      <c r="F295" s="84" t="s">
        <v>7</v>
      </c>
      <c r="G295" s="84" t="s">
        <v>57</v>
      </c>
      <c r="H295" s="84" t="s">
        <v>615</v>
      </c>
      <c r="I295" s="14"/>
      <c r="J295" s="15" t="str">
        <f>IF(E295="Invalid_Segment","Invalid",IFERROR(INDEX(Severity_Matrix!$C$3:$M$10,MATCH('Error Log'!$F295,Severity_Matrix!$B$3:$B$10,0),MATCH('Error Log'!$G295,Severity_Matrix!$C$2:$M$2,0)),"No errors"))</f>
        <v>Critical</v>
      </c>
    </row>
    <row r="296" spans="1:10">
      <c r="A296" s="79" t="s">
        <v>616</v>
      </c>
      <c r="B296" s="18">
        <v>1</v>
      </c>
      <c r="C296" s="85" t="s">
        <v>617</v>
      </c>
      <c r="D296" s="85" t="s">
        <v>618</v>
      </c>
      <c r="E296" s="84" t="s">
        <v>21</v>
      </c>
      <c r="F296" s="84" t="s">
        <v>7</v>
      </c>
      <c r="G296" s="84" t="s">
        <v>57</v>
      </c>
      <c r="H296" s="84" t="s">
        <v>619</v>
      </c>
      <c r="I296" s="84"/>
      <c r="J296" s="15" t="str">
        <f>IF(E296="Invalid_Segment","Invalid",IFERROR(INDEX(Severity_Matrix!$C$3:$M$10,MATCH('Error Log'!$F296,Severity_Matrix!$B$3:$B$10,0),MATCH('Error Log'!$G296,Severity_Matrix!$C$2:$M$2,0)),"No errors"))</f>
        <v>Critical</v>
      </c>
    </row>
    <row r="297" spans="1:10">
      <c r="A297" s="79" t="s">
        <v>620</v>
      </c>
      <c r="B297" s="18">
        <v>1</v>
      </c>
      <c r="C297" s="85" t="s">
        <v>621</v>
      </c>
      <c r="D297" s="85" t="s">
        <v>622</v>
      </c>
      <c r="E297" s="84" t="s">
        <v>21</v>
      </c>
      <c r="F297" s="84" t="s">
        <v>22</v>
      </c>
      <c r="G297" s="84" t="s">
        <v>57</v>
      </c>
      <c r="H297" s="84" t="s">
        <v>623</v>
      </c>
      <c r="I297" s="14"/>
      <c r="J297" s="15" t="str">
        <f>IF(E297="Invalid_Segment","Invalid",IFERROR(INDEX(Severity_Matrix!$C$3:$M$10,MATCH('Error Log'!$F297,Severity_Matrix!$B$3:$B$10,0),MATCH('Error Log'!$G297,Severity_Matrix!$C$2:$M$2,0)),"No errors"))</f>
        <v>Major</v>
      </c>
    </row>
    <row r="298" spans="1:10">
      <c r="A298" s="79" t="s">
        <v>620</v>
      </c>
      <c r="B298" s="18">
        <v>2</v>
      </c>
      <c r="C298" s="85" t="s">
        <v>621</v>
      </c>
      <c r="D298" s="85" t="s">
        <v>622</v>
      </c>
      <c r="E298" s="84" t="s">
        <v>21</v>
      </c>
      <c r="F298" s="84" t="s">
        <v>22</v>
      </c>
      <c r="G298" s="84" t="s">
        <v>57</v>
      </c>
      <c r="H298" s="84" t="s">
        <v>624</v>
      </c>
      <c r="I298" s="14"/>
      <c r="J298" s="15" t="str">
        <f>IF(E298="Invalid_Segment","Invalid",IFERROR(INDEX(Severity_Matrix!$C$3:$M$10,MATCH('Error Log'!$F298,Severity_Matrix!$B$3:$B$10,0),MATCH('Error Log'!$G298,Severity_Matrix!$C$2:$M$2,0)),"No errors"))</f>
        <v>Major</v>
      </c>
    </row>
    <row r="299" spans="1:10">
      <c r="A299" s="79" t="s">
        <v>625</v>
      </c>
      <c r="B299" s="18">
        <v>3</v>
      </c>
      <c r="C299" s="85" t="s">
        <v>621</v>
      </c>
      <c r="D299" s="85" t="s">
        <v>622</v>
      </c>
      <c r="E299" s="84" t="s">
        <v>21</v>
      </c>
      <c r="F299" s="84" t="s">
        <v>7</v>
      </c>
      <c r="G299" s="84" t="s">
        <v>57</v>
      </c>
      <c r="H299" s="84" t="s">
        <v>626</v>
      </c>
      <c r="I299" s="14"/>
      <c r="J299" s="15" t="str">
        <f>IF(E299="Invalid_Segment","Invalid",IFERROR(INDEX(Severity_Matrix!$C$3:$M$10,MATCH('Error Log'!$F299,Severity_Matrix!$B$3:$B$10,0),MATCH('Error Log'!$G299,Severity_Matrix!$C$2:$M$2,0)),"No errors"))</f>
        <v>Critical</v>
      </c>
    </row>
    <row r="300" spans="1:10">
      <c r="A300" s="79" t="s">
        <v>625</v>
      </c>
      <c r="B300" s="18">
        <v>4</v>
      </c>
      <c r="C300" s="85" t="s">
        <v>621</v>
      </c>
      <c r="D300" s="85" t="s">
        <v>622</v>
      </c>
      <c r="E300" s="84" t="s">
        <v>21</v>
      </c>
      <c r="F300" s="84" t="s">
        <v>7</v>
      </c>
      <c r="G300" s="84" t="s">
        <v>57</v>
      </c>
      <c r="H300" s="84" t="s">
        <v>627</v>
      </c>
      <c r="I300" s="14"/>
      <c r="J300" s="15" t="str">
        <f>IF(E300="Invalid_Segment","Invalid",IFERROR(INDEX(Severity_Matrix!$C$3:$M$10,MATCH('Error Log'!$F300,Severity_Matrix!$B$3:$B$10,0),MATCH('Error Log'!$G300,Severity_Matrix!$C$2:$M$2,0)),"No errors"))</f>
        <v>Critical</v>
      </c>
    </row>
    <row r="301" spans="1:10">
      <c r="A301" s="78" t="s">
        <v>628</v>
      </c>
      <c r="B301" s="18">
        <v>1</v>
      </c>
      <c r="C301" s="78" t="s">
        <v>629</v>
      </c>
      <c r="D301" s="78" t="s">
        <v>630</v>
      </c>
      <c r="E301" s="84" t="s">
        <v>21</v>
      </c>
      <c r="F301" s="84" t="s">
        <v>22</v>
      </c>
      <c r="G301" s="84" t="s">
        <v>57</v>
      </c>
      <c r="H301" s="84" t="s">
        <v>631</v>
      </c>
      <c r="I301" s="14"/>
      <c r="J301" s="15" t="str">
        <f>IF(E301="Invalid_Segment","Invalid",IFERROR(INDEX(Severity_Matrix!$C$3:$M$10,MATCH('Error Log'!$F301,Severity_Matrix!$B$3:$B$10,0),MATCH('Error Log'!$G301,Severity_Matrix!$C$2:$M$2,0)),"No errors"))</f>
        <v>Major</v>
      </c>
    </row>
    <row r="302" spans="1:10">
      <c r="A302" s="78" t="s">
        <v>628</v>
      </c>
      <c r="B302" s="18">
        <v>2</v>
      </c>
      <c r="C302" s="78" t="s">
        <v>629</v>
      </c>
      <c r="D302" s="78" t="s">
        <v>630</v>
      </c>
      <c r="E302" s="84" t="s">
        <v>21</v>
      </c>
      <c r="F302" s="84" t="s">
        <v>63</v>
      </c>
      <c r="G302" s="84" t="s">
        <v>27</v>
      </c>
      <c r="H302" s="84" t="s">
        <v>632</v>
      </c>
      <c r="I302" s="14"/>
      <c r="J302" s="15" t="str">
        <f>IF(E302="Invalid_Segment","Invalid",IFERROR(INDEX(Severity_Matrix!$C$3:$M$10,MATCH('Error Log'!$F302,Severity_Matrix!$B$3:$B$10,0),MATCH('Error Log'!$G302,Severity_Matrix!$C$2:$M$2,0)),"No errors"))</f>
        <v>Critical</v>
      </c>
    </row>
    <row r="303" spans="1:10">
      <c r="A303" s="78" t="s">
        <v>633</v>
      </c>
      <c r="B303" s="18">
        <v>3</v>
      </c>
      <c r="C303" s="78" t="s">
        <v>629</v>
      </c>
      <c r="D303" s="78" t="s">
        <v>630</v>
      </c>
      <c r="E303" s="84" t="s">
        <v>21</v>
      </c>
      <c r="F303" s="84" t="s">
        <v>7</v>
      </c>
      <c r="G303" s="84" t="s">
        <v>57</v>
      </c>
      <c r="H303" s="84" t="s">
        <v>634</v>
      </c>
      <c r="I303" s="14"/>
      <c r="J303" s="15" t="str">
        <f>IF(E303="Invalid_Segment","Invalid",IFERROR(INDEX(Severity_Matrix!$C$3:$M$10,MATCH('Error Log'!$F303,Severity_Matrix!$B$3:$B$10,0),MATCH('Error Log'!$G303,Severity_Matrix!$C$2:$M$2,0)),"No errors"))</f>
        <v>Critical</v>
      </c>
    </row>
    <row r="304" spans="1:10">
      <c r="A304" s="78" t="s">
        <v>635</v>
      </c>
      <c r="B304" s="18">
        <v>1</v>
      </c>
      <c r="C304" s="78" t="s">
        <v>636</v>
      </c>
      <c r="D304" s="78" t="s">
        <v>637</v>
      </c>
      <c r="E304" s="84" t="s">
        <v>21</v>
      </c>
      <c r="F304" s="84" t="s">
        <v>7</v>
      </c>
      <c r="G304" s="84" t="s">
        <v>29</v>
      </c>
      <c r="H304" s="84" t="s">
        <v>638</v>
      </c>
      <c r="I304" s="14"/>
      <c r="J304" s="15" t="str">
        <f>IF(E304="Invalid_Segment","Invalid",IFERROR(INDEX(Severity_Matrix!$C$3:$M$10,MATCH('Error Log'!$F304,Severity_Matrix!$B$3:$B$10,0),MATCH('Error Log'!$G304,Severity_Matrix!$C$2:$M$2,0)),"No errors"))</f>
        <v>Critical</v>
      </c>
    </row>
    <row r="305" spans="1:10">
      <c r="A305" s="78" t="s">
        <v>635</v>
      </c>
      <c r="B305" s="18">
        <v>2</v>
      </c>
      <c r="C305" s="78" t="s">
        <v>639</v>
      </c>
      <c r="D305" s="78" t="s">
        <v>637</v>
      </c>
      <c r="E305" s="84" t="s">
        <v>21</v>
      </c>
      <c r="F305" s="84" t="s">
        <v>22</v>
      </c>
      <c r="G305" s="84" t="s">
        <v>57</v>
      </c>
      <c r="H305" s="84" t="s">
        <v>640</v>
      </c>
      <c r="I305" s="14"/>
      <c r="J305" s="15" t="str">
        <f>IF(E305="Invalid_Segment","Invalid",IFERROR(INDEX(Severity_Matrix!$C$3:$M$10,MATCH('Error Log'!$F305,Severity_Matrix!$B$3:$B$10,0),MATCH('Error Log'!$G305,Severity_Matrix!$C$2:$M$2,0)),"No errors"))</f>
        <v>Major</v>
      </c>
    </row>
    <row r="306" spans="1:10">
      <c r="A306" s="78" t="s">
        <v>641</v>
      </c>
      <c r="B306" s="18">
        <v>3</v>
      </c>
      <c r="C306" s="78" t="s">
        <v>642</v>
      </c>
      <c r="D306" s="78" t="s">
        <v>637</v>
      </c>
      <c r="E306" s="84" t="s">
        <v>21</v>
      </c>
      <c r="F306" s="84" t="s">
        <v>22</v>
      </c>
      <c r="G306" s="84" t="s">
        <v>57</v>
      </c>
      <c r="H306" s="84" t="s">
        <v>643</v>
      </c>
      <c r="I306" s="14"/>
      <c r="J306" s="15" t="str">
        <f>IF(E306="Invalid_Segment","Invalid",IFERROR(INDEX(Severity_Matrix!$C$3:$M$10,MATCH('Error Log'!$F306,Severity_Matrix!$B$3:$B$10,0),MATCH('Error Log'!$G306,Severity_Matrix!$C$2:$M$2,0)),"No errors"))</f>
        <v>Major</v>
      </c>
    </row>
    <row r="307" spans="1:10">
      <c r="A307" s="78" t="s">
        <v>641</v>
      </c>
      <c r="B307" s="18">
        <v>4</v>
      </c>
      <c r="C307" s="78" t="s">
        <v>644</v>
      </c>
      <c r="D307" s="78" t="s">
        <v>637</v>
      </c>
      <c r="E307" s="84" t="s">
        <v>21</v>
      </c>
      <c r="F307" s="84" t="s">
        <v>22</v>
      </c>
      <c r="G307" s="84" t="s">
        <v>57</v>
      </c>
      <c r="H307" s="84" t="s">
        <v>645</v>
      </c>
      <c r="I307" s="14"/>
      <c r="J307" s="15" t="str">
        <f>IF(E307="Invalid_Segment","Invalid",IFERROR(INDEX(Severity_Matrix!$C$3:$M$10,MATCH('Error Log'!$F307,Severity_Matrix!$B$3:$B$10,0),MATCH('Error Log'!$G307,Severity_Matrix!$C$2:$M$2,0)),"No errors"))</f>
        <v>Major</v>
      </c>
    </row>
    <row r="308" spans="1:10">
      <c r="A308" s="78" t="s">
        <v>641</v>
      </c>
      <c r="B308" s="18">
        <v>5</v>
      </c>
      <c r="C308" s="78" t="s">
        <v>646</v>
      </c>
      <c r="D308" s="78" t="s">
        <v>637</v>
      </c>
      <c r="E308" s="84" t="s">
        <v>21</v>
      </c>
      <c r="F308" s="84" t="s">
        <v>7</v>
      </c>
      <c r="G308" s="84" t="s">
        <v>57</v>
      </c>
      <c r="H308" s="84" t="s">
        <v>647</v>
      </c>
      <c r="I308" s="14"/>
      <c r="J308" s="15" t="str">
        <f>IF(E308="Invalid_Segment","Invalid",IFERROR(INDEX(Severity_Matrix!$C$3:$M$10,MATCH('Error Log'!$F308,Severity_Matrix!$B$3:$B$10,0),MATCH('Error Log'!$G308,Severity_Matrix!$C$2:$M$2,0)),"No errors"))</f>
        <v>Critical</v>
      </c>
    </row>
    <row r="309" spans="1:10">
      <c r="A309" s="78" t="s">
        <v>641</v>
      </c>
      <c r="B309" s="18">
        <v>6</v>
      </c>
      <c r="C309" s="78" t="s">
        <v>648</v>
      </c>
      <c r="D309" s="78" t="s">
        <v>637</v>
      </c>
      <c r="E309" s="84" t="s">
        <v>21</v>
      </c>
      <c r="F309" s="84" t="s">
        <v>7</v>
      </c>
      <c r="G309" s="84" t="s">
        <v>57</v>
      </c>
      <c r="H309" s="84" t="s">
        <v>649</v>
      </c>
      <c r="I309" s="14"/>
      <c r="J309" s="15" t="str">
        <f>IF(E309="Invalid_Segment","Invalid",IFERROR(INDEX(Severity_Matrix!$C$3:$M$10,MATCH('Error Log'!$F309,Severity_Matrix!$B$3:$B$10,0),MATCH('Error Log'!$G309,Severity_Matrix!$C$2:$M$2,0)),"No errors"))</f>
        <v>Critical</v>
      </c>
    </row>
    <row r="310" spans="1:10">
      <c r="A310" s="78" t="s">
        <v>641</v>
      </c>
      <c r="B310" s="18">
        <v>7</v>
      </c>
      <c r="C310" s="78" t="s">
        <v>650</v>
      </c>
      <c r="D310" s="78" t="s">
        <v>637</v>
      </c>
      <c r="E310" s="84" t="s">
        <v>21</v>
      </c>
      <c r="F310" s="84" t="s">
        <v>7</v>
      </c>
      <c r="G310" s="84" t="s">
        <v>57</v>
      </c>
      <c r="H310" s="84" t="s">
        <v>651</v>
      </c>
      <c r="I310" s="14"/>
      <c r="J310" s="15" t="str">
        <f>IF(E310="Invalid_Segment","Invalid",IFERROR(INDEX(Severity_Matrix!$C$3:$M$10,MATCH('Error Log'!$F310,Severity_Matrix!$B$3:$B$10,0),MATCH('Error Log'!$G310,Severity_Matrix!$C$2:$M$2,0)),"No errors"))</f>
        <v>Critical</v>
      </c>
    </row>
    <row r="311" spans="1:10">
      <c r="A311" s="78" t="s">
        <v>641</v>
      </c>
      <c r="B311" s="18">
        <v>8</v>
      </c>
      <c r="C311" s="78" t="s">
        <v>652</v>
      </c>
      <c r="D311" s="78" t="s">
        <v>637</v>
      </c>
      <c r="E311" s="84" t="s">
        <v>21</v>
      </c>
      <c r="F311" s="84" t="s">
        <v>7</v>
      </c>
      <c r="G311" s="84" t="s">
        <v>57</v>
      </c>
      <c r="H311" s="84" t="s">
        <v>653</v>
      </c>
      <c r="I311" s="14"/>
      <c r="J311" s="15" t="str">
        <f>IF(E311="Invalid_Segment","Invalid",IFERROR(INDEX(Severity_Matrix!$C$3:$M$10,MATCH('Error Log'!$F311,Severity_Matrix!$B$3:$B$10,0),MATCH('Error Log'!$G311,Severity_Matrix!$C$2:$M$2,0)),"No errors"))</f>
        <v>Critical</v>
      </c>
    </row>
    <row r="312" spans="1:10">
      <c r="A312" s="78" t="s">
        <v>654</v>
      </c>
      <c r="B312" s="18">
        <v>1</v>
      </c>
      <c r="C312" s="78" t="s">
        <v>655</v>
      </c>
      <c r="D312" s="78" t="s">
        <v>656</v>
      </c>
      <c r="E312" s="84" t="s">
        <v>21</v>
      </c>
      <c r="F312" s="84" t="s">
        <v>63</v>
      </c>
      <c r="G312" s="84" t="s">
        <v>56</v>
      </c>
      <c r="H312" s="84" t="s">
        <v>657</v>
      </c>
      <c r="I312" s="14"/>
      <c r="J312" s="15" t="str">
        <f>IF(E312="Invalid_Segment","Invalid",IFERROR(INDEX(Severity_Matrix!$C$3:$M$10,MATCH('Error Log'!$F312,Severity_Matrix!$B$3:$B$10,0),MATCH('Error Log'!$G312,Severity_Matrix!$C$2:$M$2,0)),"No errors"))</f>
        <v>Critical</v>
      </c>
    </row>
    <row r="313" spans="1:10">
      <c r="A313" s="78" t="s">
        <v>654</v>
      </c>
      <c r="B313" s="18">
        <v>2</v>
      </c>
      <c r="C313" s="78" t="s">
        <v>655</v>
      </c>
      <c r="D313" s="78" t="s">
        <v>656</v>
      </c>
      <c r="E313" s="84" t="s">
        <v>21</v>
      </c>
      <c r="F313" s="84" t="s">
        <v>7</v>
      </c>
      <c r="G313" s="84" t="s">
        <v>58</v>
      </c>
      <c r="H313" s="84" t="s">
        <v>658</v>
      </c>
      <c r="I313" s="14"/>
      <c r="J313" s="15" t="str">
        <f>IF(E313="Invalid_Segment","Invalid",IFERROR(INDEX(Severity_Matrix!$C$3:$M$10,MATCH('Error Log'!$F313,Severity_Matrix!$B$3:$B$10,0),MATCH('Error Log'!$G313,Severity_Matrix!$C$2:$M$2,0)),"No errors"))</f>
        <v>Minor</v>
      </c>
    </row>
    <row r="314" spans="1:10">
      <c r="A314" s="78" t="s">
        <v>659</v>
      </c>
      <c r="B314" s="18">
        <v>3</v>
      </c>
      <c r="C314" s="78" t="s">
        <v>655</v>
      </c>
      <c r="D314" s="78" t="s">
        <v>656</v>
      </c>
      <c r="E314" s="84" t="s">
        <v>21</v>
      </c>
      <c r="F314" s="84" t="s">
        <v>7</v>
      </c>
      <c r="G314" s="84" t="s">
        <v>55</v>
      </c>
      <c r="H314" s="84" t="s">
        <v>660</v>
      </c>
      <c r="I314" s="14"/>
      <c r="J314" s="15" t="str">
        <f>IF(E314="Invalid_Segment","Invalid",IFERROR(INDEX(Severity_Matrix!$C$3:$M$10,MATCH('Error Log'!$F314,Severity_Matrix!$B$3:$B$10,0),MATCH('Error Log'!$G314,Severity_Matrix!$C$2:$M$2,0)),"No errors"))</f>
        <v>Critical</v>
      </c>
    </row>
    <row r="315" spans="1:10">
      <c r="A315" s="78" t="s">
        <v>659</v>
      </c>
      <c r="B315" s="18">
        <v>4</v>
      </c>
      <c r="C315" s="78" t="s">
        <v>655</v>
      </c>
      <c r="D315" s="78" t="s">
        <v>656</v>
      </c>
      <c r="E315" s="84" t="s">
        <v>21</v>
      </c>
      <c r="F315" s="84" t="s">
        <v>22</v>
      </c>
      <c r="G315" s="84" t="s">
        <v>57</v>
      </c>
      <c r="H315" s="84" t="s">
        <v>661</v>
      </c>
      <c r="I315" s="14"/>
      <c r="J315" s="15" t="str">
        <f>IF(E315="Invalid_Segment","Invalid",IFERROR(INDEX(Severity_Matrix!$C$3:$M$10,MATCH('Error Log'!$F315,Severity_Matrix!$B$3:$B$10,0),MATCH('Error Log'!$G315,Severity_Matrix!$C$2:$M$2,0)),"No errors"))</f>
        <v>Major</v>
      </c>
    </row>
    <row r="316" spans="1:10">
      <c r="A316" s="78" t="s">
        <v>659</v>
      </c>
      <c r="B316" s="18">
        <v>5</v>
      </c>
      <c r="C316" s="78" t="s">
        <v>655</v>
      </c>
      <c r="D316" s="78" t="s">
        <v>656</v>
      </c>
      <c r="E316" s="84" t="s">
        <v>21</v>
      </c>
      <c r="F316" s="84" t="s">
        <v>7</v>
      </c>
      <c r="G316" s="84" t="s">
        <v>57</v>
      </c>
      <c r="H316" s="84" t="s">
        <v>662</v>
      </c>
      <c r="I316" s="14"/>
      <c r="J316" s="15" t="str">
        <f>IF(E316="Invalid_Segment","Invalid",IFERROR(INDEX(Severity_Matrix!$C$3:$M$10,MATCH('Error Log'!$F316,Severity_Matrix!$B$3:$B$10,0),MATCH('Error Log'!$G316,Severity_Matrix!$C$2:$M$2,0)),"No errors"))</f>
        <v>Critical</v>
      </c>
    </row>
    <row r="317" spans="1:10">
      <c r="A317" s="78" t="s">
        <v>663</v>
      </c>
      <c r="B317" s="18">
        <v>1</v>
      </c>
      <c r="C317" s="78" t="s">
        <v>664</v>
      </c>
      <c r="D317" s="78" t="s">
        <v>665</v>
      </c>
      <c r="E317" s="84" t="s">
        <v>21</v>
      </c>
      <c r="F317" s="84" t="s">
        <v>63</v>
      </c>
      <c r="G317" s="84" t="s">
        <v>55</v>
      </c>
      <c r="H317" s="84" t="s">
        <v>666</v>
      </c>
      <c r="I317" s="14"/>
      <c r="J317" s="15" t="str">
        <f>IF(E317="Invalid_Segment","Invalid",IFERROR(INDEX(Severity_Matrix!$C$3:$M$10,MATCH('Error Log'!$F317,Severity_Matrix!$B$3:$B$10,0),MATCH('Error Log'!$G317,Severity_Matrix!$C$2:$M$2,0)),"No errors"))</f>
        <v>Critical</v>
      </c>
    </row>
    <row r="318" spans="1:10">
      <c r="A318" s="78" t="s">
        <v>663</v>
      </c>
      <c r="B318" s="18">
        <v>2</v>
      </c>
      <c r="C318" s="78" t="s">
        <v>667</v>
      </c>
      <c r="D318" s="78" t="s">
        <v>665</v>
      </c>
      <c r="E318" s="84" t="s">
        <v>21</v>
      </c>
      <c r="F318" s="84" t="s">
        <v>22</v>
      </c>
      <c r="G318" s="84" t="s">
        <v>57</v>
      </c>
      <c r="H318" s="84" t="s">
        <v>668</v>
      </c>
      <c r="I318" s="14"/>
      <c r="J318" s="15" t="str">
        <f>IF(E318="Invalid_Segment","Invalid",IFERROR(INDEX(Severity_Matrix!$C$3:$M$10,MATCH('Error Log'!$F318,Severity_Matrix!$B$3:$B$10,0),MATCH('Error Log'!$G318,Severity_Matrix!$C$2:$M$2,0)),"No errors"))</f>
        <v>Major</v>
      </c>
    </row>
    <row r="319" spans="1:10">
      <c r="A319" s="78" t="s">
        <v>669</v>
      </c>
      <c r="B319" s="18">
        <v>3</v>
      </c>
      <c r="C319" s="78" t="s">
        <v>670</v>
      </c>
      <c r="D319" s="78" t="s">
        <v>665</v>
      </c>
      <c r="E319" s="84" t="s">
        <v>21</v>
      </c>
      <c r="F319" s="84" t="s">
        <v>63</v>
      </c>
      <c r="G319" s="84" t="s">
        <v>54</v>
      </c>
      <c r="H319" s="84" t="s">
        <v>306</v>
      </c>
      <c r="I319" s="14"/>
      <c r="J319" s="15" t="str">
        <f>IF(E319="Invalid_Segment","Invalid",IFERROR(INDEX(Severity_Matrix!$C$3:$M$10,MATCH('Error Log'!$F319,Severity_Matrix!$B$3:$B$10,0),MATCH('Error Log'!$G319,Severity_Matrix!$C$2:$M$2,0)),"No errors"))</f>
        <v>Critical</v>
      </c>
    </row>
    <row r="320" spans="1:10">
      <c r="A320" s="78" t="s">
        <v>669</v>
      </c>
      <c r="B320" s="18">
        <v>4</v>
      </c>
      <c r="C320" s="78" t="s">
        <v>671</v>
      </c>
      <c r="D320" s="78" t="s">
        <v>665</v>
      </c>
      <c r="E320" s="84" t="s">
        <v>21</v>
      </c>
      <c r="F320" s="84" t="s">
        <v>22</v>
      </c>
      <c r="G320" s="84" t="s">
        <v>57</v>
      </c>
      <c r="H320" s="84" t="s">
        <v>672</v>
      </c>
      <c r="I320" s="14"/>
      <c r="J320" s="15" t="str">
        <f>IF(E320="Invalid_Segment","Invalid",IFERROR(INDEX(Severity_Matrix!$C$3:$M$10,MATCH('Error Log'!$F320,Severity_Matrix!$B$3:$B$10,0),MATCH('Error Log'!$G320,Severity_Matrix!$C$2:$M$2,0)),"No errors"))</f>
        <v>Major</v>
      </c>
    </row>
    <row r="321" spans="1:10">
      <c r="A321" s="78" t="s">
        <v>669</v>
      </c>
      <c r="B321" s="18">
        <v>5</v>
      </c>
      <c r="C321" s="78" t="s">
        <v>673</v>
      </c>
      <c r="D321" s="78" t="s">
        <v>665</v>
      </c>
      <c r="E321" s="84" t="s">
        <v>21</v>
      </c>
      <c r="F321" s="84" t="s">
        <v>7</v>
      </c>
      <c r="G321" s="84" t="s">
        <v>57</v>
      </c>
      <c r="H321" s="84" t="s">
        <v>674</v>
      </c>
      <c r="I321" s="14"/>
      <c r="J321" s="15" t="str">
        <f>IF(E321="Invalid_Segment","Invalid",IFERROR(INDEX(Severity_Matrix!$C$3:$M$10,MATCH('Error Log'!$F321,Severity_Matrix!$B$3:$B$10,0),MATCH('Error Log'!$G321,Severity_Matrix!$C$2:$M$2,0)),"No errors"))</f>
        <v>Critical</v>
      </c>
    </row>
    <row r="322" spans="1:10">
      <c r="A322" s="78" t="s">
        <v>675</v>
      </c>
      <c r="B322" s="18">
        <v>1</v>
      </c>
      <c r="C322" s="78" t="s">
        <v>676</v>
      </c>
      <c r="D322" s="78" t="s">
        <v>677</v>
      </c>
      <c r="E322" s="84" t="s">
        <v>21</v>
      </c>
      <c r="F322" s="84" t="s">
        <v>22</v>
      </c>
      <c r="G322" s="84" t="s">
        <v>57</v>
      </c>
      <c r="H322" s="84" t="s">
        <v>678</v>
      </c>
      <c r="I322" s="14"/>
      <c r="J322" s="15" t="str">
        <f>IF(E322="Invalid_Segment","Invalid",IFERROR(INDEX(Severity_Matrix!$C$3:$M$10,MATCH('Error Log'!$F322,Severity_Matrix!$B$3:$B$10,0),MATCH('Error Log'!$G322,Severity_Matrix!$C$2:$M$2,0)),"No errors"))</f>
        <v>Major</v>
      </c>
    </row>
    <row r="323" spans="1:10">
      <c r="A323" s="78" t="s">
        <v>675</v>
      </c>
      <c r="B323" s="18">
        <v>2</v>
      </c>
      <c r="C323" s="78" t="s">
        <v>679</v>
      </c>
      <c r="D323" s="78" t="s">
        <v>680</v>
      </c>
      <c r="E323" s="84" t="s">
        <v>21</v>
      </c>
      <c r="F323" s="84" t="s">
        <v>22</v>
      </c>
      <c r="G323" s="84" t="s">
        <v>57</v>
      </c>
      <c r="H323" s="84" t="s">
        <v>681</v>
      </c>
      <c r="I323" s="14"/>
      <c r="J323" s="15" t="str">
        <f>IF(E323="Invalid_Segment","Invalid",IFERROR(INDEX(Severity_Matrix!$C$3:$M$10,MATCH('Error Log'!$F323,Severity_Matrix!$B$3:$B$10,0),MATCH('Error Log'!$G323,Severity_Matrix!$C$2:$M$2,0)),"No errors"))</f>
        <v>Major</v>
      </c>
    </row>
    <row r="324" spans="1:10">
      <c r="A324" s="78" t="s">
        <v>682</v>
      </c>
      <c r="B324" s="18">
        <v>3</v>
      </c>
      <c r="C324" s="78" t="s">
        <v>683</v>
      </c>
      <c r="D324" s="78" t="s">
        <v>684</v>
      </c>
      <c r="E324" s="84" t="s">
        <v>21</v>
      </c>
      <c r="F324" s="84" t="s">
        <v>7</v>
      </c>
      <c r="G324" s="84" t="s">
        <v>57</v>
      </c>
      <c r="H324" s="84" t="s">
        <v>685</v>
      </c>
      <c r="I324" s="14"/>
      <c r="J324" s="15" t="str">
        <f>IF(E324="Invalid_Segment","Invalid",IFERROR(INDEX(Severity_Matrix!$C$3:$M$10,MATCH('Error Log'!$F324,Severity_Matrix!$B$3:$B$10,0),MATCH('Error Log'!$G324,Severity_Matrix!$C$2:$M$2,0)),"No errors"))</f>
        <v>Critical</v>
      </c>
    </row>
    <row r="325" spans="1:10">
      <c r="A325" s="78" t="s">
        <v>682</v>
      </c>
      <c r="B325" s="18">
        <v>4</v>
      </c>
      <c r="C325" s="78" t="s">
        <v>686</v>
      </c>
      <c r="D325" s="78" t="s">
        <v>687</v>
      </c>
      <c r="E325" s="84" t="s">
        <v>21</v>
      </c>
      <c r="F325" s="84" t="s">
        <v>7</v>
      </c>
      <c r="G325" s="84" t="s">
        <v>57</v>
      </c>
      <c r="H325" s="84" t="s">
        <v>688</v>
      </c>
      <c r="I325" s="14"/>
      <c r="J325" s="15" t="str">
        <f>IF(E325="Invalid_Segment","Invalid",IFERROR(INDEX(Severity_Matrix!$C$3:$M$10,MATCH('Error Log'!$F325,Severity_Matrix!$B$3:$B$10,0),MATCH('Error Log'!$G325,Severity_Matrix!$C$2:$M$2,0)),"No errors"))</f>
        <v>Critical</v>
      </c>
    </row>
    <row r="326" spans="1:10">
      <c r="A326" s="78" t="s">
        <v>689</v>
      </c>
      <c r="B326" s="18">
        <v>1</v>
      </c>
      <c r="C326" s="78" t="s">
        <v>690</v>
      </c>
      <c r="D326" s="78" t="s">
        <v>691</v>
      </c>
      <c r="E326" s="84" t="s">
        <v>21</v>
      </c>
      <c r="F326" s="84" t="s">
        <v>7</v>
      </c>
      <c r="G326" s="84" t="s">
        <v>57</v>
      </c>
      <c r="H326" s="84" t="s">
        <v>692</v>
      </c>
      <c r="I326" s="14"/>
      <c r="J326" s="15" t="str">
        <f>IF(E326="Invalid_Segment","Invalid",IFERROR(INDEX(Severity_Matrix!$C$3:$M$10,MATCH('Error Log'!$F326,Severity_Matrix!$B$3:$B$10,0),MATCH('Error Log'!$G326,Severity_Matrix!$C$2:$M$2,0)),"No errors"))</f>
        <v>Critical</v>
      </c>
    </row>
    <row r="327" spans="1:10">
      <c r="A327" s="78" t="s">
        <v>693</v>
      </c>
      <c r="B327" s="18">
        <v>1</v>
      </c>
      <c r="C327" s="78" t="s">
        <v>694</v>
      </c>
      <c r="D327" s="78" t="s">
        <v>695</v>
      </c>
      <c r="E327" s="84" t="s">
        <v>21</v>
      </c>
      <c r="F327" s="84" t="s">
        <v>63</v>
      </c>
      <c r="G327" s="84" t="s">
        <v>56</v>
      </c>
      <c r="H327" s="84" t="s">
        <v>696</v>
      </c>
      <c r="I327" s="14"/>
      <c r="J327" s="15" t="str">
        <f>IF(E327="Invalid_Segment","Invalid",IFERROR(INDEX(Severity_Matrix!$C$3:$M$10,MATCH('Error Log'!$F327,Severity_Matrix!$B$3:$B$10,0),MATCH('Error Log'!$G327,Severity_Matrix!$C$2:$M$2,0)),"No errors"))</f>
        <v>Critical</v>
      </c>
    </row>
    <row r="328" spans="1:10">
      <c r="A328" s="78" t="s">
        <v>693</v>
      </c>
      <c r="B328" s="18">
        <v>2</v>
      </c>
      <c r="C328" s="78" t="s">
        <v>697</v>
      </c>
      <c r="D328" s="78" t="s">
        <v>698</v>
      </c>
      <c r="E328" s="84" t="s">
        <v>21</v>
      </c>
      <c r="F328" s="84" t="s">
        <v>63</v>
      </c>
      <c r="G328" s="84" t="s">
        <v>55</v>
      </c>
      <c r="H328" s="86" t="s">
        <v>699</v>
      </c>
      <c r="I328" s="14"/>
      <c r="J328" s="15" t="str">
        <f>IF(E328="Invalid_Segment","Invalid",IFERROR(INDEX(Severity_Matrix!$C$3:$M$10,MATCH('Error Log'!$F328,Severity_Matrix!$B$3:$B$10,0),MATCH('Error Log'!$G328,Severity_Matrix!$C$2:$M$2,0)),"No errors"))</f>
        <v>Critical</v>
      </c>
    </row>
    <row r="329" spans="1:10">
      <c r="A329" s="78" t="s">
        <v>700</v>
      </c>
      <c r="B329" s="18">
        <v>3</v>
      </c>
      <c r="C329" s="78" t="s">
        <v>701</v>
      </c>
      <c r="D329" s="78" t="s">
        <v>702</v>
      </c>
      <c r="E329" s="84" t="s">
        <v>21</v>
      </c>
      <c r="F329" s="84" t="s">
        <v>63</v>
      </c>
      <c r="G329" s="84" t="s">
        <v>29</v>
      </c>
      <c r="H329" s="87">
        <v>43525</v>
      </c>
      <c r="I329" s="14"/>
      <c r="J329" s="15" t="str">
        <f>IF(E329="Invalid_Segment","Invalid",IFERROR(INDEX(Severity_Matrix!$C$3:$M$10,MATCH('Error Log'!$F329,Severity_Matrix!$B$3:$B$10,0),MATCH('Error Log'!$G329,Severity_Matrix!$C$2:$M$2,0)),"No errors"))</f>
        <v>Critical</v>
      </c>
    </row>
    <row r="330" spans="1:10">
      <c r="A330" s="78" t="s">
        <v>700</v>
      </c>
      <c r="B330" s="18">
        <v>4</v>
      </c>
      <c r="C330" s="78" t="s">
        <v>703</v>
      </c>
      <c r="D330" s="78" t="s">
        <v>704</v>
      </c>
      <c r="E330" s="84" t="s">
        <v>21</v>
      </c>
      <c r="F330" s="84" t="s">
        <v>63</v>
      </c>
      <c r="G330" s="84" t="s">
        <v>28</v>
      </c>
      <c r="H330" s="84" t="s">
        <v>705</v>
      </c>
      <c r="I330" s="14"/>
      <c r="J330" s="15" t="str">
        <f>IF(E330="Invalid_Segment","Invalid",IFERROR(INDEX(Severity_Matrix!$C$3:$M$10,MATCH('Error Log'!$F330,Severity_Matrix!$B$3:$B$10,0),MATCH('Error Log'!$G330,Severity_Matrix!$C$2:$M$2,0)),"No errors"))</f>
        <v>Major</v>
      </c>
    </row>
    <row r="331" spans="1:10">
      <c r="A331" s="78" t="s">
        <v>700</v>
      </c>
      <c r="B331" s="18">
        <v>5</v>
      </c>
      <c r="C331" s="78" t="s">
        <v>706</v>
      </c>
      <c r="D331" s="78" t="s">
        <v>707</v>
      </c>
      <c r="E331" s="84" t="s">
        <v>21</v>
      </c>
      <c r="F331" s="84" t="s">
        <v>63</v>
      </c>
      <c r="G331" s="84" t="s">
        <v>28</v>
      </c>
      <c r="H331" s="84" t="s">
        <v>708</v>
      </c>
      <c r="I331" s="14"/>
      <c r="J331" s="15" t="str">
        <f>IF(E331="Invalid_Segment","Invalid",IFERROR(INDEX(Severity_Matrix!$C$3:$M$10,MATCH('Error Log'!$F331,Severity_Matrix!$B$3:$B$10,0),MATCH('Error Log'!$G331,Severity_Matrix!$C$2:$M$2,0)),"No errors"))</f>
        <v>Major</v>
      </c>
    </row>
    <row r="332" spans="1:10">
      <c r="A332" s="78" t="s">
        <v>700</v>
      </c>
      <c r="B332" s="18">
        <v>6</v>
      </c>
      <c r="C332" s="78" t="s">
        <v>709</v>
      </c>
      <c r="D332" s="78" t="s">
        <v>710</v>
      </c>
      <c r="E332" s="84" t="s">
        <v>21</v>
      </c>
      <c r="F332" s="84" t="s">
        <v>63</v>
      </c>
      <c r="G332" s="84" t="s">
        <v>58</v>
      </c>
      <c r="H332" s="84" t="s">
        <v>193</v>
      </c>
      <c r="I332" s="14"/>
      <c r="J332" s="15" t="str">
        <f>IF(E332="Invalid_Segment","Invalid",IFERROR(INDEX(Severity_Matrix!$C$3:$M$10,MATCH('Error Log'!$F332,Severity_Matrix!$B$3:$B$10,0),MATCH('Error Log'!$G332,Severity_Matrix!$C$2:$M$2,0)),"No errors"))</f>
        <v>Minor</v>
      </c>
    </row>
    <row r="333" spans="1:10">
      <c r="A333" s="78" t="s">
        <v>700</v>
      </c>
      <c r="B333" s="18">
        <v>7</v>
      </c>
      <c r="C333" s="78" t="s">
        <v>711</v>
      </c>
      <c r="D333" s="78" t="s">
        <v>712</v>
      </c>
      <c r="E333" s="84" t="s">
        <v>21</v>
      </c>
      <c r="F333" s="84" t="s">
        <v>63</v>
      </c>
      <c r="G333" s="84" t="s">
        <v>27</v>
      </c>
      <c r="H333" s="84" t="s">
        <v>713</v>
      </c>
      <c r="I333" s="14"/>
      <c r="J333" s="15" t="str">
        <f>IF(E333="Invalid_Segment","Invalid",IFERROR(INDEX(Severity_Matrix!$C$3:$M$10,MATCH('Error Log'!$F333,Severity_Matrix!$B$3:$B$10,0),MATCH('Error Log'!$G333,Severity_Matrix!$C$2:$M$2,0)),"No errors"))</f>
        <v>Critical</v>
      </c>
    </row>
    <row r="334" spans="1:10">
      <c r="A334" s="78" t="s">
        <v>700</v>
      </c>
      <c r="B334" s="18">
        <v>8</v>
      </c>
      <c r="C334" s="78" t="s">
        <v>714</v>
      </c>
      <c r="D334" s="78" t="s">
        <v>715</v>
      </c>
      <c r="E334" s="84" t="s">
        <v>21</v>
      </c>
      <c r="F334" s="84" t="s">
        <v>63</v>
      </c>
      <c r="G334" s="84" t="s">
        <v>55</v>
      </c>
      <c r="H334" s="84" t="s">
        <v>716</v>
      </c>
      <c r="I334" s="14"/>
      <c r="J334" s="15" t="str">
        <f>IF(E334="Invalid_Segment","Invalid",IFERROR(INDEX(Severity_Matrix!$C$3:$M$10,MATCH('Error Log'!$F334,Severity_Matrix!$B$3:$B$10,0),MATCH('Error Log'!$G334,Severity_Matrix!$C$2:$M$2,0)),"No errors"))</f>
        <v>Critical</v>
      </c>
    </row>
    <row r="335" spans="1:10">
      <c r="A335" s="78" t="s">
        <v>700</v>
      </c>
      <c r="B335" s="18">
        <v>9</v>
      </c>
      <c r="C335" s="78" t="s">
        <v>717</v>
      </c>
      <c r="D335" s="78" t="s">
        <v>718</v>
      </c>
      <c r="E335" s="84" t="s">
        <v>21</v>
      </c>
      <c r="F335" s="84" t="s">
        <v>22</v>
      </c>
      <c r="G335" s="84" t="s">
        <v>57</v>
      </c>
      <c r="H335" s="84" t="s">
        <v>719</v>
      </c>
      <c r="I335" s="14"/>
      <c r="J335" s="15" t="str">
        <f>IF(E335="Invalid_Segment","Invalid",IFERROR(INDEX(Severity_Matrix!$C$3:$M$10,MATCH('Error Log'!$F335,Severity_Matrix!$B$3:$B$10,0),MATCH('Error Log'!$G335,Severity_Matrix!$C$2:$M$2,0)),"No errors"))</f>
        <v>Major</v>
      </c>
    </row>
    <row r="336" spans="1:10">
      <c r="A336" s="78" t="s">
        <v>700</v>
      </c>
      <c r="B336" s="18">
        <v>10</v>
      </c>
      <c r="C336" s="78" t="s">
        <v>720</v>
      </c>
      <c r="D336" s="78" t="s">
        <v>721</v>
      </c>
      <c r="E336" s="84" t="s">
        <v>21</v>
      </c>
      <c r="F336" s="84" t="s">
        <v>7</v>
      </c>
      <c r="G336" s="84" t="s">
        <v>57</v>
      </c>
      <c r="H336" s="84" t="s">
        <v>722</v>
      </c>
      <c r="I336" s="14"/>
      <c r="J336" s="15" t="str">
        <f>IF(E336="Invalid_Segment","Invalid",IFERROR(INDEX(Severity_Matrix!$C$3:$M$10,MATCH('Error Log'!$F336,Severity_Matrix!$B$3:$B$10,0),MATCH('Error Log'!$G336,Severity_Matrix!$C$2:$M$2,0)),"No errors"))</f>
        <v>Critical</v>
      </c>
    </row>
    <row r="337" spans="1:10">
      <c r="A337" s="78" t="s">
        <v>700</v>
      </c>
      <c r="B337" s="18">
        <v>11</v>
      </c>
      <c r="C337" s="78" t="s">
        <v>723</v>
      </c>
      <c r="D337" s="78" t="s">
        <v>724</v>
      </c>
      <c r="E337" s="84" t="s">
        <v>21</v>
      </c>
      <c r="F337" s="84" t="s">
        <v>7</v>
      </c>
      <c r="G337" s="84" t="s">
        <v>57</v>
      </c>
      <c r="H337" s="84" t="s">
        <v>725</v>
      </c>
      <c r="I337" s="14"/>
      <c r="J337" s="15" t="str">
        <f>IF(E337="Invalid_Segment","Invalid",IFERROR(INDEX(Severity_Matrix!$C$3:$M$10,MATCH('Error Log'!$F337,Severity_Matrix!$B$3:$B$10,0),MATCH('Error Log'!$G337,Severity_Matrix!$C$2:$M$2,0)),"No errors"))</f>
        <v>Critical</v>
      </c>
    </row>
    <row r="338" spans="1:10">
      <c r="A338" s="78" t="s">
        <v>726</v>
      </c>
      <c r="B338" s="18">
        <v>1</v>
      </c>
      <c r="C338" s="78" t="s">
        <v>727</v>
      </c>
      <c r="D338" s="78" t="s">
        <v>728</v>
      </c>
      <c r="E338" s="84" t="s">
        <v>21</v>
      </c>
      <c r="F338" s="84" t="s">
        <v>22</v>
      </c>
      <c r="G338" s="84" t="s">
        <v>58</v>
      </c>
      <c r="H338" s="84" t="s">
        <v>212</v>
      </c>
      <c r="I338" s="14"/>
      <c r="J338" s="15" t="str">
        <f>IF(E338="Invalid_Segment","Invalid",IFERROR(INDEX(Severity_Matrix!$C$3:$M$10,MATCH('Error Log'!$F338,Severity_Matrix!$B$3:$B$10,0),MATCH('Error Log'!$G338,Severity_Matrix!$C$2:$M$2,0)),"No errors"))</f>
        <v>Minor</v>
      </c>
    </row>
    <row r="339" spans="1:10">
      <c r="A339" s="78" t="s">
        <v>726</v>
      </c>
      <c r="B339" s="18">
        <v>2</v>
      </c>
      <c r="C339" s="78" t="s">
        <v>729</v>
      </c>
      <c r="D339" s="78" t="s">
        <v>728</v>
      </c>
      <c r="E339" s="84" t="s">
        <v>21</v>
      </c>
      <c r="F339" s="84" t="s">
        <v>22</v>
      </c>
      <c r="G339" s="84" t="s">
        <v>28</v>
      </c>
      <c r="H339" s="84" t="s">
        <v>730</v>
      </c>
      <c r="I339" s="14"/>
      <c r="J339" s="15" t="str">
        <f>IF(E339="Invalid_Segment","Invalid",IFERROR(INDEX(Severity_Matrix!$C$3:$M$10,MATCH('Error Log'!$F339,Severity_Matrix!$B$3:$B$10,0),MATCH('Error Log'!$G339,Severity_Matrix!$C$2:$M$2,0)),"No errors"))</f>
        <v>Major</v>
      </c>
    </row>
    <row r="340" spans="1:10">
      <c r="A340" s="78" t="s">
        <v>731</v>
      </c>
      <c r="B340" s="18">
        <v>3</v>
      </c>
      <c r="C340" s="78" t="s">
        <v>732</v>
      </c>
      <c r="D340" s="78" t="s">
        <v>728</v>
      </c>
      <c r="E340" s="84" t="s">
        <v>21</v>
      </c>
      <c r="F340" s="84" t="s">
        <v>22</v>
      </c>
      <c r="G340" s="84" t="s">
        <v>54</v>
      </c>
      <c r="H340" s="84" t="s">
        <v>733</v>
      </c>
      <c r="I340" s="14"/>
      <c r="J340" s="15" t="str">
        <f>IF(E340="Invalid_Segment","Invalid",IFERROR(INDEX(Severity_Matrix!$C$3:$M$10,MATCH('Error Log'!$F340,Severity_Matrix!$B$3:$B$10,0),MATCH('Error Log'!$G340,Severity_Matrix!$C$2:$M$2,0)),"No errors"))</f>
        <v>Critical</v>
      </c>
    </row>
    <row r="341" spans="1:10">
      <c r="A341" s="78" t="s">
        <v>731</v>
      </c>
      <c r="B341" s="18">
        <v>4</v>
      </c>
      <c r="C341" s="78" t="s">
        <v>734</v>
      </c>
      <c r="D341" s="78" t="s">
        <v>728</v>
      </c>
      <c r="E341" s="84" t="s">
        <v>21</v>
      </c>
      <c r="F341" s="84" t="s">
        <v>22</v>
      </c>
      <c r="G341" s="84" t="s">
        <v>28</v>
      </c>
      <c r="H341" s="84" t="s">
        <v>735</v>
      </c>
      <c r="I341" s="14"/>
      <c r="J341" s="15" t="str">
        <f>IF(E341="Invalid_Segment","Invalid",IFERROR(INDEX(Severity_Matrix!$C$3:$M$10,MATCH('Error Log'!$F341,Severity_Matrix!$B$3:$B$10,0),MATCH('Error Log'!$G341,Severity_Matrix!$C$2:$M$2,0)),"No errors"))</f>
        <v>Major</v>
      </c>
    </row>
    <row r="342" spans="1:10">
      <c r="A342" s="78" t="s">
        <v>731</v>
      </c>
      <c r="B342" s="18">
        <v>5</v>
      </c>
      <c r="C342" s="78" t="s">
        <v>736</v>
      </c>
      <c r="D342" s="78" t="s">
        <v>728</v>
      </c>
      <c r="E342" s="84" t="s">
        <v>21</v>
      </c>
      <c r="F342" s="84" t="s">
        <v>22</v>
      </c>
      <c r="G342" s="84" t="s">
        <v>56</v>
      </c>
      <c r="H342" s="84" t="s">
        <v>737</v>
      </c>
      <c r="I342" s="14"/>
      <c r="J342" s="15" t="str">
        <f>IF(E342="Invalid_Segment","Invalid",IFERROR(INDEX(Severity_Matrix!$C$3:$M$10,MATCH('Error Log'!$F342,Severity_Matrix!$B$3:$B$10,0),MATCH('Error Log'!$G342,Severity_Matrix!$C$2:$M$2,0)),"No errors"))</f>
        <v>Critical</v>
      </c>
    </row>
    <row r="343" spans="1:10">
      <c r="A343" s="78" t="s">
        <v>731</v>
      </c>
      <c r="B343" s="18">
        <v>6</v>
      </c>
      <c r="C343" s="78" t="s">
        <v>738</v>
      </c>
      <c r="D343" s="78" t="s">
        <v>728</v>
      </c>
      <c r="E343" s="84" t="s">
        <v>21</v>
      </c>
      <c r="F343" s="84" t="s">
        <v>22</v>
      </c>
      <c r="G343" s="84" t="s">
        <v>57</v>
      </c>
      <c r="H343" s="84" t="s">
        <v>739</v>
      </c>
      <c r="I343" s="14"/>
      <c r="J343" s="15" t="str">
        <f>IF(E343="Invalid_Segment","Invalid",IFERROR(INDEX(Severity_Matrix!$C$3:$M$10,MATCH('Error Log'!$F343,Severity_Matrix!$B$3:$B$10,0),MATCH('Error Log'!$G343,Severity_Matrix!$C$2:$M$2,0)),"No errors"))</f>
        <v>Major</v>
      </c>
    </row>
    <row r="344" spans="1:10">
      <c r="A344" s="78" t="s">
        <v>731</v>
      </c>
      <c r="B344" s="18">
        <v>7</v>
      </c>
      <c r="C344" s="78" t="s">
        <v>740</v>
      </c>
      <c r="D344" s="78" t="s">
        <v>728</v>
      </c>
      <c r="E344" s="84" t="s">
        <v>21</v>
      </c>
      <c r="F344" s="84" t="s">
        <v>22</v>
      </c>
      <c r="G344" s="84" t="s">
        <v>58</v>
      </c>
      <c r="H344" s="84" t="s">
        <v>216</v>
      </c>
      <c r="I344" s="14"/>
      <c r="J344" s="15" t="str">
        <f>IF(E344="Invalid_Segment","Invalid",IFERROR(INDEX(Severity_Matrix!$C$3:$M$10,MATCH('Error Log'!$F344,Severity_Matrix!$B$3:$B$10,0),MATCH('Error Log'!$G344,Severity_Matrix!$C$2:$M$2,0)),"No errors"))</f>
        <v>Minor</v>
      </c>
    </row>
    <row r="345" spans="1:10">
      <c r="A345" s="78" t="s">
        <v>731</v>
      </c>
      <c r="B345" s="18">
        <v>8</v>
      </c>
      <c r="C345" s="78" t="s">
        <v>741</v>
      </c>
      <c r="D345" s="78" t="s">
        <v>728</v>
      </c>
      <c r="E345" s="84" t="s">
        <v>21</v>
      </c>
      <c r="F345" s="84" t="s">
        <v>22</v>
      </c>
      <c r="G345" s="84" t="s">
        <v>28</v>
      </c>
      <c r="H345" s="84" t="s">
        <v>742</v>
      </c>
      <c r="I345" s="14"/>
      <c r="J345" s="15" t="str">
        <f>IF(E345="Invalid_Segment","Invalid",IFERROR(INDEX(Severity_Matrix!$C$3:$M$10,MATCH('Error Log'!$F345,Severity_Matrix!$B$3:$B$10,0),MATCH('Error Log'!$G345,Severity_Matrix!$C$2:$M$2,0)),"No errors"))</f>
        <v>Major</v>
      </c>
    </row>
    <row r="346" spans="1:10">
      <c r="A346" s="78" t="s">
        <v>731</v>
      </c>
      <c r="B346" s="18">
        <v>9</v>
      </c>
      <c r="C346" s="78" t="s">
        <v>743</v>
      </c>
      <c r="D346" s="78" t="s">
        <v>728</v>
      </c>
      <c r="E346" s="84" t="s">
        <v>21</v>
      </c>
      <c r="F346" s="84" t="s">
        <v>22</v>
      </c>
      <c r="G346" s="84" t="s">
        <v>54</v>
      </c>
      <c r="H346" s="84" t="s">
        <v>744</v>
      </c>
      <c r="I346" s="14"/>
      <c r="J346" s="15" t="str">
        <f>IF(E346="Invalid_Segment","Invalid",IFERROR(INDEX(Severity_Matrix!$C$3:$M$10,MATCH('Error Log'!$F346,Severity_Matrix!$B$3:$B$10,0),MATCH('Error Log'!$G346,Severity_Matrix!$C$2:$M$2,0)),"No errors"))</f>
        <v>Critical</v>
      </c>
    </row>
    <row r="347" spans="1:10">
      <c r="A347" s="78" t="s">
        <v>731</v>
      </c>
      <c r="B347" s="18">
        <v>10</v>
      </c>
      <c r="C347" s="78" t="s">
        <v>745</v>
      </c>
      <c r="D347" s="78" t="s">
        <v>728</v>
      </c>
      <c r="E347" s="84" t="s">
        <v>21</v>
      </c>
      <c r="F347" s="84" t="s">
        <v>22</v>
      </c>
      <c r="G347" s="84" t="s">
        <v>58</v>
      </c>
      <c r="H347" s="84" t="s">
        <v>193</v>
      </c>
      <c r="I347" s="14"/>
      <c r="J347" s="15" t="str">
        <f>IF(E347="Invalid_Segment","Invalid",IFERROR(INDEX(Severity_Matrix!$C$3:$M$10,MATCH('Error Log'!$F347,Severity_Matrix!$B$3:$B$10,0),MATCH('Error Log'!$G347,Severity_Matrix!$C$2:$M$2,0)),"No errors"))</f>
        <v>Minor</v>
      </c>
    </row>
    <row r="348" spans="1:10">
      <c r="A348" s="78" t="s">
        <v>731</v>
      </c>
      <c r="B348" s="18">
        <v>11</v>
      </c>
      <c r="C348" s="78" t="s">
        <v>746</v>
      </c>
      <c r="D348" s="78" t="s">
        <v>728</v>
      </c>
      <c r="E348" s="84" t="s">
        <v>21</v>
      </c>
      <c r="F348" s="84" t="s">
        <v>22</v>
      </c>
      <c r="G348" s="84" t="s">
        <v>56</v>
      </c>
      <c r="H348" s="84" t="s">
        <v>747</v>
      </c>
      <c r="I348" s="14"/>
      <c r="J348" s="15" t="str">
        <f>IF(E348="Invalid_Segment","Invalid",IFERROR(INDEX(Severity_Matrix!$C$3:$M$10,MATCH('Error Log'!$F348,Severity_Matrix!$B$3:$B$10,0),MATCH('Error Log'!$G348,Severity_Matrix!$C$2:$M$2,0)),"No errors"))</f>
        <v>Critical</v>
      </c>
    </row>
    <row r="349" spans="1:10">
      <c r="A349" s="78" t="s">
        <v>731</v>
      </c>
      <c r="B349" s="18">
        <v>12</v>
      </c>
      <c r="C349" s="78" t="s">
        <v>748</v>
      </c>
      <c r="D349" s="78" t="s">
        <v>728</v>
      </c>
      <c r="E349" s="84" t="s">
        <v>21</v>
      </c>
      <c r="F349" s="84" t="s">
        <v>22</v>
      </c>
      <c r="G349" s="84" t="s">
        <v>55</v>
      </c>
      <c r="H349" s="84" t="s">
        <v>749</v>
      </c>
      <c r="I349" s="14"/>
      <c r="J349" s="15" t="str">
        <f>IF(E349="Invalid_Segment","Invalid",IFERROR(INDEX(Severity_Matrix!$C$3:$M$10,MATCH('Error Log'!$F349,Severity_Matrix!$B$3:$B$10,0),MATCH('Error Log'!$G349,Severity_Matrix!$C$2:$M$2,0)),"No errors"))</f>
        <v>Critical</v>
      </c>
    </row>
    <row r="350" spans="1:10">
      <c r="A350" s="78" t="s">
        <v>731</v>
      </c>
      <c r="B350" s="18">
        <v>13</v>
      </c>
      <c r="C350" s="78" t="s">
        <v>750</v>
      </c>
      <c r="D350" s="78" t="s">
        <v>728</v>
      </c>
      <c r="E350" s="84" t="s">
        <v>21</v>
      </c>
      <c r="F350" s="84" t="s">
        <v>22</v>
      </c>
      <c r="G350" s="84" t="s">
        <v>57</v>
      </c>
      <c r="H350" s="84" t="s">
        <v>751</v>
      </c>
      <c r="I350" s="14"/>
      <c r="J350" s="15" t="str">
        <f>IF(E350="Invalid_Segment","Invalid",IFERROR(INDEX(Severity_Matrix!$C$3:$M$10,MATCH('Error Log'!$F350,Severity_Matrix!$B$3:$B$10,0),MATCH('Error Log'!$G350,Severity_Matrix!$C$2:$M$2,0)),"No errors"))</f>
        <v>Major</v>
      </c>
    </row>
    <row r="351" spans="1:10">
      <c r="A351" s="78" t="s">
        <v>731</v>
      </c>
      <c r="B351" s="18">
        <v>14</v>
      </c>
      <c r="C351" s="78" t="s">
        <v>752</v>
      </c>
      <c r="D351" s="78" t="s">
        <v>728</v>
      </c>
      <c r="E351" s="84" t="s">
        <v>21</v>
      </c>
      <c r="F351" s="84" t="s">
        <v>22</v>
      </c>
      <c r="G351" s="84" t="s">
        <v>57</v>
      </c>
      <c r="H351" s="84" t="s">
        <v>753</v>
      </c>
      <c r="I351" s="14"/>
      <c r="J351" s="15" t="str">
        <f>IF(E351="Invalid_Segment","Invalid",IFERROR(INDEX(Severity_Matrix!$C$3:$M$10,MATCH('Error Log'!$F351,Severity_Matrix!$B$3:$B$10,0),MATCH('Error Log'!$G351,Severity_Matrix!$C$2:$M$2,0)),"No errors"))</f>
        <v>Major</v>
      </c>
    </row>
    <row r="352" spans="1:10">
      <c r="A352" s="78" t="s">
        <v>731</v>
      </c>
      <c r="B352" s="18">
        <v>15</v>
      </c>
      <c r="C352" s="78" t="s">
        <v>754</v>
      </c>
      <c r="D352" s="78" t="s">
        <v>728</v>
      </c>
      <c r="E352" s="84" t="s">
        <v>21</v>
      </c>
      <c r="F352" s="84" t="s">
        <v>7</v>
      </c>
      <c r="G352" s="84" t="s">
        <v>57</v>
      </c>
      <c r="H352" s="84" t="s">
        <v>755</v>
      </c>
      <c r="I352" s="14"/>
      <c r="J352" s="15" t="str">
        <f>IF(E352="Invalid_Segment","Invalid",IFERROR(INDEX(Severity_Matrix!$C$3:$M$10,MATCH('Error Log'!$F352,Severity_Matrix!$B$3:$B$10,0),MATCH('Error Log'!$G352,Severity_Matrix!$C$2:$M$2,0)),"No errors"))</f>
        <v>Critical</v>
      </c>
    </row>
    <row r="353" spans="1:10">
      <c r="A353" s="78" t="s">
        <v>731</v>
      </c>
      <c r="B353" s="18">
        <v>16</v>
      </c>
      <c r="C353" s="78" t="s">
        <v>756</v>
      </c>
      <c r="D353" s="78" t="s">
        <v>728</v>
      </c>
      <c r="E353" s="84" t="s">
        <v>21</v>
      </c>
      <c r="F353" s="84" t="s">
        <v>7</v>
      </c>
      <c r="G353" s="84" t="s">
        <v>57</v>
      </c>
      <c r="H353" s="84" t="s">
        <v>757</v>
      </c>
      <c r="I353" s="14"/>
      <c r="J353" s="15" t="str">
        <f>IF(E353="Invalid_Segment","Invalid",IFERROR(INDEX(Severity_Matrix!$C$3:$M$10,MATCH('Error Log'!$F353,Severity_Matrix!$B$3:$B$10,0),MATCH('Error Log'!$G353,Severity_Matrix!$C$2:$M$2,0)),"No errors"))</f>
        <v>Critical</v>
      </c>
    </row>
    <row r="354" spans="1:10">
      <c r="A354" s="78" t="s">
        <v>758</v>
      </c>
      <c r="B354" s="18">
        <v>1</v>
      </c>
      <c r="C354" s="78" t="s">
        <v>759</v>
      </c>
      <c r="D354" s="78" t="s">
        <v>760</v>
      </c>
      <c r="E354" s="84" t="s">
        <v>21</v>
      </c>
      <c r="F354" s="84" t="s">
        <v>22</v>
      </c>
      <c r="G354" s="84" t="s">
        <v>57</v>
      </c>
      <c r="H354" s="84" t="s">
        <v>761</v>
      </c>
      <c r="I354" s="14"/>
      <c r="J354" s="15" t="str">
        <f>IF(E354="Invalid_Segment","Invalid",IFERROR(INDEX(Severity_Matrix!$C$3:$M$10,MATCH('Error Log'!$F354,Severity_Matrix!$B$3:$B$10,0),MATCH('Error Log'!$G354,Severity_Matrix!$C$2:$M$2,0)),"No errors"))</f>
        <v>Major</v>
      </c>
    </row>
    <row r="355" spans="1:10">
      <c r="A355" s="78" t="s">
        <v>758</v>
      </c>
      <c r="B355" s="18">
        <v>2</v>
      </c>
      <c r="C355" s="78" t="s">
        <v>762</v>
      </c>
      <c r="D355" s="78" t="s">
        <v>760</v>
      </c>
      <c r="E355" s="84" t="s">
        <v>21</v>
      </c>
      <c r="F355" s="84" t="s">
        <v>22</v>
      </c>
      <c r="G355" s="84" t="s">
        <v>57</v>
      </c>
      <c r="H355" s="84" t="s">
        <v>763</v>
      </c>
      <c r="I355" s="14"/>
      <c r="J355" s="15" t="str">
        <f>IF(E355="Invalid_Segment","Invalid",IFERROR(INDEX(Severity_Matrix!$C$3:$M$10,MATCH('Error Log'!$F355,Severity_Matrix!$B$3:$B$10,0),MATCH('Error Log'!$G355,Severity_Matrix!$C$2:$M$2,0)),"No errors"))</f>
        <v>Major</v>
      </c>
    </row>
    <row r="356" spans="1:10">
      <c r="A356" s="78" t="s">
        <v>764</v>
      </c>
      <c r="B356" s="18">
        <v>3</v>
      </c>
      <c r="C356" s="78" t="s">
        <v>765</v>
      </c>
      <c r="D356" s="78" t="s">
        <v>760</v>
      </c>
      <c r="E356" s="84" t="s">
        <v>21</v>
      </c>
      <c r="F356" s="84" t="s">
        <v>63</v>
      </c>
      <c r="G356" s="84" t="s">
        <v>54</v>
      </c>
      <c r="H356" s="84" t="s">
        <v>766</v>
      </c>
      <c r="I356" s="14"/>
      <c r="J356" s="15" t="str">
        <f>IF(E356="Invalid_Segment","Invalid",IFERROR(INDEX(Severity_Matrix!$C$3:$M$10,MATCH('Error Log'!$F356,Severity_Matrix!$B$3:$B$10,0),MATCH('Error Log'!$G356,Severity_Matrix!$C$2:$M$2,0)),"No errors"))</f>
        <v>Critical</v>
      </c>
    </row>
    <row r="357" spans="1:10">
      <c r="A357" s="78" t="s">
        <v>764</v>
      </c>
      <c r="B357" s="18">
        <v>4</v>
      </c>
      <c r="C357" s="78" t="s">
        <v>767</v>
      </c>
      <c r="D357" s="78" t="s">
        <v>760</v>
      </c>
      <c r="E357" s="84" t="s">
        <v>21</v>
      </c>
      <c r="F357" s="84" t="s">
        <v>7</v>
      </c>
      <c r="G357" s="84" t="s">
        <v>57</v>
      </c>
      <c r="H357" s="84" t="s">
        <v>768</v>
      </c>
      <c r="I357" s="14"/>
      <c r="J357" s="15" t="str">
        <f>IF(E357="Invalid_Segment","Invalid",IFERROR(INDEX(Severity_Matrix!$C$3:$M$10,MATCH('Error Log'!$F357,Severity_Matrix!$B$3:$B$10,0),MATCH('Error Log'!$G357,Severity_Matrix!$C$2:$M$2,0)),"No errors"))</f>
        <v>Critical</v>
      </c>
    </row>
    <row r="358" spans="1:10">
      <c r="A358" s="79" t="s">
        <v>769</v>
      </c>
      <c r="B358" s="18">
        <v>1</v>
      </c>
      <c r="C358" s="78" t="s">
        <v>770</v>
      </c>
      <c r="D358" s="85" t="s">
        <v>771</v>
      </c>
      <c r="E358" s="84" t="s">
        <v>21</v>
      </c>
      <c r="F358" s="84" t="s">
        <v>22</v>
      </c>
      <c r="G358" s="88" t="s">
        <v>57</v>
      </c>
      <c r="H358" s="88" t="s">
        <v>772</v>
      </c>
      <c r="I358" s="14"/>
      <c r="J358" s="15" t="str">
        <f>IF(E358="Invalid_Segment","Invalid",IFERROR(INDEX(Severity_Matrix!$C$3:$M$10,MATCH('Error Log'!$F358,Severity_Matrix!$B$3:$B$10,0),MATCH('Error Log'!$G358,Severity_Matrix!$C$2:$M$2,0)),"No errors"))</f>
        <v>Major</v>
      </c>
    </row>
    <row r="359" spans="1:10">
      <c r="A359" s="79" t="s">
        <v>769</v>
      </c>
      <c r="B359" s="18">
        <v>2</v>
      </c>
      <c r="C359" s="78" t="s">
        <v>770</v>
      </c>
      <c r="D359" s="85" t="s">
        <v>771</v>
      </c>
      <c r="E359" s="88" t="s">
        <v>21</v>
      </c>
      <c r="F359" s="88" t="s">
        <v>63</v>
      </c>
      <c r="G359" s="88" t="s">
        <v>55</v>
      </c>
      <c r="H359" s="88" t="s">
        <v>773</v>
      </c>
      <c r="I359" s="14"/>
      <c r="J359" s="15" t="str">
        <f>IF(E359="Invalid_Segment","Invalid",IFERROR(INDEX(Severity_Matrix!$C$3:$M$10,MATCH('Error Log'!$F359,Severity_Matrix!$B$3:$B$10,0),MATCH('Error Log'!$G359,Severity_Matrix!$C$2:$M$2,0)),"No errors"))</f>
        <v>Critical</v>
      </c>
    </row>
    <row r="360" spans="1:10">
      <c r="A360" s="79" t="s">
        <v>774</v>
      </c>
      <c r="B360" s="18">
        <v>3</v>
      </c>
      <c r="C360" s="78" t="s">
        <v>770</v>
      </c>
      <c r="D360" s="85" t="s">
        <v>771</v>
      </c>
      <c r="E360" s="88" t="s">
        <v>21</v>
      </c>
      <c r="F360" s="88" t="s">
        <v>7</v>
      </c>
      <c r="G360" s="88" t="s">
        <v>57</v>
      </c>
      <c r="H360" s="89" t="s">
        <v>775</v>
      </c>
      <c r="I360" s="14"/>
      <c r="J360" s="15" t="str">
        <f>IF(E360="Invalid_Segment","Invalid",IFERROR(INDEX(Severity_Matrix!$C$3:$M$10,MATCH('Error Log'!$F360,Severity_Matrix!$B$3:$B$10,0),MATCH('Error Log'!$G360,Severity_Matrix!$C$2:$M$2,0)),"No errors"))</f>
        <v>Critical</v>
      </c>
    </row>
    <row r="361" spans="1:10">
      <c r="A361" s="79" t="s">
        <v>776</v>
      </c>
      <c r="B361" s="18">
        <v>1</v>
      </c>
      <c r="C361" s="85" t="s">
        <v>777</v>
      </c>
      <c r="D361" s="85" t="s">
        <v>778</v>
      </c>
      <c r="E361" s="84" t="s">
        <v>21</v>
      </c>
      <c r="F361" s="84" t="s">
        <v>22</v>
      </c>
      <c r="G361" s="84" t="s">
        <v>57</v>
      </c>
      <c r="H361" s="84" t="s">
        <v>779</v>
      </c>
      <c r="I361" s="14"/>
      <c r="J361" s="15" t="str">
        <f>IF(E361="Invalid_Segment","Invalid",IFERROR(INDEX(Severity_Matrix!$C$3:$M$10,MATCH('Error Log'!$F361,Severity_Matrix!$B$3:$B$10,0),MATCH('Error Log'!$G361,Severity_Matrix!$C$2:$M$2,0)),"No errors"))</f>
        <v>Major</v>
      </c>
    </row>
    <row r="362" spans="1:10">
      <c r="A362" s="79" t="s">
        <v>776</v>
      </c>
      <c r="B362" s="18">
        <v>2</v>
      </c>
      <c r="C362" s="85" t="s">
        <v>780</v>
      </c>
      <c r="D362" s="85" t="s">
        <v>781</v>
      </c>
      <c r="E362" s="84" t="s">
        <v>21</v>
      </c>
      <c r="F362" s="84" t="s">
        <v>22</v>
      </c>
      <c r="G362" s="84" t="s">
        <v>57</v>
      </c>
      <c r="H362" s="84" t="s">
        <v>782</v>
      </c>
      <c r="I362" s="14"/>
      <c r="J362" s="15" t="str">
        <f>IF(E362="Invalid_Segment","Invalid",IFERROR(INDEX(Severity_Matrix!$C$3:$M$10,MATCH('Error Log'!$F362,Severity_Matrix!$B$3:$B$10,0),MATCH('Error Log'!$G362,Severity_Matrix!$C$2:$M$2,0)),"No errors"))</f>
        <v>Major</v>
      </c>
    </row>
    <row r="363" spans="1:10">
      <c r="A363" s="79" t="s">
        <v>783</v>
      </c>
      <c r="B363" s="18">
        <v>3</v>
      </c>
      <c r="C363" s="85" t="s">
        <v>784</v>
      </c>
      <c r="D363" s="85" t="s">
        <v>785</v>
      </c>
      <c r="E363" s="84" t="s">
        <v>21</v>
      </c>
      <c r="F363" s="84" t="s">
        <v>22</v>
      </c>
      <c r="G363" s="84" t="s">
        <v>28</v>
      </c>
      <c r="H363" s="84" t="s">
        <v>786</v>
      </c>
      <c r="I363" s="14"/>
      <c r="J363" s="15" t="str">
        <f>IF(E363="Invalid_Segment","Invalid",IFERROR(INDEX(Severity_Matrix!$C$3:$M$10,MATCH('Error Log'!$F363,Severity_Matrix!$B$3:$B$10,0),MATCH('Error Log'!$G363,Severity_Matrix!$C$2:$M$2,0)),"No errors"))</f>
        <v>Major</v>
      </c>
    </row>
    <row r="364" spans="1:10">
      <c r="A364" s="79" t="s">
        <v>783</v>
      </c>
      <c r="B364" s="18">
        <v>4</v>
      </c>
      <c r="C364" s="85" t="s">
        <v>787</v>
      </c>
      <c r="D364" s="85" t="s">
        <v>788</v>
      </c>
      <c r="E364" s="84" t="s">
        <v>21</v>
      </c>
      <c r="F364" s="84" t="s">
        <v>22</v>
      </c>
      <c r="G364" s="84" t="s">
        <v>28</v>
      </c>
      <c r="H364" s="84" t="s">
        <v>789</v>
      </c>
      <c r="I364" s="14"/>
      <c r="J364" s="15" t="str">
        <f>IF(E364="Invalid_Segment","Invalid",IFERROR(INDEX(Severity_Matrix!$C$3:$M$10,MATCH('Error Log'!$F364,Severity_Matrix!$B$3:$B$10,0),MATCH('Error Log'!$G364,Severity_Matrix!$C$2:$M$2,0)),"No errors"))</f>
        <v>Major</v>
      </c>
    </row>
    <row r="365" spans="1:10">
      <c r="A365" s="79" t="s">
        <v>783</v>
      </c>
      <c r="B365" s="18">
        <v>5</v>
      </c>
      <c r="C365" s="85" t="s">
        <v>790</v>
      </c>
      <c r="D365" s="85" t="s">
        <v>791</v>
      </c>
      <c r="E365" s="84" t="s">
        <v>21</v>
      </c>
      <c r="F365" s="84" t="s">
        <v>22</v>
      </c>
      <c r="G365" s="84" t="s">
        <v>57</v>
      </c>
      <c r="H365" s="90" t="s">
        <v>792</v>
      </c>
      <c r="I365" s="14"/>
      <c r="J365" s="15" t="str">
        <f>IF(E365="Invalid_Segment","Invalid",IFERROR(INDEX(Severity_Matrix!$C$3:$M$10,MATCH('Error Log'!$F365,Severity_Matrix!$B$3:$B$10,0),MATCH('Error Log'!$G365,Severity_Matrix!$C$2:$M$2,0)),"No errors"))</f>
        <v>Major</v>
      </c>
    </row>
    <row r="366" spans="1:10">
      <c r="A366" s="79" t="s">
        <v>783</v>
      </c>
      <c r="B366" s="18">
        <v>6</v>
      </c>
      <c r="C366" s="85" t="s">
        <v>793</v>
      </c>
      <c r="D366" s="85" t="s">
        <v>794</v>
      </c>
      <c r="E366" s="84" t="s">
        <v>21</v>
      </c>
      <c r="F366" s="84" t="s">
        <v>7</v>
      </c>
      <c r="G366" s="84" t="s">
        <v>57</v>
      </c>
      <c r="H366" s="84" t="s">
        <v>795</v>
      </c>
      <c r="I366" s="14"/>
      <c r="J366" s="15" t="str">
        <f>IF(E366="Invalid_Segment","Invalid",IFERROR(INDEX(Severity_Matrix!$C$3:$M$10,MATCH('Error Log'!$F366,Severity_Matrix!$B$3:$B$10,0),MATCH('Error Log'!$G366,Severity_Matrix!$C$2:$M$2,0)),"No errors"))</f>
        <v>Critical</v>
      </c>
    </row>
    <row r="367" spans="1:10">
      <c r="A367" s="79" t="s">
        <v>783</v>
      </c>
      <c r="B367" s="18">
        <v>7</v>
      </c>
      <c r="C367" s="85" t="s">
        <v>796</v>
      </c>
      <c r="D367" s="85" t="s">
        <v>797</v>
      </c>
      <c r="E367" s="84" t="s">
        <v>21</v>
      </c>
      <c r="F367" s="84" t="s">
        <v>7</v>
      </c>
      <c r="G367" s="84" t="s">
        <v>57</v>
      </c>
      <c r="H367" s="84" t="s">
        <v>798</v>
      </c>
      <c r="I367" s="14"/>
      <c r="J367" s="15" t="str">
        <f>IF(E367="Invalid_Segment","Invalid",IFERROR(INDEX(Severity_Matrix!$C$3:$M$10,MATCH('Error Log'!$F367,Severity_Matrix!$B$3:$B$10,0),MATCH('Error Log'!$G367,Severity_Matrix!$C$2:$M$2,0)),"No errors"))</f>
        <v>Critical</v>
      </c>
    </row>
    <row r="368" spans="1:10">
      <c r="A368" s="79" t="s">
        <v>783</v>
      </c>
      <c r="B368" s="18">
        <v>8</v>
      </c>
      <c r="C368" s="85" t="s">
        <v>799</v>
      </c>
      <c r="D368" s="85" t="s">
        <v>800</v>
      </c>
      <c r="E368" s="84" t="s">
        <v>21</v>
      </c>
      <c r="F368" s="84" t="s">
        <v>7</v>
      </c>
      <c r="G368" s="84" t="s">
        <v>57</v>
      </c>
      <c r="H368" s="84" t="s">
        <v>801</v>
      </c>
      <c r="I368" s="14"/>
      <c r="J368" s="15" t="str">
        <f>IF(E368="Invalid_Segment","Invalid",IFERROR(INDEX(Severity_Matrix!$C$3:$M$10,MATCH('Error Log'!$F368,Severity_Matrix!$B$3:$B$10,0),MATCH('Error Log'!$G368,Severity_Matrix!$C$2:$M$2,0)),"No errors"))</f>
        <v>Critical</v>
      </c>
    </row>
    <row r="369" spans="1:10">
      <c r="A369" s="79" t="s">
        <v>802</v>
      </c>
      <c r="B369" s="18">
        <v>1</v>
      </c>
      <c r="C369" s="85" t="s">
        <v>803</v>
      </c>
      <c r="D369" s="85" t="s">
        <v>804</v>
      </c>
      <c r="E369" s="84" t="s">
        <v>21</v>
      </c>
      <c r="F369" s="84" t="s">
        <v>22</v>
      </c>
      <c r="G369" s="84" t="s">
        <v>57</v>
      </c>
      <c r="H369" s="84" t="s">
        <v>805</v>
      </c>
      <c r="I369" s="14"/>
      <c r="J369" s="15" t="str">
        <f>IF(E369="Invalid_Segment","Invalid",IFERROR(INDEX(Severity_Matrix!$C$3:$M$10,MATCH('Error Log'!$F369,Severity_Matrix!$B$3:$B$10,0),MATCH('Error Log'!$G369,Severity_Matrix!$C$2:$M$2,0)),"No errors"))</f>
        <v>Major</v>
      </c>
    </row>
    <row r="370" spans="1:10">
      <c r="A370" s="79" t="s">
        <v>802</v>
      </c>
      <c r="B370" s="18">
        <v>2</v>
      </c>
      <c r="C370" s="85" t="s">
        <v>803</v>
      </c>
      <c r="D370" s="85" t="s">
        <v>804</v>
      </c>
      <c r="E370" s="84" t="s">
        <v>21</v>
      </c>
      <c r="F370" s="84" t="s">
        <v>7</v>
      </c>
      <c r="G370" s="84" t="s">
        <v>57</v>
      </c>
      <c r="H370" s="84" t="s">
        <v>806</v>
      </c>
      <c r="I370" s="14"/>
      <c r="J370" s="15" t="str">
        <f>IF(E370="Invalid_Segment","Invalid",IFERROR(INDEX(Severity_Matrix!$C$3:$M$10,MATCH('Error Log'!$F370,Severity_Matrix!$B$3:$B$10,0),MATCH('Error Log'!$G370,Severity_Matrix!$C$2:$M$2,0)),"No errors"))</f>
        <v>Critical</v>
      </c>
    </row>
    <row r="371" spans="1:10">
      <c r="A371" s="79" t="s">
        <v>807</v>
      </c>
      <c r="B371" s="18">
        <v>3</v>
      </c>
      <c r="C371" s="85" t="s">
        <v>803</v>
      </c>
      <c r="D371" s="85" t="s">
        <v>804</v>
      </c>
      <c r="E371" s="84" t="s">
        <v>21</v>
      </c>
      <c r="F371" s="84" t="s">
        <v>7</v>
      </c>
      <c r="G371" s="84" t="s">
        <v>57</v>
      </c>
      <c r="H371" s="84" t="s">
        <v>808</v>
      </c>
      <c r="I371" s="14"/>
      <c r="J371" s="15" t="str">
        <f>IF(E371="Invalid_Segment","Invalid",IFERROR(INDEX(Severity_Matrix!$C$3:$M$10,MATCH('Error Log'!$F371,Severity_Matrix!$B$3:$B$10,0),MATCH('Error Log'!$G371,Severity_Matrix!$C$2:$M$2,0)),"No errors"))</f>
        <v>Critical</v>
      </c>
    </row>
    <row r="372" spans="1:10">
      <c r="A372" s="79" t="s">
        <v>809</v>
      </c>
      <c r="B372" s="18">
        <v>1</v>
      </c>
      <c r="C372" s="85" t="s">
        <v>810</v>
      </c>
      <c r="D372" s="85" t="s">
        <v>811</v>
      </c>
      <c r="E372" s="84" t="s">
        <v>21</v>
      </c>
      <c r="F372" s="84" t="s">
        <v>7</v>
      </c>
      <c r="G372" s="84" t="s">
        <v>55</v>
      </c>
      <c r="H372" s="84" t="s">
        <v>812</v>
      </c>
      <c r="I372" s="14"/>
      <c r="J372" s="15" t="str">
        <f>IF(E372="Invalid_Segment","Invalid",IFERROR(INDEX(Severity_Matrix!$C$3:$M$10,MATCH('Error Log'!$F372,Severity_Matrix!$B$3:$B$10,0),MATCH('Error Log'!$G372,Severity_Matrix!$C$2:$M$2,0)),"No errors"))</f>
        <v>Critical</v>
      </c>
    </row>
    <row r="373" spans="1:10">
      <c r="A373" s="79" t="s">
        <v>809</v>
      </c>
      <c r="B373" s="18">
        <v>2</v>
      </c>
      <c r="C373" s="85" t="s">
        <v>810</v>
      </c>
      <c r="D373" s="85" t="s">
        <v>811</v>
      </c>
      <c r="E373" s="84" t="s">
        <v>21</v>
      </c>
      <c r="F373" s="84" t="s">
        <v>7</v>
      </c>
      <c r="G373" s="84" t="s">
        <v>58</v>
      </c>
      <c r="H373" s="84" t="s">
        <v>561</v>
      </c>
      <c r="I373" s="14"/>
      <c r="J373" s="15" t="str">
        <f>IF(E373="Invalid_Segment","Invalid",IFERROR(INDEX(Severity_Matrix!$C$3:$M$10,MATCH('Error Log'!$F373,Severity_Matrix!$B$3:$B$10,0),MATCH('Error Log'!$G373,Severity_Matrix!$C$2:$M$2,0)),"No errors"))</f>
        <v>Minor</v>
      </c>
    </row>
    <row r="374" spans="1:10">
      <c r="A374" s="79" t="s">
        <v>813</v>
      </c>
      <c r="B374" s="18">
        <v>3</v>
      </c>
      <c r="C374" s="85" t="s">
        <v>810</v>
      </c>
      <c r="D374" s="85" t="s">
        <v>811</v>
      </c>
      <c r="E374" s="84" t="s">
        <v>21</v>
      </c>
      <c r="F374" s="84" t="s">
        <v>7</v>
      </c>
      <c r="G374" s="84" t="s">
        <v>56</v>
      </c>
      <c r="H374" s="84" t="s">
        <v>814</v>
      </c>
      <c r="I374" s="14"/>
      <c r="J374" s="15" t="str">
        <f>IF(E374="Invalid_Segment","Invalid",IFERROR(INDEX(Severity_Matrix!$C$3:$M$10,MATCH('Error Log'!$F374,Severity_Matrix!$B$3:$B$10,0),MATCH('Error Log'!$G374,Severity_Matrix!$C$2:$M$2,0)),"No errors"))</f>
        <v>Critical</v>
      </c>
    </row>
    <row r="375" spans="1:10">
      <c r="A375" s="79" t="s">
        <v>813</v>
      </c>
      <c r="B375" s="18">
        <v>4</v>
      </c>
      <c r="C375" s="85" t="s">
        <v>810</v>
      </c>
      <c r="D375" s="85" t="s">
        <v>811</v>
      </c>
      <c r="E375" s="84" t="s">
        <v>21</v>
      </c>
      <c r="F375" s="84" t="s">
        <v>7</v>
      </c>
      <c r="G375" s="84" t="s">
        <v>55</v>
      </c>
      <c r="H375" s="86" t="s">
        <v>815</v>
      </c>
      <c r="I375" s="14"/>
      <c r="J375" s="15" t="str">
        <f>IF(E375="Invalid_Segment","Invalid",IFERROR(INDEX(Severity_Matrix!$C$3:$M$10,MATCH('Error Log'!$F375,Severity_Matrix!$B$3:$B$10,0),MATCH('Error Log'!$G375,Severity_Matrix!$C$2:$M$2,0)),"No errors"))</f>
        <v>Critical</v>
      </c>
    </row>
    <row r="376" spans="1:10">
      <c r="A376" s="79" t="s">
        <v>816</v>
      </c>
      <c r="B376" s="18">
        <v>1</v>
      </c>
      <c r="C376" s="85" t="s">
        <v>817</v>
      </c>
      <c r="D376" s="85" t="s">
        <v>818</v>
      </c>
      <c r="E376" s="84" t="s">
        <v>21</v>
      </c>
      <c r="F376" s="84" t="s">
        <v>22</v>
      </c>
      <c r="G376" s="84" t="s">
        <v>57</v>
      </c>
      <c r="H376" s="86" t="s">
        <v>819</v>
      </c>
      <c r="I376" s="14"/>
      <c r="J376" s="15" t="str">
        <f>IF(E376="Invalid_Segment","Invalid",IFERROR(INDEX(Severity_Matrix!$C$3:$M$10,MATCH('Error Log'!$F376,Severity_Matrix!$B$3:$B$10,0),MATCH('Error Log'!$G376,Severity_Matrix!$C$2:$M$2,0)),"No errors"))</f>
        <v>Major</v>
      </c>
    </row>
    <row r="377" spans="1:10">
      <c r="A377" s="79" t="s">
        <v>816</v>
      </c>
      <c r="B377" s="18">
        <v>2</v>
      </c>
      <c r="C377" s="85" t="s">
        <v>817</v>
      </c>
      <c r="D377" s="85" t="s">
        <v>818</v>
      </c>
      <c r="E377" s="84" t="s">
        <v>21</v>
      </c>
      <c r="F377" s="84" t="s">
        <v>7</v>
      </c>
      <c r="G377" s="84" t="s">
        <v>57</v>
      </c>
      <c r="H377" s="84" t="s">
        <v>820</v>
      </c>
      <c r="I377" s="14"/>
      <c r="J377" s="15" t="str">
        <f>IF(E377="Invalid_Segment","Invalid",IFERROR(INDEX(Severity_Matrix!$C$3:$M$10,MATCH('Error Log'!$F377,Severity_Matrix!$B$3:$B$10,0),MATCH('Error Log'!$G377,Severity_Matrix!$C$2:$M$2,0)),"No errors"))</f>
        <v>Critical</v>
      </c>
    </row>
    <row r="378" spans="1:10">
      <c r="A378" s="79" t="s">
        <v>821</v>
      </c>
      <c r="B378" s="18">
        <v>1</v>
      </c>
      <c r="C378" s="85" t="s">
        <v>822</v>
      </c>
      <c r="D378" s="85" t="s">
        <v>823</v>
      </c>
      <c r="E378" s="84" t="s">
        <v>21</v>
      </c>
      <c r="F378" s="84" t="s">
        <v>22</v>
      </c>
      <c r="G378" s="84" t="s">
        <v>57</v>
      </c>
      <c r="H378" s="84" t="s">
        <v>824</v>
      </c>
      <c r="I378" s="14"/>
      <c r="J378" s="15" t="str">
        <f>IF(E378="Invalid_Segment","Invalid",IFERROR(INDEX(Severity_Matrix!$C$3:$M$10,MATCH('Error Log'!$F378,Severity_Matrix!$B$3:$B$10,0),MATCH('Error Log'!$G378,Severity_Matrix!$C$2:$M$2,0)),"No errors"))</f>
        <v>Major</v>
      </c>
    </row>
    <row r="379" spans="1:10">
      <c r="A379" s="79" t="s">
        <v>821</v>
      </c>
      <c r="B379" s="18">
        <v>2</v>
      </c>
      <c r="C379" s="85" t="s">
        <v>822</v>
      </c>
      <c r="D379" s="85" t="s">
        <v>823</v>
      </c>
      <c r="E379" s="84" t="s">
        <v>21</v>
      </c>
      <c r="F379" s="84" t="s">
        <v>22</v>
      </c>
      <c r="G379" s="84" t="s">
        <v>57</v>
      </c>
      <c r="H379" s="84" t="s">
        <v>825</v>
      </c>
      <c r="I379" s="14"/>
      <c r="J379" s="15" t="str">
        <f>IF(E379="Invalid_Segment","Invalid",IFERROR(INDEX(Severity_Matrix!$C$3:$M$10,MATCH('Error Log'!$F379,Severity_Matrix!$B$3:$B$10,0),MATCH('Error Log'!$G379,Severity_Matrix!$C$2:$M$2,0)),"No errors"))</f>
        <v>Major</v>
      </c>
    </row>
    <row r="380" spans="1:10">
      <c r="A380" s="79" t="s">
        <v>826</v>
      </c>
      <c r="B380" s="18">
        <v>3</v>
      </c>
      <c r="C380" s="85" t="s">
        <v>822</v>
      </c>
      <c r="D380" s="85" t="s">
        <v>823</v>
      </c>
      <c r="E380" s="84" t="s">
        <v>21</v>
      </c>
      <c r="F380" s="84" t="s">
        <v>7</v>
      </c>
      <c r="G380" s="84" t="s">
        <v>57</v>
      </c>
      <c r="H380" s="84" t="s">
        <v>827</v>
      </c>
      <c r="I380" s="14"/>
      <c r="J380" s="15" t="str">
        <f>IF(E380="Invalid_Segment","Invalid",IFERROR(INDEX(Severity_Matrix!$C$3:$M$10,MATCH('Error Log'!$F380,Severity_Matrix!$B$3:$B$10,0),MATCH('Error Log'!$G380,Severity_Matrix!$C$2:$M$2,0)),"No errors"))</f>
        <v>Critical</v>
      </c>
    </row>
    <row r="381" spans="1:10">
      <c r="A381" s="79" t="s">
        <v>826</v>
      </c>
      <c r="B381" s="18">
        <v>4</v>
      </c>
      <c r="C381" s="85" t="s">
        <v>822</v>
      </c>
      <c r="D381" s="85" t="s">
        <v>823</v>
      </c>
      <c r="E381" s="84" t="s">
        <v>21</v>
      </c>
      <c r="F381" s="84" t="s">
        <v>7</v>
      </c>
      <c r="G381" s="84" t="s">
        <v>57</v>
      </c>
      <c r="H381" s="84" t="s">
        <v>828</v>
      </c>
      <c r="I381" s="14"/>
      <c r="J381" s="15" t="str">
        <f>IF(E381="Invalid_Segment","Invalid",IFERROR(INDEX(Severity_Matrix!$C$3:$M$10,MATCH('Error Log'!$F381,Severity_Matrix!$B$3:$B$10,0),MATCH('Error Log'!$G381,Severity_Matrix!$C$2:$M$2,0)),"No errors"))</f>
        <v>Critical</v>
      </c>
    </row>
    <row r="382" spans="1:10">
      <c r="A382" s="79" t="s">
        <v>829</v>
      </c>
      <c r="B382" s="18">
        <v>1</v>
      </c>
      <c r="C382" s="85" t="s">
        <v>830</v>
      </c>
      <c r="D382" s="85" t="s">
        <v>831</v>
      </c>
      <c r="E382" s="84" t="s">
        <v>21</v>
      </c>
      <c r="F382" s="84" t="s">
        <v>22</v>
      </c>
      <c r="G382" s="84" t="s">
        <v>57</v>
      </c>
      <c r="H382" s="84" t="s">
        <v>832</v>
      </c>
      <c r="I382" s="14"/>
      <c r="J382" s="15" t="str">
        <f>IF(E382="Invalid_Segment","Invalid",IFERROR(INDEX(Severity_Matrix!$C$3:$M$10,MATCH('Error Log'!$F382,Severity_Matrix!$B$3:$B$10,0),MATCH('Error Log'!$G382,Severity_Matrix!$C$2:$M$2,0)),"No errors"))</f>
        <v>Major</v>
      </c>
    </row>
    <row r="383" spans="1:10">
      <c r="A383" s="79" t="s">
        <v>829</v>
      </c>
      <c r="B383" s="18">
        <v>2</v>
      </c>
      <c r="C383" s="85" t="s">
        <v>833</v>
      </c>
      <c r="D383" s="85" t="s">
        <v>834</v>
      </c>
      <c r="E383" s="84" t="s">
        <v>21</v>
      </c>
      <c r="F383" s="84" t="s">
        <v>22</v>
      </c>
      <c r="G383" s="84" t="s">
        <v>57</v>
      </c>
      <c r="H383" s="84" t="s">
        <v>835</v>
      </c>
      <c r="I383" s="14"/>
      <c r="J383" s="15" t="str">
        <f>IF(E383="Invalid_Segment","Invalid",IFERROR(INDEX(Severity_Matrix!$C$3:$M$10,MATCH('Error Log'!$F383,Severity_Matrix!$B$3:$B$10,0),MATCH('Error Log'!$G383,Severity_Matrix!$C$2:$M$2,0)),"No errors"))</f>
        <v>Major</v>
      </c>
    </row>
    <row r="384" spans="1:10">
      <c r="A384" s="79" t="s">
        <v>836</v>
      </c>
      <c r="B384" s="18">
        <v>3</v>
      </c>
      <c r="C384" s="85" t="s">
        <v>837</v>
      </c>
      <c r="D384" s="85" t="s">
        <v>838</v>
      </c>
      <c r="E384" s="84" t="s">
        <v>21</v>
      </c>
      <c r="F384" s="84" t="s">
        <v>22</v>
      </c>
      <c r="G384" s="84" t="s">
        <v>57</v>
      </c>
      <c r="H384" s="84" t="s">
        <v>839</v>
      </c>
      <c r="I384" s="14"/>
      <c r="J384" s="15" t="str">
        <f>IF(E384="Invalid_Segment","Invalid",IFERROR(INDEX(Severity_Matrix!$C$3:$M$10,MATCH('Error Log'!$F384,Severity_Matrix!$B$3:$B$10,0),MATCH('Error Log'!$G384,Severity_Matrix!$C$2:$M$2,0)),"No errors"))</f>
        <v>Major</v>
      </c>
    </row>
    <row r="385" spans="1:10">
      <c r="A385" s="79" t="s">
        <v>836</v>
      </c>
      <c r="B385" s="18">
        <v>4</v>
      </c>
      <c r="C385" s="85" t="s">
        <v>840</v>
      </c>
      <c r="D385" s="85" t="s">
        <v>841</v>
      </c>
      <c r="E385" s="84" t="s">
        <v>21</v>
      </c>
      <c r="F385" s="84" t="s">
        <v>7</v>
      </c>
      <c r="G385" s="84" t="s">
        <v>57</v>
      </c>
      <c r="H385" s="84" t="s">
        <v>842</v>
      </c>
      <c r="I385" s="14"/>
      <c r="J385" s="15" t="str">
        <f>IF(E385="Invalid_Segment","Invalid",IFERROR(INDEX(Severity_Matrix!$C$3:$M$10,MATCH('Error Log'!$F385,Severity_Matrix!$B$3:$B$10,0),MATCH('Error Log'!$G385,Severity_Matrix!$C$2:$M$2,0)),"No errors"))</f>
        <v>Critical</v>
      </c>
    </row>
    <row r="386" spans="1:10" ht="14.4">
      <c r="A386" s="79" t="s">
        <v>836</v>
      </c>
      <c r="B386" s="18">
        <v>5</v>
      </c>
      <c r="C386" s="85" t="s">
        <v>843</v>
      </c>
      <c r="D386" s="85" t="s">
        <v>844</v>
      </c>
      <c r="E386" s="84" t="s">
        <v>21</v>
      </c>
      <c r="F386" s="84" t="s">
        <v>7</v>
      </c>
      <c r="G386" s="84" t="s">
        <v>57</v>
      </c>
      <c r="H386" s="84" t="s">
        <v>845</v>
      </c>
      <c r="I386" s="14"/>
      <c r="J386" s="15" t="str">
        <f>IF(E386="Invalid_Segment","Invalid",IFERROR(INDEX(Severity_Matrix!$C$3:$M$10,MATCH('Error Log'!$F386,Severity_Matrix!$B$3:$B$10,0),MATCH('Error Log'!$G386,Severity_Matrix!$C$2:$M$2,0)),"No errors"))</f>
        <v>Critical</v>
      </c>
    </row>
    <row r="387" spans="1:10">
      <c r="A387" s="79" t="s">
        <v>836</v>
      </c>
      <c r="B387" s="18">
        <v>6</v>
      </c>
      <c r="C387" s="85" t="s">
        <v>846</v>
      </c>
      <c r="D387" s="85" t="s">
        <v>847</v>
      </c>
      <c r="E387" s="84" t="s">
        <v>21</v>
      </c>
      <c r="F387" s="84" t="s">
        <v>7</v>
      </c>
      <c r="G387" s="84" t="s">
        <v>57</v>
      </c>
      <c r="H387" s="84" t="s">
        <v>848</v>
      </c>
      <c r="I387" s="14"/>
      <c r="J387" s="15" t="str">
        <f>IF(E387="Invalid_Segment","Invalid",IFERROR(INDEX(Severity_Matrix!$C$3:$M$10,MATCH('Error Log'!$F387,Severity_Matrix!$B$3:$B$10,0),MATCH('Error Log'!$G387,Severity_Matrix!$C$2:$M$2,0)),"No errors"))</f>
        <v>Critical</v>
      </c>
    </row>
    <row r="388" spans="1:10">
      <c r="A388" s="79" t="s">
        <v>849</v>
      </c>
      <c r="B388" s="18">
        <v>1</v>
      </c>
      <c r="C388" s="85" t="s">
        <v>850</v>
      </c>
      <c r="D388" s="85" t="s">
        <v>851</v>
      </c>
      <c r="E388" s="84"/>
      <c r="F388" s="84"/>
      <c r="G388" s="84"/>
      <c r="H388" s="84"/>
      <c r="I388" s="14"/>
      <c r="J388" s="15" t="str">
        <f>IF(E388="Invalid_Segment","Invalid",IFERROR(INDEX(Severity_Matrix!$C$3:$M$10,MATCH('Error Log'!$F388,Severity_Matrix!$B$3:$B$10,0),MATCH('Error Log'!$G388,Severity_Matrix!$C$2:$M$2,0)),"No errors"))</f>
        <v>No errors</v>
      </c>
    </row>
    <row r="389" spans="1:10">
      <c r="A389" s="79" t="s">
        <v>852</v>
      </c>
      <c r="B389" s="18">
        <v>1</v>
      </c>
      <c r="C389" s="85" t="s">
        <v>853</v>
      </c>
      <c r="D389" s="85" t="s">
        <v>854</v>
      </c>
      <c r="E389" s="84" t="s">
        <v>21</v>
      </c>
      <c r="F389" s="84" t="s">
        <v>63</v>
      </c>
      <c r="G389" s="84" t="s">
        <v>27</v>
      </c>
      <c r="H389" s="84" t="s">
        <v>855</v>
      </c>
      <c r="I389" s="14"/>
      <c r="J389" s="15" t="str">
        <f>IF(E389="Invalid_Segment","Invalid",IFERROR(INDEX(Severity_Matrix!$C$3:$M$10,MATCH('Error Log'!$F389,Severity_Matrix!$B$3:$B$10,0),MATCH('Error Log'!$G389,Severity_Matrix!$C$2:$M$2,0)),"No errors"))</f>
        <v>Critical</v>
      </c>
    </row>
    <row r="390" spans="1:10">
      <c r="A390" s="79" t="s">
        <v>852</v>
      </c>
      <c r="B390" s="18">
        <v>2</v>
      </c>
      <c r="C390" s="85" t="s">
        <v>853</v>
      </c>
      <c r="D390" s="85" t="s">
        <v>854</v>
      </c>
      <c r="E390" s="84" t="s">
        <v>21</v>
      </c>
      <c r="F390" s="84" t="s">
        <v>22</v>
      </c>
      <c r="G390" s="84" t="s">
        <v>57</v>
      </c>
      <c r="H390" s="84" t="s">
        <v>856</v>
      </c>
      <c r="I390" s="14"/>
      <c r="J390" s="15" t="str">
        <f>IF(E390="Invalid_Segment","Invalid",IFERROR(INDEX(Severity_Matrix!$C$3:$M$10,MATCH('Error Log'!$F390,Severity_Matrix!$B$3:$B$10,0),MATCH('Error Log'!$G390,Severity_Matrix!$C$2:$M$2,0)),"No errors"))</f>
        <v>Major</v>
      </c>
    </row>
    <row r="391" spans="1:10">
      <c r="A391" s="79" t="s">
        <v>857</v>
      </c>
      <c r="B391" s="18">
        <v>3</v>
      </c>
      <c r="C391" s="85" t="s">
        <v>853</v>
      </c>
      <c r="D391" s="85" t="s">
        <v>854</v>
      </c>
      <c r="E391" s="84" t="s">
        <v>21</v>
      </c>
      <c r="F391" s="84" t="s">
        <v>22</v>
      </c>
      <c r="G391" s="84" t="s">
        <v>57</v>
      </c>
      <c r="H391" s="84" t="s">
        <v>858</v>
      </c>
      <c r="I391" s="14"/>
      <c r="J391" s="15" t="str">
        <f>IF(E391="Invalid_Segment","Invalid",IFERROR(INDEX(Severity_Matrix!$C$3:$M$10,MATCH('Error Log'!$F391,Severity_Matrix!$B$3:$B$10,0),MATCH('Error Log'!$G391,Severity_Matrix!$C$2:$M$2,0)),"No errors"))</f>
        <v>Major</v>
      </c>
    </row>
    <row r="392" spans="1:10">
      <c r="A392" s="79" t="s">
        <v>857</v>
      </c>
      <c r="B392" s="18">
        <v>4</v>
      </c>
      <c r="C392" s="85" t="s">
        <v>853</v>
      </c>
      <c r="D392" s="85" t="s">
        <v>854</v>
      </c>
      <c r="E392" s="84" t="s">
        <v>21</v>
      </c>
      <c r="F392" s="84" t="s">
        <v>22</v>
      </c>
      <c r="G392" s="84" t="s">
        <v>57</v>
      </c>
      <c r="H392" s="84" t="s">
        <v>859</v>
      </c>
      <c r="I392" s="14"/>
      <c r="J392" s="15" t="str">
        <f>IF(E392="Invalid_Segment","Invalid",IFERROR(INDEX(Severity_Matrix!$C$3:$M$10,MATCH('Error Log'!$F392,Severity_Matrix!$B$3:$B$10,0),MATCH('Error Log'!$G392,Severity_Matrix!$C$2:$M$2,0)),"No errors"))</f>
        <v>Major</v>
      </c>
    </row>
    <row r="393" spans="1:10">
      <c r="A393" s="79" t="s">
        <v>857</v>
      </c>
      <c r="B393" s="18">
        <v>5</v>
      </c>
      <c r="C393" s="85" t="s">
        <v>853</v>
      </c>
      <c r="D393" s="85" t="s">
        <v>854</v>
      </c>
      <c r="E393" s="84" t="s">
        <v>21</v>
      </c>
      <c r="F393" s="84" t="s">
        <v>7</v>
      </c>
      <c r="G393" s="84" t="s">
        <v>57</v>
      </c>
      <c r="H393" s="84" t="s">
        <v>860</v>
      </c>
      <c r="I393" s="14"/>
      <c r="J393" s="15" t="str">
        <f>IF(E393="Invalid_Segment","Invalid",IFERROR(INDEX(Severity_Matrix!$C$3:$M$10,MATCH('Error Log'!$F393,Severity_Matrix!$B$3:$B$10,0),MATCH('Error Log'!$G393,Severity_Matrix!$C$2:$M$2,0)),"No errors"))</f>
        <v>Critical</v>
      </c>
    </row>
    <row r="394" spans="1:10">
      <c r="A394" s="79" t="s">
        <v>857</v>
      </c>
      <c r="B394" s="18">
        <v>6</v>
      </c>
      <c r="C394" s="85" t="s">
        <v>853</v>
      </c>
      <c r="D394" s="85" t="s">
        <v>854</v>
      </c>
      <c r="E394" s="84" t="s">
        <v>21</v>
      </c>
      <c r="F394" s="84" t="s">
        <v>7</v>
      </c>
      <c r="G394" s="84" t="s">
        <v>57</v>
      </c>
      <c r="H394" s="84" t="s">
        <v>861</v>
      </c>
      <c r="I394" s="14"/>
      <c r="J394" s="15" t="str">
        <f>IF(E394="Invalid_Segment","Invalid",IFERROR(INDEX(Severity_Matrix!$C$3:$M$10,MATCH('Error Log'!$F394,Severity_Matrix!$B$3:$B$10,0),MATCH('Error Log'!$G394,Severity_Matrix!$C$2:$M$2,0)),"No errors"))</f>
        <v>Critical</v>
      </c>
    </row>
    <row r="395" spans="1:10">
      <c r="A395" s="79" t="s">
        <v>857</v>
      </c>
      <c r="B395" s="18">
        <v>7</v>
      </c>
      <c r="C395" s="85" t="s">
        <v>853</v>
      </c>
      <c r="D395" s="85" t="s">
        <v>854</v>
      </c>
      <c r="E395" s="84" t="s">
        <v>21</v>
      </c>
      <c r="F395" s="84" t="s">
        <v>7</v>
      </c>
      <c r="G395" s="84" t="s">
        <v>57</v>
      </c>
      <c r="H395" s="84" t="s">
        <v>862</v>
      </c>
      <c r="I395" s="14"/>
      <c r="J395" s="15" t="str">
        <f>IF(E395="Invalid_Segment","Invalid",IFERROR(INDEX(Severity_Matrix!$C$3:$M$10,MATCH('Error Log'!$F395,Severity_Matrix!$B$3:$B$10,0),MATCH('Error Log'!$G395,Severity_Matrix!$C$2:$M$2,0)),"No errors"))</f>
        <v>Critical</v>
      </c>
    </row>
    <row r="396" spans="1:10">
      <c r="A396" s="79" t="s">
        <v>863</v>
      </c>
      <c r="B396" s="18">
        <v>1</v>
      </c>
      <c r="C396" s="85" t="s">
        <v>864</v>
      </c>
      <c r="D396" s="85" t="s">
        <v>865</v>
      </c>
      <c r="E396" s="84" t="s">
        <v>21</v>
      </c>
      <c r="F396" s="84" t="s">
        <v>45</v>
      </c>
      <c r="G396" s="84" t="s">
        <v>56</v>
      </c>
      <c r="H396" s="84" t="s">
        <v>866</v>
      </c>
      <c r="I396" s="14"/>
      <c r="J396" s="15" t="str">
        <f>IF(E396="Invalid_Segment","Invalid",IFERROR(INDEX(Severity_Matrix!$C$3:$M$10,MATCH('Error Log'!$F396,Severity_Matrix!$B$3:$B$10,0),MATCH('Error Log'!$G396,Severity_Matrix!$C$2:$M$2,0)),"No errors"))</f>
        <v>Critical</v>
      </c>
    </row>
    <row r="397" spans="1:10">
      <c r="A397" s="79" t="s">
        <v>863</v>
      </c>
      <c r="B397" s="18">
        <v>2</v>
      </c>
      <c r="C397" s="85" t="s">
        <v>864</v>
      </c>
      <c r="D397" s="85" t="s">
        <v>865</v>
      </c>
      <c r="E397" s="84" t="s">
        <v>21</v>
      </c>
      <c r="F397" s="84" t="s">
        <v>22</v>
      </c>
      <c r="G397" s="84" t="s">
        <v>57</v>
      </c>
      <c r="H397" s="84" t="s">
        <v>867</v>
      </c>
      <c r="I397" s="14"/>
      <c r="J397" s="15" t="str">
        <f>IF(E397="Invalid_Segment","Invalid",IFERROR(INDEX(Severity_Matrix!$C$3:$M$10,MATCH('Error Log'!$F397,Severity_Matrix!$B$3:$B$10,0),MATCH('Error Log'!$G397,Severity_Matrix!$C$2:$M$2,0)),"No errors"))</f>
        <v>Major</v>
      </c>
    </row>
    <row r="398" spans="1:10">
      <c r="A398" s="79" t="s">
        <v>868</v>
      </c>
      <c r="B398" s="18">
        <v>3</v>
      </c>
      <c r="C398" s="85" t="s">
        <v>864</v>
      </c>
      <c r="D398" s="85" t="s">
        <v>865</v>
      </c>
      <c r="E398" s="84" t="s">
        <v>21</v>
      </c>
      <c r="F398" s="84" t="s">
        <v>7</v>
      </c>
      <c r="G398" s="84" t="s">
        <v>57</v>
      </c>
      <c r="H398" s="84" t="s">
        <v>869</v>
      </c>
      <c r="I398" s="14"/>
      <c r="J398" s="15" t="str">
        <f>IF(E398="Invalid_Segment","Invalid",IFERROR(INDEX(Severity_Matrix!$C$3:$M$10,MATCH('Error Log'!$F398,Severity_Matrix!$B$3:$B$10,0),MATCH('Error Log'!$G398,Severity_Matrix!$C$2:$M$2,0)),"No errors"))</f>
        <v>Critical</v>
      </c>
    </row>
    <row r="399" spans="1:10">
      <c r="A399" s="79" t="s">
        <v>868</v>
      </c>
      <c r="B399" s="18">
        <v>4</v>
      </c>
      <c r="C399" s="85" t="s">
        <v>864</v>
      </c>
      <c r="D399" s="85" t="s">
        <v>865</v>
      </c>
      <c r="E399" s="84" t="s">
        <v>21</v>
      </c>
      <c r="F399" s="84" t="s">
        <v>7</v>
      </c>
      <c r="G399" s="84" t="s">
        <v>57</v>
      </c>
      <c r="H399" s="84" t="s">
        <v>870</v>
      </c>
      <c r="I399" s="14"/>
      <c r="J399" s="15" t="str">
        <f>IF(E399="Invalid_Segment","Invalid",IFERROR(INDEX(Severity_Matrix!$C$3:$M$10,MATCH('Error Log'!$F399,Severity_Matrix!$B$3:$B$10,0),MATCH('Error Log'!$G399,Severity_Matrix!$C$2:$M$2,0)),"No errors"))</f>
        <v>Critical</v>
      </c>
    </row>
    <row r="400" spans="1:10">
      <c r="A400" s="79" t="s">
        <v>871</v>
      </c>
      <c r="B400" s="18">
        <v>1</v>
      </c>
      <c r="C400" s="85" t="s">
        <v>872</v>
      </c>
      <c r="D400" s="85" t="s">
        <v>873</v>
      </c>
      <c r="E400" s="84" t="s">
        <v>21</v>
      </c>
      <c r="F400" s="84" t="s">
        <v>22</v>
      </c>
      <c r="G400" s="84" t="s">
        <v>57</v>
      </c>
      <c r="H400" s="84" t="s">
        <v>874</v>
      </c>
      <c r="I400" s="14"/>
      <c r="J400" s="15" t="str">
        <f>IF(E400="Invalid_Segment","Invalid",IFERROR(INDEX(Severity_Matrix!$C$3:$M$10,MATCH('Error Log'!$F400,Severity_Matrix!$B$3:$B$10,0),MATCH('Error Log'!$G400,Severity_Matrix!$C$2:$M$2,0)),"No errors"))</f>
        <v>Major</v>
      </c>
    </row>
    <row r="401" spans="1:10">
      <c r="A401" s="79" t="s">
        <v>871</v>
      </c>
      <c r="B401" s="18">
        <v>2</v>
      </c>
      <c r="C401" s="85" t="s">
        <v>875</v>
      </c>
      <c r="D401" s="85" t="s">
        <v>873</v>
      </c>
      <c r="E401" s="84" t="s">
        <v>21</v>
      </c>
      <c r="F401" s="84" t="s">
        <v>22</v>
      </c>
      <c r="G401" s="84" t="s">
        <v>57</v>
      </c>
      <c r="H401" s="84" t="s">
        <v>876</v>
      </c>
      <c r="I401" s="14"/>
      <c r="J401" s="15" t="str">
        <f>IF(E401="Invalid_Segment","Invalid",IFERROR(INDEX(Severity_Matrix!$C$3:$M$10,MATCH('Error Log'!$F401,Severity_Matrix!$B$3:$B$10,0),MATCH('Error Log'!$G401,Severity_Matrix!$C$2:$M$2,0)),"No errors"))</f>
        <v>Major</v>
      </c>
    </row>
    <row r="402" spans="1:10">
      <c r="A402" s="79" t="s">
        <v>877</v>
      </c>
      <c r="B402" s="18">
        <v>3</v>
      </c>
      <c r="C402" s="85" t="s">
        <v>878</v>
      </c>
      <c r="D402" s="85" t="s">
        <v>873</v>
      </c>
      <c r="E402" s="84" t="s">
        <v>21</v>
      </c>
      <c r="F402" s="84" t="s">
        <v>63</v>
      </c>
      <c r="G402" s="84" t="s">
        <v>54</v>
      </c>
      <c r="H402" s="84" t="s">
        <v>879</v>
      </c>
      <c r="I402" s="14"/>
      <c r="J402" s="15" t="str">
        <f>IF(E402="Invalid_Segment","Invalid",IFERROR(INDEX(Severity_Matrix!$C$3:$M$10,MATCH('Error Log'!$F402,Severity_Matrix!$B$3:$B$10,0),MATCH('Error Log'!$G402,Severity_Matrix!$C$2:$M$2,0)),"No errors"))</f>
        <v>Critical</v>
      </c>
    </row>
    <row r="403" spans="1:10">
      <c r="A403" s="79" t="s">
        <v>877</v>
      </c>
      <c r="B403" s="18">
        <v>4</v>
      </c>
      <c r="C403" s="85" t="s">
        <v>880</v>
      </c>
      <c r="D403" s="85" t="s">
        <v>873</v>
      </c>
      <c r="E403" s="84" t="s">
        <v>21</v>
      </c>
      <c r="F403" s="84" t="s">
        <v>7</v>
      </c>
      <c r="G403" s="84" t="s">
        <v>58</v>
      </c>
      <c r="H403" s="84" t="s">
        <v>212</v>
      </c>
      <c r="I403" s="14"/>
      <c r="J403" s="15" t="str">
        <f>IF(E403="Invalid_Segment","Invalid",IFERROR(INDEX(Severity_Matrix!$C$3:$M$10,MATCH('Error Log'!$F403,Severity_Matrix!$B$3:$B$10,0),MATCH('Error Log'!$G403,Severity_Matrix!$C$2:$M$2,0)),"No errors"))</f>
        <v>Minor</v>
      </c>
    </row>
    <row r="404" spans="1:10">
      <c r="A404" s="79" t="s">
        <v>877</v>
      </c>
      <c r="B404" s="18">
        <v>5</v>
      </c>
      <c r="C404" s="85" t="s">
        <v>881</v>
      </c>
      <c r="D404" s="85" t="s">
        <v>873</v>
      </c>
      <c r="E404" s="84" t="s">
        <v>21</v>
      </c>
      <c r="F404" s="84" t="s">
        <v>7</v>
      </c>
      <c r="G404" s="84" t="s">
        <v>29</v>
      </c>
      <c r="H404" s="84">
        <v>289</v>
      </c>
      <c r="I404" s="14"/>
      <c r="J404" s="15" t="str">
        <f>IF(E404="Invalid_Segment","Invalid",IFERROR(INDEX(Severity_Matrix!$C$3:$M$10,MATCH('Error Log'!$F404,Severity_Matrix!$B$3:$B$10,0),MATCH('Error Log'!$G404,Severity_Matrix!$C$2:$M$2,0)),"No errors"))</f>
        <v>Critical</v>
      </c>
    </row>
    <row r="405" spans="1:10">
      <c r="A405" s="79" t="s">
        <v>882</v>
      </c>
      <c r="B405" s="18">
        <v>1</v>
      </c>
      <c r="C405" s="85" t="s">
        <v>883</v>
      </c>
      <c r="D405" s="85" t="s">
        <v>884</v>
      </c>
      <c r="E405" s="84" t="s">
        <v>21</v>
      </c>
      <c r="F405" s="84" t="s">
        <v>63</v>
      </c>
      <c r="G405" s="84" t="s">
        <v>29</v>
      </c>
      <c r="H405" s="84" t="s">
        <v>885</v>
      </c>
      <c r="I405" s="14"/>
      <c r="J405" s="15" t="str">
        <f>IF(E405="Invalid_Segment","Invalid",IFERROR(INDEX(Severity_Matrix!$C$3:$M$10,MATCH('Error Log'!$F405,Severity_Matrix!$B$3:$B$10,0),MATCH('Error Log'!$G405,Severity_Matrix!$C$2:$M$2,0)),"No errors"))</f>
        <v>Critical</v>
      </c>
    </row>
    <row r="406" spans="1:10">
      <c r="A406" s="79" t="s">
        <v>886</v>
      </c>
      <c r="B406" s="18">
        <v>1</v>
      </c>
      <c r="C406" s="85" t="s">
        <v>887</v>
      </c>
      <c r="D406" s="85" t="s">
        <v>888</v>
      </c>
      <c r="E406" s="84" t="s">
        <v>21</v>
      </c>
      <c r="F406" s="84" t="s">
        <v>22</v>
      </c>
      <c r="G406" s="84" t="s">
        <v>57</v>
      </c>
      <c r="H406" s="84" t="s">
        <v>889</v>
      </c>
      <c r="I406" s="14"/>
      <c r="J406" s="15" t="str">
        <f>IF(E406="Invalid_Segment","Invalid",IFERROR(INDEX(Severity_Matrix!$C$3:$M$10,MATCH('Error Log'!$F406,Severity_Matrix!$B$3:$B$10,0),MATCH('Error Log'!$G406,Severity_Matrix!$C$2:$M$2,0)),"No errors"))</f>
        <v>Major</v>
      </c>
    </row>
    <row r="407" spans="1:10">
      <c r="A407" s="79" t="s">
        <v>886</v>
      </c>
      <c r="B407" s="18">
        <v>2</v>
      </c>
      <c r="C407" s="85" t="s">
        <v>890</v>
      </c>
      <c r="D407" s="85" t="s">
        <v>891</v>
      </c>
      <c r="E407" s="84" t="s">
        <v>21</v>
      </c>
      <c r="F407" s="84" t="s">
        <v>22</v>
      </c>
      <c r="G407" s="84" t="s">
        <v>57</v>
      </c>
      <c r="H407" s="84" t="s">
        <v>892</v>
      </c>
      <c r="I407" s="14"/>
      <c r="J407" s="15" t="str">
        <f>IF(E407="Invalid_Segment","Invalid",IFERROR(INDEX(Severity_Matrix!$C$3:$M$10,MATCH('Error Log'!$F407,Severity_Matrix!$B$3:$B$10,0),MATCH('Error Log'!$G407,Severity_Matrix!$C$2:$M$2,0)),"No errors"))</f>
        <v>Major</v>
      </c>
    </row>
    <row r="408" spans="1:10">
      <c r="A408" s="79" t="s">
        <v>893</v>
      </c>
      <c r="B408" s="18">
        <v>3</v>
      </c>
      <c r="C408" s="85" t="s">
        <v>894</v>
      </c>
      <c r="D408" s="85" t="s">
        <v>895</v>
      </c>
      <c r="E408" s="84" t="s">
        <v>21</v>
      </c>
      <c r="F408" s="84" t="s">
        <v>7</v>
      </c>
      <c r="G408" s="84" t="s">
        <v>57</v>
      </c>
      <c r="H408" s="84" t="s">
        <v>896</v>
      </c>
      <c r="I408" s="14"/>
      <c r="J408" s="15" t="str">
        <f>IF(E408="Invalid_Segment","Invalid",IFERROR(INDEX(Severity_Matrix!$C$3:$M$10,MATCH('Error Log'!$F408,Severity_Matrix!$B$3:$B$10,0),MATCH('Error Log'!$G408,Severity_Matrix!$C$2:$M$2,0)),"No errors"))</f>
        <v>Critical</v>
      </c>
    </row>
    <row r="409" spans="1:10">
      <c r="A409" s="79" t="s">
        <v>893</v>
      </c>
      <c r="B409" s="18">
        <v>4</v>
      </c>
      <c r="C409" s="85" t="s">
        <v>897</v>
      </c>
      <c r="D409" s="85" t="s">
        <v>898</v>
      </c>
      <c r="E409" s="84" t="s">
        <v>21</v>
      </c>
      <c r="F409" s="84" t="s">
        <v>7</v>
      </c>
      <c r="G409" s="84" t="s">
        <v>57</v>
      </c>
      <c r="H409" s="84" t="s">
        <v>899</v>
      </c>
      <c r="I409" s="14"/>
      <c r="J409" s="15" t="str">
        <f>IF(E409="Invalid_Segment","Invalid",IFERROR(INDEX(Severity_Matrix!$C$3:$M$10,MATCH('Error Log'!$F409,Severity_Matrix!$B$3:$B$10,0),MATCH('Error Log'!$G409,Severity_Matrix!$C$2:$M$2,0)),"No errors"))</f>
        <v>Critical</v>
      </c>
    </row>
    <row r="410" spans="1:10">
      <c r="A410" s="79" t="s">
        <v>900</v>
      </c>
      <c r="B410" s="18">
        <v>1</v>
      </c>
      <c r="C410" s="85" t="s">
        <v>901</v>
      </c>
      <c r="D410" s="85" t="s">
        <v>902</v>
      </c>
      <c r="E410" s="84" t="s">
        <v>21</v>
      </c>
      <c r="F410" s="84" t="s">
        <v>22</v>
      </c>
      <c r="G410" s="84" t="s">
        <v>57</v>
      </c>
      <c r="H410" s="84" t="s">
        <v>903</v>
      </c>
      <c r="I410" s="14"/>
      <c r="J410" s="15" t="str">
        <f>IF(E410="Invalid_Segment","Invalid",IFERROR(INDEX(Severity_Matrix!$C$3:$M$10,MATCH('Error Log'!$F410,Severity_Matrix!$B$3:$B$10,0),MATCH('Error Log'!$G410,Severity_Matrix!$C$2:$M$2,0)),"No errors"))</f>
        <v>Major</v>
      </c>
    </row>
    <row r="411" spans="1:10">
      <c r="A411" s="79" t="s">
        <v>900</v>
      </c>
      <c r="B411" s="18">
        <v>2</v>
      </c>
      <c r="C411" s="85" t="s">
        <v>904</v>
      </c>
      <c r="D411" s="85" t="s">
        <v>902</v>
      </c>
      <c r="E411" s="84" t="s">
        <v>21</v>
      </c>
      <c r="F411" s="84" t="s">
        <v>22</v>
      </c>
      <c r="G411" s="84" t="s">
        <v>57</v>
      </c>
      <c r="H411" s="84" t="s">
        <v>905</v>
      </c>
      <c r="I411" s="14"/>
      <c r="J411" s="15" t="str">
        <f>IF(E411="Invalid_Segment","Invalid",IFERROR(INDEX(Severity_Matrix!$C$3:$M$10,MATCH('Error Log'!$F411,Severity_Matrix!$B$3:$B$10,0),MATCH('Error Log'!$G411,Severity_Matrix!$C$2:$M$2,0)),"No errors"))</f>
        <v>Major</v>
      </c>
    </row>
    <row r="412" spans="1:10">
      <c r="A412" s="79" t="s">
        <v>906</v>
      </c>
      <c r="B412" s="18">
        <v>3</v>
      </c>
      <c r="C412" s="85" t="s">
        <v>907</v>
      </c>
      <c r="D412" s="85" t="s">
        <v>902</v>
      </c>
      <c r="E412" s="84" t="s">
        <v>21</v>
      </c>
      <c r="F412" s="84" t="s">
        <v>7</v>
      </c>
      <c r="G412" s="84" t="s">
        <v>57</v>
      </c>
      <c r="H412" s="84" t="s">
        <v>908</v>
      </c>
      <c r="I412" s="14"/>
      <c r="J412" s="15" t="str">
        <f>IF(E412="Invalid_Segment","Invalid",IFERROR(INDEX(Severity_Matrix!$C$3:$M$10,MATCH('Error Log'!$F412,Severity_Matrix!$B$3:$B$10,0),MATCH('Error Log'!$G412,Severity_Matrix!$C$2:$M$2,0)),"No errors"))</f>
        <v>Critical</v>
      </c>
    </row>
    <row r="413" spans="1:10">
      <c r="A413" s="79" t="s">
        <v>906</v>
      </c>
      <c r="B413" s="18">
        <v>4</v>
      </c>
      <c r="C413" s="85" t="s">
        <v>909</v>
      </c>
      <c r="D413" s="85" t="s">
        <v>902</v>
      </c>
      <c r="E413" s="84" t="s">
        <v>21</v>
      </c>
      <c r="F413" s="84" t="s">
        <v>7</v>
      </c>
      <c r="G413" s="84" t="s">
        <v>57</v>
      </c>
      <c r="H413" s="84" t="s">
        <v>910</v>
      </c>
      <c r="I413" s="14"/>
      <c r="J413" s="15" t="str">
        <f>IF(E413="Invalid_Segment","Invalid",IFERROR(INDEX(Severity_Matrix!$C$3:$M$10,MATCH('Error Log'!$F413,Severity_Matrix!$B$3:$B$10,0),MATCH('Error Log'!$G413,Severity_Matrix!$C$2:$M$2,0)),"No errors"))</f>
        <v>Critical</v>
      </c>
    </row>
    <row r="414" spans="1:10">
      <c r="A414" s="79" t="s">
        <v>906</v>
      </c>
      <c r="B414" s="18">
        <v>5</v>
      </c>
      <c r="C414" s="85" t="s">
        <v>911</v>
      </c>
      <c r="D414" s="85" t="s">
        <v>902</v>
      </c>
      <c r="E414" s="84" t="s">
        <v>21</v>
      </c>
      <c r="F414" s="84" t="s">
        <v>7</v>
      </c>
      <c r="G414" s="84" t="s">
        <v>57</v>
      </c>
      <c r="H414" s="84" t="s">
        <v>912</v>
      </c>
      <c r="I414" s="14"/>
      <c r="J414" s="15" t="str">
        <f>IF(E414="Invalid_Segment","Invalid",IFERROR(INDEX(Severity_Matrix!$C$3:$M$10,MATCH('Error Log'!$F414,Severity_Matrix!$B$3:$B$10,0),MATCH('Error Log'!$G414,Severity_Matrix!$C$2:$M$2,0)),"No errors"))</f>
        <v>Critical</v>
      </c>
    </row>
    <row r="415" spans="1:10">
      <c r="A415" s="79" t="s">
        <v>913</v>
      </c>
      <c r="B415" s="18">
        <v>1</v>
      </c>
      <c r="C415" s="85" t="s">
        <v>914</v>
      </c>
      <c r="D415" s="85" t="s">
        <v>915</v>
      </c>
      <c r="E415" s="84"/>
      <c r="F415" s="84"/>
      <c r="G415" s="84"/>
      <c r="H415" s="84"/>
      <c r="I415" s="14"/>
      <c r="J415" s="15" t="str">
        <f>IF(E415="Invalid_Segment","Invalid",IFERROR(INDEX(Severity_Matrix!$C$3:$M$10,MATCH('Error Log'!$F415,Severity_Matrix!$B$3:$B$10,0),MATCH('Error Log'!$G415,Severity_Matrix!$C$2:$M$2,0)),"No errors"))</f>
        <v>No errors</v>
      </c>
    </row>
    <row r="416" spans="1:10">
      <c r="A416" s="79" t="s">
        <v>916</v>
      </c>
      <c r="B416" s="18">
        <v>1</v>
      </c>
      <c r="C416" s="85" t="s">
        <v>917</v>
      </c>
      <c r="D416" s="85" t="s">
        <v>918</v>
      </c>
      <c r="E416" s="84" t="s">
        <v>21</v>
      </c>
      <c r="F416" s="84" t="s">
        <v>22</v>
      </c>
      <c r="G416" s="84" t="s">
        <v>57</v>
      </c>
      <c r="H416" s="84" t="s">
        <v>919</v>
      </c>
      <c r="I416" s="14"/>
      <c r="J416" s="15" t="str">
        <f>IF(E416="Invalid_Segment","Invalid",IFERROR(INDEX(Severity_Matrix!$C$3:$M$10,MATCH('Error Log'!$F416,Severity_Matrix!$B$3:$B$10,0),MATCH('Error Log'!$G416,Severity_Matrix!$C$2:$M$2,0)),"No errors"))</f>
        <v>Major</v>
      </c>
    </row>
    <row r="417" spans="1:10">
      <c r="A417" s="79" t="s">
        <v>916</v>
      </c>
      <c r="B417" s="18">
        <v>2</v>
      </c>
      <c r="C417" s="85" t="s">
        <v>917</v>
      </c>
      <c r="D417" s="85" t="s">
        <v>918</v>
      </c>
      <c r="E417" s="84" t="s">
        <v>21</v>
      </c>
      <c r="F417" s="84" t="s">
        <v>7</v>
      </c>
      <c r="G417" s="84" t="s">
        <v>57</v>
      </c>
      <c r="H417" s="84" t="s">
        <v>920</v>
      </c>
      <c r="I417" s="14"/>
      <c r="J417" s="15" t="str">
        <f>IF(E417="Invalid_Segment","Invalid",IFERROR(INDEX(Severity_Matrix!$C$3:$M$10,MATCH('Error Log'!$F417,Severity_Matrix!$B$3:$B$10,0),MATCH('Error Log'!$G417,Severity_Matrix!$C$2:$M$2,0)),"No errors"))</f>
        <v>Critical</v>
      </c>
    </row>
    <row r="418" spans="1:10">
      <c r="A418" s="79" t="s">
        <v>916</v>
      </c>
      <c r="B418" s="18">
        <v>3</v>
      </c>
      <c r="C418" s="85" t="s">
        <v>917</v>
      </c>
      <c r="D418" s="85" t="s">
        <v>918</v>
      </c>
      <c r="E418" s="84" t="s">
        <v>21</v>
      </c>
      <c r="F418" s="84" t="s">
        <v>7</v>
      </c>
      <c r="G418" s="84" t="s">
        <v>57</v>
      </c>
      <c r="H418" s="84" t="s">
        <v>921</v>
      </c>
      <c r="I418" s="14"/>
      <c r="J418" s="15" t="str">
        <f>IF(E418="Invalid_Segment","Invalid",IFERROR(INDEX(Severity_Matrix!$C$3:$M$10,MATCH('Error Log'!$F418,Severity_Matrix!$B$3:$B$10,0),MATCH('Error Log'!$G418,Severity_Matrix!$C$2:$M$2,0)),"No errors"))</f>
        <v>Critical</v>
      </c>
    </row>
    <row r="419" spans="1:10">
      <c r="A419" s="79" t="s">
        <v>922</v>
      </c>
      <c r="B419" s="18">
        <v>1</v>
      </c>
      <c r="C419" s="85" t="s">
        <v>923</v>
      </c>
      <c r="D419" s="85" t="s">
        <v>924</v>
      </c>
      <c r="E419" s="84" t="s">
        <v>21</v>
      </c>
      <c r="F419" s="84" t="s">
        <v>22</v>
      </c>
      <c r="G419" s="84" t="s">
        <v>57</v>
      </c>
      <c r="H419" s="84" t="s">
        <v>925</v>
      </c>
      <c r="I419" s="14"/>
      <c r="J419" s="15" t="str">
        <f>IF(E419="Invalid_Segment","Invalid",IFERROR(INDEX(Severity_Matrix!$C$3:$M$10,MATCH('Error Log'!$F419,Severity_Matrix!$B$3:$B$10,0),MATCH('Error Log'!$G419,Severity_Matrix!$C$2:$M$2,0)),"No errors"))</f>
        <v>Major</v>
      </c>
    </row>
    <row r="420" spans="1:10">
      <c r="A420" s="79" t="s">
        <v>922</v>
      </c>
      <c r="B420" s="18">
        <v>2</v>
      </c>
      <c r="C420" s="85" t="s">
        <v>926</v>
      </c>
      <c r="D420" s="85" t="s">
        <v>927</v>
      </c>
      <c r="E420" s="84" t="s">
        <v>21</v>
      </c>
      <c r="F420" s="84" t="s">
        <v>22</v>
      </c>
      <c r="G420" s="84" t="s">
        <v>57</v>
      </c>
      <c r="H420" s="84" t="s">
        <v>928</v>
      </c>
      <c r="I420" s="14"/>
      <c r="J420" s="15" t="str">
        <f>IF(E420="Invalid_Segment","Invalid",IFERROR(INDEX(Severity_Matrix!$C$3:$M$10,MATCH('Error Log'!$F420,Severity_Matrix!$B$3:$B$10,0),MATCH('Error Log'!$G420,Severity_Matrix!$C$2:$M$2,0)),"No errors"))</f>
        <v>Major</v>
      </c>
    </row>
    <row r="421" spans="1:10">
      <c r="A421" s="79" t="s">
        <v>929</v>
      </c>
      <c r="B421" s="18">
        <v>3</v>
      </c>
      <c r="C421" s="85" t="s">
        <v>930</v>
      </c>
      <c r="D421" s="85" t="s">
        <v>931</v>
      </c>
      <c r="E421" s="84" t="s">
        <v>21</v>
      </c>
      <c r="F421" s="84" t="s">
        <v>63</v>
      </c>
      <c r="G421" s="84" t="s">
        <v>54</v>
      </c>
      <c r="H421" s="84" t="s">
        <v>932</v>
      </c>
      <c r="I421" s="14"/>
      <c r="J421" s="15" t="str">
        <f>IF(E421="Invalid_Segment","Invalid",IFERROR(INDEX(Severity_Matrix!$C$3:$M$10,MATCH('Error Log'!$F421,Severity_Matrix!$B$3:$B$10,0),MATCH('Error Log'!$G421,Severity_Matrix!$C$2:$M$2,0)),"No errors"))</f>
        <v>Critical</v>
      </c>
    </row>
    <row r="422" spans="1:10">
      <c r="A422" s="79" t="s">
        <v>929</v>
      </c>
      <c r="B422" s="18">
        <v>4</v>
      </c>
      <c r="C422" s="85" t="s">
        <v>933</v>
      </c>
      <c r="D422" s="85" t="s">
        <v>934</v>
      </c>
      <c r="E422" s="84" t="s">
        <v>21</v>
      </c>
      <c r="F422" s="84" t="s">
        <v>22</v>
      </c>
      <c r="G422" s="84" t="s">
        <v>57</v>
      </c>
      <c r="H422" s="84" t="s">
        <v>935</v>
      </c>
      <c r="I422" s="14"/>
      <c r="J422" s="15" t="str">
        <f>IF(E422="Invalid_Segment","Invalid",IFERROR(INDEX(Severity_Matrix!$C$3:$M$10,MATCH('Error Log'!$F422,Severity_Matrix!$B$3:$B$10,0),MATCH('Error Log'!$G422,Severity_Matrix!$C$2:$M$2,0)),"No errors"))</f>
        <v>Major</v>
      </c>
    </row>
    <row r="423" spans="1:10">
      <c r="A423" s="79" t="s">
        <v>929</v>
      </c>
      <c r="B423" s="18">
        <v>5</v>
      </c>
      <c r="C423" s="85" t="s">
        <v>936</v>
      </c>
      <c r="D423" s="85" t="s">
        <v>937</v>
      </c>
      <c r="E423" s="84" t="s">
        <v>198</v>
      </c>
      <c r="F423" s="84" t="s">
        <v>7</v>
      </c>
      <c r="G423" s="84" t="s">
        <v>57</v>
      </c>
      <c r="H423" s="84" t="s">
        <v>938</v>
      </c>
      <c r="I423" s="14"/>
      <c r="J423" s="15" t="str">
        <f>IF(E423="Invalid_Segment","Invalid",IFERROR(INDEX(Severity_Matrix!$C$3:$M$10,MATCH('Error Log'!$F423,Severity_Matrix!$B$3:$B$10,0),MATCH('Error Log'!$G423,Severity_Matrix!$C$2:$M$2,0)),"No errors"))</f>
        <v>Critical</v>
      </c>
    </row>
    <row r="424" spans="1:10">
      <c r="A424" s="79" t="s">
        <v>929</v>
      </c>
      <c r="B424" s="18">
        <v>6</v>
      </c>
      <c r="C424" s="85" t="s">
        <v>939</v>
      </c>
      <c r="D424" s="85" t="s">
        <v>940</v>
      </c>
      <c r="E424" s="84" t="s">
        <v>198</v>
      </c>
      <c r="F424" s="84" t="s">
        <v>7</v>
      </c>
      <c r="G424" s="84" t="s">
        <v>57</v>
      </c>
      <c r="H424" s="84" t="s">
        <v>941</v>
      </c>
      <c r="I424" s="14"/>
      <c r="J424" s="15" t="str">
        <f>IF(E424="Invalid_Segment","Invalid",IFERROR(INDEX(Severity_Matrix!$C$3:$M$10,MATCH('Error Log'!$F424,Severity_Matrix!$B$3:$B$10,0),MATCH('Error Log'!$G424,Severity_Matrix!$C$2:$M$2,0)),"No errors"))</f>
        <v>Critical</v>
      </c>
    </row>
    <row r="425" spans="1:10">
      <c r="A425" s="79" t="s">
        <v>929</v>
      </c>
      <c r="B425" s="18">
        <v>7</v>
      </c>
      <c r="C425" s="85" t="s">
        <v>942</v>
      </c>
      <c r="D425" s="85" t="s">
        <v>943</v>
      </c>
      <c r="E425" s="84" t="s">
        <v>198</v>
      </c>
      <c r="F425" s="84" t="s">
        <v>7</v>
      </c>
      <c r="G425" s="84" t="s">
        <v>57</v>
      </c>
      <c r="H425" s="84" t="s">
        <v>944</v>
      </c>
      <c r="I425" s="14"/>
      <c r="J425" s="15" t="str">
        <f>IF(E425="Invalid_Segment","Invalid",IFERROR(INDEX(Severity_Matrix!$C$3:$M$10,MATCH('Error Log'!$F425,Severity_Matrix!$B$3:$B$10,0),MATCH('Error Log'!$G425,Severity_Matrix!$C$2:$M$2,0)),"No errors"))</f>
        <v>Critical</v>
      </c>
    </row>
    <row r="426" spans="1:10">
      <c r="A426" s="98" t="s">
        <v>1197</v>
      </c>
      <c r="B426" s="18">
        <v>1</v>
      </c>
      <c r="C426" s="98" t="s">
        <v>945</v>
      </c>
      <c r="D426" s="98" t="s">
        <v>946</v>
      </c>
      <c r="E426" s="84" t="s">
        <v>21</v>
      </c>
      <c r="F426" s="84" t="s">
        <v>22</v>
      </c>
      <c r="G426" s="84" t="s">
        <v>57</v>
      </c>
      <c r="H426" s="84" t="s">
        <v>947</v>
      </c>
      <c r="I426" s="14"/>
      <c r="J426" s="15" t="str">
        <f>IF(E426="Invalid_Segment","Invalid",IFERROR(INDEX(Severity_Matrix!$C$3:$M$10,MATCH('Error Log'!$F426,Severity_Matrix!$B$3:$B$10,0),MATCH('Error Log'!$G426,Severity_Matrix!$C$2:$M$2,0)),"No errors"))</f>
        <v>Major</v>
      </c>
    </row>
    <row r="427" spans="1:10">
      <c r="A427" s="98" t="s">
        <v>1197</v>
      </c>
      <c r="B427" s="18">
        <v>2</v>
      </c>
      <c r="C427" s="98" t="s">
        <v>945</v>
      </c>
      <c r="D427" s="98" t="s">
        <v>946</v>
      </c>
      <c r="E427" s="84" t="s">
        <v>21</v>
      </c>
      <c r="F427" s="84" t="s">
        <v>7</v>
      </c>
      <c r="G427" s="84" t="s">
        <v>57</v>
      </c>
      <c r="H427" s="84" t="s">
        <v>948</v>
      </c>
      <c r="I427" s="14"/>
      <c r="J427" s="15" t="str">
        <f>IF(E427="Invalid_Segment","Invalid",IFERROR(INDEX(Severity_Matrix!$C$3:$M$10,MATCH('Error Log'!$F427,Severity_Matrix!$B$3:$B$10,0),MATCH('Error Log'!$G427,Severity_Matrix!$C$2:$M$2,0)),"No errors"))</f>
        <v>Critical</v>
      </c>
    </row>
    <row r="428" spans="1:10">
      <c r="A428" s="98" t="s">
        <v>1197</v>
      </c>
      <c r="B428" s="18">
        <v>3</v>
      </c>
      <c r="C428" s="98" t="s">
        <v>945</v>
      </c>
      <c r="D428" s="98" t="s">
        <v>946</v>
      </c>
      <c r="E428" s="84" t="s">
        <v>21</v>
      </c>
      <c r="F428" s="84" t="s">
        <v>63</v>
      </c>
      <c r="G428" s="84" t="s">
        <v>28</v>
      </c>
      <c r="H428" s="84" t="s">
        <v>949</v>
      </c>
      <c r="I428" s="14"/>
      <c r="J428" s="15" t="str">
        <f>IF(E428="Invalid_Segment","Invalid",IFERROR(INDEX(Severity_Matrix!$C$3:$M$10,MATCH('Error Log'!$F428,Severity_Matrix!$B$3:$B$10,0),MATCH('Error Log'!$G428,Severity_Matrix!$C$2:$M$2,0)),"No errors"))</f>
        <v>Major</v>
      </c>
    </row>
    <row r="429" spans="1:10">
      <c r="A429" s="98" t="s">
        <v>1198</v>
      </c>
      <c r="B429" s="18">
        <v>1</v>
      </c>
      <c r="C429" s="98" t="s">
        <v>950</v>
      </c>
      <c r="D429" s="98" t="s">
        <v>951</v>
      </c>
      <c r="E429" s="84" t="s">
        <v>21</v>
      </c>
      <c r="F429" s="84" t="s">
        <v>22</v>
      </c>
      <c r="G429" s="84" t="s">
        <v>57</v>
      </c>
      <c r="H429" s="84" t="s">
        <v>952</v>
      </c>
      <c r="I429" s="14"/>
      <c r="J429" s="15" t="str">
        <f>IF(E429="Invalid_Segment","Invalid",IFERROR(INDEX(Severity_Matrix!$C$3:$M$10,MATCH('Error Log'!$F429,Severity_Matrix!$B$3:$B$10,0),MATCH('Error Log'!$G429,Severity_Matrix!$C$2:$M$2,0)),"No errors"))</f>
        <v>Major</v>
      </c>
    </row>
    <row r="430" spans="1:10">
      <c r="A430" s="98" t="s">
        <v>1198</v>
      </c>
      <c r="B430" s="18">
        <v>2</v>
      </c>
      <c r="C430" s="98" t="s">
        <v>950</v>
      </c>
      <c r="D430" s="98" t="s">
        <v>951</v>
      </c>
      <c r="E430" s="84" t="s">
        <v>21</v>
      </c>
      <c r="F430" s="84" t="s">
        <v>7</v>
      </c>
      <c r="G430" s="84" t="s">
        <v>57</v>
      </c>
      <c r="H430" s="84" t="s">
        <v>953</v>
      </c>
      <c r="I430" s="14"/>
      <c r="J430" s="15" t="str">
        <f>IF(E430="Invalid_Segment","Invalid",IFERROR(INDEX(Severity_Matrix!$C$3:$M$10,MATCH('Error Log'!$F430,Severity_Matrix!$B$3:$B$10,0),MATCH('Error Log'!$G430,Severity_Matrix!$C$2:$M$2,0)),"No errors"))</f>
        <v>Critical</v>
      </c>
    </row>
    <row r="431" spans="1:10">
      <c r="A431" s="98" t="s">
        <v>1198</v>
      </c>
      <c r="B431" s="18">
        <v>3</v>
      </c>
      <c r="C431" s="98" t="s">
        <v>950</v>
      </c>
      <c r="D431" s="98" t="s">
        <v>951</v>
      </c>
      <c r="E431" s="84" t="s">
        <v>21</v>
      </c>
      <c r="F431" s="84" t="s">
        <v>7</v>
      </c>
      <c r="G431" s="84" t="s">
        <v>57</v>
      </c>
      <c r="H431" s="84" t="s">
        <v>954</v>
      </c>
      <c r="I431" s="14"/>
      <c r="J431" s="15" t="str">
        <f>IF(E431="Invalid_Segment","Invalid",IFERROR(INDEX(Severity_Matrix!$C$3:$M$10,MATCH('Error Log'!$F431,Severity_Matrix!$B$3:$B$10,0),MATCH('Error Log'!$G431,Severity_Matrix!$C$2:$M$2,0)),"No errors"))</f>
        <v>Critical</v>
      </c>
    </row>
    <row r="432" spans="1:10">
      <c r="A432" s="98" t="s">
        <v>1199</v>
      </c>
      <c r="B432" s="18">
        <v>1</v>
      </c>
      <c r="C432" s="98" t="s">
        <v>955</v>
      </c>
      <c r="D432" s="98" t="s">
        <v>956</v>
      </c>
      <c r="E432" s="84" t="s">
        <v>21</v>
      </c>
      <c r="F432" s="84" t="s">
        <v>22</v>
      </c>
      <c r="G432" s="84" t="s">
        <v>57</v>
      </c>
      <c r="H432" s="84" t="s">
        <v>957</v>
      </c>
      <c r="I432" s="14"/>
      <c r="J432" s="15" t="str">
        <f>IF(E432="Invalid_Segment","Invalid",IFERROR(INDEX(Severity_Matrix!$C$3:$M$10,MATCH('Error Log'!$F432,Severity_Matrix!$B$3:$B$10,0),MATCH('Error Log'!$G432,Severity_Matrix!$C$2:$M$2,0)),"No errors"))</f>
        <v>Major</v>
      </c>
    </row>
    <row r="433" spans="1:10">
      <c r="A433" s="98" t="s">
        <v>1199</v>
      </c>
      <c r="B433" s="18">
        <v>2</v>
      </c>
      <c r="C433" s="98" t="s">
        <v>955</v>
      </c>
      <c r="D433" s="98" t="s">
        <v>956</v>
      </c>
      <c r="E433" s="84" t="s">
        <v>21</v>
      </c>
      <c r="F433" s="84" t="s">
        <v>22</v>
      </c>
      <c r="G433" s="84" t="s">
        <v>57</v>
      </c>
      <c r="H433" s="84" t="s">
        <v>958</v>
      </c>
      <c r="I433" s="14"/>
      <c r="J433" s="15" t="str">
        <f>IF(E433="Invalid_Segment","Invalid",IFERROR(INDEX(Severity_Matrix!$C$3:$M$10,MATCH('Error Log'!$F433,Severity_Matrix!$B$3:$B$10,0),MATCH('Error Log'!$G433,Severity_Matrix!$C$2:$M$2,0)),"No errors"))</f>
        <v>Major</v>
      </c>
    </row>
    <row r="434" spans="1:10">
      <c r="A434" s="98" t="s">
        <v>1199</v>
      </c>
      <c r="B434" s="18">
        <v>3</v>
      </c>
      <c r="C434" s="98" t="s">
        <v>955</v>
      </c>
      <c r="D434" s="98" t="s">
        <v>956</v>
      </c>
      <c r="E434" s="84" t="s">
        <v>21</v>
      </c>
      <c r="F434" s="84" t="s">
        <v>7</v>
      </c>
      <c r="G434" s="84" t="s">
        <v>57</v>
      </c>
      <c r="H434" s="84" t="s">
        <v>959</v>
      </c>
      <c r="I434" s="14"/>
      <c r="J434" s="15" t="str">
        <f>IF(E434="Invalid_Segment","Invalid",IFERROR(INDEX(Severity_Matrix!$C$3:$M$10,MATCH('Error Log'!$F434,Severity_Matrix!$B$3:$B$10,0),MATCH('Error Log'!$G434,Severity_Matrix!$C$2:$M$2,0)),"No errors"))</f>
        <v>Critical</v>
      </c>
    </row>
    <row r="435" spans="1:10">
      <c r="A435" s="98" t="s">
        <v>1200</v>
      </c>
      <c r="B435" s="18">
        <v>1</v>
      </c>
      <c r="C435" s="98" t="s">
        <v>960</v>
      </c>
      <c r="D435" s="98" t="s">
        <v>961</v>
      </c>
      <c r="E435" s="84" t="s">
        <v>21</v>
      </c>
      <c r="F435" s="84" t="s">
        <v>22</v>
      </c>
      <c r="G435" s="84" t="s">
        <v>57</v>
      </c>
      <c r="H435" s="84" t="s">
        <v>962</v>
      </c>
      <c r="I435" s="14"/>
      <c r="J435" s="15" t="str">
        <f>IF(E435="Invalid_Segment","Invalid",IFERROR(INDEX(Severity_Matrix!$C$3:$M$10,MATCH('Error Log'!$F435,Severity_Matrix!$B$3:$B$10,0),MATCH('Error Log'!$G435,Severity_Matrix!$C$2:$M$2,0)),"No errors"))</f>
        <v>Major</v>
      </c>
    </row>
    <row r="436" spans="1:10">
      <c r="A436" s="98" t="s">
        <v>1200</v>
      </c>
      <c r="B436" s="18">
        <v>2</v>
      </c>
      <c r="C436" s="98" t="s">
        <v>960</v>
      </c>
      <c r="D436" s="98" t="s">
        <v>961</v>
      </c>
      <c r="E436" s="84" t="s">
        <v>21</v>
      </c>
      <c r="F436" s="84" t="s">
        <v>7</v>
      </c>
      <c r="G436" s="84" t="s">
        <v>57</v>
      </c>
      <c r="H436" s="84" t="s">
        <v>963</v>
      </c>
      <c r="I436" s="14"/>
      <c r="J436" s="15" t="str">
        <f>IF(E436="Invalid_Segment","Invalid",IFERROR(INDEX(Severity_Matrix!$C$3:$M$10,MATCH('Error Log'!$F436,Severity_Matrix!$B$3:$B$10,0),MATCH('Error Log'!$G436,Severity_Matrix!$C$2:$M$2,0)),"No errors"))</f>
        <v>Critical</v>
      </c>
    </row>
    <row r="437" spans="1:10">
      <c r="A437" s="98" t="s">
        <v>1201</v>
      </c>
      <c r="B437" s="18">
        <v>1</v>
      </c>
      <c r="C437" s="98" t="s">
        <v>964</v>
      </c>
      <c r="D437" s="98" t="s">
        <v>965</v>
      </c>
      <c r="E437" s="84" t="s">
        <v>21</v>
      </c>
      <c r="F437" s="84" t="s">
        <v>22</v>
      </c>
      <c r="G437" s="84" t="s">
        <v>57</v>
      </c>
      <c r="H437" s="84" t="s">
        <v>966</v>
      </c>
      <c r="I437" s="14"/>
      <c r="J437" s="15" t="str">
        <f>IF(E437="Invalid_Segment","Invalid",IFERROR(INDEX(Severity_Matrix!$C$3:$M$10,MATCH('Error Log'!$F437,Severity_Matrix!$B$3:$B$10,0),MATCH('Error Log'!$G437,Severity_Matrix!$C$2:$M$2,0)),"No errors"))</f>
        <v>Major</v>
      </c>
    </row>
    <row r="438" spans="1:10">
      <c r="A438" s="98" t="s">
        <v>1201</v>
      </c>
      <c r="B438" s="18">
        <v>2</v>
      </c>
      <c r="C438" s="98" t="s">
        <v>964</v>
      </c>
      <c r="D438" s="98" t="s">
        <v>965</v>
      </c>
      <c r="E438" s="84" t="s">
        <v>21</v>
      </c>
      <c r="F438" s="84" t="s">
        <v>7</v>
      </c>
      <c r="G438" s="84" t="s">
        <v>57</v>
      </c>
      <c r="H438" s="84" t="s">
        <v>967</v>
      </c>
      <c r="I438" s="14"/>
      <c r="J438" s="15" t="str">
        <f>IF(E438="Invalid_Segment","Invalid",IFERROR(INDEX(Severity_Matrix!$C$3:$M$10,MATCH('Error Log'!$F438,Severity_Matrix!$B$3:$B$10,0),MATCH('Error Log'!$G438,Severity_Matrix!$C$2:$M$2,0)),"No errors"))</f>
        <v>Critical</v>
      </c>
    </row>
    <row r="439" spans="1:10">
      <c r="A439" s="98" t="s">
        <v>1201</v>
      </c>
      <c r="B439" s="18">
        <v>3</v>
      </c>
      <c r="C439" s="98" t="s">
        <v>964</v>
      </c>
      <c r="D439" s="98" t="s">
        <v>965</v>
      </c>
      <c r="E439" s="84" t="s">
        <v>21</v>
      </c>
      <c r="F439" s="84" t="s">
        <v>22</v>
      </c>
      <c r="G439" s="84" t="s">
        <v>57</v>
      </c>
      <c r="H439" s="84" t="s">
        <v>968</v>
      </c>
      <c r="I439" s="14"/>
      <c r="J439" s="15" t="str">
        <f>IF(E439="Invalid_Segment","Invalid",IFERROR(INDEX(Severity_Matrix!$C$3:$M$10,MATCH('Error Log'!$F439,Severity_Matrix!$B$3:$B$10,0),MATCH('Error Log'!$G439,Severity_Matrix!$C$2:$M$2,0)),"No errors"))</f>
        <v>Major</v>
      </c>
    </row>
    <row r="440" spans="1:10">
      <c r="A440" s="98" t="s">
        <v>1201</v>
      </c>
      <c r="B440" s="18">
        <v>4</v>
      </c>
      <c r="C440" s="98" t="s">
        <v>964</v>
      </c>
      <c r="D440" s="98" t="s">
        <v>965</v>
      </c>
      <c r="E440" s="84" t="s">
        <v>21</v>
      </c>
      <c r="F440" s="84" t="s">
        <v>7</v>
      </c>
      <c r="G440" s="84" t="s">
        <v>28</v>
      </c>
      <c r="H440" s="84" t="s">
        <v>969</v>
      </c>
      <c r="I440" s="14"/>
      <c r="J440" s="15" t="str">
        <f>IF(E440="Invalid_Segment","Invalid",IFERROR(INDEX(Severity_Matrix!$C$3:$M$10,MATCH('Error Log'!$F440,Severity_Matrix!$B$3:$B$10,0),MATCH('Error Log'!$G440,Severity_Matrix!$C$2:$M$2,0)),"No errors"))</f>
        <v>Major</v>
      </c>
    </row>
    <row r="441" spans="1:10">
      <c r="A441" s="98" t="s">
        <v>1201</v>
      </c>
      <c r="B441" s="18">
        <v>5</v>
      </c>
      <c r="C441" s="98" t="s">
        <v>964</v>
      </c>
      <c r="D441" s="98" t="s">
        <v>965</v>
      </c>
      <c r="E441" s="84" t="s">
        <v>21</v>
      </c>
      <c r="F441" s="84" t="s">
        <v>63</v>
      </c>
      <c r="G441" s="84" t="s">
        <v>58</v>
      </c>
      <c r="H441" s="84" t="s">
        <v>970</v>
      </c>
      <c r="I441" s="14"/>
      <c r="J441" s="15" t="str">
        <f>IF(E441="Invalid_Segment","Invalid",IFERROR(INDEX(Severity_Matrix!$C$3:$M$10,MATCH('Error Log'!$F441,Severity_Matrix!$B$3:$B$10,0),MATCH('Error Log'!$G441,Severity_Matrix!$C$2:$M$2,0)),"No errors"))</f>
        <v>Minor</v>
      </c>
    </row>
    <row r="442" spans="1:10">
      <c r="A442" s="98" t="s">
        <v>1201</v>
      </c>
      <c r="B442" s="18">
        <v>6</v>
      </c>
      <c r="C442" s="98" t="s">
        <v>964</v>
      </c>
      <c r="D442" s="98" t="s">
        <v>965</v>
      </c>
      <c r="E442" s="84" t="s">
        <v>21</v>
      </c>
      <c r="F442" s="84" t="s">
        <v>22</v>
      </c>
      <c r="G442" s="84" t="s">
        <v>57</v>
      </c>
      <c r="H442" s="84" t="s">
        <v>971</v>
      </c>
      <c r="I442" s="14"/>
      <c r="J442" s="15" t="str">
        <f>IF(E442="Invalid_Segment","Invalid",IFERROR(INDEX(Severity_Matrix!$C$3:$M$10,MATCH('Error Log'!$F442,Severity_Matrix!$B$3:$B$10,0),MATCH('Error Log'!$G442,Severity_Matrix!$C$2:$M$2,0)),"No errors"))</f>
        <v>Major</v>
      </c>
    </row>
    <row r="443" spans="1:10">
      <c r="A443" s="98" t="s">
        <v>1201</v>
      </c>
      <c r="B443" s="18">
        <v>7</v>
      </c>
      <c r="C443" s="98" t="s">
        <v>972</v>
      </c>
      <c r="D443" s="98" t="s">
        <v>973</v>
      </c>
      <c r="E443" s="84" t="s">
        <v>21</v>
      </c>
      <c r="F443" s="84" t="s">
        <v>7</v>
      </c>
      <c r="G443" s="84" t="s">
        <v>57</v>
      </c>
      <c r="H443" s="84" t="s">
        <v>967</v>
      </c>
      <c r="I443" s="14"/>
      <c r="J443" s="15" t="str">
        <f>IF(E443="Invalid_Segment","Invalid",IFERROR(INDEX(Severity_Matrix!$C$3:$M$10,MATCH('Error Log'!$F443,Severity_Matrix!$B$3:$B$10,0),MATCH('Error Log'!$G443,Severity_Matrix!$C$2:$M$2,0)),"No errors"))</f>
        <v>Critical</v>
      </c>
    </row>
    <row r="444" spans="1:10">
      <c r="A444" s="98" t="s">
        <v>1201</v>
      </c>
      <c r="B444" s="18">
        <v>8</v>
      </c>
      <c r="C444" s="98" t="s">
        <v>964</v>
      </c>
      <c r="D444" s="98" t="s">
        <v>965</v>
      </c>
      <c r="E444" s="84" t="s">
        <v>21</v>
      </c>
      <c r="F444" s="84" t="s">
        <v>7</v>
      </c>
      <c r="G444" s="84" t="s">
        <v>57</v>
      </c>
      <c r="H444" s="84" t="s">
        <v>974</v>
      </c>
      <c r="I444" s="14"/>
      <c r="J444" s="15" t="str">
        <f>IF(E444="Invalid_Segment","Invalid",IFERROR(INDEX(Severity_Matrix!$C$3:$M$10,MATCH('Error Log'!$F444,Severity_Matrix!$B$3:$B$10,0),MATCH('Error Log'!$G444,Severity_Matrix!$C$2:$M$2,0)),"No errors"))</f>
        <v>Critical</v>
      </c>
    </row>
    <row r="445" spans="1:10">
      <c r="A445" s="98" t="s">
        <v>1202</v>
      </c>
      <c r="B445" s="18">
        <v>1</v>
      </c>
      <c r="C445" s="98" t="s">
        <v>975</v>
      </c>
      <c r="D445" s="98" t="s">
        <v>976</v>
      </c>
      <c r="E445" s="84" t="s">
        <v>21</v>
      </c>
      <c r="F445" s="84" t="s">
        <v>7</v>
      </c>
      <c r="G445" s="84" t="s">
        <v>55</v>
      </c>
      <c r="H445" s="84" t="s">
        <v>977</v>
      </c>
      <c r="I445" s="14"/>
      <c r="J445" s="15" t="str">
        <f>IF(E445="Invalid_Segment","Invalid",IFERROR(INDEX(Severity_Matrix!$C$3:$M$10,MATCH('Error Log'!$F445,Severity_Matrix!$B$3:$B$10,0),MATCH('Error Log'!$G445,Severity_Matrix!$C$2:$M$2,0)),"No errors"))</f>
        <v>Critical</v>
      </c>
    </row>
    <row r="446" spans="1:10">
      <c r="A446" s="98" t="s">
        <v>1203</v>
      </c>
      <c r="B446" s="18">
        <v>1</v>
      </c>
      <c r="C446" s="98" t="s">
        <v>978</v>
      </c>
      <c r="D446" s="98" t="s">
        <v>979</v>
      </c>
      <c r="E446" s="84" t="s">
        <v>21</v>
      </c>
      <c r="F446" s="84" t="s">
        <v>22</v>
      </c>
      <c r="G446" s="84" t="s">
        <v>57</v>
      </c>
      <c r="H446" s="84" t="s">
        <v>980</v>
      </c>
      <c r="I446" s="14"/>
      <c r="J446" s="15" t="str">
        <f>IF(E446="Invalid_Segment","Invalid",IFERROR(INDEX(Severity_Matrix!$C$3:$M$10,MATCH('Error Log'!$F446,Severity_Matrix!$B$3:$B$10,0),MATCH('Error Log'!$G446,Severity_Matrix!$C$2:$M$2,0)),"No errors"))</f>
        <v>Major</v>
      </c>
    </row>
    <row r="447" spans="1:10">
      <c r="A447" s="98" t="s">
        <v>1203</v>
      </c>
      <c r="B447" s="18">
        <v>2</v>
      </c>
      <c r="C447" s="98" t="s">
        <v>978</v>
      </c>
      <c r="D447" s="98" t="s">
        <v>979</v>
      </c>
      <c r="E447" s="84" t="s">
        <v>21</v>
      </c>
      <c r="F447" s="84" t="s">
        <v>7</v>
      </c>
      <c r="G447" s="84" t="s">
        <v>57</v>
      </c>
      <c r="H447" s="84" t="s">
        <v>981</v>
      </c>
      <c r="I447" s="14"/>
      <c r="J447" s="15" t="str">
        <f>IF(E447="Invalid_Segment","Invalid",IFERROR(INDEX(Severity_Matrix!$C$3:$M$10,MATCH('Error Log'!$F447,Severity_Matrix!$B$3:$B$10,0),MATCH('Error Log'!$G447,Severity_Matrix!$C$2:$M$2,0)),"No errors"))</f>
        <v>Critical</v>
      </c>
    </row>
    <row r="448" spans="1:10">
      <c r="A448" s="98" t="s">
        <v>1204</v>
      </c>
      <c r="B448" s="18">
        <v>1</v>
      </c>
      <c r="C448" s="98" t="s">
        <v>982</v>
      </c>
      <c r="D448" s="98" t="s">
        <v>983</v>
      </c>
      <c r="E448" s="84" t="s">
        <v>21</v>
      </c>
      <c r="F448" s="84" t="s">
        <v>63</v>
      </c>
      <c r="G448" s="84" t="s">
        <v>54</v>
      </c>
      <c r="H448" s="84" t="s">
        <v>984</v>
      </c>
      <c r="I448" s="14"/>
      <c r="J448" s="15" t="str">
        <f>IF(E448="Invalid_Segment","Invalid",IFERROR(INDEX(Severity_Matrix!$C$3:$M$10,MATCH('Error Log'!$F448,Severity_Matrix!$B$3:$B$10,0),MATCH('Error Log'!$G448,Severity_Matrix!$C$2:$M$2,0)),"No errors"))</f>
        <v>Critical</v>
      </c>
    </row>
    <row r="449" spans="1:10">
      <c r="A449" s="98" t="s">
        <v>1204</v>
      </c>
      <c r="B449" s="18">
        <v>2</v>
      </c>
      <c r="C449" s="98" t="s">
        <v>982</v>
      </c>
      <c r="D449" s="98" t="s">
        <v>983</v>
      </c>
      <c r="E449" s="84" t="s">
        <v>21</v>
      </c>
      <c r="F449" s="84" t="s">
        <v>7</v>
      </c>
      <c r="G449" s="84" t="s">
        <v>57</v>
      </c>
      <c r="H449" s="84" t="s">
        <v>985</v>
      </c>
      <c r="I449" s="14"/>
      <c r="J449" s="15" t="str">
        <f>IF(E449="Invalid_Segment","Invalid",IFERROR(INDEX(Severity_Matrix!$C$3:$M$10,MATCH('Error Log'!$F449,Severity_Matrix!$B$3:$B$10,0),MATCH('Error Log'!$G449,Severity_Matrix!$C$2:$M$2,0)),"No errors"))</f>
        <v>Critical</v>
      </c>
    </row>
    <row r="450" spans="1:10">
      <c r="A450" s="98" t="s">
        <v>1205</v>
      </c>
      <c r="B450" s="18">
        <v>1</v>
      </c>
      <c r="C450" s="98" t="s">
        <v>986</v>
      </c>
      <c r="D450" s="98" t="s">
        <v>987</v>
      </c>
      <c r="E450" s="84" t="s">
        <v>21</v>
      </c>
      <c r="F450" s="84" t="s">
        <v>7</v>
      </c>
      <c r="G450" s="84" t="s">
        <v>58</v>
      </c>
      <c r="H450" s="84" t="s">
        <v>988</v>
      </c>
      <c r="I450" s="14"/>
      <c r="J450" s="15" t="str">
        <f>IF(E450="Invalid_Segment","Invalid",IFERROR(INDEX(Severity_Matrix!$C$3:$M$10,MATCH('Error Log'!$F450,Severity_Matrix!$B$3:$B$10,0),MATCH('Error Log'!$G450,Severity_Matrix!$C$2:$M$2,0)),"No errors"))</f>
        <v>Minor</v>
      </c>
    </row>
    <row r="451" spans="1:10">
      <c r="A451" s="98" t="s">
        <v>1205</v>
      </c>
      <c r="B451" s="18">
        <v>2</v>
      </c>
      <c r="C451" s="98" t="s">
        <v>986</v>
      </c>
      <c r="D451" s="98" t="s">
        <v>987</v>
      </c>
      <c r="E451" s="84" t="s">
        <v>21</v>
      </c>
      <c r="F451" s="84" t="s">
        <v>7</v>
      </c>
      <c r="G451" s="84" t="s">
        <v>55</v>
      </c>
      <c r="H451" s="84" t="s">
        <v>989</v>
      </c>
      <c r="I451" s="14"/>
      <c r="J451" s="15" t="str">
        <f>IF(E451="Invalid_Segment","Invalid",IFERROR(INDEX(Severity_Matrix!$C$3:$M$10,MATCH('Error Log'!$F451,Severity_Matrix!$B$3:$B$10,0),MATCH('Error Log'!$G451,Severity_Matrix!$C$2:$M$2,0)),"No errors"))</f>
        <v>Critical</v>
      </c>
    </row>
    <row r="452" spans="1:10">
      <c r="A452" s="98" t="s">
        <v>1205</v>
      </c>
      <c r="B452" s="18">
        <v>3</v>
      </c>
      <c r="C452" s="98" t="s">
        <v>986</v>
      </c>
      <c r="D452" s="98" t="s">
        <v>987</v>
      </c>
      <c r="E452" s="84" t="s">
        <v>21</v>
      </c>
      <c r="F452" s="84" t="s">
        <v>7</v>
      </c>
      <c r="G452" s="84" t="s">
        <v>56</v>
      </c>
      <c r="H452" s="84" t="s">
        <v>990</v>
      </c>
      <c r="I452" s="14"/>
      <c r="J452" s="15" t="str">
        <f>IF(E452="Invalid_Segment","Invalid",IFERROR(INDEX(Severity_Matrix!$C$3:$M$10,MATCH('Error Log'!$F452,Severity_Matrix!$B$3:$B$10,0),MATCH('Error Log'!$G452,Severity_Matrix!$C$2:$M$2,0)),"No errors"))</f>
        <v>Critical</v>
      </c>
    </row>
    <row r="453" spans="1:10">
      <c r="A453" s="98" t="s">
        <v>1205</v>
      </c>
      <c r="B453" s="18">
        <v>4</v>
      </c>
      <c r="C453" s="98" t="s">
        <v>986</v>
      </c>
      <c r="D453" s="98" t="s">
        <v>987</v>
      </c>
      <c r="E453" s="84" t="s">
        <v>21</v>
      </c>
      <c r="F453" s="84" t="s">
        <v>22</v>
      </c>
      <c r="G453" s="84" t="s">
        <v>57</v>
      </c>
      <c r="H453" s="84" t="s">
        <v>991</v>
      </c>
      <c r="I453" s="14"/>
      <c r="J453" s="15" t="str">
        <f>IF(E453="Invalid_Segment","Invalid",IFERROR(INDEX(Severity_Matrix!$C$3:$M$10,MATCH('Error Log'!$F453,Severity_Matrix!$B$3:$B$10,0),MATCH('Error Log'!$G453,Severity_Matrix!$C$2:$M$2,0)),"No errors"))</f>
        <v>Major</v>
      </c>
    </row>
    <row r="454" spans="1:10">
      <c r="A454" s="98" t="s">
        <v>1205</v>
      </c>
      <c r="B454" s="18">
        <v>5</v>
      </c>
      <c r="C454" s="98" t="s">
        <v>986</v>
      </c>
      <c r="D454" s="98" t="s">
        <v>987</v>
      </c>
      <c r="E454" s="84" t="s">
        <v>21</v>
      </c>
      <c r="F454" s="84" t="s">
        <v>22</v>
      </c>
      <c r="G454" s="84" t="s">
        <v>57</v>
      </c>
      <c r="H454" s="84" t="s">
        <v>992</v>
      </c>
      <c r="I454" s="14"/>
      <c r="J454" s="15" t="str">
        <f>IF(E454="Invalid_Segment","Invalid",IFERROR(INDEX(Severity_Matrix!$C$3:$M$10,MATCH('Error Log'!$F454,Severity_Matrix!$B$3:$B$10,0),MATCH('Error Log'!$G454,Severity_Matrix!$C$2:$M$2,0)),"No errors"))</f>
        <v>Major</v>
      </c>
    </row>
    <row r="455" spans="1:10">
      <c r="A455" s="98" t="s">
        <v>1205</v>
      </c>
      <c r="B455" s="18">
        <v>6</v>
      </c>
      <c r="C455" s="98" t="s">
        <v>986</v>
      </c>
      <c r="D455" s="98" t="s">
        <v>987</v>
      </c>
      <c r="E455" s="84" t="s">
        <v>21</v>
      </c>
      <c r="F455" s="84" t="s">
        <v>7</v>
      </c>
      <c r="G455" s="84" t="s">
        <v>57</v>
      </c>
      <c r="H455" s="84" t="s">
        <v>993</v>
      </c>
      <c r="I455" s="14"/>
      <c r="J455" s="15" t="str">
        <f>IF(E455="Invalid_Segment","Invalid",IFERROR(INDEX(Severity_Matrix!$C$3:$M$10,MATCH('Error Log'!$F455,Severity_Matrix!$B$3:$B$10,0),MATCH('Error Log'!$G455,Severity_Matrix!$C$2:$M$2,0)),"No errors"))</f>
        <v>Critical</v>
      </c>
    </row>
    <row r="456" spans="1:10">
      <c r="A456" s="98" t="s">
        <v>1205</v>
      </c>
      <c r="B456" s="18">
        <v>7</v>
      </c>
      <c r="C456" s="98" t="s">
        <v>986</v>
      </c>
      <c r="D456" s="98" t="s">
        <v>987</v>
      </c>
      <c r="E456" s="84" t="s">
        <v>21</v>
      </c>
      <c r="F456" s="84" t="s">
        <v>7</v>
      </c>
      <c r="G456" s="84" t="s">
        <v>57</v>
      </c>
      <c r="H456" s="84" t="s">
        <v>994</v>
      </c>
      <c r="I456" s="14"/>
      <c r="J456" s="15" t="str">
        <f>IF(E456="Invalid_Segment","Invalid",IFERROR(INDEX(Severity_Matrix!$C$3:$M$10,MATCH('Error Log'!$F456,Severity_Matrix!$B$3:$B$10,0),MATCH('Error Log'!$G456,Severity_Matrix!$C$2:$M$2,0)),"No errors"))</f>
        <v>Critical</v>
      </c>
    </row>
    <row r="457" spans="1:10">
      <c r="A457" s="98" t="s">
        <v>1206</v>
      </c>
      <c r="B457" s="18">
        <v>1</v>
      </c>
      <c r="C457" s="98" t="s">
        <v>995</v>
      </c>
      <c r="D457" s="98" t="s">
        <v>996</v>
      </c>
      <c r="E457" s="84" t="s">
        <v>21</v>
      </c>
      <c r="F457" s="84" t="s">
        <v>22</v>
      </c>
      <c r="G457" s="84" t="s">
        <v>57</v>
      </c>
      <c r="H457" s="99" t="s">
        <v>997</v>
      </c>
      <c r="I457" s="14"/>
      <c r="J457" s="15" t="str">
        <f>IF(E457="Invalid_Segment","Invalid",IFERROR(INDEX(Severity_Matrix!$C$3:$M$10,MATCH('Error Log'!$F457,Severity_Matrix!$B$3:$B$10,0),MATCH('Error Log'!$G457,Severity_Matrix!$C$2:$M$2,0)),"No errors"))</f>
        <v>Major</v>
      </c>
    </row>
    <row r="458" spans="1:10">
      <c r="A458" s="98" t="s">
        <v>1207</v>
      </c>
      <c r="B458" s="18">
        <v>1</v>
      </c>
      <c r="C458" s="98" t="s">
        <v>998</v>
      </c>
      <c r="D458" s="98" t="s">
        <v>999</v>
      </c>
      <c r="E458" s="84" t="s">
        <v>21</v>
      </c>
      <c r="F458" s="84" t="s">
        <v>7</v>
      </c>
      <c r="G458" s="84" t="s">
        <v>28</v>
      </c>
      <c r="H458" s="84" t="s">
        <v>1000</v>
      </c>
      <c r="I458" s="14"/>
      <c r="J458" s="15" t="str">
        <f>IF(E458="Invalid_Segment","Invalid",IFERROR(INDEX(Severity_Matrix!$C$3:$M$10,MATCH('Error Log'!$F458,Severity_Matrix!$B$3:$B$10,0),MATCH('Error Log'!$G458,Severity_Matrix!$C$2:$M$2,0)),"No errors"))</f>
        <v>Major</v>
      </c>
    </row>
    <row r="459" spans="1:10">
      <c r="A459" s="98" t="s">
        <v>1207</v>
      </c>
      <c r="B459" s="18">
        <v>2</v>
      </c>
      <c r="C459" s="98" t="s">
        <v>998</v>
      </c>
      <c r="D459" s="98" t="s">
        <v>999</v>
      </c>
      <c r="E459" s="84" t="s">
        <v>21</v>
      </c>
      <c r="F459" s="84" t="s">
        <v>63</v>
      </c>
      <c r="G459" s="84" t="s">
        <v>28</v>
      </c>
      <c r="H459" s="84" t="s">
        <v>1001</v>
      </c>
      <c r="I459" s="14"/>
      <c r="J459" s="15" t="str">
        <f>IF(E459="Invalid_Segment","Invalid",IFERROR(INDEX(Severity_Matrix!$C$3:$M$10,MATCH('Error Log'!$F459,Severity_Matrix!$B$3:$B$10,0),MATCH('Error Log'!$G459,Severity_Matrix!$C$2:$M$2,0)),"No errors"))</f>
        <v>Major</v>
      </c>
    </row>
    <row r="460" spans="1:10">
      <c r="A460" s="98" t="s">
        <v>1207</v>
      </c>
      <c r="B460" s="18">
        <v>3</v>
      </c>
      <c r="C460" s="98" t="s">
        <v>998</v>
      </c>
      <c r="D460" s="98" t="s">
        <v>999</v>
      </c>
      <c r="E460" s="84" t="s">
        <v>21</v>
      </c>
      <c r="F460" s="84" t="s">
        <v>63</v>
      </c>
      <c r="G460" s="84" t="s">
        <v>28</v>
      </c>
      <c r="H460" s="84" t="s">
        <v>1002</v>
      </c>
      <c r="I460" s="14"/>
      <c r="J460" s="15" t="str">
        <f>IF(E460="Invalid_Segment","Invalid",IFERROR(INDEX(Severity_Matrix!$C$3:$M$10,MATCH('Error Log'!$F460,Severity_Matrix!$B$3:$B$10,0),MATCH('Error Log'!$G460,Severity_Matrix!$C$2:$M$2,0)),"No errors"))</f>
        <v>Major</v>
      </c>
    </row>
    <row r="461" spans="1:10">
      <c r="A461" s="98" t="s">
        <v>1207</v>
      </c>
      <c r="B461" s="18">
        <v>4</v>
      </c>
      <c r="C461" s="98" t="s">
        <v>998</v>
      </c>
      <c r="D461" s="98" t="s">
        <v>999</v>
      </c>
      <c r="E461" s="84" t="s">
        <v>21</v>
      </c>
      <c r="F461" s="84" t="s">
        <v>63</v>
      </c>
      <c r="G461" s="84" t="s">
        <v>55</v>
      </c>
      <c r="H461" s="84" t="s">
        <v>1003</v>
      </c>
      <c r="I461" s="14"/>
      <c r="J461" s="15" t="str">
        <f>IF(E461="Invalid_Segment","Invalid",IFERROR(INDEX(Severity_Matrix!$C$3:$M$10,MATCH('Error Log'!$F461,Severity_Matrix!$B$3:$B$10,0),MATCH('Error Log'!$G461,Severity_Matrix!$C$2:$M$2,0)),"No errors"))</f>
        <v>Critical</v>
      </c>
    </row>
    <row r="462" spans="1:10">
      <c r="A462" s="98" t="s">
        <v>1207</v>
      </c>
      <c r="B462" s="18">
        <v>5</v>
      </c>
      <c r="C462" s="98" t="s">
        <v>998</v>
      </c>
      <c r="D462" s="98" t="s">
        <v>999</v>
      </c>
      <c r="E462" s="84" t="s">
        <v>21</v>
      </c>
      <c r="F462" s="84" t="s">
        <v>7</v>
      </c>
      <c r="G462" s="84" t="s">
        <v>57</v>
      </c>
      <c r="H462" s="84" t="s">
        <v>1004</v>
      </c>
      <c r="I462" s="14"/>
      <c r="J462" s="15" t="str">
        <f>IF(E462="Invalid_Segment","Invalid",IFERROR(INDEX(Severity_Matrix!$C$3:$M$10,MATCH('Error Log'!$F462,Severity_Matrix!$B$3:$B$10,0),MATCH('Error Log'!$G462,Severity_Matrix!$C$2:$M$2,0)),"No errors"))</f>
        <v>Critical</v>
      </c>
    </row>
    <row r="463" spans="1:10">
      <c r="A463" s="98" t="s">
        <v>1207</v>
      </c>
      <c r="B463" s="18">
        <v>6</v>
      </c>
      <c r="C463" s="98" t="s">
        <v>998</v>
      </c>
      <c r="D463" s="98" t="s">
        <v>999</v>
      </c>
      <c r="E463" s="84" t="s">
        <v>21</v>
      </c>
      <c r="F463" s="84" t="s">
        <v>22</v>
      </c>
      <c r="G463" s="84" t="s">
        <v>57</v>
      </c>
      <c r="H463" s="84" t="s">
        <v>1005</v>
      </c>
      <c r="I463" s="14"/>
      <c r="J463" s="15" t="str">
        <f>IF(E463="Invalid_Segment","Invalid",IFERROR(INDEX(Severity_Matrix!$C$3:$M$10,MATCH('Error Log'!$F463,Severity_Matrix!$B$3:$B$10,0),MATCH('Error Log'!$G463,Severity_Matrix!$C$2:$M$2,0)),"No errors"))</f>
        <v>Major</v>
      </c>
    </row>
    <row r="464" spans="1:10">
      <c r="A464" s="98" t="s">
        <v>1207</v>
      </c>
      <c r="B464" s="18">
        <v>7</v>
      </c>
      <c r="C464" s="98" t="s">
        <v>998</v>
      </c>
      <c r="D464" s="98" t="s">
        <v>999</v>
      </c>
      <c r="E464" s="84" t="s">
        <v>21</v>
      </c>
      <c r="F464" s="84" t="s">
        <v>22</v>
      </c>
      <c r="G464" s="84" t="s">
        <v>57</v>
      </c>
      <c r="H464" s="84" t="s">
        <v>1006</v>
      </c>
      <c r="I464" s="14"/>
      <c r="J464" s="15" t="str">
        <f>IF(E464="Invalid_Segment","Invalid",IFERROR(INDEX(Severity_Matrix!$C$3:$M$10,MATCH('Error Log'!$F464,Severity_Matrix!$B$3:$B$10,0),MATCH('Error Log'!$G464,Severity_Matrix!$C$2:$M$2,0)),"No errors"))</f>
        <v>Major</v>
      </c>
    </row>
    <row r="465" spans="1:10">
      <c r="A465" s="98" t="s">
        <v>1207</v>
      </c>
      <c r="B465" s="18">
        <v>8</v>
      </c>
      <c r="C465" s="98" t="s">
        <v>998</v>
      </c>
      <c r="D465" s="98" t="s">
        <v>999</v>
      </c>
      <c r="E465" s="84" t="s">
        <v>21</v>
      </c>
      <c r="F465" s="84" t="s">
        <v>7</v>
      </c>
      <c r="G465" s="84" t="s">
        <v>57</v>
      </c>
      <c r="H465" s="84" t="s">
        <v>1007</v>
      </c>
      <c r="I465" s="14"/>
      <c r="J465" s="15" t="str">
        <f>IF(E465="Invalid_Segment","Invalid",IFERROR(INDEX(Severity_Matrix!$C$3:$M$10,MATCH('Error Log'!$F465,Severity_Matrix!$B$3:$B$10,0),MATCH('Error Log'!$G465,Severity_Matrix!$C$2:$M$2,0)),"No errors"))</f>
        <v>Critical</v>
      </c>
    </row>
    <row r="466" spans="1:10">
      <c r="A466" s="98" t="s">
        <v>1208</v>
      </c>
      <c r="B466" s="18">
        <v>1</v>
      </c>
      <c r="C466" s="98" t="s">
        <v>1008</v>
      </c>
      <c r="D466" s="98" t="s">
        <v>1009</v>
      </c>
      <c r="E466" s="84" t="s">
        <v>21</v>
      </c>
      <c r="F466" s="84" t="s">
        <v>7</v>
      </c>
      <c r="G466" s="84" t="s">
        <v>57</v>
      </c>
      <c r="H466" s="84" t="s">
        <v>1010</v>
      </c>
      <c r="I466" s="14"/>
      <c r="J466" s="15" t="str">
        <f>IF(E466="Invalid_Segment","Invalid",IFERROR(INDEX(Severity_Matrix!$C$3:$M$10,MATCH('Error Log'!$F466,Severity_Matrix!$B$3:$B$10,0),MATCH('Error Log'!$G466,Severity_Matrix!$C$2:$M$2,0)),"No errors"))</f>
        <v>Critical</v>
      </c>
    </row>
    <row r="467" spans="1:10">
      <c r="A467" s="98" t="s">
        <v>1208</v>
      </c>
      <c r="B467" s="18">
        <v>2</v>
      </c>
      <c r="C467" s="98" t="s">
        <v>1008</v>
      </c>
      <c r="D467" s="98" t="s">
        <v>1009</v>
      </c>
      <c r="E467" s="84" t="s">
        <v>21</v>
      </c>
      <c r="F467" s="84" t="s">
        <v>7</v>
      </c>
      <c r="G467" s="84" t="s">
        <v>57</v>
      </c>
      <c r="H467" s="84" t="s">
        <v>1011</v>
      </c>
      <c r="I467" s="14"/>
      <c r="J467" s="15" t="str">
        <f>IF(E467="Invalid_Segment","Invalid",IFERROR(INDEX(Severity_Matrix!$C$3:$M$10,MATCH('Error Log'!$F467,Severity_Matrix!$B$3:$B$10,0),MATCH('Error Log'!$G467,Severity_Matrix!$C$2:$M$2,0)),"No errors"))</f>
        <v>Critical</v>
      </c>
    </row>
    <row r="468" spans="1:10">
      <c r="A468" s="98" t="s">
        <v>1208</v>
      </c>
      <c r="B468" s="18">
        <v>3</v>
      </c>
      <c r="C468" s="98" t="s">
        <v>1008</v>
      </c>
      <c r="D468" s="98" t="s">
        <v>1009</v>
      </c>
      <c r="E468" s="84" t="s">
        <v>21</v>
      </c>
      <c r="F468" s="84" t="s">
        <v>22</v>
      </c>
      <c r="G468" s="84" t="s">
        <v>57</v>
      </c>
      <c r="H468" s="84" t="s">
        <v>1012</v>
      </c>
      <c r="I468" s="14"/>
      <c r="J468" s="15" t="str">
        <f>IF(E468="Invalid_Segment","Invalid",IFERROR(INDEX(Severity_Matrix!$C$3:$M$10,MATCH('Error Log'!$F468,Severity_Matrix!$B$3:$B$10,0),MATCH('Error Log'!$G468,Severity_Matrix!$C$2:$M$2,0)),"No errors"))</f>
        <v>Major</v>
      </c>
    </row>
    <row r="469" spans="1:10">
      <c r="A469" s="98" t="s">
        <v>1209</v>
      </c>
      <c r="B469" s="18">
        <v>1</v>
      </c>
      <c r="C469" s="98" t="s">
        <v>1013</v>
      </c>
      <c r="D469" s="98" t="s">
        <v>1014</v>
      </c>
      <c r="E469" s="84"/>
      <c r="F469" s="84"/>
      <c r="G469" s="84"/>
      <c r="H469" s="84" t="s">
        <v>1014</v>
      </c>
      <c r="I469" s="14"/>
      <c r="J469" s="15" t="str">
        <f>IF(E469="Invalid_Segment","Invalid",IFERROR(INDEX(Severity_Matrix!$C$3:$M$10,MATCH('Error Log'!$F469,Severity_Matrix!$B$3:$B$10,0),MATCH('Error Log'!$G469,Severity_Matrix!$C$2:$M$2,0)),"No errors"))</f>
        <v>No errors</v>
      </c>
    </row>
    <row r="470" spans="1:10">
      <c r="A470" s="79" t="s">
        <v>1210</v>
      </c>
      <c r="B470" s="18">
        <v>1</v>
      </c>
      <c r="C470" s="98" t="s">
        <v>1015</v>
      </c>
      <c r="D470" s="100" t="s">
        <v>1016</v>
      </c>
      <c r="E470" s="84" t="s">
        <v>21</v>
      </c>
      <c r="F470" s="84" t="s">
        <v>22</v>
      </c>
      <c r="G470" s="84" t="s">
        <v>57</v>
      </c>
      <c r="H470" s="84" t="s">
        <v>1017</v>
      </c>
      <c r="I470" s="14"/>
      <c r="J470" s="15" t="str">
        <f>IF(E470="Invalid_Segment","Invalid",IFERROR(INDEX(Severity_Matrix!$C$3:$M$10,MATCH('Error Log'!$F470,Severity_Matrix!$B$3:$B$10,0),MATCH('Error Log'!$G470,Severity_Matrix!$C$2:$M$2,0)),"No errors"))</f>
        <v>Major</v>
      </c>
    </row>
    <row r="471" spans="1:10">
      <c r="A471" s="79" t="s">
        <v>1210</v>
      </c>
      <c r="B471" s="18">
        <v>2</v>
      </c>
      <c r="C471" s="98" t="s">
        <v>1015</v>
      </c>
      <c r="D471" s="100" t="s">
        <v>1016</v>
      </c>
      <c r="E471" s="84" t="s">
        <v>21</v>
      </c>
      <c r="F471" s="84" t="s">
        <v>22</v>
      </c>
      <c r="G471" s="84" t="s">
        <v>57</v>
      </c>
      <c r="H471" s="84" t="s">
        <v>1018</v>
      </c>
      <c r="I471" s="14"/>
      <c r="J471" s="15" t="str">
        <f>IF(E471="Invalid_Segment","Invalid",IFERROR(INDEX(Severity_Matrix!$C$3:$M$10,MATCH('Error Log'!$F471,Severity_Matrix!$B$3:$B$10,0),MATCH('Error Log'!$G471,Severity_Matrix!$C$2:$M$2,0)),"No errors"))</f>
        <v>Major</v>
      </c>
    </row>
    <row r="472" spans="1:10">
      <c r="A472" s="79" t="s">
        <v>1210</v>
      </c>
      <c r="B472" s="18">
        <v>3</v>
      </c>
      <c r="C472" s="98" t="s">
        <v>1015</v>
      </c>
      <c r="D472" s="100" t="s">
        <v>1016</v>
      </c>
      <c r="E472" s="84" t="s">
        <v>21</v>
      </c>
      <c r="F472" s="84" t="s">
        <v>7</v>
      </c>
      <c r="G472" s="84" t="s">
        <v>57</v>
      </c>
      <c r="H472" s="84" t="s">
        <v>1019</v>
      </c>
      <c r="I472" s="14"/>
      <c r="J472" s="15" t="str">
        <f>IF(E472="Invalid_Segment","Invalid",IFERROR(INDEX(Severity_Matrix!$C$3:$M$10,MATCH('Error Log'!$F472,Severity_Matrix!$B$3:$B$10,0),MATCH('Error Log'!$G472,Severity_Matrix!$C$2:$M$2,0)),"No errors"))</f>
        <v>Critical</v>
      </c>
    </row>
    <row r="473" spans="1:10">
      <c r="A473" s="79" t="s">
        <v>1211</v>
      </c>
      <c r="B473" s="18">
        <v>1</v>
      </c>
      <c r="C473" s="100" t="s">
        <v>1020</v>
      </c>
      <c r="D473" s="100" t="s">
        <v>1021</v>
      </c>
      <c r="E473" s="84" t="s">
        <v>21</v>
      </c>
      <c r="F473" s="84" t="s">
        <v>63</v>
      </c>
      <c r="G473" s="84" t="s">
        <v>29</v>
      </c>
      <c r="H473" s="84" t="s">
        <v>1022</v>
      </c>
      <c r="I473" s="14"/>
      <c r="J473" s="15" t="str">
        <f>IF(E473="Invalid_Segment","Invalid",IFERROR(INDEX(Severity_Matrix!$C$3:$M$10,MATCH('Error Log'!$F473,Severity_Matrix!$B$3:$B$10,0),MATCH('Error Log'!$G473,Severity_Matrix!$C$2:$M$2,0)),"No errors"))</f>
        <v>Critical</v>
      </c>
    </row>
    <row r="474" spans="1:10">
      <c r="A474" s="79" t="s">
        <v>1211</v>
      </c>
      <c r="B474" s="18">
        <v>2</v>
      </c>
      <c r="C474" s="100" t="s">
        <v>1020</v>
      </c>
      <c r="D474" s="100" t="s">
        <v>1021</v>
      </c>
      <c r="E474" s="84" t="s">
        <v>21</v>
      </c>
      <c r="F474" s="84" t="s">
        <v>7</v>
      </c>
      <c r="G474" s="84" t="s">
        <v>57</v>
      </c>
      <c r="H474" s="90" t="s">
        <v>1023</v>
      </c>
      <c r="I474" s="14"/>
      <c r="J474" s="15" t="str">
        <f>IF(E474="Invalid_Segment","Invalid",IFERROR(INDEX(Severity_Matrix!$C$3:$M$10,MATCH('Error Log'!$F474,Severity_Matrix!$B$3:$B$10,0),MATCH('Error Log'!$G474,Severity_Matrix!$C$2:$M$2,0)),"No errors"))</f>
        <v>Critical</v>
      </c>
    </row>
    <row r="475" spans="1:10">
      <c r="A475" s="79" t="s">
        <v>1212</v>
      </c>
      <c r="B475" s="18">
        <v>1</v>
      </c>
      <c r="C475" s="100" t="s">
        <v>1024</v>
      </c>
      <c r="D475" s="100" t="s">
        <v>1025</v>
      </c>
      <c r="E475" s="84" t="s">
        <v>21</v>
      </c>
      <c r="F475" s="84" t="s">
        <v>22</v>
      </c>
      <c r="G475" s="84" t="s">
        <v>57</v>
      </c>
      <c r="H475" s="84" t="s">
        <v>1026</v>
      </c>
      <c r="I475" s="14"/>
      <c r="J475" s="15" t="str">
        <f>IF(E475="Invalid_Segment","Invalid",IFERROR(INDEX(Severity_Matrix!$C$3:$M$10,MATCH('Error Log'!$F475,Severity_Matrix!$B$3:$B$10,0),MATCH('Error Log'!$G475,Severity_Matrix!$C$2:$M$2,0)),"No errors"))</f>
        <v>Major</v>
      </c>
    </row>
    <row r="476" spans="1:10">
      <c r="A476" s="79" t="s">
        <v>1212</v>
      </c>
      <c r="B476" s="18">
        <v>2</v>
      </c>
      <c r="C476" s="100" t="s">
        <v>1024</v>
      </c>
      <c r="D476" s="100" t="s">
        <v>1025</v>
      </c>
      <c r="E476" s="84" t="s">
        <v>21</v>
      </c>
      <c r="F476" s="84" t="s">
        <v>22</v>
      </c>
      <c r="G476" s="84" t="s">
        <v>57</v>
      </c>
      <c r="H476" s="84" t="s">
        <v>1027</v>
      </c>
      <c r="I476" s="14"/>
      <c r="J476" s="15" t="str">
        <f>IF(E476="Invalid_Segment","Invalid",IFERROR(INDEX(Severity_Matrix!$C$3:$M$10,MATCH('Error Log'!$F476,Severity_Matrix!$B$3:$B$10,0),MATCH('Error Log'!$G476,Severity_Matrix!$C$2:$M$2,0)),"No errors"))</f>
        <v>Major</v>
      </c>
    </row>
    <row r="477" spans="1:10">
      <c r="A477" s="79" t="s">
        <v>1212</v>
      </c>
      <c r="B477" s="18">
        <v>3</v>
      </c>
      <c r="C477" s="100" t="s">
        <v>1024</v>
      </c>
      <c r="D477" s="100" t="s">
        <v>1025</v>
      </c>
      <c r="E477" s="84" t="s">
        <v>21</v>
      </c>
      <c r="F477" s="84" t="s">
        <v>7</v>
      </c>
      <c r="G477" s="84" t="s">
        <v>57</v>
      </c>
      <c r="H477" s="84" t="s">
        <v>1028</v>
      </c>
      <c r="I477" s="14"/>
      <c r="J477" s="15" t="str">
        <f>IF(E477="Invalid_Segment","Invalid",IFERROR(INDEX(Severity_Matrix!$C$3:$M$10,MATCH('Error Log'!$F477,Severity_Matrix!$B$3:$B$10,0),MATCH('Error Log'!$G477,Severity_Matrix!$C$2:$M$2,0)),"No errors"))</f>
        <v>Critical</v>
      </c>
    </row>
    <row r="478" spans="1:10">
      <c r="A478" s="79" t="s">
        <v>1213</v>
      </c>
      <c r="B478" s="18">
        <v>1</v>
      </c>
      <c r="C478" s="100" t="s">
        <v>1029</v>
      </c>
      <c r="D478" s="100" t="s">
        <v>1030</v>
      </c>
      <c r="E478" s="84" t="s">
        <v>21</v>
      </c>
      <c r="F478" s="84" t="s">
        <v>22</v>
      </c>
      <c r="G478" s="84" t="s">
        <v>57</v>
      </c>
      <c r="H478" s="84" t="s">
        <v>1031</v>
      </c>
      <c r="I478" s="14"/>
      <c r="J478" s="15" t="str">
        <f>IF(E478="Invalid_Segment","Invalid",IFERROR(INDEX(Severity_Matrix!$C$3:$M$10,MATCH('Error Log'!$F478,Severity_Matrix!$B$3:$B$10,0),MATCH('Error Log'!$G478,Severity_Matrix!$C$2:$M$2,0)),"No errors"))</f>
        <v>Major</v>
      </c>
    </row>
    <row r="479" spans="1:10">
      <c r="A479" s="79" t="s">
        <v>1213</v>
      </c>
      <c r="B479" s="18">
        <v>2</v>
      </c>
      <c r="C479" s="100" t="s">
        <v>1029</v>
      </c>
      <c r="D479" s="100" t="s">
        <v>1030</v>
      </c>
      <c r="E479" s="84" t="s">
        <v>21</v>
      </c>
      <c r="F479" s="84" t="s">
        <v>7</v>
      </c>
      <c r="G479" s="84" t="s">
        <v>57</v>
      </c>
      <c r="H479" s="84" t="s">
        <v>1032</v>
      </c>
      <c r="I479" s="14"/>
      <c r="J479" s="15" t="str">
        <f>IF(E479="Invalid_Segment","Invalid",IFERROR(INDEX(Severity_Matrix!$C$3:$M$10,MATCH('Error Log'!$F479,Severity_Matrix!$B$3:$B$10,0),MATCH('Error Log'!$G479,Severity_Matrix!$C$2:$M$2,0)),"No errors"))</f>
        <v>Critical</v>
      </c>
    </row>
    <row r="480" spans="1:10">
      <c r="A480" s="79" t="s">
        <v>1214</v>
      </c>
      <c r="B480" s="18">
        <v>1</v>
      </c>
      <c r="C480" s="100" t="s">
        <v>1033</v>
      </c>
      <c r="D480" s="100" t="s">
        <v>1034</v>
      </c>
      <c r="E480" s="84" t="s">
        <v>21</v>
      </c>
      <c r="F480" s="84" t="s">
        <v>7</v>
      </c>
      <c r="G480" s="84" t="s">
        <v>57</v>
      </c>
      <c r="H480" s="101" t="s">
        <v>1035</v>
      </c>
      <c r="I480" s="14"/>
      <c r="J480" s="15" t="str">
        <f>IF(E480="Invalid_Segment","Invalid",IFERROR(INDEX(Severity_Matrix!$C$3:$M$10,MATCH('Error Log'!$F480,Severity_Matrix!$B$3:$B$10,0),MATCH('Error Log'!$G480,Severity_Matrix!$C$2:$M$2,0)),"No errors"))</f>
        <v>Critical</v>
      </c>
    </row>
    <row r="481" spans="1:10">
      <c r="A481" s="79" t="s">
        <v>1214</v>
      </c>
      <c r="B481" s="18">
        <v>2</v>
      </c>
      <c r="C481" s="100" t="s">
        <v>1033</v>
      </c>
      <c r="D481" s="100" t="s">
        <v>1034</v>
      </c>
      <c r="E481" s="84" t="s">
        <v>21</v>
      </c>
      <c r="F481" s="84" t="s">
        <v>7</v>
      </c>
      <c r="G481" s="84" t="s">
        <v>57</v>
      </c>
      <c r="H481" s="84" t="s">
        <v>1036</v>
      </c>
      <c r="I481" s="14"/>
      <c r="J481" s="15" t="str">
        <f>IF(E481="Invalid_Segment","Invalid",IFERROR(INDEX(Severity_Matrix!$C$3:$M$10,MATCH('Error Log'!$F481,Severity_Matrix!$B$3:$B$10,0),MATCH('Error Log'!$G481,Severity_Matrix!$C$2:$M$2,0)),"No errors"))</f>
        <v>Critical</v>
      </c>
    </row>
    <row r="482" spans="1:10">
      <c r="A482" s="79" t="s">
        <v>1215</v>
      </c>
      <c r="B482" s="18">
        <v>1</v>
      </c>
      <c r="C482" s="100" t="s">
        <v>1037</v>
      </c>
      <c r="D482" s="100" t="s">
        <v>1038</v>
      </c>
      <c r="E482" s="84" t="s">
        <v>21</v>
      </c>
      <c r="F482" s="84" t="s">
        <v>22</v>
      </c>
      <c r="G482" s="84" t="s">
        <v>57</v>
      </c>
      <c r="H482" s="84" t="s">
        <v>1039</v>
      </c>
      <c r="I482" s="14"/>
      <c r="J482" s="15" t="str">
        <f>IF(E482="Invalid_Segment","Invalid",IFERROR(INDEX(Severity_Matrix!$C$3:$M$10,MATCH('Error Log'!$F482,Severity_Matrix!$B$3:$B$10,0),MATCH('Error Log'!$G482,Severity_Matrix!$C$2:$M$2,0)),"No errors"))</f>
        <v>Major</v>
      </c>
    </row>
    <row r="483" spans="1:10">
      <c r="A483" s="79" t="s">
        <v>1215</v>
      </c>
      <c r="B483" s="18">
        <v>2</v>
      </c>
      <c r="C483" s="100" t="s">
        <v>1037</v>
      </c>
      <c r="D483" s="100" t="s">
        <v>1038</v>
      </c>
      <c r="E483" s="84" t="s">
        <v>21</v>
      </c>
      <c r="F483" s="84" t="s">
        <v>7</v>
      </c>
      <c r="G483" s="84" t="s">
        <v>57</v>
      </c>
      <c r="H483" s="84" t="s">
        <v>1040</v>
      </c>
      <c r="I483" s="14"/>
      <c r="J483" s="15" t="str">
        <f>IF(E483="Invalid_Segment","Invalid",IFERROR(INDEX(Severity_Matrix!$C$3:$M$10,MATCH('Error Log'!$F483,Severity_Matrix!$B$3:$B$10,0),MATCH('Error Log'!$G483,Severity_Matrix!$C$2:$M$2,0)),"No errors"))</f>
        <v>Critical</v>
      </c>
    </row>
    <row r="484" spans="1:10">
      <c r="A484" s="79" t="s">
        <v>1216</v>
      </c>
      <c r="B484" s="18">
        <v>1</v>
      </c>
      <c r="C484" s="100" t="s">
        <v>1041</v>
      </c>
      <c r="D484" s="100" t="s">
        <v>1042</v>
      </c>
      <c r="E484" s="84" t="s">
        <v>21</v>
      </c>
      <c r="F484" s="84" t="s">
        <v>22</v>
      </c>
      <c r="G484" s="84" t="s">
        <v>57</v>
      </c>
      <c r="H484" s="84" t="s">
        <v>1043</v>
      </c>
      <c r="I484" s="14"/>
      <c r="J484" s="15" t="str">
        <f>IF(E484="Invalid_Segment","Invalid",IFERROR(INDEX(Severity_Matrix!$C$3:$M$10,MATCH('Error Log'!$F484,Severity_Matrix!$B$3:$B$10,0),MATCH('Error Log'!$G484,Severity_Matrix!$C$2:$M$2,0)),"No errors"))</f>
        <v>Major</v>
      </c>
    </row>
    <row r="485" spans="1:10">
      <c r="A485" s="79" t="s">
        <v>1216</v>
      </c>
      <c r="B485" s="18">
        <v>2</v>
      </c>
      <c r="C485" s="100" t="s">
        <v>1041</v>
      </c>
      <c r="D485" s="100" t="s">
        <v>1042</v>
      </c>
      <c r="E485" s="84" t="s">
        <v>21</v>
      </c>
      <c r="F485" s="84" t="s">
        <v>22</v>
      </c>
      <c r="G485" s="84" t="s">
        <v>57</v>
      </c>
      <c r="H485" s="84" t="s">
        <v>1044</v>
      </c>
      <c r="I485" s="14"/>
      <c r="J485" s="15" t="str">
        <f>IF(E485="Invalid_Segment","Invalid",IFERROR(INDEX(Severity_Matrix!$C$3:$M$10,MATCH('Error Log'!$F485,Severity_Matrix!$B$3:$B$10,0),MATCH('Error Log'!$G485,Severity_Matrix!$C$2:$M$2,0)),"No errors"))</f>
        <v>Major</v>
      </c>
    </row>
    <row r="486" spans="1:10">
      <c r="A486" s="79" t="s">
        <v>1216</v>
      </c>
      <c r="B486" s="18">
        <v>3</v>
      </c>
      <c r="C486" s="100" t="s">
        <v>1041</v>
      </c>
      <c r="D486" s="100" t="s">
        <v>1042</v>
      </c>
      <c r="E486" s="84" t="s">
        <v>21</v>
      </c>
      <c r="F486" s="84" t="s">
        <v>7</v>
      </c>
      <c r="G486" s="84" t="s">
        <v>57</v>
      </c>
      <c r="H486" s="84" t="s">
        <v>1045</v>
      </c>
      <c r="I486" s="14"/>
      <c r="J486" s="15" t="str">
        <f>IF(E486="Invalid_Segment","Invalid",IFERROR(INDEX(Severity_Matrix!$C$3:$M$10,MATCH('Error Log'!$F486,Severity_Matrix!$B$3:$B$10,0),MATCH('Error Log'!$G486,Severity_Matrix!$C$2:$M$2,0)),"No errors"))</f>
        <v>Critical</v>
      </c>
    </row>
    <row r="487" spans="1:10">
      <c r="A487" s="79" t="s">
        <v>1217</v>
      </c>
      <c r="B487" s="18">
        <v>1</v>
      </c>
      <c r="C487" s="100" t="s">
        <v>1046</v>
      </c>
      <c r="D487" s="100" t="s">
        <v>1047</v>
      </c>
      <c r="E487" s="84" t="s">
        <v>21</v>
      </c>
      <c r="F487" s="84" t="s">
        <v>22</v>
      </c>
      <c r="G487" s="84" t="s">
        <v>57</v>
      </c>
      <c r="H487" s="84" t="s">
        <v>1048</v>
      </c>
      <c r="I487" s="14"/>
      <c r="J487" s="15" t="str">
        <f>IF(E487="Invalid_Segment","Invalid",IFERROR(INDEX(Severity_Matrix!$C$3:$M$10,MATCH('Error Log'!$F487,Severity_Matrix!$B$3:$B$10,0),MATCH('Error Log'!$G487,Severity_Matrix!$C$2:$M$2,0)),"No errors"))</f>
        <v>Major</v>
      </c>
    </row>
    <row r="488" spans="1:10">
      <c r="A488" s="79" t="s">
        <v>1217</v>
      </c>
      <c r="B488" s="18">
        <v>2</v>
      </c>
      <c r="C488" s="100" t="s">
        <v>1046</v>
      </c>
      <c r="D488" s="100" t="s">
        <v>1047</v>
      </c>
      <c r="E488" s="84" t="s">
        <v>21</v>
      </c>
      <c r="F488" s="84" t="s">
        <v>22</v>
      </c>
      <c r="G488" s="84" t="s">
        <v>57</v>
      </c>
      <c r="H488" s="84" t="s">
        <v>1049</v>
      </c>
      <c r="I488" s="14"/>
      <c r="J488" s="15" t="str">
        <f>IF(E488="Invalid_Segment","Invalid",IFERROR(INDEX(Severity_Matrix!$C$3:$M$10,MATCH('Error Log'!$F488,Severity_Matrix!$B$3:$B$10,0),MATCH('Error Log'!$G488,Severity_Matrix!$C$2:$M$2,0)),"No errors"))</f>
        <v>Major</v>
      </c>
    </row>
    <row r="489" spans="1:10">
      <c r="A489" s="79" t="s">
        <v>1217</v>
      </c>
      <c r="B489" s="18">
        <v>3</v>
      </c>
      <c r="C489" s="100" t="s">
        <v>1046</v>
      </c>
      <c r="D489" s="100" t="s">
        <v>1047</v>
      </c>
      <c r="E489" s="84" t="s">
        <v>21</v>
      </c>
      <c r="F489" s="84" t="s">
        <v>7</v>
      </c>
      <c r="G489" s="84" t="s">
        <v>57</v>
      </c>
      <c r="H489" s="84" t="s">
        <v>1050</v>
      </c>
      <c r="I489" s="14"/>
      <c r="J489" s="15" t="str">
        <f>IF(E489="Invalid_Segment","Invalid",IFERROR(INDEX(Severity_Matrix!$C$3:$M$10,MATCH('Error Log'!$F489,Severity_Matrix!$B$3:$B$10,0),MATCH('Error Log'!$G489,Severity_Matrix!$C$2:$M$2,0)),"No errors"))</f>
        <v>Critical</v>
      </c>
    </row>
    <row r="490" spans="1:10">
      <c r="A490" s="79" t="s">
        <v>1217</v>
      </c>
      <c r="B490" s="18">
        <v>4</v>
      </c>
      <c r="C490" s="100" t="s">
        <v>1046</v>
      </c>
      <c r="D490" s="100" t="s">
        <v>1047</v>
      </c>
      <c r="E490" s="84" t="s">
        <v>21</v>
      </c>
      <c r="F490" s="84" t="s">
        <v>7</v>
      </c>
      <c r="G490" s="84" t="s">
        <v>57</v>
      </c>
      <c r="H490" s="84" t="s">
        <v>1051</v>
      </c>
      <c r="I490" s="14"/>
      <c r="J490" s="15" t="str">
        <f>IF(E490="Invalid_Segment","Invalid",IFERROR(INDEX(Severity_Matrix!$C$3:$M$10,MATCH('Error Log'!$F490,Severity_Matrix!$B$3:$B$10,0),MATCH('Error Log'!$G490,Severity_Matrix!$C$2:$M$2,0)),"No errors"))</f>
        <v>Critical</v>
      </c>
    </row>
    <row r="491" spans="1:10">
      <c r="A491" s="79" t="s">
        <v>1218</v>
      </c>
      <c r="B491" s="18">
        <v>1</v>
      </c>
      <c r="C491" s="100" t="s">
        <v>1052</v>
      </c>
      <c r="D491" s="100" t="s">
        <v>1053</v>
      </c>
      <c r="E491" s="84" t="s">
        <v>21</v>
      </c>
      <c r="F491" s="84" t="s">
        <v>22</v>
      </c>
      <c r="G491" s="84" t="s">
        <v>57</v>
      </c>
      <c r="H491" s="84" t="s">
        <v>1054</v>
      </c>
      <c r="I491" s="14"/>
      <c r="J491" s="15" t="str">
        <f>IF(E491="Invalid_Segment","Invalid",IFERROR(INDEX(Severity_Matrix!$C$3:$M$10,MATCH('Error Log'!$F491,Severity_Matrix!$B$3:$B$10,0),MATCH('Error Log'!$G491,Severity_Matrix!$C$2:$M$2,0)),"No errors"))</f>
        <v>Major</v>
      </c>
    </row>
    <row r="492" spans="1:10">
      <c r="A492" s="79" t="s">
        <v>1218</v>
      </c>
      <c r="B492" s="18">
        <v>2</v>
      </c>
      <c r="C492" s="100" t="s">
        <v>1052</v>
      </c>
      <c r="D492" s="100" t="s">
        <v>1053</v>
      </c>
      <c r="E492" s="84" t="s">
        <v>21</v>
      </c>
      <c r="F492" s="84" t="s">
        <v>63</v>
      </c>
      <c r="G492" s="84" t="s">
        <v>56</v>
      </c>
      <c r="H492" s="84" t="s">
        <v>1055</v>
      </c>
      <c r="I492" s="14"/>
      <c r="J492" s="15" t="str">
        <f>IF(E492="Invalid_Segment","Invalid",IFERROR(INDEX(Severity_Matrix!$C$3:$M$10,MATCH('Error Log'!$F492,Severity_Matrix!$B$3:$B$10,0),MATCH('Error Log'!$G492,Severity_Matrix!$C$2:$M$2,0)),"No errors"))</f>
        <v>Critical</v>
      </c>
    </row>
    <row r="493" spans="1:10">
      <c r="A493" s="79" t="s">
        <v>1218</v>
      </c>
      <c r="B493" s="18">
        <v>3</v>
      </c>
      <c r="C493" s="100" t="s">
        <v>1052</v>
      </c>
      <c r="D493" s="100" t="s">
        <v>1053</v>
      </c>
      <c r="E493" s="84" t="s">
        <v>21</v>
      </c>
      <c r="F493" s="84" t="s">
        <v>7</v>
      </c>
      <c r="G493" s="84" t="s">
        <v>57</v>
      </c>
      <c r="H493" s="84" t="s">
        <v>1056</v>
      </c>
      <c r="I493" s="14"/>
      <c r="J493" s="15" t="str">
        <f>IF(E493="Invalid_Segment","Invalid",IFERROR(INDEX(Severity_Matrix!$C$3:$M$10,MATCH('Error Log'!$F493,Severity_Matrix!$B$3:$B$10,0),MATCH('Error Log'!$G493,Severity_Matrix!$C$2:$M$2,0)),"No errors"))</f>
        <v>Critical</v>
      </c>
    </row>
    <row r="494" spans="1:10">
      <c r="A494" s="79" t="s">
        <v>1219</v>
      </c>
      <c r="B494" s="18">
        <v>1</v>
      </c>
      <c r="C494" s="100" t="s">
        <v>1057</v>
      </c>
      <c r="D494" s="100" t="s">
        <v>1058</v>
      </c>
      <c r="E494" s="84" t="s">
        <v>2</v>
      </c>
      <c r="F494" s="84" t="s">
        <v>26</v>
      </c>
      <c r="G494" s="84" t="s">
        <v>57</v>
      </c>
      <c r="H494" s="84" t="s">
        <v>1059</v>
      </c>
      <c r="I494" s="14"/>
      <c r="J494" s="15" t="str">
        <f>IF(E494="Invalid_Segment","Invalid",IFERROR(INDEX(Severity_Matrix!$C$3:$M$10,MATCH('Error Log'!$F494,Severity_Matrix!$B$3:$B$10,0),MATCH('Error Log'!$G494,Severity_Matrix!$C$2:$M$2,0)),"No errors"))</f>
        <v>Major</v>
      </c>
    </row>
    <row r="495" spans="1:10">
      <c r="A495" s="79" t="s">
        <v>1219</v>
      </c>
      <c r="B495" s="18">
        <v>2</v>
      </c>
      <c r="C495" s="100" t="s">
        <v>1057</v>
      </c>
      <c r="D495" s="100" t="s">
        <v>1058</v>
      </c>
      <c r="E495" s="84" t="s">
        <v>21</v>
      </c>
      <c r="F495" s="84" t="s">
        <v>7</v>
      </c>
      <c r="G495" s="84" t="s">
        <v>57</v>
      </c>
      <c r="H495" s="84" t="s">
        <v>1060</v>
      </c>
      <c r="I495" s="14"/>
      <c r="J495" s="15" t="str">
        <f>IF(E495="Invalid_Segment","Invalid",IFERROR(INDEX(Severity_Matrix!$C$3:$M$10,MATCH('Error Log'!$F495,Severity_Matrix!$B$3:$B$10,0),MATCH('Error Log'!$G495,Severity_Matrix!$C$2:$M$2,0)),"No errors"))</f>
        <v>Critical</v>
      </c>
    </row>
    <row r="496" spans="1:10">
      <c r="A496" s="79" t="s">
        <v>1220</v>
      </c>
      <c r="B496" s="18">
        <v>1</v>
      </c>
      <c r="C496" s="100" t="s">
        <v>1061</v>
      </c>
      <c r="D496" s="100" t="s">
        <v>1062</v>
      </c>
      <c r="E496" s="84" t="s">
        <v>2</v>
      </c>
      <c r="F496" s="84" t="s">
        <v>26</v>
      </c>
      <c r="G496" s="84" t="s">
        <v>57</v>
      </c>
      <c r="H496" s="84" t="s">
        <v>1063</v>
      </c>
      <c r="I496" s="14"/>
      <c r="J496" s="15" t="str">
        <f>IF(E496="Invalid_Segment","Invalid",IFERROR(INDEX(Severity_Matrix!$C$3:$M$10,MATCH('Error Log'!$F496,Severity_Matrix!$B$3:$B$10,0),MATCH('Error Log'!$G496,Severity_Matrix!$C$2:$M$2,0)),"No errors"))</f>
        <v>Major</v>
      </c>
    </row>
    <row r="497" spans="1:10">
      <c r="A497" s="79" t="s">
        <v>1220</v>
      </c>
      <c r="B497" s="18">
        <v>2</v>
      </c>
      <c r="C497" s="100" t="s">
        <v>1061</v>
      </c>
      <c r="D497" s="100" t="s">
        <v>1062</v>
      </c>
      <c r="E497" s="84" t="s">
        <v>21</v>
      </c>
      <c r="F497" s="84" t="s">
        <v>22</v>
      </c>
      <c r="G497" s="84" t="s">
        <v>57</v>
      </c>
      <c r="H497" s="84" t="s">
        <v>1064</v>
      </c>
      <c r="I497" s="14"/>
      <c r="J497" s="15" t="str">
        <f>IF(E497="Invalid_Segment","Invalid",IFERROR(INDEX(Severity_Matrix!$C$3:$M$10,MATCH('Error Log'!$F497,Severity_Matrix!$B$3:$B$10,0),MATCH('Error Log'!$G497,Severity_Matrix!$C$2:$M$2,0)),"No errors"))</f>
        <v>Major</v>
      </c>
    </row>
    <row r="498" spans="1:10">
      <c r="A498" s="79" t="s">
        <v>1221</v>
      </c>
      <c r="B498" s="18">
        <v>1</v>
      </c>
      <c r="C498" s="100" t="s">
        <v>1065</v>
      </c>
      <c r="D498" s="100" t="s">
        <v>1066</v>
      </c>
      <c r="E498" s="84" t="s">
        <v>21</v>
      </c>
      <c r="F498" s="84" t="s">
        <v>22</v>
      </c>
      <c r="G498" s="84" t="s">
        <v>57</v>
      </c>
      <c r="H498" s="84" t="s">
        <v>1067</v>
      </c>
      <c r="I498" s="14"/>
      <c r="J498" s="15" t="str">
        <f>IF(E498="Invalid_Segment","Invalid",IFERROR(INDEX(Severity_Matrix!$C$3:$M$10,MATCH('Error Log'!$F498,Severity_Matrix!$B$3:$B$10,0),MATCH('Error Log'!$G498,Severity_Matrix!$C$2:$M$2,0)),"No errors"))</f>
        <v>Major</v>
      </c>
    </row>
    <row r="499" spans="1:10">
      <c r="A499" s="79" t="s">
        <v>1221</v>
      </c>
      <c r="B499" s="18">
        <v>2</v>
      </c>
      <c r="C499" s="100" t="s">
        <v>1065</v>
      </c>
      <c r="D499" s="100" t="s">
        <v>1066</v>
      </c>
      <c r="E499" s="84" t="s">
        <v>21</v>
      </c>
      <c r="F499" s="84" t="s">
        <v>22</v>
      </c>
      <c r="G499" s="84" t="s">
        <v>57</v>
      </c>
      <c r="H499" s="84" t="s">
        <v>1068</v>
      </c>
      <c r="I499" s="14"/>
      <c r="J499" s="15" t="str">
        <f>IF(E499="Invalid_Segment","Invalid",IFERROR(INDEX(Severity_Matrix!$C$3:$M$10,MATCH('Error Log'!$F499,Severity_Matrix!$B$3:$B$10,0),MATCH('Error Log'!$G499,Severity_Matrix!$C$2:$M$2,0)),"No errors"))</f>
        <v>Major</v>
      </c>
    </row>
    <row r="500" spans="1:10">
      <c r="A500" s="79" t="s">
        <v>1221</v>
      </c>
      <c r="B500" s="18">
        <v>3</v>
      </c>
      <c r="C500" s="100" t="s">
        <v>1065</v>
      </c>
      <c r="D500" s="100" t="s">
        <v>1066</v>
      </c>
      <c r="E500" s="84" t="s">
        <v>21</v>
      </c>
      <c r="F500" s="84" t="s">
        <v>7</v>
      </c>
      <c r="G500" s="84" t="s">
        <v>57</v>
      </c>
      <c r="H500" s="84" t="s">
        <v>1069</v>
      </c>
      <c r="I500" s="14"/>
      <c r="J500" s="15" t="str">
        <f>IF(E500="Invalid_Segment","Invalid",IFERROR(INDEX(Severity_Matrix!$C$3:$M$10,MATCH('Error Log'!$F500,Severity_Matrix!$B$3:$B$10,0),MATCH('Error Log'!$G500,Severity_Matrix!$C$2:$M$2,0)),"No errors"))</f>
        <v>Critical</v>
      </c>
    </row>
    <row r="501" spans="1:10">
      <c r="A501" s="79" t="s">
        <v>1221</v>
      </c>
      <c r="B501" s="18">
        <v>4</v>
      </c>
      <c r="C501" s="100" t="s">
        <v>1065</v>
      </c>
      <c r="D501" s="100" t="s">
        <v>1066</v>
      </c>
      <c r="E501" s="84" t="s">
        <v>21</v>
      </c>
      <c r="F501" s="84" t="s">
        <v>7</v>
      </c>
      <c r="G501" s="84" t="s">
        <v>57</v>
      </c>
      <c r="H501" s="84" t="s">
        <v>1070</v>
      </c>
      <c r="I501" s="14"/>
      <c r="J501" s="15" t="str">
        <f>IF(E501="Invalid_Segment","Invalid",IFERROR(INDEX(Severity_Matrix!$C$3:$M$10,MATCH('Error Log'!$F501,Severity_Matrix!$B$3:$B$10,0),MATCH('Error Log'!$G501,Severity_Matrix!$C$2:$M$2,0)),"No errors"))</f>
        <v>Critical</v>
      </c>
    </row>
    <row r="502" spans="1:10">
      <c r="A502" s="79" t="s">
        <v>1222</v>
      </c>
      <c r="B502" s="18">
        <v>1</v>
      </c>
      <c r="C502" s="100" t="s">
        <v>1071</v>
      </c>
      <c r="D502" s="100" t="s">
        <v>1072</v>
      </c>
      <c r="E502" s="84" t="s">
        <v>21</v>
      </c>
      <c r="F502" s="84" t="s">
        <v>22</v>
      </c>
      <c r="G502" s="84" t="s">
        <v>57</v>
      </c>
      <c r="H502" s="84" t="s">
        <v>1073</v>
      </c>
      <c r="I502" s="14"/>
      <c r="J502" s="15" t="str">
        <f>IF(E502="Invalid_Segment","Invalid",IFERROR(INDEX(Severity_Matrix!$C$3:$M$10,MATCH('Error Log'!$F502,Severity_Matrix!$B$3:$B$10,0),MATCH('Error Log'!$G502,Severity_Matrix!$C$2:$M$2,0)),"No errors"))</f>
        <v>Major</v>
      </c>
    </row>
    <row r="503" spans="1:10">
      <c r="A503" s="79" t="s">
        <v>1222</v>
      </c>
      <c r="B503" s="18">
        <v>2</v>
      </c>
      <c r="C503" s="100" t="s">
        <v>1071</v>
      </c>
      <c r="D503" s="100" t="s">
        <v>1072</v>
      </c>
      <c r="E503" s="84" t="s">
        <v>21</v>
      </c>
      <c r="F503" s="84" t="s">
        <v>22</v>
      </c>
      <c r="G503" s="84" t="s">
        <v>57</v>
      </c>
      <c r="H503" s="84" t="s">
        <v>1074</v>
      </c>
      <c r="I503" s="14"/>
      <c r="J503" s="15" t="str">
        <f>IF(E503="Invalid_Segment","Invalid",IFERROR(INDEX(Severity_Matrix!$C$3:$M$10,MATCH('Error Log'!$F503,Severity_Matrix!$B$3:$B$10,0),MATCH('Error Log'!$G503,Severity_Matrix!$C$2:$M$2,0)),"No errors"))</f>
        <v>Major</v>
      </c>
    </row>
    <row r="504" spans="1:10">
      <c r="A504" s="79" t="s">
        <v>1222</v>
      </c>
      <c r="B504" s="18">
        <v>3</v>
      </c>
      <c r="C504" s="100" t="s">
        <v>1071</v>
      </c>
      <c r="D504" s="100" t="s">
        <v>1072</v>
      </c>
      <c r="E504" s="84" t="s">
        <v>21</v>
      </c>
      <c r="F504" s="84" t="s">
        <v>7</v>
      </c>
      <c r="G504" s="84" t="s">
        <v>57</v>
      </c>
      <c r="H504" s="84" t="s">
        <v>1075</v>
      </c>
      <c r="I504" s="14"/>
      <c r="J504" s="15" t="str">
        <f>IF(E504="Invalid_Segment","Invalid",IFERROR(INDEX(Severity_Matrix!$C$3:$M$10,MATCH('Error Log'!$F504,Severity_Matrix!$B$3:$B$10,0),MATCH('Error Log'!$G504,Severity_Matrix!$C$2:$M$2,0)),"No errors"))</f>
        <v>Critical</v>
      </c>
    </row>
    <row r="505" spans="1:10">
      <c r="A505" s="79" t="s">
        <v>1222</v>
      </c>
      <c r="B505" s="18">
        <v>4</v>
      </c>
      <c r="C505" s="100" t="s">
        <v>1071</v>
      </c>
      <c r="D505" s="100" t="s">
        <v>1072</v>
      </c>
      <c r="E505" s="84" t="s">
        <v>21</v>
      </c>
      <c r="F505" s="84" t="s">
        <v>7</v>
      </c>
      <c r="G505" s="84" t="s">
        <v>57</v>
      </c>
      <c r="H505" s="84" t="s">
        <v>1076</v>
      </c>
      <c r="I505" s="14"/>
      <c r="J505" s="15" t="str">
        <f>IF(E505="Invalid_Segment","Invalid",IFERROR(INDEX(Severity_Matrix!$C$3:$M$10,MATCH('Error Log'!$F505,Severity_Matrix!$B$3:$B$10,0),MATCH('Error Log'!$G505,Severity_Matrix!$C$2:$M$2,0)),"No errors"))</f>
        <v>Critical</v>
      </c>
    </row>
    <row r="506" spans="1:10">
      <c r="A506" s="79" t="s">
        <v>1222</v>
      </c>
      <c r="B506" s="18">
        <v>5</v>
      </c>
      <c r="C506" s="100" t="s">
        <v>1071</v>
      </c>
      <c r="D506" s="100" t="s">
        <v>1072</v>
      </c>
      <c r="E506" s="84" t="s">
        <v>21</v>
      </c>
      <c r="F506" s="84" t="s">
        <v>7</v>
      </c>
      <c r="G506" s="84" t="s">
        <v>57</v>
      </c>
      <c r="H506" s="101" t="s">
        <v>1077</v>
      </c>
      <c r="I506" s="14"/>
      <c r="J506" s="15" t="str">
        <f>IF(E506="Invalid_Segment","Invalid",IFERROR(INDEX(Severity_Matrix!$C$3:$M$10,MATCH('Error Log'!$F506,Severity_Matrix!$B$3:$B$10,0),MATCH('Error Log'!$G506,Severity_Matrix!$C$2:$M$2,0)),"No errors"))</f>
        <v>Critical</v>
      </c>
    </row>
    <row r="507" spans="1:10">
      <c r="A507" s="79" t="s">
        <v>1223</v>
      </c>
      <c r="B507" s="18">
        <v>1</v>
      </c>
      <c r="C507" s="100" t="s">
        <v>1078</v>
      </c>
      <c r="D507" s="100" t="s">
        <v>1079</v>
      </c>
      <c r="E507" s="84" t="s">
        <v>21</v>
      </c>
      <c r="F507" s="84" t="s">
        <v>22</v>
      </c>
      <c r="G507" s="84" t="s">
        <v>57</v>
      </c>
      <c r="H507" s="84" t="s">
        <v>1080</v>
      </c>
      <c r="I507" s="14"/>
      <c r="J507" s="15" t="str">
        <f>IF(E507="Invalid_Segment","Invalid",IFERROR(INDEX(Severity_Matrix!$C$3:$M$10,MATCH('Error Log'!$F507,Severity_Matrix!$B$3:$B$10,0),MATCH('Error Log'!$G507,Severity_Matrix!$C$2:$M$2,0)),"No errors"))</f>
        <v>Major</v>
      </c>
    </row>
    <row r="508" spans="1:10">
      <c r="A508" s="79" t="s">
        <v>1223</v>
      </c>
      <c r="B508" s="18">
        <v>2</v>
      </c>
      <c r="C508" s="100" t="s">
        <v>1078</v>
      </c>
      <c r="D508" s="100" t="s">
        <v>1079</v>
      </c>
      <c r="E508" s="84" t="s">
        <v>21</v>
      </c>
      <c r="F508" s="84" t="s">
        <v>7</v>
      </c>
      <c r="G508" s="84" t="s">
        <v>57</v>
      </c>
      <c r="H508" s="84" t="s">
        <v>1081</v>
      </c>
      <c r="I508" s="14"/>
      <c r="J508" s="15" t="str">
        <f>IF(E508="Invalid_Segment","Invalid",IFERROR(INDEX(Severity_Matrix!$C$3:$M$10,MATCH('Error Log'!$F508,Severity_Matrix!$B$3:$B$10,0),MATCH('Error Log'!$G508,Severity_Matrix!$C$2:$M$2,0)),"No errors"))</f>
        <v>Critical</v>
      </c>
    </row>
    <row r="509" spans="1:10">
      <c r="A509" s="79" t="s">
        <v>1224</v>
      </c>
      <c r="B509" s="18">
        <v>1</v>
      </c>
      <c r="C509" s="100" t="s">
        <v>1082</v>
      </c>
      <c r="D509" s="100" t="s">
        <v>1083</v>
      </c>
      <c r="E509" s="84" t="s">
        <v>21</v>
      </c>
      <c r="F509" s="84" t="s">
        <v>22</v>
      </c>
      <c r="G509" s="84" t="s">
        <v>57</v>
      </c>
      <c r="H509" s="84" t="s">
        <v>1084</v>
      </c>
      <c r="I509" s="14"/>
      <c r="J509" s="15" t="str">
        <f>IF(E509="Invalid_Segment","Invalid",IFERROR(INDEX(Severity_Matrix!$C$3:$M$10,MATCH('Error Log'!$F509,Severity_Matrix!$B$3:$B$10,0),MATCH('Error Log'!$G509,Severity_Matrix!$C$2:$M$2,0)),"No errors"))</f>
        <v>Major</v>
      </c>
    </row>
    <row r="510" spans="1:10">
      <c r="A510" s="79" t="s">
        <v>1224</v>
      </c>
      <c r="B510" s="18">
        <v>2</v>
      </c>
      <c r="C510" s="100" t="s">
        <v>1082</v>
      </c>
      <c r="D510" s="100" t="s">
        <v>1083</v>
      </c>
      <c r="E510" s="84" t="s">
        <v>21</v>
      </c>
      <c r="F510" s="84" t="s">
        <v>7</v>
      </c>
      <c r="G510" s="84" t="s">
        <v>57</v>
      </c>
      <c r="H510" s="84" t="s">
        <v>1085</v>
      </c>
      <c r="I510" s="14"/>
      <c r="J510" s="15" t="str">
        <f>IF(E510="Invalid_Segment","Invalid",IFERROR(INDEX(Severity_Matrix!$C$3:$M$10,MATCH('Error Log'!$F510,Severity_Matrix!$B$3:$B$10,0),MATCH('Error Log'!$G510,Severity_Matrix!$C$2:$M$2,0)),"No errors"))</f>
        <v>Critical</v>
      </c>
    </row>
    <row r="511" spans="1:10">
      <c r="A511" s="79" t="s">
        <v>1225</v>
      </c>
      <c r="B511" s="18">
        <v>1</v>
      </c>
      <c r="C511" s="100" t="s">
        <v>1086</v>
      </c>
      <c r="D511" s="100" t="s">
        <v>1087</v>
      </c>
      <c r="E511" s="84" t="s">
        <v>21</v>
      </c>
      <c r="F511" s="84" t="s">
        <v>22</v>
      </c>
      <c r="G511" s="84" t="s">
        <v>28</v>
      </c>
      <c r="H511" s="84" t="s">
        <v>1088</v>
      </c>
      <c r="I511" s="14"/>
      <c r="J511" s="15" t="str">
        <f>IF(E511="Invalid_Segment","Invalid",IFERROR(INDEX(Severity_Matrix!$C$3:$M$10,MATCH('Error Log'!$F511,Severity_Matrix!$B$3:$B$10,0),MATCH('Error Log'!$G511,Severity_Matrix!$C$2:$M$2,0)),"No errors"))</f>
        <v>Major</v>
      </c>
    </row>
    <row r="512" spans="1:10">
      <c r="A512" s="79" t="s">
        <v>1225</v>
      </c>
      <c r="B512" s="18">
        <v>2</v>
      </c>
      <c r="C512" s="100" t="s">
        <v>1086</v>
      </c>
      <c r="D512" s="100" t="s">
        <v>1087</v>
      </c>
      <c r="E512" s="84" t="s">
        <v>21</v>
      </c>
      <c r="F512" s="84" t="s">
        <v>22</v>
      </c>
      <c r="G512" s="84" t="s">
        <v>28</v>
      </c>
      <c r="H512" s="101" t="s">
        <v>1088</v>
      </c>
      <c r="I512" s="14"/>
      <c r="J512" s="15" t="str">
        <f>IF(E512="Invalid_Segment","Invalid",IFERROR(INDEX(Severity_Matrix!$C$3:$M$10,MATCH('Error Log'!$F512,Severity_Matrix!$B$3:$B$10,0),MATCH('Error Log'!$G512,Severity_Matrix!$C$2:$M$2,0)),"No errors"))</f>
        <v>Major</v>
      </c>
    </row>
    <row r="513" spans="1:10">
      <c r="A513" s="79" t="s">
        <v>1225</v>
      </c>
      <c r="B513" s="18">
        <v>3</v>
      </c>
      <c r="C513" s="100" t="s">
        <v>1086</v>
      </c>
      <c r="D513" s="100" t="s">
        <v>1087</v>
      </c>
      <c r="E513" s="84" t="s">
        <v>21</v>
      </c>
      <c r="F513" s="84" t="s">
        <v>63</v>
      </c>
      <c r="G513" s="84" t="s">
        <v>54</v>
      </c>
      <c r="H513" s="84" t="s">
        <v>1089</v>
      </c>
      <c r="I513" s="14"/>
      <c r="J513" s="15" t="str">
        <f>IF(E513="Invalid_Segment","Invalid",IFERROR(INDEX(Severity_Matrix!$C$3:$M$10,MATCH('Error Log'!$F513,Severity_Matrix!$B$3:$B$10,0),MATCH('Error Log'!$G513,Severity_Matrix!$C$2:$M$2,0)),"No errors"))</f>
        <v>Critical</v>
      </c>
    </row>
    <row r="514" spans="1:10">
      <c r="A514" s="79" t="s">
        <v>1225</v>
      </c>
      <c r="B514" s="18">
        <v>4</v>
      </c>
      <c r="C514" s="100" t="s">
        <v>1086</v>
      </c>
      <c r="D514" s="100" t="s">
        <v>1087</v>
      </c>
      <c r="E514" s="84" t="s">
        <v>21</v>
      </c>
      <c r="F514" s="84" t="s">
        <v>7</v>
      </c>
      <c r="G514" s="84" t="s">
        <v>54</v>
      </c>
      <c r="H514" s="84" t="s">
        <v>1090</v>
      </c>
      <c r="I514" s="14"/>
      <c r="J514" s="15" t="str">
        <f>IF(E514="Invalid_Segment","Invalid",IFERROR(INDEX(Severity_Matrix!$C$3:$M$10,MATCH('Error Log'!$F514,Severity_Matrix!$B$3:$B$10,0),MATCH('Error Log'!$G514,Severity_Matrix!$C$2:$M$2,0)),"No errors"))</f>
        <v>Critical</v>
      </c>
    </row>
    <row r="515" spans="1:10">
      <c r="A515" s="79" t="s">
        <v>1225</v>
      </c>
      <c r="B515" s="18">
        <v>5</v>
      </c>
      <c r="C515" s="100" t="s">
        <v>1086</v>
      </c>
      <c r="D515" s="100" t="s">
        <v>1087</v>
      </c>
      <c r="E515" s="84" t="s">
        <v>21</v>
      </c>
      <c r="F515" s="84" t="s">
        <v>22</v>
      </c>
      <c r="G515" s="84" t="s">
        <v>57</v>
      </c>
      <c r="H515" s="84" t="s">
        <v>1091</v>
      </c>
      <c r="I515" s="14"/>
      <c r="J515" s="15" t="str">
        <f>IF(E515="Invalid_Segment","Invalid",IFERROR(INDEX(Severity_Matrix!$C$3:$M$10,MATCH('Error Log'!$F515,Severity_Matrix!$B$3:$B$10,0),MATCH('Error Log'!$G515,Severity_Matrix!$C$2:$M$2,0)),"No errors"))</f>
        <v>Major</v>
      </c>
    </row>
    <row r="516" spans="1:10">
      <c r="A516" s="79" t="s">
        <v>1225</v>
      </c>
      <c r="B516" s="18">
        <v>6</v>
      </c>
      <c r="C516" s="100" t="s">
        <v>1086</v>
      </c>
      <c r="D516" s="100" t="s">
        <v>1087</v>
      </c>
      <c r="E516" s="84" t="s">
        <v>21</v>
      </c>
      <c r="F516" s="84" t="s">
        <v>7</v>
      </c>
      <c r="G516" s="84" t="s">
        <v>56</v>
      </c>
      <c r="H516" s="84" t="s">
        <v>1092</v>
      </c>
      <c r="I516" s="14"/>
      <c r="J516" s="15" t="str">
        <f>IF(E516="Invalid_Segment","Invalid",IFERROR(INDEX(Severity_Matrix!$C$3:$M$10,MATCH('Error Log'!$F516,Severity_Matrix!$B$3:$B$10,0),MATCH('Error Log'!$G516,Severity_Matrix!$C$2:$M$2,0)),"No errors"))</f>
        <v>Critical</v>
      </c>
    </row>
    <row r="517" spans="1:10">
      <c r="A517" s="79" t="s">
        <v>1225</v>
      </c>
      <c r="B517" s="18">
        <v>7</v>
      </c>
      <c r="C517" s="100" t="s">
        <v>1086</v>
      </c>
      <c r="D517" s="100" t="s">
        <v>1087</v>
      </c>
      <c r="E517" s="84" t="s">
        <v>21</v>
      </c>
      <c r="F517" s="84" t="s">
        <v>7</v>
      </c>
      <c r="G517" s="84" t="s">
        <v>57</v>
      </c>
      <c r="H517" s="84" t="s">
        <v>1093</v>
      </c>
      <c r="I517" s="14"/>
      <c r="J517" s="15" t="str">
        <f>IF(E517="Invalid_Segment","Invalid",IFERROR(INDEX(Severity_Matrix!$C$3:$M$10,MATCH('Error Log'!$F517,Severity_Matrix!$B$3:$B$10,0),MATCH('Error Log'!$G517,Severity_Matrix!$C$2:$M$2,0)),"No errors"))</f>
        <v>Critical</v>
      </c>
    </row>
    <row r="518" spans="1:10">
      <c r="A518" s="79" t="s">
        <v>1226</v>
      </c>
      <c r="B518" s="18">
        <v>1</v>
      </c>
      <c r="C518" s="100" t="s">
        <v>1094</v>
      </c>
      <c r="D518" s="100" t="s">
        <v>1095</v>
      </c>
      <c r="E518" s="84" t="s">
        <v>21</v>
      </c>
      <c r="F518" s="84" t="s">
        <v>63</v>
      </c>
      <c r="G518" s="84" t="s">
        <v>54</v>
      </c>
      <c r="H518" s="84" t="s">
        <v>1096</v>
      </c>
      <c r="I518" s="14"/>
      <c r="J518" s="15" t="str">
        <f>IF(E518="Invalid_Segment","Invalid",IFERROR(INDEX(Severity_Matrix!$C$3:$M$10,MATCH('Error Log'!$F518,Severity_Matrix!$B$3:$B$10,0),MATCH('Error Log'!$G518,Severity_Matrix!$C$2:$M$2,0)),"No errors"))</f>
        <v>Critical</v>
      </c>
    </row>
    <row r="519" spans="1:10">
      <c r="A519" s="79" t="s">
        <v>1226</v>
      </c>
      <c r="B519" s="18">
        <v>2</v>
      </c>
      <c r="C519" s="100" t="s">
        <v>1094</v>
      </c>
      <c r="D519" s="100" t="s">
        <v>1095</v>
      </c>
      <c r="E519" s="84" t="s">
        <v>21</v>
      </c>
      <c r="F519" s="84" t="s">
        <v>63</v>
      </c>
      <c r="G519" s="84" t="s">
        <v>29</v>
      </c>
      <c r="H519" s="84">
        <v>29</v>
      </c>
      <c r="I519" s="14"/>
      <c r="J519" s="15" t="str">
        <f>IF(E519="Invalid_Segment","Invalid",IFERROR(INDEX(Severity_Matrix!$C$3:$M$10,MATCH('Error Log'!$F519,Severity_Matrix!$B$3:$B$10,0),MATCH('Error Log'!$G519,Severity_Matrix!$C$2:$M$2,0)),"No errors"))</f>
        <v>Critical</v>
      </c>
    </row>
    <row r="520" spans="1:10">
      <c r="A520" s="79" t="s">
        <v>1226</v>
      </c>
      <c r="B520" s="18">
        <v>3</v>
      </c>
      <c r="C520" s="100" t="s">
        <v>1094</v>
      </c>
      <c r="D520" s="100" t="s">
        <v>1095</v>
      </c>
      <c r="E520" s="84" t="s">
        <v>21</v>
      </c>
      <c r="F520" s="84" t="s">
        <v>7</v>
      </c>
      <c r="G520" s="84" t="s">
        <v>56</v>
      </c>
      <c r="H520" s="84" t="s">
        <v>1097</v>
      </c>
      <c r="I520" s="14"/>
      <c r="J520" s="15" t="str">
        <f>IF(E520="Invalid_Segment","Invalid",IFERROR(INDEX(Severity_Matrix!$C$3:$M$10,MATCH('Error Log'!$F520,Severity_Matrix!$B$3:$B$10,0),MATCH('Error Log'!$G520,Severity_Matrix!$C$2:$M$2,0)),"No errors"))</f>
        <v>Critical</v>
      </c>
    </row>
    <row r="521" spans="1:10">
      <c r="A521" s="79" t="s">
        <v>1226</v>
      </c>
      <c r="B521" s="18">
        <v>4</v>
      </c>
      <c r="C521" s="100" t="s">
        <v>1094</v>
      </c>
      <c r="D521" s="100" t="s">
        <v>1095</v>
      </c>
      <c r="E521" s="84" t="s">
        <v>21</v>
      </c>
      <c r="F521" s="84" t="s">
        <v>7</v>
      </c>
      <c r="G521" s="84" t="s">
        <v>55</v>
      </c>
      <c r="H521" s="84" t="s">
        <v>1098</v>
      </c>
      <c r="I521" s="14"/>
      <c r="J521" s="15" t="str">
        <f>IF(E521="Invalid_Segment","Invalid",IFERROR(INDEX(Severity_Matrix!$C$3:$M$10,MATCH('Error Log'!$F521,Severity_Matrix!$B$3:$B$10,0),MATCH('Error Log'!$G521,Severity_Matrix!$C$2:$M$2,0)),"No errors"))</f>
        <v>Critical</v>
      </c>
    </row>
    <row r="522" spans="1:10">
      <c r="A522" s="79" t="s">
        <v>1226</v>
      </c>
      <c r="B522" s="18">
        <v>5</v>
      </c>
      <c r="C522" s="100" t="s">
        <v>1094</v>
      </c>
      <c r="D522" s="100" t="s">
        <v>1095</v>
      </c>
      <c r="E522" s="84" t="s">
        <v>21</v>
      </c>
      <c r="F522" s="84" t="s">
        <v>22</v>
      </c>
      <c r="G522" s="84" t="s">
        <v>57</v>
      </c>
      <c r="H522" s="84" t="s">
        <v>1099</v>
      </c>
      <c r="I522" s="14"/>
      <c r="J522" s="15" t="str">
        <f>IF(E522="Invalid_Segment","Invalid",IFERROR(INDEX(Severity_Matrix!$C$3:$M$10,MATCH('Error Log'!$F522,Severity_Matrix!$B$3:$B$10,0),MATCH('Error Log'!$G522,Severity_Matrix!$C$2:$M$2,0)),"No errors"))</f>
        <v>Major</v>
      </c>
    </row>
    <row r="523" spans="1:10">
      <c r="A523" s="79" t="s">
        <v>1226</v>
      </c>
      <c r="B523" s="18">
        <v>6</v>
      </c>
      <c r="C523" s="100" t="s">
        <v>1094</v>
      </c>
      <c r="D523" s="100" t="s">
        <v>1095</v>
      </c>
      <c r="E523" s="84" t="s">
        <v>21</v>
      </c>
      <c r="F523" s="84" t="s">
        <v>22</v>
      </c>
      <c r="G523" s="84" t="s">
        <v>57</v>
      </c>
      <c r="H523" s="84" t="s">
        <v>1100</v>
      </c>
      <c r="I523" s="14"/>
      <c r="J523" s="15" t="str">
        <f>IF(E523="Invalid_Segment","Invalid",IFERROR(INDEX(Severity_Matrix!$C$3:$M$10,MATCH('Error Log'!$F523,Severity_Matrix!$B$3:$B$10,0),MATCH('Error Log'!$G523,Severity_Matrix!$C$2:$M$2,0)),"No errors"))</f>
        <v>Major</v>
      </c>
    </row>
    <row r="524" spans="1:10">
      <c r="A524" s="79" t="s">
        <v>1226</v>
      </c>
      <c r="B524" s="18">
        <v>7</v>
      </c>
      <c r="C524" s="100" t="s">
        <v>1094</v>
      </c>
      <c r="D524" s="100" t="s">
        <v>1095</v>
      </c>
      <c r="E524" s="84" t="s">
        <v>21</v>
      </c>
      <c r="F524" s="84" t="s">
        <v>7</v>
      </c>
      <c r="G524" s="84" t="s">
        <v>57</v>
      </c>
      <c r="H524" s="84" t="s">
        <v>1101</v>
      </c>
      <c r="I524" s="14"/>
      <c r="J524" s="15" t="str">
        <f>IF(E524="Invalid_Segment","Invalid",IFERROR(INDEX(Severity_Matrix!$C$3:$M$10,MATCH('Error Log'!$F524,Severity_Matrix!$B$3:$B$10,0),MATCH('Error Log'!$G524,Severity_Matrix!$C$2:$M$2,0)),"No errors"))</f>
        <v>Critical</v>
      </c>
    </row>
    <row r="525" spans="1:10">
      <c r="A525" s="79" t="s">
        <v>1227</v>
      </c>
      <c r="B525" s="18">
        <v>1</v>
      </c>
      <c r="C525" s="100" t="s">
        <v>1102</v>
      </c>
      <c r="D525" s="100" t="s">
        <v>1103</v>
      </c>
      <c r="E525" s="84" t="s">
        <v>21</v>
      </c>
      <c r="F525" s="84" t="s">
        <v>22</v>
      </c>
      <c r="G525" s="84" t="s">
        <v>57</v>
      </c>
      <c r="H525" s="84" t="s">
        <v>1104</v>
      </c>
      <c r="I525" s="14"/>
      <c r="J525" s="15" t="str">
        <f>IF(E525="Invalid_Segment","Invalid",IFERROR(INDEX(Severity_Matrix!$C$3:$M$10,MATCH('Error Log'!$F525,Severity_Matrix!$B$3:$B$10,0),MATCH('Error Log'!$G525,Severity_Matrix!$C$2:$M$2,0)),"No errors"))</f>
        <v>Major</v>
      </c>
    </row>
    <row r="526" spans="1:10">
      <c r="A526" s="79" t="s">
        <v>1227</v>
      </c>
      <c r="B526" s="18">
        <v>2</v>
      </c>
      <c r="C526" s="100" t="s">
        <v>1102</v>
      </c>
      <c r="D526" s="100" t="s">
        <v>1103</v>
      </c>
      <c r="E526" s="84" t="s">
        <v>21</v>
      </c>
      <c r="F526" s="84" t="s">
        <v>22</v>
      </c>
      <c r="G526" s="84" t="s">
        <v>57</v>
      </c>
      <c r="H526" s="84" t="s">
        <v>1105</v>
      </c>
      <c r="I526" s="14"/>
      <c r="J526" s="15" t="str">
        <f>IF(E526="Invalid_Segment","Invalid",IFERROR(INDEX(Severity_Matrix!$C$3:$M$10,MATCH('Error Log'!$F526,Severity_Matrix!$B$3:$B$10,0),MATCH('Error Log'!$G526,Severity_Matrix!$C$2:$M$2,0)),"No errors"))</f>
        <v>Major</v>
      </c>
    </row>
    <row r="527" spans="1:10">
      <c r="A527" s="79" t="s">
        <v>1227</v>
      </c>
      <c r="B527" s="18">
        <v>3</v>
      </c>
      <c r="C527" s="100" t="s">
        <v>1102</v>
      </c>
      <c r="D527" s="100" t="s">
        <v>1103</v>
      </c>
      <c r="E527" s="84" t="s">
        <v>21</v>
      </c>
      <c r="F527" s="84" t="s">
        <v>22</v>
      </c>
      <c r="G527" s="84" t="s">
        <v>57</v>
      </c>
      <c r="H527" s="84" t="s">
        <v>1106</v>
      </c>
      <c r="I527" s="14"/>
      <c r="J527" s="15" t="str">
        <f>IF(E527="Invalid_Segment","Invalid",IFERROR(INDEX(Severity_Matrix!$C$3:$M$10,MATCH('Error Log'!$F527,Severity_Matrix!$B$3:$B$10,0),MATCH('Error Log'!$G527,Severity_Matrix!$C$2:$M$2,0)),"No errors"))</f>
        <v>Major</v>
      </c>
    </row>
    <row r="528" spans="1:10">
      <c r="A528" s="79" t="s">
        <v>1227</v>
      </c>
      <c r="B528" s="18">
        <v>4</v>
      </c>
      <c r="C528" s="100" t="s">
        <v>1102</v>
      </c>
      <c r="D528" s="100" t="s">
        <v>1103</v>
      </c>
      <c r="E528" s="84" t="s">
        <v>21</v>
      </c>
      <c r="F528" s="84" t="s">
        <v>7</v>
      </c>
      <c r="G528" s="84" t="s">
        <v>57</v>
      </c>
      <c r="H528" s="84" t="s">
        <v>1107</v>
      </c>
      <c r="I528" s="14"/>
      <c r="J528" s="15" t="str">
        <f>IF(E528="Invalid_Segment","Invalid",IFERROR(INDEX(Severity_Matrix!$C$3:$M$10,MATCH('Error Log'!$F528,Severity_Matrix!$B$3:$B$10,0),MATCH('Error Log'!$G528,Severity_Matrix!$C$2:$M$2,0)),"No errors"))</f>
        <v>Critical</v>
      </c>
    </row>
    <row r="529" spans="1:10">
      <c r="A529" s="79" t="s">
        <v>1227</v>
      </c>
      <c r="B529" s="18">
        <v>5</v>
      </c>
      <c r="C529" s="100" t="s">
        <v>1102</v>
      </c>
      <c r="D529" s="100" t="s">
        <v>1103</v>
      </c>
      <c r="E529" s="84" t="s">
        <v>21</v>
      </c>
      <c r="F529" s="84" t="s">
        <v>7</v>
      </c>
      <c r="G529" s="84" t="s">
        <v>57</v>
      </c>
      <c r="H529" s="84" t="s">
        <v>1108</v>
      </c>
      <c r="I529" s="14"/>
      <c r="J529" s="15" t="str">
        <f>IF(E529="Invalid_Segment","Invalid",IFERROR(INDEX(Severity_Matrix!$C$3:$M$10,MATCH('Error Log'!$F529,Severity_Matrix!$B$3:$B$10,0),MATCH('Error Log'!$G529,Severity_Matrix!$C$2:$M$2,0)),"No errors"))</f>
        <v>Critical</v>
      </c>
    </row>
    <row r="530" spans="1:10">
      <c r="A530" s="79" t="s">
        <v>1228</v>
      </c>
      <c r="B530" s="18">
        <v>1</v>
      </c>
      <c r="C530" s="100" t="s">
        <v>1109</v>
      </c>
      <c r="D530" s="100" t="s">
        <v>1110</v>
      </c>
      <c r="E530" s="84" t="s">
        <v>21</v>
      </c>
      <c r="F530" s="84" t="s">
        <v>22</v>
      </c>
      <c r="G530" s="84" t="s">
        <v>57</v>
      </c>
      <c r="H530" s="84" t="s">
        <v>1111</v>
      </c>
      <c r="I530" s="14"/>
      <c r="J530" s="15" t="str">
        <f>IF(E530="Invalid_Segment","Invalid",IFERROR(INDEX(Severity_Matrix!$C$3:$M$10,MATCH('Error Log'!$F530,Severity_Matrix!$B$3:$B$10,0),MATCH('Error Log'!$G530,Severity_Matrix!$C$2:$M$2,0)),"No errors"))</f>
        <v>Major</v>
      </c>
    </row>
    <row r="531" spans="1:10">
      <c r="A531" s="79" t="s">
        <v>1228</v>
      </c>
      <c r="B531" s="18">
        <v>2</v>
      </c>
      <c r="C531" s="100" t="s">
        <v>1109</v>
      </c>
      <c r="D531" s="100" t="s">
        <v>1110</v>
      </c>
      <c r="E531" s="84" t="s">
        <v>21</v>
      </c>
      <c r="F531" s="84" t="s">
        <v>22</v>
      </c>
      <c r="G531" s="84" t="s">
        <v>57</v>
      </c>
      <c r="H531" s="84" t="s">
        <v>1112</v>
      </c>
      <c r="I531" s="14"/>
      <c r="J531" s="15" t="str">
        <f>IF(E531="Invalid_Segment","Invalid",IFERROR(INDEX(Severity_Matrix!$C$3:$M$10,MATCH('Error Log'!$F531,Severity_Matrix!$B$3:$B$10,0),MATCH('Error Log'!$G531,Severity_Matrix!$C$2:$M$2,0)),"No errors"))</f>
        <v>Major</v>
      </c>
    </row>
    <row r="532" spans="1:10">
      <c r="A532" s="79" t="s">
        <v>1228</v>
      </c>
      <c r="B532" s="18">
        <v>3</v>
      </c>
      <c r="C532" s="100" t="s">
        <v>1109</v>
      </c>
      <c r="D532" s="100" t="s">
        <v>1110</v>
      </c>
      <c r="E532" s="84" t="s">
        <v>21</v>
      </c>
      <c r="F532" s="84" t="s">
        <v>22</v>
      </c>
      <c r="G532" s="84" t="s">
        <v>57</v>
      </c>
      <c r="H532" s="84" t="s">
        <v>1113</v>
      </c>
      <c r="I532" s="14"/>
      <c r="J532" s="15" t="str">
        <f>IF(E532="Invalid_Segment","Invalid",IFERROR(INDEX(Severity_Matrix!$C$3:$M$10,MATCH('Error Log'!$F532,Severity_Matrix!$B$3:$B$10,0),MATCH('Error Log'!$G532,Severity_Matrix!$C$2:$M$2,0)),"No errors"))</f>
        <v>Major</v>
      </c>
    </row>
    <row r="533" spans="1:10">
      <c r="A533" s="79" t="s">
        <v>1228</v>
      </c>
      <c r="B533" s="18">
        <v>4</v>
      </c>
      <c r="C533" s="100" t="s">
        <v>1109</v>
      </c>
      <c r="D533" s="100" t="s">
        <v>1110</v>
      </c>
      <c r="E533" s="84" t="s">
        <v>21</v>
      </c>
      <c r="F533" s="84" t="s">
        <v>7</v>
      </c>
      <c r="G533" s="84" t="s">
        <v>57</v>
      </c>
      <c r="H533" s="84" t="s">
        <v>1114</v>
      </c>
      <c r="I533" s="14"/>
      <c r="J533" s="15" t="str">
        <f>IF(E533="Invalid_Segment","Invalid",IFERROR(INDEX(Severity_Matrix!$C$3:$M$10,MATCH('Error Log'!$F533,Severity_Matrix!$B$3:$B$10,0),MATCH('Error Log'!$G533,Severity_Matrix!$C$2:$M$2,0)),"No errors"))</f>
        <v>Critical</v>
      </c>
    </row>
    <row r="534" spans="1:10" ht="14.4">
      <c r="A534" s="79" t="s">
        <v>1228</v>
      </c>
      <c r="B534" s="18">
        <v>5</v>
      </c>
      <c r="C534" s="100" t="s">
        <v>1109</v>
      </c>
      <c r="D534" s="100" t="s">
        <v>1110</v>
      </c>
      <c r="E534" s="84" t="s">
        <v>21</v>
      </c>
      <c r="F534" s="84" t="s">
        <v>7</v>
      </c>
      <c r="G534" s="84" t="s">
        <v>57</v>
      </c>
      <c r="H534" s="102" t="s">
        <v>1115</v>
      </c>
      <c r="I534" s="14"/>
      <c r="J534" s="15" t="str">
        <f>IF(E534="Invalid_Segment","Invalid",IFERROR(INDEX(Severity_Matrix!$C$3:$M$10,MATCH('Error Log'!$F534,Severity_Matrix!$B$3:$B$10,0),MATCH('Error Log'!$G534,Severity_Matrix!$C$2:$M$2,0)),"No errors"))</f>
        <v>Critical</v>
      </c>
    </row>
    <row r="535" spans="1:10">
      <c r="A535" s="79" t="s">
        <v>1229</v>
      </c>
      <c r="B535" s="18">
        <v>1</v>
      </c>
      <c r="C535" s="100" t="s">
        <v>1116</v>
      </c>
      <c r="D535" s="100" t="s">
        <v>1117</v>
      </c>
      <c r="E535" s="84" t="s">
        <v>21</v>
      </c>
      <c r="F535" s="84" t="s">
        <v>22</v>
      </c>
      <c r="G535" s="84" t="s">
        <v>57</v>
      </c>
      <c r="H535" s="84" t="s">
        <v>1118</v>
      </c>
      <c r="I535" s="14"/>
      <c r="J535" s="15" t="str">
        <f>IF(E535="Invalid_Segment","Invalid",IFERROR(INDEX(Severity_Matrix!$C$3:$M$10,MATCH('Error Log'!$F535,Severity_Matrix!$B$3:$B$10,0),MATCH('Error Log'!$G535,Severity_Matrix!$C$2:$M$2,0)),"No errors"))</f>
        <v>Major</v>
      </c>
    </row>
    <row r="536" spans="1:10">
      <c r="A536" s="79" t="s">
        <v>1229</v>
      </c>
      <c r="B536" s="18">
        <v>2</v>
      </c>
      <c r="C536" s="100" t="s">
        <v>1116</v>
      </c>
      <c r="D536" s="100" t="s">
        <v>1117</v>
      </c>
      <c r="E536" s="84" t="s">
        <v>2</v>
      </c>
      <c r="F536" s="84" t="s">
        <v>26</v>
      </c>
      <c r="G536" s="84" t="s">
        <v>57</v>
      </c>
      <c r="H536" s="84" t="s">
        <v>1119</v>
      </c>
      <c r="I536" s="14"/>
      <c r="J536" s="15" t="str">
        <f>IF(E536="Invalid_Segment","Invalid",IFERROR(INDEX(Severity_Matrix!$C$3:$M$10,MATCH('Error Log'!$F536,Severity_Matrix!$B$3:$B$10,0),MATCH('Error Log'!$G536,Severity_Matrix!$C$2:$M$2,0)),"No errors"))</f>
        <v>Major</v>
      </c>
    </row>
    <row r="537" spans="1:10">
      <c r="A537" s="79" t="s">
        <v>1229</v>
      </c>
      <c r="B537" s="18">
        <v>3</v>
      </c>
      <c r="C537" s="100" t="s">
        <v>1116</v>
      </c>
      <c r="D537" s="100" t="s">
        <v>1117</v>
      </c>
      <c r="E537" s="84" t="s">
        <v>21</v>
      </c>
      <c r="F537" s="84" t="s">
        <v>7</v>
      </c>
      <c r="G537" s="84" t="s">
        <v>57</v>
      </c>
      <c r="H537" s="84" t="s">
        <v>1120</v>
      </c>
      <c r="I537" s="14"/>
      <c r="J537" s="15" t="str">
        <f>IF(E537="Invalid_Segment","Invalid",IFERROR(INDEX(Severity_Matrix!$C$3:$M$10,MATCH('Error Log'!$F537,Severity_Matrix!$B$3:$B$10,0),MATCH('Error Log'!$G537,Severity_Matrix!$C$2:$M$2,0)),"No errors"))</f>
        <v>Critical</v>
      </c>
    </row>
    <row r="538" spans="1:10">
      <c r="A538" s="79" t="s">
        <v>1229</v>
      </c>
      <c r="B538" s="18">
        <v>4</v>
      </c>
      <c r="C538" s="100" t="s">
        <v>1116</v>
      </c>
      <c r="D538" s="100" t="s">
        <v>1117</v>
      </c>
      <c r="E538" s="84" t="s">
        <v>21</v>
      </c>
      <c r="F538" s="84" t="s">
        <v>7</v>
      </c>
      <c r="G538" s="84" t="s">
        <v>57</v>
      </c>
      <c r="H538" s="84" t="s">
        <v>1121</v>
      </c>
      <c r="I538" s="14"/>
      <c r="J538" s="15" t="str">
        <f>IF(E538="Invalid_Segment","Invalid",IFERROR(INDEX(Severity_Matrix!$C$3:$M$10,MATCH('Error Log'!$F538,Severity_Matrix!$B$3:$B$10,0),MATCH('Error Log'!$G538,Severity_Matrix!$C$2:$M$2,0)),"No errors"))</f>
        <v>Critical</v>
      </c>
    </row>
    <row r="539" spans="1:10">
      <c r="A539" s="79" t="s">
        <v>1230</v>
      </c>
      <c r="B539" s="18">
        <v>1</v>
      </c>
      <c r="C539" s="100" t="s">
        <v>1122</v>
      </c>
      <c r="D539" s="100" t="s">
        <v>1123</v>
      </c>
      <c r="E539" s="84" t="s">
        <v>21</v>
      </c>
      <c r="F539" s="84" t="s">
        <v>22</v>
      </c>
      <c r="G539" s="84" t="s">
        <v>57</v>
      </c>
      <c r="H539" s="84" t="s">
        <v>1124</v>
      </c>
      <c r="I539" s="14"/>
      <c r="J539" s="15" t="str">
        <f>IF(E539="Invalid_Segment","Invalid",IFERROR(INDEX(Severity_Matrix!$C$3:$M$10,MATCH('Error Log'!$F539,Severity_Matrix!$B$3:$B$10,0),MATCH('Error Log'!$G539,Severity_Matrix!$C$2:$M$2,0)),"No errors"))</f>
        <v>Major</v>
      </c>
    </row>
    <row r="540" spans="1:10">
      <c r="A540" s="79" t="s">
        <v>1230</v>
      </c>
      <c r="B540" s="18">
        <v>2</v>
      </c>
      <c r="C540" s="100" t="s">
        <v>1122</v>
      </c>
      <c r="D540" s="100" t="s">
        <v>1123</v>
      </c>
      <c r="E540" s="84" t="s">
        <v>21</v>
      </c>
      <c r="F540" s="84" t="s">
        <v>63</v>
      </c>
      <c r="G540" s="84" t="s">
        <v>54</v>
      </c>
      <c r="H540" s="84" t="s">
        <v>1125</v>
      </c>
      <c r="I540" s="14"/>
      <c r="J540" s="15" t="str">
        <f>IF(E540="Invalid_Segment","Invalid",IFERROR(INDEX(Severity_Matrix!$C$3:$M$10,MATCH('Error Log'!$F540,Severity_Matrix!$B$3:$B$10,0),MATCH('Error Log'!$G540,Severity_Matrix!$C$2:$M$2,0)),"No errors"))</f>
        <v>Critical</v>
      </c>
    </row>
    <row r="541" spans="1:10">
      <c r="A541" s="79" t="s">
        <v>1230</v>
      </c>
      <c r="B541" s="18">
        <v>3</v>
      </c>
      <c r="C541" s="100" t="s">
        <v>1122</v>
      </c>
      <c r="D541" s="100" t="s">
        <v>1123</v>
      </c>
      <c r="E541" s="84" t="s">
        <v>21</v>
      </c>
      <c r="F541" s="84" t="s">
        <v>63</v>
      </c>
      <c r="G541" s="84" t="s">
        <v>28</v>
      </c>
      <c r="H541" s="84">
        <v>23</v>
      </c>
      <c r="I541" s="14"/>
      <c r="J541" s="15" t="str">
        <f>IF(E541="Invalid_Segment","Invalid",IFERROR(INDEX(Severity_Matrix!$C$3:$M$10,MATCH('Error Log'!$F541,Severity_Matrix!$B$3:$B$10,0),MATCH('Error Log'!$G541,Severity_Matrix!$C$2:$M$2,0)),"No errors"))</f>
        <v>Major</v>
      </c>
    </row>
    <row r="542" spans="1:10">
      <c r="A542" s="79" t="s">
        <v>1230</v>
      </c>
      <c r="B542" s="18">
        <v>4</v>
      </c>
      <c r="C542" s="100" t="s">
        <v>1122</v>
      </c>
      <c r="D542" s="100" t="s">
        <v>1123</v>
      </c>
      <c r="E542" s="84" t="s">
        <v>21</v>
      </c>
      <c r="F542" s="84" t="s">
        <v>63</v>
      </c>
      <c r="G542" s="84" t="s">
        <v>55</v>
      </c>
      <c r="H542" s="84" t="s">
        <v>1126</v>
      </c>
      <c r="I542" s="14"/>
      <c r="J542" s="15" t="str">
        <f>IF(E542="Invalid_Segment","Invalid",IFERROR(INDEX(Severity_Matrix!$C$3:$M$10,MATCH('Error Log'!$F542,Severity_Matrix!$B$3:$B$10,0),MATCH('Error Log'!$G542,Severity_Matrix!$C$2:$M$2,0)),"No errors"))</f>
        <v>Critical</v>
      </c>
    </row>
    <row r="543" spans="1:10">
      <c r="A543" s="79" t="s">
        <v>1230</v>
      </c>
      <c r="B543" s="18">
        <v>5</v>
      </c>
      <c r="C543" s="100" t="s">
        <v>1122</v>
      </c>
      <c r="D543" s="100" t="s">
        <v>1123</v>
      </c>
      <c r="E543" s="84" t="s">
        <v>21</v>
      </c>
      <c r="F543" s="84" t="s">
        <v>7</v>
      </c>
      <c r="G543" s="84" t="s">
        <v>57</v>
      </c>
      <c r="H543" s="84" t="s">
        <v>1127</v>
      </c>
      <c r="I543" s="14"/>
      <c r="J543" s="15" t="str">
        <f>IF(E543="Invalid_Segment","Invalid",IFERROR(INDEX(Severity_Matrix!$C$3:$M$10,MATCH('Error Log'!$F543,Severity_Matrix!$B$3:$B$10,0),MATCH('Error Log'!$G543,Severity_Matrix!$C$2:$M$2,0)),"No errors"))</f>
        <v>Critical</v>
      </c>
    </row>
    <row r="544" spans="1:10">
      <c r="A544" s="79" t="s">
        <v>1230</v>
      </c>
      <c r="B544" s="18">
        <v>6</v>
      </c>
      <c r="C544" s="100" t="s">
        <v>1122</v>
      </c>
      <c r="D544" s="100" t="s">
        <v>1123</v>
      </c>
      <c r="E544" s="84" t="s">
        <v>21</v>
      </c>
      <c r="F544" s="84" t="s">
        <v>7</v>
      </c>
      <c r="G544" s="84" t="s">
        <v>57</v>
      </c>
      <c r="H544" s="84" t="s">
        <v>1128</v>
      </c>
      <c r="I544" s="14"/>
      <c r="J544" s="15" t="str">
        <f>IF(E544="Invalid_Segment","Invalid",IFERROR(INDEX(Severity_Matrix!$C$3:$M$10,MATCH('Error Log'!$F544,Severity_Matrix!$B$3:$B$10,0),MATCH('Error Log'!$G544,Severity_Matrix!$C$2:$M$2,0)),"No errors"))</f>
        <v>Critical</v>
      </c>
    </row>
    <row r="545" spans="1:10">
      <c r="A545" s="103" t="s">
        <v>1231</v>
      </c>
      <c r="B545" s="18">
        <v>1</v>
      </c>
      <c r="C545" s="98" t="s">
        <v>1129</v>
      </c>
      <c r="D545" s="98" t="s">
        <v>1130</v>
      </c>
      <c r="E545" s="84" t="s">
        <v>21</v>
      </c>
      <c r="F545" s="84" t="s">
        <v>22</v>
      </c>
      <c r="G545" s="84" t="s">
        <v>57</v>
      </c>
      <c r="H545" s="84" t="s">
        <v>1131</v>
      </c>
      <c r="I545" s="14"/>
      <c r="J545" s="15" t="str">
        <f>IF(E545="Invalid_Segment","Invalid",IFERROR(INDEX(Severity_Matrix!$C$3:$M$10,MATCH('Error Log'!$F545,Severity_Matrix!$B$3:$B$10,0),MATCH('Error Log'!$G545,Severity_Matrix!$C$2:$M$2,0)),"No errors"))</f>
        <v>Major</v>
      </c>
    </row>
    <row r="546" spans="1:10">
      <c r="A546" s="103" t="s">
        <v>1231</v>
      </c>
      <c r="B546" s="18">
        <v>2</v>
      </c>
      <c r="C546" s="98" t="s">
        <v>1129</v>
      </c>
      <c r="D546" s="98" t="s">
        <v>1130</v>
      </c>
      <c r="E546" s="84" t="s">
        <v>21</v>
      </c>
      <c r="F546" s="84" t="s">
        <v>22</v>
      </c>
      <c r="G546" s="84" t="s">
        <v>57</v>
      </c>
      <c r="H546" s="84" t="s">
        <v>1132</v>
      </c>
      <c r="I546" s="14"/>
      <c r="J546" s="15" t="str">
        <f>IF(E546="Invalid_Segment","Invalid",IFERROR(INDEX(Severity_Matrix!$C$3:$M$10,MATCH('Error Log'!$F546,Severity_Matrix!$B$3:$B$10,0),MATCH('Error Log'!$G546,Severity_Matrix!$C$2:$M$2,0)),"No errors"))</f>
        <v>Major</v>
      </c>
    </row>
    <row r="547" spans="1:10">
      <c r="A547" s="103" t="s">
        <v>1231</v>
      </c>
      <c r="B547" s="18">
        <v>3</v>
      </c>
      <c r="C547" s="98" t="s">
        <v>1129</v>
      </c>
      <c r="D547" s="98" t="s">
        <v>1130</v>
      </c>
      <c r="E547" s="84" t="s">
        <v>21</v>
      </c>
      <c r="F547" s="84" t="s">
        <v>7</v>
      </c>
      <c r="G547" s="84" t="s">
        <v>57</v>
      </c>
      <c r="H547" s="84" t="s">
        <v>1133</v>
      </c>
      <c r="I547" s="14"/>
      <c r="J547" s="15" t="str">
        <f>IF(E547="Invalid_Segment","Invalid",IFERROR(INDEX(Severity_Matrix!$C$3:$M$10,MATCH('Error Log'!$F547,Severity_Matrix!$B$3:$B$10,0),MATCH('Error Log'!$G547,Severity_Matrix!$C$2:$M$2,0)),"No errors"))</f>
        <v>Critical</v>
      </c>
    </row>
    <row r="548" spans="1:10">
      <c r="A548" s="103" t="s">
        <v>1231</v>
      </c>
      <c r="B548" s="18">
        <v>4</v>
      </c>
      <c r="C548" s="98" t="s">
        <v>1129</v>
      </c>
      <c r="D548" s="98" t="s">
        <v>1130</v>
      </c>
      <c r="E548" s="84" t="s">
        <v>21</v>
      </c>
      <c r="F548" s="84" t="s">
        <v>7</v>
      </c>
      <c r="G548" s="84" t="s">
        <v>57</v>
      </c>
      <c r="H548" s="84" t="s">
        <v>1134</v>
      </c>
      <c r="I548" s="14"/>
      <c r="J548" s="15" t="str">
        <f>IF(E548="Invalid_Segment","Invalid",IFERROR(INDEX(Severity_Matrix!$C$3:$M$10,MATCH('Error Log'!$F548,Severity_Matrix!$B$3:$B$10,0),MATCH('Error Log'!$G548,Severity_Matrix!$C$2:$M$2,0)),"No errors"))</f>
        <v>Critical</v>
      </c>
    </row>
    <row r="549" spans="1:10">
      <c r="A549" s="103" t="s">
        <v>1232</v>
      </c>
      <c r="B549" s="18">
        <v>1</v>
      </c>
      <c r="C549" s="98" t="s">
        <v>1135</v>
      </c>
      <c r="D549" s="98" t="s">
        <v>1136</v>
      </c>
      <c r="E549" s="84"/>
      <c r="F549" s="84"/>
      <c r="G549" s="84"/>
      <c r="H549" s="84"/>
      <c r="I549" s="14"/>
      <c r="J549" s="15" t="str">
        <f>IF(E549="Invalid_Segment","Invalid",IFERROR(INDEX(Severity_Matrix!$C$3:$M$10,MATCH('Error Log'!$F549,Severity_Matrix!$B$3:$B$10,0),MATCH('Error Log'!$G549,Severity_Matrix!$C$2:$M$2,0)),"No errors"))</f>
        <v>No errors</v>
      </c>
    </row>
    <row r="550" spans="1:10">
      <c r="A550" s="103" t="s">
        <v>1233</v>
      </c>
      <c r="B550" s="18">
        <v>1</v>
      </c>
      <c r="C550" s="98" t="s">
        <v>1137</v>
      </c>
      <c r="D550" s="98" t="s">
        <v>1138</v>
      </c>
      <c r="E550" s="84"/>
      <c r="F550" s="84"/>
      <c r="G550" s="84"/>
      <c r="H550" s="84"/>
      <c r="I550" s="14"/>
      <c r="J550" s="15" t="str">
        <f>IF(E550="Invalid_Segment","Invalid",IFERROR(INDEX(Severity_Matrix!$C$3:$M$10,MATCH('Error Log'!$F550,Severity_Matrix!$B$3:$B$10,0),MATCH('Error Log'!$G550,Severity_Matrix!$C$2:$M$2,0)),"No errors"))</f>
        <v>No errors</v>
      </c>
    </row>
    <row r="551" spans="1:10">
      <c r="A551" s="103" t="s">
        <v>1234</v>
      </c>
      <c r="B551" s="18">
        <v>1</v>
      </c>
      <c r="C551" s="98" t="s">
        <v>1139</v>
      </c>
      <c r="D551" s="98" t="s">
        <v>1140</v>
      </c>
      <c r="E551" s="84" t="s">
        <v>21</v>
      </c>
      <c r="F551" s="84" t="s">
        <v>7</v>
      </c>
      <c r="G551" s="84" t="s">
        <v>57</v>
      </c>
      <c r="H551" s="84" t="s">
        <v>1141</v>
      </c>
      <c r="I551" s="14"/>
      <c r="J551" s="15" t="str">
        <f>IF(E551="Invalid_Segment","Invalid",IFERROR(INDEX(Severity_Matrix!$C$3:$M$10,MATCH('Error Log'!$F551,Severity_Matrix!$B$3:$B$10,0),MATCH('Error Log'!$G551,Severity_Matrix!$C$2:$M$2,0)),"No errors"))</f>
        <v>Critical</v>
      </c>
    </row>
    <row r="552" spans="1:10">
      <c r="A552" s="103" t="s">
        <v>1234</v>
      </c>
      <c r="B552" s="18">
        <v>2</v>
      </c>
      <c r="C552" s="98" t="s">
        <v>1139</v>
      </c>
      <c r="D552" s="98" t="s">
        <v>1140</v>
      </c>
      <c r="E552" s="84" t="s">
        <v>21</v>
      </c>
      <c r="F552" s="84" t="s">
        <v>22</v>
      </c>
      <c r="G552" s="84" t="s">
        <v>57</v>
      </c>
      <c r="H552" s="84" t="s">
        <v>1142</v>
      </c>
      <c r="I552" s="14"/>
      <c r="J552" s="15" t="str">
        <f>IF(E552="Invalid_Segment","Invalid",IFERROR(INDEX(Severity_Matrix!$C$3:$M$10,MATCH('Error Log'!$F552,Severity_Matrix!$B$3:$B$10,0),MATCH('Error Log'!$G552,Severity_Matrix!$C$2:$M$2,0)),"No errors"))</f>
        <v>Major</v>
      </c>
    </row>
    <row r="553" spans="1:10">
      <c r="A553" s="103" t="s">
        <v>1234</v>
      </c>
      <c r="B553" s="18">
        <v>3</v>
      </c>
      <c r="C553" s="98" t="s">
        <v>1139</v>
      </c>
      <c r="D553" s="98" t="s">
        <v>1140</v>
      </c>
      <c r="E553" s="84" t="s">
        <v>21</v>
      </c>
      <c r="F553" s="84" t="s">
        <v>63</v>
      </c>
      <c r="G553" s="84" t="s">
        <v>54</v>
      </c>
      <c r="H553" s="84" t="s">
        <v>1143</v>
      </c>
      <c r="I553" s="14"/>
      <c r="J553" s="15" t="str">
        <f>IF(E553="Invalid_Segment","Invalid",IFERROR(INDEX(Severity_Matrix!$C$3:$M$10,MATCH('Error Log'!$F553,Severity_Matrix!$B$3:$B$10,0),MATCH('Error Log'!$G553,Severity_Matrix!$C$2:$M$2,0)),"No errors"))</f>
        <v>Critical</v>
      </c>
    </row>
    <row r="554" spans="1:10">
      <c r="A554" s="103" t="s">
        <v>1234</v>
      </c>
      <c r="B554" s="18">
        <v>4</v>
      </c>
      <c r="C554" s="98" t="s">
        <v>1139</v>
      </c>
      <c r="D554" s="98" t="s">
        <v>1140</v>
      </c>
      <c r="E554" s="84" t="s">
        <v>21</v>
      </c>
      <c r="F554" s="84" t="s">
        <v>63</v>
      </c>
      <c r="G554" s="84" t="s">
        <v>55</v>
      </c>
      <c r="H554" s="103" t="s">
        <v>1144</v>
      </c>
      <c r="I554" s="14"/>
      <c r="J554" s="15" t="str">
        <f>IF(E554="Invalid_Segment","Invalid",IFERROR(INDEX(Severity_Matrix!$C$3:$M$10,MATCH('Error Log'!$F554,Severity_Matrix!$B$3:$B$10,0),MATCH('Error Log'!$G554,Severity_Matrix!$C$2:$M$2,0)),"No errors"))</f>
        <v>Critical</v>
      </c>
    </row>
    <row r="555" spans="1:10">
      <c r="A555" s="103" t="s">
        <v>1234</v>
      </c>
      <c r="B555" s="18">
        <v>5</v>
      </c>
      <c r="C555" s="98" t="s">
        <v>1139</v>
      </c>
      <c r="D555" s="98" t="s">
        <v>1140</v>
      </c>
      <c r="E555" s="84" t="s">
        <v>21</v>
      </c>
      <c r="F555" s="84" t="s">
        <v>7</v>
      </c>
      <c r="G555" s="84" t="s">
        <v>57</v>
      </c>
      <c r="H555" s="84" t="s">
        <v>1145</v>
      </c>
      <c r="I555" s="14"/>
      <c r="J555" s="15" t="str">
        <f>IF(E555="Invalid_Segment","Invalid",IFERROR(INDEX(Severity_Matrix!$C$3:$M$10,MATCH('Error Log'!$F555,Severity_Matrix!$B$3:$B$10,0),MATCH('Error Log'!$G555,Severity_Matrix!$C$2:$M$2,0)),"No errors"))</f>
        <v>Critical</v>
      </c>
    </row>
    <row r="556" spans="1:10">
      <c r="A556" s="103" t="s">
        <v>1235</v>
      </c>
      <c r="B556" s="18">
        <v>1</v>
      </c>
      <c r="C556" s="98" t="s">
        <v>1146</v>
      </c>
      <c r="D556" s="98" t="s">
        <v>1147</v>
      </c>
      <c r="E556" s="84" t="s">
        <v>21</v>
      </c>
      <c r="F556" s="84" t="s">
        <v>22</v>
      </c>
      <c r="G556" s="84" t="s">
        <v>57</v>
      </c>
      <c r="H556" s="84" t="s">
        <v>1148</v>
      </c>
      <c r="I556" s="14"/>
      <c r="J556" s="15" t="str">
        <f>IF(E556="Invalid_Segment","Invalid",IFERROR(INDEX(Severity_Matrix!$C$3:$M$10,MATCH('Error Log'!$F556,Severity_Matrix!$B$3:$B$10,0),MATCH('Error Log'!$G556,Severity_Matrix!$C$2:$M$2,0)),"No errors"))</f>
        <v>Major</v>
      </c>
    </row>
    <row r="557" spans="1:10">
      <c r="A557" s="103" t="s">
        <v>1236</v>
      </c>
      <c r="B557" s="18">
        <v>1</v>
      </c>
      <c r="C557" s="98" t="s">
        <v>1149</v>
      </c>
      <c r="D557" s="98" t="s">
        <v>1150</v>
      </c>
      <c r="E557" s="84" t="s">
        <v>21</v>
      </c>
      <c r="F557" s="84" t="s">
        <v>7</v>
      </c>
      <c r="G557" s="84" t="s">
        <v>57</v>
      </c>
      <c r="H557" s="84" t="s">
        <v>1151</v>
      </c>
      <c r="I557" s="14"/>
      <c r="J557" s="15" t="str">
        <f>IF(E557="Invalid_Segment","Invalid",IFERROR(INDEX(Severity_Matrix!$C$3:$M$10,MATCH('Error Log'!$F557,Severity_Matrix!$B$3:$B$10,0),MATCH('Error Log'!$G557,Severity_Matrix!$C$2:$M$2,0)),"No errors"))</f>
        <v>Critical</v>
      </c>
    </row>
    <row r="558" spans="1:10">
      <c r="A558" s="103" t="s">
        <v>1237</v>
      </c>
      <c r="B558" s="18">
        <v>1</v>
      </c>
      <c r="C558" s="98" t="s">
        <v>1152</v>
      </c>
      <c r="D558" s="98" t="s">
        <v>1153</v>
      </c>
      <c r="E558" s="84"/>
      <c r="F558" s="84"/>
      <c r="G558" s="84"/>
      <c r="H558" s="84"/>
      <c r="I558" s="14"/>
      <c r="J558" s="15" t="str">
        <f>IF(E558="Invalid_Segment","Invalid",IFERROR(INDEX(Severity_Matrix!$C$3:$M$10,MATCH('Error Log'!$F558,Severity_Matrix!$B$3:$B$10,0),MATCH('Error Log'!$G558,Severity_Matrix!$C$2:$M$2,0)),"No errors"))</f>
        <v>No errors</v>
      </c>
    </row>
    <row r="559" spans="1:10">
      <c r="A559" s="103" t="s">
        <v>1238</v>
      </c>
      <c r="B559" s="18">
        <v>1</v>
      </c>
      <c r="C559" s="98" t="s">
        <v>1154</v>
      </c>
      <c r="D559" s="98" t="s">
        <v>1155</v>
      </c>
      <c r="E559" s="84" t="s">
        <v>21</v>
      </c>
      <c r="F559" s="84" t="s">
        <v>7</v>
      </c>
      <c r="G559" s="84" t="s">
        <v>57</v>
      </c>
      <c r="H559" s="84" t="s">
        <v>1156</v>
      </c>
      <c r="I559" s="14"/>
      <c r="J559" s="15" t="str">
        <f>IF(E559="Invalid_Segment","Invalid",IFERROR(INDEX(Severity_Matrix!$C$3:$M$10,MATCH('Error Log'!$F559,Severity_Matrix!$B$3:$B$10,0),MATCH('Error Log'!$G559,Severity_Matrix!$C$2:$M$2,0)),"No errors"))</f>
        <v>Critical</v>
      </c>
    </row>
    <row r="560" spans="1:10">
      <c r="A560" s="103" t="s">
        <v>1239</v>
      </c>
      <c r="B560" s="18">
        <v>1</v>
      </c>
      <c r="C560" s="98" t="s">
        <v>1157</v>
      </c>
      <c r="D560" s="98" t="s">
        <v>1158</v>
      </c>
      <c r="E560" s="84"/>
      <c r="F560" s="84"/>
      <c r="G560" s="84"/>
      <c r="H560" s="84"/>
      <c r="I560" s="14"/>
      <c r="J560" s="15" t="str">
        <f>IF(E560="Invalid_Segment","Invalid",IFERROR(INDEX(Severity_Matrix!$C$3:$M$10,MATCH('Error Log'!$F560,Severity_Matrix!$B$3:$B$10,0),MATCH('Error Log'!$G560,Severity_Matrix!$C$2:$M$2,0)),"No errors"))</f>
        <v>No errors</v>
      </c>
    </row>
    <row r="561" spans="1:10">
      <c r="A561" s="103" t="s">
        <v>1240</v>
      </c>
      <c r="B561" s="18">
        <v>1</v>
      </c>
      <c r="C561" s="98" t="s">
        <v>1159</v>
      </c>
      <c r="D561" s="98" t="s">
        <v>1160</v>
      </c>
      <c r="E561" s="84" t="s">
        <v>21</v>
      </c>
      <c r="F561" s="84" t="s">
        <v>22</v>
      </c>
      <c r="G561" s="84" t="s">
        <v>57</v>
      </c>
      <c r="H561" s="84" t="s">
        <v>1161</v>
      </c>
      <c r="I561" s="14"/>
      <c r="J561" s="15" t="str">
        <f>IF(E561="Invalid_Segment","Invalid",IFERROR(INDEX(Severity_Matrix!$C$3:$M$10,MATCH('Error Log'!$F561,Severity_Matrix!$B$3:$B$10,0),MATCH('Error Log'!$G561,Severity_Matrix!$C$2:$M$2,0)),"No errors"))</f>
        <v>Major</v>
      </c>
    </row>
    <row r="562" spans="1:10">
      <c r="A562" s="103" t="s">
        <v>1240</v>
      </c>
      <c r="B562" s="18">
        <v>2</v>
      </c>
      <c r="C562" s="98" t="s">
        <v>1159</v>
      </c>
      <c r="D562" s="98" t="s">
        <v>1160</v>
      </c>
      <c r="E562" s="84" t="s">
        <v>21</v>
      </c>
      <c r="F562" s="84" t="s">
        <v>7</v>
      </c>
      <c r="G562" s="84" t="s">
        <v>57</v>
      </c>
      <c r="H562" s="84" t="s">
        <v>1162</v>
      </c>
      <c r="I562" s="14"/>
      <c r="J562" s="15" t="str">
        <f>IF(E562="Invalid_Segment","Invalid",IFERROR(INDEX(Severity_Matrix!$C$3:$M$10,MATCH('Error Log'!$F562,Severity_Matrix!$B$3:$B$10,0),MATCH('Error Log'!$G562,Severity_Matrix!$C$2:$M$2,0)),"No errors"))</f>
        <v>Critical</v>
      </c>
    </row>
    <row r="563" spans="1:10">
      <c r="A563" s="103" t="s">
        <v>1241</v>
      </c>
      <c r="B563" s="18">
        <v>1</v>
      </c>
      <c r="C563" s="98" t="s">
        <v>1163</v>
      </c>
      <c r="D563" s="98" t="s">
        <v>1164</v>
      </c>
      <c r="E563" s="84" t="s">
        <v>21</v>
      </c>
      <c r="F563" s="84" t="s">
        <v>7</v>
      </c>
      <c r="G563" s="84" t="s">
        <v>57</v>
      </c>
      <c r="H563" s="84" t="s">
        <v>1165</v>
      </c>
      <c r="I563" s="14"/>
      <c r="J563" s="15" t="str">
        <f>IF(E563="Invalid_Segment","Invalid",IFERROR(INDEX(Severity_Matrix!$C$3:$M$10,MATCH('Error Log'!$F563,Severity_Matrix!$B$3:$B$10,0),MATCH('Error Log'!$G563,Severity_Matrix!$C$2:$M$2,0)),"No errors"))</f>
        <v>Critical</v>
      </c>
    </row>
    <row r="564" spans="1:10">
      <c r="A564" s="103" t="s">
        <v>1241</v>
      </c>
      <c r="B564" s="18">
        <v>2</v>
      </c>
      <c r="C564" s="98" t="s">
        <v>1163</v>
      </c>
      <c r="D564" s="98" t="s">
        <v>1164</v>
      </c>
      <c r="E564" s="84" t="s">
        <v>21</v>
      </c>
      <c r="F564" s="84" t="s">
        <v>7</v>
      </c>
      <c r="G564" s="84" t="s">
        <v>57</v>
      </c>
      <c r="H564" s="84" t="s">
        <v>1166</v>
      </c>
      <c r="I564" s="14"/>
      <c r="J564" s="15" t="str">
        <f>IF(E564="Invalid_Segment","Invalid",IFERROR(INDEX(Severity_Matrix!$C$3:$M$10,MATCH('Error Log'!$F564,Severity_Matrix!$B$3:$B$10,0),MATCH('Error Log'!$G564,Severity_Matrix!$C$2:$M$2,0)),"No errors"))</f>
        <v>Critical</v>
      </c>
    </row>
    <row r="565" spans="1:10">
      <c r="A565" s="103" t="s">
        <v>1242</v>
      </c>
      <c r="B565" s="18">
        <v>1</v>
      </c>
      <c r="C565" s="98" t="s">
        <v>1167</v>
      </c>
      <c r="D565" s="98" t="s">
        <v>1168</v>
      </c>
      <c r="E565" s="84" t="s">
        <v>21</v>
      </c>
      <c r="F565" s="84" t="s">
        <v>22</v>
      </c>
      <c r="G565" s="84" t="s">
        <v>57</v>
      </c>
      <c r="H565" s="84" t="s">
        <v>1169</v>
      </c>
      <c r="I565" s="14"/>
      <c r="J565" s="15" t="str">
        <f>IF(E565="Invalid_Segment","Invalid",IFERROR(INDEX(Severity_Matrix!$C$3:$M$10,MATCH('Error Log'!$F565,Severity_Matrix!$B$3:$B$10,0),MATCH('Error Log'!$G565,Severity_Matrix!$C$2:$M$2,0)),"No errors"))</f>
        <v>Major</v>
      </c>
    </row>
    <row r="566" spans="1:10">
      <c r="A566" s="103" t="s">
        <v>1242</v>
      </c>
      <c r="B566" s="18">
        <v>2</v>
      </c>
      <c r="C566" s="98" t="s">
        <v>1167</v>
      </c>
      <c r="D566" s="98" t="s">
        <v>1168</v>
      </c>
      <c r="E566" s="84" t="s">
        <v>21</v>
      </c>
      <c r="F566" s="84" t="s">
        <v>22</v>
      </c>
      <c r="G566" s="84" t="s">
        <v>57</v>
      </c>
      <c r="H566" s="84" t="s">
        <v>1170</v>
      </c>
      <c r="I566" s="14"/>
      <c r="J566" s="15" t="str">
        <f>IF(E566="Invalid_Segment","Invalid",IFERROR(INDEX(Severity_Matrix!$C$3:$M$10,MATCH('Error Log'!$F566,Severity_Matrix!$B$3:$B$10,0),MATCH('Error Log'!$G566,Severity_Matrix!$C$2:$M$2,0)),"No errors"))</f>
        <v>Major</v>
      </c>
    </row>
    <row r="567" spans="1:10">
      <c r="A567" s="103" t="s">
        <v>1242</v>
      </c>
      <c r="B567" s="18">
        <v>3</v>
      </c>
      <c r="C567" s="98" t="s">
        <v>1167</v>
      </c>
      <c r="D567" s="98" t="s">
        <v>1168</v>
      </c>
      <c r="E567" s="84" t="s">
        <v>21</v>
      </c>
      <c r="F567" s="84" t="s">
        <v>7</v>
      </c>
      <c r="G567" s="84" t="s">
        <v>57</v>
      </c>
      <c r="H567" s="84" t="s">
        <v>1171</v>
      </c>
      <c r="I567" s="14"/>
      <c r="J567" s="15" t="str">
        <f>IF(E567="Invalid_Segment","Invalid",IFERROR(INDEX(Severity_Matrix!$C$3:$M$10,MATCH('Error Log'!$F567,Severity_Matrix!$B$3:$B$10,0),MATCH('Error Log'!$G567,Severity_Matrix!$C$2:$M$2,0)),"No errors"))</f>
        <v>Critical</v>
      </c>
    </row>
    <row r="568" spans="1:10">
      <c r="A568" s="103" t="s">
        <v>1242</v>
      </c>
      <c r="B568" s="18">
        <v>4</v>
      </c>
      <c r="C568" s="98" t="s">
        <v>1167</v>
      </c>
      <c r="D568" s="98" t="s">
        <v>1168</v>
      </c>
      <c r="E568" s="84" t="s">
        <v>21</v>
      </c>
      <c r="F568" s="84" t="s">
        <v>7</v>
      </c>
      <c r="G568" s="84" t="s">
        <v>57</v>
      </c>
      <c r="H568" s="84" t="s">
        <v>1172</v>
      </c>
      <c r="I568" s="14"/>
      <c r="J568" s="15" t="str">
        <f>IF(E568="Invalid_Segment","Invalid",IFERROR(INDEX(Severity_Matrix!$C$3:$M$10,MATCH('Error Log'!$F568,Severity_Matrix!$B$3:$B$10,0),MATCH('Error Log'!$G568,Severity_Matrix!$C$2:$M$2,0)),"No errors"))</f>
        <v>Critical</v>
      </c>
    </row>
    <row r="569" spans="1:10">
      <c r="A569" s="103" t="s">
        <v>1243</v>
      </c>
      <c r="B569" s="18">
        <v>1</v>
      </c>
      <c r="C569" s="98" t="s">
        <v>1173</v>
      </c>
      <c r="D569" s="98" t="s">
        <v>1174</v>
      </c>
      <c r="E569" s="84" t="s">
        <v>21</v>
      </c>
      <c r="F569" s="84" t="s">
        <v>22</v>
      </c>
      <c r="G569" s="84" t="s">
        <v>57</v>
      </c>
      <c r="H569" s="84" t="s">
        <v>1175</v>
      </c>
      <c r="I569" s="14"/>
      <c r="J569" s="15" t="str">
        <f>IF(E569="Invalid_Segment","Invalid",IFERROR(INDEX(Severity_Matrix!$C$3:$M$10,MATCH('Error Log'!$F569,Severity_Matrix!$B$3:$B$10,0),MATCH('Error Log'!$G569,Severity_Matrix!$C$2:$M$2,0)),"No errors"))</f>
        <v>Major</v>
      </c>
    </row>
    <row r="570" spans="1:10">
      <c r="A570" s="103" t="s">
        <v>1243</v>
      </c>
      <c r="B570" s="18">
        <v>2</v>
      </c>
      <c r="C570" s="98" t="s">
        <v>1173</v>
      </c>
      <c r="D570" s="98" t="s">
        <v>1174</v>
      </c>
      <c r="E570" s="84" t="s">
        <v>21</v>
      </c>
      <c r="F570" s="84" t="s">
        <v>7</v>
      </c>
      <c r="G570" s="84" t="s">
        <v>57</v>
      </c>
      <c r="H570" s="84" t="s">
        <v>1176</v>
      </c>
      <c r="I570" s="14"/>
      <c r="J570" s="15" t="str">
        <f>IF(E570="Invalid_Segment","Invalid",IFERROR(INDEX(Severity_Matrix!$C$3:$M$10,MATCH('Error Log'!$F570,Severity_Matrix!$B$3:$B$10,0),MATCH('Error Log'!$G570,Severity_Matrix!$C$2:$M$2,0)),"No errors"))</f>
        <v>Critical</v>
      </c>
    </row>
    <row r="571" spans="1:10">
      <c r="A571" s="103" t="s">
        <v>1243</v>
      </c>
      <c r="B571" s="18">
        <v>3</v>
      </c>
      <c r="C571" s="98" t="s">
        <v>1173</v>
      </c>
      <c r="D571" s="98" t="s">
        <v>1174</v>
      </c>
      <c r="E571" s="84" t="s">
        <v>21</v>
      </c>
      <c r="F571" s="84" t="s">
        <v>7</v>
      </c>
      <c r="G571" s="84" t="s">
        <v>57</v>
      </c>
      <c r="H571" s="84" t="s">
        <v>1177</v>
      </c>
      <c r="I571" s="14"/>
      <c r="J571" s="15" t="str">
        <f>IF(E571="Invalid_Segment","Invalid",IFERROR(INDEX(Severity_Matrix!$C$3:$M$10,MATCH('Error Log'!$F571,Severity_Matrix!$B$3:$B$10,0),MATCH('Error Log'!$G571,Severity_Matrix!$C$2:$M$2,0)),"No errors"))</f>
        <v>Critical</v>
      </c>
    </row>
    <row r="572" spans="1:10">
      <c r="A572" s="103" t="s">
        <v>1244</v>
      </c>
      <c r="B572" s="18">
        <v>1</v>
      </c>
      <c r="C572" s="98" t="s">
        <v>1178</v>
      </c>
      <c r="D572" s="98" t="s">
        <v>1179</v>
      </c>
      <c r="E572" s="84" t="s">
        <v>21</v>
      </c>
      <c r="F572" s="84" t="s">
        <v>22</v>
      </c>
      <c r="G572" s="84" t="s">
        <v>57</v>
      </c>
      <c r="H572" s="84" t="s">
        <v>1180</v>
      </c>
      <c r="I572" s="14"/>
      <c r="J572" s="15" t="str">
        <f>IF(E572="Invalid_Segment","Invalid",IFERROR(INDEX(Severity_Matrix!$C$3:$M$10,MATCH('Error Log'!$F572,Severity_Matrix!$B$3:$B$10,0),MATCH('Error Log'!$G572,Severity_Matrix!$C$2:$M$2,0)),"No errors"))</f>
        <v>Major</v>
      </c>
    </row>
    <row r="573" spans="1:10">
      <c r="A573" s="103" t="s">
        <v>1244</v>
      </c>
      <c r="B573" s="18">
        <v>2</v>
      </c>
      <c r="C573" s="98" t="s">
        <v>1178</v>
      </c>
      <c r="D573" s="98" t="s">
        <v>1179</v>
      </c>
      <c r="E573" s="84" t="s">
        <v>21</v>
      </c>
      <c r="F573" s="84" t="s">
        <v>22</v>
      </c>
      <c r="G573" s="84" t="s">
        <v>57</v>
      </c>
      <c r="H573" s="84" t="s">
        <v>1181</v>
      </c>
      <c r="I573" s="14"/>
      <c r="J573" s="15" t="str">
        <f>IF(E573="Invalid_Segment","Invalid",IFERROR(INDEX(Severity_Matrix!$C$3:$M$10,MATCH('Error Log'!$F573,Severity_Matrix!$B$3:$B$10,0),MATCH('Error Log'!$G573,Severity_Matrix!$C$2:$M$2,0)),"No errors"))</f>
        <v>Major</v>
      </c>
    </row>
    <row r="574" spans="1:10">
      <c r="A574" s="103" t="s">
        <v>1244</v>
      </c>
      <c r="B574" s="18">
        <v>3</v>
      </c>
      <c r="C574" s="98" t="s">
        <v>1178</v>
      </c>
      <c r="D574" s="98" t="s">
        <v>1179</v>
      </c>
      <c r="E574" s="84" t="s">
        <v>21</v>
      </c>
      <c r="F574" s="84" t="s">
        <v>7</v>
      </c>
      <c r="G574" s="84" t="s">
        <v>57</v>
      </c>
      <c r="H574" s="84" t="s">
        <v>1182</v>
      </c>
      <c r="I574" s="14"/>
      <c r="J574" s="15" t="str">
        <f>IF(E574="Invalid_Segment","Invalid",IFERROR(INDEX(Severity_Matrix!$C$3:$M$10,MATCH('Error Log'!$F574,Severity_Matrix!$B$3:$B$10,0),MATCH('Error Log'!$G574,Severity_Matrix!$C$2:$M$2,0)),"No errors"))</f>
        <v>Critical</v>
      </c>
    </row>
    <row r="575" spans="1:10">
      <c r="A575" s="103" t="s">
        <v>1244</v>
      </c>
      <c r="B575" s="18">
        <v>4</v>
      </c>
      <c r="C575" s="98" t="s">
        <v>1178</v>
      </c>
      <c r="D575" s="98" t="s">
        <v>1179</v>
      </c>
      <c r="E575" s="84" t="s">
        <v>21</v>
      </c>
      <c r="F575" s="84" t="s">
        <v>7</v>
      </c>
      <c r="G575" s="84" t="s">
        <v>57</v>
      </c>
      <c r="H575" s="88" t="s">
        <v>1183</v>
      </c>
      <c r="I575" s="14"/>
      <c r="J575" s="15" t="str">
        <f>IF(E575="Invalid_Segment","Invalid",IFERROR(INDEX(Severity_Matrix!$C$3:$M$10,MATCH('Error Log'!$F575,Severity_Matrix!$B$3:$B$10,0),MATCH('Error Log'!$G575,Severity_Matrix!$C$2:$M$2,0)),"No errors"))</f>
        <v>Critical</v>
      </c>
    </row>
    <row r="576" spans="1:10">
      <c r="A576" s="103" t="s">
        <v>1245</v>
      </c>
      <c r="B576" s="18">
        <v>1</v>
      </c>
      <c r="C576" s="98" t="s">
        <v>1184</v>
      </c>
      <c r="D576" s="100" t="s">
        <v>1185</v>
      </c>
      <c r="E576" s="84" t="s">
        <v>21</v>
      </c>
      <c r="F576" s="84" t="s">
        <v>63</v>
      </c>
      <c r="G576" s="84" t="s">
        <v>54</v>
      </c>
      <c r="H576" s="84" t="s">
        <v>1186</v>
      </c>
      <c r="I576" s="14"/>
      <c r="J576" s="15" t="str">
        <f>IF(E576="Invalid_Segment","Invalid",IFERROR(INDEX(Severity_Matrix!$C$3:$M$10,MATCH('Error Log'!$F576,Severity_Matrix!$B$3:$B$10,0),MATCH('Error Log'!$G576,Severity_Matrix!$C$2:$M$2,0)),"No errors"))</f>
        <v>Critical</v>
      </c>
    </row>
    <row r="577" spans="1:10">
      <c r="A577" s="103" t="s">
        <v>1245</v>
      </c>
      <c r="B577" s="18">
        <v>2</v>
      </c>
      <c r="C577" s="98" t="s">
        <v>1184</v>
      </c>
      <c r="D577" s="100" t="s">
        <v>1185</v>
      </c>
      <c r="E577" s="84" t="s">
        <v>21</v>
      </c>
      <c r="F577" s="84" t="s">
        <v>22</v>
      </c>
      <c r="G577" s="84" t="s">
        <v>57</v>
      </c>
      <c r="H577" s="84" t="s">
        <v>1187</v>
      </c>
      <c r="I577" s="14"/>
      <c r="J577" s="15" t="str">
        <f>IF(E577="Invalid_Segment","Invalid",IFERROR(INDEX(Severity_Matrix!$C$3:$M$10,MATCH('Error Log'!$F577,Severity_Matrix!$B$3:$B$10,0),MATCH('Error Log'!$G577,Severity_Matrix!$C$2:$M$2,0)),"No errors"))</f>
        <v>Major</v>
      </c>
    </row>
    <row r="578" spans="1:10">
      <c r="A578" s="103" t="s">
        <v>1245</v>
      </c>
      <c r="B578" s="18">
        <v>3</v>
      </c>
      <c r="C578" s="98" t="s">
        <v>1184</v>
      </c>
      <c r="D578" s="100" t="s">
        <v>1185</v>
      </c>
      <c r="E578" s="84" t="s">
        <v>21</v>
      </c>
      <c r="F578" s="84" t="s">
        <v>22</v>
      </c>
      <c r="G578" s="84" t="s">
        <v>57</v>
      </c>
      <c r="H578" s="84" t="s">
        <v>1188</v>
      </c>
      <c r="I578" s="14"/>
      <c r="J578" s="15" t="str">
        <f>IF(E578="Invalid_Segment","Invalid",IFERROR(INDEX(Severity_Matrix!$C$3:$M$10,MATCH('Error Log'!$F578,Severity_Matrix!$B$3:$B$10,0),MATCH('Error Log'!$G578,Severity_Matrix!$C$2:$M$2,0)),"No errors"))</f>
        <v>Major</v>
      </c>
    </row>
    <row r="579" spans="1:10">
      <c r="A579" s="103" t="s">
        <v>1245</v>
      </c>
      <c r="B579" s="18">
        <v>4</v>
      </c>
      <c r="C579" s="98" t="s">
        <v>1184</v>
      </c>
      <c r="D579" s="100" t="s">
        <v>1185</v>
      </c>
      <c r="E579" s="84" t="s">
        <v>21</v>
      </c>
      <c r="F579" s="84" t="s">
        <v>7</v>
      </c>
      <c r="G579" s="84" t="s">
        <v>57</v>
      </c>
      <c r="H579" s="84" t="s">
        <v>1189</v>
      </c>
      <c r="I579" s="14"/>
      <c r="J579" s="15" t="str">
        <f>IF(E579="Invalid_Segment","Invalid",IFERROR(INDEX(Severity_Matrix!$C$3:$M$10,MATCH('Error Log'!$F579,Severity_Matrix!$B$3:$B$10,0),MATCH('Error Log'!$G579,Severity_Matrix!$C$2:$M$2,0)),"No errors"))</f>
        <v>Critical</v>
      </c>
    </row>
    <row r="580" spans="1:10">
      <c r="A580" s="103" t="s">
        <v>1245</v>
      </c>
      <c r="B580" s="18">
        <v>5</v>
      </c>
      <c r="C580" s="98" t="s">
        <v>1184</v>
      </c>
      <c r="D580" s="100" t="s">
        <v>1185</v>
      </c>
      <c r="E580" s="84" t="s">
        <v>21</v>
      </c>
      <c r="F580" s="84" t="s">
        <v>7</v>
      </c>
      <c r="G580" s="84" t="s">
        <v>57</v>
      </c>
      <c r="H580" s="84" t="s">
        <v>1190</v>
      </c>
      <c r="I580" s="14"/>
      <c r="J580" s="15" t="str">
        <f>IF(E580="Invalid_Segment","Invalid",IFERROR(INDEX(Severity_Matrix!$C$3:$M$10,MATCH('Error Log'!$F580,Severity_Matrix!$B$3:$B$10,0),MATCH('Error Log'!$G580,Severity_Matrix!$C$2:$M$2,0)),"No errors"))</f>
        <v>Critical</v>
      </c>
    </row>
    <row r="581" spans="1:10">
      <c r="A581" s="103" t="s">
        <v>1246</v>
      </c>
      <c r="B581" s="18">
        <v>1</v>
      </c>
      <c r="C581" s="100" t="s">
        <v>1191</v>
      </c>
      <c r="D581" s="100" t="s">
        <v>1192</v>
      </c>
      <c r="E581" s="84" t="s">
        <v>2</v>
      </c>
      <c r="F581" s="84" t="s">
        <v>26</v>
      </c>
      <c r="G581" s="84" t="s">
        <v>57</v>
      </c>
      <c r="H581" s="101" t="s">
        <v>1193</v>
      </c>
      <c r="I581" s="14"/>
      <c r="J581" s="15" t="str">
        <f>IF(E581="Invalid_Segment","Invalid",IFERROR(INDEX(Severity_Matrix!$C$3:$M$10,MATCH('Error Log'!$F581,Severity_Matrix!$B$3:$B$10,0),MATCH('Error Log'!$G581,Severity_Matrix!$C$2:$M$2,0)),"No errors"))</f>
        <v>Major</v>
      </c>
    </row>
    <row r="582" spans="1:10">
      <c r="A582" s="103" t="s">
        <v>1246</v>
      </c>
      <c r="B582" s="18">
        <v>2</v>
      </c>
      <c r="C582" s="100" t="s">
        <v>1191</v>
      </c>
      <c r="D582" s="100" t="s">
        <v>1192</v>
      </c>
      <c r="E582" s="84" t="s">
        <v>21</v>
      </c>
      <c r="F582" s="84" t="s">
        <v>7</v>
      </c>
      <c r="G582" s="84" t="s">
        <v>57</v>
      </c>
      <c r="H582" s="84" t="s">
        <v>1194</v>
      </c>
      <c r="I582" s="14"/>
      <c r="J582" s="15" t="str">
        <f>IF(E582="Invalid_Segment","Invalid",IFERROR(INDEX(Severity_Matrix!$C$3:$M$10,MATCH('Error Log'!$F582,Severity_Matrix!$B$3:$B$10,0),MATCH('Error Log'!$G582,Severity_Matrix!$C$2:$M$2,0)),"No errors"))</f>
        <v>Critical</v>
      </c>
    </row>
    <row r="583" spans="1:10">
      <c r="A583" s="103" t="s">
        <v>1246</v>
      </c>
      <c r="B583" s="18">
        <v>3</v>
      </c>
      <c r="C583" s="100" t="s">
        <v>1191</v>
      </c>
      <c r="D583" s="100" t="s">
        <v>1192</v>
      </c>
      <c r="E583" s="84" t="s">
        <v>21</v>
      </c>
      <c r="F583" s="84" t="s">
        <v>7</v>
      </c>
      <c r="G583" s="84" t="s">
        <v>57</v>
      </c>
      <c r="H583" s="84" t="s">
        <v>1195</v>
      </c>
      <c r="I583" s="14"/>
      <c r="J583" s="15" t="str">
        <f>IF(E583="Invalid_Segment","Invalid",IFERROR(INDEX(Severity_Matrix!$C$3:$M$10,MATCH('Error Log'!$F583,Severity_Matrix!$B$3:$B$10,0),MATCH('Error Log'!$G583,Severity_Matrix!$C$2:$M$2,0)),"No errors"))</f>
        <v>Critical</v>
      </c>
    </row>
    <row r="584" spans="1:10">
      <c r="A584" s="103" t="s">
        <v>1246</v>
      </c>
      <c r="B584" s="18">
        <v>4</v>
      </c>
      <c r="C584" s="100" t="s">
        <v>1191</v>
      </c>
      <c r="D584" s="100" t="s">
        <v>1192</v>
      </c>
      <c r="E584" s="84" t="s">
        <v>21</v>
      </c>
      <c r="F584" s="84" t="s">
        <v>7</v>
      </c>
      <c r="G584" s="84" t="s">
        <v>57</v>
      </c>
      <c r="H584" s="84" t="s">
        <v>1196</v>
      </c>
      <c r="I584" s="14"/>
      <c r="J584" s="15" t="str">
        <f>IF(E584="Invalid_Segment","Invalid",IFERROR(INDEX(Severity_Matrix!$C$3:$M$10,MATCH('Error Log'!$F584,Severity_Matrix!$B$3:$B$10,0),MATCH('Error Log'!$G584,Severity_Matrix!$C$2:$M$2,0)),"No errors"))</f>
        <v>Critical</v>
      </c>
    </row>
    <row r="585" spans="1:10">
      <c r="A585" s="79" t="s">
        <v>1247</v>
      </c>
      <c r="B585" s="18">
        <v>1</v>
      </c>
      <c r="C585" s="98" t="s">
        <v>1248</v>
      </c>
      <c r="D585" s="98" t="s">
        <v>1249</v>
      </c>
      <c r="E585" s="84" t="s">
        <v>21</v>
      </c>
      <c r="F585" s="84" t="s">
        <v>22</v>
      </c>
      <c r="G585" s="84" t="s">
        <v>57</v>
      </c>
      <c r="H585" s="84" t="s">
        <v>1250</v>
      </c>
      <c r="I585" s="84"/>
      <c r="J585" s="15" t="str">
        <f>IF(E585="Invalid_Segment","Invalid",IFERROR(INDEX(Severity_Matrix!$C$3:$M$10,MATCH('Error Log'!$F585,Severity_Matrix!$B$3:$B$10,0),MATCH('Error Log'!$G585,Severity_Matrix!$C$2:$M$2,0)),"No errors"))</f>
        <v>Major</v>
      </c>
    </row>
    <row r="586" spans="1:10">
      <c r="A586" s="79" t="s">
        <v>1247</v>
      </c>
      <c r="B586" s="18">
        <v>2</v>
      </c>
      <c r="C586" s="98" t="s">
        <v>1248</v>
      </c>
      <c r="D586" s="98" t="s">
        <v>1249</v>
      </c>
      <c r="E586" s="84" t="s">
        <v>21</v>
      </c>
      <c r="F586" s="84" t="s">
        <v>22</v>
      </c>
      <c r="G586" s="84" t="s">
        <v>57</v>
      </c>
      <c r="H586" s="84" t="s">
        <v>1251</v>
      </c>
      <c r="I586" s="84"/>
      <c r="J586" s="15" t="str">
        <f>IF(E586="Invalid_Segment","Invalid",IFERROR(INDEX(Severity_Matrix!$C$3:$M$10,MATCH('Error Log'!$F586,Severity_Matrix!$B$3:$B$10,0),MATCH('Error Log'!$G586,Severity_Matrix!$C$2:$M$2,0)),"No errors"))</f>
        <v>Major</v>
      </c>
    </row>
    <row r="587" spans="1:10">
      <c r="A587" s="79" t="s">
        <v>1247</v>
      </c>
      <c r="B587" s="18">
        <v>3</v>
      </c>
      <c r="C587" s="98" t="s">
        <v>1248</v>
      </c>
      <c r="D587" s="98" t="s">
        <v>1249</v>
      </c>
      <c r="E587" s="84" t="s">
        <v>21</v>
      </c>
      <c r="F587" s="84" t="s">
        <v>22</v>
      </c>
      <c r="G587" s="84" t="s">
        <v>57</v>
      </c>
      <c r="H587" s="84" t="s">
        <v>1252</v>
      </c>
      <c r="I587" s="84"/>
      <c r="J587" s="15" t="str">
        <f>IF(E587="Invalid_Segment","Invalid",IFERROR(INDEX(Severity_Matrix!$C$3:$M$10,MATCH('Error Log'!$F587,Severity_Matrix!$B$3:$B$10,0),MATCH('Error Log'!$G587,Severity_Matrix!$C$2:$M$2,0)),"No errors"))</f>
        <v>Major</v>
      </c>
    </row>
    <row r="588" spans="1:10">
      <c r="A588" s="79" t="s">
        <v>1247</v>
      </c>
      <c r="B588" s="18">
        <v>4</v>
      </c>
      <c r="C588" s="98" t="s">
        <v>1248</v>
      </c>
      <c r="D588" s="98" t="s">
        <v>1249</v>
      </c>
      <c r="E588" s="84" t="s">
        <v>21</v>
      </c>
      <c r="F588" s="84" t="s">
        <v>7</v>
      </c>
      <c r="G588" s="84" t="s">
        <v>57</v>
      </c>
      <c r="H588" s="84" t="s">
        <v>1253</v>
      </c>
      <c r="I588" s="84"/>
      <c r="J588" s="15" t="str">
        <f>IF(E588="Invalid_Segment","Invalid",IFERROR(INDEX(Severity_Matrix!$C$3:$M$10,MATCH('Error Log'!$F588,Severity_Matrix!$B$3:$B$10,0),MATCH('Error Log'!$G588,Severity_Matrix!$C$2:$M$2,0)),"No errors"))</f>
        <v>Critical</v>
      </c>
    </row>
    <row r="589" spans="1:10">
      <c r="A589" s="79" t="s">
        <v>1247</v>
      </c>
      <c r="B589" s="18">
        <v>5</v>
      </c>
      <c r="C589" s="98" t="s">
        <v>1248</v>
      </c>
      <c r="D589" s="98" t="s">
        <v>1249</v>
      </c>
      <c r="E589" s="84" t="s">
        <v>21</v>
      </c>
      <c r="F589" s="84" t="s">
        <v>7</v>
      </c>
      <c r="G589" s="84" t="s">
        <v>57</v>
      </c>
      <c r="H589" s="84" t="s">
        <v>1254</v>
      </c>
      <c r="I589" s="84"/>
      <c r="J589" s="15" t="str">
        <f>IF(E589="Invalid_Segment","Invalid",IFERROR(INDEX(Severity_Matrix!$C$3:$M$10,MATCH('Error Log'!$F589,Severity_Matrix!$B$3:$B$10,0),MATCH('Error Log'!$G589,Severity_Matrix!$C$2:$M$2,0)),"No errors"))</f>
        <v>Critical</v>
      </c>
    </row>
    <row r="590" spans="1:10" ht="15.6">
      <c r="A590" s="104" t="s">
        <v>1255</v>
      </c>
      <c r="B590" s="18">
        <v>1</v>
      </c>
      <c r="C590" s="98" t="s">
        <v>1256</v>
      </c>
      <c r="D590" s="98" t="s">
        <v>1257</v>
      </c>
      <c r="E590" s="84" t="s">
        <v>21</v>
      </c>
      <c r="F590" s="84" t="s">
        <v>22</v>
      </c>
      <c r="G590" s="84" t="s">
        <v>57</v>
      </c>
      <c r="H590" s="84" t="s">
        <v>1258</v>
      </c>
      <c r="I590" s="84"/>
      <c r="J590" s="15" t="str">
        <f>IF(E590="Invalid_Segment","Invalid",IFERROR(INDEX(Severity_Matrix!$C$3:$M$10,MATCH('Error Log'!$F590,Severity_Matrix!$B$3:$B$10,0),MATCH('Error Log'!$G590,Severity_Matrix!$C$2:$M$2,0)),"No errors"))</f>
        <v>Major</v>
      </c>
    </row>
    <row r="591" spans="1:10" ht="15.6">
      <c r="A591" s="104" t="s">
        <v>1255</v>
      </c>
      <c r="B591" s="18">
        <v>2</v>
      </c>
      <c r="C591" s="98" t="s">
        <v>1256</v>
      </c>
      <c r="D591" s="98" t="s">
        <v>1257</v>
      </c>
      <c r="E591" s="84" t="s">
        <v>21</v>
      </c>
      <c r="F591" s="84" t="s">
        <v>7</v>
      </c>
      <c r="G591" s="84" t="s">
        <v>57</v>
      </c>
      <c r="H591" s="84" t="s">
        <v>1259</v>
      </c>
      <c r="I591" s="84"/>
      <c r="J591" s="15" t="str">
        <f>IF(E591="Invalid_Segment","Invalid",IFERROR(INDEX(Severity_Matrix!$C$3:$M$10,MATCH('Error Log'!$F591,Severity_Matrix!$B$3:$B$10,0),MATCH('Error Log'!$G591,Severity_Matrix!$C$2:$M$2,0)),"No errors"))</f>
        <v>Critical</v>
      </c>
    </row>
    <row r="592" spans="1:10">
      <c r="A592" s="105" t="s">
        <v>1260</v>
      </c>
      <c r="B592" s="18"/>
      <c r="C592" s="98" t="s">
        <v>1261</v>
      </c>
      <c r="D592" s="98" t="s">
        <v>1262</v>
      </c>
      <c r="E592" s="84"/>
      <c r="F592" s="84"/>
      <c r="G592" s="84"/>
      <c r="H592" s="101"/>
      <c r="I592" s="84"/>
      <c r="J592" s="15" t="str">
        <f>IF(E592="Invalid_Segment","Invalid",IFERROR(INDEX(Severity_Matrix!$C$3:$M$10,MATCH('Error Log'!$F592,Severity_Matrix!$B$3:$B$10,0),MATCH('Error Log'!$G592,Severity_Matrix!$C$2:$M$2,0)),"No errors"))</f>
        <v>No errors</v>
      </c>
    </row>
    <row r="593" spans="1:10">
      <c r="A593" s="105" t="s">
        <v>1263</v>
      </c>
      <c r="B593" s="18">
        <v>1</v>
      </c>
      <c r="C593" s="100" t="s">
        <v>1264</v>
      </c>
      <c r="D593" s="98" t="s">
        <v>1265</v>
      </c>
      <c r="E593" s="84" t="s">
        <v>21</v>
      </c>
      <c r="F593" s="84" t="s">
        <v>22</v>
      </c>
      <c r="G593" s="84" t="s">
        <v>57</v>
      </c>
      <c r="H593" s="84" t="s">
        <v>1266</v>
      </c>
      <c r="I593" s="84"/>
      <c r="J593" s="15" t="str">
        <f>IF(E593="Invalid_Segment","Invalid",IFERROR(INDEX(Severity_Matrix!$C$3:$M$10,MATCH('Error Log'!$F593,Severity_Matrix!$B$3:$B$10,0),MATCH('Error Log'!$G593,Severity_Matrix!$C$2:$M$2,0)),"No errors"))</f>
        <v>Major</v>
      </c>
    </row>
    <row r="594" spans="1:10">
      <c r="A594" s="105" t="s">
        <v>1263</v>
      </c>
      <c r="B594" s="18">
        <v>2</v>
      </c>
      <c r="C594" s="100" t="s">
        <v>1264</v>
      </c>
      <c r="D594" s="98" t="s">
        <v>1265</v>
      </c>
      <c r="E594" s="84" t="s">
        <v>21</v>
      </c>
      <c r="F594" s="84" t="s">
        <v>63</v>
      </c>
      <c r="G594" s="84" t="s">
        <v>54</v>
      </c>
      <c r="H594" s="101" t="s">
        <v>1267</v>
      </c>
      <c r="I594" s="84"/>
      <c r="J594" s="15" t="str">
        <f>IF(E594="Invalid_Segment","Invalid",IFERROR(INDEX(Severity_Matrix!$C$3:$M$10,MATCH('Error Log'!$F594,Severity_Matrix!$B$3:$B$10,0),MATCH('Error Log'!$G594,Severity_Matrix!$C$2:$M$2,0)),"No errors"))</f>
        <v>Critical</v>
      </c>
    </row>
    <row r="595" spans="1:10">
      <c r="A595" s="105" t="s">
        <v>1268</v>
      </c>
      <c r="B595" s="18">
        <v>1</v>
      </c>
      <c r="C595" s="100" t="s">
        <v>1269</v>
      </c>
      <c r="D595" s="98" t="s">
        <v>1270</v>
      </c>
      <c r="E595" s="84" t="s">
        <v>21</v>
      </c>
      <c r="F595" s="84" t="s">
        <v>22</v>
      </c>
      <c r="G595" s="84" t="s">
        <v>57</v>
      </c>
      <c r="H595" s="84" t="s">
        <v>1271</v>
      </c>
      <c r="I595" s="84"/>
      <c r="J595" s="15" t="str">
        <f>IF(E595="Invalid_Segment","Invalid",IFERROR(INDEX(Severity_Matrix!$C$3:$M$10,MATCH('Error Log'!$F595,Severity_Matrix!$B$3:$B$10,0),MATCH('Error Log'!$G595,Severity_Matrix!$C$2:$M$2,0)),"No errors"))</f>
        <v>Major</v>
      </c>
    </row>
    <row r="596" spans="1:10">
      <c r="A596" s="106" t="s">
        <v>1272</v>
      </c>
      <c r="B596" s="18">
        <v>1</v>
      </c>
      <c r="C596" s="98" t="s">
        <v>1273</v>
      </c>
      <c r="D596" s="98" t="s">
        <v>1274</v>
      </c>
      <c r="E596" s="84" t="s">
        <v>21</v>
      </c>
      <c r="F596" s="84" t="s">
        <v>63</v>
      </c>
      <c r="G596" s="84" t="s">
        <v>58</v>
      </c>
      <c r="H596" s="84" t="s">
        <v>1275</v>
      </c>
      <c r="I596" s="84"/>
      <c r="J596" s="15" t="str">
        <f>IF(E596="Invalid_Segment","Invalid",IFERROR(INDEX(Severity_Matrix!$C$3:$M$10,MATCH('Error Log'!$F596,Severity_Matrix!$B$3:$B$10,0),MATCH('Error Log'!$G596,Severity_Matrix!$C$2:$M$2,0)),"No errors"))</f>
        <v>Minor</v>
      </c>
    </row>
    <row r="597" spans="1:10">
      <c r="A597" s="106" t="s">
        <v>1272</v>
      </c>
      <c r="B597" s="18">
        <v>2</v>
      </c>
      <c r="C597" s="98" t="s">
        <v>1273</v>
      </c>
      <c r="D597" s="98" t="s">
        <v>1274</v>
      </c>
      <c r="E597" s="84" t="s">
        <v>21</v>
      </c>
      <c r="F597" s="84" t="s">
        <v>22</v>
      </c>
      <c r="G597" s="84" t="s">
        <v>57</v>
      </c>
      <c r="H597" s="84" t="s">
        <v>1276</v>
      </c>
      <c r="I597" s="84"/>
      <c r="J597" s="15" t="str">
        <f>IF(E597="Invalid_Segment","Invalid",IFERROR(INDEX(Severity_Matrix!$C$3:$M$10,MATCH('Error Log'!$F597,Severity_Matrix!$B$3:$B$10,0),MATCH('Error Log'!$G597,Severity_Matrix!$C$2:$M$2,0)),"No errors"))</f>
        <v>Major</v>
      </c>
    </row>
    <row r="598" spans="1:10">
      <c r="A598" s="106" t="s">
        <v>1272</v>
      </c>
      <c r="B598" s="18">
        <v>3</v>
      </c>
      <c r="C598" s="98" t="s">
        <v>1273</v>
      </c>
      <c r="D598" s="98" t="s">
        <v>1274</v>
      </c>
      <c r="E598" s="84" t="s">
        <v>21</v>
      </c>
      <c r="F598" s="84" t="s">
        <v>7</v>
      </c>
      <c r="G598" s="84" t="s">
        <v>57</v>
      </c>
      <c r="H598" s="84" t="s">
        <v>1277</v>
      </c>
      <c r="I598" s="84"/>
      <c r="J598" s="15" t="str">
        <f>IF(E598="Invalid_Segment","Invalid",IFERROR(INDEX(Severity_Matrix!$C$3:$M$10,MATCH('Error Log'!$F598,Severity_Matrix!$B$3:$B$10,0),MATCH('Error Log'!$G598,Severity_Matrix!$C$2:$M$2,0)),"No errors"))</f>
        <v>Critical</v>
      </c>
    </row>
    <row r="599" spans="1:10">
      <c r="A599" s="106" t="s">
        <v>1278</v>
      </c>
      <c r="B599" s="18">
        <v>1</v>
      </c>
      <c r="C599" s="98" t="s">
        <v>1279</v>
      </c>
      <c r="D599" s="98" t="s">
        <v>1280</v>
      </c>
      <c r="E599" s="84" t="s">
        <v>21</v>
      </c>
      <c r="F599" s="84" t="s">
        <v>22</v>
      </c>
      <c r="G599" s="84" t="s">
        <v>57</v>
      </c>
      <c r="H599" s="84" t="s">
        <v>1281</v>
      </c>
      <c r="I599" s="84"/>
      <c r="J599" s="15" t="str">
        <f>IF(E599="Invalid_Segment","Invalid",IFERROR(INDEX(Severity_Matrix!$C$3:$M$10,MATCH('Error Log'!$F599,Severity_Matrix!$B$3:$B$10,0),MATCH('Error Log'!$G599,Severity_Matrix!$C$2:$M$2,0)),"No errors"))</f>
        <v>Major</v>
      </c>
    </row>
    <row r="600" spans="1:10">
      <c r="A600" s="106" t="s">
        <v>1282</v>
      </c>
      <c r="B600" s="18">
        <v>1</v>
      </c>
      <c r="C600" s="98" t="s">
        <v>1283</v>
      </c>
      <c r="D600" s="98" t="s">
        <v>1284</v>
      </c>
      <c r="E600" s="84" t="s">
        <v>21</v>
      </c>
      <c r="F600" s="84" t="s">
        <v>22</v>
      </c>
      <c r="G600" s="84" t="s">
        <v>57</v>
      </c>
      <c r="H600" s="84" t="s">
        <v>1285</v>
      </c>
      <c r="I600" s="84"/>
      <c r="J600" s="15" t="str">
        <f>IF(E600="Invalid_Segment","Invalid",IFERROR(INDEX(Severity_Matrix!$C$3:$M$10,MATCH('Error Log'!$F600,Severity_Matrix!$B$3:$B$10,0),MATCH('Error Log'!$G600,Severity_Matrix!$C$2:$M$2,0)),"No errors"))</f>
        <v>Major</v>
      </c>
    </row>
    <row r="601" spans="1:10">
      <c r="A601" s="106" t="s">
        <v>1282</v>
      </c>
      <c r="B601" s="18">
        <v>2</v>
      </c>
      <c r="C601" s="98" t="s">
        <v>1283</v>
      </c>
      <c r="D601" s="98" t="s">
        <v>1284</v>
      </c>
      <c r="E601" s="84" t="s">
        <v>21</v>
      </c>
      <c r="F601" s="84" t="s">
        <v>7</v>
      </c>
      <c r="G601" s="84" t="s">
        <v>57</v>
      </c>
      <c r="H601" s="84" t="s">
        <v>1286</v>
      </c>
      <c r="I601" s="84"/>
      <c r="J601" s="15" t="str">
        <f>IF(E601="Invalid_Segment","Invalid",IFERROR(INDEX(Severity_Matrix!$C$3:$M$10,MATCH('Error Log'!$F601,Severity_Matrix!$B$3:$B$10,0),MATCH('Error Log'!$G601,Severity_Matrix!$C$2:$M$2,0)),"No errors"))</f>
        <v>Critical</v>
      </c>
    </row>
    <row r="602" spans="1:10">
      <c r="A602" s="106" t="s">
        <v>1287</v>
      </c>
      <c r="B602" s="18">
        <v>1</v>
      </c>
      <c r="C602" s="98" t="s">
        <v>1288</v>
      </c>
      <c r="D602" s="98" t="s">
        <v>1289</v>
      </c>
      <c r="E602" s="84" t="s">
        <v>21</v>
      </c>
      <c r="F602" s="84" t="s">
        <v>7</v>
      </c>
      <c r="G602" s="84" t="s">
        <v>57</v>
      </c>
      <c r="H602" s="103" t="s">
        <v>1290</v>
      </c>
      <c r="I602" s="84"/>
      <c r="J602" s="15" t="str">
        <f>IF(E602="Invalid_Segment","Invalid",IFERROR(INDEX(Severity_Matrix!$C$3:$M$10,MATCH('Error Log'!$F602,Severity_Matrix!$B$3:$B$10,0),MATCH('Error Log'!$G602,Severity_Matrix!$C$2:$M$2,0)),"No errors"))</f>
        <v>Critical</v>
      </c>
    </row>
    <row r="603" spans="1:10">
      <c r="A603" s="106" t="s">
        <v>1287</v>
      </c>
      <c r="B603" s="18">
        <v>2</v>
      </c>
      <c r="C603" s="98" t="s">
        <v>1288</v>
      </c>
      <c r="D603" s="98" t="s">
        <v>1289</v>
      </c>
      <c r="E603" s="84" t="s">
        <v>21</v>
      </c>
      <c r="F603" s="84" t="s">
        <v>22</v>
      </c>
      <c r="G603" s="84" t="s">
        <v>57</v>
      </c>
      <c r="H603" s="103" t="s">
        <v>1291</v>
      </c>
      <c r="I603" s="84"/>
      <c r="J603" s="15" t="str">
        <f>IF(E603="Invalid_Segment","Invalid",IFERROR(INDEX(Severity_Matrix!$C$3:$M$10,MATCH('Error Log'!$F603,Severity_Matrix!$B$3:$B$10,0),MATCH('Error Log'!$G603,Severity_Matrix!$C$2:$M$2,0)),"No errors"))</f>
        <v>Major</v>
      </c>
    </row>
    <row r="604" spans="1:10">
      <c r="A604" s="106" t="s">
        <v>1287</v>
      </c>
      <c r="B604" s="18">
        <v>3</v>
      </c>
      <c r="C604" s="98" t="s">
        <v>1288</v>
      </c>
      <c r="D604" s="98" t="s">
        <v>1289</v>
      </c>
      <c r="E604" s="84" t="s">
        <v>21</v>
      </c>
      <c r="F604" s="84" t="s">
        <v>22</v>
      </c>
      <c r="G604" s="84" t="s">
        <v>57</v>
      </c>
      <c r="H604" s="103" t="s">
        <v>1292</v>
      </c>
      <c r="I604" s="84"/>
      <c r="J604" s="15" t="str">
        <f>IF(E604="Invalid_Segment","Invalid",IFERROR(INDEX(Severity_Matrix!$C$3:$M$10,MATCH('Error Log'!$F604,Severity_Matrix!$B$3:$B$10,0),MATCH('Error Log'!$G604,Severity_Matrix!$C$2:$M$2,0)),"No errors"))</f>
        <v>Major</v>
      </c>
    </row>
    <row r="605" spans="1:10">
      <c r="A605" s="106" t="s">
        <v>1287</v>
      </c>
      <c r="B605" s="18">
        <v>4</v>
      </c>
      <c r="C605" s="98" t="s">
        <v>1288</v>
      </c>
      <c r="D605" s="98" t="s">
        <v>1289</v>
      </c>
      <c r="E605" s="84" t="s">
        <v>21</v>
      </c>
      <c r="F605" s="84" t="s">
        <v>7</v>
      </c>
      <c r="G605" s="84" t="s">
        <v>57</v>
      </c>
      <c r="H605" s="103" t="s">
        <v>1293</v>
      </c>
      <c r="I605" s="84"/>
      <c r="J605" s="15" t="str">
        <f>IF(E605="Invalid_Segment","Invalid",IFERROR(INDEX(Severity_Matrix!$C$3:$M$10,MATCH('Error Log'!$F605,Severity_Matrix!$B$3:$B$10,0),MATCH('Error Log'!$G605,Severity_Matrix!$C$2:$M$2,0)),"No errors"))</f>
        <v>Critical</v>
      </c>
    </row>
    <row r="606" spans="1:10">
      <c r="A606" s="105" t="s">
        <v>1294</v>
      </c>
      <c r="B606" s="18">
        <v>1</v>
      </c>
      <c r="C606" s="100" t="s">
        <v>1295</v>
      </c>
      <c r="D606" s="98" t="s">
        <v>1296</v>
      </c>
      <c r="E606" s="84" t="s">
        <v>21</v>
      </c>
      <c r="F606" s="84" t="s">
        <v>63</v>
      </c>
      <c r="G606" s="84" t="s">
        <v>28</v>
      </c>
      <c r="H606" s="84" t="s">
        <v>1297</v>
      </c>
      <c r="I606" s="84"/>
      <c r="J606" s="15" t="str">
        <f>IF(E606="Invalid_Segment","Invalid",IFERROR(INDEX(Severity_Matrix!$C$3:$M$10,MATCH('Error Log'!$F606,Severity_Matrix!$B$3:$B$10,0),MATCH('Error Log'!$G606,Severity_Matrix!$C$2:$M$2,0)),"No errors"))</f>
        <v>Major</v>
      </c>
    </row>
    <row r="607" spans="1:10">
      <c r="A607" s="105" t="s">
        <v>1298</v>
      </c>
      <c r="B607" s="18">
        <v>1</v>
      </c>
      <c r="C607" s="100" t="s">
        <v>1299</v>
      </c>
      <c r="D607" s="98" t="s">
        <v>1300</v>
      </c>
      <c r="E607" s="84" t="s">
        <v>21</v>
      </c>
      <c r="F607" s="84" t="s">
        <v>22</v>
      </c>
      <c r="G607" s="84" t="s">
        <v>57</v>
      </c>
      <c r="H607" s="84" t="s">
        <v>1301</v>
      </c>
      <c r="I607" s="84"/>
      <c r="J607" s="15" t="str">
        <f>IF(E607="Invalid_Segment","Invalid",IFERROR(INDEX(Severity_Matrix!$C$3:$M$10,MATCH('Error Log'!$F607,Severity_Matrix!$B$3:$B$10,0),MATCH('Error Log'!$G607,Severity_Matrix!$C$2:$M$2,0)),"No errors"))</f>
        <v>Major</v>
      </c>
    </row>
    <row r="608" spans="1:10">
      <c r="A608" s="105" t="s">
        <v>1298</v>
      </c>
      <c r="B608" s="18">
        <v>2</v>
      </c>
      <c r="C608" s="100" t="s">
        <v>1299</v>
      </c>
      <c r="D608" s="98" t="s">
        <v>1300</v>
      </c>
      <c r="E608" s="84" t="s">
        <v>21</v>
      </c>
      <c r="F608" s="84" t="s">
        <v>7</v>
      </c>
      <c r="G608" s="84" t="s">
        <v>57</v>
      </c>
      <c r="H608" s="84" t="s">
        <v>1302</v>
      </c>
      <c r="I608" s="84"/>
      <c r="J608" s="15" t="str">
        <f>IF(E608="Invalid_Segment","Invalid",IFERROR(INDEX(Severity_Matrix!$C$3:$M$10,MATCH('Error Log'!$F608,Severity_Matrix!$B$3:$B$10,0),MATCH('Error Log'!$G608,Severity_Matrix!$C$2:$M$2,0)),"No errors"))</f>
        <v>Critical</v>
      </c>
    </row>
    <row r="609" spans="1:10">
      <c r="A609" s="105" t="s">
        <v>1303</v>
      </c>
      <c r="B609" s="18">
        <v>1</v>
      </c>
      <c r="C609" s="100" t="s">
        <v>1304</v>
      </c>
      <c r="D609" s="98" t="s">
        <v>1305</v>
      </c>
      <c r="E609" s="84" t="s">
        <v>21</v>
      </c>
      <c r="F609" s="84" t="s">
        <v>7</v>
      </c>
      <c r="G609" s="84" t="s">
        <v>28</v>
      </c>
      <c r="H609" s="84" t="s">
        <v>1306</v>
      </c>
      <c r="I609" s="84"/>
      <c r="J609" s="15" t="str">
        <f>IF(E609="Invalid_Segment","Invalid",IFERROR(INDEX(Severity_Matrix!$C$3:$M$10,MATCH('Error Log'!$F609,Severity_Matrix!$B$3:$B$10,0),MATCH('Error Log'!$G609,Severity_Matrix!$C$2:$M$2,0)),"No errors"))</f>
        <v>Major</v>
      </c>
    </row>
    <row r="610" spans="1:10">
      <c r="A610" s="105" t="s">
        <v>1303</v>
      </c>
      <c r="B610" s="18">
        <v>2</v>
      </c>
      <c r="C610" s="100" t="s">
        <v>1304</v>
      </c>
      <c r="D610" s="98" t="s">
        <v>1305</v>
      </c>
      <c r="E610" s="84" t="s">
        <v>21</v>
      </c>
      <c r="F610" s="84" t="s">
        <v>22</v>
      </c>
      <c r="G610" s="84" t="s">
        <v>57</v>
      </c>
      <c r="H610" s="84" t="s">
        <v>1307</v>
      </c>
      <c r="I610" s="84"/>
      <c r="J610" s="15" t="str">
        <f>IF(E610="Invalid_Segment","Invalid",IFERROR(INDEX(Severity_Matrix!$C$3:$M$10,MATCH('Error Log'!$F610,Severity_Matrix!$B$3:$B$10,0),MATCH('Error Log'!$G610,Severity_Matrix!$C$2:$M$2,0)),"No errors"))</f>
        <v>Major</v>
      </c>
    </row>
    <row r="611" spans="1:10">
      <c r="A611" s="105" t="s">
        <v>1303</v>
      </c>
      <c r="B611" s="18">
        <v>3</v>
      </c>
      <c r="C611" s="100" t="s">
        <v>1304</v>
      </c>
      <c r="D611" s="98" t="s">
        <v>1305</v>
      </c>
      <c r="E611" s="84" t="s">
        <v>21</v>
      </c>
      <c r="F611" s="84" t="s">
        <v>7</v>
      </c>
      <c r="G611" s="84" t="s">
        <v>57</v>
      </c>
      <c r="H611" s="84" t="s">
        <v>1308</v>
      </c>
      <c r="I611" s="84"/>
      <c r="J611" s="15" t="str">
        <f>IF(E611="Invalid_Segment","Invalid",IFERROR(INDEX(Severity_Matrix!$C$3:$M$10,MATCH('Error Log'!$F611,Severity_Matrix!$B$3:$B$10,0),MATCH('Error Log'!$G611,Severity_Matrix!$C$2:$M$2,0)),"No errors"))</f>
        <v>Critical</v>
      </c>
    </row>
    <row r="612" spans="1:10">
      <c r="A612" s="105" t="s">
        <v>1303</v>
      </c>
      <c r="B612" s="18">
        <v>4</v>
      </c>
      <c r="C612" s="100" t="s">
        <v>1304</v>
      </c>
      <c r="D612" s="98" t="s">
        <v>1305</v>
      </c>
      <c r="E612" s="84" t="s">
        <v>21</v>
      </c>
      <c r="F612" s="84" t="s">
        <v>7</v>
      </c>
      <c r="G612" s="84" t="s">
        <v>57</v>
      </c>
      <c r="H612" s="84" t="s">
        <v>1309</v>
      </c>
      <c r="I612" s="84"/>
      <c r="J612" s="15" t="str">
        <f>IF(E612="Invalid_Segment","Invalid",IFERROR(INDEX(Severity_Matrix!$C$3:$M$10,MATCH('Error Log'!$F612,Severity_Matrix!$B$3:$B$10,0),MATCH('Error Log'!$G612,Severity_Matrix!$C$2:$M$2,0)),"No errors"))</f>
        <v>Critical</v>
      </c>
    </row>
    <row r="613" spans="1:10">
      <c r="A613" s="19"/>
      <c r="B613" s="18"/>
      <c r="C613" s="20"/>
      <c r="D613" s="20"/>
      <c r="E613" s="14"/>
      <c r="F613" s="14"/>
      <c r="G613" s="14"/>
      <c r="H613" s="14"/>
      <c r="I613" s="14"/>
      <c r="J613" s="15"/>
    </row>
    <row r="614" spans="1:10">
      <c r="A614" s="19"/>
      <c r="B614" s="18"/>
      <c r="C614" s="20"/>
      <c r="D614" s="20"/>
      <c r="E614" s="14"/>
      <c r="F614" s="14"/>
      <c r="G614" s="14"/>
      <c r="H614" s="14"/>
      <c r="I614" s="14"/>
      <c r="J614" s="15"/>
    </row>
    <row r="615" spans="1:10">
      <c r="A615" s="19"/>
      <c r="B615" s="18"/>
      <c r="C615" s="20"/>
      <c r="D615" s="20"/>
      <c r="E615" s="14"/>
      <c r="F615" s="14"/>
      <c r="G615" s="14"/>
      <c r="H615" s="14"/>
      <c r="I615" s="14"/>
      <c r="J615" s="15"/>
    </row>
    <row r="616" spans="1:10">
      <c r="A616" s="19"/>
      <c r="B616" s="18"/>
      <c r="C616" s="20"/>
      <c r="D616" s="20"/>
      <c r="E616" s="14"/>
      <c r="F616" s="14"/>
      <c r="G616" s="14"/>
      <c r="H616" s="14"/>
      <c r="I616" s="14"/>
      <c r="J616" s="15"/>
    </row>
    <row r="617" spans="1:10">
      <c r="A617" s="19"/>
      <c r="B617" s="18"/>
      <c r="C617" s="20"/>
      <c r="D617" s="20"/>
      <c r="E617" s="14"/>
      <c r="F617" s="14"/>
      <c r="G617" s="14"/>
      <c r="H617" s="14"/>
      <c r="I617" s="14"/>
      <c r="J617" s="15"/>
    </row>
    <row r="618" spans="1:10">
      <c r="A618" s="19"/>
      <c r="B618" s="18"/>
      <c r="C618" s="20"/>
      <c r="D618" s="20"/>
      <c r="E618" s="14"/>
      <c r="F618" s="14"/>
      <c r="G618" s="14"/>
      <c r="H618" s="14"/>
      <c r="I618" s="14"/>
      <c r="J618" s="15"/>
    </row>
    <row r="619" spans="1:10">
      <c r="A619" s="19"/>
      <c r="B619" s="18"/>
      <c r="C619" s="20"/>
      <c r="D619" s="20"/>
      <c r="E619" s="14"/>
      <c r="F619" s="14"/>
      <c r="G619" s="14"/>
      <c r="H619" s="14"/>
      <c r="I619" s="14"/>
      <c r="J619" s="15"/>
    </row>
    <row r="620" spans="1:10">
      <c r="A620" s="19"/>
      <c r="B620" s="18"/>
      <c r="C620" s="20"/>
      <c r="D620" s="20"/>
      <c r="E620" s="14"/>
      <c r="F620" s="14"/>
      <c r="G620" s="14"/>
      <c r="H620" s="14"/>
      <c r="I620" s="14"/>
      <c r="J620" s="15"/>
    </row>
    <row r="621" spans="1:10">
      <c r="A621" s="19"/>
      <c r="B621" s="18"/>
      <c r="C621" s="20"/>
      <c r="D621" s="20"/>
      <c r="E621" s="14"/>
      <c r="F621" s="14"/>
      <c r="G621" s="14"/>
      <c r="H621" s="14"/>
      <c r="I621" s="14"/>
      <c r="J621" s="15"/>
    </row>
    <row r="622" spans="1:10">
      <c r="A622" s="19"/>
      <c r="B622" s="18"/>
      <c r="C622" s="20"/>
      <c r="D622" s="20"/>
      <c r="E622" s="14"/>
      <c r="F622" s="14"/>
      <c r="G622" s="14"/>
      <c r="H622" s="14"/>
      <c r="I622" s="14"/>
      <c r="J622" s="15"/>
    </row>
    <row r="623" spans="1:10">
      <c r="A623" s="19"/>
      <c r="B623" s="18"/>
      <c r="C623" s="20"/>
      <c r="D623" s="20"/>
      <c r="E623" s="14"/>
      <c r="F623" s="14"/>
      <c r="G623" s="14"/>
      <c r="H623" s="14"/>
      <c r="I623" s="14"/>
      <c r="J623" s="15"/>
    </row>
    <row r="624" spans="1:10">
      <c r="A624" s="19"/>
      <c r="B624" s="18"/>
      <c r="C624" s="20"/>
      <c r="D624" s="20"/>
      <c r="E624" s="14"/>
      <c r="F624" s="14"/>
      <c r="G624" s="14"/>
      <c r="H624" s="14"/>
      <c r="I624" s="14"/>
      <c r="J624" s="15"/>
    </row>
    <row r="625" spans="1:10">
      <c r="A625" s="19"/>
      <c r="B625" s="18"/>
      <c r="C625" s="20"/>
      <c r="D625" s="20"/>
      <c r="E625" s="14"/>
      <c r="F625" s="14"/>
      <c r="G625" s="14"/>
      <c r="H625" s="14"/>
      <c r="I625" s="14"/>
      <c r="J625" s="15"/>
    </row>
    <row r="626" spans="1:10">
      <c r="A626" s="19"/>
      <c r="B626" s="18"/>
      <c r="C626" s="20"/>
      <c r="D626" s="20"/>
      <c r="E626" s="14"/>
      <c r="F626" s="14"/>
      <c r="G626" s="14"/>
      <c r="H626" s="14"/>
      <c r="I626" s="14"/>
      <c r="J626" s="15"/>
    </row>
    <row r="627" spans="1:10">
      <c r="A627" s="19"/>
      <c r="B627" s="18"/>
      <c r="C627" s="20"/>
      <c r="D627" s="20"/>
      <c r="E627" s="14"/>
      <c r="F627" s="14"/>
      <c r="G627" s="14"/>
      <c r="H627" s="14"/>
      <c r="I627" s="14"/>
      <c r="J627" s="15"/>
    </row>
    <row r="628" spans="1:10">
      <c r="A628" s="19"/>
      <c r="B628" s="18"/>
      <c r="C628" s="20"/>
      <c r="D628" s="20"/>
      <c r="E628" s="14"/>
      <c r="F628" s="14"/>
      <c r="G628" s="14"/>
      <c r="H628" s="14"/>
      <c r="I628" s="14"/>
      <c r="J628" s="15"/>
    </row>
    <row r="629" spans="1:10">
      <c r="A629" s="19"/>
      <c r="B629" s="18"/>
      <c r="C629" s="20"/>
      <c r="D629" s="20"/>
      <c r="E629" s="14"/>
      <c r="F629" s="14"/>
      <c r="G629" s="14"/>
      <c r="H629" s="14"/>
      <c r="I629" s="14"/>
      <c r="J629" s="15"/>
    </row>
    <row r="630" spans="1:10">
      <c r="A630" s="19"/>
      <c r="B630" s="18"/>
      <c r="C630" s="20"/>
      <c r="D630" s="20"/>
      <c r="E630" s="14"/>
      <c r="F630" s="14"/>
      <c r="G630" s="14"/>
      <c r="H630" s="14"/>
      <c r="I630" s="14"/>
      <c r="J630" s="15"/>
    </row>
    <row r="631" spans="1:10">
      <c r="A631" s="19"/>
      <c r="B631" s="18"/>
      <c r="C631" s="20"/>
      <c r="D631" s="20"/>
      <c r="E631" s="14"/>
      <c r="F631" s="14"/>
      <c r="G631" s="14"/>
      <c r="H631" s="14"/>
      <c r="I631" s="14"/>
      <c r="J631" s="15"/>
    </row>
    <row r="632" spans="1:10">
      <c r="A632" s="19"/>
      <c r="B632" s="18"/>
      <c r="C632" s="20"/>
      <c r="D632" s="20"/>
      <c r="E632" s="14"/>
      <c r="F632" s="14"/>
      <c r="G632" s="14"/>
      <c r="H632" s="14"/>
      <c r="I632" s="14"/>
      <c r="J632" s="15"/>
    </row>
    <row r="633" spans="1:10">
      <c r="A633" s="19"/>
      <c r="B633" s="18"/>
      <c r="C633" s="20"/>
      <c r="D633" s="20"/>
      <c r="E633" s="14"/>
      <c r="F633" s="14"/>
      <c r="G633" s="14"/>
      <c r="H633" s="14"/>
      <c r="I633" s="14"/>
      <c r="J633" s="15"/>
    </row>
    <row r="634" spans="1:10">
      <c r="A634" s="19"/>
      <c r="B634" s="18"/>
      <c r="C634" s="20"/>
      <c r="D634" s="20"/>
      <c r="E634" s="14"/>
      <c r="F634" s="14"/>
      <c r="G634" s="14"/>
      <c r="H634" s="14"/>
      <c r="I634" s="14"/>
      <c r="J634" s="15"/>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row r="817" spans="1:10">
      <c r="A817" s="19"/>
      <c r="B817" s="18"/>
      <c r="C817" s="20"/>
      <c r="D817" s="20"/>
      <c r="E817" s="14"/>
      <c r="F817" s="14"/>
      <c r="G817" s="14"/>
      <c r="H817" s="14"/>
      <c r="I817" s="14"/>
      <c r="J817" s="15"/>
    </row>
    <row r="818" spans="1:10">
      <c r="A818" s="19"/>
      <c r="B818" s="18"/>
      <c r="C818" s="20"/>
      <c r="D818" s="20"/>
      <c r="E818" s="14"/>
      <c r="F818" s="14"/>
      <c r="G818" s="14"/>
      <c r="H818" s="14"/>
      <c r="I818" s="14"/>
      <c r="J818" s="15"/>
    </row>
    <row r="819" spans="1:10">
      <c r="A819" s="19"/>
      <c r="B819" s="18"/>
      <c r="C819" s="20"/>
      <c r="D819" s="20"/>
      <c r="E819" s="14"/>
      <c r="F819" s="14"/>
      <c r="G819" s="14"/>
      <c r="H819" s="14"/>
      <c r="I819" s="14"/>
      <c r="J819" s="15"/>
    </row>
    <row r="820" spans="1:10">
      <c r="A820" s="19"/>
      <c r="B820" s="18"/>
      <c r="C820" s="20"/>
      <c r="D820" s="20"/>
      <c r="E820" s="14"/>
      <c r="F820" s="14"/>
      <c r="G820" s="14"/>
      <c r="H820" s="14"/>
      <c r="I820" s="14"/>
      <c r="J820" s="15"/>
    </row>
    <row r="821" spans="1:10">
      <c r="A821" s="19"/>
      <c r="B821" s="18"/>
      <c r="C821" s="20"/>
      <c r="D821" s="20"/>
      <c r="E821" s="14"/>
      <c r="F821" s="14"/>
      <c r="G821" s="14"/>
      <c r="H821" s="14"/>
      <c r="I821" s="14"/>
      <c r="J821" s="15"/>
    </row>
    <row r="822" spans="1:10">
      <c r="A822" s="19"/>
      <c r="B822" s="18"/>
      <c r="C822" s="20"/>
      <c r="D822" s="20"/>
      <c r="E822" s="14"/>
      <c r="F822" s="14"/>
      <c r="G822" s="14"/>
      <c r="H822" s="14"/>
      <c r="I822" s="14"/>
      <c r="J822" s="15"/>
    </row>
    <row r="823" spans="1:10">
      <c r="A823" s="19"/>
      <c r="B823" s="18"/>
      <c r="C823" s="20"/>
      <c r="D823" s="20"/>
      <c r="E823" s="14"/>
      <c r="F823" s="14"/>
      <c r="G823" s="14"/>
      <c r="H823" s="14"/>
      <c r="I823" s="14"/>
      <c r="J823" s="15"/>
    </row>
    <row r="824" spans="1:10">
      <c r="A824" s="19"/>
      <c r="B824" s="18"/>
      <c r="C824" s="20"/>
      <c r="D824" s="20"/>
      <c r="E824" s="14"/>
      <c r="F824" s="14"/>
      <c r="G824" s="14"/>
      <c r="H824" s="14"/>
      <c r="I824" s="14"/>
      <c r="J824" s="15"/>
    </row>
    <row r="825" spans="1:10">
      <c r="A825" s="19"/>
      <c r="B825" s="18"/>
      <c r="C825" s="20"/>
      <c r="D825" s="20"/>
      <c r="E825" s="14"/>
      <c r="F825" s="14"/>
      <c r="G825" s="14"/>
      <c r="H825" s="14"/>
      <c r="I825" s="14"/>
      <c r="J825" s="15"/>
    </row>
    <row r="826" spans="1:10">
      <c r="A826" s="19"/>
      <c r="B826" s="18"/>
      <c r="C826" s="20"/>
      <c r="D826" s="20"/>
      <c r="E826" s="14"/>
      <c r="F826" s="14"/>
      <c r="G826" s="14"/>
      <c r="H826" s="14"/>
      <c r="I826" s="14"/>
      <c r="J826" s="15"/>
    </row>
  </sheetData>
  <sheetProtection formatCells="0" formatColumns="0" formatRows="0" insertRows="0" deleteRows="0" autoFilter="0"/>
  <phoneticPr fontId="4" type="noConversion"/>
  <conditionalFormatting sqref="E613:G826 E1 E613:E1048576">
    <cfRule type="expression" dxfId="809" priority="3093">
      <formula>IF(OR(AND(E1="",F1="",OR(G1="Critical",G1="Major",G1="Minor"))),1,0)</formula>
    </cfRule>
  </conditionalFormatting>
  <conditionalFormatting sqref="F1 F613:F1048576">
    <cfRule type="expression" dxfId="808" priority="3092">
      <formula>IF(AND(F1="",OR(E1="Accuracy",E1="Fluency",E1="Segment",E1="Other")),1,0)</formula>
    </cfRule>
  </conditionalFormatting>
  <conditionalFormatting sqref="G1 G613:G1048576">
    <cfRule type="expression" dxfId="807" priority="3091">
      <formula>IF(AND(OR(G1="",E1="Segment"),OR(E1="Accuracy",E1="Fluency",E1="Other")),1,0)</formula>
    </cfRule>
  </conditionalFormatting>
  <conditionalFormatting sqref="G184 E182:G182 E163:G163 E166:G168 E158:G159 G149 E151:G151 G135 E137:G137 E130:G130 E115:G115 G116 E119:G119 G96:G99 E90:G95 E84:G86 E70:G70 E66:G67 F23:G26 G20 E22:E26 E16:E20 E14:F15 G8:G9 F2:G7 G127:G128 G144 G164 E27:G40 E43:G43 E45:G56 E62:G64 E72:G72 E79:G80 E82:F83 E99:F99 E100:G103 E108:G111 E117:G117 E123:F123 E124:G126 E127:F129 E135:F136 E140:G143 E144:F146 E149:F150 E153:G153 E156:F157 E161:F161 E164:F165 E171:G179 E180:F181 E184:F186 E190:G195 E196:F196 E198:F198 E201:F201 E204:F204 E208:F208 E212:F213 E215:F215 E218:F218 E221:F222 E224:F224 E229:F230 E233:F233 E244:F244 E246:F246 E249:F249 E253:F254 E267:F268 E297:F298 E301:F301 E305:F307 E315:F315 E318:F318 E320:F320 E322:F323 E335:F335 E343:F343 E350:F351 E354:F355 E358:F358 E361:F362 E365:F365 E369:F369 E376:F376 E378:F379 E382:F384 E390:F392 E397:F397 E400:F401 E406:F407 E410:F411 E416:F416 E419:F420 E422:F422 E426:F426 E429:F429 E432:F433 E435:F435 E437:F437 E439:F439 E442:F442 E446:F446 E453:F454 E457:F457 E463:F464 E468:F468 E470:F471 E475:F476 E478:F478 E482:F482 E484:F485 E487:F488 E491:F491 E497:F499 E502:F503 E507:F507 E509:F509 E515:F515 E522:F523 E525:F527 E530:F532 E535:F535 E539:F539 E545:F546 E552:F552 E556:F556 E561:F561 E565:F566 E569:F569 E572:F573 E577:F578">
    <cfRule type="expression" dxfId="806" priority="894">
      <formula>IF(OR(AND(E2="",F2="",OR(G2="Critical",G2="Major",G2="Minor"))),1,0)</formula>
    </cfRule>
  </conditionalFormatting>
  <conditionalFormatting sqref="F115 F119 F90:F95 F70 F66:F67 F14:F20 F2:F7 F22:F40 F43 F45:F56 F62:F64 F72 F79:F80 F82:F86 F99:F103 F108:F111 F117 F123:F130 F135:F137 F140:F146 F149:F151 F153 F156:F159 F161 F163:F168 F171:F182 F184:F186 F190:F196 F198 F201 F204 F208 F212:F213 F215 F218 F221:F222 F224 F229:F230 F233 F244 F246 F249 F253:F254 F267:F268 F297:F298 F301 F305:F307 F315 F318 F320 F322:F323 F335 F343 F350:F351 F354:F355 F358 F361:F362 F365 F369 F376 F378:F379 F382:F384 F390:F392 F397 F400:F401 F406:F407 F410:F411 F416 F419:F420 F422 F426 F429 F432:F433 F435 F437 F439 F442 F446 F453:F454 F457 F463:F464 F468 F470:F471 F475:F476 F478 F482 F484:F485 F487:F488 F491 F497:F499 F502:F503 F507 F509 F515 F522:F523 F525:F527 F530:F532 F535 F539 F545:F546 F552 F556 F561 F565:F566 F569 F572:F573 F577:F578">
    <cfRule type="expression" dxfId="805" priority="893">
      <formula>IF(AND(F2="",OR(E2="Accuracy",E2="Fluency",E2="Segment",E2="Other")),1,0)</formula>
    </cfRule>
  </conditionalFormatting>
  <conditionalFormatting sqref="G2:G9">
    <cfRule type="expression" dxfId="804" priority="892">
      <formula>IF(AND(OR(G2="",E2="Segment"),OR(E2="Accuracy",E2="Fluency",E2="Other")),1,0)</formula>
    </cfRule>
  </conditionalFormatting>
  <conditionalFormatting sqref="E2:E7">
    <cfRule type="expression" dxfId="803" priority="891">
      <formula>IF(OR(AND(E2="",F2="",OR(G2="Critical",G2="Major",G2="Minor"))),1,0)</formula>
    </cfRule>
  </conditionalFormatting>
  <conditionalFormatting sqref="E8:F9">
    <cfRule type="expression" dxfId="802" priority="890">
      <formula>IF(OR(AND(E8="",F8="",OR(G8="Critical",G8="Major",G8="Minor"))),1,0)</formula>
    </cfRule>
  </conditionalFormatting>
  <conditionalFormatting sqref="F8:F9">
    <cfRule type="expression" dxfId="801" priority="889">
      <formula>IF(AND(F8="",OR(E8="Accuracy",E8="Fluency",E8="Segment",E8="Other")),1,0)</formula>
    </cfRule>
  </conditionalFormatting>
  <conditionalFormatting sqref="E10:G13">
    <cfRule type="expression" dxfId="800" priority="888">
      <formula>IF(OR(AND(E10="",F10="",OR(G10="Critical",G10="Major",G10="Minor"))),1,0)</formula>
    </cfRule>
  </conditionalFormatting>
  <conditionalFormatting sqref="F10:F13">
    <cfRule type="expression" dxfId="799" priority="887">
      <formula>IF(AND(F10="",OR(E10="Accuracy",E10="Fluency",E10="Segment",E10="Other")),1,0)</formula>
    </cfRule>
  </conditionalFormatting>
  <conditionalFormatting sqref="G10:G13">
    <cfRule type="expression" dxfId="798" priority="886">
      <formula>IF(AND(OR(G10="",E10="Segment"),OR(E10="Accuracy",E10="Fluency",E10="Other")),1,0)</formula>
    </cfRule>
  </conditionalFormatting>
  <conditionalFormatting sqref="G14:G15">
    <cfRule type="expression" dxfId="797" priority="885">
      <formula>IF(OR(AND(G14="",H14="",OR(I14="Critical",I14="Major",I14="Minor"))),1,0)</formula>
    </cfRule>
  </conditionalFormatting>
  <conditionalFormatting sqref="G14:G15">
    <cfRule type="expression" dxfId="796" priority="884">
      <formula>IF(AND(OR(G14="",E14="Segment"),OR(E14="Accuracy",E14="Fluency",E14="Other")),1,0)</formula>
    </cfRule>
  </conditionalFormatting>
  <conditionalFormatting sqref="F16:F17">
    <cfRule type="expression" dxfId="795" priority="882">
      <formula>IF(OR(AND(F16="",G16="",OR(H35="Critical",H35="Major",H35="Minor"))),1,0)</formula>
    </cfRule>
  </conditionalFormatting>
  <conditionalFormatting sqref="G16:G19">
    <cfRule type="expression" dxfId="794" priority="881">
      <formula>IF(OR(AND(G16="",H16="",OR(I16="Critical",I16="Major",I16="Minor"))),1,0)</formula>
    </cfRule>
  </conditionalFormatting>
  <conditionalFormatting sqref="G16:G19">
    <cfRule type="expression" dxfId="793" priority="880">
      <formula>IF(AND(OR(G16="",E16="Segment"),OR(E16="Accuracy",E16="Fluency",E16="Other")),1,0)</formula>
    </cfRule>
  </conditionalFormatting>
  <conditionalFormatting sqref="F18:F19">
    <cfRule type="expression" dxfId="792" priority="883">
      <formula>IF(OR(AND(F18="",G18="",OR(H39="Critical",H39="Major",H39="Minor"))),1,0)</formula>
    </cfRule>
  </conditionalFormatting>
  <conditionalFormatting sqref="H20:H22">
    <cfRule type="expression" dxfId="791" priority="875">
      <formula>IF(OR(AND(H20="",J20="",OR(#REF!="Critical",#REF!="Major",#REF!="Minor"))),1,0)</formula>
    </cfRule>
  </conditionalFormatting>
  <conditionalFormatting sqref="G190:G195 G184 G182 G171:G179 G163:G164 G166:G168 G158:G159 G153 G149 G151 G140:G144 G135 G137 G130 G124:G128 G115:G117 G119 G108:G111 G90:G103 G79:G80 G84:G86 G72 G70 G66:G67 G62:G64 G45:G56 G43 G20 G22:G40">
    <cfRule type="expression" dxfId="790" priority="876">
      <formula>IF(AND(OR(G20="",#REF!="Segment"),OR(#REF!="Accuracy",#REF!="Fluency",#REF!="Other")),1,0)</formula>
    </cfRule>
  </conditionalFormatting>
  <conditionalFormatting sqref="G22">
    <cfRule type="expression" dxfId="789" priority="877">
      <formula>IF(OR(AND(G22="",H21="",OR(I21="Critical",I21="Major",I21="Minor"))),1,0)</formula>
    </cfRule>
  </conditionalFormatting>
  <conditionalFormatting sqref="F22">
    <cfRule type="expression" dxfId="788" priority="878">
      <formula>IF(OR(AND(F22="",G22="",OR(H44="Critical",H44="Major",H44="Minor"))),1,0)</formula>
    </cfRule>
  </conditionalFormatting>
  <conditionalFormatting sqref="E21">
    <cfRule type="expression" dxfId="787" priority="871">
      <formula>IF(OR(AND(E21="",F21="",OR(G21="Critical",G21="Major",G21="Minor"))),1,0)</formula>
    </cfRule>
  </conditionalFormatting>
  <conditionalFormatting sqref="F21">
    <cfRule type="expression" dxfId="786" priority="870">
      <formula>IF(AND(F21="",OR(E21="Accuracy",E21="Fluency",E21="Segment",E21="Other")),1,0)</formula>
    </cfRule>
  </conditionalFormatting>
  <conditionalFormatting sqref="G21">
    <cfRule type="expression" dxfId="785" priority="872">
      <formula>IF(AND(OR(G21="",#REF!="Segment"),OR(#REF!="Accuracy",#REF!="Fluency",#REF!="Other")),1,0)</formula>
    </cfRule>
  </conditionalFormatting>
  <conditionalFormatting sqref="G21">
    <cfRule type="expression" dxfId="784" priority="873">
      <formula>IF(OR(AND(G21="",H20="",OR(I20="Critical",I20="Major",I20="Minor"))),1,0)</formula>
    </cfRule>
  </conditionalFormatting>
  <conditionalFormatting sqref="F21">
    <cfRule type="expression" dxfId="783" priority="874">
      <formula>IF(OR(AND(F21="",G21="",OR(H43="Critical",H43="Major",H43="Minor"))),1,0)</formula>
    </cfRule>
  </conditionalFormatting>
  <conditionalFormatting sqref="F20">
    <cfRule type="expression" dxfId="782" priority="879">
      <formula>IF(OR(AND(F20="",G20="",OR(H43="Critical",H43="Major",H43="Minor"))),1,0)</formula>
    </cfRule>
  </conditionalFormatting>
  <conditionalFormatting sqref="E41:G41">
    <cfRule type="expression" dxfId="781" priority="868">
      <formula>IF(OR(AND(E41="",F41="",OR(G41="Critical",G41="Major",G41="Minor"))),1,0)</formula>
    </cfRule>
  </conditionalFormatting>
  <conditionalFormatting sqref="F41">
    <cfRule type="expression" dxfId="780" priority="867">
      <formula>IF(AND(F41="",OR(E41="Accuracy",E41="Fluency",E41="Segment",E41="Other")),1,0)</formula>
    </cfRule>
  </conditionalFormatting>
  <conditionalFormatting sqref="G41">
    <cfRule type="expression" dxfId="779" priority="869">
      <formula>IF(AND(OR(G41="",#REF!="Segment"),OR(#REF!="Accuracy",#REF!="Fluency",#REF!="Other")),1,0)</formula>
    </cfRule>
  </conditionalFormatting>
  <conditionalFormatting sqref="E42:G42">
    <cfRule type="expression" dxfId="778" priority="865">
      <formula>IF(OR(AND(E42="",F42="",OR(G42="Critical",G42="Major",G42="Minor"))),1,0)</formula>
    </cfRule>
  </conditionalFormatting>
  <conditionalFormatting sqref="F42">
    <cfRule type="expression" dxfId="777" priority="864">
      <formula>IF(AND(F42="",OR(E42="Accuracy",E42="Fluency",E42="Segment",E42="Other")),1,0)</formula>
    </cfRule>
  </conditionalFormatting>
  <conditionalFormatting sqref="G42">
    <cfRule type="expression" dxfId="776" priority="866">
      <formula>IF(AND(OR(G42="",#REF!="Segment"),OR(#REF!="Accuracy",#REF!="Fluency",#REF!="Other")),1,0)</formula>
    </cfRule>
  </conditionalFormatting>
  <conditionalFormatting sqref="E44:G44">
    <cfRule type="expression" dxfId="775" priority="862">
      <formula>IF(OR(AND(E44="",F44="",OR(G44="Critical",G44="Major",G44="Minor"))),1,0)</formula>
    </cfRule>
  </conditionalFormatting>
  <conditionalFormatting sqref="F44">
    <cfRule type="expression" dxfId="774" priority="861">
      <formula>IF(AND(F44="",OR(E44="Accuracy",E44="Fluency",E44="Segment",E44="Other")),1,0)</formula>
    </cfRule>
  </conditionalFormatting>
  <conditionalFormatting sqref="G44">
    <cfRule type="expression" dxfId="773" priority="863">
      <formula>IF(AND(OR(G44="",#REF!="Segment"),OR(#REF!="Accuracy",#REF!="Fluency",#REF!="Other")),1,0)</formula>
    </cfRule>
  </conditionalFormatting>
  <conditionalFormatting sqref="E57:G59">
    <cfRule type="expression" dxfId="772" priority="859">
      <formula>IF(OR(AND(E57="",F57="",OR(G57="Critical",G57="Major",G57="Minor"))),1,0)</formula>
    </cfRule>
  </conditionalFormatting>
  <conditionalFormatting sqref="F57:F59">
    <cfRule type="expression" dxfId="771" priority="858">
      <formula>IF(AND(F57="",OR(E57="Accuracy",E57="Fluency",E57="Segment",E57="Other")),1,0)</formula>
    </cfRule>
  </conditionalFormatting>
  <conditionalFormatting sqref="G57:G59">
    <cfRule type="expression" dxfId="770" priority="860">
      <formula>IF(AND(OR(G57="",#REF!="Segment"),OR(#REF!="Accuracy",#REF!="Fluency",#REF!="Other")),1,0)</formula>
    </cfRule>
  </conditionalFormatting>
  <conditionalFormatting sqref="E60:G61">
    <cfRule type="expression" dxfId="769" priority="856">
      <formula>IF(OR(AND(E60="",F60="",OR(G60="Critical",G60="Major",G60="Minor"))),1,0)</formula>
    </cfRule>
  </conditionalFormatting>
  <conditionalFormatting sqref="F60:F61">
    <cfRule type="expression" dxfId="768" priority="855">
      <formula>IF(AND(F60="",OR(E60="Accuracy",E60="Fluency",E60="Segment",E60="Other")),1,0)</formula>
    </cfRule>
  </conditionalFormatting>
  <conditionalFormatting sqref="G60:G61">
    <cfRule type="expression" dxfId="767" priority="857">
      <formula>IF(AND(OR(G60="",#REF!="Segment"),OR(#REF!="Accuracy",#REF!="Fluency",#REF!="Other")),1,0)</formula>
    </cfRule>
  </conditionalFormatting>
  <conditionalFormatting sqref="E65:G65">
    <cfRule type="expression" dxfId="766" priority="853">
      <formula>IF(OR(AND(E65="",F65="",OR(G65="Critical",G65="Major",G65="Minor"))),1,0)</formula>
    </cfRule>
  </conditionalFormatting>
  <conditionalFormatting sqref="F65">
    <cfRule type="expression" dxfId="765" priority="852">
      <formula>IF(AND(F65="",OR(E65="Accuracy",E65="Fluency",E65="Segment",E65="Other")),1,0)</formula>
    </cfRule>
  </conditionalFormatting>
  <conditionalFormatting sqref="G65">
    <cfRule type="expression" dxfId="764" priority="854">
      <formula>IF(AND(OR(G65="",#REF!="Segment"),OR(#REF!="Accuracy",#REF!="Fluency",#REF!="Other")),1,0)</formula>
    </cfRule>
  </conditionalFormatting>
  <conditionalFormatting sqref="E68:G68">
    <cfRule type="expression" dxfId="763" priority="850">
      <formula>IF(OR(AND(E68="",F68="",OR(G68="Critical",G68="Major",G68="Minor"))),1,0)</formula>
    </cfRule>
  </conditionalFormatting>
  <conditionalFormatting sqref="F68">
    <cfRule type="expression" dxfId="762" priority="849">
      <formula>IF(AND(F68="",OR(E68="Accuracy",E68="Fluency",E68="Segment",E68="Other")),1,0)</formula>
    </cfRule>
  </conditionalFormatting>
  <conditionalFormatting sqref="G68">
    <cfRule type="expression" dxfId="761" priority="851">
      <formula>IF(AND(OR(G68="",#REF!="Segment"),OR(#REF!="Accuracy",#REF!="Fluency",#REF!="Other")),1,0)</formula>
    </cfRule>
  </conditionalFormatting>
  <conditionalFormatting sqref="E69:G69">
    <cfRule type="expression" dxfId="760" priority="847">
      <formula>IF(OR(AND(E69="",F69="",OR(G69="Critical",G69="Major",G69="Minor"))),1,0)</formula>
    </cfRule>
  </conditionalFormatting>
  <conditionalFormatting sqref="F69">
    <cfRule type="expression" dxfId="759" priority="846">
      <formula>IF(AND(F69="",OR(E69="Accuracy",E69="Fluency",E69="Segment",E69="Other")),1,0)</formula>
    </cfRule>
  </conditionalFormatting>
  <conditionalFormatting sqref="G69">
    <cfRule type="expression" dxfId="758" priority="848">
      <formula>IF(AND(OR(G69="",#REF!="Segment"),OR(#REF!="Accuracy",#REF!="Fluency",#REF!="Other")),1,0)</formula>
    </cfRule>
  </conditionalFormatting>
  <conditionalFormatting sqref="E71:G71">
    <cfRule type="expression" dxfId="757" priority="844">
      <formula>IF(OR(AND(E71="",F71="",OR(G71="Critical",G71="Major",G71="Minor"))),1,0)</formula>
    </cfRule>
  </conditionalFormatting>
  <conditionalFormatting sqref="F71">
    <cfRule type="expression" dxfId="756" priority="843">
      <formula>IF(AND(F71="",OR(E71="Accuracy",E71="Fluency",E71="Segment",E71="Other")),1,0)</formula>
    </cfRule>
  </conditionalFormatting>
  <conditionalFormatting sqref="G71">
    <cfRule type="expression" dxfId="755" priority="845">
      <formula>IF(AND(OR(G71="",#REF!="Segment"),OR(#REF!="Accuracy",#REF!="Fluency",#REF!="Other")),1,0)</formula>
    </cfRule>
  </conditionalFormatting>
  <conditionalFormatting sqref="E73:G73 G74:G78">
    <cfRule type="expression" dxfId="754" priority="841">
      <formula>IF(OR(AND(E73="",F73="",OR(G73="Critical",G73="Major",G73="Minor"))),1,0)</formula>
    </cfRule>
  </conditionalFormatting>
  <conditionalFormatting sqref="F73">
    <cfRule type="expression" dxfId="753" priority="840">
      <formula>IF(AND(F73="",OR(E73="Accuracy",E73="Fluency",E73="Segment",E73="Other")),1,0)</formula>
    </cfRule>
  </conditionalFormatting>
  <conditionalFormatting sqref="G73:G78">
    <cfRule type="expression" dxfId="752" priority="842">
      <formula>IF(AND(OR(G73="",#REF!="Segment"),OR(#REF!="Accuracy",#REF!="Fluency",#REF!="Other")),1,0)</formula>
    </cfRule>
  </conditionalFormatting>
  <conditionalFormatting sqref="E77:F78">
    <cfRule type="expression" dxfId="751" priority="835">
      <formula>IF(OR(AND(E77="",F77="",OR(G77="Critical",G77="Major",G77="Minor"))),1,0)</formula>
    </cfRule>
  </conditionalFormatting>
  <conditionalFormatting sqref="F77:F78">
    <cfRule type="expression" dxfId="750" priority="834">
      <formula>IF(AND(F77="",OR(E77="Accuracy",E77="Fluency",E77="Segment",E77="Other")),1,0)</formula>
    </cfRule>
  </conditionalFormatting>
  <conditionalFormatting sqref="E74:F75">
    <cfRule type="expression" dxfId="749" priority="839">
      <formula>IF(OR(AND(E74="",F74="",OR(G74="Critical",G74="Major",G74="Minor"))),1,0)</formula>
    </cfRule>
  </conditionalFormatting>
  <conditionalFormatting sqref="F74:F75">
    <cfRule type="expression" dxfId="748" priority="838">
      <formula>IF(AND(F74="",OR(E74="Accuracy",E74="Fluency",E74="Segment",E74="Other")),1,0)</formula>
    </cfRule>
  </conditionalFormatting>
  <conditionalFormatting sqref="E76:F76">
    <cfRule type="expression" dxfId="747" priority="837">
      <formula>IF(OR(AND(E76="",F76="",OR(G76="Critical",G76="Major",G76="Minor"))),1,0)</formula>
    </cfRule>
  </conditionalFormatting>
  <conditionalFormatting sqref="F76">
    <cfRule type="expression" dxfId="746" priority="836">
      <formula>IF(AND(F76="",OR(E76="Accuracy",E76="Fluency",E76="Segment",E76="Other")),1,0)</formula>
    </cfRule>
  </conditionalFormatting>
  <conditionalFormatting sqref="E81:G81">
    <cfRule type="expression" dxfId="745" priority="832">
      <formula>IF(OR(AND(E81="",F81="",OR(G81="Critical",G81="Major",G81="Minor"))),1,0)</formula>
    </cfRule>
  </conditionalFormatting>
  <conditionalFormatting sqref="F81">
    <cfRule type="expression" dxfId="744" priority="831">
      <formula>IF(AND(F81="",OR(E81="Accuracy",E81="Fluency",E81="Segment",E81="Other")),1,0)</formula>
    </cfRule>
  </conditionalFormatting>
  <conditionalFormatting sqref="G81">
    <cfRule type="expression" dxfId="743" priority="833">
      <formula>IF(AND(OR(G81="",#REF!="Segment"),OR(#REF!="Accuracy",#REF!="Fluency",#REF!="Other")),1,0)</formula>
    </cfRule>
  </conditionalFormatting>
  <conditionalFormatting sqref="G82">
    <cfRule type="expression" dxfId="742" priority="829">
      <formula>IF(OR(AND(G82="",H82="",OR(I82="Critical",I82="Major",I82="Minor"))),1,0)</formula>
    </cfRule>
  </conditionalFormatting>
  <conditionalFormatting sqref="G82">
    <cfRule type="expression" dxfId="741" priority="830">
      <formula>IF(AND(OR(G82="",#REF!="Segment"),OR(#REF!="Accuracy",#REF!="Fluency",#REF!="Other")),1,0)</formula>
    </cfRule>
  </conditionalFormatting>
  <conditionalFormatting sqref="G83">
    <cfRule type="expression" dxfId="740" priority="826">
      <formula>IF(OR(AND(G83="",H83="",OR(I83="Critical",I83="Major",I83="Minor"))),1,0)</formula>
    </cfRule>
  </conditionalFormatting>
  <conditionalFormatting sqref="G83">
    <cfRule type="expression" dxfId="739" priority="827">
      <formula>IF(AND(OR(G83="",#REF!="Segment"),OR(#REF!="Accuracy",#REF!="Fluency",#REF!="Other")),1,0)</formula>
    </cfRule>
  </conditionalFormatting>
  <conditionalFormatting sqref="E87:G89">
    <cfRule type="expression" dxfId="738" priority="823">
      <formula>IF(OR(AND(E87="",F87="",OR(G87="Critical",G87="Major",G87="Minor"))),1,0)</formula>
    </cfRule>
  </conditionalFormatting>
  <conditionalFormatting sqref="F87:F89">
    <cfRule type="expression" dxfId="737" priority="822">
      <formula>IF(AND(F87="",OR(E87="Accuracy",E87="Fluency",E87="Segment",E87="Other")),1,0)</formula>
    </cfRule>
  </conditionalFormatting>
  <conditionalFormatting sqref="G87:G89">
    <cfRule type="expression" dxfId="736" priority="824">
      <formula>IF(AND(OR(G87="",#REF!="Segment"),OR(#REF!="Accuracy",#REF!="Fluency",#REF!="Other")),1,0)</formula>
    </cfRule>
  </conditionalFormatting>
  <conditionalFormatting sqref="E96:F96">
    <cfRule type="expression" dxfId="735" priority="821">
      <formula>IF(OR(AND(E96="",F96="",OR(G96="Critical",G96="Major",G96="Minor"))),1,0)</formula>
    </cfRule>
  </conditionalFormatting>
  <conditionalFormatting sqref="F96">
    <cfRule type="expression" dxfId="734" priority="820">
      <formula>IF(AND(F96="",OR(E96="Accuracy",E96="Fluency",E96="Segment",E96="Other")),1,0)</formula>
    </cfRule>
  </conditionalFormatting>
  <conditionalFormatting sqref="E97:F97">
    <cfRule type="expression" dxfId="733" priority="819">
      <formula>IF(OR(AND(E97="",F97="",OR(G97="Critical",G97="Major",G97="Minor"))),1,0)</formula>
    </cfRule>
  </conditionalFormatting>
  <conditionalFormatting sqref="F97">
    <cfRule type="expression" dxfId="732" priority="818">
      <formula>IF(AND(F97="",OR(E97="Accuracy",E97="Fluency",E97="Segment",E97="Other")),1,0)</formula>
    </cfRule>
  </conditionalFormatting>
  <conditionalFormatting sqref="E98:F98">
    <cfRule type="expression" dxfId="731" priority="817">
      <formula>IF(OR(AND(E98="",F98="",OR(G98="Critical",G98="Major",G98="Minor"))),1,0)</formula>
    </cfRule>
  </conditionalFormatting>
  <conditionalFormatting sqref="F98">
    <cfRule type="expression" dxfId="730" priority="816">
      <formula>IF(AND(F98="",OR(E98="Accuracy",E98="Fluency",E98="Segment",E98="Other")),1,0)</formula>
    </cfRule>
  </conditionalFormatting>
  <conditionalFormatting sqref="E104:G104">
    <cfRule type="expression" dxfId="729" priority="814">
      <formula>IF(OR(AND(E104="",F104="",OR(G104="Critical",G104="Major",G104="Minor"))),1,0)</formula>
    </cfRule>
  </conditionalFormatting>
  <conditionalFormatting sqref="F104">
    <cfRule type="expression" dxfId="728" priority="813">
      <formula>IF(AND(F104="",OR(E104="Accuracy",E104="Fluency",E104="Segment",E104="Other")),1,0)</formula>
    </cfRule>
  </conditionalFormatting>
  <conditionalFormatting sqref="G104">
    <cfRule type="expression" dxfId="727" priority="815">
      <formula>IF(AND(OR(G104="",#REF!="Segment"),OR(#REF!="Accuracy",#REF!="Fluency",#REF!="Other")),1,0)</formula>
    </cfRule>
  </conditionalFormatting>
  <conditionalFormatting sqref="E107">
    <cfRule type="expression" dxfId="726" priority="804">
      <formula>IF(OR(AND(E107="",F107="",OR(G107="Critical",G107="Major",G107="Minor"))),1,0)</formula>
    </cfRule>
  </conditionalFormatting>
  <conditionalFormatting sqref="F107:G107">
    <cfRule type="expression" dxfId="725" priority="802">
      <formula>IF(OR(AND(F107="",G107="",OR(H107="Critical",H107="Major",H107="Minor"))),1,0)</formula>
    </cfRule>
  </conditionalFormatting>
  <conditionalFormatting sqref="F107">
    <cfRule type="expression" dxfId="724" priority="801">
      <formula>IF(AND(F107="",OR(E107="Accuracy",E107="Fluency",E107="Segment",E107="Other")),1,0)</formula>
    </cfRule>
  </conditionalFormatting>
  <conditionalFormatting sqref="G107">
    <cfRule type="expression" dxfId="723" priority="803">
      <formula>IF(AND(OR(G107="",#REF!="Segment"),OR(#REF!="Accuracy",#REF!="Fluency",#REF!="Other")),1,0)</formula>
    </cfRule>
  </conditionalFormatting>
  <conditionalFormatting sqref="E105">
    <cfRule type="expression" dxfId="722" priority="812">
      <formula>IF(OR(AND(E105="",F105="",OR(G105="Critical",G105="Major",G105="Minor"))),1,0)</formula>
    </cfRule>
  </conditionalFormatting>
  <conditionalFormatting sqref="F105:G105">
    <cfRule type="expression" dxfId="721" priority="810">
      <formula>IF(OR(AND(F105="",G105="",OR(H105="Critical",H105="Major",H105="Minor"))),1,0)</formula>
    </cfRule>
  </conditionalFormatting>
  <conditionalFormatting sqref="F105">
    <cfRule type="expression" dxfId="720" priority="809">
      <formula>IF(AND(F105="",OR(E105="Accuracy",E105="Fluency",E105="Segment",E105="Other")),1,0)</formula>
    </cfRule>
  </conditionalFormatting>
  <conditionalFormatting sqref="G105">
    <cfRule type="expression" dxfId="719" priority="811">
      <formula>IF(AND(OR(G105="",#REF!="Segment"),OR(#REF!="Accuracy",#REF!="Fluency",#REF!="Other")),1,0)</formula>
    </cfRule>
  </conditionalFormatting>
  <conditionalFormatting sqref="E106">
    <cfRule type="expression" dxfId="718" priority="808">
      <formula>IF(OR(AND(E106="",F106="",OR(G106="Critical",G106="Major",G106="Minor"))),1,0)</formula>
    </cfRule>
  </conditionalFormatting>
  <conditionalFormatting sqref="F106:G106">
    <cfRule type="expression" dxfId="717" priority="806">
      <formula>IF(OR(AND(F106="",G106="",OR(H106="Critical",H106="Major",H106="Minor"))),1,0)</formula>
    </cfRule>
  </conditionalFormatting>
  <conditionalFormatting sqref="F106">
    <cfRule type="expression" dxfId="716" priority="805">
      <formula>IF(AND(F106="",OR(E106="Accuracy",E106="Fluency",E106="Segment",E106="Other")),1,0)</formula>
    </cfRule>
  </conditionalFormatting>
  <conditionalFormatting sqref="G106">
    <cfRule type="expression" dxfId="715" priority="807">
      <formula>IF(AND(OR(G106="",#REF!="Segment"),OR(#REF!="Accuracy",#REF!="Fluency",#REF!="Other")),1,0)</formula>
    </cfRule>
  </conditionalFormatting>
  <conditionalFormatting sqref="E112:G112">
    <cfRule type="expression" dxfId="714" priority="799">
      <formula>IF(OR(AND(E112="",F112="",OR(G112="Critical",G112="Major",G112="Minor"))),1,0)</formula>
    </cfRule>
  </conditionalFormatting>
  <conditionalFormatting sqref="F112">
    <cfRule type="expression" dxfId="713" priority="798">
      <formula>IF(AND(F112="",OR(E112="Accuracy",E112="Fluency",E112="Segment",E112="Other")),1,0)</formula>
    </cfRule>
  </conditionalFormatting>
  <conditionalFormatting sqref="G112">
    <cfRule type="expression" dxfId="712" priority="800">
      <formula>IF(AND(OR(G112="",#REF!="Segment"),OR(#REF!="Accuracy",#REF!="Fluency",#REF!="Other")),1,0)</formula>
    </cfRule>
  </conditionalFormatting>
  <conditionalFormatting sqref="E113:G113">
    <cfRule type="expression" dxfId="711" priority="796">
      <formula>IF(OR(AND(E113="",F113="",OR(G113="Critical",G113="Major",G113="Minor"))),1,0)</formula>
    </cfRule>
  </conditionalFormatting>
  <conditionalFormatting sqref="F113">
    <cfRule type="expression" dxfId="710" priority="795">
      <formula>IF(AND(F113="",OR(E113="Accuracy",E113="Fluency",E113="Segment",E113="Other")),1,0)</formula>
    </cfRule>
  </conditionalFormatting>
  <conditionalFormatting sqref="G113">
    <cfRule type="expression" dxfId="709" priority="797">
      <formula>IF(AND(OR(G113="",#REF!="Segment"),OR(#REF!="Accuracy",#REF!="Fluency",#REF!="Other")),1,0)</formula>
    </cfRule>
  </conditionalFormatting>
  <conditionalFormatting sqref="E114:G114">
    <cfRule type="expression" dxfId="708" priority="793">
      <formula>IF(OR(AND(E114="",F114="",OR(G114="Critical",G114="Major",G114="Minor"))),1,0)</formula>
    </cfRule>
  </conditionalFormatting>
  <conditionalFormatting sqref="F114">
    <cfRule type="expression" dxfId="707" priority="792">
      <formula>IF(AND(F114="",OR(E114="Accuracy",E114="Fluency",E114="Segment",E114="Other")),1,0)</formula>
    </cfRule>
  </conditionalFormatting>
  <conditionalFormatting sqref="G114">
    <cfRule type="expression" dxfId="706" priority="794">
      <formula>IF(AND(OR(G114="",#REF!="Segment"),OR(#REF!="Accuracy",#REF!="Fluency",#REF!="Other")),1,0)</formula>
    </cfRule>
  </conditionalFormatting>
  <conditionalFormatting sqref="E116:F116">
    <cfRule type="expression" dxfId="705" priority="791">
      <formula>IF(OR(AND(E116="",F116="",OR(G116="Critical",G116="Major",G116="Minor"))),1,0)</formula>
    </cfRule>
  </conditionalFormatting>
  <conditionalFormatting sqref="F116">
    <cfRule type="expression" dxfId="704" priority="790">
      <formula>IF(AND(F116="",OR(E116="Accuracy",E116="Fluency",E116="Segment",E116="Other")),1,0)</formula>
    </cfRule>
  </conditionalFormatting>
  <conditionalFormatting sqref="G118">
    <cfRule type="expression" dxfId="703" priority="788">
      <formula>IF(OR(AND(G118="",H118="",OR(I118="Critical",I118="Major",I118="Minor"))),1,0)</formula>
    </cfRule>
  </conditionalFormatting>
  <conditionalFormatting sqref="G118">
    <cfRule type="expression" dxfId="702" priority="789">
      <formula>IF(AND(OR(G118="",#REF!="Segment"),OR(#REF!="Accuracy",#REF!="Fluency",#REF!="Other")),1,0)</formula>
    </cfRule>
  </conditionalFormatting>
  <conditionalFormatting sqref="E118:F118">
    <cfRule type="expression" dxfId="701" priority="787">
      <formula>IF(OR(AND(E118="",F118="",OR(G118="Critical",G118="Major",G118="Minor"))),1,0)</formula>
    </cfRule>
  </conditionalFormatting>
  <conditionalFormatting sqref="F118">
    <cfRule type="expression" dxfId="700" priority="786">
      <formula>IF(AND(F118="",OR(E118="Accuracy",E118="Fluency",E118="Segment",E118="Other")),1,0)</formula>
    </cfRule>
  </conditionalFormatting>
  <conditionalFormatting sqref="E120:G120">
    <cfRule type="expression" dxfId="699" priority="784">
      <formula>IF(OR(AND(E120="",F120="",OR(G120="Critical",G120="Major",G120="Minor"))),1,0)</formula>
    </cfRule>
  </conditionalFormatting>
  <conditionalFormatting sqref="F120">
    <cfRule type="expression" dxfId="698" priority="783">
      <formula>IF(AND(F120="",OR(E120="Accuracy",E120="Fluency",E120="Segment",E120="Other")),1,0)</formula>
    </cfRule>
  </conditionalFormatting>
  <conditionalFormatting sqref="G120">
    <cfRule type="expression" dxfId="697" priority="785">
      <formula>IF(AND(OR(G120="",#REF!="Segment"),OR(#REF!="Accuracy",#REF!="Fluency",#REF!="Other")),1,0)</formula>
    </cfRule>
  </conditionalFormatting>
  <conditionalFormatting sqref="E121:G121">
    <cfRule type="expression" dxfId="696" priority="781">
      <formula>IF(OR(AND(E121="",F121="",OR(G121="Critical",G121="Major",G121="Minor"))),1,0)</formula>
    </cfRule>
  </conditionalFormatting>
  <conditionalFormatting sqref="F121">
    <cfRule type="expression" dxfId="695" priority="780">
      <formula>IF(AND(F121="",OR(E121="Accuracy",E121="Fluency",E121="Segment",E121="Other")),1,0)</formula>
    </cfRule>
  </conditionalFormatting>
  <conditionalFormatting sqref="G121">
    <cfRule type="expression" dxfId="694" priority="782">
      <formula>IF(AND(OR(G121="",#REF!="Segment"),OR(#REF!="Accuracy",#REF!="Fluency",#REF!="Other")),1,0)</formula>
    </cfRule>
  </conditionalFormatting>
  <conditionalFormatting sqref="E122:G122">
    <cfRule type="expression" dxfId="693" priority="778">
      <formula>IF(OR(AND(E122="",F122="",OR(G122="Critical",G122="Major",G122="Minor"))),1,0)</formula>
    </cfRule>
  </conditionalFormatting>
  <conditionalFormatting sqref="F122">
    <cfRule type="expression" dxfId="692" priority="777">
      <formula>IF(AND(F122="",OR(E122="Accuracy",E122="Fluency",E122="Segment",E122="Other")),1,0)</formula>
    </cfRule>
  </conditionalFormatting>
  <conditionalFormatting sqref="G122">
    <cfRule type="expression" dxfId="691" priority="779">
      <formula>IF(AND(OR(G122="",#REF!="Segment"),OR(#REF!="Accuracy",#REF!="Fluency",#REF!="Other")),1,0)</formula>
    </cfRule>
  </conditionalFormatting>
  <conditionalFormatting sqref="G123">
    <cfRule type="expression" dxfId="690" priority="775">
      <formula>IF(OR(AND(G123="",H123="",OR(I123="Critical",I123="Major",I123="Minor"))),1,0)</formula>
    </cfRule>
  </conditionalFormatting>
  <conditionalFormatting sqref="G123">
    <cfRule type="expression" dxfId="689" priority="776">
      <formula>IF(AND(OR(G123="",#REF!="Segment"),OR(#REF!="Accuracy",#REF!="Fluency",#REF!="Other")),1,0)</formula>
    </cfRule>
  </conditionalFormatting>
  <conditionalFormatting sqref="G129">
    <cfRule type="expression" dxfId="688" priority="772">
      <formula>IF(OR(AND(G129="",H129="",OR(I129="Critical",I129="Major",I129="Minor"))),1,0)</formula>
    </cfRule>
  </conditionalFormatting>
  <conditionalFormatting sqref="G129">
    <cfRule type="expression" dxfId="687" priority="773">
      <formula>IF(AND(OR(G129="",#REF!="Segment"),OR(#REF!="Accuracy",#REF!="Fluency",#REF!="Other")),1,0)</formula>
    </cfRule>
  </conditionalFormatting>
  <conditionalFormatting sqref="E131:G131">
    <cfRule type="expression" dxfId="686" priority="769">
      <formula>IF(OR(AND(E131="",F131="",OR(G131="Critical",G131="Major",G131="Minor"))),1,0)</formula>
    </cfRule>
  </conditionalFormatting>
  <conditionalFormatting sqref="F131">
    <cfRule type="expression" dxfId="685" priority="768">
      <formula>IF(AND(F131="",OR(E131="Accuracy",E131="Fluency",E131="Segment",E131="Other")),1,0)</formula>
    </cfRule>
  </conditionalFormatting>
  <conditionalFormatting sqref="G131">
    <cfRule type="expression" dxfId="684" priority="770">
      <formula>IF(AND(OR(G131="",#REF!="Segment"),OR(#REF!="Accuracy",#REF!="Fluency",#REF!="Other")),1,0)</formula>
    </cfRule>
  </conditionalFormatting>
  <conditionalFormatting sqref="E132:G132">
    <cfRule type="expression" dxfId="683" priority="766">
      <formula>IF(OR(AND(E132="",F132="",OR(G132="Critical",G132="Major",G132="Minor"))),1,0)</formula>
    </cfRule>
  </conditionalFormatting>
  <conditionalFormatting sqref="F132">
    <cfRule type="expression" dxfId="682" priority="765">
      <formula>IF(AND(F132="",OR(E132="Accuracy",E132="Fluency",E132="Segment",E132="Other")),1,0)</formula>
    </cfRule>
  </conditionalFormatting>
  <conditionalFormatting sqref="G132">
    <cfRule type="expression" dxfId="681" priority="767">
      <formula>IF(AND(OR(G132="",#REF!="Segment"),OR(#REF!="Accuracy",#REF!="Fluency",#REF!="Other")),1,0)</formula>
    </cfRule>
  </conditionalFormatting>
  <conditionalFormatting sqref="E133:G133">
    <cfRule type="expression" dxfId="680" priority="763">
      <formula>IF(OR(AND(E133="",F133="",OR(G133="Critical",G133="Major",G133="Minor"))),1,0)</formula>
    </cfRule>
  </conditionalFormatting>
  <conditionalFormatting sqref="F133">
    <cfRule type="expression" dxfId="679" priority="762">
      <formula>IF(AND(F133="",OR(E133="Accuracy",E133="Fluency",E133="Segment",E133="Other")),1,0)</formula>
    </cfRule>
  </conditionalFormatting>
  <conditionalFormatting sqref="G133">
    <cfRule type="expression" dxfId="678" priority="764">
      <formula>IF(AND(OR(G133="",#REF!="Segment"),OR(#REF!="Accuracy",#REF!="Fluency",#REF!="Other")),1,0)</formula>
    </cfRule>
  </conditionalFormatting>
  <conditionalFormatting sqref="E134:G134">
    <cfRule type="expression" dxfId="677" priority="760">
      <formula>IF(OR(AND(E134="",F134="",OR(G134="Critical",G134="Major",G134="Minor"))),1,0)</formula>
    </cfRule>
  </conditionalFormatting>
  <conditionalFormatting sqref="F134">
    <cfRule type="expression" dxfId="676" priority="759">
      <formula>IF(AND(F134="",OR(E134="Accuracy",E134="Fluency",E134="Segment",E134="Other")),1,0)</formula>
    </cfRule>
  </conditionalFormatting>
  <conditionalFormatting sqref="G134">
    <cfRule type="expression" dxfId="675" priority="761">
      <formula>IF(AND(OR(G134="",#REF!="Segment"),OR(#REF!="Accuracy",#REF!="Fluency",#REF!="Other")),1,0)</formula>
    </cfRule>
  </conditionalFormatting>
  <conditionalFormatting sqref="G136">
    <cfRule type="expression" dxfId="674" priority="757">
      <formula>IF(OR(AND(G136="",H136="",OR(I136="Critical",I136="Major",I136="Minor"))),1,0)</formula>
    </cfRule>
  </conditionalFormatting>
  <conditionalFormatting sqref="G136">
    <cfRule type="expression" dxfId="673" priority="758">
      <formula>IF(AND(OR(G136="",#REF!="Segment"),OR(#REF!="Accuracy",#REF!="Fluency",#REF!="Other")),1,0)</formula>
    </cfRule>
  </conditionalFormatting>
  <conditionalFormatting sqref="E138:G139">
    <cfRule type="expression" dxfId="672" priority="754">
      <formula>IF(OR(AND(E138="",F138="",OR(G138="Critical",G138="Major",G138="Minor"))),1,0)</formula>
    </cfRule>
  </conditionalFormatting>
  <conditionalFormatting sqref="F138:F139">
    <cfRule type="expression" dxfId="671" priority="753">
      <formula>IF(AND(F138="",OR(E138="Accuracy",E138="Fluency",E138="Segment",E138="Other")),1,0)</formula>
    </cfRule>
  </conditionalFormatting>
  <conditionalFormatting sqref="G138:G139">
    <cfRule type="expression" dxfId="670" priority="755">
      <formula>IF(AND(OR(G138="",#REF!="Segment"),OR(#REF!="Accuracy",#REF!="Fluency",#REF!="Other")),1,0)</formula>
    </cfRule>
  </conditionalFormatting>
  <conditionalFormatting sqref="G145">
    <cfRule type="expression" dxfId="669" priority="751">
      <formula>IF(OR(AND(G145="",H145="",OR(I145="Critical",I145="Major",I145="Minor"))),1,0)</formula>
    </cfRule>
  </conditionalFormatting>
  <conditionalFormatting sqref="G145">
    <cfRule type="expression" dxfId="668" priority="752">
      <formula>IF(AND(OR(G145="",#REF!="Segment"),OR(#REF!="Accuracy",#REF!="Fluency",#REF!="Other")),1,0)</formula>
    </cfRule>
  </conditionalFormatting>
  <conditionalFormatting sqref="G146">
    <cfRule type="expression" dxfId="667" priority="748">
      <formula>IF(OR(AND(G146="",H146="",OR(I146="Critical",I146="Major",I146="Minor"))),1,0)</formula>
    </cfRule>
  </conditionalFormatting>
  <conditionalFormatting sqref="G146">
    <cfRule type="expression" dxfId="666" priority="749">
      <formula>IF(AND(OR(G146="",#REF!="Segment"),OR(#REF!="Accuracy",#REF!="Fluency",#REF!="Other")),1,0)</formula>
    </cfRule>
  </conditionalFormatting>
  <conditionalFormatting sqref="E147:G147">
    <cfRule type="expression" dxfId="665" priority="745">
      <formula>IF(OR(AND(E147="",F147="",OR(G147="Critical",G147="Major",G147="Minor"))),1,0)</formula>
    </cfRule>
  </conditionalFormatting>
  <conditionalFormatting sqref="F147">
    <cfRule type="expression" dxfId="664" priority="744">
      <formula>IF(AND(F147="",OR(E147="Accuracy",E147="Fluency",E147="Segment",E147="Other")),1,0)</formula>
    </cfRule>
  </conditionalFormatting>
  <conditionalFormatting sqref="G147">
    <cfRule type="expression" dxfId="663" priority="746">
      <formula>IF(AND(OR(G147="",#REF!="Segment"),OR(#REF!="Accuracy",#REF!="Fluency",#REF!="Other")),1,0)</formula>
    </cfRule>
  </conditionalFormatting>
  <conditionalFormatting sqref="E148:G148">
    <cfRule type="expression" dxfId="662" priority="742">
      <formula>IF(OR(AND(E148="",F148="",OR(G148="Critical",G148="Major",G148="Minor"))),1,0)</formula>
    </cfRule>
  </conditionalFormatting>
  <conditionalFormatting sqref="F148">
    <cfRule type="expression" dxfId="661" priority="741">
      <formula>IF(AND(F148="",OR(E148="Accuracy",E148="Fluency",E148="Segment",E148="Other")),1,0)</formula>
    </cfRule>
  </conditionalFormatting>
  <conditionalFormatting sqref="G148">
    <cfRule type="expression" dxfId="660" priority="743">
      <formula>IF(AND(OR(G148="",#REF!="Segment"),OR(#REF!="Accuracy",#REF!="Fluency",#REF!="Other")),1,0)</formula>
    </cfRule>
  </conditionalFormatting>
  <conditionalFormatting sqref="G150">
    <cfRule type="expression" dxfId="659" priority="739">
      <formula>IF(OR(AND(G150="",H150="",OR(I150="Critical",I150="Major",I150="Minor"))),1,0)</formula>
    </cfRule>
  </conditionalFormatting>
  <conditionalFormatting sqref="G150">
    <cfRule type="expression" dxfId="658" priority="740">
      <formula>IF(AND(OR(G150="",#REF!="Segment"),OR(#REF!="Accuracy",#REF!="Fluency",#REF!="Other")),1,0)</formula>
    </cfRule>
  </conditionalFormatting>
  <conditionalFormatting sqref="E152:G152">
    <cfRule type="expression" dxfId="657" priority="736">
      <formula>IF(OR(AND(E152="",F152="",OR(G152="Critical",G152="Major",G152="Minor"))),1,0)</formula>
    </cfRule>
  </conditionalFormatting>
  <conditionalFormatting sqref="F152">
    <cfRule type="expression" dxfId="656" priority="735">
      <formula>IF(AND(F152="",OR(E152="Accuracy",E152="Fluency",E152="Segment",E152="Other")),1,0)</formula>
    </cfRule>
  </conditionalFormatting>
  <conditionalFormatting sqref="G152">
    <cfRule type="expression" dxfId="655" priority="737">
      <formula>IF(AND(OR(G152="",#REF!="Segment"),OR(#REF!="Accuracy",#REF!="Fluency",#REF!="Other")),1,0)</formula>
    </cfRule>
  </conditionalFormatting>
  <conditionalFormatting sqref="E154:G154">
    <cfRule type="expression" dxfId="654" priority="733">
      <formula>IF(OR(AND(E154="",F154="",OR(G154="Critical",G154="Major",G154="Minor"))),1,0)</formula>
    </cfRule>
  </conditionalFormatting>
  <conditionalFormatting sqref="F154">
    <cfRule type="expression" dxfId="653" priority="732">
      <formula>IF(AND(F154="",OR(E154="Accuracy",E154="Fluency",E154="Segment",E154="Other")),1,0)</formula>
    </cfRule>
  </conditionalFormatting>
  <conditionalFormatting sqref="G154">
    <cfRule type="expression" dxfId="652" priority="734">
      <formula>IF(AND(OR(G154="",#REF!="Segment"),OR(#REF!="Accuracy",#REF!="Fluency",#REF!="Other")),1,0)</formula>
    </cfRule>
  </conditionalFormatting>
  <conditionalFormatting sqref="E155:G155">
    <cfRule type="expression" dxfId="651" priority="730">
      <formula>IF(OR(AND(E155="",F155="",OR(G155="Critical",G155="Major",G155="Minor"))),1,0)</formula>
    </cfRule>
  </conditionalFormatting>
  <conditionalFormatting sqref="F155">
    <cfRule type="expression" dxfId="650" priority="729">
      <formula>IF(AND(F155="",OR(E155="Accuracy",E155="Fluency",E155="Segment",E155="Other")),1,0)</formula>
    </cfRule>
  </conditionalFormatting>
  <conditionalFormatting sqref="G155">
    <cfRule type="expression" dxfId="649" priority="731">
      <formula>IF(AND(OR(G155="",#REF!="Segment"),OR(#REF!="Accuracy",#REF!="Fluency",#REF!="Other")),1,0)</formula>
    </cfRule>
  </conditionalFormatting>
  <conditionalFormatting sqref="G156">
    <cfRule type="expression" dxfId="648" priority="727">
      <formula>IF(OR(AND(G156="",H156="",OR(I156="Critical",I156="Major",I156="Minor"))),1,0)</formula>
    </cfRule>
  </conditionalFormatting>
  <conditionalFormatting sqref="G156">
    <cfRule type="expression" dxfId="647" priority="728">
      <formula>IF(AND(OR(G156="",#REF!="Segment"),OR(#REF!="Accuracy",#REF!="Fluency",#REF!="Other")),1,0)</formula>
    </cfRule>
  </conditionalFormatting>
  <conditionalFormatting sqref="G157">
    <cfRule type="expression" dxfId="646" priority="724">
      <formula>IF(OR(AND(G157="",H157="",OR(I157="Critical",I157="Major",I157="Minor"))),1,0)</formula>
    </cfRule>
  </conditionalFormatting>
  <conditionalFormatting sqref="G157">
    <cfRule type="expression" dxfId="645" priority="725">
      <formula>IF(AND(OR(G157="",#REF!="Segment"),OR(#REF!="Accuracy",#REF!="Fluency",#REF!="Other")),1,0)</formula>
    </cfRule>
  </conditionalFormatting>
  <conditionalFormatting sqref="E160:G160">
    <cfRule type="expression" dxfId="644" priority="721">
      <formula>IF(OR(AND(E160="",F160="",OR(G160="Critical",G160="Major",G160="Minor"))),1,0)</formula>
    </cfRule>
  </conditionalFormatting>
  <conditionalFormatting sqref="F160">
    <cfRule type="expression" dxfId="643" priority="720">
      <formula>IF(AND(F160="",OR(E160="Accuracy",E160="Fluency",E160="Segment",E160="Other")),1,0)</formula>
    </cfRule>
  </conditionalFormatting>
  <conditionalFormatting sqref="G160">
    <cfRule type="expression" dxfId="642" priority="722">
      <formula>IF(AND(OR(G160="",#REF!="Segment"),OR(#REF!="Accuracy",#REF!="Fluency",#REF!="Other")),1,0)</formula>
    </cfRule>
  </conditionalFormatting>
  <conditionalFormatting sqref="G161">
    <cfRule type="expression" dxfId="641" priority="718">
      <formula>IF(OR(AND(G161="",H161="",OR(I161="Critical",I161="Major",I161="Minor"))),1,0)</formula>
    </cfRule>
  </conditionalFormatting>
  <conditionalFormatting sqref="G161">
    <cfRule type="expression" dxfId="640" priority="719">
      <formula>IF(AND(OR(G161="",#REF!="Segment"),OR(#REF!="Accuracy",#REF!="Fluency",#REF!="Other")),1,0)</formula>
    </cfRule>
  </conditionalFormatting>
  <conditionalFormatting sqref="E162:G162">
    <cfRule type="expression" dxfId="639" priority="715">
      <formula>IF(OR(AND(E162="",F162="",OR(G162="Critical",G162="Major",G162="Minor"))),1,0)</formula>
    </cfRule>
  </conditionalFormatting>
  <conditionalFormatting sqref="F162">
    <cfRule type="expression" dxfId="638" priority="714">
      <formula>IF(AND(F162="",OR(E162="Accuracy",E162="Fluency",E162="Segment",E162="Other")),1,0)</formula>
    </cfRule>
  </conditionalFormatting>
  <conditionalFormatting sqref="G162">
    <cfRule type="expression" dxfId="637" priority="716">
      <formula>IF(AND(OR(G162="",#REF!="Segment"),OR(#REF!="Accuracy",#REF!="Fluency",#REF!="Other")),1,0)</formula>
    </cfRule>
  </conditionalFormatting>
  <conditionalFormatting sqref="G165">
    <cfRule type="expression" dxfId="636" priority="712">
      <formula>IF(OR(AND(G165="",H165="",OR(I165="Critical",I165="Major",I165="Minor"))),1,0)</formula>
    </cfRule>
  </conditionalFormatting>
  <conditionalFormatting sqref="G165">
    <cfRule type="expression" dxfId="635" priority="713">
      <formula>IF(AND(OR(G165="",#REF!="Segment"),OR(#REF!="Accuracy",#REF!="Fluency",#REF!="Other")),1,0)</formula>
    </cfRule>
  </conditionalFormatting>
  <conditionalFormatting sqref="E169:G169">
    <cfRule type="expression" dxfId="634" priority="709">
      <formula>IF(OR(AND(E169="",F169="",OR(G169="Critical",G169="Major",G169="Minor"))),1,0)</formula>
    </cfRule>
  </conditionalFormatting>
  <conditionalFormatting sqref="F169">
    <cfRule type="expression" dxfId="633" priority="708">
      <formula>IF(AND(F169="",OR(E169="Accuracy",E169="Fluency",E169="Segment",E169="Other")),1,0)</formula>
    </cfRule>
  </conditionalFormatting>
  <conditionalFormatting sqref="G169">
    <cfRule type="expression" dxfId="632" priority="710">
      <formula>IF(AND(OR(G169="",#REF!="Segment"),OR(#REF!="Accuracy",#REF!="Fluency",#REF!="Other")),1,0)</formula>
    </cfRule>
  </conditionalFormatting>
  <conditionalFormatting sqref="E170:G170">
    <cfRule type="expression" dxfId="631" priority="706">
      <formula>IF(OR(AND(E170="",F170="",OR(G170="Critical",G170="Major",G170="Minor"))),1,0)</formula>
    </cfRule>
  </conditionalFormatting>
  <conditionalFormatting sqref="F170">
    <cfRule type="expression" dxfId="630" priority="705">
      <formula>IF(AND(F170="",OR(E170="Accuracy",E170="Fluency",E170="Segment",E170="Other")),1,0)</formula>
    </cfRule>
  </conditionalFormatting>
  <conditionalFormatting sqref="G170">
    <cfRule type="expression" dxfId="629" priority="707">
      <formula>IF(AND(OR(G170="",#REF!="Segment"),OR(#REF!="Accuracy",#REF!="Fluency",#REF!="Other")),1,0)</formula>
    </cfRule>
  </conditionalFormatting>
  <conditionalFormatting sqref="G180">
    <cfRule type="expression" dxfId="628" priority="703">
      <formula>IF(OR(AND(G180="",H180="",OR(I180="Critical",I180="Major",I180="Minor"))),1,0)</formula>
    </cfRule>
  </conditionalFormatting>
  <conditionalFormatting sqref="G180">
    <cfRule type="expression" dxfId="627" priority="704">
      <formula>IF(AND(OR(G180="",#REF!="Segment"),OR(#REF!="Accuracy",#REF!="Fluency",#REF!="Other")),1,0)</formula>
    </cfRule>
  </conditionalFormatting>
  <conditionalFormatting sqref="G181">
    <cfRule type="expression" dxfId="626" priority="700">
      <formula>IF(OR(AND(G181="",H181="",OR(I181="Critical",I181="Major",I181="Minor"))),1,0)</formula>
    </cfRule>
  </conditionalFormatting>
  <conditionalFormatting sqref="G181">
    <cfRule type="expression" dxfId="625" priority="701">
      <formula>IF(AND(OR(G181="",#REF!="Segment"),OR(#REF!="Accuracy",#REF!="Fluency",#REF!="Other")),1,0)</formula>
    </cfRule>
  </conditionalFormatting>
  <conditionalFormatting sqref="E183:G183">
    <cfRule type="expression" dxfId="624" priority="697">
      <formula>IF(OR(AND(E183="",F183="",OR(G183="Critical",G183="Major",G183="Minor"))),1,0)</formula>
    </cfRule>
  </conditionalFormatting>
  <conditionalFormatting sqref="F183">
    <cfRule type="expression" dxfId="623" priority="696">
      <formula>IF(AND(F183="",OR(E183="Accuracy",E183="Fluency",E183="Segment",E183="Other")),1,0)</formula>
    </cfRule>
  </conditionalFormatting>
  <conditionalFormatting sqref="G183">
    <cfRule type="expression" dxfId="622" priority="698">
      <formula>IF(AND(OR(G183="",#REF!="Segment"),OR(#REF!="Accuracy",#REF!="Fluency",#REF!="Other")),1,0)</formula>
    </cfRule>
  </conditionalFormatting>
  <conditionalFormatting sqref="G185:G186">
    <cfRule type="expression" dxfId="621" priority="694">
      <formula>IF(OR(AND(G185="",H185="",OR(I185="Critical",I185="Major",I185="Minor"))),1,0)</formula>
    </cfRule>
  </conditionalFormatting>
  <conditionalFormatting sqref="G185:G186">
    <cfRule type="expression" dxfId="620" priority="695">
      <formula>IF(AND(OR(G185="",#REF!="Segment"),OR(#REF!="Accuracy",#REF!="Fluency",#REF!="Other")),1,0)</formula>
    </cfRule>
  </conditionalFormatting>
  <conditionalFormatting sqref="E187:G187">
    <cfRule type="expression" dxfId="619" priority="691">
      <formula>IF(OR(AND(E187="",F187="",OR(G187="Critical",G187="Major",G187="Minor"))),1,0)</formula>
    </cfRule>
  </conditionalFormatting>
  <conditionalFormatting sqref="F187">
    <cfRule type="expression" dxfId="618" priority="690">
      <formula>IF(AND(F187="",OR(E187="Accuracy",E187="Fluency",E187="Segment",E187="Other")),1,0)</formula>
    </cfRule>
  </conditionalFormatting>
  <conditionalFormatting sqref="G187">
    <cfRule type="expression" dxfId="617" priority="692">
      <formula>IF(AND(OR(G187="",#REF!="Segment"),OR(#REF!="Accuracy",#REF!="Fluency",#REF!="Other")),1,0)</formula>
    </cfRule>
  </conditionalFormatting>
  <conditionalFormatting sqref="E188:G188">
    <cfRule type="expression" dxfId="616" priority="688">
      <formula>IF(OR(AND(E188="",F188="",OR(G188="Critical",G188="Major",G188="Minor"))),1,0)</formula>
    </cfRule>
  </conditionalFormatting>
  <conditionalFormatting sqref="F188">
    <cfRule type="expression" dxfId="615" priority="687">
      <formula>IF(AND(F188="",OR(E188="Accuracy",E188="Fluency",E188="Segment",E188="Other")),1,0)</formula>
    </cfRule>
  </conditionalFormatting>
  <conditionalFormatting sqref="G188">
    <cfRule type="expression" dxfId="614" priority="689">
      <formula>IF(AND(OR(G188="",#REF!="Segment"),OR(#REF!="Accuracy",#REF!="Fluency",#REF!="Other")),1,0)</formula>
    </cfRule>
  </conditionalFormatting>
  <conditionalFormatting sqref="E189:G189">
    <cfRule type="expression" dxfId="613" priority="685">
      <formula>IF(OR(AND(E189="",F189="",OR(G189="Critical",G189="Major",G189="Minor"))),1,0)</formula>
    </cfRule>
  </conditionalFormatting>
  <conditionalFormatting sqref="F189">
    <cfRule type="expression" dxfId="612" priority="684">
      <formula>IF(AND(F189="",OR(E189="Accuracy",E189="Fluency",E189="Segment",E189="Other")),1,0)</formula>
    </cfRule>
  </conditionalFormatting>
  <conditionalFormatting sqref="G189">
    <cfRule type="expression" dxfId="611" priority="686">
      <formula>IF(AND(OR(G189="",#REF!="Segment"),OR(#REF!="Accuracy",#REF!="Fluency",#REF!="Other")),1,0)</formula>
    </cfRule>
  </conditionalFormatting>
  <conditionalFormatting sqref="E299:G299 E296:G296 E272:G293 E263:G266 E269:G269 G253 E255:G259 E261:G261 E250:G250 E245:G245 E240:F240 E237:G239 E231:G232 E223:G223 E225:G227 G218 G215 G212 G205:G207 F197:G197 E234:G234 G233 G244 E247:G247 G246 G267 G297 G196 F199:G200 G198">
    <cfRule type="expression" dxfId="610" priority="683">
      <formula>IF(OR(AND(E196="",F196="",OR(G196="Critical",G196="Major",G196="Minor"))),1,0)</formula>
    </cfRule>
  </conditionalFormatting>
  <conditionalFormatting sqref="F299 F296 F272:F293 F263:F266 F269 F255:F259 F261 F250 F245 F237:F240 F231:F232 F223 F225:F227 F197 F199:F200 F234 F247">
    <cfRule type="expression" dxfId="609" priority="682">
      <formula>IF(AND(F197="",OR(E197="Accuracy",E197="Fluency",E197="Segment",E197="Other")),1,0)</formula>
    </cfRule>
  </conditionalFormatting>
  <conditionalFormatting sqref="G196:G200">
    <cfRule type="expression" dxfId="608" priority="681">
      <formula>IF(AND(OR(G196="",E196="Segment"),OR(E196="Accuracy",E196="Fluency",E196="Other")),1,0)</formula>
    </cfRule>
  </conditionalFormatting>
  <conditionalFormatting sqref="E197 E199:E200">
    <cfRule type="expression" dxfId="607" priority="680">
      <formula>IF(OR(AND(E197="",F197="",OR(G197="Critical",G197="Major",G197="Minor"))),1,0)</formula>
    </cfRule>
  </conditionalFormatting>
  <conditionalFormatting sqref="G201">
    <cfRule type="expression" dxfId="606" priority="677">
      <formula>IF(AND(OR(G201="",E201="Segment"),OR(E201="Accuracy",E201="Fluency",E201="Other")),1,0)</formula>
    </cfRule>
  </conditionalFormatting>
  <conditionalFormatting sqref="G201">
    <cfRule type="expression" dxfId="605" priority="679">
      <formula>IF(OR(AND(G201="",H201="",OR(I201="Critical",I201="Major",I201="Minor"))),1,0)</formula>
    </cfRule>
  </conditionalFormatting>
  <conditionalFormatting sqref="G202">
    <cfRule type="expression" dxfId="604" priority="676">
      <formula>IF(OR(AND(G202="",H202="",OR(I202="Critical",I202="Major",I202="Minor"))),1,0)</formula>
    </cfRule>
  </conditionalFormatting>
  <conditionalFormatting sqref="G202">
    <cfRule type="expression" dxfId="603" priority="675">
      <formula>IF(AND(OR(G202="",E202="Segment"),OR(E202="Accuracy",E202="Fluency",E202="Other")),1,0)</formula>
    </cfRule>
  </conditionalFormatting>
  <conditionalFormatting sqref="E202:F202">
    <cfRule type="expression" dxfId="602" priority="674">
      <formula>IF(OR(AND(E202="",F202="",OR(G202="Critical",G202="Major",G202="Minor"))),1,0)</formula>
    </cfRule>
  </conditionalFormatting>
  <conditionalFormatting sqref="F202">
    <cfRule type="expression" dxfId="601" priority="673">
      <formula>IF(AND(F202="",OR(E202="Accuracy",E202="Fluency",E202="Segment",E202="Other")),1,0)</formula>
    </cfRule>
  </conditionalFormatting>
  <conditionalFormatting sqref="G203">
    <cfRule type="expression" dxfId="600" priority="672">
      <formula>IF(OR(AND(G203="",H203="",OR(I203="Critical",I203="Major",I203="Minor"))),1,0)</formula>
    </cfRule>
  </conditionalFormatting>
  <conditionalFormatting sqref="G203">
    <cfRule type="expression" dxfId="599" priority="671">
      <formula>IF(AND(OR(G203="",E203="Segment"),OR(E203="Accuracy",E203="Fluency",E203="Other")),1,0)</formula>
    </cfRule>
  </conditionalFormatting>
  <conditionalFormatting sqref="E203:F203">
    <cfRule type="expression" dxfId="598" priority="670">
      <formula>IF(OR(AND(E203="",F203="",OR(G203="Critical",G203="Major",G203="Minor"))),1,0)</formula>
    </cfRule>
  </conditionalFormatting>
  <conditionalFormatting sqref="F203">
    <cfRule type="expression" dxfId="597" priority="669">
      <formula>IF(AND(F203="",OR(E203="Accuracy",E203="Fluency",E203="Segment",E203="Other")),1,0)</formula>
    </cfRule>
  </conditionalFormatting>
  <conditionalFormatting sqref="G299 G296:G297 G272:G293 G263:G267 G269 G253 G255:G259 G261 G250 G244:G247 G237:G240 G231:G234 G223 G225:G227 G218 G215 G212 G205:G207">
    <cfRule type="expression" dxfId="596" priority="668">
      <formula>IF(AND(OR(G205="",#REF!="Segment"),OR(#REF!="Accuracy",#REF!="Fluency",#REF!="Other")),1,0)</formula>
    </cfRule>
  </conditionalFormatting>
  <conditionalFormatting sqref="G204">
    <cfRule type="expression" dxfId="595" priority="667">
      <formula>IF(OR(AND(G204="",H204="",OR(I204="Critical",I204="Major",I204="Minor"))),1,0)</formula>
    </cfRule>
  </conditionalFormatting>
  <conditionalFormatting sqref="G204">
    <cfRule type="expression" dxfId="594" priority="666">
      <formula>IF(AND(OR(G204="",E204="Segment"),OR(E204="Accuracy",E204="Fluency",E204="Other")),1,0)</formula>
    </cfRule>
  </conditionalFormatting>
  <conditionalFormatting sqref="E205:F207">
    <cfRule type="expression" dxfId="593" priority="665">
      <formula>IF(OR(AND(E205="",F205="",OR(G205="Critical",G205="Major",G205="Minor"))),1,0)</formula>
    </cfRule>
  </conditionalFormatting>
  <conditionalFormatting sqref="F205:F207">
    <cfRule type="expression" dxfId="592" priority="664">
      <formula>IF(AND(F205="",OR(E205="Accuracy",E205="Fluency",E205="Segment",E205="Other")),1,0)</formula>
    </cfRule>
  </conditionalFormatting>
  <conditionalFormatting sqref="G208">
    <cfRule type="expression" dxfId="591" priority="661">
      <formula>IF(OR(AND(G208="",H208="",OR(I208="Critical",I208="Major",I208="Minor"))),1,0)</formula>
    </cfRule>
  </conditionalFormatting>
  <conditionalFormatting sqref="G208">
    <cfRule type="expression" dxfId="590" priority="660">
      <formula>IF(AND(OR(G208="",E208="Segment"),OR(E208="Accuracy",E208="Fluency",E208="Other")),1,0)</formula>
    </cfRule>
  </conditionalFormatting>
  <conditionalFormatting sqref="E209:F211">
    <cfRule type="expression" dxfId="589" priority="659">
      <formula>IF(OR(AND(E209="",F209="",OR(G209="Critical",G209="Major",G209="Minor"))),1,0)</formula>
    </cfRule>
  </conditionalFormatting>
  <conditionalFormatting sqref="F209:F211">
    <cfRule type="expression" dxfId="588" priority="658">
      <formula>IF(AND(F209="",OR(E209="Accuracy",E209="Fluency",E209="Segment",E209="Other")),1,0)</formula>
    </cfRule>
  </conditionalFormatting>
  <conditionalFormatting sqref="G209:G211">
    <cfRule type="expression" dxfId="587" priority="657">
      <formula>IF(OR(AND(G209="",H209="",OR(I209="Critical",I209="Major",I209="Minor"))),1,0)</formula>
    </cfRule>
  </conditionalFormatting>
  <conditionalFormatting sqref="G209:G211">
    <cfRule type="expression" dxfId="586" priority="656">
      <formula>IF(AND(OR(G209="",E209="Segment"),OR(E209="Accuracy",E209="Fluency",E209="Other")),1,0)</formula>
    </cfRule>
  </conditionalFormatting>
  <conditionalFormatting sqref="H212:H214">
    <cfRule type="expression" dxfId="585" priority="655">
      <formula>IF(OR(AND(H212="",J212="",OR(#REF!="Critical",#REF!="Major",#REF!="Minor"))),1,0)</formula>
    </cfRule>
  </conditionalFormatting>
  <conditionalFormatting sqref="G213">
    <cfRule type="expression" dxfId="584" priority="653">
      <formula>IF(OR(AND(G213="",H213="",OR(I213="Critical",I213="Major",I213="Minor"))),1,0)</formula>
    </cfRule>
  </conditionalFormatting>
  <conditionalFormatting sqref="G213">
    <cfRule type="expression" dxfId="583" priority="654">
      <formula>IF(AND(OR(G213="",#REF!="Segment"),OR(#REF!="Accuracy",#REF!="Fluency",#REF!="Other")),1,0)</formula>
    </cfRule>
  </conditionalFormatting>
  <conditionalFormatting sqref="E214:G214">
    <cfRule type="expression" dxfId="582" priority="650">
      <formula>IF(OR(AND(E214="",F214="",OR(G214="Critical",G214="Major",G214="Minor"))),1,0)</formula>
    </cfRule>
  </conditionalFormatting>
  <conditionalFormatting sqref="F214">
    <cfRule type="expression" dxfId="581" priority="649">
      <formula>IF(AND(F214="",OR(E214="Accuracy",E214="Fluency",E214="Segment",E214="Other")),1,0)</formula>
    </cfRule>
  </conditionalFormatting>
  <conditionalFormatting sqref="G214">
    <cfRule type="expression" dxfId="580" priority="651">
      <formula>IF(AND(OR(G214="",#REF!="Segment"),OR(#REF!="Accuracy",#REF!="Fluency",#REF!="Other")),1,0)</formula>
    </cfRule>
  </conditionalFormatting>
  <conditionalFormatting sqref="E216:G216">
    <cfRule type="expression" dxfId="579" priority="647">
      <formula>IF(OR(AND(E216="",F216="",OR(G216="Critical",G216="Major",G216="Minor"))),1,0)</formula>
    </cfRule>
  </conditionalFormatting>
  <conditionalFormatting sqref="F216">
    <cfRule type="expression" dxfId="578" priority="646">
      <formula>IF(AND(F216="",OR(E216="Accuracy",E216="Fluency",E216="Segment",E216="Other")),1,0)</formula>
    </cfRule>
  </conditionalFormatting>
  <conditionalFormatting sqref="G216">
    <cfRule type="expression" dxfId="577" priority="648">
      <formula>IF(AND(OR(G216="",#REF!="Segment"),OR(#REF!="Accuracy",#REF!="Fluency",#REF!="Other")),1,0)</formula>
    </cfRule>
  </conditionalFormatting>
  <conditionalFormatting sqref="E217:G217">
    <cfRule type="expression" dxfId="576" priority="644">
      <formula>IF(OR(AND(E217="",F217="",OR(G217="Critical",G217="Major",G217="Minor"))),1,0)</formula>
    </cfRule>
  </conditionalFormatting>
  <conditionalFormatting sqref="F217">
    <cfRule type="expression" dxfId="575" priority="643">
      <formula>IF(AND(F217="",OR(E217="Accuracy",E217="Fluency",E217="Segment",E217="Other")),1,0)</formula>
    </cfRule>
  </conditionalFormatting>
  <conditionalFormatting sqref="G217">
    <cfRule type="expression" dxfId="574" priority="645">
      <formula>IF(AND(OR(G217="",#REF!="Segment"),OR(#REF!="Accuracy",#REF!="Fluency",#REF!="Other")),1,0)</formula>
    </cfRule>
  </conditionalFormatting>
  <conditionalFormatting sqref="E219:G219">
    <cfRule type="expression" dxfId="573" priority="641">
      <formula>IF(OR(AND(E219="",F219="",OR(G219="Critical",G219="Major",G219="Minor"))),1,0)</formula>
    </cfRule>
  </conditionalFormatting>
  <conditionalFormatting sqref="F219">
    <cfRule type="expression" dxfId="572" priority="640">
      <formula>IF(AND(F219="",OR(E219="Accuracy",E219="Fluency",E219="Segment",E219="Other")),1,0)</formula>
    </cfRule>
  </conditionalFormatting>
  <conditionalFormatting sqref="G219">
    <cfRule type="expression" dxfId="571" priority="642">
      <formula>IF(AND(OR(G219="",#REF!="Segment"),OR(#REF!="Accuracy",#REF!="Fluency",#REF!="Other")),1,0)</formula>
    </cfRule>
  </conditionalFormatting>
  <conditionalFormatting sqref="E220:G220">
    <cfRule type="expression" dxfId="570" priority="638">
      <formula>IF(OR(AND(E220="",F220="",OR(G220="Critical",G220="Major",G220="Minor"))),1,0)</formula>
    </cfRule>
  </conditionalFormatting>
  <conditionalFormatting sqref="F220">
    <cfRule type="expression" dxfId="569" priority="637">
      <formula>IF(AND(F220="",OR(E220="Accuracy",E220="Fluency",E220="Segment",E220="Other")),1,0)</formula>
    </cfRule>
  </conditionalFormatting>
  <conditionalFormatting sqref="G220">
    <cfRule type="expression" dxfId="568" priority="639">
      <formula>IF(AND(OR(G220="",#REF!="Segment"),OR(#REF!="Accuracy",#REF!="Fluency",#REF!="Other")),1,0)</formula>
    </cfRule>
  </conditionalFormatting>
  <conditionalFormatting sqref="G221">
    <cfRule type="expression" dxfId="567" priority="635">
      <formula>IF(OR(AND(G221="",H221="",OR(I221="Critical",I221="Major",I221="Minor"))),1,0)</formula>
    </cfRule>
  </conditionalFormatting>
  <conditionalFormatting sqref="G221">
    <cfRule type="expression" dxfId="566" priority="636">
      <formula>IF(AND(OR(G221="",#REF!="Segment"),OR(#REF!="Accuracy",#REF!="Fluency",#REF!="Other")),1,0)</formula>
    </cfRule>
  </conditionalFormatting>
  <conditionalFormatting sqref="G222">
    <cfRule type="expression" dxfId="565" priority="632">
      <formula>IF(OR(AND(G222="",H222="",OR(I222="Critical",I222="Major",I222="Minor"))),1,0)</formula>
    </cfRule>
  </conditionalFormatting>
  <conditionalFormatting sqref="G222">
    <cfRule type="expression" dxfId="564" priority="633">
      <formula>IF(AND(OR(G222="",#REF!="Segment"),OR(#REF!="Accuracy",#REF!="Fluency",#REF!="Other")),1,0)</formula>
    </cfRule>
  </conditionalFormatting>
  <conditionalFormatting sqref="G224">
    <cfRule type="expression" dxfId="563" priority="629">
      <formula>IF(OR(AND(G224="",H224="",OR(I224="Critical",I224="Major",I224="Minor"))),1,0)</formula>
    </cfRule>
  </conditionalFormatting>
  <conditionalFormatting sqref="G224">
    <cfRule type="expression" dxfId="562" priority="630">
      <formula>IF(AND(OR(G224="",#REF!="Segment"),OR(#REF!="Accuracy",#REF!="Fluency",#REF!="Other")),1,0)</formula>
    </cfRule>
  </conditionalFormatting>
  <conditionalFormatting sqref="E228:G228">
    <cfRule type="expression" dxfId="561" priority="626">
      <formula>IF(OR(AND(E228="",F228="",OR(G228="Critical",G228="Major",G228="Minor"))),1,0)</formula>
    </cfRule>
  </conditionalFormatting>
  <conditionalFormatting sqref="F228">
    <cfRule type="expression" dxfId="560" priority="625">
      <formula>IF(AND(F228="",OR(E228="Accuracy",E228="Fluency",E228="Segment",E228="Other")),1,0)</formula>
    </cfRule>
  </conditionalFormatting>
  <conditionalFormatting sqref="G228">
    <cfRule type="expression" dxfId="559" priority="627">
      <formula>IF(AND(OR(G228="",#REF!="Segment"),OR(#REF!="Accuracy",#REF!="Fluency",#REF!="Other")),1,0)</formula>
    </cfRule>
  </conditionalFormatting>
  <conditionalFormatting sqref="G229:G230">
    <cfRule type="expression" dxfId="558" priority="623">
      <formula>IF(OR(AND(G229="",H229="",OR(I229="Critical",I229="Major",I229="Minor"))),1,0)</formula>
    </cfRule>
  </conditionalFormatting>
  <conditionalFormatting sqref="G229:G230">
    <cfRule type="expression" dxfId="557" priority="624">
      <formula>IF(AND(OR(G229="",#REF!="Segment"),OR(#REF!="Accuracy",#REF!="Fluency",#REF!="Other")),1,0)</formula>
    </cfRule>
  </conditionalFormatting>
  <conditionalFormatting sqref="E235:G235">
    <cfRule type="expression" dxfId="556" priority="620">
      <formula>IF(OR(AND(E235="",F235="",OR(G235="Critical",G235="Major",G235="Minor"))),1,0)</formula>
    </cfRule>
  </conditionalFormatting>
  <conditionalFormatting sqref="F235">
    <cfRule type="expression" dxfId="555" priority="619">
      <formula>IF(AND(F235="",OR(E235="Accuracy",E235="Fluency",E235="Segment",E235="Other")),1,0)</formula>
    </cfRule>
  </conditionalFormatting>
  <conditionalFormatting sqref="G235">
    <cfRule type="expression" dxfId="554" priority="621">
      <formula>IF(AND(OR(G235="",#REF!="Segment"),OR(#REF!="Accuracy",#REF!="Fluency",#REF!="Other")),1,0)</formula>
    </cfRule>
  </conditionalFormatting>
  <conditionalFormatting sqref="E236:G236">
    <cfRule type="expression" dxfId="553" priority="617">
      <formula>IF(OR(AND(E236="",F236="",OR(G236="Critical",G236="Major",G236="Minor"))),1,0)</formula>
    </cfRule>
  </conditionalFormatting>
  <conditionalFormatting sqref="F236">
    <cfRule type="expression" dxfId="552" priority="616">
      <formula>IF(AND(F236="",OR(E236="Accuracy",E236="Fluency",E236="Segment",E236="Other")),1,0)</formula>
    </cfRule>
  </conditionalFormatting>
  <conditionalFormatting sqref="G236">
    <cfRule type="expression" dxfId="551" priority="618">
      <formula>IF(AND(OR(G236="",#REF!="Segment"),OR(#REF!="Accuracy",#REF!="Fluency",#REF!="Other")),1,0)</formula>
    </cfRule>
  </conditionalFormatting>
  <conditionalFormatting sqref="G240">
    <cfRule type="expression" dxfId="550" priority="615">
      <formula>IF(OR(AND(G240="",H240="",OR(I241="Critical",I241="Major",I241="Minor"))),1,0)</formula>
    </cfRule>
  </conditionalFormatting>
  <conditionalFormatting sqref="E241:G242">
    <cfRule type="expression" dxfId="549" priority="613">
      <formula>IF(OR(AND(E241="",F241="",OR(G241="Critical",G241="Major",G241="Minor"))),1,0)</formula>
    </cfRule>
  </conditionalFormatting>
  <conditionalFormatting sqref="F241:F242">
    <cfRule type="expression" dxfId="548" priority="612">
      <formula>IF(AND(F241="",OR(E241="Accuracy",E241="Fluency",E241="Segment",E241="Other")),1,0)</formula>
    </cfRule>
  </conditionalFormatting>
  <conditionalFormatting sqref="G241:G242">
    <cfRule type="expression" dxfId="547" priority="614">
      <formula>IF(AND(OR(G241="",#REF!="Segment"),OR(#REF!="Accuracy",#REF!="Fluency",#REF!="Other")),1,0)</formula>
    </cfRule>
  </conditionalFormatting>
  <conditionalFormatting sqref="E243:G243">
    <cfRule type="expression" dxfId="546" priority="610">
      <formula>IF(OR(AND(E243="",F243="",OR(G243="Critical",G243="Major",G243="Minor"))),1,0)</formula>
    </cfRule>
  </conditionalFormatting>
  <conditionalFormatting sqref="F243">
    <cfRule type="expression" dxfId="545" priority="609">
      <formula>IF(AND(F243="",OR(E243="Accuracy",E243="Fluency",E243="Segment",E243="Other")),1,0)</formula>
    </cfRule>
  </conditionalFormatting>
  <conditionalFormatting sqref="G243">
    <cfRule type="expression" dxfId="544" priority="611">
      <formula>IF(AND(OR(G243="",#REF!="Segment"),OR(#REF!="Accuracy",#REF!="Fluency",#REF!="Other")),1,0)</formula>
    </cfRule>
  </conditionalFormatting>
  <conditionalFormatting sqref="E248:G248">
    <cfRule type="expression" dxfId="543" priority="607">
      <formula>IF(OR(AND(E248="",F248="",OR(G248="Critical",G248="Major",G248="Minor"))),1,0)</formula>
    </cfRule>
  </conditionalFormatting>
  <conditionalFormatting sqref="F248">
    <cfRule type="expression" dxfId="542" priority="606">
      <formula>IF(AND(F248="",OR(E248="Accuracy",E248="Fluency",E248="Segment",E248="Other")),1,0)</formula>
    </cfRule>
  </conditionalFormatting>
  <conditionalFormatting sqref="G248">
    <cfRule type="expression" dxfId="541" priority="608">
      <formula>IF(AND(OR(G248="",#REF!="Segment"),OR(#REF!="Accuracy",#REF!="Fluency",#REF!="Other")),1,0)</formula>
    </cfRule>
  </conditionalFormatting>
  <conditionalFormatting sqref="G249">
    <cfRule type="expression" dxfId="540" priority="604">
      <formula>IF(OR(AND(G249="",H249="",OR(I249="Critical",I249="Major",I249="Minor"))),1,0)</formula>
    </cfRule>
  </conditionalFormatting>
  <conditionalFormatting sqref="G249">
    <cfRule type="expression" dxfId="539" priority="605">
      <formula>IF(AND(OR(G249="",#REF!="Segment"),OR(#REF!="Accuracy",#REF!="Fluency",#REF!="Other")),1,0)</formula>
    </cfRule>
  </conditionalFormatting>
  <conditionalFormatting sqref="E251:G251">
    <cfRule type="expression" dxfId="538" priority="601">
      <formula>IF(OR(AND(E251="",F251="",OR(G251="Critical",G251="Major",G251="Minor"))),1,0)</formula>
    </cfRule>
  </conditionalFormatting>
  <conditionalFormatting sqref="F251">
    <cfRule type="expression" dxfId="537" priority="600">
      <formula>IF(AND(F251="",OR(E251="Accuracy",E251="Fluency",E251="Segment",E251="Other")),1,0)</formula>
    </cfRule>
  </conditionalFormatting>
  <conditionalFormatting sqref="G251">
    <cfRule type="expression" dxfId="536" priority="602">
      <formula>IF(AND(OR(G251="",#REF!="Segment"),OR(#REF!="Accuracy",#REF!="Fluency",#REF!="Other")),1,0)</formula>
    </cfRule>
  </conditionalFormatting>
  <conditionalFormatting sqref="E252:G252">
    <cfRule type="expression" dxfId="535" priority="598">
      <formula>IF(OR(AND(E252="",F252="",OR(G252="Critical",G252="Major",G252="Minor"))),1,0)</formula>
    </cfRule>
  </conditionalFormatting>
  <conditionalFormatting sqref="F252">
    <cfRule type="expression" dxfId="534" priority="597">
      <formula>IF(AND(F252="",OR(E252="Accuracy",E252="Fluency",E252="Segment",E252="Other")),1,0)</formula>
    </cfRule>
  </conditionalFormatting>
  <conditionalFormatting sqref="G252">
    <cfRule type="expression" dxfId="533" priority="599">
      <formula>IF(AND(OR(G252="",#REF!="Segment"),OR(#REF!="Accuracy",#REF!="Fluency",#REF!="Other")),1,0)</formula>
    </cfRule>
  </conditionalFormatting>
  <conditionalFormatting sqref="G254">
    <cfRule type="expression" dxfId="532" priority="595">
      <formula>IF(OR(AND(G254="",H254="",OR(I254="Critical",I254="Major",I254="Minor"))),1,0)</formula>
    </cfRule>
  </conditionalFormatting>
  <conditionalFormatting sqref="G254">
    <cfRule type="expression" dxfId="531" priority="596">
      <formula>IF(AND(OR(G254="",#REF!="Segment"),OR(#REF!="Accuracy",#REF!="Fluency",#REF!="Other")),1,0)</formula>
    </cfRule>
  </conditionalFormatting>
  <conditionalFormatting sqref="E260:G260">
    <cfRule type="expression" dxfId="530" priority="592">
      <formula>IF(OR(AND(E260="",F260="",OR(G260="Critical",G260="Major",G260="Minor"))),1,0)</formula>
    </cfRule>
  </conditionalFormatting>
  <conditionalFormatting sqref="F260">
    <cfRule type="expression" dxfId="529" priority="591">
      <formula>IF(AND(F260="",OR(E260="Accuracy",E260="Fluency",E260="Segment",E260="Other")),1,0)</formula>
    </cfRule>
  </conditionalFormatting>
  <conditionalFormatting sqref="G260">
    <cfRule type="expression" dxfId="528" priority="593">
      <formula>IF(AND(OR(G260="",#REF!="Segment"),OR(#REF!="Accuracy",#REF!="Fluency",#REF!="Other")),1,0)</formula>
    </cfRule>
  </conditionalFormatting>
  <conditionalFormatting sqref="E262:G262">
    <cfRule type="expression" dxfId="527" priority="589">
      <formula>IF(OR(AND(E262="",F262="",OR(G262="Critical",G262="Major",G262="Minor"))),1,0)</formula>
    </cfRule>
  </conditionalFormatting>
  <conditionalFormatting sqref="F262">
    <cfRule type="expression" dxfId="526" priority="588">
      <formula>IF(AND(F262="",OR(E262="Accuracy",E262="Fluency",E262="Segment",E262="Other")),1,0)</formula>
    </cfRule>
  </conditionalFormatting>
  <conditionalFormatting sqref="G262">
    <cfRule type="expression" dxfId="525" priority="590">
      <formula>IF(AND(OR(G262="",#REF!="Segment"),OR(#REF!="Accuracy",#REF!="Fluency",#REF!="Other")),1,0)</formula>
    </cfRule>
  </conditionalFormatting>
  <conditionalFormatting sqref="G268">
    <cfRule type="expression" dxfId="524" priority="586">
      <formula>IF(OR(AND(G268="",H268="",OR(I268="Critical",I268="Major",I268="Minor"))),1,0)</formula>
    </cfRule>
  </conditionalFormatting>
  <conditionalFormatting sqref="G268">
    <cfRule type="expression" dxfId="523" priority="587">
      <formula>IF(AND(OR(G268="",#REF!="Segment"),OR(#REF!="Accuracy",#REF!="Fluency",#REF!="Other")),1,0)</formula>
    </cfRule>
  </conditionalFormatting>
  <conditionalFormatting sqref="E270:G270">
    <cfRule type="expression" dxfId="522" priority="583">
      <formula>IF(OR(AND(E270="",F270="",OR(G270="Critical",G270="Major",G270="Minor"))),1,0)</formula>
    </cfRule>
  </conditionalFormatting>
  <conditionalFormatting sqref="F270">
    <cfRule type="expression" dxfId="521" priority="582">
      <formula>IF(AND(F270="",OR(E270="Accuracy",E270="Fluency",E270="Segment",E270="Other")),1,0)</formula>
    </cfRule>
  </conditionalFormatting>
  <conditionalFormatting sqref="G270">
    <cfRule type="expression" dxfId="520" priority="584">
      <formula>IF(AND(OR(G270="",#REF!="Segment"),OR(#REF!="Accuracy",#REF!="Fluency",#REF!="Other")),1,0)</formula>
    </cfRule>
  </conditionalFormatting>
  <conditionalFormatting sqref="E271:G271">
    <cfRule type="expression" dxfId="519" priority="580">
      <formula>IF(OR(AND(E271="",F271="",OR(G271="Critical",G271="Major",G271="Minor"))),1,0)</formula>
    </cfRule>
  </conditionalFormatting>
  <conditionalFormatting sqref="F271">
    <cfRule type="expression" dxfId="518" priority="579">
      <formula>IF(AND(F271="",OR(E271="Accuracy",E271="Fluency",E271="Segment",E271="Other")),1,0)</formula>
    </cfRule>
  </conditionalFormatting>
  <conditionalFormatting sqref="G271">
    <cfRule type="expression" dxfId="517" priority="581">
      <formula>IF(AND(OR(G271="",#REF!="Segment"),OR(#REF!="Accuracy",#REF!="Fluency",#REF!="Other")),1,0)</formula>
    </cfRule>
  </conditionalFormatting>
  <conditionalFormatting sqref="E294:G294">
    <cfRule type="expression" dxfId="516" priority="577">
      <formula>IF(OR(AND(E294="",F294="",OR(G294="Critical",G294="Major",G294="Minor"))),1,0)</formula>
    </cfRule>
  </conditionalFormatting>
  <conditionalFormatting sqref="F294">
    <cfRule type="expression" dxfId="515" priority="576">
      <formula>IF(AND(F294="",OR(E294="Accuracy",E294="Fluency",E294="Segment",E294="Other")),1,0)</formula>
    </cfRule>
  </conditionalFormatting>
  <conditionalFormatting sqref="G294">
    <cfRule type="expression" dxfId="514" priority="578">
      <formula>IF(AND(OR(G294="",#REF!="Segment"),OR(#REF!="Accuracy",#REF!="Fluency",#REF!="Other")),1,0)</formula>
    </cfRule>
  </conditionalFormatting>
  <conditionalFormatting sqref="E295:G295">
    <cfRule type="expression" dxfId="513" priority="574">
      <formula>IF(OR(AND(E295="",F295="",OR(G295="Critical",G295="Major",G295="Minor"))),1,0)</formula>
    </cfRule>
  </conditionalFormatting>
  <conditionalFormatting sqref="F295">
    <cfRule type="expression" dxfId="512" priority="573">
      <formula>IF(AND(F295="",OR(E295="Accuracy",E295="Fluency",E295="Segment",E295="Other")),1,0)</formula>
    </cfRule>
  </conditionalFormatting>
  <conditionalFormatting sqref="G295">
    <cfRule type="expression" dxfId="511" priority="575">
      <formula>IF(AND(OR(G295="",#REF!="Segment"),OR(#REF!="Accuracy",#REF!="Fluency",#REF!="Other")),1,0)</formula>
    </cfRule>
  </conditionalFormatting>
  <conditionalFormatting sqref="G298">
    <cfRule type="expression" dxfId="510" priority="571">
      <formula>IF(OR(AND(G298="",H298="",OR(I298="Critical",I298="Major",I298="Minor"))),1,0)</formula>
    </cfRule>
  </conditionalFormatting>
  <conditionalFormatting sqref="G298">
    <cfRule type="expression" dxfId="509" priority="572">
      <formula>IF(AND(OR(G298="",#REF!="Segment"),OR(#REF!="Accuracy",#REF!="Fluency",#REF!="Other")),1,0)</formula>
    </cfRule>
  </conditionalFormatting>
  <conditionalFormatting sqref="E300:G300">
    <cfRule type="expression" dxfId="508" priority="568">
      <formula>IF(OR(AND(E300="",F300="",OR(G300="Critical",G300="Major",G300="Minor"))),1,0)</formula>
    </cfRule>
  </conditionalFormatting>
  <conditionalFormatting sqref="F300">
    <cfRule type="expression" dxfId="507" priority="567">
      <formula>IF(AND(F300="",OR(E300="Accuracy",E300="Fluency",E300="Segment",E300="Other")),1,0)</formula>
    </cfRule>
  </conditionalFormatting>
  <conditionalFormatting sqref="G300">
    <cfRule type="expression" dxfId="506" priority="569">
      <formula>IF(AND(OR(G300="",#REF!="Segment"),OR(#REF!="Accuracy",#REF!="Fluency",#REF!="Other")),1,0)</formula>
    </cfRule>
  </conditionalFormatting>
  <conditionalFormatting sqref="E415:G415 E402:G405 E396:G396 E388:G389 G382:G384 E377:G377 G374 E370:G371 G345 E352:G353 G329 E326:G326 G322:G323 E312:G314 G305 E302:G303 E316:G316 G315 G369 G378 E398:G399 G397 G400 E417:G418 G416 E421:G421 G419:G420 G422">
    <cfRule type="expression" dxfId="505" priority="565">
      <formula>IF(OR(AND(E302="",F302="",OR(G302="Critical",G302="Major",G302="Minor"))),1,0)</formula>
    </cfRule>
  </conditionalFormatting>
  <conditionalFormatting sqref="F415 F402:F405 F396 F388:F389 F377 F370:F371 F352:F353 F326 F312:F314 F302:F303 F316 F398:F399 F417:F418 F421">
    <cfRule type="expression" dxfId="504" priority="564">
      <formula>IF(AND(F302="",OR(E302="Accuracy",E302="Fluency",E302="Segment",E302="Other")),1,0)</formula>
    </cfRule>
  </conditionalFormatting>
  <conditionalFormatting sqref="G415:G422 G402:G405 G396:G400 G388:G389 G382:G384 G377:G378 G374 G369:G371 G345 G352:G353 G329 G326 G322:G323 G312:G316 G305 G302:G303">
    <cfRule type="expression" dxfId="503" priority="566">
      <formula>IF(AND(OR(G302="",#REF!="Segment"),OR(#REF!="Accuracy",#REF!="Fluency",#REF!="Other")),1,0)</formula>
    </cfRule>
  </conditionalFormatting>
  <conditionalFormatting sqref="G301">
    <cfRule type="expression" dxfId="502" priority="560">
      <formula>IF(AND(OR(G301="",#REF!="Segment"),OR(#REF!="Accuracy",#REF!="Fluency",#REF!="Other")),1,0)</formula>
    </cfRule>
  </conditionalFormatting>
  <conditionalFormatting sqref="G301">
    <cfRule type="expression" dxfId="501" priority="562">
      <formula>IF(OR(AND(G301="",H300="",OR(I301="Critical",I301="Major",I301="Minor"))),1,0)</formula>
    </cfRule>
  </conditionalFormatting>
  <conditionalFormatting sqref="E304:G304">
    <cfRule type="expression" dxfId="500" priority="557">
      <formula>IF(OR(AND(E304="",F304="",OR(G304="Critical",G304="Major",G304="Minor"))),1,0)</formula>
    </cfRule>
  </conditionalFormatting>
  <conditionalFormatting sqref="F304">
    <cfRule type="expression" dxfId="499" priority="556">
      <formula>IF(AND(F304="",OR(E304="Accuracy",E304="Fluency",E304="Segment",E304="Other")),1,0)</formula>
    </cfRule>
  </conditionalFormatting>
  <conditionalFormatting sqref="G304">
    <cfRule type="expression" dxfId="498" priority="558">
      <formula>IF(AND(OR(G304="",#REF!="Segment"),OR(#REF!="Accuracy",#REF!="Fluency",#REF!="Other")),1,0)</formula>
    </cfRule>
  </conditionalFormatting>
  <conditionalFormatting sqref="G306">
    <cfRule type="expression" dxfId="497" priority="554">
      <formula>IF(OR(AND(G306="",H306="",OR(I306="Critical",I306="Major",I306="Minor"))),1,0)</formula>
    </cfRule>
  </conditionalFormatting>
  <conditionalFormatting sqref="G306">
    <cfRule type="expression" dxfId="496" priority="555">
      <formula>IF(AND(OR(G306="",#REF!="Segment"),OR(#REF!="Accuracy",#REF!="Fluency",#REF!="Other")),1,0)</formula>
    </cfRule>
  </conditionalFormatting>
  <conditionalFormatting sqref="G307">
    <cfRule type="expression" dxfId="495" priority="551">
      <formula>IF(OR(AND(G307="",H307="",OR(I307="Critical",I307="Major",I307="Minor"))),1,0)</formula>
    </cfRule>
  </conditionalFormatting>
  <conditionalFormatting sqref="G307">
    <cfRule type="expression" dxfId="494" priority="552">
      <formula>IF(AND(OR(G307="",#REF!="Segment"),OR(#REF!="Accuracy",#REF!="Fluency",#REF!="Other")),1,0)</formula>
    </cfRule>
  </conditionalFormatting>
  <conditionalFormatting sqref="E308:G308">
    <cfRule type="expression" dxfId="493" priority="548">
      <formula>IF(OR(AND(E308="",F308="",OR(G308="Critical",G308="Major",G308="Minor"))),1,0)</formula>
    </cfRule>
  </conditionalFormatting>
  <conditionalFormatting sqref="F308">
    <cfRule type="expression" dxfId="492" priority="547">
      <formula>IF(AND(F308="",OR(E308="Accuracy",E308="Fluency",E308="Segment",E308="Other")),1,0)</formula>
    </cfRule>
  </conditionalFormatting>
  <conditionalFormatting sqref="G308">
    <cfRule type="expression" dxfId="491" priority="549">
      <formula>IF(AND(OR(G308="",#REF!="Segment"),OR(#REF!="Accuracy",#REF!="Fluency",#REF!="Other")),1,0)</formula>
    </cfRule>
  </conditionalFormatting>
  <conditionalFormatting sqref="E309:G309">
    <cfRule type="expression" dxfId="490" priority="545">
      <formula>IF(OR(AND(E309="",F309="",OR(G309="Critical",G309="Major",G309="Minor"))),1,0)</formula>
    </cfRule>
  </conditionalFormatting>
  <conditionalFormatting sqref="F309">
    <cfRule type="expression" dxfId="489" priority="544">
      <formula>IF(AND(F309="",OR(E309="Accuracy",E309="Fluency",E309="Segment",E309="Other")),1,0)</formula>
    </cfRule>
  </conditionalFormatting>
  <conditionalFormatting sqref="G309">
    <cfRule type="expression" dxfId="488" priority="546">
      <formula>IF(AND(OR(G309="",#REF!="Segment"),OR(#REF!="Accuracy",#REF!="Fluency",#REF!="Other")),1,0)</formula>
    </cfRule>
  </conditionalFormatting>
  <conditionalFormatting sqref="E310:G310">
    <cfRule type="expression" dxfId="487" priority="542">
      <formula>IF(OR(AND(E310="",F310="",OR(G310="Critical",G310="Major",G310="Minor"))),1,0)</formula>
    </cfRule>
  </conditionalFormatting>
  <conditionalFormatting sqref="F310">
    <cfRule type="expression" dxfId="486" priority="541">
      <formula>IF(AND(F310="",OR(E310="Accuracy",E310="Fluency",E310="Segment",E310="Other")),1,0)</formula>
    </cfRule>
  </conditionalFormatting>
  <conditionalFormatting sqref="G310">
    <cfRule type="expression" dxfId="485" priority="543">
      <formula>IF(AND(OR(G310="",#REF!="Segment"),OR(#REF!="Accuracy",#REF!="Fluency",#REF!="Other")),1,0)</formula>
    </cfRule>
  </conditionalFormatting>
  <conditionalFormatting sqref="E311:G311">
    <cfRule type="expression" dxfId="484" priority="539">
      <formula>IF(OR(AND(E311="",F311="",OR(G311="Critical",G311="Major",G311="Minor"))),1,0)</formula>
    </cfRule>
  </conditionalFormatting>
  <conditionalFormatting sqref="F311">
    <cfRule type="expression" dxfId="483" priority="538">
      <formula>IF(AND(F311="",OR(E311="Accuracy",E311="Fluency",E311="Segment",E311="Other")),1,0)</formula>
    </cfRule>
  </conditionalFormatting>
  <conditionalFormatting sqref="G311">
    <cfRule type="expression" dxfId="482" priority="540">
      <formula>IF(AND(OR(G311="",#REF!="Segment"),OR(#REF!="Accuracy",#REF!="Fluency",#REF!="Other")),1,0)</formula>
    </cfRule>
  </conditionalFormatting>
  <conditionalFormatting sqref="E317:G317">
    <cfRule type="expression" dxfId="481" priority="536">
      <formula>IF(OR(AND(E317="",F317="",OR(G317="Critical",G317="Major",G317="Minor"))),1,0)</formula>
    </cfRule>
  </conditionalFormatting>
  <conditionalFormatting sqref="F317">
    <cfRule type="expression" dxfId="480" priority="535">
      <formula>IF(AND(F317="",OR(E317="Accuracy",E317="Fluency",E317="Segment",E317="Other")),1,0)</formula>
    </cfRule>
  </conditionalFormatting>
  <conditionalFormatting sqref="G317">
    <cfRule type="expression" dxfId="479" priority="537">
      <formula>IF(AND(OR(G317="",#REF!="Segment"),OR(#REF!="Accuracy",#REF!="Fluency",#REF!="Other")),1,0)</formula>
    </cfRule>
  </conditionalFormatting>
  <conditionalFormatting sqref="E319:G319">
    <cfRule type="expression" dxfId="478" priority="533">
      <formula>IF(OR(AND(E319="",F319="",OR(G319="Critical",G319="Major",G319="Minor"))),1,0)</formula>
    </cfRule>
  </conditionalFormatting>
  <conditionalFormatting sqref="F319">
    <cfRule type="expression" dxfId="477" priority="532">
      <formula>IF(AND(F319="",OR(E319="Accuracy",E319="Fluency",E319="Segment",E319="Other")),1,0)</formula>
    </cfRule>
  </conditionalFormatting>
  <conditionalFormatting sqref="G319">
    <cfRule type="expression" dxfId="476" priority="534">
      <formula>IF(AND(OR(G319="",#REF!="Segment"),OR(#REF!="Accuracy",#REF!="Fluency",#REF!="Other")),1,0)</formula>
    </cfRule>
  </conditionalFormatting>
  <conditionalFormatting sqref="G318">
    <cfRule type="expression" dxfId="475" priority="530">
      <formula>IF(OR(AND(G318="",H318="",OR(I318="Critical",I318="Major",I318="Minor"))),1,0)</formula>
    </cfRule>
  </conditionalFormatting>
  <conditionalFormatting sqref="G318">
    <cfRule type="expression" dxfId="474" priority="531">
      <formula>IF(AND(OR(G318="",#REF!="Segment"),OR(#REF!="Accuracy",#REF!="Fluency",#REF!="Other")),1,0)</formula>
    </cfRule>
  </conditionalFormatting>
  <conditionalFormatting sqref="G320">
    <cfRule type="expression" dxfId="473" priority="527">
      <formula>IF(OR(AND(G320="",H320="",OR(I320="Critical",I320="Major",I320="Minor"))),1,0)</formula>
    </cfRule>
  </conditionalFormatting>
  <conditionalFormatting sqref="G320">
    <cfRule type="expression" dxfId="472" priority="528">
      <formula>IF(AND(OR(G320="",#REF!="Segment"),OR(#REF!="Accuracy",#REF!="Fluency",#REF!="Other")),1,0)</formula>
    </cfRule>
  </conditionalFormatting>
  <conditionalFormatting sqref="E321:G321">
    <cfRule type="expression" dxfId="471" priority="524">
      <formula>IF(OR(AND(E321="",F321="",OR(G321="Critical",G321="Major",G321="Minor"))),1,0)</formula>
    </cfRule>
  </conditionalFormatting>
  <conditionalFormatting sqref="F321">
    <cfRule type="expression" dxfId="470" priority="523">
      <formula>IF(AND(F321="",OR(E321="Accuracy",E321="Fluency",E321="Segment",E321="Other")),1,0)</formula>
    </cfRule>
  </conditionalFormatting>
  <conditionalFormatting sqref="G321">
    <cfRule type="expression" dxfId="469" priority="525">
      <formula>IF(AND(OR(G321="",#REF!="Segment"),OR(#REF!="Accuracy",#REF!="Fluency",#REF!="Other")),1,0)</formula>
    </cfRule>
  </conditionalFormatting>
  <conditionalFormatting sqref="E324:G325">
    <cfRule type="expression" dxfId="468" priority="521">
      <formula>IF(OR(AND(E324="",F324="",OR(G324="Critical",G324="Major",G324="Minor"))),1,0)</formula>
    </cfRule>
  </conditionalFormatting>
  <conditionalFormatting sqref="F324:F325">
    <cfRule type="expression" dxfId="467" priority="520">
      <formula>IF(AND(F324="",OR(E324="Accuracy",E324="Fluency",E324="Segment",E324="Other")),1,0)</formula>
    </cfRule>
  </conditionalFormatting>
  <conditionalFormatting sqref="G324:G325">
    <cfRule type="expression" dxfId="466" priority="522">
      <formula>IF(AND(OR(G324="",#REF!="Segment"),OR(#REF!="Accuracy",#REF!="Fluency",#REF!="Other")),1,0)</formula>
    </cfRule>
  </conditionalFormatting>
  <conditionalFormatting sqref="E327:E333">
    <cfRule type="expression" dxfId="465" priority="517">
      <formula>IF(OR(AND(E327="",F327="",OR(G327="Critical",G327="Major",G327="Minor"))),1,0)</formula>
    </cfRule>
  </conditionalFormatting>
  <conditionalFormatting sqref="F327:F333">
    <cfRule type="expression" dxfId="464" priority="515">
      <formula>IF(AND(F327="",OR(E327="Accuracy",E327="Fluency",E327="Segment",E327="Other")),1,0)</formula>
    </cfRule>
  </conditionalFormatting>
  <conditionalFormatting sqref="G327:G328">
    <cfRule type="expression" dxfId="463" priority="516">
      <formula>IF(AND(OR(G327="",#REF!="Segment"),OR(#REF!="Accuracy",#REF!="Fluency",#REF!="Other")),1,0)</formula>
    </cfRule>
  </conditionalFormatting>
  <conditionalFormatting sqref="G327:G328">
    <cfRule type="expression" dxfId="462" priority="518">
      <formula>IF(OR(AND(G327="",#REF!="",OR(I327="Critical",I327="Major",I327="Minor"))),1,0)</formula>
    </cfRule>
  </conditionalFormatting>
  <conditionalFormatting sqref="F327:F333">
    <cfRule type="expression" dxfId="461" priority="519">
      <formula>IF(OR(AND(F327="",G327="",OR(#REF!="Critical",#REF!="Major",#REF!="Minor"))),1,0)</formula>
    </cfRule>
  </conditionalFormatting>
  <conditionalFormatting sqref="G330">
    <cfRule type="expression" dxfId="460" priority="513">
      <formula>IF(AND(OR(G330="",#REF!="Segment"),OR(#REF!="Accuracy",#REF!="Fluency",#REF!="Other")),1,0)</formula>
    </cfRule>
  </conditionalFormatting>
  <conditionalFormatting sqref="G330">
    <cfRule type="expression" dxfId="459" priority="514">
      <formula>IF(OR(AND(G330="",#REF!="",OR(I330="Critical",I330="Major",I330="Minor"))),1,0)</formula>
    </cfRule>
  </conditionalFormatting>
  <conditionalFormatting sqref="G331">
    <cfRule type="expression" dxfId="458" priority="511">
      <formula>IF(AND(OR(G331="",#REF!="Segment"),OR(#REF!="Accuracy",#REF!="Fluency",#REF!="Other")),1,0)</formula>
    </cfRule>
  </conditionalFormatting>
  <conditionalFormatting sqref="G331">
    <cfRule type="expression" dxfId="457" priority="512">
      <formula>IF(OR(AND(G331="",#REF!="",OR(I331="Critical",I331="Major",I331="Minor"))),1,0)</formula>
    </cfRule>
  </conditionalFormatting>
  <conditionalFormatting sqref="G332">
    <cfRule type="expression" dxfId="456" priority="509">
      <formula>IF(AND(OR(G332="",#REF!="Segment"),OR(#REF!="Accuracy",#REF!="Fluency",#REF!="Other")),1,0)</formula>
    </cfRule>
  </conditionalFormatting>
  <conditionalFormatting sqref="G332">
    <cfRule type="expression" dxfId="455" priority="510">
      <formula>IF(OR(AND(G332="",#REF!="",OR(I332="Critical",I332="Major",I332="Minor"))),1,0)</formula>
    </cfRule>
  </conditionalFormatting>
  <conditionalFormatting sqref="G333 E334:G334 E336:G337 G335">
    <cfRule type="expression" dxfId="454" priority="507">
      <formula>IF(OR(AND(E333="",F333="",OR(G333="Critical",G333="Major",G333="Minor"))),1,0)</formula>
    </cfRule>
  </conditionalFormatting>
  <conditionalFormatting sqref="F334 F336:F337">
    <cfRule type="expression" dxfId="453" priority="506">
      <formula>IF(AND(F334="",OR(E334="Accuracy",E334="Fluency",E334="Segment",E334="Other")),1,0)</formula>
    </cfRule>
  </conditionalFormatting>
  <conditionalFormatting sqref="G333:G337">
    <cfRule type="expression" dxfId="452" priority="508">
      <formula>IF(AND(OR(G333="",#REF!="Segment"),OR(#REF!="Accuracy",#REF!="Fluency",#REF!="Other")),1,0)</formula>
    </cfRule>
  </conditionalFormatting>
  <conditionalFormatting sqref="F338:F342">
    <cfRule type="expression" dxfId="451" priority="503">
      <formula>IF(AND(F338="",OR(E338="Accuracy",E338="Fluency",E338="Segment",E338="Other")),1,0)</formula>
    </cfRule>
  </conditionalFormatting>
  <conditionalFormatting sqref="E344:G344 E345:F349">
    <cfRule type="expression" dxfId="450" priority="496">
      <formula>IF(OR(AND(E344="",F344="",OR(G344="Critical",G344="Major",G344="Minor"))),1,0)</formula>
    </cfRule>
  </conditionalFormatting>
  <conditionalFormatting sqref="E338:G338 G339 E339:F342">
    <cfRule type="expression" dxfId="449" priority="504">
      <formula>IF(OR(AND(E338="",F338="",OR(G338="Critical",G338="Major",G338="Minor"))),1,0)</formula>
    </cfRule>
  </conditionalFormatting>
  <conditionalFormatting sqref="G338:G339">
    <cfRule type="expression" dxfId="448" priority="505">
      <formula>IF(AND(OR(G338="",#REF!="Segment"),OR(#REF!="Accuracy",#REF!="Fluency",#REF!="Other")),1,0)</formula>
    </cfRule>
  </conditionalFormatting>
  <conditionalFormatting sqref="G340:G341">
    <cfRule type="expression" dxfId="447" priority="501">
      <formula>IF(OR(AND(G340="",H340="",OR(I340="Critical",I340="Major",I340="Minor"))),1,0)</formula>
    </cfRule>
  </conditionalFormatting>
  <conditionalFormatting sqref="G340:G341">
    <cfRule type="expression" dxfId="446" priority="502">
      <formula>IF(AND(OR(G340="",#REF!="Segment"),OR(#REF!="Accuracy",#REF!="Fluency",#REF!="Other")),1,0)</formula>
    </cfRule>
  </conditionalFormatting>
  <conditionalFormatting sqref="G342:G343">
    <cfRule type="expression" dxfId="445" priority="499">
      <formula>IF(OR(AND(G342="",H342="",OR(I342="Critical",I342="Major",I342="Minor"))),1,0)</formula>
    </cfRule>
  </conditionalFormatting>
  <conditionalFormatting sqref="G342:G343">
    <cfRule type="expression" dxfId="444" priority="500">
      <formula>IF(AND(OR(G342="",#REF!="Segment"),OR(#REF!="Accuracy",#REF!="Fluency",#REF!="Other")),1,0)</formula>
    </cfRule>
  </conditionalFormatting>
  <conditionalFormatting sqref="F344:F349">
    <cfRule type="expression" dxfId="443" priority="495">
      <formula>IF(AND(F344="",OR(E344="Accuracy",E344="Fluency",E344="Segment",E344="Other")),1,0)</formula>
    </cfRule>
  </conditionalFormatting>
  <conditionalFormatting sqref="G344">
    <cfRule type="expression" dxfId="442" priority="497">
      <formula>IF(AND(OR(G344="",#REF!="Segment"),OR(#REF!="Accuracy",#REF!="Fluency",#REF!="Other")),1,0)</formula>
    </cfRule>
  </conditionalFormatting>
  <conditionalFormatting sqref="G346:G349">
    <cfRule type="expression" dxfId="441" priority="493">
      <formula>IF(OR(AND(G346="",H346="",OR(I346="Critical",I346="Major",I346="Minor"))),1,0)</formula>
    </cfRule>
  </conditionalFormatting>
  <conditionalFormatting sqref="G346:G349">
    <cfRule type="expression" dxfId="440" priority="494">
      <formula>IF(AND(OR(G346="",#REF!="Segment"),OR(#REF!="Accuracy",#REF!="Fluency",#REF!="Other")),1,0)</formula>
    </cfRule>
  </conditionalFormatting>
  <conditionalFormatting sqref="G350">
    <cfRule type="expression" dxfId="439" priority="491">
      <formula>IF(OR(AND(G350="",H350="",OR(I350="Critical",I350="Major",I350="Minor"))),1,0)</formula>
    </cfRule>
  </conditionalFormatting>
  <conditionalFormatting sqref="G350">
    <cfRule type="expression" dxfId="438" priority="492">
      <formula>IF(AND(OR(G350="",#REF!="Segment"),OR(#REF!="Accuracy",#REF!="Fluency",#REF!="Other")),1,0)</formula>
    </cfRule>
  </conditionalFormatting>
  <conditionalFormatting sqref="G351">
    <cfRule type="expression" dxfId="437" priority="488">
      <formula>IF(OR(AND(G351="",H351="",OR(I351="Critical",I351="Major",I351="Minor"))),1,0)</formula>
    </cfRule>
  </conditionalFormatting>
  <conditionalFormatting sqref="G351">
    <cfRule type="expression" dxfId="436" priority="489">
      <formula>IF(AND(OR(G351="",#REF!="Segment"),OR(#REF!="Accuracy",#REF!="Fluency",#REF!="Other")),1,0)</formula>
    </cfRule>
  </conditionalFormatting>
  <conditionalFormatting sqref="E357:G357">
    <cfRule type="expression" dxfId="435" priority="482">
      <formula>IF(OR(AND(E357="",F357="",OR(G357="Critical",G357="Major",G357="Minor"))),1,0)</formula>
    </cfRule>
  </conditionalFormatting>
  <conditionalFormatting sqref="F357">
    <cfRule type="expression" dxfId="434" priority="481">
      <formula>IF(AND(F357="",OR(E357="Accuracy",E357="Fluency",E357="Segment",E357="Other")),1,0)</formula>
    </cfRule>
  </conditionalFormatting>
  <conditionalFormatting sqref="G357">
    <cfRule type="expression" dxfId="433" priority="483">
      <formula>IF(AND(OR(G357="",#REF!="Segment"),OR(#REF!="Accuracy",#REF!="Fluency",#REF!="Other")),1,0)</formula>
    </cfRule>
  </conditionalFormatting>
  <conditionalFormatting sqref="E356:G356 G354:G355">
    <cfRule type="expression" dxfId="432" priority="485">
      <formula>IF(OR(AND(E354="",F354="",OR(G354="Critical",G354="Major",G354="Minor"))),1,0)</formula>
    </cfRule>
  </conditionalFormatting>
  <conditionalFormatting sqref="F356">
    <cfRule type="expression" dxfId="431" priority="484">
      <formula>IF(AND(F356="",OR(E356="Accuracy",E356="Fluency",E356="Segment",E356="Other")),1,0)</formula>
    </cfRule>
  </conditionalFormatting>
  <conditionalFormatting sqref="G354:G356">
    <cfRule type="expression" dxfId="430" priority="486">
      <formula>IF(AND(OR(G354="",#REF!="Segment"),OR(#REF!="Accuracy",#REF!="Fluency",#REF!="Other")),1,0)</formula>
    </cfRule>
  </conditionalFormatting>
  <conditionalFormatting sqref="G358:G359">
    <cfRule type="expression" dxfId="429" priority="479">
      <formula>IF(OR(AND(G358="",H358="",OR(I358="Critical",I358="Major",I358="Minor"))),1,0)</formula>
    </cfRule>
  </conditionalFormatting>
  <conditionalFormatting sqref="G358:G359">
    <cfRule type="expression" dxfId="428" priority="480">
      <formula>IF(AND(OR(G358="",#REF!="Segment"),OR(#REF!="Accuracy",#REF!="Fluency",#REF!="Other")),1,0)</formula>
    </cfRule>
  </conditionalFormatting>
  <conditionalFormatting sqref="E359:F359">
    <cfRule type="expression" dxfId="427" priority="478">
      <formula>IF(OR(AND(E359="",F359="",OR(G359="Critical",G359="Major",G359="Minor"))),1,0)</formula>
    </cfRule>
  </conditionalFormatting>
  <conditionalFormatting sqref="F359">
    <cfRule type="expression" dxfId="426" priority="477">
      <formula>IF(AND(F359="",OR(E359="Accuracy",E359="Fluency",E359="Segment",E359="Other")),1,0)</formula>
    </cfRule>
  </conditionalFormatting>
  <conditionalFormatting sqref="G360">
    <cfRule type="expression" dxfId="425" priority="475">
      <formula>IF(OR(AND(G360="",H360="",OR(I360="Critical",I360="Major",I360="Minor"))),1,0)</formula>
    </cfRule>
  </conditionalFormatting>
  <conditionalFormatting sqref="G360">
    <cfRule type="expression" dxfId="424" priority="476">
      <formula>IF(AND(OR(G360="",#REF!="Segment"),OR(#REF!="Accuracy",#REF!="Fluency",#REF!="Other")),1,0)</formula>
    </cfRule>
  </conditionalFormatting>
  <conditionalFormatting sqref="E360:F360">
    <cfRule type="expression" dxfId="423" priority="474">
      <formula>IF(OR(AND(E360="",F360="",OR(G360="Critical",G360="Major",G360="Minor"))),1,0)</formula>
    </cfRule>
  </conditionalFormatting>
  <conditionalFormatting sqref="F360">
    <cfRule type="expression" dxfId="422" priority="473">
      <formula>IF(AND(F360="",OR(E360="Accuracy",E360="Fluency",E360="Segment",E360="Other")),1,0)</formula>
    </cfRule>
  </conditionalFormatting>
  <conditionalFormatting sqref="E363:G363">
    <cfRule type="expression" dxfId="421" priority="471">
      <formula>IF(OR(AND(E363="",F363="",OR(G363="Critical",G363="Major",G363="Minor"))),1,0)</formula>
    </cfRule>
  </conditionalFormatting>
  <conditionalFormatting sqref="F363">
    <cfRule type="expression" dxfId="420" priority="470">
      <formula>IF(AND(F363="",OR(E363="Accuracy",E363="Fluency",E363="Segment",E363="Other")),1,0)</formula>
    </cfRule>
  </conditionalFormatting>
  <conditionalFormatting sqref="G363">
    <cfRule type="expression" dxfId="419" priority="472">
      <formula>IF(AND(OR(G363="",#REF!="Segment"),OR(#REF!="Accuracy",#REF!="Fluency",#REF!="Other")),1,0)</formula>
    </cfRule>
  </conditionalFormatting>
  <conditionalFormatting sqref="G361">
    <cfRule type="expression" dxfId="418" priority="466">
      <formula>IF(AND(OR(G361="",#REF!="Segment"),OR(#REF!="Accuracy",#REF!="Fluency",#REF!="Other")),1,0)</formula>
    </cfRule>
  </conditionalFormatting>
  <conditionalFormatting sqref="G361">
    <cfRule type="expression" dxfId="417" priority="468">
      <formula>IF(OR(AND(G361="",H360="",OR(I361="Critical",I361="Major",I361="Minor"))),1,0)</formula>
    </cfRule>
  </conditionalFormatting>
  <conditionalFormatting sqref="G362">
    <cfRule type="expression" dxfId="416" priority="461">
      <formula>IF(AND(OR(G362="",#REF!="Segment"),OR(#REF!="Accuracy",#REF!="Fluency",#REF!="Other")),1,0)</formula>
    </cfRule>
  </conditionalFormatting>
  <conditionalFormatting sqref="G362">
    <cfRule type="expression" dxfId="415" priority="463">
      <formula>IF(OR(AND(G362="",H361="",OR(I362="Critical",I362="Major",I362="Minor"))),1,0)</formula>
    </cfRule>
  </conditionalFormatting>
  <conditionalFormatting sqref="G365">
    <cfRule type="expression" dxfId="414" priority="456">
      <formula>IF(AND(OR(G365="",#REF!="Segment"),OR(#REF!="Accuracy",#REF!="Fluency",#REF!="Other")),1,0)</formula>
    </cfRule>
  </conditionalFormatting>
  <conditionalFormatting sqref="G365">
    <cfRule type="expression" dxfId="413" priority="458">
      <formula>IF(OR(AND(G365="",H364="",OR(I365="Critical",I365="Major",I365="Minor"))),1,0)</formula>
    </cfRule>
  </conditionalFormatting>
  <conditionalFormatting sqref="E364:G364">
    <cfRule type="expression" dxfId="412" priority="453">
      <formula>IF(OR(AND(E364="",F364="",OR(G364="Critical",G364="Major",G364="Minor"))),1,0)</formula>
    </cfRule>
  </conditionalFormatting>
  <conditionalFormatting sqref="F364">
    <cfRule type="expression" dxfId="411" priority="452">
      <formula>IF(AND(F364="",OR(E364="Accuracy",E364="Fluency",E364="Segment",E364="Other")),1,0)</formula>
    </cfRule>
  </conditionalFormatting>
  <conditionalFormatting sqref="G364">
    <cfRule type="expression" dxfId="410" priority="454">
      <formula>IF(AND(OR(G364="",#REF!="Segment"),OR(#REF!="Accuracy",#REF!="Fluency",#REF!="Other")),1,0)</formula>
    </cfRule>
  </conditionalFormatting>
  <conditionalFormatting sqref="E366:G366">
    <cfRule type="expression" dxfId="409" priority="450">
      <formula>IF(OR(AND(E366="",F366="",OR(G366="Critical",G366="Major",G366="Minor"))),1,0)</formula>
    </cfRule>
  </conditionalFormatting>
  <conditionalFormatting sqref="F366">
    <cfRule type="expression" dxfId="408" priority="449">
      <formula>IF(AND(F366="",OR(E366="Accuracy",E366="Fluency",E366="Segment",E366="Other")),1,0)</formula>
    </cfRule>
  </conditionalFormatting>
  <conditionalFormatting sqref="G366">
    <cfRule type="expression" dxfId="407" priority="451">
      <formula>IF(AND(OR(G366="",#REF!="Segment"),OR(#REF!="Accuracy",#REF!="Fluency",#REF!="Other")),1,0)</formula>
    </cfRule>
  </conditionalFormatting>
  <conditionalFormatting sqref="E367:G368">
    <cfRule type="expression" dxfId="406" priority="447">
      <formula>IF(OR(AND(E367="",F367="",OR(G367="Critical",G367="Major",G367="Minor"))),1,0)</formula>
    </cfRule>
  </conditionalFormatting>
  <conditionalFormatting sqref="F367:F368">
    <cfRule type="expression" dxfId="405" priority="446">
      <formula>IF(AND(F367="",OR(E367="Accuracy",E367="Fluency",E367="Segment",E367="Other")),1,0)</formula>
    </cfRule>
  </conditionalFormatting>
  <conditionalFormatting sqref="G367:G368">
    <cfRule type="expression" dxfId="404" priority="448">
      <formula>IF(AND(OR(G367="",#REF!="Segment"),OR(#REF!="Accuracy",#REF!="Fluency",#REF!="Other")),1,0)</formula>
    </cfRule>
  </conditionalFormatting>
  <conditionalFormatting sqref="E372:G372 G373 E373:F375">
    <cfRule type="expression" dxfId="403" priority="444">
      <formula>IF(OR(AND(E372="",F372="",OR(G372="Critical",G372="Major",G372="Minor"))),1,0)</formula>
    </cfRule>
  </conditionalFormatting>
  <conditionalFormatting sqref="F372:F375">
    <cfRule type="expression" dxfId="402" priority="443">
      <formula>IF(AND(F372="",OR(E372="Accuracy",E372="Fluency",E372="Segment",E372="Other")),1,0)</formula>
    </cfRule>
  </conditionalFormatting>
  <conditionalFormatting sqref="G372:G373">
    <cfRule type="expression" dxfId="401" priority="445">
      <formula>IF(AND(OR(G372="",#REF!="Segment"),OR(#REF!="Accuracy",#REF!="Fluency",#REF!="Other")),1,0)</formula>
    </cfRule>
  </conditionalFormatting>
  <conditionalFormatting sqref="G375">
    <cfRule type="expression" dxfId="400" priority="441">
      <formula>IF(OR(AND(G375="",H375="",OR(I375="Critical",I375="Major",I375="Minor"))),1,0)</formula>
    </cfRule>
  </conditionalFormatting>
  <conditionalFormatting sqref="G375">
    <cfRule type="expression" dxfId="399" priority="442">
      <formula>IF(AND(OR(G375="",#REF!="Segment"),OR(#REF!="Accuracy",#REF!="Fluency",#REF!="Other")),1,0)</formula>
    </cfRule>
  </conditionalFormatting>
  <conditionalFormatting sqref="G376">
    <cfRule type="expression" dxfId="398" priority="438">
      <formula>IF(AND(OR(G376="",#REF!="Segment"),OR(#REF!="Accuracy",#REF!="Fluency",#REF!="Other")),1,0)</formula>
    </cfRule>
  </conditionalFormatting>
  <conditionalFormatting sqref="G376">
    <cfRule type="expression" dxfId="397" priority="439">
      <formula>IF(OR(AND(G376="",#REF!="",OR(I376="Critical",I376="Major",I376="Minor"))),1,0)</formula>
    </cfRule>
  </conditionalFormatting>
  <conditionalFormatting sqref="E380:G380">
    <cfRule type="expression" dxfId="396" priority="434">
      <formula>IF(OR(AND(E380="",F380="",OR(G380="Critical",G380="Major",G380="Minor"))),1,0)</formula>
    </cfRule>
  </conditionalFormatting>
  <conditionalFormatting sqref="F380">
    <cfRule type="expression" dxfId="395" priority="433">
      <formula>IF(AND(F380="",OR(E380="Accuracy",E380="Fluency",E380="Segment",E380="Other")),1,0)</formula>
    </cfRule>
  </conditionalFormatting>
  <conditionalFormatting sqref="G380">
    <cfRule type="expression" dxfId="394" priority="435">
      <formula>IF(AND(OR(G380="",#REF!="Segment"),OR(#REF!="Accuracy",#REF!="Fluency",#REF!="Other")),1,0)</formula>
    </cfRule>
  </conditionalFormatting>
  <conditionalFormatting sqref="G379">
    <cfRule type="expression" dxfId="393" priority="431">
      <formula>IF(OR(AND(G379="",H379="",OR(I379="Critical",I379="Major",I379="Minor"))),1,0)</formula>
    </cfRule>
  </conditionalFormatting>
  <conditionalFormatting sqref="G379">
    <cfRule type="expression" dxfId="392" priority="432">
      <formula>IF(AND(OR(G379="",#REF!="Segment"),OR(#REF!="Accuracy",#REF!="Fluency",#REF!="Other")),1,0)</formula>
    </cfRule>
  </conditionalFormatting>
  <conditionalFormatting sqref="E381:G381">
    <cfRule type="expression" dxfId="391" priority="428">
      <formula>IF(OR(AND(E381="",F381="",OR(G381="Critical",G381="Major",G381="Minor"))),1,0)</formula>
    </cfRule>
  </conditionalFormatting>
  <conditionalFormatting sqref="F381">
    <cfRule type="expression" dxfId="390" priority="427">
      <formula>IF(AND(F381="",OR(E381="Accuracy",E381="Fluency",E381="Segment",E381="Other")),1,0)</formula>
    </cfRule>
  </conditionalFormatting>
  <conditionalFormatting sqref="G381">
    <cfRule type="expression" dxfId="389" priority="429">
      <formula>IF(AND(OR(G381="",#REF!="Segment"),OR(#REF!="Accuracy",#REF!="Fluency",#REF!="Other")),1,0)</formula>
    </cfRule>
  </conditionalFormatting>
  <conditionalFormatting sqref="E385">
    <cfRule type="expression" dxfId="388" priority="424">
      <formula>IF(OR(AND(E385="",F385="",OR(G385="Critical",G385="Major",G385="Minor"))),1,0)</formula>
    </cfRule>
  </conditionalFormatting>
  <conditionalFormatting sqref="G385">
    <cfRule type="expression" dxfId="387" priority="425">
      <formula>IF(OR(AND(G385="",H384="",OR(I385="Critical",I385="Major",I385="Minor"))),1,0)</formula>
    </cfRule>
  </conditionalFormatting>
  <conditionalFormatting sqref="F385">
    <cfRule type="expression" dxfId="386" priority="426">
      <formula>IF(OR(AND(F385="",G385="",OR(H384="Critical",H384="Major",H384="Minor"))),1,0)</formula>
    </cfRule>
  </conditionalFormatting>
  <conditionalFormatting sqref="F385">
    <cfRule type="expression" dxfId="385" priority="422">
      <formula>IF(AND(F385="",OR(E385="Accuracy",E385="Fluency",E385="Segment",E385="Other")),1,0)</formula>
    </cfRule>
  </conditionalFormatting>
  <conditionalFormatting sqref="G385">
    <cfRule type="expression" dxfId="384" priority="423">
      <formula>IF(AND(OR(G385="",#REF!="Segment"),OR(#REF!="Accuracy",#REF!="Fluency",#REF!="Other")),1,0)</formula>
    </cfRule>
  </conditionalFormatting>
  <conditionalFormatting sqref="E386">
    <cfRule type="expression" dxfId="383" priority="419">
      <formula>IF(OR(AND(E386="",F386="",OR(G386="Critical",G386="Major",G386="Minor"))),1,0)</formula>
    </cfRule>
  </conditionalFormatting>
  <conditionalFormatting sqref="G386">
    <cfRule type="expression" dxfId="382" priority="420">
      <formula>IF(OR(AND(G386="",H385="",OR(I386="Critical",I386="Major",I386="Minor"))),1,0)</formula>
    </cfRule>
  </conditionalFormatting>
  <conditionalFormatting sqref="F386">
    <cfRule type="expression" dxfId="381" priority="421">
      <formula>IF(OR(AND(F386="",G386="",OR(H385="Critical",H385="Major",H385="Minor"))),1,0)</formula>
    </cfRule>
  </conditionalFormatting>
  <conditionalFormatting sqref="F386">
    <cfRule type="expression" dxfId="380" priority="417">
      <formula>IF(AND(F386="",OR(E386="Accuracy",E386="Fluency",E386="Segment",E386="Other")),1,0)</formula>
    </cfRule>
  </conditionalFormatting>
  <conditionalFormatting sqref="G386">
    <cfRule type="expression" dxfId="379" priority="418">
      <formula>IF(AND(OR(G386="",#REF!="Segment"),OR(#REF!="Accuracy",#REF!="Fluency",#REF!="Other")),1,0)</formula>
    </cfRule>
  </conditionalFormatting>
  <conditionalFormatting sqref="E387">
    <cfRule type="expression" dxfId="378" priority="414">
      <formula>IF(OR(AND(E387="",F387="",OR(G387="Critical",G387="Major",G387="Minor"))),1,0)</formula>
    </cfRule>
  </conditionalFormatting>
  <conditionalFormatting sqref="G387">
    <cfRule type="expression" dxfId="377" priority="415">
      <formula>IF(OR(AND(G387="",H386="",OR(I387="Critical",I387="Major",I387="Minor"))),1,0)</formula>
    </cfRule>
  </conditionalFormatting>
  <conditionalFormatting sqref="F387">
    <cfRule type="expression" dxfId="376" priority="416">
      <formula>IF(OR(AND(F387="",G387="",OR(H386="Critical",H386="Major",H386="Minor"))),1,0)</formula>
    </cfRule>
  </conditionalFormatting>
  <conditionalFormatting sqref="F387">
    <cfRule type="expression" dxfId="375" priority="412">
      <formula>IF(AND(F387="",OR(E387="Accuracy",E387="Fluency",E387="Segment",E387="Other")),1,0)</formula>
    </cfRule>
  </conditionalFormatting>
  <conditionalFormatting sqref="G387">
    <cfRule type="expression" dxfId="374" priority="413">
      <formula>IF(AND(OR(G387="",#REF!="Segment"),OR(#REF!="Accuracy",#REF!="Fluency",#REF!="Other")),1,0)</formula>
    </cfRule>
  </conditionalFormatting>
  <conditionalFormatting sqref="G390">
    <cfRule type="expression" dxfId="373" priority="409">
      <formula>IF(AND(OR(G390="",#REF!="Segment"),OR(#REF!="Accuracy",#REF!="Fluency",#REF!="Other")),1,0)</formula>
    </cfRule>
  </conditionalFormatting>
  <conditionalFormatting sqref="G390">
    <cfRule type="expression" dxfId="372" priority="410">
      <formula>IF(OR(AND(G390="",H389="",OR(I390="Critical",I390="Major",I390="Minor"))),1,0)</formula>
    </cfRule>
  </conditionalFormatting>
  <conditionalFormatting sqref="G391">
    <cfRule type="expression" dxfId="371" priority="404">
      <formula>IF(AND(OR(G391="",#REF!="Segment"),OR(#REF!="Accuracy",#REF!="Fluency",#REF!="Other")),1,0)</formula>
    </cfRule>
  </conditionalFormatting>
  <conditionalFormatting sqref="G391">
    <cfRule type="expression" dxfId="370" priority="405">
      <formula>IF(OR(AND(G391="",H390="",OR(I391="Critical",I391="Major",I391="Minor"))),1,0)</formula>
    </cfRule>
  </conditionalFormatting>
  <conditionalFormatting sqref="G392">
    <cfRule type="expression" dxfId="369" priority="399">
      <formula>IF(AND(OR(G392="",#REF!="Segment"),OR(#REF!="Accuracy",#REF!="Fluency",#REF!="Other")),1,0)</formula>
    </cfRule>
  </conditionalFormatting>
  <conditionalFormatting sqref="G392">
    <cfRule type="expression" dxfId="368" priority="400">
      <formula>IF(OR(AND(G392="",H391="",OR(I392="Critical",I392="Major",I392="Minor"))),1,0)</formula>
    </cfRule>
  </conditionalFormatting>
  <conditionalFormatting sqref="E393:G393">
    <cfRule type="expression" dxfId="367" priority="395">
      <formula>IF(OR(AND(E393="",F393="",OR(G393="Critical",G393="Major",G393="Minor"))),1,0)</formula>
    </cfRule>
  </conditionalFormatting>
  <conditionalFormatting sqref="F393">
    <cfRule type="expression" dxfId="366" priority="394">
      <formula>IF(AND(F393="",OR(E393="Accuracy",E393="Fluency",E393="Segment",E393="Other")),1,0)</formula>
    </cfRule>
  </conditionalFormatting>
  <conditionalFormatting sqref="G393">
    <cfRule type="expression" dxfId="365" priority="396">
      <formula>IF(AND(OR(G393="",#REF!="Segment"),OR(#REF!="Accuracy",#REF!="Fluency",#REF!="Other")),1,0)</formula>
    </cfRule>
  </conditionalFormatting>
  <conditionalFormatting sqref="E394:G394">
    <cfRule type="expression" dxfId="364" priority="392">
      <formula>IF(OR(AND(E394="",F394="",OR(G394="Critical",G394="Major",G394="Minor"))),1,0)</formula>
    </cfRule>
  </conditionalFormatting>
  <conditionalFormatting sqref="F394">
    <cfRule type="expression" dxfId="363" priority="391">
      <formula>IF(AND(F394="",OR(E394="Accuracy",E394="Fluency",E394="Segment",E394="Other")),1,0)</formula>
    </cfRule>
  </conditionalFormatting>
  <conditionalFormatting sqref="G394">
    <cfRule type="expression" dxfId="362" priority="393">
      <formula>IF(AND(OR(G394="",#REF!="Segment"),OR(#REF!="Accuracy",#REF!="Fluency",#REF!="Other")),1,0)</formula>
    </cfRule>
  </conditionalFormatting>
  <conditionalFormatting sqref="E395:G395">
    <cfRule type="expression" dxfId="361" priority="389">
      <formula>IF(OR(AND(E395="",F395="",OR(G395="Critical",G395="Major",G395="Minor"))),1,0)</formula>
    </cfRule>
  </conditionalFormatting>
  <conditionalFormatting sqref="F395">
    <cfRule type="expression" dxfId="360" priority="388">
      <formula>IF(AND(F395="",OR(E395="Accuracy",E395="Fluency",E395="Segment",E395="Other")),1,0)</formula>
    </cfRule>
  </conditionalFormatting>
  <conditionalFormatting sqref="G395">
    <cfRule type="expression" dxfId="359" priority="390">
      <formula>IF(AND(OR(G395="",#REF!="Segment"),OR(#REF!="Accuracy",#REF!="Fluency",#REF!="Other")),1,0)</formula>
    </cfRule>
  </conditionalFormatting>
  <conditionalFormatting sqref="G401">
    <cfRule type="expression" dxfId="358" priority="386">
      <formula>IF(OR(AND(G401="",H401="",OR(I401="Critical",I401="Major",I401="Minor"))),1,0)</formula>
    </cfRule>
  </conditionalFormatting>
  <conditionalFormatting sqref="G401">
    <cfRule type="expression" dxfId="357" priority="387">
      <formula>IF(AND(OR(G401="",#REF!="Segment"),OR(#REF!="Accuracy",#REF!="Fluency",#REF!="Other")),1,0)</formula>
    </cfRule>
  </conditionalFormatting>
  <conditionalFormatting sqref="G406">
    <cfRule type="expression" dxfId="356" priority="383">
      <formula>IF(OR(AND(G406="",H406="",OR(I406="Critical",I406="Major",I406="Minor"))),1,0)</formula>
    </cfRule>
  </conditionalFormatting>
  <conditionalFormatting sqref="G406">
    <cfRule type="expression" dxfId="355" priority="384">
      <formula>IF(AND(OR(G406="",#REF!="Segment"),OR(#REF!="Accuracy",#REF!="Fluency",#REF!="Other")),1,0)</formula>
    </cfRule>
  </conditionalFormatting>
  <conditionalFormatting sqref="G407">
    <cfRule type="expression" dxfId="354" priority="380">
      <formula>IF(OR(AND(G407="",H407="",OR(I407="Critical",I407="Major",I407="Minor"))),1,0)</formula>
    </cfRule>
  </conditionalFormatting>
  <conditionalFormatting sqref="G407">
    <cfRule type="expression" dxfId="353" priority="381">
      <formula>IF(AND(OR(G407="",#REF!="Segment"),OR(#REF!="Accuracy",#REF!="Fluency",#REF!="Other")),1,0)</formula>
    </cfRule>
  </conditionalFormatting>
  <conditionalFormatting sqref="E408">
    <cfRule type="expression" dxfId="352" priority="375">
      <formula>IF(OR(AND(E408="",F408="",OR(G408="Critical",G408="Major",G408="Minor"))),1,0)</formula>
    </cfRule>
  </conditionalFormatting>
  <conditionalFormatting sqref="F408">
    <cfRule type="expression" dxfId="351" priority="374">
      <formula>IF(AND(F408="",OR(E408="Accuracy",E408="Fluency",E408="Segment",E408="Other")),1,0)</formula>
    </cfRule>
  </conditionalFormatting>
  <conditionalFormatting sqref="G408">
    <cfRule type="expression" dxfId="350" priority="376">
      <formula>IF(AND(OR(G408="",#REF!="Segment"),OR(#REF!="Accuracy",#REF!="Fluency",#REF!="Other")),1,0)</formula>
    </cfRule>
  </conditionalFormatting>
  <conditionalFormatting sqref="G408">
    <cfRule type="expression" dxfId="349" priority="377">
      <formula>IF(OR(AND(G408="",H407="",OR(I408="Critical",I408="Major",I408="Minor"))),1,0)</formula>
    </cfRule>
  </conditionalFormatting>
  <conditionalFormatting sqref="F408">
    <cfRule type="expression" dxfId="348" priority="378">
      <formula>IF(OR(AND(F408="",G408="",OR(H407="Critical",H407="Major",H407="Minor"))),1,0)</formula>
    </cfRule>
  </conditionalFormatting>
  <conditionalFormatting sqref="E409">
    <cfRule type="expression" dxfId="347" priority="370">
      <formula>IF(OR(AND(E409="",F409="",OR(G409="Critical",G409="Major",G409="Minor"))),1,0)</formula>
    </cfRule>
  </conditionalFormatting>
  <conditionalFormatting sqref="F409">
    <cfRule type="expression" dxfId="346" priority="369">
      <formula>IF(AND(F409="",OR(E409="Accuracy",E409="Fluency",E409="Segment",E409="Other")),1,0)</formula>
    </cfRule>
  </conditionalFormatting>
  <conditionalFormatting sqref="G409">
    <cfRule type="expression" dxfId="345" priority="371">
      <formula>IF(AND(OR(G409="",#REF!="Segment"),OR(#REF!="Accuracy",#REF!="Fluency",#REF!="Other")),1,0)</formula>
    </cfRule>
  </conditionalFormatting>
  <conditionalFormatting sqref="G409">
    <cfRule type="expression" dxfId="344" priority="372">
      <formula>IF(OR(AND(G409="",H408="",OR(I409="Critical",I409="Major",I409="Minor"))),1,0)</formula>
    </cfRule>
  </conditionalFormatting>
  <conditionalFormatting sqref="F409">
    <cfRule type="expression" dxfId="343" priority="373">
      <formula>IF(OR(AND(F409="",G409="",OR(H408="Critical",H408="Major",H408="Minor"))),1,0)</formula>
    </cfRule>
  </conditionalFormatting>
  <conditionalFormatting sqref="G410">
    <cfRule type="expression" dxfId="342" priority="367">
      <formula>IF(OR(AND(G410="",H410="",OR(I410="Critical",I410="Major",I410="Minor"))),1,0)</formula>
    </cfRule>
  </conditionalFormatting>
  <conditionalFormatting sqref="G410">
    <cfRule type="expression" dxfId="341" priority="368">
      <formula>IF(AND(OR(G410="",#REF!="Segment"),OR(#REF!="Accuracy",#REF!="Fluency",#REF!="Other")),1,0)</formula>
    </cfRule>
  </conditionalFormatting>
  <conditionalFormatting sqref="G411">
    <cfRule type="expression" dxfId="340" priority="364">
      <formula>IF(OR(AND(G411="",H411="",OR(I411="Critical",I411="Major",I411="Minor"))),1,0)</formula>
    </cfRule>
  </conditionalFormatting>
  <conditionalFormatting sqref="G411">
    <cfRule type="expression" dxfId="339" priority="365">
      <formula>IF(AND(OR(G411="",#REF!="Segment"),OR(#REF!="Accuracy",#REF!="Fluency",#REF!="Other")),1,0)</formula>
    </cfRule>
  </conditionalFormatting>
  <conditionalFormatting sqref="E412">
    <cfRule type="expression" dxfId="338" priority="359">
      <formula>IF(OR(AND(E412="",F412="",OR(G412="Critical",G412="Major",G412="Minor"))),1,0)</formula>
    </cfRule>
  </conditionalFormatting>
  <conditionalFormatting sqref="F412">
    <cfRule type="expression" dxfId="337" priority="358">
      <formula>IF(AND(F412="",OR(E412="Accuracy",E412="Fluency",E412="Segment",E412="Other")),1,0)</formula>
    </cfRule>
  </conditionalFormatting>
  <conditionalFormatting sqref="G412">
    <cfRule type="expression" dxfId="336" priority="360">
      <formula>IF(AND(OR(G412="",#REF!="Segment"),OR(#REF!="Accuracy",#REF!="Fluency",#REF!="Other")),1,0)</formula>
    </cfRule>
  </conditionalFormatting>
  <conditionalFormatting sqref="G412">
    <cfRule type="expression" dxfId="335" priority="361">
      <formula>IF(OR(AND(G412="",H411="",OR(I412="Critical",I412="Major",I412="Minor"))),1,0)</formula>
    </cfRule>
  </conditionalFormatting>
  <conditionalFormatting sqref="F412">
    <cfRule type="expression" dxfId="334" priority="362">
      <formula>IF(OR(AND(F412="",G412="",OR(H411="Critical",H411="Major",H411="Minor"))),1,0)</formula>
    </cfRule>
  </conditionalFormatting>
  <conditionalFormatting sqref="E413">
    <cfRule type="expression" dxfId="333" priority="354">
      <formula>IF(OR(AND(E413="",F413="",OR(G413="Critical",G413="Major",G413="Minor"))),1,0)</formula>
    </cfRule>
  </conditionalFormatting>
  <conditionalFormatting sqref="F413">
    <cfRule type="expression" dxfId="332" priority="353">
      <formula>IF(AND(F413="",OR(E413="Accuracy",E413="Fluency",E413="Segment",E413="Other")),1,0)</formula>
    </cfRule>
  </conditionalFormatting>
  <conditionalFormatting sqref="G413">
    <cfRule type="expression" dxfId="331" priority="355">
      <formula>IF(AND(OR(G413="",#REF!="Segment"),OR(#REF!="Accuracy",#REF!="Fluency",#REF!="Other")),1,0)</formula>
    </cfRule>
  </conditionalFormatting>
  <conditionalFormatting sqref="G413">
    <cfRule type="expression" dxfId="330" priority="356">
      <formula>IF(OR(AND(G413="",H412="",OR(I413="Critical",I413="Major",I413="Minor"))),1,0)</formula>
    </cfRule>
  </conditionalFormatting>
  <conditionalFormatting sqref="F413">
    <cfRule type="expression" dxfId="329" priority="357">
      <formula>IF(OR(AND(F413="",G413="",OR(H412="Critical",H412="Major",H412="Minor"))),1,0)</formula>
    </cfRule>
  </conditionalFormatting>
  <conditionalFormatting sqref="E414">
    <cfRule type="expression" dxfId="328" priority="349">
      <formula>IF(OR(AND(E414="",F414="",OR(G414="Critical",G414="Major",G414="Minor"))),1,0)</formula>
    </cfRule>
  </conditionalFormatting>
  <conditionalFormatting sqref="F414">
    <cfRule type="expression" dxfId="327" priority="348">
      <formula>IF(AND(F414="",OR(E414="Accuracy",E414="Fluency",E414="Segment",E414="Other")),1,0)</formula>
    </cfRule>
  </conditionalFormatting>
  <conditionalFormatting sqref="G414">
    <cfRule type="expression" dxfId="326" priority="350">
      <formula>IF(AND(OR(G414="",#REF!="Segment"),OR(#REF!="Accuracy",#REF!="Fluency",#REF!="Other")),1,0)</formula>
    </cfRule>
  </conditionalFormatting>
  <conditionalFormatting sqref="G414">
    <cfRule type="expression" dxfId="325" priority="351">
      <formula>IF(OR(AND(G414="",H413="",OR(I414="Critical",I414="Major",I414="Minor"))),1,0)</formula>
    </cfRule>
  </conditionalFormatting>
  <conditionalFormatting sqref="F414">
    <cfRule type="expression" dxfId="324" priority="352">
      <formula>IF(OR(AND(F414="",G414="",OR(H413="Critical",H413="Major",H413="Minor"))),1,0)</formula>
    </cfRule>
  </conditionalFormatting>
  <conditionalFormatting sqref="E423:G425">
    <cfRule type="expression" dxfId="323" priority="346">
      <formula>IF(OR(AND(E423="",F423="",OR(G423="Critical",G423="Major",G423="Minor"))),1,0)</formula>
    </cfRule>
  </conditionalFormatting>
  <conditionalFormatting sqref="F423:F425">
    <cfRule type="expression" dxfId="322" priority="345">
      <formula>IF(AND(F423="",OR(E423="Accuracy",E423="Fluency",E423="Segment",E423="Other")),1,0)</formula>
    </cfRule>
  </conditionalFormatting>
  <conditionalFormatting sqref="G423:G425">
    <cfRule type="expression" dxfId="321" priority="347">
      <formula>IF(AND(OR(G423="",#REF!="Segment"),OR(#REF!="Accuracy",#REF!="Fluency",#REF!="Other")),1,0)</formula>
    </cfRule>
  </conditionalFormatting>
  <conditionalFormatting sqref="E540:G542 G525:G526 E521:G521 E518:G518 E489:G490 E483:G483 E480:F481 E477:G477 E474 E472:G473 E469 E458:G462 E465:G467 E445:G445 E438 E440:G441 E443:E444 E427:G428 G426 E430:G431 G429 E434:G434 G432:G433 E436:G436 G435 G437 G439 G442 E447:G452 G446 E455:G456 G453:G454 G468 G470:G471 G475:G476 E479:G479 G478 G482 E486:G486 G484:G485 E492:G496 G491 E500:G501 G497:G499 E504:G506 G502:G503 E508:G508 G507 G509 G522:G523">
    <cfRule type="expression" dxfId="320" priority="343">
      <formula>IF(OR(AND(E426="",F426="",OR(G426="Critical",G426="Major",G426="Minor"))),1,0)</formula>
    </cfRule>
  </conditionalFormatting>
  <conditionalFormatting sqref="F540:F542 F521 F518 F427:F428 F430:F431 F434 F436 F438 F440:F441 F443:F445 F447:F452 F455:F456 F458:F462 F465:F467 F469 F472:F474 F477 F479:F481 F483 F486 F489:F490 F492:F496 F500:F501 F504:F506 F508">
    <cfRule type="expression" dxfId="319" priority="342">
      <formula>IF(AND(F427="",OR(E427="Accuracy",E427="Fluency",E427="Segment",E427="Other")),1,0)</formula>
    </cfRule>
  </conditionalFormatting>
  <conditionalFormatting sqref="H426:H428">
    <cfRule type="expression" dxfId="318" priority="344">
      <formula>IF(OR(AND(H426="",J426="",OR(#REF!="Critical",#REF!="Major",#REF!="Minor"))),1,0)</formula>
    </cfRule>
  </conditionalFormatting>
  <conditionalFormatting sqref="G428">
    <cfRule type="expression" dxfId="317" priority="341">
      <formula>IF(AND(OR(G428="",#REF!="Segment"),OR(#REF!="Accuracy",#REF!="Fluency",#REF!="Other")),1,0)</formula>
    </cfRule>
  </conditionalFormatting>
  <conditionalFormatting sqref="G426">
    <cfRule type="expression" dxfId="316" priority="340">
      <formula>IF(AND(OR(G426="",#REF!="Segment"),OR(#REF!="Accuracy",#REF!="Fluency",#REF!="Other")),1,0)</formula>
    </cfRule>
  </conditionalFormatting>
  <conditionalFormatting sqref="G427">
    <cfRule type="expression" dxfId="315" priority="339">
      <formula>IF(AND(OR(G427="",#REF!="Segment"),OR(#REF!="Accuracy",#REF!="Fluency",#REF!="Other")),1,0)</formula>
    </cfRule>
  </conditionalFormatting>
  <conditionalFormatting sqref="H429">
    <cfRule type="expression" dxfId="314" priority="337">
      <formula>IF(OR(AND(H429="",J429="",OR(#REF!="Critical",#REF!="Major",#REF!="Minor"))),1,0)</formula>
    </cfRule>
  </conditionalFormatting>
  <conditionalFormatting sqref="G429">
    <cfRule type="expression" dxfId="313" priority="338">
      <formula>IF(AND(OR(G429="",#REF!="Segment"),OR(#REF!="Accuracy",#REF!="Fluency",#REF!="Other")),1,0)</formula>
    </cfRule>
  </conditionalFormatting>
  <conditionalFormatting sqref="G430">
    <cfRule type="expression" dxfId="312" priority="336">
      <formula>IF(AND(OR(G430="",#REF!="Segment"),OR(#REF!="Accuracy",#REF!="Fluency",#REF!="Other")),1,0)</formula>
    </cfRule>
  </conditionalFormatting>
  <conditionalFormatting sqref="G431">
    <cfRule type="expression" dxfId="311" priority="335">
      <formula>IF(AND(OR(G431="",#REF!="Segment"),OR(#REF!="Accuracy",#REF!="Fluency",#REF!="Other")),1,0)</formula>
    </cfRule>
  </conditionalFormatting>
  <conditionalFormatting sqref="G540:G542 G525:G526 G521:G523 G518 G509 G491:G492 G472 G462 G451:G452 G448 G440:G441 G435:G436 G432">
    <cfRule type="expression" dxfId="310" priority="334">
      <formula>IF(AND(OR(G432="",#REF!="Segment"),OR(#REF!="Accuracy",#REF!="Fluency",#REF!="Other")),1,0)</formula>
    </cfRule>
  </conditionalFormatting>
  <conditionalFormatting sqref="G433">
    <cfRule type="expression" dxfId="309" priority="333">
      <formula>IF(AND(OR(G433="",#REF!="Segment"),OR(#REF!="Accuracy",#REF!="Fluency",#REF!="Other")),1,0)</formula>
    </cfRule>
  </conditionalFormatting>
  <conditionalFormatting sqref="G434">
    <cfRule type="expression" dxfId="308" priority="332">
      <formula>IF(AND(OR(G434="",#REF!="Segment"),OR(#REF!="Accuracy",#REF!="Fluency",#REF!="Other")),1,0)</formula>
    </cfRule>
  </conditionalFormatting>
  <conditionalFormatting sqref="G442">
    <cfRule type="expression" dxfId="307" priority="329">
      <formula>IF(AND(OR(G442="",#REF!="Segment"),OR(#REF!="Accuracy",#REF!="Fluency",#REF!="Other")),1,0)</formula>
    </cfRule>
  </conditionalFormatting>
  <conditionalFormatting sqref="G487:G488 G474 G438 G443:G444">
    <cfRule type="expression" dxfId="306" priority="330">
      <formula>IF(OR(AND(G438="",H437="",OR(I438="Critical",I438="Major",I438="Minor"))),1,0)</formula>
    </cfRule>
  </conditionalFormatting>
  <conditionalFormatting sqref="F474 F469 F438 F443:F444">
    <cfRule type="expression" dxfId="305" priority="331">
      <formula>IF(OR(AND(F438="",G438="",OR(H437="Critical",H437="Major",H437="Minor"))),1,0)</formula>
    </cfRule>
  </conditionalFormatting>
  <conditionalFormatting sqref="G437">
    <cfRule type="expression" dxfId="304" priority="328">
      <formula>IF(AND(OR(G437="",#REF!="Segment"),OR(#REF!="Accuracy",#REF!="Fluency",#REF!="Other")),1,0)</formula>
    </cfRule>
  </conditionalFormatting>
  <conditionalFormatting sqref="G438">
    <cfRule type="expression" dxfId="303" priority="327">
      <formula>IF(AND(OR(G438="",#REF!="Segment"),OR(#REF!="Accuracy",#REF!="Fluency",#REF!="Other")),1,0)</formula>
    </cfRule>
  </conditionalFormatting>
  <conditionalFormatting sqref="G439">
    <cfRule type="expression" dxfId="302" priority="326">
      <formula>IF(AND(OR(G439="",#REF!="Segment"),OR(#REF!="Accuracy",#REF!="Fluency",#REF!="Other")),1,0)</formula>
    </cfRule>
  </conditionalFormatting>
  <conditionalFormatting sqref="G443">
    <cfRule type="expression" dxfId="301" priority="325">
      <formula>IF(AND(OR(G443="",#REF!="Segment"),OR(#REF!="Accuracy",#REF!="Fluency",#REF!="Other")),1,0)</formula>
    </cfRule>
  </conditionalFormatting>
  <conditionalFormatting sqref="G444">
    <cfRule type="expression" dxfId="300" priority="324">
      <formula>IF(AND(OR(G444="",#REF!="Segment"),OR(#REF!="Accuracy",#REF!="Fluency",#REF!="Other")),1,0)</formula>
    </cfRule>
  </conditionalFormatting>
  <conditionalFormatting sqref="G445">
    <cfRule type="expression" dxfId="299" priority="323">
      <formula>IF(AND(OR(G445="",#REF!="Segment"),OR(#REF!="Accuracy",#REF!="Fluency",#REF!="Other")),1,0)</formula>
    </cfRule>
  </conditionalFormatting>
  <conditionalFormatting sqref="G445">
    <cfRule type="expression" dxfId="298" priority="322">
      <formula>IF(AND(OR(G445="",#REF!="Segment"),OR(#REF!="Accuracy",#REF!="Fluency",#REF!="Other")),1,0)</formula>
    </cfRule>
  </conditionalFormatting>
  <conditionalFormatting sqref="G445">
    <cfRule type="expression" dxfId="297" priority="321">
      <formula>IF(AND(OR(G445="",#REF!="Segment"),OR(#REF!="Accuracy",#REF!="Fluency",#REF!="Other")),1,0)</formula>
    </cfRule>
  </conditionalFormatting>
  <conditionalFormatting sqref="G446:G447">
    <cfRule type="expression" dxfId="296" priority="320">
      <formula>IF(AND(OR(G446="",#REF!="Segment"),OR(#REF!="Accuracy",#REF!="Fluency",#REF!="Other")),1,0)</formula>
    </cfRule>
  </conditionalFormatting>
  <conditionalFormatting sqref="G449">
    <cfRule type="expression" dxfId="295" priority="319">
      <formula>IF(AND(OR(G449="",#REF!="Segment"),OR(#REF!="Accuracy",#REF!="Fluency",#REF!="Other")),1,0)</formula>
    </cfRule>
  </conditionalFormatting>
  <conditionalFormatting sqref="G450">
    <cfRule type="expression" dxfId="294" priority="318">
      <formula>IF(AND(OR(G450="",#REF!="Segment"),OR(#REF!="Accuracy",#REF!="Fluency",#REF!="Other")),1,0)</formula>
    </cfRule>
  </conditionalFormatting>
  <conditionalFormatting sqref="G453">
    <cfRule type="expression" dxfId="293" priority="317">
      <formula>IF(AND(OR(G453="",#REF!="Segment"),OR(#REF!="Accuracy",#REF!="Fluency",#REF!="Other")),1,0)</formula>
    </cfRule>
  </conditionalFormatting>
  <conditionalFormatting sqref="G454">
    <cfRule type="expression" dxfId="292" priority="316">
      <formula>IF(AND(OR(G454="",#REF!="Segment"),OR(#REF!="Accuracy",#REF!="Fluency",#REF!="Other")),1,0)</formula>
    </cfRule>
  </conditionalFormatting>
  <conditionalFormatting sqref="G455">
    <cfRule type="expression" dxfId="291" priority="315">
      <formula>IF(AND(OR(G455="",#REF!="Segment"),OR(#REF!="Accuracy",#REF!="Fluency",#REF!="Other")),1,0)</formula>
    </cfRule>
  </conditionalFormatting>
  <conditionalFormatting sqref="G456">
    <cfRule type="expression" dxfId="290" priority="314">
      <formula>IF(AND(OR(G456="",#REF!="Segment"),OR(#REF!="Accuracy",#REF!="Fluency",#REF!="Other")),1,0)</formula>
    </cfRule>
  </conditionalFormatting>
  <conditionalFormatting sqref="G463:G464 G457">
    <cfRule type="expression" dxfId="289" priority="312">
      <formula>IF(OR(AND(G457="",#REF!="",OR(I457="Critical",I457="Major",I457="Minor"))),1,0)</formula>
    </cfRule>
  </conditionalFormatting>
  <conditionalFormatting sqref="G457">
    <cfRule type="expression" dxfId="288" priority="311">
      <formula>IF(AND(OR(G457="",#REF!="Segment"),OR(#REF!="Accuracy",#REF!="Fluency",#REF!="Other")),1,0)</formula>
    </cfRule>
  </conditionalFormatting>
  <conditionalFormatting sqref="G458:G460">
    <cfRule type="expression" dxfId="287" priority="310">
      <formula>IF(AND(OR(G458="",#REF!="Segment"),OR(#REF!="Accuracy",#REF!="Fluency",#REF!="Other")),1,0)</formula>
    </cfRule>
  </conditionalFormatting>
  <conditionalFormatting sqref="G461">
    <cfRule type="expression" dxfId="286" priority="309">
      <formula>IF(AND(OR(G461="",#REF!="Segment"),OR(#REF!="Accuracy",#REF!="Fluency",#REF!="Other")),1,0)</formula>
    </cfRule>
  </conditionalFormatting>
  <conditionalFormatting sqref="G463">
    <cfRule type="expression" dxfId="285" priority="308">
      <formula>IF(AND(OR(G463="",#REF!="Segment"),OR(#REF!="Accuracy",#REF!="Fluency",#REF!="Other")),1,0)</formula>
    </cfRule>
  </conditionalFormatting>
  <conditionalFormatting sqref="G464">
    <cfRule type="expression" dxfId="284" priority="307">
      <formula>IF(AND(OR(G464="",#REF!="Segment"),OR(#REF!="Accuracy",#REF!="Fluency",#REF!="Other")),1,0)</formula>
    </cfRule>
  </conditionalFormatting>
  <conditionalFormatting sqref="G465">
    <cfRule type="expression" dxfId="283" priority="306">
      <formula>IF(AND(OR(G465="",#REF!="Segment"),OR(#REF!="Accuracy",#REF!="Fluency",#REF!="Other")),1,0)</formula>
    </cfRule>
  </conditionalFormatting>
  <conditionalFormatting sqref="G466:G467">
    <cfRule type="expression" dxfId="282" priority="305">
      <formula>IF(AND(OR(G466="",#REF!="Segment"),OR(#REF!="Accuracy",#REF!="Fluency",#REF!="Other")),1,0)</formula>
    </cfRule>
  </conditionalFormatting>
  <conditionalFormatting sqref="G468">
    <cfRule type="expression" dxfId="281" priority="304">
      <formula>IF(AND(OR(G468="",#REF!="Segment"),OR(#REF!="Accuracy",#REF!="Fluency",#REF!="Other")),1,0)</formula>
    </cfRule>
  </conditionalFormatting>
  <conditionalFormatting sqref="G469">
    <cfRule type="expression" dxfId="280" priority="303">
      <formula>IF(OR(AND(G469="",H468="",OR(I468="Critical",I468="Major",I468="Minor"))),1,0)</formula>
    </cfRule>
  </conditionalFormatting>
  <conditionalFormatting sqref="G469">
    <cfRule type="expression" dxfId="279" priority="302">
      <formula>IF(AND(OR(G469="",#REF!="Segment"),OR(#REF!="Accuracy",#REF!="Fluency",#REF!="Other")),1,0)</formula>
    </cfRule>
  </conditionalFormatting>
  <conditionalFormatting sqref="G470">
    <cfRule type="expression" dxfId="278" priority="301">
      <formula>IF(AND(OR(G470="",#REF!="Segment"),OR(#REF!="Accuracy",#REF!="Fluency",#REF!="Other")),1,0)</formula>
    </cfRule>
  </conditionalFormatting>
  <conditionalFormatting sqref="G471">
    <cfRule type="expression" dxfId="277" priority="300">
      <formula>IF(AND(OR(G471="",#REF!="Segment"),OR(#REF!="Accuracy",#REF!="Fluency",#REF!="Other")),1,0)</formula>
    </cfRule>
  </conditionalFormatting>
  <conditionalFormatting sqref="G473">
    <cfRule type="expression" dxfId="276" priority="299">
      <formula>IF(AND(OR(G473="",#REF!="Segment"),OR(#REF!="Accuracy",#REF!="Fluency",#REF!="Other")),1,0)</formula>
    </cfRule>
  </conditionalFormatting>
  <conditionalFormatting sqref="G474">
    <cfRule type="expression" dxfId="275" priority="298">
      <formula>IF(AND(OR(G474="",#REF!="Segment"),OR(#REF!="Accuracy",#REF!="Fluency",#REF!="Other")),1,0)</formula>
    </cfRule>
  </conditionalFormatting>
  <conditionalFormatting sqref="G475">
    <cfRule type="expression" dxfId="274" priority="297">
      <formula>IF(AND(OR(G475="",#REF!="Segment"),OR(#REF!="Accuracy",#REF!="Fluency",#REF!="Other")),1,0)</formula>
    </cfRule>
  </conditionalFormatting>
  <conditionalFormatting sqref="G476">
    <cfRule type="expression" dxfId="273" priority="296">
      <formula>IF(AND(OR(G476="",#REF!="Segment"),OR(#REF!="Accuracy",#REF!="Fluency",#REF!="Other")),1,0)</formula>
    </cfRule>
  </conditionalFormatting>
  <conditionalFormatting sqref="G477">
    <cfRule type="expression" dxfId="272" priority="295">
      <formula>IF(AND(OR(G477="",#REF!="Segment"),OR(#REF!="Accuracy",#REF!="Fluency",#REF!="Other")),1,0)</formula>
    </cfRule>
  </conditionalFormatting>
  <conditionalFormatting sqref="G479">
    <cfRule type="expression" dxfId="271" priority="294">
      <formula>IF(AND(OR(G479="",#REF!="Segment"),OR(#REF!="Accuracy",#REF!="Fluency",#REF!="Other")),1,0)</formula>
    </cfRule>
  </conditionalFormatting>
  <conditionalFormatting sqref="G478">
    <cfRule type="expression" dxfId="270" priority="293">
      <formula>IF(AND(OR(G478="",#REF!="Segment"),OR(#REF!="Accuracy",#REF!="Fluency",#REF!="Other")),1,0)</formula>
    </cfRule>
  </conditionalFormatting>
  <conditionalFormatting sqref="G480:G481">
    <cfRule type="expression" dxfId="269" priority="292">
      <formula>IF(OR(AND(G480="",H480="",OR(I482="Critical",I482="Major",I482="Minor"))),1,0)</formula>
    </cfRule>
  </conditionalFormatting>
  <conditionalFormatting sqref="G480:G481">
    <cfRule type="expression" dxfId="268" priority="291">
      <formula>IF(AND(OR(G480="",#REF!="Segment"),OR(#REF!="Accuracy",#REF!="Fluency",#REF!="Other")),1,0)</formula>
    </cfRule>
  </conditionalFormatting>
  <conditionalFormatting sqref="G482">
    <cfRule type="expression" dxfId="267" priority="290">
      <formula>IF(AND(OR(G482="",#REF!="Segment"),OR(#REF!="Accuracy",#REF!="Fluency",#REF!="Other")),1,0)</formula>
    </cfRule>
  </conditionalFormatting>
  <conditionalFormatting sqref="G483">
    <cfRule type="expression" dxfId="266" priority="289">
      <formula>IF(AND(OR(G483="",#REF!="Segment"),OR(#REF!="Accuracy",#REF!="Fluency",#REF!="Other")),1,0)</formula>
    </cfRule>
  </conditionalFormatting>
  <conditionalFormatting sqref="G486">
    <cfRule type="expression" dxfId="265" priority="288">
      <formula>IF(AND(OR(G486="",#REF!="Segment"),OR(#REF!="Accuracy",#REF!="Fluency",#REF!="Other")),1,0)</formula>
    </cfRule>
  </conditionalFormatting>
  <conditionalFormatting sqref="G484">
    <cfRule type="expression" dxfId="264" priority="287">
      <formula>IF(AND(OR(G484="",#REF!="Segment"),OR(#REF!="Accuracy",#REF!="Fluency",#REF!="Other")),1,0)</formula>
    </cfRule>
  </conditionalFormatting>
  <conditionalFormatting sqref="G485">
    <cfRule type="expression" dxfId="263" priority="286">
      <formula>IF(AND(OR(G485="",#REF!="Segment"),OR(#REF!="Accuracy",#REF!="Fluency",#REF!="Other")),1,0)</formula>
    </cfRule>
  </conditionalFormatting>
  <conditionalFormatting sqref="G487:G488">
    <cfRule type="expression" dxfId="262" priority="285">
      <formula>IF(AND(OR(G487="",#REF!="Segment"),OR(#REF!="Accuracy",#REF!="Fluency",#REF!="Other")),1,0)</formula>
    </cfRule>
  </conditionalFormatting>
  <conditionalFormatting sqref="G489:G490">
    <cfRule type="expression" dxfId="261" priority="284">
      <formula>IF(AND(OR(G489="",#REF!="Segment"),OR(#REF!="Accuracy",#REF!="Fluency",#REF!="Other")),1,0)</formula>
    </cfRule>
  </conditionalFormatting>
  <conditionalFormatting sqref="G493">
    <cfRule type="expression" dxfId="260" priority="283">
      <formula>IF(AND(OR(G493="",#REF!="Segment"),OR(#REF!="Accuracy",#REF!="Fluency",#REF!="Other")),1,0)</formula>
    </cfRule>
  </conditionalFormatting>
  <conditionalFormatting sqref="G494">
    <cfRule type="expression" dxfId="259" priority="282">
      <formula>IF(AND(OR(G494="",#REF!="Segment"),OR(#REF!="Accuracy",#REF!="Fluency",#REF!="Other")),1,0)</formula>
    </cfRule>
  </conditionalFormatting>
  <conditionalFormatting sqref="G495">
    <cfRule type="expression" dxfId="258" priority="281">
      <formula>IF(AND(OR(G495="",#REF!="Segment"),OR(#REF!="Accuracy",#REF!="Fluency",#REF!="Other")),1,0)</formula>
    </cfRule>
  </conditionalFormatting>
  <conditionalFormatting sqref="G496">
    <cfRule type="expression" dxfId="257" priority="280">
      <formula>IF(AND(OR(G496="",#REF!="Segment"),OR(#REF!="Accuracy",#REF!="Fluency",#REF!="Other")),1,0)</formula>
    </cfRule>
  </conditionalFormatting>
  <conditionalFormatting sqref="G497">
    <cfRule type="expression" dxfId="256" priority="279">
      <formula>IF(AND(OR(G497="",#REF!="Segment"),OR(#REF!="Accuracy",#REF!="Fluency",#REF!="Other")),1,0)</formula>
    </cfRule>
  </conditionalFormatting>
  <conditionalFormatting sqref="G498">
    <cfRule type="expression" dxfId="255" priority="278">
      <formula>IF(AND(OR(G498="",#REF!="Segment"),OR(#REF!="Accuracy",#REF!="Fluency",#REF!="Other")),1,0)</formula>
    </cfRule>
  </conditionalFormatting>
  <conditionalFormatting sqref="G499">
    <cfRule type="expression" dxfId="254" priority="277">
      <formula>IF(AND(OR(G499="",#REF!="Segment"),OR(#REF!="Accuracy",#REF!="Fluency",#REF!="Other")),1,0)</formula>
    </cfRule>
  </conditionalFormatting>
  <conditionalFormatting sqref="G500">
    <cfRule type="expression" dxfId="253" priority="276">
      <formula>IF(AND(OR(G500="",#REF!="Segment"),OR(#REF!="Accuracy",#REF!="Fluency",#REF!="Other")),1,0)</formula>
    </cfRule>
  </conditionalFormatting>
  <conditionalFormatting sqref="G501">
    <cfRule type="expression" dxfId="252" priority="275">
      <formula>IF(AND(OR(G501="",#REF!="Segment"),OR(#REF!="Accuracy",#REF!="Fluency",#REF!="Other")),1,0)</formula>
    </cfRule>
  </conditionalFormatting>
  <conditionalFormatting sqref="G502:G503">
    <cfRule type="expression" dxfId="251" priority="274">
      <formula>IF(AND(OR(G502="",#REF!="Segment"),OR(#REF!="Accuracy",#REF!="Fluency",#REF!="Other")),1,0)</formula>
    </cfRule>
  </conditionalFormatting>
  <conditionalFormatting sqref="G504">
    <cfRule type="expression" dxfId="250" priority="273">
      <formula>IF(AND(OR(G504="",#REF!="Segment"),OR(#REF!="Accuracy",#REF!="Fluency",#REF!="Other")),1,0)</formula>
    </cfRule>
  </conditionalFormatting>
  <conditionalFormatting sqref="G505">
    <cfRule type="expression" dxfId="249" priority="272">
      <formula>IF(AND(OR(G505="",#REF!="Segment"),OR(#REF!="Accuracy",#REF!="Fluency",#REF!="Other")),1,0)</formula>
    </cfRule>
  </conditionalFormatting>
  <conditionalFormatting sqref="G506">
    <cfRule type="expression" dxfId="248" priority="271">
      <formula>IF(AND(OR(G506="",#REF!="Segment"),OR(#REF!="Accuracy",#REF!="Fluency",#REF!="Other")),1,0)</formula>
    </cfRule>
  </conditionalFormatting>
  <conditionalFormatting sqref="G508">
    <cfRule type="expression" dxfId="247" priority="270">
      <formula>IF(AND(OR(G508="",#REF!="Segment"),OR(#REF!="Accuracy",#REF!="Fluency",#REF!="Other")),1,0)</formula>
    </cfRule>
  </conditionalFormatting>
  <conditionalFormatting sqref="G507">
    <cfRule type="expression" dxfId="246" priority="269">
      <formula>IF(AND(OR(G507="",#REF!="Segment"),OR(#REF!="Accuracy",#REF!="Fluency",#REF!="Other")),1,0)</formula>
    </cfRule>
  </conditionalFormatting>
  <conditionalFormatting sqref="E510:G510">
    <cfRule type="expression" dxfId="245" priority="267">
      <formula>IF(OR(AND(E510="",F510="",OR(G510="Critical",G510="Major",G510="Minor"))),1,0)</formula>
    </cfRule>
  </conditionalFormatting>
  <conditionalFormatting sqref="F510">
    <cfRule type="expression" dxfId="244" priority="266">
      <formula>IF(AND(F510="",OR(E510="Accuracy",E510="Fluency",E510="Segment",E510="Other")),1,0)</formula>
    </cfRule>
  </conditionalFormatting>
  <conditionalFormatting sqref="G510">
    <cfRule type="expression" dxfId="243" priority="268">
      <formula>IF(AND(OR(G510="",#REF!="Segment"),OR(#REF!="Accuracy",#REF!="Fluency",#REF!="Other")),1,0)</formula>
    </cfRule>
  </conditionalFormatting>
  <conditionalFormatting sqref="E514:G514">
    <cfRule type="expression" dxfId="242" priority="264">
      <formula>IF(OR(AND(E514="",F514="",OR(G514="Critical",G514="Major",G514="Minor"))),1,0)</formula>
    </cfRule>
  </conditionalFormatting>
  <conditionalFormatting sqref="F514">
    <cfRule type="expression" dxfId="241" priority="263">
      <formula>IF(AND(F514="",OR(E514="Accuracy",E514="Fluency",E514="Segment",E514="Other")),1,0)</formula>
    </cfRule>
  </conditionalFormatting>
  <conditionalFormatting sqref="G514">
    <cfRule type="expression" dxfId="240" priority="265">
      <formula>IF(AND(OR(G514="",#REF!="Segment"),OR(#REF!="Accuracy",#REF!="Fluency",#REF!="Other")),1,0)</formula>
    </cfRule>
  </conditionalFormatting>
  <conditionalFormatting sqref="E511">
    <cfRule type="expression" dxfId="239" priority="259">
      <formula>IF(OR(AND(E511="",F511="",OR(G511="Critical",G511="Major",G511="Minor"))),1,0)</formula>
    </cfRule>
  </conditionalFormatting>
  <conditionalFormatting sqref="F511">
    <cfRule type="expression" dxfId="238" priority="258">
      <formula>IF(AND(F511="",OR(E511="Accuracy",E511="Fluency",E511="Segment",E511="Other")),1,0)</formula>
    </cfRule>
  </conditionalFormatting>
  <conditionalFormatting sqref="G511">
    <cfRule type="expression" dxfId="237" priority="260">
      <formula>IF(AND(OR(G511="",#REF!="Segment"),OR(#REF!="Accuracy",#REF!="Fluency",#REF!="Other")),1,0)</formula>
    </cfRule>
  </conditionalFormatting>
  <conditionalFormatting sqref="G511">
    <cfRule type="expression" dxfId="236" priority="261">
      <formula>IF(OR(AND(G511="",H510="",OR(I511="Critical",I511="Major",I511="Minor"))),1,0)</formula>
    </cfRule>
  </conditionalFormatting>
  <conditionalFormatting sqref="F511">
    <cfRule type="expression" dxfId="235" priority="262">
      <formula>IF(OR(AND(F511="",G511="",OR(H510="Critical",H510="Major",H510="Minor"))),1,0)</formula>
    </cfRule>
  </conditionalFormatting>
  <conditionalFormatting sqref="E513">
    <cfRule type="expression" dxfId="234" priority="254">
      <formula>IF(OR(AND(E513="",F513="",OR(G513="Critical",G513="Major",G513="Minor"))),1,0)</formula>
    </cfRule>
  </conditionalFormatting>
  <conditionalFormatting sqref="F513">
    <cfRule type="expression" dxfId="233" priority="253">
      <formula>IF(AND(F513="",OR(E513="Accuracy",E513="Fluency",E513="Segment",E513="Other")),1,0)</formula>
    </cfRule>
  </conditionalFormatting>
  <conditionalFormatting sqref="G513">
    <cfRule type="expression" dxfId="232" priority="255">
      <formula>IF(AND(OR(G513="",#REF!="Segment"),OR(#REF!="Accuracy",#REF!="Fluency",#REF!="Other")),1,0)</formula>
    </cfRule>
  </conditionalFormatting>
  <conditionalFormatting sqref="G513">
    <cfRule type="expression" dxfId="231" priority="256">
      <formula>IF(OR(AND(G513="",H512="",OR(I513="Critical",I513="Major",I513="Minor"))),1,0)</formula>
    </cfRule>
  </conditionalFormatting>
  <conditionalFormatting sqref="F513">
    <cfRule type="expression" dxfId="230" priority="257">
      <formula>IF(OR(AND(F513="",G513="",OR(H512="Critical",H512="Major",H512="Minor"))),1,0)</formula>
    </cfRule>
  </conditionalFormatting>
  <conditionalFormatting sqref="G515">
    <cfRule type="expression" dxfId="229" priority="250">
      <formula>IF(AND(OR(G515="",#REF!="Segment"),OR(#REF!="Accuracy",#REF!="Fluency",#REF!="Other")),1,0)</formula>
    </cfRule>
  </conditionalFormatting>
  <conditionalFormatting sqref="G515">
    <cfRule type="expression" dxfId="228" priority="251">
      <formula>IF(OR(AND(G515="",H514="",OR(I515="Critical",I515="Major",I515="Minor"))),1,0)</formula>
    </cfRule>
  </conditionalFormatting>
  <conditionalFormatting sqref="E516">
    <cfRule type="expression" dxfId="227" priority="244">
      <formula>IF(OR(AND(E516="",F516="",OR(G516="Critical",G516="Major",G516="Minor"))),1,0)</formula>
    </cfRule>
  </conditionalFormatting>
  <conditionalFormatting sqref="F516">
    <cfRule type="expression" dxfId="226" priority="243">
      <formula>IF(AND(F516="",OR(E516="Accuracy",E516="Fluency",E516="Segment",E516="Other")),1,0)</formula>
    </cfRule>
  </conditionalFormatting>
  <conditionalFormatting sqref="G516">
    <cfRule type="expression" dxfId="225" priority="245">
      <formula>IF(AND(OR(G516="",#REF!="Segment"),OR(#REF!="Accuracy",#REF!="Fluency",#REF!="Other")),1,0)</formula>
    </cfRule>
  </conditionalFormatting>
  <conditionalFormatting sqref="G516">
    <cfRule type="expression" dxfId="224" priority="246">
      <formula>IF(OR(AND(G516="",H515="",OR(I516="Critical",I516="Major",I516="Minor"))),1,0)</formula>
    </cfRule>
  </conditionalFormatting>
  <conditionalFormatting sqref="F516">
    <cfRule type="expression" dxfId="223" priority="247">
      <formula>IF(OR(AND(F516="",G516="",OR(H515="Critical",H515="Major",H515="Minor"))),1,0)</formula>
    </cfRule>
  </conditionalFormatting>
  <conditionalFormatting sqref="E517:G517">
    <cfRule type="expression" dxfId="222" priority="241">
      <formula>IF(OR(AND(E517="",F517="",OR(G517="Critical",G517="Major",G517="Minor"))),1,0)</formula>
    </cfRule>
  </conditionalFormatting>
  <conditionalFormatting sqref="F517">
    <cfRule type="expression" dxfId="221" priority="240">
      <formula>IF(AND(F517="",OR(E517="Accuracy",E517="Fluency",E517="Segment",E517="Other")),1,0)</formula>
    </cfRule>
  </conditionalFormatting>
  <conditionalFormatting sqref="G517">
    <cfRule type="expression" dxfId="220" priority="242">
      <formula>IF(AND(OR(G517="",#REF!="Segment"),OR(#REF!="Accuracy",#REF!="Fluency",#REF!="Other")),1,0)</formula>
    </cfRule>
  </conditionalFormatting>
  <conditionalFormatting sqref="E512">
    <cfRule type="expression" dxfId="219" priority="236">
      <formula>IF(OR(AND(E512="",F512="",OR(G512="Critical",G512="Major",G512="Minor"))),1,0)</formula>
    </cfRule>
  </conditionalFormatting>
  <conditionalFormatting sqref="F512">
    <cfRule type="expression" dxfId="218" priority="235">
      <formula>IF(AND(F512="",OR(E512="Accuracy",E512="Fluency",E512="Segment",E512="Other")),1,0)</formula>
    </cfRule>
  </conditionalFormatting>
  <conditionalFormatting sqref="G512">
    <cfRule type="expression" dxfId="217" priority="237">
      <formula>IF(AND(OR(G512="",#REF!="Segment"),OR(#REF!="Accuracy",#REF!="Fluency",#REF!="Other")),1,0)</formula>
    </cfRule>
  </conditionalFormatting>
  <conditionalFormatting sqref="G512">
    <cfRule type="expression" dxfId="216" priority="238">
      <formula>IF(OR(AND(G512="",H511="",OR(I512="Critical",I512="Major",I512="Minor"))),1,0)</formula>
    </cfRule>
  </conditionalFormatting>
  <conditionalFormatting sqref="F512">
    <cfRule type="expression" dxfId="215" priority="239">
      <formula>IF(OR(AND(F512="",G512="",OR(H511="Critical",H511="Major",H511="Minor"))),1,0)</formula>
    </cfRule>
  </conditionalFormatting>
  <conditionalFormatting sqref="E519:G520">
    <cfRule type="expression" dxfId="214" priority="233">
      <formula>IF(OR(AND(E519="",F519="",OR(G519="Critical",G519="Major",G519="Minor"))),1,0)</formula>
    </cfRule>
  </conditionalFormatting>
  <conditionalFormatting sqref="F519:F520">
    <cfRule type="expression" dxfId="213" priority="232">
      <formula>IF(AND(F519="",OR(E519="Accuracy",E519="Fluency",E519="Segment",E519="Other")),1,0)</formula>
    </cfRule>
  </conditionalFormatting>
  <conditionalFormatting sqref="G519:G520">
    <cfRule type="expression" dxfId="212" priority="234">
      <formula>IF(AND(OR(G519="",#REF!="Segment"),OR(#REF!="Accuracy",#REF!="Fluency",#REF!="Other")),1,0)</formula>
    </cfRule>
  </conditionalFormatting>
  <conditionalFormatting sqref="E524:G524">
    <cfRule type="expression" dxfId="211" priority="230">
      <formula>IF(OR(AND(E524="",F524="",OR(G524="Critical",G524="Major",G524="Minor"))),1,0)</formula>
    </cfRule>
  </conditionalFormatting>
  <conditionalFormatting sqref="F524">
    <cfRule type="expression" dxfId="210" priority="229">
      <formula>IF(AND(F524="",OR(E524="Accuracy",E524="Fluency",E524="Segment",E524="Other")),1,0)</formula>
    </cfRule>
  </conditionalFormatting>
  <conditionalFormatting sqref="G524">
    <cfRule type="expression" dxfId="209" priority="231">
      <formula>IF(AND(OR(G524="",#REF!="Segment"),OR(#REF!="Accuracy",#REF!="Fluency",#REF!="Other")),1,0)</formula>
    </cfRule>
  </conditionalFormatting>
  <conditionalFormatting sqref="G527">
    <cfRule type="expression" dxfId="208" priority="227">
      <formula>IF(OR(AND(G527="",H527="",OR(I527="Critical",I527="Major",I527="Minor"))),1,0)</formula>
    </cfRule>
  </conditionalFormatting>
  <conditionalFormatting sqref="G527">
    <cfRule type="expression" dxfId="207" priority="228">
      <formula>IF(AND(OR(G527="",#REF!="Segment"),OR(#REF!="Accuracy",#REF!="Fluency",#REF!="Other")),1,0)</formula>
    </cfRule>
  </conditionalFormatting>
  <conditionalFormatting sqref="E528:G529">
    <cfRule type="expression" dxfId="206" priority="224">
      <formula>IF(OR(AND(E528="",F528="",OR(G528="Critical",G528="Major",G528="Minor"))),1,0)</formula>
    </cfRule>
  </conditionalFormatting>
  <conditionalFormatting sqref="F528:F529">
    <cfRule type="expression" dxfId="205" priority="223">
      <formula>IF(AND(F528="",OR(E528="Accuracy",E528="Fluency",E528="Segment",E528="Other")),1,0)</formula>
    </cfRule>
  </conditionalFormatting>
  <conditionalFormatting sqref="G528:G529">
    <cfRule type="expression" dxfId="204" priority="225">
      <formula>IF(AND(OR(G528="",#REF!="Segment"),OR(#REF!="Accuracy",#REF!="Fluency",#REF!="Other")),1,0)</formula>
    </cfRule>
  </conditionalFormatting>
  <conditionalFormatting sqref="G530">
    <cfRule type="expression" dxfId="203" priority="221">
      <formula>IF(OR(AND(G530="",H530="",OR(I530="Critical",I530="Major",I530="Minor"))),1,0)</formula>
    </cfRule>
  </conditionalFormatting>
  <conditionalFormatting sqref="G530">
    <cfRule type="expression" dxfId="202" priority="222">
      <formula>IF(AND(OR(G530="",#REF!="Segment"),OR(#REF!="Accuracy",#REF!="Fluency",#REF!="Other")),1,0)</formula>
    </cfRule>
  </conditionalFormatting>
  <conditionalFormatting sqref="G531">
    <cfRule type="expression" dxfId="201" priority="217">
      <formula>IF(OR(AND(G531="",H531="",OR(I531="Critical",I531="Major",I531="Minor"))),1,0)</formula>
    </cfRule>
  </conditionalFormatting>
  <conditionalFormatting sqref="G531">
    <cfRule type="expression" dxfId="200" priority="218">
      <formula>IF(AND(OR(G531="",#REF!="Segment"),OR(#REF!="Accuracy",#REF!="Fluency",#REF!="Other")),1,0)</formula>
    </cfRule>
  </conditionalFormatting>
  <conditionalFormatting sqref="G532">
    <cfRule type="expression" dxfId="199" priority="213">
      <formula>IF(OR(AND(G532="",H532="",OR(I532="Critical",I532="Major",I532="Minor"))),1,0)</formula>
    </cfRule>
  </conditionalFormatting>
  <conditionalFormatting sqref="G532">
    <cfRule type="expression" dxfId="198" priority="214">
      <formula>IF(AND(OR(G532="",#REF!="Segment"),OR(#REF!="Accuracy",#REF!="Fluency",#REF!="Other")),1,0)</formula>
    </cfRule>
  </conditionalFormatting>
  <conditionalFormatting sqref="E533:G533">
    <cfRule type="expression" dxfId="197" priority="209">
      <formula>IF(OR(AND(E533="",F533="",OR(G533="Critical",G533="Major",G533="Minor"))),1,0)</formula>
    </cfRule>
  </conditionalFormatting>
  <conditionalFormatting sqref="F533">
    <cfRule type="expression" dxfId="196" priority="208">
      <formula>IF(AND(F533="",OR(E533="Accuracy",E533="Fluency",E533="Segment",E533="Other")),1,0)</formula>
    </cfRule>
  </conditionalFormatting>
  <conditionalFormatting sqref="G533">
    <cfRule type="expression" dxfId="195" priority="210">
      <formula>IF(AND(OR(G533="",#REF!="Segment"),OR(#REF!="Accuracy",#REF!="Fluency",#REF!="Other")),1,0)</formula>
    </cfRule>
  </conditionalFormatting>
  <conditionalFormatting sqref="E534:G534">
    <cfRule type="expression" dxfId="194" priority="206">
      <formula>IF(OR(AND(E534="",F534="",OR(G534="Critical",G534="Major",G534="Minor"))),1,0)</formula>
    </cfRule>
  </conditionalFormatting>
  <conditionalFormatting sqref="F534">
    <cfRule type="expression" dxfId="193" priority="205">
      <formula>IF(AND(F534="",OR(E534="Accuracy",E534="Fluency",E534="Segment",E534="Other")),1,0)</formula>
    </cfRule>
  </conditionalFormatting>
  <conditionalFormatting sqref="G534">
    <cfRule type="expression" dxfId="192" priority="207">
      <formula>IF(AND(OR(G534="",#REF!="Segment"),OR(#REF!="Accuracy",#REF!="Fluency",#REF!="Other")),1,0)</formula>
    </cfRule>
  </conditionalFormatting>
  <conditionalFormatting sqref="G535">
    <cfRule type="expression" dxfId="191" priority="203">
      <formula>IF(OR(AND(G535="",H535="",OR(I535="Critical",I535="Major",I535="Minor"))),1,0)</formula>
    </cfRule>
  </conditionalFormatting>
  <conditionalFormatting sqref="G535">
    <cfRule type="expression" dxfId="190" priority="204">
      <formula>IF(AND(OR(G535="",#REF!="Segment"),OR(#REF!="Accuracy",#REF!="Fluency",#REF!="Other")),1,0)</formula>
    </cfRule>
  </conditionalFormatting>
  <conditionalFormatting sqref="E536:G536">
    <cfRule type="expression" dxfId="189" priority="200">
      <formula>IF(OR(AND(E536="",F536="",OR(G536="Critical",G536="Major",G536="Minor"))),1,0)</formula>
    </cfRule>
  </conditionalFormatting>
  <conditionalFormatting sqref="F536">
    <cfRule type="expression" dxfId="188" priority="199">
      <formula>IF(AND(F536="",OR(E536="Accuracy",E536="Fluency",E536="Segment",E536="Other")),1,0)</formula>
    </cfRule>
  </conditionalFormatting>
  <conditionalFormatting sqref="G536">
    <cfRule type="expression" dxfId="187" priority="201">
      <formula>IF(AND(OR(G536="",#REF!="Segment"),OR(#REF!="Accuracy",#REF!="Fluency",#REF!="Other")),1,0)</formula>
    </cfRule>
  </conditionalFormatting>
  <conditionalFormatting sqref="E537:G537">
    <cfRule type="expression" dxfId="186" priority="197">
      <formula>IF(OR(AND(E537="",F537="",OR(G537="Critical",G537="Major",G537="Minor"))),1,0)</formula>
    </cfRule>
  </conditionalFormatting>
  <conditionalFormatting sqref="F537">
    <cfRule type="expression" dxfId="185" priority="196">
      <formula>IF(AND(F537="",OR(E537="Accuracy",E537="Fluency",E537="Segment",E537="Other")),1,0)</formula>
    </cfRule>
  </conditionalFormatting>
  <conditionalFormatting sqref="G537">
    <cfRule type="expression" dxfId="184" priority="198">
      <formula>IF(AND(OR(G537="",#REF!="Segment"),OR(#REF!="Accuracy",#REF!="Fluency",#REF!="Other")),1,0)</formula>
    </cfRule>
  </conditionalFormatting>
  <conditionalFormatting sqref="E538:G538">
    <cfRule type="expression" dxfId="183" priority="194">
      <formula>IF(OR(AND(E538="",F538="",OR(G538="Critical",G538="Major",G538="Minor"))),1,0)</formula>
    </cfRule>
  </conditionalFormatting>
  <conditionalFormatting sqref="F538">
    <cfRule type="expression" dxfId="182" priority="193">
      <formula>IF(AND(F538="",OR(E538="Accuracy",E538="Fluency",E538="Segment",E538="Other")),1,0)</formula>
    </cfRule>
  </conditionalFormatting>
  <conditionalFormatting sqref="G538">
    <cfRule type="expression" dxfId="181" priority="195">
      <formula>IF(AND(OR(G538="",#REF!="Segment"),OR(#REF!="Accuracy",#REF!="Fluency",#REF!="Other")),1,0)</formula>
    </cfRule>
  </conditionalFormatting>
  <conditionalFormatting sqref="G539">
    <cfRule type="expression" dxfId="180" priority="191">
      <formula>IF(OR(AND(G539="",H539="",OR(I539="Critical",I539="Major",I539="Minor"))),1,0)</formula>
    </cfRule>
  </conditionalFormatting>
  <conditionalFormatting sqref="G539">
    <cfRule type="expression" dxfId="179" priority="192">
      <formula>IF(AND(OR(G539="",#REF!="Segment"),OR(#REF!="Accuracy",#REF!="Fluency",#REF!="Other")),1,0)</formula>
    </cfRule>
  </conditionalFormatting>
  <conditionalFormatting sqref="E543:G543">
    <cfRule type="expression" dxfId="178" priority="188">
      <formula>IF(OR(AND(E543="",F543="",OR(G543="Critical",G543="Major",G543="Minor"))),1,0)</formula>
    </cfRule>
  </conditionalFormatting>
  <conditionalFormatting sqref="F543">
    <cfRule type="expression" dxfId="177" priority="187">
      <formula>IF(AND(F543="",OR(E543="Accuracy",E543="Fluency",E543="Segment",E543="Other")),1,0)</formula>
    </cfRule>
  </conditionalFormatting>
  <conditionalFormatting sqref="G543">
    <cfRule type="expression" dxfId="176" priority="189">
      <formula>IF(AND(OR(G543="",#REF!="Segment"),OR(#REF!="Accuracy",#REF!="Fluency",#REF!="Other")),1,0)</formula>
    </cfRule>
  </conditionalFormatting>
  <conditionalFormatting sqref="E544:G544">
    <cfRule type="expression" dxfId="175" priority="185">
      <formula>IF(OR(AND(E544="",F544="",OR(G544="Critical",G544="Major",G544="Minor"))),1,0)</formula>
    </cfRule>
  </conditionalFormatting>
  <conditionalFormatting sqref="F544">
    <cfRule type="expression" dxfId="174" priority="184">
      <formula>IF(AND(F544="",OR(E544="Accuracy",E544="Fluency",E544="Segment",E544="Other")),1,0)</formula>
    </cfRule>
  </conditionalFormatting>
  <conditionalFormatting sqref="G544">
    <cfRule type="expression" dxfId="173" priority="186">
      <formula>IF(AND(OR(G544="",#REF!="Segment"),OR(#REF!="Accuracy",#REF!="Fluency",#REF!="Other")),1,0)</formula>
    </cfRule>
  </conditionalFormatting>
  <conditionalFormatting sqref="G545">
    <cfRule type="expression" dxfId="172" priority="182">
      <formula>IF(OR(AND(G545="",H545="",OR(I545="Critical",I545="Major",I545="Minor"))),1,0)</formula>
    </cfRule>
  </conditionalFormatting>
  <conditionalFormatting sqref="G545">
    <cfRule type="expression" dxfId="171" priority="183">
      <formula>IF(AND(OR(G545="",#REF!="Segment"),OR(#REF!="Accuracy",#REF!="Fluency",#REF!="Other")),1,0)</formula>
    </cfRule>
  </conditionalFormatting>
  <conditionalFormatting sqref="G546">
    <cfRule type="expression" dxfId="170" priority="179">
      <formula>IF(OR(AND(G546="",H546="",OR(I546="Critical",I546="Major",I546="Minor"))),1,0)</formula>
    </cfRule>
  </conditionalFormatting>
  <conditionalFormatting sqref="G546">
    <cfRule type="expression" dxfId="169" priority="180">
      <formula>IF(AND(OR(G546="",#REF!="Segment"),OR(#REF!="Accuracy",#REF!="Fluency",#REF!="Other")),1,0)</formula>
    </cfRule>
  </conditionalFormatting>
  <conditionalFormatting sqref="E547:G547">
    <cfRule type="expression" dxfId="168" priority="176">
      <formula>IF(OR(AND(E547="",F547="",OR(G547="Critical",G547="Major",G547="Minor"))),1,0)</formula>
    </cfRule>
  </conditionalFormatting>
  <conditionalFormatting sqref="F547">
    <cfRule type="expression" dxfId="167" priority="175">
      <formula>IF(AND(F547="",OR(E547="Accuracy",E547="Fluency",E547="Segment",E547="Other")),1,0)</formula>
    </cfRule>
  </conditionalFormatting>
  <conditionalFormatting sqref="G547">
    <cfRule type="expression" dxfId="166" priority="177">
      <formula>IF(AND(OR(G547="",#REF!="Segment"),OR(#REF!="Accuracy",#REF!="Fluency",#REF!="Other")),1,0)</formula>
    </cfRule>
  </conditionalFormatting>
  <conditionalFormatting sqref="E548:G548">
    <cfRule type="expression" dxfId="165" priority="173">
      <formula>IF(OR(AND(E548="",F548="",OR(G548="Critical",G548="Major",G548="Minor"))),1,0)</formula>
    </cfRule>
  </conditionalFormatting>
  <conditionalFormatting sqref="F548">
    <cfRule type="expression" dxfId="164" priority="172">
      <formula>IF(AND(F548="",OR(E548="Accuracy",E548="Fluency",E548="Segment",E548="Other")),1,0)</formula>
    </cfRule>
  </conditionalFormatting>
  <conditionalFormatting sqref="G548">
    <cfRule type="expression" dxfId="163" priority="174">
      <formula>IF(AND(OR(G548="",#REF!="Segment"),OR(#REF!="Accuracy",#REF!="Fluency",#REF!="Other")),1,0)</formula>
    </cfRule>
  </conditionalFormatting>
  <conditionalFormatting sqref="F549">
    <cfRule type="expression" dxfId="162" priority="169">
      <formula>IF(AND(F549="",OR(E549="Accuracy",E549="Fluency",E549="Segment",E549="Other")),1,0)</formula>
    </cfRule>
  </conditionalFormatting>
  <conditionalFormatting sqref="E549:G549">
    <cfRule type="expression" dxfId="161" priority="170">
      <formula>IF(OR(AND(E549="",F549="",OR(G549="Critical",G549="Major",G549="Minor"))),1,0)</formula>
    </cfRule>
  </conditionalFormatting>
  <conditionalFormatting sqref="G549">
    <cfRule type="expression" dxfId="160" priority="171">
      <formula>IF(AND(OR(G549="",#REF!="Segment"),OR(#REF!="Accuracy",#REF!="Fluency",#REF!="Other")),1,0)</formula>
    </cfRule>
  </conditionalFormatting>
  <conditionalFormatting sqref="E581 G552 E553 E555:G555 E550:G550">
    <cfRule type="expression" dxfId="159" priority="167">
      <formula>IF(OR(AND(E550="",F550="",OR(G550="Critical",G550="Major",G550="Minor"))),1,0)</formula>
    </cfRule>
  </conditionalFormatting>
  <conditionalFormatting sqref="F553 F555 F550">
    <cfRule type="expression" dxfId="158" priority="166">
      <formula>IF(AND(F550="",OR(E550="Accuracy",E550="Fluency",E550="Segment",E550="Other")),1,0)</formula>
    </cfRule>
  </conditionalFormatting>
  <conditionalFormatting sqref="G552:G555 G550">
    <cfRule type="expression" dxfId="157" priority="168">
      <formula>IF(AND(OR(G550="",#REF!="Segment"),OR(#REF!="Accuracy",#REF!="Fluency",#REF!="Other")),1,0)</formula>
    </cfRule>
  </conditionalFormatting>
  <conditionalFormatting sqref="G581 G554">
    <cfRule type="expression" dxfId="156" priority="163">
      <formula>IF(OR(AND(G554="",H553="",OR(I554="Critical",I554="Major",I554="Minor"))),1,0)</formula>
    </cfRule>
  </conditionalFormatting>
  <conditionalFormatting sqref="G553">
    <cfRule type="expression" dxfId="155" priority="164">
      <formula>IF(OR(AND(G553="",#REF!="",OR(I553="Critical",I553="Major",I553="Minor"))),1,0)</formula>
    </cfRule>
  </conditionalFormatting>
  <conditionalFormatting sqref="F553">
    <cfRule type="expression" dxfId="154" priority="165">
      <formula>IF(OR(AND(F553="",G553="",OR(#REF!="Critical",#REF!="Major",#REF!="Minor"))),1,0)</formula>
    </cfRule>
  </conditionalFormatting>
  <conditionalFormatting sqref="E551 G551">
    <cfRule type="expression" dxfId="153" priority="161">
      <formula>IF(OR(AND(E551="",F551="",OR(G551="Critical",G551="Major",G551="Minor"))),1,0)</formula>
    </cfRule>
  </conditionalFormatting>
  <conditionalFormatting sqref="F551">
    <cfRule type="expression" dxfId="152" priority="160">
      <formula>IF(AND(F551="",OR(E551="Accuracy",E551="Fluency",E551="Segment",E551="Other")),1,0)</formula>
    </cfRule>
  </conditionalFormatting>
  <conditionalFormatting sqref="G551">
    <cfRule type="expression" dxfId="151" priority="162">
      <formula>IF(AND(OR(G551="",#REF!="Segment"),OR(#REF!="Accuracy",#REF!="Fluency",#REF!="Other")),1,0)</formula>
    </cfRule>
  </conditionalFormatting>
  <conditionalFormatting sqref="E554">
    <cfRule type="expression" dxfId="150" priority="158">
      <formula>IF(OR(AND(E554="",F554="",OR(G554="Critical",G554="Major",G554="Minor"))),1,0)</formula>
    </cfRule>
  </conditionalFormatting>
  <conditionalFormatting sqref="F554">
    <cfRule type="expression" dxfId="149" priority="157">
      <formula>IF(AND(F554="",OR(E554="Accuracy",E554="Fluency",E554="Segment",E554="Other")),1,0)</formula>
    </cfRule>
  </conditionalFormatting>
  <conditionalFormatting sqref="F554">
    <cfRule type="expression" dxfId="148" priority="159">
      <formula>IF(OR(AND(F554="",G554="",OR(#REF!="Critical",#REF!="Major",#REF!="Minor"))),1,0)</formula>
    </cfRule>
  </conditionalFormatting>
  <conditionalFormatting sqref="G556">
    <cfRule type="expression" dxfId="147" priority="155">
      <formula>IF(OR(AND(G556="",H556="",OR(I556="Critical",I556="Major",I556="Minor"))),1,0)</formula>
    </cfRule>
  </conditionalFormatting>
  <conditionalFormatting sqref="G556">
    <cfRule type="expression" dxfId="146" priority="156">
      <formula>IF(AND(OR(G556="",#REF!="Segment"),OR(#REF!="Accuracy",#REF!="Fluency",#REF!="Other")),1,0)</formula>
    </cfRule>
  </conditionalFormatting>
  <conditionalFormatting sqref="E557:G557">
    <cfRule type="expression" dxfId="145" priority="152">
      <formula>IF(OR(AND(E557="",F557="",OR(G557="Critical",G557="Major",G557="Minor"))),1,0)</formula>
    </cfRule>
  </conditionalFormatting>
  <conditionalFormatting sqref="F557">
    <cfRule type="expression" dxfId="144" priority="151">
      <formula>IF(AND(F557="",OR(E557="Accuracy",E557="Fluency",E557="Segment",E557="Other")),1,0)</formula>
    </cfRule>
  </conditionalFormatting>
  <conditionalFormatting sqref="G557">
    <cfRule type="expression" dxfId="143" priority="153">
      <formula>IF(AND(OR(G557="",#REF!="Segment"),OR(#REF!="Accuracy",#REF!="Fluency",#REF!="Other")),1,0)</formula>
    </cfRule>
  </conditionalFormatting>
  <conditionalFormatting sqref="G557">
    <cfRule type="expression" dxfId="142" priority="150">
      <formula>IF(AND(OR(G557="",#REF!="Segment"),OR(#REF!="Accuracy",#REF!="Fluency",#REF!="Other")),1,0)</formula>
    </cfRule>
  </conditionalFormatting>
  <conditionalFormatting sqref="G557">
    <cfRule type="expression" dxfId="141" priority="149">
      <formula>IF(AND(OR(G557="",#REF!="Segment"),OR(#REF!="Accuracy",#REF!="Fluency",#REF!="Other")),1,0)</formula>
    </cfRule>
  </conditionalFormatting>
  <conditionalFormatting sqref="E558:G558">
    <cfRule type="expression" dxfId="140" priority="147">
      <formula>IF(OR(AND(E558="",F558="",OR(G558="Critical",G558="Major",G558="Minor"))),1,0)</formula>
    </cfRule>
  </conditionalFormatting>
  <conditionalFormatting sqref="F558">
    <cfRule type="expression" dxfId="139" priority="146">
      <formula>IF(AND(F558="",OR(E558="Accuracy",E558="Fluency",E558="Segment",E558="Other")),1,0)</formula>
    </cfRule>
  </conditionalFormatting>
  <conditionalFormatting sqref="G558">
    <cfRule type="expression" dxfId="138" priority="148">
      <formula>IF(AND(OR(G558="",#REF!="Segment"),OR(#REF!="Accuracy",#REF!="Fluency",#REF!="Other")),1,0)</formula>
    </cfRule>
  </conditionalFormatting>
  <conditionalFormatting sqref="E559:G559">
    <cfRule type="expression" dxfId="137" priority="144">
      <formula>IF(OR(AND(E559="",F559="",OR(G559="Critical",G559="Major",G559="Minor"))),1,0)</formula>
    </cfRule>
  </conditionalFormatting>
  <conditionalFormatting sqref="F559">
    <cfRule type="expression" dxfId="136" priority="143">
      <formula>IF(AND(F559="",OR(E559="Accuracy",E559="Fluency",E559="Segment",E559="Other")),1,0)</formula>
    </cfRule>
  </conditionalFormatting>
  <conditionalFormatting sqref="G559">
    <cfRule type="expression" dxfId="135" priority="145">
      <formula>IF(AND(OR(G559="",#REF!="Segment"),OR(#REF!="Accuracy",#REF!="Fluency",#REF!="Other")),1,0)</formula>
    </cfRule>
  </conditionalFormatting>
  <conditionalFormatting sqref="G560">
    <cfRule type="expression" dxfId="134" priority="141">
      <formula>IF(OR(AND(G560="",H560="",OR(I560="Critical",I560="Major",I560="Minor"))),1,0)</formula>
    </cfRule>
  </conditionalFormatting>
  <conditionalFormatting sqref="G560">
    <cfRule type="expression" dxfId="133" priority="142">
      <formula>IF(AND(OR(G560="",#REF!="Segment"),OR(#REF!="Accuracy",#REF!="Fluency",#REF!="Other")),1,0)</formula>
    </cfRule>
  </conditionalFormatting>
  <conditionalFormatting sqref="E560:F560">
    <cfRule type="expression" dxfId="132" priority="140">
      <formula>IF(OR(AND(E560="",F560="",OR(G560="Critical",G560="Major",G560="Minor"))),1,0)</formula>
    </cfRule>
  </conditionalFormatting>
  <conditionalFormatting sqref="F560">
    <cfRule type="expression" dxfId="131" priority="139">
      <formula>IF(AND(F560="",OR(E560="Accuracy",E560="Fluency",E560="Segment",E560="Other")),1,0)</formula>
    </cfRule>
  </conditionalFormatting>
  <conditionalFormatting sqref="G561">
    <cfRule type="expression" dxfId="130" priority="137">
      <formula>IF(OR(AND(G561="",H561="",OR(I561="Critical",I561="Major",I561="Minor"))),1,0)</formula>
    </cfRule>
  </conditionalFormatting>
  <conditionalFormatting sqref="G561">
    <cfRule type="expression" dxfId="129" priority="138">
      <formula>IF(AND(OR(G561="",#REF!="Segment"),OR(#REF!="Accuracy",#REF!="Fluency",#REF!="Other")),1,0)</formula>
    </cfRule>
  </conditionalFormatting>
  <conditionalFormatting sqref="E562:G562">
    <cfRule type="expression" dxfId="128" priority="134">
      <formula>IF(OR(AND(E562="",F562="",OR(G562="Critical",G562="Major",G562="Minor"))),1,0)</formula>
    </cfRule>
  </conditionalFormatting>
  <conditionalFormatting sqref="F562">
    <cfRule type="expression" dxfId="127" priority="133">
      <formula>IF(AND(F562="",OR(E562="Accuracy",E562="Fluency",E562="Segment",E562="Other")),1,0)</formula>
    </cfRule>
  </conditionalFormatting>
  <conditionalFormatting sqref="G562">
    <cfRule type="expression" dxfId="126" priority="135">
      <formula>IF(AND(OR(G562="",#REF!="Segment"),OR(#REF!="Accuracy",#REF!="Fluency",#REF!="Other")),1,0)</formula>
    </cfRule>
  </conditionalFormatting>
  <conditionalFormatting sqref="E563:G563">
    <cfRule type="expression" dxfId="125" priority="131">
      <formula>IF(OR(AND(E563="",F563="",OR(G563="Critical",G563="Major",G563="Minor"))),1,0)</formula>
    </cfRule>
  </conditionalFormatting>
  <conditionalFormatting sqref="F563">
    <cfRule type="expression" dxfId="124" priority="130">
      <formula>IF(AND(F563="",OR(E563="Accuracy",E563="Fluency",E563="Segment",E563="Other")),1,0)</formula>
    </cfRule>
  </conditionalFormatting>
  <conditionalFormatting sqref="G563">
    <cfRule type="expression" dxfId="123" priority="132">
      <formula>IF(AND(OR(G563="",#REF!="Segment"),OR(#REF!="Accuracy",#REF!="Fluency",#REF!="Other")),1,0)</formula>
    </cfRule>
  </conditionalFormatting>
  <conditionalFormatting sqref="E564:G564">
    <cfRule type="expression" dxfId="122" priority="128">
      <formula>IF(OR(AND(E564="",F564="",OR(G564="Critical",G564="Major",G564="Minor"))),1,0)</formula>
    </cfRule>
  </conditionalFormatting>
  <conditionalFormatting sqref="F564">
    <cfRule type="expression" dxfId="121" priority="127">
      <formula>IF(AND(F564="",OR(E564="Accuracy",E564="Fluency",E564="Segment",E564="Other")),1,0)</formula>
    </cfRule>
  </conditionalFormatting>
  <conditionalFormatting sqref="G564">
    <cfRule type="expression" dxfId="120" priority="129">
      <formula>IF(AND(OR(G564="",#REF!="Segment"),OR(#REF!="Accuracy",#REF!="Fluency",#REF!="Other")),1,0)</formula>
    </cfRule>
  </conditionalFormatting>
  <conditionalFormatting sqref="G565">
    <cfRule type="expression" dxfId="119" priority="125">
      <formula>IF(OR(AND(G565="",H565="",OR(I565="Critical",I565="Major",I565="Minor"))),1,0)</formula>
    </cfRule>
  </conditionalFormatting>
  <conditionalFormatting sqref="G565">
    <cfRule type="expression" dxfId="118" priority="126">
      <formula>IF(AND(OR(G565="",#REF!="Segment"),OR(#REF!="Accuracy",#REF!="Fluency",#REF!="Other")),1,0)</formula>
    </cfRule>
  </conditionalFormatting>
  <conditionalFormatting sqref="G566">
    <cfRule type="expression" dxfId="117" priority="122">
      <formula>IF(OR(AND(G566="",H566="",OR(I566="Critical",I566="Major",I566="Minor"))),1,0)</formula>
    </cfRule>
  </conditionalFormatting>
  <conditionalFormatting sqref="G566">
    <cfRule type="expression" dxfId="116" priority="123">
      <formula>IF(AND(OR(G566="",#REF!="Segment"),OR(#REF!="Accuracy",#REF!="Fluency",#REF!="Other")),1,0)</formula>
    </cfRule>
  </conditionalFormatting>
  <conditionalFormatting sqref="E567:G567">
    <cfRule type="expression" dxfId="115" priority="119">
      <formula>IF(OR(AND(E567="",F567="",OR(G567="Critical",G567="Major",G567="Minor"))),1,0)</formula>
    </cfRule>
  </conditionalFormatting>
  <conditionalFormatting sqref="F567">
    <cfRule type="expression" dxfId="114" priority="118">
      <formula>IF(AND(F567="",OR(E567="Accuracy",E567="Fluency",E567="Segment",E567="Other")),1,0)</formula>
    </cfRule>
  </conditionalFormatting>
  <conditionalFormatting sqref="G567">
    <cfRule type="expression" dxfId="113" priority="120">
      <formula>IF(AND(OR(G567="",#REF!="Segment"),OR(#REF!="Accuracy",#REF!="Fluency",#REF!="Other")),1,0)</formula>
    </cfRule>
  </conditionalFormatting>
  <conditionalFormatting sqref="E568:G568">
    <cfRule type="expression" dxfId="112" priority="116">
      <formula>IF(OR(AND(E568="",F568="",OR(G568="Critical",G568="Major",G568="Minor"))),1,0)</formula>
    </cfRule>
  </conditionalFormatting>
  <conditionalFormatting sqref="F568">
    <cfRule type="expression" dxfId="111" priority="115">
      <formula>IF(AND(F568="",OR(E568="Accuracy",E568="Fluency",E568="Segment",E568="Other")),1,0)</formula>
    </cfRule>
  </conditionalFormatting>
  <conditionalFormatting sqref="G568">
    <cfRule type="expression" dxfId="110" priority="117">
      <formula>IF(AND(OR(G568="",#REF!="Segment"),OR(#REF!="Accuracy",#REF!="Fluency",#REF!="Other")),1,0)</formula>
    </cfRule>
  </conditionalFormatting>
  <conditionalFormatting sqref="G569">
    <cfRule type="expression" dxfId="109" priority="113">
      <formula>IF(OR(AND(G569="",H569="",OR(I569="Critical",I569="Major",I569="Minor"))),1,0)</formula>
    </cfRule>
  </conditionalFormatting>
  <conditionalFormatting sqref="G569">
    <cfRule type="expression" dxfId="108" priority="114">
      <formula>IF(AND(OR(G569="",#REF!="Segment"),OR(#REF!="Accuracy",#REF!="Fluency",#REF!="Other")),1,0)</formula>
    </cfRule>
  </conditionalFormatting>
  <conditionalFormatting sqref="E570:G570">
    <cfRule type="expression" dxfId="107" priority="110">
      <formula>IF(OR(AND(E570="",F570="",OR(G570="Critical",G570="Major",G570="Minor"))),1,0)</formula>
    </cfRule>
  </conditionalFormatting>
  <conditionalFormatting sqref="F570">
    <cfRule type="expression" dxfId="106" priority="109">
      <formula>IF(AND(F570="",OR(E570="Accuracy",E570="Fluency",E570="Segment",E570="Other")),1,0)</formula>
    </cfRule>
  </conditionalFormatting>
  <conditionalFormatting sqref="G570">
    <cfRule type="expression" dxfId="105" priority="111">
      <formula>IF(AND(OR(G570="",#REF!="Segment"),OR(#REF!="Accuracy",#REF!="Fluency",#REF!="Other")),1,0)</formula>
    </cfRule>
  </conditionalFormatting>
  <conditionalFormatting sqref="E571:G571">
    <cfRule type="expression" dxfId="104" priority="107">
      <formula>IF(OR(AND(E571="",F571="",OR(G571="Critical",G571="Major",G571="Minor"))),1,0)</formula>
    </cfRule>
  </conditionalFormatting>
  <conditionalFormatting sqref="F571">
    <cfRule type="expression" dxfId="103" priority="106">
      <formula>IF(AND(F571="",OR(E571="Accuracy",E571="Fluency",E571="Segment",E571="Other")),1,0)</formula>
    </cfRule>
  </conditionalFormatting>
  <conditionalFormatting sqref="G571">
    <cfRule type="expression" dxfId="102" priority="108">
      <formula>IF(AND(OR(G571="",#REF!="Segment"),OR(#REF!="Accuracy",#REF!="Fluency",#REF!="Other")),1,0)</formula>
    </cfRule>
  </conditionalFormatting>
  <conditionalFormatting sqref="G572:G573">
    <cfRule type="expression" dxfId="101" priority="104">
      <formula>IF(OR(AND(G572="",H572="",OR(I572="Critical",I572="Major",I572="Minor"))),1,0)</formula>
    </cfRule>
  </conditionalFormatting>
  <conditionalFormatting sqref="G572:G573">
    <cfRule type="expression" dxfId="100" priority="105">
      <formula>IF(AND(OR(G572="",#REF!="Segment"),OR(#REF!="Accuracy",#REF!="Fluency",#REF!="Other")),1,0)</formula>
    </cfRule>
  </conditionalFormatting>
  <conditionalFormatting sqref="E574:G574">
    <cfRule type="expression" dxfId="99" priority="101">
      <formula>IF(OR(AND(E574="",F574="",OR(G574="Critical",G574="Major",G574="Minor"))),1,0)</formula>
    </cfRule>
  </conditionalFormatting>
  <conditionalFormatting sqref="F574">
    <cfRule type="expression" dxfId="98" priority="100">
      <formula>IF(AND(F574="",OR(E574="Accuracy",E574="Fluency",E574="Segment",E574="Other")),1,0)</formula>
    </cfRule>
  </conditionalFormatting>
  <conditionalFormatting sqref="G574">
    <cfRule type="expression" dxfId="97" priority="102">
      <formula>IF(AND(OR(G574="",#REF!="Segment"),OR(#REF!="Accuracy",#REF!="Fluency",#REF!="Other")),1,0)</formula>
    </cfRule>
  </conditionalFormatting>
  <conditionalFormatting sqref="E575:G575">
    <cfRule type="expression" dxfId="96" priority="98">
      <formula>IF(OR(AND(E575="",F575="",OR(G575="Critical",G575="Major",G575="Minor"))),1,0)</formula>
    </cfRule>
  </conditionalFormatting>
  <conditionalFormatting sqref="F575">
    <cfRule type="expression" dxfId="95" priority="97">
      <formula>IF(AND(F575="",OR(E575="Accuracy",E575="Fluency",E575="Segment",E575="Other")),1,0)</formula>
    </cfRule>
  </conditionalFormatting>
  <conditionalFormatting sqref="G575">
    <cfRule type="expression" dxfId="94" priority="99">
      <formula>IF(AND(OR(G575="",#REF!="Segment"),OR(#REF!="Accuracy",#REF!="Fluency",#REF!="Other")),1,0)</formula>
    </cfRule>
  </conditionalFormatting>
  <conditionalFormatting sqref="F576">
    <cfRule type="expression" dxfId="93" priority="94">
      <formula>IF(AND(F576="",OR(E576="Accuracy",E576="Fluency",E576="Segment",E576="Other")),1,0)</formula>
    </cfRule>
  </conditionalFormatting>
  <conditionalFormatting sqref="E576:G576">
    <cfRule type="expression" dxfId="92" priority="95">
      <formula>IF(OR(AND(E576="",F576="",OR(G576="Critical",G576="Major",G576="Minor"))),1,0)</formula>
    </cfRule>
  </conditionalFormatting>
  <conditionalFormatting sqref="G576">
    <cfRule type="expression" dxfId="91" priority="96">
      <formula>IF(AND(OR(G576="",#REF!="Segment"),OR(#REF!="Accuracy",#REF!="Fluency",#REF!="Other")),1,0)</formula>
    </cfRule>
  </conditionalFormatting>
  <conditionalFormatting sqref="G577">
    <cfRule type="expression" dxfId="90" priority="92">
      <formula>IF(OR(AND(G577="",H577="",OR(I577="Critical",I577="Major",I577="Minor"))),1,0)</formula>
    </cfRule>
  </conditionalFormatting>
  <conditionalFormatting sqref="G577">
    <cfRule type="expression" dxfId="89" priority="93">
      <formula>IF(AND(OR(G577="",#REF!="Segment"),OR(#REF!="Accuracy",#REF!="Fluency",#REF!="Other")),1,0)</formula>
    </cfRule>
  </conditionalFormatting>
  <conditionalFormatting sqref="G578">
    <cfRule type="expression" dxfId="88" priority="89">
      <formula>IF(OR(AND(G578="",H578="",OR(I578="Critical",I578="Major",I578="Minor"))),1,0)</formula>
    </cfRule>
  </conditionalFormatting>
  <conditionalFormatting sqref="G578">
    <cfRule type="expression" dxfId="87" priority="90">
      <formula>IF(AND(OR(G578="",#REF!="Segment"),OR(#REF!="Accuracy",#REF!="Fluency",#REF!="Other")),1,0)</formula>
    </cfRule>
  </conditionalFormatting>
  <conditionalFormatting sqref="E579:G580">
    <cfRule type="expression" dxfId="86" priority="86">
      <formula>IF(OR(AND(E579="",F579="",OR(G579="Critical",G579="Major",G579="Minor"))),1,0)</formula>
    </cfRule>
  </conditionalFormatting>
  <conditionalFormatting sqref="F579:F580">
    <cfRule type="expression" dxfId="85" priority="85">
      <formula>IF(AND(F579="",OR(E579="Accuracy",E579="Fluency",E579="Segment",E579="Other")),1,0)</formula>
    </cfRule>
  </conditionalFormatting>
  <conditionalFormatting sqref="G579:G580">
    <cfRule type="expression" dxfId="84" priority="87">
      <formula>IF(AND(OR(G579="",#REF!="Segment"),OR(#REF!="Accuracy",#REF!="Fluency",#REF!="Other")),1,0)</formula>
    </cfRule>
  </conditionalFormatting>
  <conditionalFormatting sqref="F581">
    <cfRule type="expression" dxfId="83" priority="84">
      <formula>IF(OR(AND(F581="",G581="",OR(H580="Critical",H580="Major",H580="Minor"))),1,0)</formula>
    </cfRule>
  </conditionalFormatting>
  <conditionalFormatting sqref="F581">
    <cfRule type="expression" dxfId="82" priority="82">
      <formula>IF(AND(F581="",OR(E581="Accuracy",E581="Fluency",E581="Segment",E581="Other")),1,0)</formula>
    </cfRule>
  </conditionalFormatting>
  <conditionalFormatting sqref="G581">
    <cfRule type="expression" dxfId="81" priority="83">
      <formula>IF(AND(OR(G581="",#REF!="Segment"),OR(#REF!="Accuracy",#REF!="Fluency",#REF!="Other")),1,0)</formula>
    </cfRule>
  </conditionalFormatting>
  <conditionalFormatting sqref="E582">
    <cfRule type="expression" dxfId="80" priority="81">
      <formula>IF(OR(AND(E582="",F582="",OR(G582="Critical",G582="Major",G582="Minor"))),1,0)</formula>
    </cfRule>
  </conditionalFormatting>
  <conditionalFormatting sqref="F582">
    <cfRule type="expression" dxfId="79" priority="79">
      <formula>IF(OR(AND(F582="",G582="",OR(H580="Critical",H580="Major",H580="Minor"))),1,0)</formula>
    </cfRule>
  </conditionalFormatting>
  <conditionalFormatting sqref="G582">
    <cfRule type="expression" dxfId="78" priority="80">
      <formula>IF(OR(AND(G582="",H580="",OR(I580="Critical",I580="Major",I580="Minor"))),1,0)</formula>
    </cfRule>
  </conditionalFormatting>
  <conditionalFormatting sqref="F582">
    <cfRule type="expression" dxfId="77" priority="77">
      <formula>IF(AND(F582="",OR(E582="Accuracy",E582="Fluency",E582="Segment",E582="Other")),1,0)</formula>
    </cfRule>
  </conditionalFormatting>
  <conditionalFormatting sqref="G582">
    <cfRule type="expression" dxfId="76" priority="78">
      <formula>IF(AND(OR(G582="",#REF!="Segment"),OR(#REF!="Accuracy",#REF!="Fluency",#REF!="Other")),1,0)</formula>
    </cfRule>
  </conditionalFormatting>
  <conditionalFormatting sqref="E583:E584">
    <cfRule type="expression" dxfId="75" priority="76">
      <formula>IF(OR(AND(E583="",F583="",OR(G583="Critical",G583="Major",G583="Minor"))),1,0)</formula>
    </cfRule>
  </conditionalFormatting>
  <conditionalFormatting sqref="F583:F584">
    <cfRule type="expression" dxfId="74" priority="74">
      <formula>IF(OR(AND(F583="",G583="",OR(H581="Critical",H581="Major",H581="Minor"))),1,0)</formula>
    </cfRule>
  </conditionalFormatting>
  <conditionalFormatting sqref="G583:G584">
    <cfRule type="expression" dxfId="73" priority="75">
      <formula>IF(OR(AND(G583="",H581="",OR(I581="Critical",I581="Major",I581="Minor"))),1,0)</formula>
    </cfRule>
  </conditionalFormatting>
  <conditionalFormatting sqref="F583:F584">
    <cfRule type="expression" dxfId="72" priority="72">
      <formula>IF(AND(F583="",OR(E583="Accuracy",E583="Fluency",E583="Segment",E583="Other")),1,0)</formula>
    </cfRule>
  </conditionalFormatting>
  <conditionalFormatting sqref="G583:G584">
    <cfRule type="expression" dxfId="71" priority="73">
      <formula>IF(AND(OR(G583="",#REF!="Segment"),OR(#REF!="Accuracy",#REF!="Fluency",#REF!="Other")),1,0)</formula>
    </cfRule>
  </conditionalFormatting>
  <conditionalFormatting sqref="E585:G587">
    <cfRule type="expression" dxfId="70" priority="69">
      <formula>IF(OR(AND(E585="",F585="",OR(G585="Critical",G585="Major",G585="Minor"))),1,0)</formula>
    </cfRule>
  </conditionalFormatting>
  <conditionalFormatting sqref="F585:F587">
    <cfRule type="expression" dxfId="69" priority="68">
      <formula>IF(AND(F585="",OR(E585="Accuracy",E585="Fluency",E585="Segment",E585="Other")),1,0)</formula>
    </cfRule>
  </conditionalFormatting>
  <conditionalFormatting sqref="H585:H587">
    <cfRule type="expression" dxfId="68" priority="70">
      <formula>IF(OR(AND(H585="",J585="",OR(#REF!="Critical",#REF!="Major",#REF!="Minor"))),1,0)</formula>
    </cfRule>
  </conditionalFormatting>
  <conditionalFormatting sqref="G585:G587">
    <cfRule type="expression" dxfId="67" priority="71">
      <formula>IF(AND(OR(G585="",#REF!="Segment"),OR(#REF!="Accuracy",#REF!="Fluency",#REF!="Other")),1,0)</formula>
    </cfRule>
  </conditionalFormatting>
  <conditionalFormatting sqref="E588:G589">
    <cfRule type="expression" dxfId="66" priority="65">
      <formula>IF(OR(AND(E588="",F588="",OR(G588="Critical",G588="Major",G588="Minor"))),1,0)</formula>
    </cfRule>
  </conditionalFormatting>
  <conditionalFormatting sqref="F588:F589">
    <cfRule type="expression" dxfId="65" priority="64">
      <formula>IF(AND(F588="",OR(E588="Accuracy",E588="Fluency",E588="Segment",E588="Other")),1,0)</formula>
    </cfRule>
  </conditionalFormatting>
  <conditionalFormatting sqref="H588:H589">
    <cfRule type="expression" dxfId="64" priority="66">
      <formula>IF(OR(AND(H588="",J588="",OR(#REF!="Critical",#REF!="Major",#REF!="Minor"))),1,0)</formula>
    </cfRule>
  </conditionalFormatting>
  <conditionalFormatting sqref="G588:G589">
    <cfRule type="expression" dxfId="63" priority="67">
      <formula>IF(AND(OR(G588="",#REF!="Segment"),OR(#REF!="Accuracy",#REF!="Fluency",#REF!="Other")),1,0)</formula>
    </cfRule>
  </conditionalFormatting>
  <conditionalFormatting sqref="H590:H591">
    <cfRule type="expression" dxfId="62" priority="63">
      <formula>IF(OR(AND(H590="",J590="",OR(#REF!="Critical",#REF!="Major",#REF!="Minor"))),1,0)</formula>
    </cfRule>
  </conditionalFormatting>
  <conditionalFormatting sqref="E590:G591">
    <cfRule type="expression" dxfId="61" priority="61">
      <formula>IF(OR(AND(E590="",F590="",OR(G590="Critical",G590="Major",G590="Minor"))),1,0)</formula>
    </cfRule>
  </conditionalFormatting>
  <conditionalFormatting sqref="F590:F591">
    <cfRule type="expression" dxfId="60" priority="60">
      <formula>IF(AND(F590="",OR(E590="Accuracy",E590="Fluency",E590="Segment",E590="Other")),1,0)</formula>
    </cfRule>
  </conditionalFormatting>
  <conditionalFormatting sqref="G590:G591">
    <cfRule type="expression" dxfId="59" priority="62">
      <formula>IF(AND(OR(G590="",#REF!="Segment"),OR(#REF!="Accuracy",#REF!="Fluency",#REF!="Other")),1,0)</formula>
    </cfRule>
  </conditionalFormatting>
  <conditionalFormatting sqref="G592">
    <cfRule type="expression" dxfId="58" priority="58">
      <formula>IF(AND(OR(G592="",#REF!="Segment"),OR(#REF!="Accuracy",#REF!="Fluency",#REF!="Other")),1,0)</formula>
    </cfRule>
  </conditionalFormatting>
  <conditionalFormatting sqref="G592">
    <cfRule type="expression" dxfId="57" priority="59">
      <formula>IF(OR(AND(G592="",#REF!="",OR(I592="Critical",I592="Major",I592="Minor"))),1,0)</formula>
    </cfRule>
  </conditionalFormatting>
  <conditionalFormatting sqref="E592:F592">
    <cfRule type="expression" dxfId="56" priority="57">
      <formula>IF(OR(AND(E592="",F592="",OR(G592="Critical",G592="Major",G592="Minor"))),1,0)</formula>
    </cfRule>
  </conditionalFormatting>
  <conditionalFormatting sqref="F592">
    <cfRule type="expression" dxfId="55" priority="56">
      <formula>IF(AND(F592="",OR(E592="Accuracy",E592="Fluency",E592="Segment",E592="Other")),1,0)</formula>
    </cfRule>
  </conditionalFormatting>
  <conditionalFormatting sqref="E593:G594">
    <cfRule type="expression" dxfId="54" priority="54">
      <formula>IF(OR(AND(E593="",F593="",OR(G593="Critical",G593="Major",G593="Minor"))),1,0)</formula>
    </cfRule>
  </conditionalFormatting>
  <conditionalFormatting sqref="F593:F594">
    <cfRule type="expression" dxfId="53" priority="53">
      <formula>IF(AND(F593="",OR(E593="Accuracy",E593="Fluency",E593="Segment",E593="Other")),1,0)</formula>
    </cfRule>
  </conditionalFormatting>
  <conditionalFormatting sqref="G593:G594">
    <cfRule type="expression" dxfId="52" priority="55">
      <formula>IF(AND(OR(G593="",#REF!="Segment"),OR(#REF!="Accuracy",#REF!="Fluency",#REF!="Other")),1,0)</formula>
    </cfRule>
  </conditionalFormatting>
  <conditionalFormatting sqref="E595:F595">
    <cfRule type="expression" dxfId="51" priority="51">
      <formula>IF(OR(AND(E595="",F595="",OR(G595="Critical",G595="Major",G595="Minor"))),1,0)</formula>
    </cfRule>
  </conditionalFormatting>
  <conditionalFormatting sqref="F595">
    <cfRule type="expression" dxfId="50" priority="50">
      <formula>IF(AND(F595="",OR(E595="Accuracy",E595="Fluency",E595="Segment",E595="Other")),1,0)</formula>
    </cfRule>
  </conditionalFormatting>
  <conditionalFormatting sqref="G595">
    <cfRule type="expression" dxfId="49" priority="49">
      <formula>IF(OR(AND(G595="",H595="",OR(I595="Critical",I595="Major",I595="Minor"))),1,0)</formula>
    </cfRule>
  </conditionalFormatting>
  <conditionalFormatting sqref="G595">
    <cfRule type="expression" dxfId="48" priority="48">
      <formula>IF(AND(OR(G595="",#REF!="Segment"),OR(#REF!="Accuracy",#REF!="Fluency",#REF!="Other")),1,0)</formula>
    </cfRule>
  </conditionalFormatting>
  <conditionalFormatting sqref="H595">
    <cfRule type="expression" dxfId="47" priority="52">
      <formula>IF(OR(AND(H595="",J595="",OR(#REF!="Critical",#REF!="Major",#REF!="Minor"))),1,0)</formula>
    </cfRule>
  </conditionalFormatting>
  <conditionalFormatting sqref="E596:G597">
    <cfRule type="expression" dxfId="46" priority="46">
      <formula>IF(OR(AND(E596="",F596="",OR(G596="Critical",G596="Major",G596="Minor"))),1,0)</formula>
    </cfRule>
  </conditionalFormatting>
  <conditionalFormatting sqref="F596:F597">
    <cfRule type="expression" dxfId="45" priority="47">
      <formula>IF(AND(F596="",OR(E596="Accuracy",E596="Fluency",E596="Segment",E596="Other")),1,0)</formula>
    </cfRule>
  </conditionalFormatting>
  <conditionalFormatting sqref="G596:G597">
    <cfRule type="expression" dxfId="44" priority="45">
      <formula>IF(AND(OR(G596="",#REF!="Segment"),OR(#REF!="Accuracy",#REF!="Fluency",#REF!="Other")),1,0)</formula>
    </cfRule>
  </conditionalFormatting>
  <conditionalFormatting sqref="E598:F598">
    <cfRule type="expression" dxfId="43" priority="44">
      <formula>IF(OR(AND(E598="",F598="",OR(G598="Critical",G598="Major",G598="Minor"))),1,0)</formula>
    </cfRule>
  </conditionalFormatting>
  <conditionalFormatting sqref="F598">
    <cfRule type="expression" dxfId="42" priority="43">
      <formula>IF(AND(F598="",OR(E598="Accuracy",E598="Fluency",E598="Segment",E598="Other")),1,0)</formula>
    </cfRule>
  </conditionalFormatting>
  <conditionalFormatting sqref="G598">
    <cfRule type="expression" dxfId="41" priority="42">
      <formula>IF(OR(AND(G598="",H598="",OR(I598="Critical",I598="Major",I598="Minor"))),1,0)</formula>
    </cfRule>
  </conditionalFormatting>
  <conditionalFormatting sqref="G598">
    <cfRule type="expression" dxfId="40" priority="41">
      <formula>IF(AND(OR(G598="",#REF!="Segment"),OR(#REF!="Accuracy",#REF!="Fluency",#REF!="Other")),1,0)</formula>
    </cfRule>
  </conditionalFormatting>
  <conditionalFormatting sqref="E609:G612 E599:G599">
    <cfRule type="expression" dxfId="39" priority="40">
      <formula>IF(OR(AND(E599="",F599="",OR(G599="Critical",G599="Major",G599="Minor"))),1,0)</formula>
    </cfRule>
  </conditionalFormatting>
  <conditionalFormatting sqref="F609:F612 F599">
    <cfRule type="expression" dxfId="38" priority="39">
      <formula>IF(AND(F599="",OR(E599="Accuracy",E599="Fluency",E599="Segment",E599="Other")),1,0)</formula>
    </cfRule>
  </conditionalFormatting>
  <conditionalFormatting sqref="G599">
    <cfRule type="expression" dxfId="37" priority="38">
      <formula>IF(AND(OR(G599="",#REF!="Segment"),OR(#REF!="Accuracy",#REF!="Fluency",#REF!="Other")),1,0)</formula>
    </cfRule>
  </conditionalFormatting>
  <conditionalFormatting sqref="E600:G600">
    <cfRule type="expression" dxfId="36" priority="35">
      <formula>IF(OR(AND(E600="",F600="",OR(G600="Critical",G600="Major",G600="Minor"))),1,0)</formula>
    </cfRule>
  </conditionalFormatting>
  <conditionalFormatting sqref="F600">
    <cfRule type="expression" dxfId="35" priority="34">
      <formula>IF(AND(F600="",OR(E600="Accuracy",E600="Fluency",E600="Segment",E600="Other")),1,0)</formula>
    </cfRule>
  </conditionalFormatting>
  <conditionalFormatting sqref="G600">
    <cfRule type="expression" dxfId="34" priority="36">
      <formula>IF(AND(OR(G600="",#REF!="Segment"),OR(#REF!="Accuracy",#REF!="Fluency",#REF!="Other")),1,0)</formula>
    </cfRule>
  </conditionalFormatting>
  <conditionalFormatting sqref="E601:F601">
    <cfRule type="expression" dxfId="33" priority="33">
      <formula>IF(OR(AND(E601="",F601="",OR(G601="Critical",G601="Major",G601="Minor"))),1,0)</formula>
    </cfRule>
  </conditionalFormatting>
  <conditionalFormatting sqref="F601">
    <cfRule type="expression" dxfId="32" priority="32">
      <formula>IF(AND(F601="",OR(E601="Accuracy",E601="Fluency",E601="Segment",E601="Other")),1,0)</formula>
    </cfRule>
  </conditionalFormatting>
  <conditionalFormatting sqref="G601">
    <cfRule type="expression" dxfId="31" priority="31">
      <formula>IF(AND(OR(G601="",#REF!="Segment"),OR(#REF!="Accuracy",#REF!="Fluency",#REF!="Other")),1,0)</formula>
    </cfRule>
  </conditionalFormatting>
  <conditionalFormatting sqref="G601">
    <cfRule type="expression" dxfId="30" priority="37">
      <formula>IF(OR(AND(G601="",H586="",OR(I601="Critical",I601="Major",I601="Minor"))),1,0)</formula>
    </cfRule>
  </conditionalFormatting>
  <conditionalFormatting sqref="F604">
    <cfRule type="expression" dxfId="29" priority="27">
      <formula>IF(OR(AND(F604="",G604="",OR(H601="Critical",H601="Major",H601="Minor"))),1,0)</formula>
    </cfRule>
  </conditionalFormatting>
  <conditionalFormatting sqref="G602">
    <cfRule type="expression" dxfId="28" priority="25">
      <formula>IF(OR(AND(G602="",H602="",OR(I602="Critical",I602="Major",I602="Minor"))),1,0)</formula>
    </cfRule>
  </conditionalFormatting>
  <conditionalFormatting sqref="G602">
    <cfRule type="expression" dxfId="27" priority="26">
      <formula>IF(AND(OR(G602="",#REF!="Segment"),OR(#REF!="Accuracy",#REF!="Fluency",#REF!="Other")),1,0)</formula>
    </cfRule>
  </conditionalFormatting>
  <conditionalFormatting sqref="E602:F602">
    <cfRule type="expression" dxfId="26" priority="24">
      <formula>IF(OR(AND(E602="",F602="",OR(G602="Critical",G602="Major",G602="Minor"))),1,0)</formula>
    </cfRule>
  </conditionalFormatting>
  <conditionalFormatting sqref="F602">
    <cfRule type="expression" dxfId="25" priority="23">
      <formula>IF(AND(F602="",OR(E602="Accuracy",E602="Fluency",E602="Segment",E602="Other")),1,0)</formula>
    </cfRule>
  </conditionalFormatting>
  <conditionalFormatting sqref="E603">
    <cfRule type="expression" dxfId="24" priority="22">
      <formula>IF(OR(AND(E603="",F603="",OR(G603="Critical",G603="Major",G603="Minor"))),1,0)</formula>
    </cfRule>
  </conditionalFormatting>
  <conditionalFormatting sqref="F603">
    <cfRule type="expression" dxfId="23" priority="21">
      <formula>IF(AND(F603="",OR(E603="Accuracy",E603="Fluency",E603="Segment",E603="Other")),1,0)</formula>
    </cfRule>
  </conditionalFormatting>
  <conditionalFormatting sqref="G603">
    <cfRule type="expression" dxfId="22" priority="20">
      <formula>IF(AND(OR(G603="",#REF!="Segment"),OR(#REF!="Accuracy",#REF!="Fluency",#REF!="Other")),1,0)</formula>
    </cfRule>
  </conditionalFormatting>
  <conditionalFormatting sqref="E604">
    <cfRule type="expression" dxfId="21" priority="19">
      <formula>IF(OR(AND(E604="",F604="",OR(G604="Critical",G604="Major",G604="Minor"))),1,0)</formula>
    </cfRule>
  </conditionalFormatting>
  <conditionalFormatting sqref="F604">
    <cfRule type="expression" dxfId="20" priority="18">
      <formula>IF(AND(F604="",OR(E604="Accuracy",E604="Fluency",E604="Segment",E604="Other")),1,0)</formula>
    </cfRule>
  </conditionalFormatting>
  <conditionalFormatting sqref="G604">
    <cfRule type="expression" dxfId="19" priority="17">
      <formula>IF(AND(OR(G604="",#REF!="Segment"),OR(#REF!="Accuracy",#REF!="Fluency",#REF!="Other")),1,0)</formula>
    </cfRule>
  </conditionalFormatting>
  <conditionalFormatting sqref="G605">
    <cfRule type="expression" dxfId="18" priority="15">
      <formula>IF(OR(AND(G605="",H605="",OR(I605="Critical",I605="Major",I605="Minor"))),1,0)</formula>
    </cfRule>
  </conditionalFormatting>
  <conditionalFormatting sqref="G605">
    <cfRule type="expression" dxfId="17" priority="16">
      <formula>IF(AND(OR(G605="",#REF!="Segment"),OR(#REF!="Accuracy",#REF!="Fluency",#REF!="Other")),1,0)</formula>
    </cfRule>
  </conditionalFormatting>
  <conditionalFormatting sqref="E605:F605">
    <cfRule type="expression" dxfId="16" priority="14">
      <formula>IF(OR(AND(E605="",F605="",OR(G605="Critical",G605="Major",G605="Minor"))),1,0)</formula>
    </cfRule>
  </conditionalFormatting>
  <conditionalFormatting sqref="F605">
    <cfRule type="expression" dxfId="15" priority="13">
      <formula>IF(AND(F605="",OR(E605="Accuracy",E605="Fluency",E605="Segment",E605="Other")),1,0)</formula>
    </cfRule>
  </conditionalFormatting>
  <conditionalFormatting sqref="F603">
    <cfRule type="expression" dxfId="14" priority="28">
      <formula>IF(OR(AND(F603="",G603="",OR(#REF!="Critical",#REF!="Major",#REF!="Minor"))),1,0)</formula>
    </cfRule>
  </conditionalFormatting>
  <conditionalFormatting sqref="G604">
    <cfRule type="expression" dxfId="13" priority="29">
      <formula>IF(OR(AND(G604="",H601="",OR(I604="Critical",I604="Major",I604="Minor"))),1,0)</formula>
    </cfRule>
  </conditionalFormatting>
  <conditionalFormatting sqref="G603">
    <cfRule type="expression" dxfId="12" priority="30">
      <formula>IF(OR(AND(G603="",#REF!="",OR(I603="Critical",I603="Major",I603="Minor"))),1,0)</formula>
    </cfRule>
  </conditionalFormatting>
  <conditionalFormatting sqref="G606">
    <cfRule type="expression" dxfId="11" priority="12">
      <formula>IF(AND(OR(G606="",#REF!="Segment"),OR(#REF!="Accuracy",#REF!="Fluency",#REF!="Other")),1,0)</formula>
    </cfRule>
  </conditionalFormatting>
  <conditionalFormatting sqref="E606:F606">
    <cfRule type="expression" dxfId="10" priority="10">
      <formula>IF(OR(AND(E606="",F606="",OR(G606="Critical",G606="Major",G606="Minor"))),1,0)</formula>
    </cfRule>
  </conditionalFormatting>
  <conditionalFormatting sqref="F606">
    <cfRule type="expression" dxfId="9" priority="9">
      <formula>IF(AND(F606="",OR(E606="Accuracy",E606="Fluency",E606="Segment",E606="Other")),1,0)</formula>
    </cfRule>
  </conditionalFormatting>
  <conditionalFormatting sqref="G606">
    <cfRule type="expression" dxfId="8" priority="11">
      <formula>IF(OR(AND(G606="",H606="",OR(I606="Critical",I606="Major",I606="Minor"))),1,0)</formula>
    </cfRule>
  </conditionalFormatting>
  <conditionalFormatting sqref="E607:F607">
    <cfRule type="expression" dxfId="7" priority="6">
      <formula>IF(OR(AND(E607="",F607="",OR(G607="Critical",G607="Major",G607="Minor"))),1,0)</formula>
    </cfRule>
  </conditionalFormatting>
  <conditionalFormatting sqref="F607">
    <cfRule type="expression" dxfId="6" priority="5">
      <formula>IF(AND(F607="",OR(E607="Accuracy",E607="Fluency",E607="Segment",E607="Other")),1,0)</formula>
    </cfRule>
  </conditionalFormatting>
  <conditionalFormatting sqref="G607">
    <cfRule type="expression" dxfId="5" priority="7">
      <formula>IF(OR(AND(G607="",H607="",OR(I607="Critical",I607="Major",I607="Minor"))),1,0)</formula>
    </cfRule>
  </conditionalFormatting>
  <conditionalFormatting sqref="G607">
    <cfRule type="expression" dxfId="4" priority="8">
      <formula>IF(AND(OR(G607="",#REF!="Segment"),OR(#REF!="Accuracy",#REF!="Fluency",#REF!="Other")),1,0)</formula>
    </cfRule>
  </conditionalFormatting>
  <conditionalFormatting sqref="E608:G608">
    <cfRule type="expression" dxfId="3" priority="3">
      <formula>IF(OR(AND(E608="",F608="",OR(G608="Critical",G608="Major",G608="Minor"))),1,0)</formula>
    </cfRule>
  </conditionalFormatting>
  <conditionalFormatting sqref="F608">
    <cfRule type="expression" dxfId="2" priority="2">
      <formula>IF(AND(F608="",OR(E608="Accuracy",E608="Fluency",E608="Segment",E608="Other")),1,0)</formula>
    </cfRule>
  </conditionalFormatting>
  <conditionalFormatting sqref="G608">
    <cfRule type="expression" dxfId="1" priority="4">
      <formula>IF(AND(OR(G608="",#REF!="Segment"),OR(#REF!="Accuracy",#REF!="Fluency",#REF!="Other")),1,0)</formula>
    </cfRule>
  </conditionalFormatting>
  <conditionalFormatting sqref="G609:G612">
    <cfRule type="expression" dxfId="0" priority="1">
      <formula>IF(AND(OR(G609="",E609="Segment"),OR(E609="Accuracy",E609="Fluency",E609="Other")),1,0)</formula>
    </cfRule>
  </conditionalFormatting>
  <dataValidations count="3">
    <dataValidation allowBlank="1" showDropDown="1" showInputMessage="1" showErrorMessage="1" sqref="E1:G1 H1:H240 H242:H327 H329:H374 H377:H479 H481:H505 H507:H511 H513:H553 H555:H580 H582:H591 I1:I592 H593:I601 I602:I612 H606:H612 H613:I826" xr:uid="{00000000-0002-0000-0100-000000000000}"/>
    <dataValidation type="list" allowBlank="1" showInputMessage="1" showErrorMessage="1" sqref="E2:E826" xr:uid="{00000000-0002-0000-0100-000001000000}">
      <formula1>Issue_Type</formula1>
    </dataValidation>
    <dataValidation type="list" allowBlank="1" showInputMessage="1" showErrorMessage="1" sqref="F2:G204 F205:F584 G208:G584 F585:G826"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0CFF69A-4280-4DE5-9CE0-D55792F9C50D}">
          <x14:formula1>
            <xm:f>'C:\Users\TIGER02\Desktop\100test\[Template_Summarization_withoutscoreboard_1126_used.xlsm]Severity_Matrix'!#REF!</xm:f>
          </x14:formula1>
          <xm:sqref>G205:G207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activeCell="B25" sqref="B25"/>
    </sheetView>
  </sheetViews>
  <sheetFormatPr defaultColWidth="9" defaultRowHeight="15"/>
  <cols>
    <col min="1" max="1" width="9" style="82"/>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0" ht="27.6">
      <c r="A1" s="80" t="s">
        <v>20</v>
      </c>
      <c r="B1" s="13" t="s">
        <v>4</v>
      </c>
      <c r="C1" s="13" t="s">
        <v>5</v>
      </c>
      <c r="D1" s="16" t="s">
        <v>44</v>
      </c>
      <c r="E1" s="12" t="s">
        <v>25</v>
      </c>
      <c r="F1" s="12" t="s">
        <v>23</v>
      </c>
      <c r="G1" s="12" t="s">
        <v>1</v>
      </c>
      <c r="H1" s="12" t="s">
        <v>46</v>
      </c>
      <c r="I1" s="12" t="s">
        <v>47</v>
      </c>
      <c r="J1" s="12" t="s">
        <v>53</v>
      </c>
    </row>
    <row r="2" spans="1:10">
      <c r="A2" s="78" t="s">
        <v>74</v>
      </c>
      <c r="B2" s="70"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70" t="str">
        <f>IF(ISBLANK(A2),"",INDEX('Error Log'!$A:$J,MATCH('Scores per segment'!$A2,'Error Log'!$A:$A,0),MATCH('Scores per segment'!C$1,'Error Log'!$A$1:$J$1,0)))</f>
        <v xml:space="preserve">corry ` corey ' campbell , 21 , was sentenced to 23 months in state prison for her role in the abuse in march/april 21 .  campbell believed the victim had hurt his cat , pebbles .  valecce , an unemployed drug addict , had been staying in the basement of campbell 's mother 's house in mayfair . </v>
      </c>
      <c r="D2" s="70">
        <f>IF(H2=0,wdct(TRIM(C2)),0)</f>
        <v>50</v>
      </c>
      <c r="E2" s="70">
        <f>COUNTIFS('Error Log'!$A:$A,$A2,'Error Log'!$J:$J,E$1)</f>
        <v>4</v>
      </c>
      <c r="F2" s="70">
        <f>COUNTIFS('Error Log'!$A:$A,$A2,'Error Log'!$J:$J,F$1)</f>
        <v>2</v>
      </c>
      <c r="G2" s="70">
        <f>COUNTIFS('Error Log'!$A:$A,$A2,'Error Log'!$J:$J,G$1)</f>
        <v>0</v>
      </c>
      <c r="H2" s="70">
        <v>0</v>
      </c>
      <c r="I2" s="70">
        <v>0</v>
      </c>
      <c r="J2" s="71">
        <f t="shared" ref="J2:J65" si="0">IF(I2=0,IFERROR((((1-((E2*10+F2*5+G2*1)/D2))*100)+100)/2,0),-150)</f>
        <v>50</v>
      </c>
    </row>
    <row r="3" spans="1:10">
      <c r="A3" s="78" t="s">
        <v>84</v>
      </c>
      <c r="B3" s="70"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70" t="str">
        <f>IF(ISBLANK(A3),"",INDEX('Error Log'!$A:$J,MATCH('Scores per segment'!$A3,'Error Log'!$A:$A,0),MATCH('Scores per segment'!C$1,'Error Log'!$A$1:$J$1,0)))</f>
        <v xml:space="preserve">jack nicklaus was nicklaus ' first in the par-3 contest at augusta national .  the golden bear is the youngest person to wear a green jacket in 1963 .  he is one of five men to win career grand slam . </v>
      </c>
      <c r="D3" s="70">
        <f>IF(H3=0,wdct(TRIM(C3)),0)</f>
        <v>37</v>
      </c>
      <c r="E3" s="70">
        <f>COUNTIFS('Error Log'!$A:$A,$A3,'Error Log'!$J:$J,E$1)</f>
        <v>6</v>
      </c>
      <c r="F3" s="70">
        <f>COUNTIFS('Error Log'!$A:$A,$A3,'Error Log'!$J:$J,F$1)</f>
        <v>0</v>
      </c>
      <c r="G3" s="70">
        <f>COUNTIFS('Error Log'!$A:$A,$A3,'Error Log'!$J:$J,G$1)</f>
        <v>0</v>
      </c>
      <c r="H3" s="70">
        <f>COUNTIFS('Error Log'!$A:$A,$A3,'Error Log'!$F:$F,"Source")</f>
        <v>0</v>
      </c>
      <c r="I3" s="70">
        <f>COUNTIFS('Error Log'!$A:$A,$A3,'Error Log'!$F:$F,"Target")</f>
        <v>0</v>
      </c>
      <c r="J3" s="71">
        <f t="shared" si="0"/>
        <v>18.918918918918916</v>
      </c>
    </row>
    <row r="4" spans="1:10">
      <c r="A4" s="78" t="s">
        <v>93</v>
      </c>
      <c r="B4" s="70"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70" t="str">
        <f>IF(ISBLANK(A4),"",INDEX('Error Log'!$A:$J,MATCH('Scores per segment'!$A4,'Error Log'!$A:$A,0),MATCH('Scores per segment'!C$1,'Error Log'!$A$1:$J$1,0)))</f>
        <v xml:space="preserve">oklahoma reserve sheriff 's deputy accused of shooting man eric harris .  bates , 73 , pleaded not guilty tuesday to a charge of second-degree manslaughter .  bates ' attorney says shooting was accidental . </v>
      </c>
      <c r="D4" s="70">
        <f>IF(H4=0,wdct(TRIM(C4)),0)</f>
        <v>29</v>
      </c>
      <c r="E4" s="70">
        <f>COUNTIFS('Error Log'!$A:$A,$A4,'Error Log'!$J:$J,E$1)</f>
        <v>2</v>
      </c>
      <c r="F4" s="70">
        <f>COUNTIFS('Error Log'!$A:$A,$A4,'Error Log'!$J:$J,F$1)</f>
        <v>0</v>
      </c>
      <c r="G4" s="70">
        <f>COUNTIFS('Error Log'!$A:$A,$A4,'Error Log'!$J:$J,G$1)</f>
        <v>0</v>
      </c>
      <c r="H4" s="70">
        <f>COUNTIFS('Error Log'!$A:$A,$A4,'Error Log'!$F:$F,"Source")</f>
        <v>0</v>
      </c>
      <c r="I4" s="70">
        <f>COUNTIFS('Error Log'!$A:$A,$A4,'Error Log'!$F:$F,"Target")</f>
        <v>0</v>
      </c>
      <c r="J4" s="71">
        <f t="shared" si="0"/>
        <v>65.517241379310349</v>
      </c>
    </row>
    <row r="5" spans="1:10">
      <c r="A5" s="78" t="s">
        <v>98</v>
      </c>
      <c r="B5" s="70"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70" t="str">
        <f>IF(ISBLANK(A5),"",INDEX('Error Log'!$A:$J,MATCH('Scores per segment'!$A5,'Error Log'!$A:$A,0),MATCH('Scores per segment'!C$1,'Error Log'!$A$1:$J$1,0)))</f>
        <v xml:space="preserve">stephen curry scored 45 points to rally the golden state warriors .  he hit six before halftime and eight overall .  thompson scored 26 to help golden state avoid its first losing streak this season . </v>
      </c>
      <c r="D5" s="70">
        <f>IF(H5=0,wdct(TRIM(C5)),0)</f>
        <v>33</v>
      </c>
      <c r="E5" s="70">
        <f>COUNTIFS('Error Log'!$A:$A,$A5,'Error Log'!$J:$J,E$1)</f>
        <v>4</v>
      </c>
      <c r="F5" s="70">
        <f>COUNTIFS('Error Log'!$A:$A,$A5,'Error Log'!$J:$J,F$1)</f>
        <v>0</v>
      </c>
      <c r="G5" s="70">
        <f>COUNTIFS('Error Log'!$A:$A,$A5,'Error Log'!$J:$J,G$1)</f>
        <v>0</v>
      </c>
      <c r="H5" s="70">
        <f>COUNTIFS('Error Log'!$A:$A,$A5,'Error Log'!$F:$F,"Source")</f>
        <v>0</v>
      </c>
      <c r="I5" s="70">
        <f>COUNTIFS('Error Log'!$A:$A,$A5,'Error Log'!$F:$F,"Target")</f>
        <v>0</v>
      </c>
      <c r="J5" s="71">
        <f t="shared" si="0"/>
        <v>39.393939393939391</v>
      </c>
    </row>
    <row r="6" spans="1:10">
      <c r="A6" s="78" t="s">
        <v>105</v>
      </c>
      <c r="B6" s="70"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70" t="str">
        <f>IF(ISBLANK(A6),"",INDEX('Error Log'!$A:$J,MATCH('Scores per segment'!$A6,'Error Log'!$A:$A,0),MATCH('Scores per segment'!C$1,'Error Log'!$A$1:$J$1,0)))</f>
        <v xml:space="preserve">conor mcgregor has already got a picture of a gorilla eating a heart inked on his chest and ` the notorious ' has now revealed a tiger 's face on his stomach .  mcgregor wrote next to the instagram post of his new artwork .  mcgregor claims he has no motivation to win the title in las vegas on july 11 . </v>
      </c>
      <c r="D6" s="70">
        <f>IF(H6=0,wdct(TRIM(C6)),0)</f>
        <v>57</v>
      </c>
      <c r="E6" s="70">
        <f>COUNTIFS('Error Log'!$A:$A,$A6,'Error Log'!$J:$J,E$1)</f>
        <v>3</v>
      </c>
      <c r="F6" s="70">
        <f>COUNTIFS('Error Log'!$A:$A,$A6,'Error Log'!$J:$J,F$1)</f>
        <v>0</v>
      </c>
      <c r="G6" s="70">
        <f>COUNTIFS('Error Log'!$A:$A,$A6,'Error Log'!$J:$J,G$1)</f>
        <v>0</v>
      </c>
      <c r="H6" s="70">
        <f>COUNTIFS('Error Log'!$A:$A,$A6,'Error Log'!$F:$F,"Source")</f>
        <v>0</v>
      </c>
      <c r="I6" s="70">
        <f>COUNTIFS('Error Log'!$A:$A,$A6,'Error Log'!$F:$F,"Target")</f>
        <v>0</v>
      </c>
      <c r="J6" s="71">
        <f t="shared" si="0"/>
        <v>73.684210526315795</v>
      </c>
    </row>
    <row r="7" spans="1:10">
      <c r="A7" s="78" t="s">
        <v>111</v>
      </c>
      <c r="B7" s="70"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70" t="str">
        <f>IF(ISBLANK(A7),"",INDEX('Error Log'!$A:$J,MATCH('Scores per segment'!$A7,'Error Log'!$A:$A,0),MATCH('Scores per segment'!C$1,'Error Log'!$A$1:$J$1,0)))</f>
        <v xml:space="preserve">mario balotelli , fabio borini , rickie lambert and lazar markovic scored for youtube star bas van velzen .  the dutch free-kick specialist was a competition winner at melwood .  balotelli had one of the liverpool forward 's slogan slogan . </v>
      </c>
      <c r="D7" s="70">
        <f>IF(H7=0,wdct(TRIM(C7)),0)</f>
        <v>36</v>
      </c>
      <c r="E7" s="70">
        <f>COUNTIFS('Error Log'!$A:$A,$A7,'Error Log'!$J:$J,E$1)</f>
        <v>3</v>
      </c>
      <c r="F7" s="70">
        <f>COUNTIFS('Error Log'!$A:$A,$A7,'Error Log'!$J:$J,F$1)</f>
        <v>2</v>
      </c>
      <c r="G7" s="70">
        <f>COUNTIFS('Error Log'!$A:$A,$A7,'Error Log'!$J:$J,G$1)</f>
        <v>2</v>
      </c>
      <c r="H7" s="70">
        <f>COUNTIFS('Error Log'!$A:$A,$A7,'Error Log'!$F:$F,"Source")</f>
        <v>0</v>
      </c>
      <c r="I7" s="70">
        <f>COUNTIFS('Error Log'!$A:$A,$A7,'Error Log'!$F:$F,"Target")</f>
        <v>0</v>
      </c>
      <c r="J7" s="71">
        <f t="shared" si="0"/>
        <v>41.666666666666664</v>
      </c>
    </row>
    <row r="8" spans="1:10">
      <c r="A8" s="78" t="s">
        <v>121</v>
      </c>
      <c r="B8" s="70"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70" t="str">
        <f>IF(ISBLANK(A8),"",INDEX('Error Log'!$A:$J,MATCH('Scores per segment'!$A8,'Error Log'!$A:$A,0),MATCH('Scores per segment'!C$1,'Error Log'!$A$1:$J$1,0)))</f>
        <v>cultural studies professor julie robert said it was ` problematic '  she believes it acceptable to ` showcase his masculinity ' by skolling a beer .  mr abbott came under fire after the incident as anti-drinking campaigners said he was glorifying binge drinking .  dr robert warned people can forget their limits .</v>
      </c>
      <c r="D8" s="70">
        <f>IF(H8=0,wdct(TRIM(C8)),0)</f>
        <v>46</v>
      </c>
      <c r="E8" s="70">
        <f>COUNTIFS('Error Log'!$A:$A,$A8,'Error Log'!$J:$J,E$1)</f>
        <v>4</v>
      </c>
      <c r="F8" s="70">
        <f>COUNTIFS('Error Log'!$A:$A,$A8,'Error Log'!$J:$J,F$1)</f>
        <v>1</v>
      </c>
      <c r="G8" s="70">
        <f>COUNTIFS('Error Log'!$A:$A,$A8,'Error Log'!$J:$J,G$1)</f>
        <v>0</v>
      </c>
      <c r="H8" s="70">
        <f>COUNTIFS('Error Log'!$A:$A,$A8,'Error Log'!$F:$F,"Source")</f>
        <v>0</v>
      </c>
      <c r="I8" s="70">
        <f>COUNTIFS('Error Log'!$A:$A,$A8,'Error Log'!$F:$F,"Target")</f>
        <v>0</v>
      </c>
      <c r="J8" s="71">
        <f t="shared" si="0"/>
        <v>51.086956521739133</v>
      </c>
    </row>
    <row r="9" spans="1:10">
      <c r="A9" s="78" t="s">
        <v>130</v>
      </c>
      <c r="B9" s="70"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70" t="str">
        <f>IF(ISBLANK(A9),"",INDEX('Error Log'!$A:$J,MATCH('Scores per segment'!$A9,'Error Log'!$A:$A,0),MATCH('Scores per segment'!C$1,'Error Log'!$A$1:$J$1,0)))</f>
        <v xml:space="preserve">women diagnosed with breast cancer caused by the gene carried by angelina jolie could be helped to beat the disease if they have their ovaries removed .  miss jolie , 39 , had the procedure in march .  two years before she had a double mastectomy .  there were nine deaths from ovarian cancer in the women who did not have oophorectomies . </v>
      </c>
      <c r="D9" s="70">
        <f>IF(H9=0,wdct(TRIM(C9)),0)</f>
        <v>57</v>
      </c>
      <c r="E9" s="70">
        <f>COUNTIFS('Error Log'!$A:$A,$A9,'Error Log'!$J:$J,E$1)</f>
        <v>3</v>
      </c>
      <c r="F9" s="70">
        <f>COUNTIFS('Error Log'!$A:$A,$A9,'Error Log'!$J:$J,F$1)</f>
        <v>3</v>
      </c>
      <c r="G9" s="70">
        <f>COUNTIFS('Error Log'!$A:$A,$A9,'Error Log'!$J:$J,G$1)</f>
        <v>0</v>
      </c>
      <c r="H9" s="70">
        <f>COUNTIFS('Error Log'!$A:$A,$A9,'Error Log'!$F:$F,"Source")</f>
        <v>0</v>
      </c>
      <c r="I9" s="70">
        <f>COUNTIFS('Error Log'!$A:$A,$A9,'Error Log'!$F:$F,"Target")</f>
        <v>0</v>
      </c>
      <c r="J9" s="71">
        <f t="shared" si="0"/>
        <v>60.526315789473685</v>
      </c>
    </row>
    <row r="10" spans="1:10">
      <c r="A10" s="78" t="s">
        <v>145</v>
      </c>
      <c r="B10" s="70"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70" t="str">
        <f>IF(ISBLANK(A10),"",INDEX('Error Log'!$A:$J,MATCH('Scores per segment'!$A10,'Error Log'!$A:$A,0),MATCH('Scores per segment'!C$1,'Error Log'!$A$1:$J$1,0)))</f>
        <v xml:space="preserve">
there are 120 confirmed hiv cases and 10 preliminary positive cases tied to scott county , about 30 miles north of louisville , kentucky .  health officials said they expect the number of cases to rise as more people are tested .  the growing number could put pressure on pence to extend the needle exchange program that he approved on march 26 . </v>
      </c>
      <c r="D10" s="70">
        <f>IF(H10=0,wdct(TRIM(C10)),0)</f>
        <v>58</v>
      </c>
      <c r="E10" s="70">
        <f>COUNTIFS('Error Log'!$A:$A,$A10,'Error Log'!$J:$J,E$1)</f>
        <v>2</v>
      </c>
      <c r="F10" s="70">
        <f>COUNTIFS('Error Log'!$A:$A,$A10,'Error Log'!$J:$J,F$1)</f>
        <v>1</v>
      </c>
      <c r="G10" s="70">
        <f>COUNTIFS('Error Log'!$A:$A,$A10,'Error Log'!$J:$J,G$1)</f>
        <v>0</v>
      </c>
      <c r="H10" s="70">
        <f>COUNTIFS('Error Log'!$A:$A,$A10,'Error Log'!$F:$F,"Source")</f>
        <v>0</v>
      </c>
      <c r="I10" s="70">
        <f>COUNTIFS('Error Log'!$A:$A,$A10,'Error Log'!$F:$F,"Target")</f>
        <v>0</v>
      </c>
      <c r="J10" s="71">
        <f t="shared" si="0"/>
        <v>78.448275862068968</v>
      </c>
    </row>
    <row r="11" spans="1:10">
      <c r="A11" s="78" t="s">
        <v>151</v>
      </c>
      <c r="B11" s="70"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70" t="str">
        <f>IF(ISBLANK(A11),"",INDEX('Error Log'!$A:$J,MATCH('Scores per segment'!$A11,'Error Log'!$A:$A,0),MATCH('Scores per segment'!C$1,'Error Log'!$A$1:$J$1,0)))</f>
        <v xml:space="preserve">derek lowe , 38 , and tina lowe , 33 , were struck and killed by an amtrak train shortly before 10am on sunday in durham , north carolina .  train no. 80 , the carolinian , was headed from charlotte to new york city when the accident occurred on property owned by norfolk-southern .  authorities say none of the 166 passengers on the train were injured . </v>
      </c>
      <c r="D11" s="70">
        <f>IF(H11=0,wdct(TRIM(C11)),0)</f>
        <v>58</v>
      </c>
      <c r="E11" s="70">
        <f>COUNTIFS('Error Log'!$A:$A,$A11,'Error Log'!$J:$J,E$1)</f>
        <v>1</v>
      </c>
      <c r="F11" s="70">
        <f>COUNTIFS('Error Log'!$A:$A,$A11,'Error Log'!$J:$J,F$1)</f>
        <v>0</v>
      </c>
      <c r="G11" s="70">
        <f>COUNTIFS('Error Log'!$A:$A,$A11,'Error Log'!$J:$J,G$1)</f>
        <v>0</v>
      </c>
      <c r="H11" s="70">
        <f>COUNTIFS('Error Log'!$A:$A,$A11,'Error Log'!$F:$F,"Source")</f>
        <v>0</v>
      </c>
      <c r="I11" s="70">
        <f>COUNTIFS('Error Log'!$A:$A,$A11,'Error Log'!$F:$F,"Target")</f>
        <v>0</v>
      </c>
      <c r="J11" s="71">
        <f t="shared" si="0"/>
        <v>91.379310344827587</v>
      </c>
    </row>
    <row r="12" spans="1:10">
      <c r="A12" s="78" t="s">
        <v>155</v>
      </c>
      <c r="B12" s="70"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70" t="str">
        <f>IF(ISBLANK(A12),"",INDEX('Error Log'!$A:$J,MATCH('Scores per segment'!$A12,'Error Log'!$A:$A,0),MATCH('Scores per segment'!C$1,'Error Log'!$A$1:$J$1,0)))</f>
        <v xml:space="preserve">
arsenal fan made his girlfriend sit a test about his favourite football club .  saskia 's feedback she ` could have performed better on q17 '  alexis sanchez is arsenal the best team to ever grace english football .  saskia scored 87 per cent in a school exam . </v>
      </c>
      <c r="D12" s="70">
        <f>IF(H12=0,wdct(TRIM(C12)),0)</f>
        <v>44</v>
      </c>
      <c r="E12" s="70">
        <f>COUNTIFS('Error Log'!$A:$A,$A12,'Error Log'!$J:$J,E$1)</f>
        <v>6</v>
      </c>
      <c r="F12" s="70">
        <f>COUNTIFS('Error Log'!$A:$A,$A12,'Error Log'!$J:$J,F$1)</f>
        <v>3</v>
      </c>
      <c r="G12" s="70">
        <f>COUNTIFS('Error Log'!$A:$A,$A12,'Error Log'!$J:$J,G$1)</f>
        <v>0</v>
      </c>
      <c r="H12" s="70">
        <f>COUNTIFS('Error Log'!$A:$A,$A12,'Error Log'!$F:$F,"Source")</f>
        <v>0</v>
      </c>
      <c r="I12" s="70">
        <f>COUNTIFS('Error Log'!$A:$A,$A12,'Error Log'!$F:$F,"Target")</f>
        <v>0</v>
      </c>
      <c r="J12" s="71">
        <f t="shared" si="0"/>
        <v>14.772727272727273</v>
      </c>
    </row>
    <row r="13" spans="1:10">
      <c r="A13" s="78" t="s">
        <v>167</v>
      </c>
      <c r="B13" s="70"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70" t="str">
        <f>IF(ISBLANK(A13),"",INDEX('Error Log'!$A:$J,MATCH('Scores per segment'!$A13,'Error Log'!$A:$A,0),MATCH('Scores per segment'!C$1,'Error Log'!$A$1:$J$1,0)))</f>
        <v xml:space="preserve">carlos toro , 66 , worked as a mid-level member of the medellin cartel in the 1980s when a confrontation with his boss caused him to flee from colombia fearing for his life .  toro came to the united states and eventually began working for the dea as an informant .  carlos lehder rivas of colombia was taken down thanks in part to fomer medellin cartel member toro . </v>
      </c>
      <c r="D13" s="70">
        <f>IF(H13=0,wdct(TRIM(C13)),0)</f>
        <v>64</v>
      </c>
      <c r="E13" s="70">
        <f>COUNTIFS('Error Log'!$A:$A,$A13,'Error Log'!$J:$J,E$1)</f>
        <v>4</v>
      </c>
      <c r="F13" s="70">
        <f>COUNTIFS('Error Log'!$A:$A,$A13,'Error Log'!$J:$J,F$1)</f>
        <v>2</v>
      </c>
      <c r="G13" s="70">
        <f>COUNTIFS('Error Log'!$A:$A,$A13,'Error Log'!$J:$J,G$1)</f>
        <v>0</v>
      </c>
      <c r="H13" s="70">
        <f>COUNTIFS('Error Log'!$A:$A,$A13,'Error Log'!$F:$F,"Source")</f>
        <v>0</v>
      </c>
      <c r="I13" s="70">
        <f>COUNTIFS('Error Log'!$A:$A,$A13,'Error Log'!$F:$F,"Target")</f>
        <v>0</v>
      </c>
      <c r="J13" s="71">
        <f t="shared" si="0"/>
        <v>60.9375</v>
      </c>
    </row>
    <row r="14" spans="1:10">
      <c r="A14" s="78" t="s">
        <v>177</v>
      </c>
      <c r="B14" s="70"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70" t="str">
        <f>IF(ISBLANK(A14),"",INDEX('Error Log'!$A:$J,MATCH('Scores per segment'!$A14,'Error Log'!$A:$A,0),MATCH('Scores per segment'!C$1,'Error Log'!$A$1:$J$1,0)))</f>
        <v xml:space="preserve">the former all black , who denies the allegations , was arrested last night after his team was defeated in the european challenge cup .  he had come off injured during connacht 's 14-7 defeat at gloucester last night when he was approached by police .  married muliaina is accused of assaulting the woman in a crowded bar in the brewery quarter of cardiff city centre after his irish team connacht played against cardiff blues . </v>
      </c>
      <c r="D14" s="70">
        <f>IF(H14=0,wdct(TRIM(C14)),0)</f>
        <v>71</v>
      </c>
      <c r="E14" s="70">
        <f>COUNTIFS('Error Log'!$A:$A,$A14,'Error Log'!$J:$J,E$1)</f>
        <v>1</v>
      </c>
      <c r="F14" s="70">
        <f>COUNTIFS('Error Log'!$A:$A,$A14,'Error Log'!$J:$J,F$1)</f>
        <v>1</v>
      </c>
      <c r="G14" s="70">
        <f>COUNTIFS('Error Log'!$A:$A,$A14,'Error Log'!$J:$J,G$1)</f>
        <v>0</v>
      </c>
      <c r="H14" s="70">
        <f>COUNTIFS('Error Log'!$A:$A,$A14,'Error Log'!$F:$F,"Source")</f>
        <v>0</v>
      </c>
      <c r="I14" s="70">
        <f>COUNTIFS('Error Log'!$A:$A,$A14,'Error Log'!$F:$F,"Target")</f>
        <v>0</v>
      </c>
      <c r="J14" s="71">
        <f t="shared" si="0"/>
        <v>89.436619718309856</v>
      </c>
    </row>
    <row r="15" spans="1:10">
      <c r="A15" s="78" t="s">
        <v>182</v>
      </c>
      <c r="B15" s="70"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70" t="str">
        <f>IF(ISBLANK(A15),"",INDEX('Error Log'!$A:$J,MATCH('Scores per segment'!$A15,'Error Log'!$A:$A,0),MATCH('Scores per segment'!C$1,'Error Log'!$A$1:$J$1,0)))</f>
        <v>kevin spacey reportedly paid have his name removed from one of the '  sucks ' domains opened on 30 march .  taylor swift has also had to spend defensively in the past to remove her name from '  porn ' domains .  it has recommended charging $ 2,499 a year for the privilege .</v>
      </c>
      <c r="D15" s="70">
        <f>IF(H15=0,wdct(TRIM(C15)),0)</f>
        <v>46</v>
      </c>
      <c r="E15" s="70">
        <f>COUNTIFS('Error Log'!$A:$A,$A15,'Error Log'!$J:$J,E$1)</f>
        <v>3</v>
      </c>
      <c r="F15" s="70">
        <f>COUNTIFS('Error Log'!$A:$A,$A15,'Error Log'!$J:$J,F$1)</f>
        <v>1</v>
      </c>
      <c r="G15" s="70">
        <f>COUNTIFS('Error Log'!$A:$A,$A15,'Error Log'!$J:$J,G$1)</f>
        <v>0</v>
      </c>
      <c r="H15" s="70">
        <f>COUNTIFS('Error Log'!$A:$A,$A15,'Error Log'!$F:$F,"Source")</f>
        <v>0</v>
      </c>
      <c r="I15" s="70">
        <f>COUNTIFS('Error Log'!$A:$A,$A15,'Error Log'!$F:$F,"Target")</f>
        <v>0</v>
      </c>
      <c r="J15" s="71">
        <f t="shared" si="0"/>
        <v>61.95652173913043</v>
      </c>
    </row>
    <row r="16" spans="1:10">
      <c r="A16" s="78" t="s">
        <v>189</v>
      </c>
      <c r="B16" s="70"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70" t="str">
        <f>IF(ISBLANK(A16),"",INDEX('Error Log'!$A:$J,MATCH('Scores per segment'!$A16,'Error Log'!$A:$A,0),MATCH('Scores per segment'!C$1,'Error Log'!$A$1:$J$1,0)))</f>
        <v xml:space="preserve">a teenager set herself on fire after allegedly being raped by five men from her village in india .  she was allegedly gang-raped on sunday when she went outside her house in kosi kalan , in uttar pradesh 's mathura district .  she is now fighting for her life in delhi 's safdarjung hospital with 70 per cent burns . </v>
      </c>
      <c r="D16" s="70">
        <f>IF(H16=0,wdct(TRIM(C16)),0)</f>
        <v>56</v>
      </c>
      <c r="E16" s="70">
        <f>COUNTIFS('Error Log'!$A:$A,$A16,'Error Log'!$J:$J,E$1)</f>
        <v>2</v>
      </c>
      <c r="F16" s="70">
        <f>COUNTIFS('Error Log'!$A:$A,$A16,'Error Log'!$J:$J,F$1)</f>
        <v>0</v>
      </c>
      <c r="G16" s="70">
        <f>COUNTIFS('Error Log'!$A:$A,$A16,'Error Log'!$J:$J,G$1)</f>
        <v>1</v>
      </c>
      <c r="H16" s="70">
        <f>COUNTIFS('Error Log'!$A:$A,$A16,'Error Log'!$F:$F,"Source")</f>
        <v>0</v>
      </c>
      <c r="I16" s="70">
        <f>COUNTIFS('Error Log'!$A:$A,$A16,'Error Log'!$F:$F,"Target")</f>
        <v>0</v>
      </c>
      <c r="J16" s="71">
        <f t="shared" si="0"/>
        <v>81.25</v>
      </c>
    </row>
    <row r="17" spans="1:10">
      <c r="A17" s="78" t="s">
        <v>195</v>
      </c>
      <c r="B17" s="70"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70" t="str">
        <f>IF(ISBLANK(A17),"",INDEX('Error Log'!$A:$J,MATCH('Scores per segment'!$A17,'Error Log'!$A:$A,0),MATCH('Scores per segment'!C$1,'Error Log'!$A$1:$J$1,0)))</f>
        <v xml:space="preserve">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 </v>
      </c>
      <c r="D17" s="70">
        <f>IF(H17=0,wdct(TRIM(C17)),0)</f>
        <v>57</v>
      </c>
      <c r="E17" s="70">
        <f>COUNTIFS('Error Log'!$A:$A,$A17,'Error Log'!$J:$J,E$1)</f>
        <v>1</v>
      </c>
      <c r="F17" s="70">
        <f>COUNTIFS('Error Log'!$A:$A,$A17,'Error Log'!$J:$J,F$1)</f>
        <v>0</v>
      </c>
      <c r="G17" s="70">
        <f>COUNTIFS('Error Log'!$A:$A,$A17,'Error Log'!$J:$J,G$1)</f>
        <v>0</v>
      </c>
      <c r="H17" s="70">
        <f>COUNTIFS('Error Log'!$A:$A,$A17,'Error Log'!$F:$F,"Source")</f>
        <v>0</v>
      </c>
      <c r="I17" s="70">
        <f>COUNTIFS('Error Log'!$A:$A,$A17,'Error Log'!$F:$F,"Target")</f>
        <v>0</v>
      </c>
      <c r="J17" s="71">
        <f t="shared" si="0"/>
        <v>91.228070175438603</v>
      </c>
    </row>
    <row r="18" spans="1:10">
      <c r="A18" s="78" t="s">
        <v>200</v>
      </c>
      <c r="B18" s="70"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70" t="str">
        <f>IF(ISBLANK(A18),"",INDEX('Error Log'!$A:$J,MATCH('Scores per segment'!$A18,'Error Log'!$A:$A,0),MATCH('Scores per segment'!C$1,'Error Log'!$A$1:$J$1,0)))</f>
        <v>robin van persie said he was fit to feature in the game against manchester city on sunday after ankle trouble but van gaal has ruled him out .  louis van gaal said van persie is not yet fit enough to play .  united boss van persie will not return to manchester united on sunday .</v>
      </c>
      <c r="D18" s="70">
        <f>IF(H18=0,wdct(TRIM(C18)),0)</f>
        <v>52</v>
      </c>
      <c r="E18" s="70">
        <f>COUNTIFS('Error Log'!$A:$A,$A18,'Error Log'!$J:$J,E$1)</f>
        <v>1</v>
      </c>
      <c r="F18" s="70">
        <f>COUNTIFS('Error Log'!$A:$A,$A18,'Error Log'!$J:$J,F$1)</f>
        <v>0</v>
      </c>
      <c r="G18" s="70">
        <f>COUNTIFS('Error Log'!$A:$A,$A18,'Error Log'!$J:$J,G$1)</f>
        <v>0</v>
      </c>
      <c r="H18" s="70">
        <f>COUNTIFS('Error Log'!$A:$A,$A18,'Error Log'!$F:$F,"Source")</f>
        <v>0</v>
      </c>
      <c r="I18" s="70">
        <f>COUNTIFS('Error Log'!$A:$A,$A18,'Error Log'!$F:$F,"Target")</f>
        <v>0</v>
      </c>
      <c r="J18" s="71">
        <f t="shared" si="0"/>
        <v>90.384615384615387</v>
      </c>
    </row>
    <row r="19" spans="1:10">
      <c r="A19" s="78" t="s">
        <v>204</v>
      </c>
      <c r="B19" s="70"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70" t="str">
        <f>IF(ISBLANK(A19),"",INDEX('Error Log'!$A:$J,MATCH('Scores per segment'!$A19,'Error Log'!$A:$A,0),MATCH('Scores per segment'!C$1,'Error Log'!$A$1:$J$1,0)))</f>
        <v xml:space="preserve">kristopher hicks was on his way home from a taxi driven by michael young , 56 , five years ago .  he mistakenly believed mr hicks was planning to ` do a runner ' and decided to drive him back to the rank in a bid to teach him a lesson .  mr hicks suffered devastating brain injuries , developed epilepsy and now requires round-the-clock care from his mother . </v>
      </c>
      <c r="D19" s="70">
        <f>IF(H19=0,wdct(TRIM(C19)),0)</f>
        <v>62</v>
      </c>
      <c r="E19" s="70">
        <f>COUNTIFS('Error Log'!$A:$A,$A19,'Error Log'!$J:$J,E$1)</f>
        <v>1</v>
      </c>
      <c r="F19" s="70">
        <f>COUNTIFS('Error Log'!$A:$A,$A19,'Error Log'!$J:$J,F$1)</f>
        <v>0</v>
      </c>
      <c r="G19" s="70">
        <f>COUNTIFS('Error Log'!$A:$A,$A19,'Error Log'!$J:$J,G$1)</f>
        <v>0</v>
      </c>
      <c r="H19" s="70">
        <f>COUNTIFS('Error Log'!$A:$A,$A19,'Error Log'!$F:$F,"Source")</f>
        <v>0</v>
      </c>
      <c r="I19" s="70">
        <f>COUNTIFS('Error Log'!$A:$A,$A19,'Error Log'!$F:$F,"Target")</f>
        <v>0</v>
      </c>
      <c r="J19" s="71">
        <f t="shared" si="0"/>
        <v>91.935483870967744</v>
      </c>
    </row>
    <row r="20" spans="1:10">
      <c r="A20" s="78" t="s">
        <v>208</v>
      </c>
      <c r="B20" s="70"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70" t="str">
        <f>IF(ISBLANK(A20),"",INDEX('Error Log'!$A:$J,MATCH('Scores per segment'!$A20,'Error Log'!$A:$A,0),MATCH('Scores per segment'!C$1,'Error Log'!$A$1:$J$1,0)))</f>
        <v># 64 a ticket ' the cheapest tickets for the lunchtime kick-off were # 64 .  arsenal and liverpool fans left their seats empty at the emirates stadium .  supporters from both clubs say they are ` disgusted ' at the rise of ticket prices .</v>
      </c>
      <c r="D20" s="70">
        <f>IF(H20=0,wdct(TRIM(C20)),0)</f>
        <v>38</v>
      </c>
      <c r="E20" s="70">
        <f>COUNTIFS('Error Log'!$A:$A,$A20,'Error Log'!$J:$J,E$1)</f>
        <v>2</v>
      </c>
      <c r="F20" s="70">
        <f>COUNTIFS('Error Log'!$A:$A,$A20,'Error Log'!$J:$J,F$1)</f>
        <v>2</v>
      </c>
      <c r="G20" s="70">
        <f>COUNTIFS('Error Log'!$A:$A,$A20,'Error Log'!$J:$J,G$1)</f>
        <v>3</v>
      </c>
      <c r="H20" s="70">
        <f>COUNTIFS('Error Log'!$A:$A,$A20,'Error Log'!$F:$F,"Source")</f>
        <v>0</v>
      </c>
      <c r="I20" s="70">
        <f>COUNTIFS('Error Log'!$A:$A,$A20,'Error Log'!$F:$F,"Target")</f>
        <v>0</v>
      </c>
      <c r="J20" s="71">
        <f t="shared" si="0"/>
        <v>56.578947368421055</v>
      </c>
    </row>
    <row r="21" spans="1:10">
      <c r="A21" s="79" t="s">
        <v>219</v>
      </c>
      <c r="B21" s="70"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1" s="70" t="str">
        <f>IF(ISBLANK(A21),"",INDEX('Error Log'!$A:$J,MATCH('Scores per segment'!$A21,'Error Log'!$A:$A,0),MATCH('Scores per segment'!C$1,'Error Log'!$A$1:$J$1,0)))</f>
        <v>new : three of the sightings were near aetna .  new : `` nighttime tornadoes are the most deadly , '' spotters expert says .  `` there will be storms pop up all night long , '' a expert says .</v>
      </c>
      <c r="D21" s="70">
        <f>IF(H21=0,wdct(TRIM(C21)),0)</f>
        <v>30</v>
      </c>
      <c r="E21" s="70">
        <f>COUNTIFS('Error Log'!$A:$A,$A21,'Error Log'!$J:$J,E$1)</f>
        <v>3</v>
      </c>
      <c r="F21" s="70">
        <f>COUNTIFS('Error Log'!$A:$A,$A21,'Error Log'!$J:$J,F$1)</f>
        <v>5</v>
      </c>
      <c r="G21" s="70">
        <f>COUNTIFS('Error Log'!$A:$A,$A21,'Error Log'!$J:$J,G$1)</f>
        <v>0</v>
      </c>
      <c r="H21" s="70">
        <f>COUNTIFS('Error Log'!$A:$A,$A21,'Error Log'!$F:$F,"Source")</f>
        <v>0</v>
      </c>
      <c r="I21" s="70">
        <f>COUNTIFS('Error Log'!$A:$A,$A21,'Error Log'!$F:$F,"Target")</f>
        <v>0</v>
      </c>
      <c r="J21" s="71">
        <f t="shared" si="0"/>
        <v>8.3333333333333357</v>
      </c>
    </row>
    <row r="22" spans="1:10">
      <c r="A22" s="79" t="s">
        <v>230</v>
      </c>
      <c r="B22" s="70"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70" t="str">
        <f>IF(ISBLANK(A22),"",INDEX('Error Log'!$A:$J,MATCH('Scores per segment'!$A22,'Error Log'!$A:$A,0),MATCH('Scores per segment'!C$1,'Error Log'!$A$1:$J$1,0)))</f>
        <v xml:space="preserve">jade reader said she was ` overcome with emotion ' when her twin sister shanell gave up her liver to save niece star within days of being born in barnsley , west yorkshire .  doctors discovered the baby 's bile ducts were blocked , a condition which can prove fatal if untreated .  her parents , jade reader and matthew bygrave , were told the infant would need a liver transplant in order to survive . </v>
      </c>
      <c r="D22" s="70">
        <f>IF(H22=0,wdct(TRIM(C22)),0)</f>
        <v>67</v>
      </c>
      <c r="E22" s="70">
        <f>COUNTIFS('Error Log'!$A:$A,$A22,'Error Log'!$J:$J,E$1)</f>
        <v>3</v>
      </c>
      <c r="F22" s="70">
        <f>COUNTIFS('Error Log'!$A:$A,$A22,'Error Log'!$J:$J,F$1)</f>
        <v>0</v>
      </c>
      <c r="G22" s="70">
        <f>COUNTIFS('Error Log'!$A:$A,$A22,'Error Log'!$J:$J,G$1)</f>
        <v>0</v>
      </c>
      <c r="H22" s="70">
        <f>COUNTIFS('Error Log'!$A:$A,$A22,'Error Log'!$F:$F,"Source")</f>
        <v>0</v>
      </c>
      <c r="I22" s="70">
        <f>COUNTIFS('Error Log'!$A:$A,$A22,'Error Log'!$F:$F,"Target")</f>
        <v>0</v>
      </c>
      <c r="J22" s="71">
        <f t="shared" si="0"/>
        <v>77.611940298507463</v>
      </c>
    </row>
    <row r="23" spans="1:10">
      <c r="A23" s="79" t="s">
        <v>236</v>
      </c>
      <c r="B23" s="70"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70" t="str">
        <f>IF(ISBLANK(A23),"",INDEX('Error Log'!$A:$J,MATCH('Scores per segment'!$A23,'Error Log'!$A:$A,0),MATCH('Scores per segment'!C$1,'Error Log'!$A$1:$J$1,0)))</f>
        <v>luke rockhold beat machida machida in new jersey on saturday .  the californian is bidding for his fourth consecutive victory since beating belfort two years ago .  machida machida has a title shot in his position .</v>
      </c>
      <c r="D23" s="70">
        <f>IF(H23=0,wdct(TRIM(C23)),0)</f>
        <v>34</v>
      </c>
      <c r="E23" s="70">
        <f>COUNTIFS('Error Log'!$A:$A,$A23,'Error Log'!$J:$J,E$1)</f>
        <v>3</v>
      </c>
      <c r="F23" s="70">
        <f>COUNTIFS('Error Log'!$A:$A,$A23,'Error Log'!$J:$J,F$1)</f>
        <v>1</v>
      </c>
      <c r="G23" s="70">
        <f>COUNTIFS('Error Log'!$A:$A,$A23,'Error Log'!$J:$J,G$1)</f>
        <v>0</v>
      </c>
      <c r="H23" s="70">
        <f>COUNTIFS('Error Log'!$A:$A,$A23,'Error Log'!$F:$F,"Source")</f>
        <v>0</v>
      </c>
      <c r="I23" s="70">
        <f>COUNTIFS('Error Log'!$A:$A,$A23,'Error Log'!$F:$F,"Target")</f>
        <v>0</v>
      </c>
      <c r="J23" s="71">
        <f t="shared" si="0"/>
        <v>48.529411764705884</v>
      </c>
    </row>
    <row r="24" spans="1:10">
      <c r="A24" s="79" t="s">
        <v>242</v>
      </c>
      <c r="B24" s="70"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70" t="str">
        <f>IF(ISBLANK(A24),"",INDEX('Error Log'!$A:$J,MATCH('Scores per segment'!$A24,'Error Log'!$A:$A,0),MATCH('Scores per segment'!C$1,'Error Log'!$A$1:$J$1,0)))</f>
        <v>eden hazard and nathan ake paired up to take on loic remy and willian .  hazard and ake took part in audi 's football challenge .  chelsea stars in round one from close range .</v>
      </c>
      <c r="D24" s="70">
        <f>IF(H24=0,wdct(TRIM(C24)),0)</f>
        <v>32</v>
      </c>
      <c r="E24" s="70">
        <f>COUNTIFS('Error Log'!$A:$A,$A24,'Error Log'!$J:$J,E$1)</f>
        <v>4</v>
      </c>
      <c r="F24" s="70">
        <f>COUNTIFS('Error Log'!$A:$A,$A24,'Error Log'!$J:$J,F$1)</f>
        <v>1</v>
      </c>
      <c r="G24" s="70">
        <f>COUNTIFS('Error Log'!$A:$A,$A24,'Error Log'!$J:$J,G$1)</f>
        <v>1</v>
      </c>
      <c r="H24" s="70">
        <f>COUNTIFS('Error Log'!$A:$A,$A24,'Error Log'!$F:$F,"Source")</f>
        <v>0</v>
      </c>
      <c r="I24" s="70">
        <f>COUNTIFS('Error Log'!$A:$A,$A24,'Error Log'!$F:$F,"Target")</f>
        <v>0</v>
      </c>
      <c r="J24" s="71">
        <f t="shared" si="0"/>
        <v>28.125</v>
      </c>
    </row>
    <row r="25" spans="1:10">
      <c r="A25" s="79" t="s">
        <v>252</v>
      </c>
      <c r="B25" s="70"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70" t="str">
        <f>IF(ISBLANK(A25),"",INDEX('Error Log'!$A:$J,MATCH('Scores per segment'!$A25,'Error Log'!$A:$A,0),MATCH('Scores per segment'!C$1,'Error Log'!$A$1:$J$1,0)))</f>
        <v xml:space="preserve">captured in fort pierce , florida , footage shows light general aviation aircraft .  landing gear has not been deployed and scratches along the tarmac .  plane 's propellers have been damaged in the collision with the runway . </v>
      </c>
      <c r="D25" s="70">
        <f>IF(H25=0,wdct(TRIM(C25)),0)</f>
        <v>34</v>
      </c>
      <c r="E25" s="70">
        <f>COUNTIFS('Error Log'!$A:$A,$A25,'Error Log'!$J:$J,E$1)</f>
        <v>3</v>
      </c>
      <c r="F25" s="70">
        <f>COUNTIFS('Error Log'!$A:$A,$A25,'Error Log'!$J:$J,F$1)</f>
        <v>2</v>
      </c>
      <c r="G25" s="70">
        <f>COUNTIFS('Error Log'!$A:$A,$A25,'Error Log'!$J:$J,G$1)</f>
        <v>0</v>
      </c>
      <c r="H25" s="70">
        <f>COUNTIFS('Error Log'!$A:$A,$A25,'Error Log'!$F:$F,"Source")</f>
        <v>0</v>
      </c>
      <c r="I25" s="70">
        <f>COUNTIFS('Error Log'!$A:$A,$A25,'Error Log'!$F:$F,"Target")</f>
        <v>0</v>
      </c>
      <c r="J25" s="71">
        <f t="shared" si="0"/>
        <v>41.17647058823529</v>
      </c>
    </row>
    <row r="26" spans="1:10">
      <c r="A26" s="79" t="s">
        <v>261</v>
      </c>
      <c r="B26" s="70"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70" t="str">
        <f>IF(ISBLANK(A26),"",INDEX('Error Log'!$A:$J,MATCH('Scores per segment'!$A26,'Error Log'!$A:$A,0),MATCH('Scores per segment'!C$1,'Error Log'!$A$1:$J$1,0)))</f>
        <v xml:space="preserve">robert dellinger , 54 , told investigators he was trying to kill himself in december 2013 when he drove his pickup truck across a median at more than 100mph and plowed into an oncoming suv .  john timmons , 29 , and amanda murphy , 24 , were killed instantly in the crash on december 7 , 2013 .  dellinger pleaded guilty in february to negligent homicide in the deaths of the young couple and to one count of assault for the fetus ' death . </v>
      </c>
      <c r="D26" s="70">
        <f>IF(H26=0,wdct(TRIM(C26)),0)</f>
        <v>75</v>
      </c>
      <c r="E26" s="70">
        <f>COUNTIFS('Error Log'!$A:$A,$A26,'Error Log'!$J:$J,E$1)</f>
        <v>3</v>
      </c>
      <c r="F26" s="70">
        <f>COUNTIFS('Error Log'!$A:$A,$A26,'Error Log'!$J:$J,F$1)</f>
        <v>0</v>
      </c>
      <c r="G26" s="70">
        <f>COUNTIFS('Error Log'!$A:$A,$A26,'Error Log'!$J:$J,G$1)</f>
        <v>0</v>
      </c>
      <c r="H26" s="70">
        <f>COUNTIFS('Error Log'!$A:$A,$A26,'Error Log'!$F:$F,"Source")</f>
        <v>0</v>
      </c>
      <c r="I26" s="70">
        <f>COUNTIFS('Error Log'!$A:$A,$A26,'Error Log'!$F:$F,"Target")</f>
        <v>0</v>
      </c>
      <c r="J26" s="71">
        <f t="shared" si="0"/>
        <v>80</v>
      </c>
    </row>
    <row r="27" spans="1:10">
      <c r="A27" s="79" t="s">
        <v>267</v>
      </c>
      <c r="B27" s="70"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70" t="str">
        <f>IF(ISBLANK(A27),"",INDEX('Error Log'!$A:$J,MATCH('Scores per segment'!$A27,'Error Log'!$A:$A,0),MATCH('Scores per segment'!C$1,'Error Log'!$A$1:$J$1,0)))</f>
        <v xml:space="preserve">manchester city midfielder yaya toure has been disappointed by the ivory coast midfielder 's level .  manuel pellegrini admits he is disappointed by yaya toure .  toure has come in for criticism for city 's premier league campaign . </v>
      </c>
      <c r="D27" s="70">
        <f>IF(H27=0,wdct(TRIM(C27)),0)</f>
        <v>36</v>
      </c>
      <c r="E27" s="70">
        <f>COUNTIFS('Error Log'!$A:$A,$A27,'Error Log'!$J:$J,E$1)</f>
        <v>5</v>
      </c>
      <c r="F27" s="70">
        <f>COUNTIFS('Error Log'!$A:$A,$A27,'Error Log'!$J:$J,F$1)</f>
        <v>2</v>
      </c>
      <c r="G27" s="70">
        <f>COUNTIFS('Error Log'!$A:$A,$A27,'Error Log'!$J:$J,G$1)</f>
        <v>0</v>
      </c>
      <c r="H27" s="70">
        <f>COUNTIFS('Error Log'!$A:$A,$A27,'Error Log'!$F:$F,"Source")</f>
        <v>0</v>
      </c>
      <c r="I27" s="70">
        <f>COUNTIFS('Error Log'!$A:$A,$A27,'Error Log'!$F:$F,"Target")</f>
        <v>0</v>
      </c>
      <c r="J27" s="71">
        <f t="shared" si="0"/>
        <v>16.666666666666664</v>
      </c>
    </row>
    <row r="28" spans="1:10">
      <c r="A28" s="79" t="s">
        <v>278</v>
      </c>
      <c r="B28" s="70"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70" t="str">
        <f>IF(ISBLANK(A28),"",INDEX('Error Log'!$A:$J,MATCH('Scores per segment'!$A28,'Error Log'!$A:$A,0),MATCH('Scores per segment'!C$1,'Error Log'!$A$1:$J$1,0)))</f>
        <v xml:space="preserve">lacey spears of scottsville , kentucky , appeared emotionless as the verdict was read in the death of her son garnett-paul spears .  the boy 's father chris hill was spared the maximum 25 years to life and instead received 20 .  she wrote of his wife 's sentence ; ` crazy a ** woman needs to be beat to death in prison . </v>
      </c>
      <c r="D28" s="70">
        <f>IF(H28=0,wdct(TRIM(C28)),0)</f>
        <v>56</v>
      </c>
      <c r="E28" s="70">
        <f>COUNTIFS('Error Log'!$A:$A,$A28,'Error Log'!$J:$J,E$1)</f>
        <v>5</v>
      </c>
      <c r="F28" s="70">
        <f>COUNTIFS('Error Log'!$A:$A,$A28,'Error Log'!$J:$J,F$1)</f>
        <v>2</v>
      </c>
      <c r="G28" s="70">
        <f>COUNTIFS('Error Log'!$A:$A,$A28,'Error Log'!$J:$J,G$1)</f>
        <v>0</v>
      </c>
      <c r="H28" s="70">
        <f>COUNTIFS('Error Log'!$A:$A,$A28,'Error Log'!$F:$F,"Source")</f>
        <v>0</v>
      </c>
      <c r="I28" s="70">
        <f>COUNTIFS('Error Log'!$A:$A,$A28,'Error Log'!$F:$F,"Target")</f>
        <v>0</v>
      </c>
      <c r="J28" s="71">
        <f t="shared" si="0"/>
        <v>46.428571428571431</v>
      </c>
    </row>
    <row r="29" spans="1:10">
      <c r="A29" s="79" t="s">
        <v>288</v>
      </c>
      <c r="B29" s="70"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70" t="str">
        <f>IF(ISBLANK(A29),"",INDEX('Error Log'!$A:$J,MATCH('Scores per segment'!$A29,'Error Log'!$A:$A,0),MATCH('Scores per segment'!C$1,'Error Log'!$A$1:$J$1,0)))</f>
        <v xml:space="preserve">domenico rancadore , who has lived in britain for 20 years , was given a seven-year sentence by an italian court in 1999 for being a member of the cosa nostra .  he lost his year-and-a-half battle against extradition and was told he must return to italy to serve his sentence .  rancadore 's case expired last october and his european arrest warrant is to be withdrawn . </v>
      </c>
      <c r="D29" s="70">
        <f>IF(H29=0,wdct(TRIM(C29)),0)</f>
        <v>63</v>
      </c>
      <c r="E29" s="70">
        <f>COUNTIFS('Error Log'!$A:$A,$A29,'Error Log'!$J:$J,E$1)</f>
        <v>1</v>
      </c>
      <c r="F29" s="70">
        <f>COUNTIFS('Error Log'!$A:$A,$A29,'Error Log'!$J:$J,F$1)</f>
        <v>0</v>
      </c>
      <c r="G29" s="70">
        <f>COUNTIFS('Error Log'!$A:$A,$A29,'Error Log'!$J:$J,G$1)</f>
        <v>0</v>
      </c>
      <c r="H29" s="70">
        <f>COUNTIFS('Error Log'!$A:$A,$A29,'Error Log'!$F:$F,"Source")</f>
        <v>0</v>
      </c>
      <c r="I29" s="70">
        <f>COUNTIFS('Error Log'!$A:$A,$A29,'Error Log'!$F:$F,"Target")</f>
        <v>0</v>
      </c>
      <c r="J29" s="71">
        <f t="shared" si="0"/>
        <v>92.063492063492063</v>
      </c>
    </row>
    <row r="30" spans="1:10">
      <c r="A30" s="79" t="s">
        <v>292</v>
      </c>
      <c r="B30" s="70"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70" t="str">
        <f>IF(ISBLANK(A30),"",INDEX('Error Log'!$A:$J,MATCH('Scores per segment'!$A30,'Error Log'!$A:$A,0),MATCH('Scores per segment'!C$1,'Error Log'!$A$1:$J$1,0)))</f>
        <v xml:space="preserve">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flu .  experts say the modified version of the vaccination is worth waiting for . </v>
      </c>
      <c r="D30" s="70">
        <f>IF(H30=0,wdct(TRIM(C30)),0)</f>
        <v>71</v>
      </c>
      <c r="E30" s="70">
        <f>COUNTIFS('Error Log'!$A:$A,$A30,'Error Log'!$J:$J,E$1)</f>
        <v>1</v>
      </c>
      <c r="F30" s="70">
        <f>COUNTIFS('Error Log'!$A:$A,$A30,'Error Log'!$J:$J,F$1)</f>
        <v>1</v>
      </c>
      <c r="G30" s="70">
        <f>COUNTIFS('Error Log'!$A:$A,$A30,'Error Log'!$J:$J,G$1)</f>
        <v>0</v>
      </c>
      <c r="H30" s="70">
        <f>COUNTIFS('Error Log'!$A:$A,$A30,'Error Log'!$F:$F,"Source")</f>
        <v>0</v>
      </c>
      <c r="I30" s="70">
        <f>COUNTIFS('Error Log'!$A:$A,$A30,'Error Log'!$F:$F,"Target")</f>
        <v>0</v>
      </c>
      <c r="J30" s="71">
        <f t="shared" si="0"/>
        <v>89.436619718309856</v>
      </c>
    </row>
    <row r="31" spans="1:10">
      <c r="A31" s="79" t="s">
        <v>297</v>
      </c>
      <c r="B31" s="70"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70" t="str">
        <f>IF(ISBLANK(A31),"",INDEX('Error Log'!$A:$J,MATCH('Scores per segment'!$A31,'Error Log'!$A:$A,0),MATCH('Scores per segment'!C$1,'Error Log'!$A$1:$J$1,0)))</f>
        <v xml:space="preserve">ap mccoy 's mount in the grade one celebration chase at sandown on saturday has been installed as one of three 7-2 co-favourites in the seven-runner line-up .  mr mole will be mccoy 's last ride in a grade one race .  ap mccoy and nicky henderson 's sprinter sacre will have six rivals in the celebration at sandown to be ridden by cheltenham gold cup winner nico de boinville in chase of injured barry geraghty . </v>
      </c>
      <c r="D31" s="70">
        <f>IF(H31=0,wdct(TRIM(C31)),0)</f>
        <v>74</v>
      </c>
      <c r="E31" s="70">
        <f>COUNTIFS('Error Log'!$A:$A,$A31,'Error Log'!$J:$J,E$1)</f>
        <v>1</v>
      </c>
      <c r="F31" s="70">
        <f>COUNTIFS('Error Log'!$A:$A,$A31,'Error Log'!$J:$J,F$1)</f>
        <v>1</v>
      </c>
      <c r="G31" s="70">
        <f>COUNTIFS('Error Log'!$A:$A,$A31,'Error Log'!$J:$J,G$1)</f>
        <v>0</v>
      </c>
      <c r="H31" s="70">
        <f>COUNTIFS('Error Log'!$A:$A,$A31,'Error Log'!$F:$F,"Source")</f>
        <v>0</v>
      </c>
      <c r="I31" s="70">
        <f>COUNTIFS('Error Log'!$A:$A,$A31,'Error Log'!$F:$F,"Target")</f>
        <v>0</v>
      </c>
      <c r="J31" s="71">
        <f t="shared" si="0"/>
        <v>89.86486486486487</v>
      </c>
    </row>
    <row r="32" spans="1:10">
      <c r="A32" s="79" t="s">
        <v>302</v>
      </c>
      <c r="B32" s="70"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70" t="str">
        <f>IF(ISBLANK(A32),"",INDEX('Error Log'!$A:$J,MATCH('Scores per segment'!$A32,'Error Log'!$A:$A,0),MATCH('Scores per segment'!C$1,'Error Log'!$A$1:$J$1,0)))</f>
        <v xml:space="preserve">the popular tourist site was pilloried in this month 's issue of national geographic magazine as having ` all the historical character of an office lobby '  president lincoln was assassinated by john wilkes booth at a performance of the play ` our american cousin ' in april 1865 .  he would roll the agency into another department .  for the state , even as they commemorate the 150th anniversary of the u.s. civil war president 's assassination . </v>
      </c>
      <c r="D32" s="70">
        <f>IF(H32=0,wdct(TRIM(C32)),0)</f>
        <v>72</v>
      </c>
      <c r="E32" s="70">
        <f>COUNTIFS('Error Log'!$A:$A,$A32,'Error Log'!$J:$J,E$1)</f>
        <v>6</v>
      </c>
      <c r="F32" s="70">
        <f>COUNTIFS('Error Log'!$A:$A,$A32,'Error Log'!$J:$J,F$1)</f>
        <v>2</v>
      </c>
      <c r="G32" s="70">
        <f>COUNTIFS('Error Log'!$A:$A,$A32,'Error Log'!$J:$J,G$1)</f>
        <v>0</v>
      </c>
      <c r="H32" s="70">
        <f>COUNTIFS('Error Log'!$A:$A,$A32,'Error Log'!$F:$F,"Source")</f>
        <v>0</v>
      </c>
      <c r="I32" s="70">
        <f>COUNTIFS('Error Log'!$A:$A,$A32,'Error Log'!$F:$F,"Target")</f>
        <v>0</v>
      </c>
      <c r="J32" s="71">
        <f t="shared" si="0"/>
        <v>51.388888888888893</v>
      </c>
    </row>
    <row r="33" spans="1:10">
      <c r="A33" s="79" t="s">
        <v>314</v>
      </c>
      <c r="B33" s="70"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70" t="str">
        <f>IF(ISBLANK(A33),"",INDEX('Error Log'!$A:$J,MATCH('Scores per segment'!$A33,'Error Log'!$A:$A,0),MATCH('Scores per segment'!C$1,'Error Log'!$A$1:$J$1,0)))</f>
        <v xml:space="preserve">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v>
      </c>
      <c r="D33" s="70">
        <f>IF(H33=0,wdct(TRIM(C33)),0)</f>
        <v>63</v>
      </c>
      <c r="E33" s="70">
        <f>COUNTIFS('Error Log'!$A:$A,$A33,'Error Log'!$J:$J,E$1)</f>
        <v>3</v>
      </c>
      <c r="F33" s="70">
        <f>COUNTIFS('Error Log'!$A:$A,$A33,'Error Log'!$J:$J,F$1)</f>
        <v>2</v>
      </c>
      <c r="G33" s="70">
        <f>COUNTIFS('Error Log'!$A:$A,$A33,'Error Log'!$J:$J,G$1)</f>
        <v>0</v>
      </c>
      <c r="H33" s="70">
        <f>COUNTIFS('Error Log'!$A:$A,$A33,'Error Log'!$F:$F,"Source")</f>
        <v>0</v>
      </c>
      <c r="I33" s="70">
        <f>COUNTIFS('Error Log'!$A:$A,$A33,'Error Log'!$F:$F,"Target")</f>
        <v>0</v>
      </c>
      <c r="J33" s="71">
        <f t="shared" si="0"/>
        <v>68.253968253968253</v>
      </c>
    </row>
    <row r="34" spans="1:10">
      <c r="A34" s="79" t="s">
        <v>323</v>
      </c>
      <c r="B34" s="70"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70" t="str">
        <f>IF(ISBLANK(A34),"",INDEX('Error Log'!$A:$J,MATCH('Scores per segment'!$A34,'Error Log'!$A:$A,0),MATCH('Scores per segment'!C$1,'Error Log'!$A$1:$J$1,0)))</f>
        <v xml:space="preserve">jcno , the bucket hat , is set to be the brand 's first ` rave ' jeans .  it has the worst offenders , and it is the first time in the world .  jnco , a bucket hat and calvin klein t-shirts are all the worst . </v>
      </c>
      <c r="D34" s="70">
        <f>IF(H34=0,wdct(TRIM(C34)),0)</f>
        <v>40</v>
      </c>
      <c r="E34" s="70">
        <f>COUNTIFS('Error Log'!$A:$A,$A34,'Error Log'!$J:$J,E$1)</f>
        <v>3</v>
      </c>
      <c r="F34" s="70">
        <f>COUNTIFS('Error Log'!$A:$A,$A34,'Error Log'!$J:$J,F$1)</f>
        <v>5</v>
      </c>
      <c r="G34" s="70">
        <f>COUNTIFS('Error Log'!$A:$A,$A34,'Error Log'!$J:$J,G$1)</f>
        <v>1</v>
      </c>
      <c r="H34" s="70">
        <f>COUNTIFS('Error Log'!$A:$A,$A34,'Error Log'!$F:$F,"Source")</f>
        <v>0</v>
      </c>
      <c r="I34" s="70">
        <f>COUNTIFS('Error Log'!$A:$A,$A34,'Error Log'!$F:$F,"Target")</f>
        <v>0</v>
      </c>
      <c r="J34" s="71">
        <f t="shared" si="0"/>
        <v>30.000000000000004</v>
      </c>
    </row>
    <row r="35" spans="1:10">
      <c r="A35" s="79" t="s">
        <v>336</v>
      </c>
      <c r="B35" s="70"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70" t="str">
        <f>IF(ISBLANK(A35),"",INDEX('Error Log'!$A:$J,MATCH('Scores per segment'!$A35,'Error Log'!$A:$A,0),MATCH('Scores per segment'!C$1,'Error Log'!$A$1:$J$1,0)))</f>
        <v xml:space="preserve">rory mcilroy tees off at the arnold palmer invitational golf tournament in orlando on march 19 .  mcilroy has just one top-10 finish to win all four major titles after gene sarazen , ben hogan , gary player , jack nicklaus and tiger woods .  mcilroy believes it is ` unthinkable ' that he will not win the masters at some point to complete the career grand slam . </v>
      </c>
      <c r="D35" s="70">
        <f>IF(H35=0,wdct(TRIM(C35)),0)</f>
        <v>61</v>
      </c>
      <c r="E35" s="70">
        <f>COUNTIFS('Error Log'!$A:$A,$A35,'Error Log'!$J:$J,E$1)</f>
        <v>2</v>
      </c>
      <c r="F35" s="70">
        <f>COUNTIFS('Error Log'!$A:$A,$A35,'Error Log'!$J:$J,F$1)</f>
        <v>2</v>
      </c>
      <c r="G35" s="70">
        <f>COUNTIFS('Error Log'!$A:$A,$A35,'Error Log'!$J:$J,G$1)</f>
        <v>0</v>
      </c>
      <c r="H35" s="70">
        <f>COUNTIFS('Error Log'!$A:$A,$A35,'Error Log'!$F:$F,"Source")</f>
        <v>0</v>
      </c>
      <c r="I35" s="70">
        <f>COUNTIFS('Error Log'!$A:$A,$A35,'Error Log'!$F:$F,"Target")</f>
        <v>0</v>
      </c>
      <c r="J35" s="71">
        <f t="shared" si="0"/>
        <v>75.409836065573771</v>
      </c>
    </row>
    <row r="36" spans="1:10">
      <c r="A36" s="79" t="s">
        <v>344</v>
      </c>
      <c r="B36" s="70"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70" t="str">
        <f>IF(ISBLANK(A36),"",INDEX('Error Log'!$A:$J,MATCH('Scores per segment'!$A36,'Error Log'!$A:$A,0),MATCH('Scores per segment'!C$1,'Error Log'!$A$1:$J$1,0)))</f>
        <v xml:space="preserve">klopp will leave borussia dortmund at the end of the season after seven years in charge .  colourful 47-year-old coach has been linked with several other teams .  jurgen klopp said dortmund need a change of manager next season . </v>
      </c>
      <c r="D36" s="70">
        <f>IF(H36=0,wdct(TRIM(C36)),0)</f>
        <v>37</v>
      </c>
      <c r="E36" s="70">
        <f>COUNTIFS('Error Log'!$A:$A,$A36,'Error Log'!$J:$J,E$1)</f>
        <v>2</v>
      </c>
      <c r="F36" s="70">
        <f>COUNTIFS('Error Log'!$A:$A,$A36,'Error Log'!$J:$J,F$1)</f>
        <v>1</v>
      </c>
      <c r="G36" s="70">
        <f>COUNTIFS('Error Log'!$A:$A,$A36,'Error Log'!$J:$J,G$1)</f>
        <v>0</v>
      </c>
      <c r="H36" s="70">
        <f>COUNTIFS('Error Log'!$A:$A,$A36,'Error Log'!$F:$F,"Source")</f>
        <v>0</v>
      </c>
      <c r="I36" s="70">
        <f>COUNTIFS('Error Log'!$A:$A,$A36,'Error Log'!$F:$F,"Target")</f>
        <v>0</v>
      </c>
      <c r="J36" s="71">
        <f t="shared" si="0"/>
        <v>66.216216216216225</v>
      </c>
    </row>
    <row r="37" spans="1:10">
      <c r="A37" s="91" t="s">
        <v>350</v>
      </c>
      <c r="B37" s="70"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70" t="str">
        <f>IF(ISBLANK(A37),"",INDEX('Error Log'!$A:$J,MATCH('Scores per segment'!$A37,'Error Log'!$A:$A,0),MATCH('Scores per segment'!C$1,'Error Log'!$A$1:$J$1,0)))</f>
        <v xml:space="preserve">amanda curtis is ceo of a fashion company .  in china , hiring exotic dancers to perform at wakes is an option .  rdj alice barker has n't been seen since the new york area . </v>
      </c>
      <c r="D37" s="70">
        <f>IF(H37=0,wdct(TRIM(C37)),0)</f>
        <v>32</v>
      </c>
      <c r="E37" s="70">
        <f>COUNTIFS('Error Log'!$A:$A,$A37,'Error Log'!$J:$J,E$1)</f>
        <v>4</v>
      </c>
      <c r="F37" s="70">
        <f>COUNTIFS('Error Log'!$A:$A,$A37,'Error Log'!$J:$J,F$1)</f>
        <v>3</v>
      </c>
      <c r="G37" s="70">
        <f>COUNTIFS('Error Log'!$A:$A,$A37,'Error Log'!$J:$J,G$1)</f>
        <v>0</v>
      </c>
      <c r="H37" s="70">
        <f>COUNTIFS('Error Log'!$A:$A,$A37,'Error Log'!$F:$F,"Source")</f>
        <v>0</v>
      </c>
      <c r="I37" s="70">
        <f>COUNTIFS('Error Log'!$A:$A,$A37,'Error Log'!$F:$F,"Target")</f>
        <v>0</v>
      </c>
      <c r="J37" s="71">
        <f t="shared" si="0"/>
        <v>14.0625</v>
      </c>
    </row>
    <row r="38" spans="1:10">
      <c r="A38" s="91" t="s">
        <v>361</v>
      </c>
      <c r="B38" s="70"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70" t="str">
        <f>IF(ISBLANK(A38),"",INDEX('Error Log'!$A:$J,MATCH('Scores per segment'!$A38,'Error Log'!$A:$A,0),MATCH('Scores per segment'!C$1,'Error Log'!$A$1:$J$1,0)))</f>
        <v xml:space="preserve">serena williams beat sloane stephens 6-1 , 7-5 in the miami open .  williams beat sabine lisicki in three sets on wednesday .  williams will face romania 's simona halep for a place in the final . </v>
      </c>
      <c r="D38" s="70">
        <f>IF(H38=0,wdct(TRIM(C38)),0)</f>
        <v>33</v>
      </c>
      <c r="E38" s="70">
        <f>COUNTIFS('Error Log'!$A:$A,$A38,'Error Log'!$J:$J,E$1)</f>
        <v>6</v>
      </c>
      <c r="F38" s="70">
        <f>COUNTIFS('Error Log'!$A:$A,$A38,'Error Log'!$J:$J,F$1)</f>
        <v>2</v>
      </c>
      <c r="G38" s="70">
        <f>COUNTIFS('Error Log'!$A:$A,$A38,'Error Log'!$J:$J,G$1)</f>
        <v>0</v>
      </c>
      <c r="H38" s="70">
        <f>COUNTIFS('Error Log'!$A:$A,$A38,'Error Log'!$F:$F,"Source")</f>
        <v>0</v>
      </c>
      <c r="I38" s="70">
        <f>COUNTIFS('Error Log'!$A:$A,$A38,'Error Log'!$F:$F,"Target")</f>
        <v>0</v>
      </c>
      <c r="J38" s="71">
        <f t="shared" si="0"/>
        <v>-6.0606060606060552</v>
      </c>
    </row>
    <row r="39" spans="1:10">
      <c r="A39" s="79" t="s">
        <v>373</v>
      </c>
      <c r="B39" s="70"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70" t="str">
        <f>IF(ISBLANK(A39),"",INDEX('Error Log'!$A:$J,MATCH('Scores per segment'!$A39,'Error Log'!$A:$A,0),MATCH('Scores per segment'!C$1,'Error Log'!$A$1:$J$1,0)))</f>
        <v xml:space="preserve">272 youngsters left disabled by foetal alcohol syndrome were hospitalised in england over the past 12 months .  but at least one in 100 babies born in the uk could suffer learning , behavioural and physical problems because of exposure to alcohol in the womb .  in total , hundreds of children were admitted to hospital last year after being born brain damaged by their mother ' s drinking could be greater . </v>
      </c>
      <c r="D39" s="70">
        <f>IF(H39=0,wdct(TRIM(C39)),0)</f>
        <v>67</v>
      </c>
      <c r="E39" s="70">
        <f>COUNTIFS('Error Log'!$A:$A,$A39,'Error Log'!$J:$J,E$1)</f>
        <v>1</v>
      </c>
      <c r="F39" s="70">
        <f>COUNTIFS('Error Log'!$A:$A,$A39,'Error Log'!$J:$J,F$1)</f>
        <v>0</v>
      </c>
      <c r="G39" s="70">
        <f>COUNTIFS('Error Log'!$A:$A,$A39,'Error Log'!$J:$J,G$1)</f>
        <v>2</v>
      </c>
      <c r="H39" s="70">
        <f>COUNTIFS('Error Log'!$A:$A,$A39,'Error Log'!$F:$F,"Source")</f>
        <v>0</v>
      </c>
      <c r="I39" s="70">
        <f>COUNTIFS('Error Log'!$A:$A,$A39,'Error Log'!$F:$F,"Target")</f>
        <v>0</v>
      </c>
      <c r="J39" s="71">
        <f t="shared" si="0"/>
        <v>91.044776119402997</v>
      </c>
    </row>
    <row r="40" spans="1:10">
      <c r="A40" s="79" t="s">
        <v>378</v>
      </c>
      <c r="B40" s="70"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70" t="str">
        <f>IF(ISBLANK(A40),"",INDEX('Error Log'!$A:$J,MATCH('Scores per segment'!$A40,'Error Log'!$A:$A,0),MATCH('Scores per segment'!C$1,'Error Log'!$A$1:$J$1,0)))</f>
        <v xml:space="preserve">in pakistan , free speech is dangerous .  mahmud died from five bullet wounds .  she is expected to be released on time for her daughter 's funeral . </v>
      </c>
      <c r="D40" s="70">
        <f>IF(H40=0,wdct(TRIM(C40)),0)</f>
        <v>25</v>
      </c>
      <c r="E40" s="70">
        <f>COUNTIFS('Error Log'!$A:$A,$A40,'Error Log'!$J:$J,E$1)</f>
        <v>3</v>
      </c>
      <c r="F40" s="70">
        <f>COUNTIFS('Error Log'!$A:$A,$A40,'Error Log'!$J:$J,F$1)</f>
        <v>3</v>
      </c>
      <c r="G40" s="70">
        <f>COUNTIFS('Error Log'!$A:$A,$A40,'Error Log'!$J:$J,G$1)</f>
        <v>0</v>
      </c>
      <c r="H40" s="70">
        <f>COUNTIFS('Error Log'!$A:$A,$A40,'Error Log'!$F:$F,"Source")</f>
        <v>0</v>
      </c>
      <c r="I40" s="70">
        <f>COUNTIFS('Error Log'!$A:$A,$A40,'Error Log'!$F:$F,"Target")</f>
        <v>0</v>
      </c>
      <c r="J40" s="71">
        <f t="shared" si="0"/>
        <v>10</v>
      </c>
    </row>
    <row r="41" spans="1:10">
      <c r="A41" s="79" t="s">
        <v>388</v>
      </c>
      <c r="B41" s="70"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70" t="str">
        <f>IF(ISBLANK(A41),"",INDEX('Error Log'!$A:$J,MATCH('Scores per segment'!$A41,'Error Log'!$A:$A,0),MATCH('Scores per segment'!C$1,'Error Log'!$A$1:$J$1,0)))</f>
        <v xml:space="preserve">boomerang boy or homing pigeon boy burst into shildon post office and stores , county durham , at 8pm on march 15 .  masked 31-year-old waved an axe as he demanded cash from terrified assistant andrea brighty , but did not see owner sab dhillon 's rugby tackle .  mr dhillon 's wife sam helped to make him drop the weapon . </v>
      </c>
      <c r="D41" s="70">
        <f>IF(H41=0,wdct(TRIM(C41)),0)</f>
        <v>56</v>
      </c>
      <c r="E41" s="70">
        <f>COUNTIFS('Error Log'!$A:$A,$A41,'Error Log'!$J:$J,E$1)</f>
        <v>2</v>
      </c>
      <c r="F41" s="70">
        <f>COUNTIFS('Error Log'!$A:$A,$A41,'Error Log'!$J:$J,F$1)</f>
        <v>2</v>
      </c>
      <c r="G41" s="70">
        <f>COUNTIFS('Error Log'!$A:$A,$A41,'Error Log'!$J:$J,G$1)</f>
        <v>0</v>
      </c>
      <c r="H41" s="70">
        <f>COUNTIFS('Error Log'!$A:$A,$A41,'Error Log'!$F:$F,"Source")</f>
        <v>0</v>
      </c>
      <c r="I41" s="70">
        <f>COUNTIFS('Error Log'!$A:$A,$A41,'Error Log'!$F:$F,"Target")</f>
        <v>0</v>
      </c>
      <c r="J41" s="71">
        <f t="shared" si="0"/>
        <v>73.214285714285722</v>
      </c>
    </row>
    <row r="42" spans="1:10">
      <c r="A42" s="79" t="s">
        <v>396</v>
      </c>
      <c r="B42" s="70"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70" t="str">
        <f>IF(ISBLANK(A42),"",INDEX('Error Log'!$A:$J,MATCH('Scores per segment'!$A42,'Error Log'!$A:$A,0),MATCH('Scores per segment'!C$1,'Error Log'!$A$1:$J$1,0)))</f>
        <v xml:space="preserve">mangu ram was 14 when he fled to kashmir as a refugee - now an old man .  prime minister narendra modi 's hindu nationalist party won share of power in india 's state elections .  ram , a hindu , was born in punjab province . </v>
      </c>
      <c r="D42" s="70">
        <f>IF(H42=0,wdct(TRIM(C42)),0)</f>
        <v>41</v>
      </c>
      <c r="E42" s="70">
        <f>COUNTIFS('Error Log'!$A:$A,$A42,'Error Log'!$J:$J,E$1)</f>
        <v>3</v>
      </c>
      <c r="F42" s="70">
        <f>COUNTIFS('Error Log'!$A:$A,$A42,'Error Log'!$J:$J,F$1)</f>
        <v>3</v>
      </c>
      <c r="G42" s="70">
        <f>COUNTIFS('Error Log'!$A:$A,$A42,'Error Log'!$J:$J,G$1)</f>
        <v>0</v>
      </c>
      <c r="H42" s="70">
        <f>COUNTIFS('Error Log'!$A:$A,$A42,'Error Log'!$F:$F,"Source")</f>
        <v>0</v>
      </c>
      <c r="I42" s="70">
        <f>COUNTIFS('Error Log'!$A:$A,$A42,'Error Log'!$F:$F,"Target")</f>
        <v>0</v>
      </c>
      <c r="J42" s="71">
        <f t="shared" si="0"/>
        <v>45.121951219512191</v>
      </c>
    </row>
    <row r="43" spans="1:10">
      <c r="A43" s="79" t="s">
        <v>406</v>
      </c>
      <c r="B43" s="70"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70" t="str">
        <f>IF(ISBLANK(A43),"",INDEX('Error Log'!$A:$J,MATCH('Scores per segment'!$A43,'Error Log'!$A:$A,0),MATCH('Scores per segment'!C$1,'Error Log'!$A$1:$J$1,0)))</f>
        <v xml:space="preserve">the four men appeared in turn in a courtroom in dartmouth , near halifax .  they were given identical but unusual bail conditions could see them live on a naval base for the next few years .  two of the accused , simon radford , 31 , of gosport , hampshire , and his co-accused were ordered to surrender their passports as part of their bail conditions . </v>
      </c>
      <c r="D43" s="70">
        <f>IF(H43=0,wdct(TRIM(C43)),0)</f>
        <v>59</v>
      </c>
      <c r="E43" s="70">
        <f>COUNTIFS('Error Log'!$A:$A,$A43,'Error Log'!$J:$J,E$1)</f>
        <v>3</v>
      </c>
      <c r="F43" s="70">
        <f>COUNTIFS('Error Log'!$A:$A,$A43,'Error Log'!$J:$J,F$1)</f>
        <v>2</v>
      </c>
      <c r="G43" s="70">
        <f>COUNTIFS('Error Log'!$A:$A,$A43,'Error Log'!$J:$J,G$1)</f>
        <v>1</v>
      </c>
      <c r="H43" s="70">
        <f>COUNTIFS('Error Log'!$A:$A,$A43,'Error Log'!$F:$F,"Source")</f>
        <v>0</v>
      </c>
      <c r="I43" s="70">
        <f>COUNTIFS('Error Log'!$A:$A,$A43,'Error Log'!$F:$F,"Target")</f>
        <v>0</v>
      </c>
      <c r="J43" s="71">
        <f t="shared" si="0"/>
        <v>65.254237288135585</v>
      </c>
    </row>
    <row r="44" spans="1:10">
      <c r="A44" s="78" t="s">
        <v>416</v>
      </c>
      <c r="B44" s="70"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70" t="str">
        <f>IF(ISBLANK(A44),"",INDEX('Error Log'!$A:$J,MATCH('Scores per segment'!$A44,'Error Log'!$A:$A,0),MATCH('Scores per segment'!C$1,'Error Log'!$A$1:$J$1,0)))</f>
        <v xml:space="preserve">fc tokyo forward yoshinori muto has admitted that he is still considering whether to join chelsea this summer .  chelsea have made an offer for muto to partner club vitesse arnhem next season but the 22-year-old is keen to join a club .  muto muto has a shot against shonan bellmare during a j-league clash . </v>
      </c>
      <c r="D44" s="70">
        <f>IF(H44=0,wdct(TRIM(C44)),0)</f>
        <v>53</v>
      </c>
      <c r="E44" s="70">
        <f>COUNTIFS('Error Log'!$A:$A,$A44,'Error Log'!$J:$J,E$1)</f>
        <v>2</v>
      </c>
      <c r="F44" s="70">
        <f>COUNTIFS('Error Log'!$A:$A,$A44,'Error Log'!$J:$J,F$1)</f>
        <v>3</v>
      </c>
      <c r="G44" s="70">
        <f>COUNTIFS('Error Log'!$A:$A,$A44,'Error Log'!$J:$J,G$1)</f>
        <v>0</v>
      </c>
      <c r="H44" s="70">
        <f>COUNTIFS('Error Log'!$A:$A,$A44,'Error Log'!$F:$F,"Source")</f>
        <v>0</v>
      </c>
      <c r="I44" s="70">
        <f>COUNTIFS('Error Log'!$A:$A,$A44,'Error Log'!$F:$F,"Target")</f>
        <v>0</v>
      </c>
      <c r="J44" s="71">
        <f t="shared" si="0"/>
        <v>66.981132075471692</v>
      </c>
    </row>
    <row r="45" spans="1:10">
      <c r="A45" s="1" t="s">
        <v>425</v>
      </c>
      <c r="B45" s="70"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70" t="str">
        <f>IF(ISBLANK(A45),"",INDEX('Error Log'!$A:$J,MATCH('Scores per segment'!$A45,'Error Log'!$A:$A,0),MATCH('Scores per segment'!C$1,'Error Log'!$A$1:$J$1,0)))</f>
        <v xml:space="preserve">rj jackson is one of just 70 people in the world who suffers netherton 's syndrome .  his skin appears red and inflamed , and is often covered in dry skin that appears like scales on his body .  mrs jackson was suddenly surrounded by armed police , who had been called by a member of the public . </v>
      </c>
      <c r="D45" s="70">
        <f>IF(H45=0,wdct(TRIM(C45)),0)</f>
        <v>54</v>
      </c>
      <c r="E45" s="70">
        <f>COUNTIFS('Error Log'!$A:$A,$A45,'Error Log'!$J:$J,E$1)</f>
        <v>2</v>
      </c>
      <c r="F45" s="70">
        <f>COUNTIFS('Error Log'!$A:$A,$A45,'Error Log'!$J:$J,F$1)</f>
        <v>1</v>
      </c>
      <c r="G45" s="70">
        <f>COUNTIFS('Error Log'!$A:$A,$A45,'Error Log'!$J:$J,G$1)</f>
        <v>0</v>
      </c>
      <c r="H45" s="70">
        <f>COUNTIFS('Error Log'!$A:$A,$A45,'Error Log'!$F:$F,"Source")</f>
        <v>0</v>
      </c>
      <c r="I45" s="70">
        <f>COUNTIFS('Error Log'!$A:$A,$A45,'Error Log'!$F:$F,"Target")</f>
        <v>0</v>
      </c>
      <c r="J45" s="71">
        <f t="shared" si="0"/>
        <v>76.851851851851848</v>
      </c>
    </row>
    <row r="46" spans="1:10">
      <c r="A46" s="1" t="s">
        <v>431</v>
      </c>
      <c r="B46" s="70"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70" t="str">
        <f>IF(ISBLANK(A46),"",INDEX('Error Log'!$A:$J,MATCH('Scores per segment'!$A46,'Error Log'!$A:$A,0),MATCH('Scores per segment'!C$1,'Error Log'!$A$1:$J$1,0)))</f>
        <v xml:space="preserve">stuart lancaster must be free to pick his best players .  matt giteau and drew mitchell for toulon .  toulon 's steffon armitage takes on leinster in champions cup semi-final . </v>
      </c>
      <c r="D46" s="70">
        <f>IF(H46=0,wdct(TRIM(C46)),0)</f>
        <v>28</v>
      </c>
      <c r="E46" s="70">
        <f>COUNTIFS('Error Log'!$A:$A,$A46,'Error Log'!$J:$J,E$1)</f>
        <v>5</v>
      </c>
      <c r="F46" s="70">
        <f>COUNTIFS('Error Log'!$A:$A,$A46,'Error Log'!$J:$J,F$1)</f>
        <v>3</v>
      </c>
      <c r="G46" s="70">
        <f>COUNTIFS('Error Log'!$A:$A,$A46,'Error Log'!$J:$J,G$1)</f>
        <v>0</v>
      </c>
      <c r="H46" s="70">
        <f>COUNTIFS('Error Log'!$A:$A,$A46,'Error Log'!$F:$F,"Source")</f>
        <v>0</v>
      </c>
      <c r="I46" s="70">
        <f>COUNTIFS('Error Log'!$A:$A,$A46,'Error Log'!$F:$F,"Target")</f>
        <v>0</v>
      </c>
      <c r="J46" s="71">
        <f t="shared" si="0"/>
        <v>-16.071428571428584</v>
      </c>
    </row>
    <row r="47" spans="1:10">
      <c r="A47" s="1" t="s">
        <v>443</v>
      </c>
      <c r="B47" s="70"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70" t="str">
        <f>IF(ISBLANK(A47),"",INDEX('Error Log'!$A:$J,MATCH('Scores per segment'!$A47,'Error Log'!$A:$A,0),MATCH('Scores per segment'!C$1,'Error Log'!$A$1:$J$1,0)))</f>
        <v xml:space="preserve">campaigners against the new protein world ` are you beach body ready ? '  transport for london said adverts are being removed .  change.org petition calling for adverts to be pulled has already attracted 50,000 signatures .  advertising standards authority has also been defaced by bloggers . </v>
      </c>
      <c r="D47" s="70">
        <f>IF(H47=0,wdct(TRIM(C47)),0)</f>
        <v>42</v>
      </c>
      <c r="E47" s="70">
        <f>COUNTIFS('Error Log'!$A:$A,$A47,'Error Log'!$J:$J,E$1)</f>
        <v>1</v>
      </c>
      <c r="F47" s="70">
        <f>COUNTIFS('Error Log'!$A:$A,$A47,'Error Log'!$J:$J,F$1)</f>
        <v>2</v>
      </c>
      <c r="G47" s="70">
        <f>COUNTIFS('Error Log'!$A:$A,$A47,'Error Log'!$J:$J,G$1)</f>
        <v>0</v>
      </c>
      <c r="H47" s="70">
        <f>COUNTIFS('Error Log'!$A:$A,$A47,'Error Log'!$F:$F,"Source")</f>
        <v>0</v>
      </c>
      <c r="I47" s="70">
        <f>COUNTIFS('Error Log'!$A:$A,$A47,'Error Log'!$F:$F,"Target")</f>
        <v>0</v>
      </c>
      <c r="J47" s="71">
        <f t="shared" si="0"/>
        <v>76.19047619047619</v>
      </c>
    </row>
    <row r="48" spans="1:10">
      <c r="A48" s="78" t="s">
        <v>450</v>
      </c>
      <c r="B48" s="70"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70" t="str">
        <f>IF(ISBLANK(A48),"",INDEX('Error Log'!$A:$J,MATCH('Scores per segment'!$A48,'Error Log'!$A:$A,0),MATCH('Scores per segment'!C$1,'Error Log'!$A$1:$J$1,0)))</f>
        <v xml:space="preserve">developers at open garden have built a small egg-shaped gadget that acts like a beacon , or booster , to help messages move around so-called wireless mesh networks more easily .  firechat launched last year and has been downloaded more than five million times .  it creates what 's called a wireless mesh network that connects phones to each other . </v>
      </c>
      <c r="D48" s="70">
        <f>IF(H48=0,wdct(TRIM(C48)),0)</f>
        <v>56</v>
      </c>
      <c r="E48" s="70">
        <f>COUNTIFS('Error Log'!$A:$A,$A48,'Error Log'!$J:$J,E$1)</f>
        <v>2</v>
      </c>
      <c r="F48" s="70">
        <f>COUNTIFS('Error Log'!$A:$A,$A48,'Error Log'!$J:$J,F$1)</f>
        <v>1</v>
      </c>
      <c r="G48" s="70">
        <f>COUNTIFS('Error Log'!$A:$A,$A48,'Error Log'!$J:$J,G$1)</f>
        <v>0</v>
      </c>
      <c r="H48" s="70">
        <f>COUNTIFS('Error Log'!$A:$A,$A48,'Error Log'!$F:$F,"Source")</f>
        <v>0</v>
      </c>
      <c r="I48" s="70">
        <f>COUNTIFS('Error Log'!$A:$A,$A48,'Error Log'!$F:$F,"Target")</f>
        <v>0</v>
      </c>
      <c r="J48" s="71">
        <f t="shared" si="0"/>
        <v>77.678571428571431</v>
      </c>
    </row>
    <row r="49" spans="1:10">
      <c r="A49" s="1" t="s">
        <v>457</v>
      </c>
      <c r="B49" s="70"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70" t="str">
        <f>IF(ISBLANK(A49),"",INDEX('Error Log'!$A:$J,MATCH('Scores per segment'!$A49,'Error Log'!$A:$A,0),MATCH('Scores per segment'!C$1,'Error Log'!$A$1:$J$1,0)))</f>
        <v xml:space="preserve">prime minister has requested first great western ` urgently review ' decision to almost double some fares on the route between london and cotswolds .  mr cameron has promised to freeze fares in real terms for the next parliament .  labour also pledged to bring in a ` cap ' on price hikes . </v>
      </c>
      <c r="D49" s="70">
        <f>IF(H49=0,wdct(TRIM(C49)),0)</f>
        <v>47</v>
      </c>
      <c r="E49" s="70">
        <f>COUNTIFS('Error Log'!$A:$A,$A49,'Error Log'!$J:$J,E$1)</f>
        <v>2</v>
      </c>
      <c r="F49" s="70">
        <f>COUNTIFS('Error Log'!$A:$A,$A49,'Error Log'!$J:$J,F$1)</f>
        <v>1</v>
      </c>
      <c r="G49" s="70">
        <f>COUNTIFS('Error Log'!$A:$A,$A49,'Error Log'!$J:$J,G$1)</f>
        <v>0</v>
      </c>
      <c r="H49" s="70">
        <f>COUNTIFS('Error Log'!$A:$A,$A49,'Error Log'!$F:$F,"Source")</f>
        <v>0</v>
      </c>
      <c r="I49" s="70">
        <f>COUNTIFS('Error Log'!$A:$A,$A49,'Error Log'!$F:$F,"Target")</f>
        <v>0</v>
      </c>
      <c r="J49" s="71">
        <f t="shared" si="0"/>
        <v>73.404255319148945</v>
      </c>
    </row>
    <row r="50" spans="1:10">
      <c r="A50" s="1" t="s">
        <v>464</v>
      </c>
      <c r="B50" s="70"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70" t="str">
        <f>IF(ISBLANK(A50),"",INDEX('Error Log'!$A:$J,MATCH('Scores per segment'!$A50,'Error Log'!$A:$A,0),MATCH('Scores per segment'!C$1,'Error Log'!$A$1:$J$1,0)))</f>
        <v xml:space="preserve">lillian bustle , from new jersey , revealed that she calls herself ` short ' , because she is 5 ' 3 '' and ` wife '  ` we as women are programmed to tell each other that we 're not fat is the worst thing that you can be , ' she said in her ted talk .  the word does n't have to be used as a synonym for ` ugly '  the top ` magic wish ' has risen 66 per cent in the past 30 years . </v>
      </c>
      <c r="D50" s="70">
        <f>IF(H50=0,wdct(TRIM(C50)),0)</f>
        <v>73</v>
      </c>
      <c r="E50" s="70">
        <f>COUNTIFS('Error Log'!$A:$A,$A50,'Error Log'!$J:$J,E$1)</f>
        <v>3</v>
      </c>
      <c r="F50" s="70">
        <f>COUNTIFS('Error Log'!$A:$A,$A50,'Error Log'!$J:$J,F$1)</f>
        <v>3</v>
      </c>
      <c r="G50" s="70">
        <f>COUNTIFS('Error Log'!$A:$A,$A50,'Error Log'!$J:$J,G$1)</f>
        <v>0</v>
      </c>
      <c r="H50" s="70">
        <f>COUNTIFS('Error Log'!$A:$A,$A50,'Error Log'!$F:$F,"Source")</f>
        <v>0</v>
      </c>
      <c r="I50" s="70">
        <f>COUNTIFS('Error Log'!$A:$A,$A50,'Error Log'!$F:$F,"Target")</f>
        <v>0</v>
      </c>
      <c r="J50" s="71">
        <f t="shared" si="0"/>
        <v>69.178082191780817</v>
      </c>
    </row>
    <row r="51" spans="1:10">
      <c r="A51" s="78" t="s">
        <v>474</v>
      </c>
      <c r="B51" s="70"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70" t="str">
        <f>IF(ISBLANK(A51),"",INDEX('Error Log'!$A:$J,MATCH('Scores per segment'!$A51,'Error Log'!$A:$A,0),MATCH('Scores per segment'!C$1,'Error Log'!$A$1:$J$1,0)))</f>
        <v xml:space="preserve">john young , 66 , has been left blinded in one eye after being hit in the face with a brick hurled into his home by vandalising yobs .  he suffered an open wound to his forehead and a serious injury to his left eye and was taken to hospital .  doctors were unable to save his eyesight despite undergoing emergency surgery . </v>
      </c>
      <c r="D51" s="70">
        <f>IF(H51=0,wdct(TRIM(C51)),0)</f>
        <v>58</v>
      </c>
      <c r="E51" s="70">
        <f>COUNTIFS('Error Log'!$A:$A,$A51,'Error Log'!$J:$J,E$1)</f>
        <v>1</v>
      </c>
      <c r="F51" s="70">
        <f>COUNTIFS('Error Log'!$A:$A,$A51,'Error Log'!$J:$J,F$1)</f>
        <v>0</v>
      </c>
      <c r="G51" s="70">
        <f>COUNTIFS('Error Log'!$A:$A,$A51,'Error Log'!$J:$J,G$1)</f>
        <v>0</v>
      </c>
      <c r="H51" s="70">
        <f>COUNTIFS('Error Log'!$A:$A,$A51,'Error Log'!$F:$F,"Source")</f>
        <v>0</v>
      </c>
      <c r="I51" s="70">
        <f>COUNTIFS('Error Log'!$A:$A,$A51,'Error Log'!$F:$F,"Target")</f>
        <v>0</v>
      </c>
      <c r="J51" s="71">
        <f t="shared" si="0"/>
        <v>91.379310344827587</v>
      </c>
    </row>
    <row r="52" spans="1:10">
      <c r="A52" s="1" t="s">
        <v>478</v>
      </c>
      <c r="B52" s="70"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70" t="str">
        <f>IF(ISBLANK(A52),"",INDEX('Error Log'!$A:$J,MATCH('Scores per segment'!$A52,'Error Log'!$A:$A,0),MATCH('Scores per segment'!C$1,'Error Log'!$A$1:$J$1,0)))</f>
        <v xml:space="preserve">theo walcott was pictured with calum chambers , jack wilshere , mikel arteta , david ospina , mathieu flamini and mesut ozil .  arsenal 's first team stars have posed for an official portrait for paris ' oldest fashion house .  walcott has spent much of the season on the bench . </v>
      </c>
      <c r="D52" s="70">
        <f>IF(H52=0,wdct(TRIM(C52)),0)</f>
        <v>44</v>
      </c>
      <c r="E52" s="70">
        <f>COUNTIFS('Error Log'!$A:$A,$A52,'Error Log'!$J:$J,E$1)</f>
        <v>2</v>
      </c>
      <c r="F52" s="70">
        <f>COUNTIFS('Error Log'!$A:$A,$A52,'Error Log'!$J:$J,F$1)</f>
        <v>2</v>
      </c>
      <c r="G52" s="70">
        <f>COUNTIFS('Error Log'!$A:$A,$A52,'Error Log'!$J:$J,G$1)</f>
        <v>0</v>
      </c>
      <c r="H52" s="70">
        <f>COUNTIFS('Error Log'!$A:$A,$A52,'Error Log'!$F:$F,"Source")</f>
        <v>0</v>
      </c>
      <c r="I52" s="70">
        <f>COUNTIFS('Error Log'!$A:$A,$A52,'Error Log'!$F:$F,"Target")</f>
        <v>0</v>
      </c>
      <c r="J52" s="71">
        <f t="shared" si="0"/>
        <v>65.909090909090907</v>
      </c>
    </row>
    <row r="53" spans="1:10">
      <c r="A53" s="78" t="s">
        <v>486</v>
      </c>
      <c r="B53" s="70"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70" t="str">
        <f>IF(ISBLANK(A53),"",INDEX('Error Log'!$A:$J,MATCH('Scores per segment'!$A53,'Error Log'!$A:$A,0),MATCH('Scores per segment'!C$1,'Error Log'!$A$1:$J$1,0)))</f>
        <v>derbyshire wicketkeeper tom poynton has been rewarded for his successful return from injury .  he missed the entire campaign due to leg injuries sustained in a road accident in which his father keith died last april .  he will be available for the start of the season .</v>
      </c>
      <c r="D53" s="70">
        <f>IF(H53=0,wdct(TRIM(C53)),0)</f>
        <v>45</v>
      </c>
      <c r="E53" s="70">
        <f>COUNTIFS('Error Log'!$A:$A,$A53,'Error Log'!$J:$J,E$1)</f>
        <v>0</v>
      </c>
      <c r="F53" s="70">
        <f>COUNTIFS('Error Log'!$A:$A,$A53,'Error Log'!$J:$J,F$1)</f>
        <v>0</v>
      </c>
      <c r="G53" s="70">
        <f>COUNTIFS('Error Log'!$A:$A,$A53,'Error Log'!$J:$J,G$1)</f>
        <v>0</v>
      </c>
      <c r="H53" s="70">
        <f>COUNTIFS('Error Log'!$A:$A,$A53,'Error Log'!$F:$F,"Source")</f>
        <v>0</v>
      </c>
      <c r="I53" s="70">
        <f>COUNTIFS('Error Log'!$A:$A,$A53,'Error Log'!$F:$F,"Target")</f>
        <v>0</v>
      </c>
      <c r="J53" s="71">
        <f t="shared" si="0"/>
        <v>100</v>
      </c>
    </row>
    <row r="54" spans="1:10">
      <c r="A54" s="79" t="s">
        <v>489</v>
      </c>
      <c r="B54" s="70"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70" t="str">
        <f>IF(ISBLANK(A54),"",INDEX('Error Log'!$A:$J,MATCH('Scores per segment'!$A54,'Error Log'!$A:$A,0),MATCH('Scores per segment'!C$1,'Error Log'!$A$1:$J$1,0)))</f>
        <v xml:space="preserve">the collection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the two face mask from batman forever is valued at , $ 1,500 . </v>
      </c>
      <c r="D54" s="70">
        <f>IF(H54=0,wdct(TRIM(C54)),0)</f>
        <v>69</v>
      </c>
      <c r="E54" s="70">
        <f>COUNTIFS('Error Log'!$A:$A,$A54,'Error Log'!$J:$J,E$1)</f>
        <v>3</v>
      </c>
      <c r="F54" s="70">
        <f>COUNTIFS('Error Log'!$A:$A,$A54,'Error Log'!$J:$J,F$1)</f>
        <v>1</v>
      </c>
      <c r="G54" s="70">
        <f>COUNTIFS('Error Log'!$A:$A,$A54,'Error Log'!$J:$J,G$1)</f>
        <v>0</v>
      </c>
      <c r="H54" s="70">
        <f>COUNTIFS('Error Log'!$A:$A,$A54,'Error Log'!$F:$F,"Source")</f>
        <v>0</v>
      </c>
      <c r="I54" s="70">
        <f>COUNTIFS('Error Log'!$A:$A,$A54,'Error Log'!$F:$F,"Target")</f>
        <v>0</v>
      </c>
      <c r="J54" s="71">
        <f t="shared" si="0"/>
        <v>74.637681159420282</v>
      </c>
    </row>
    <row r="55" spans="1:10">
      <c r="A55" s="79" t="s">
        <v>497</v>
      </c>
      <c r="B55" s="70"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70" t="str">
        <f>IF(ISBLANK(A55),"",INDEX('Error Log'!$A:$J,MATCH('Scores per segment'!$A55,'Error Log'!$A:$A,0),MATCH('Scores per segment'!C$1,'Error Log'!$A$1:$J$1,0)))</f>
        <v xml:space="preserve">harley renshaw was diagnosed with cancer in his kidney , neck , lungs and bones .  but his ninja turtle mask helped him feel stronger while he was having radiotherapy .  harley renshaw has been told he is cancer-free after battling an aggressive form of the disease for a year . </v>
      </c>
      <c r="D55" s="70">
        <f>IF(H55=0,wdct(TRIM(C55)),0)</f>
        <v>46</v>
      </c>
      <c r="E55" s="70">
        <f>COUNTIFS('Error Log'!$A:$A,$A55,'Error Log'!$J:$J,E$1)</f>
        <v>1</v>
      </c>
      <c r="F55" s="70">
        <f>COUNTIFS('Error Log'!$A:$A,$A55,'Error Log'!$J:$J,F$1)</f>
        <v>0</v>
      </c>
      <c r="G55" s="70">
        <f>COUNTIFS('Error Log'!$A:$A,$A55,'Error Log'!$J:$J,G$1)</f>
        <v>0</v>
      </c>
      <c r="H55" s="70">
        <f>COUNTIFS('Error Log'!$A:$A,$A55,'Error Log'!$F:$F,"Source")</f>
        <v>0</v>
      </c>
      <c r="I55" s="70">
        <f>COUNTIFS('Error Log'!$A:$A,$A55,'Error Log'!$F:$F,"Target")</f>
        <v>0</v>
      </c>
      <c r="J55" s="71">
        <f t="shared" si="0"/>
        <v>89.130434782608688</v>
      </c>
    </row>
    <row r="56" spans="1:10">
      <c r="A56" s="79" t="s">
        <v>501</v>
      </c>
      <c r="B56" s="70"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70" t="str">
        <f>IF(ISBLANK(A56),"",INDEX('Error Log'!$A:$J,MATCH('Scores per segment'!$A56,'Error Log'!$A:$A,0),MATCH('Scores per segment'!C$1,'Error Log'!$A$1:$J$1,0)))</f>
        <v xml:space="preserve">carwyn scott-howell fell to his death while on holiday with his mother ceri scott-howell , nine-year-old sister antonia and brother gerwyn , 19 , in the alps .  it is thought carwyn scott-howell may have entered the dense woodland because he thought it was a shortcut to his hotel in the ski resort .  carwyn would help feed cows and pigs on the farm . </v>
      </c>
      <c r="D56" s="70">
        <f>IF(H56=0,wdct(TRIM(C56)),0)</f>
        <v>59</v>
      </c>
      <c r="E56" s="70">
        <f>COUNTIFS('Error Log'!$A:$A,$A56,'Error Log'!$J:$J,E$1)</f>
        <v>6</v>
      </c>
      <c r="F56" s="70">
        <f>COUNTIFS('Error Log'!$A:$A,$A56,'Error Log'!$J:$J,F$1)</f>
        <v>0</v>
      </c>
      <c r="G56" s="70">
        <f>COUNTIFS('Error Log'!$A:$A,$A56,'Error Log'!$J:$J,G$1)</f>
        <v>0</v>
      </c>
      <c r="H56" s="70">
        <f>COUNTIFS('Error Log'!$A:$A,$A56,'Error Log'!$F:$F,"Source")</f>
        <v>0</v>
      </c>
      <c r="I56" s="70">
        <f>COUNTIFS('Error Log'!$A:$A,$A56,'Error Log'!$F:$F,"Target")</f>
        <v>0</v>
      </c>
      <c r="J56" s="71">
        <f t="shared" si="0"/>
        <v>49.152542372881356</v>
      </c>
    </row>
    <row r="57" spans="1:10">
      <c r="A57" s="79" t="s">
        <v>511</v>
      </c>
      <c r="B57" s="70"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70" t="str">
        <f>IF(ISBLANK(A57),"",INDEX('Error Log'!$A:$J,MATCH('Scores per segment'!$A57,'Error Log'!$A:$A,0),MATCH('Scores per segment'!C$1,'Error Log'!$A$1:$J$1,0)))</f>
        <v xml:space="preserve">jack grealish impressed against liverpool and is wanted by the republic of ireland and england .  the 19-year-old starred for villa in their fa cup semi-final win at wembley on sunday .  sherwood wants grealish to force his way into the villa first team . </v>
      </c>
      <c r="D57" s="70">
        <f>IF(H57=0,wdct(TRIM(C57)),0)</f>
        <v>42</v>
      </c>
      <c r="E57" s="70">
        <f>COUNTIFS('Error Log'!$A:$A,$A57,'Error Log'!$J:$J,E$1)</f>
        <v>1</v>
      </c>
      <c r="F57" s="70">
        <f>COUNTIFS('Error Log'!$A:$A,$A57,'Error Log'!$J:$J,F$1)</f>
        <v>1</v>
      </c>
      <c r="G57" s="70">
        <f>COUNTIFS('Error Log'!$A:$A,$A57,'Error Log'!$J:$J,G$1)</f>
        <v>0</v>
      </c>
      <c r="H57" s="70">
        <f>COUNTIFS('Error Log'!$A:$A,$A57,'Error Log'!$F:$F,"Source")</f>
        <v>0</v>
      </c>
      <c r="I57" s="70">
        <f>COUNTIFS('Error Log'!$A:$A,$A57,'Error Log'!$F:$F,"Target")</f>
        <v>0</v>
      </c>
      <c r="J57" s="71">
        <f t="shared" si="0"/>
        <v>82.142857142857139</v>
      </c>
    </row>
    <row r="58" spans="1:10">
      <c r="A58" s="79" t="s">
        <v>516</v>
      </c>
      <c r="B58" s="70"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70" t="str">
        <f>IF(ISBLANK(A58),"",INDEX('Error Log'!$A:$J,MATCH('Scores per segment'!$A58,'Error Log'!$A:$A,0),MATCH('Scores per segment'!C$1,'Error Log'!$A$1:$J$1,0)))</f>
        <v xml:space="preserve">laura scurr , 15 , from whitley bay , was left on a heart machine .  collapsed through starvation but has spoken about pressures on girls to be a size zero .  became obsessed with having perfect figure she would hide food down the side of her bed . </v>
      </c>
      <c r="D58" s="70">
        <f>IF(H58=0,wdct(TRIM(C58)),0)</f>
        <v>43</v>
      </c>
      <c r="E58" s="70">
        <f>COUNTIFS('Error Log'!$A:$A,$A58,'Error Log'!$J:$J,E$1)</f>
        <v>5</v>
      </c>
      <c r="F58" s="70">
        <f>COUNTIFS('Error Log'!$A:$A,$A58,'Error Log'!$J:$J,F$1)</f>
        <v>2</v>
      </c>
      <c r="G58" s="70">
        <f>COUNTIFS('Error Log'!$A:$A,$A58,'Error Log'!$J:$J,G$1)</f>
        <v>0</v>
      </c>
      <c r="H58" s="70">
        <f>COUNTIFS('Error Log'!$A:$A,$A58,'Error Log'!$F:$F,"Source")</f>
        <v>0</v>
      </c>
      <c r="I58" s="70">
        <f>COUNTIFS('Error Log'!$A:$A,$A58,'Error Log'!$F:$F,"Target")</f>
        <v>0</v>
      </c>
      <c r="J58" s="71">
        <f t="shared" si="0"/>
        <v>30.232558139534881</v>
      </c>
    </row>
    <row r="59" spans="1:10">
      <c r="A59" s="79" t="s">
        <v>526</v>
      </c>
      <c r="B59" s="70"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70" t="str">
        <f>IF(ISBLANK(A59),"",INDEX('Error Log'!$A:$J,MATCH('Scores per segment'!$A59,'Error Log'!$A:$A,0),MATCH('Scores per segment'!C$1,'Error Log'!$A$1:$J$1,0)))</f>
        <v xml:space="preserve">travelling by private jet is a luxury industry for the rich and famous .  2.5 million flights recorded in the us in 2013 and 705,000 in europe .  salzburg , austria , to darwin in australia . </v>
      </c>
      <c r="D59" s="70">
        <f>IF(H59=0,wdct(TRIM(C59)),0)</f>
        <v>32</v>
      </c>
      <c r="E59" s="70">
        <f>COUNTIFS('Error Log'!$A:$A,$A59,'Error Log'!$J:$J,E$1)</f>
        <v>6</v>
      </c>
      <c r="F59" s="70">
        <f>COUNTIFS('Error Log'!$A:$A,$A59,'Error Log'!$J:$J,F$1)</f>
        <v>2</v>
      </c>
      <c r="G59" s="70">
        <f>COUNTIFS('Error Log'!$A:$A,$A59,'Error Log'!$J:$J,G$1)</f>
        <v>2</v>
      </c>
      <c r="H59" s="70">
        <f>COUNTIFS('Error Log'!$A:$A,$A59,'Error Log'!$F:$F,"Source")</f>
        <v>0</v>
      </c>
      <c r="I59" s="70">
        <f>COUNTIFS('Error Log'!$A:$A,$A59,'Error Log'!$F:$F,"Target")</f>
        <v>0</v>
      </c>
      <c r="J59" s="71">
        <f t="shared" si="0"/>
        <v>-12.5</v>
      </c>
    </row>
    <row r="60" spans="1:10">
      <c r="A60" s="79" t="s">
        <v>539</v>
      </c>
      <c r="B60" s="70"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70" t="str">
        <f>IF(ISBLANK(A60),"",INDEX('Error Log'!$A:$J,MATCH('Scores per segment'!$A60,'Error Log'!$A:$A,0),MATCH('Scores per segment'!C$1,'Error Log'!$A$1:$J$1,0)))</f>
        <v xml:space="preserve">raheem sterling told liverpool supporters they expect him to remain at the club this summer on the day he was the new home kit at anfield .  raheem sterling , daniel sturridge , martin skrtel and simon mignolet unveiled the new gingham strip to fans in the centenary stand on friday afternoon .  the new jersey design is the first offering from us sports brand new balance . </v>
      </c>
      <c r="D60" s="70">
        <f>IF(H60=0,wdct(TRIM(C60)),0)</f>
        <v>63</v>
      </c>
      <c r="E60" s="70">
        <f>COUNTIFS('Error Log'!$A:$A,$A60,'Error Log'!$J:$J,E$1)</f>
        <v>5</v>
      </c>
      <c r="F60" s="70">
        <f>COUNTIFS('Error Log'!$A:$A,$A60,'Error Log'!$J:$J,F$1)</f>
        <v>2</v>
      </c>
      <c r="G60" s="70">
        <f>COUNTIFS('Error Log'!$A:$A,$A60,'Error Log'!$J:$J,G$1)</f>
        <v>2</v>
      </c>
      <c r="H60" s="70">
        <f>COUNTIFS('Error Log'!$A:$A,$A60,'Error Log'!$F:$F,"Source")</f>
        <v>0</v>
      </c>
      <c r="I60" s="70">
        <f>COUNTIFS('Error Log'!$A:$A,$A60,'Error Log'!$F:$F,"Target")</f>
        <v>0</v>
      </c>
      <c r="J60" s="71">
        <f t="shared" si="0"/>
        <v>50.793650793650798</v>
      </c>
    </row>
    <row r="61" spans="1:10">
      <c r="A61" s="79" t="s">
        <v>551</v>
      </c>
      <c r="B61" s="70"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v>
      </c>
      <c r="C61" s="70" t="str">
        <f>IF(ISBLANK(A61),"",INDEX('Error Log'!$A:$J,MATCH('Scores per segment'!$A61,'Error Log'!$A:$A,0),MATCH('Scores per segment'!C$1,'Error Log'!$A$1:$J$1,0)))</f>
        <v xml:space="preserve">floyd mayweather v manny pacquiao will be the sixth fight of all time .  sugar ray leonard v roberto duran , felix trinidad to win the world welterweight title .  the first two of the three fights in 12 fights in the mgm grand garden arena . </v>
      </c>
      <c r="D61" s="70">
        <f>IF(H61=0,wdct(TRIM(C61)),0)</f>
        <v>43</v>
      </c>
      <c r="E61" s="70">
        <f>COUNTIFS('Error Log'!$A:$A,$A61,'Error Log'!$J:$J,E$1)</f>
        <v>7</v>
      </c>
      <c r="F61" s="70">
        <f>COUNTIFS('Error Log'!$A:$A,$A61,'Error Log'!$J:$J,F$1)</f>
        <v>9</v>
      </c>
      <c r="G61" s="70">
        <f>COUNTIFS('Error Log'!$A:$A,$A61,'Error Log'!$J:$J,G$1)</f>
        <v>8</v>
      </c>
      <c r="H61" s="70">
        <f>COUNTIFS('Error Log'!$A:$A,$A61,'Error Log'!$F:$F,"Source")</f>
        <v>0</v>
      </c>
      <c r="I61" s="70">
        <f>COUNTIFS('Error Log'!$A:$A,$A61,'Error Log'!$F:$F,"Target")</f>
        <v>0</v>
      </c>
      <c r="J61" s="71">
        <f t="shared" si="0"/>
        <v>-43.023255813953497</v>
      </c>
    </row>
    <row r="62" spans="1:10">
      <c r="A62" s="79" t="s">
        <v>616</v>
      </c>
      <c r="B62" s="70"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70" t="str">
        <f>IF(ISBLANK(A62),"",INDEX('Error Log'!$A:$J,MATCH('Scores per segment'!$A62,'Error Log'!$A:$A,0),MATCH('Scores per segment'!C$1,'Error Log'!$A$1:$J$1,0)))</f>
        <v xml:space="preserve">the map should allow astronomers to study how galaxies formed in the universe .  it shows clumps of mystery particles across 0.4 per cent of the sky .  the map was released today at the april meeting of the american physical society in baltimore , maryland . </v>
      </c>
      <c r="D62" s="70">
        <f>IF(H62=0,wdct(TRIM(C62)),0)</f>
        <v>43</v>
      </c>
      <c r="E62" s="70">
        <f>COUNTIFS('Error Log'!$A:$A,$A62,'Error Log'!$J:$J,E$1)</f>
        <v>1</v>
      </c>
      <c r="F62" s="70">
        <f>COUNTIFS('Error Log'!$A:$A,$A62,'Error Log'!$J:$J,F$1)</f>
        <v>0</v>
      </c>
      <c r="G62" s="70">
        <f>COUNTIFS('Error Log'!$A:$A,$A62,'Error Log'!$J:$J,G$1)</f>
        <v>0</v>
      </c>
      <c r="H62" s="70">
        <f>COUNTIFS('Error Log'!$A:$A,$A62,'Error Log'!$F:$F,"Source")</f>
        <v>0</v>
      </c>
      <c r="I62" s="70">
        <f>COUNTIFS('Error Log'!$A:$A,$A62,'Error Log'!$F:$F,"Target")</f>
        <v>0</v>
      </c>
      <c r="J62" s="71">
        <f t="shared" si="0"/>
        <v>88.372093023255815</v>
      </c>
    </row>
    <row r="63" spans="1:10">
      <c r="A63" s="79" t="s">
        <v>620</v>
      </c>
      <c r="B63" s="70"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70" t="str">
        <f>IF(ISBLANK(A63),"",INDEX('Error Log'!$A:$J,MATCH('Scores per segment'!$A63,'Error Log'!$A:$A,0),MATCH('Scores per segment'!C$1,'Error Log'!$A$1:$J$1,0)))</f>
        <v xml:space="preserve">katie gallegos from clackamas county , oregon , took cooper the dog to a mcdonald 's drive-thru for an ice cream with his pal daisy .  the video of cooper 's ice cream outing has been watched more than seven million times .  the video shows that cooper always eats very quickly . </v>
      </c>
      <c r="D63" s="70">
        <f>IF(H63=0,wdct(TRIM(C63)),0)</f>
        <v>48</v>
      </c>
      <c r="E63" s="70">
        <f>COUNTIFS('Error Log'!$A:$A,$A63,'Error Log'!$J:$J,E$1)</f>
        <v>2</v>
      </c>
      <c r="F63" s="70">
        <f>COUNTIFS('Error Log'!$A:$A,$A63,'Error Log'!$J:$J,F$1)</f>
        <v>2</v>
      </c>
      <c r="G63" s="70">
        <f>COUNTIFS('Error Log'!$A:$A,$A63,'Error Log'!$J:$J,G$1)</f>
        <v>0</v>
      </c>
      <c r="H63" s="70">
        <f>COUNTIFS('Error Log'!$A:$A,$A63,'Error Log'!$F:$F,"Source")</f>
        <v>0</v>
      </c>
      <c r="I63" s="70">
        <f>COUNTIFS('Error Log'!$A:$A,$A63,'Error Log'!$F:$F,"Target")</f>
        <v>0</v>
      </c>
      <c r="J63" s="71">
        <f t="shared" si="0"/>
        <v>68.75</v>
      </c>
    </row>
    <row r="64" spans="1:10">
      <c r="A64" s="78" t="s">
        <v>628</v>
      </c>
      <c r="B64" s="70"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70" t="str">
        <f>IF(ISBLANK(A64),"",INDEX('Error Log'!$A:$J,MATCH('Scores per segment'!$A64,'Error Log'!$A:$A,0),MATCH('Scores per segment'!C$1,'Error Log'!$A$1:$J$1,0)))</f>
        <v>chelsea are poised to link up with belgian club royal mouscron-peruwelz .  the belgian club have been in the top flight for a season since promotion .  nemanja matic is one of three players on loan at vitesse arnhem from chelsea this season .</v>
      </c>
      <c r="D64" s="70">
        <f>IF(H64=0,wdct(TRIM(C64)),0)</f>
        <v>41</v>
      </c>
      <c r="E64" s="70">
        <f>COUNTIFS('Error Log'!$A:$A,$A64,'Error Log'!$J:$J,E$1)</f>
        <v>2</v>
      </c>
      <c r="F64" s="70">
        <f>COUNTIFS('Error Log'!$A:$A,$A64,'Error Log'!$J:$J,F$1)</f>
        <v>1</v>
      </c>
      <c r="G64" s="70">
        <f>COUNTIFS('Error Log'!$A:$A,$A64,'Error Log'!$J:$J,G$1)</f>
        <v>0</v>
      </c>
      <c r="H64" s="70">
        <f>COUNTIFS('Error Log'!$A:$A,$A64,'Error Log'!$F:$F,"Source")</f>
        <v>0</v>
      </c>
      <c r="I64" s="70">
        <f>COUNTIFS('Error Log'!$A:$A,$A64,'Error Log'!$F:$F,"Target")</f>
        <v>0</v>
      </c>
      <c r="J64" s="71">
        <f t="shared" si="0"/>
        <v>69.512195121951223</v>
      </c>
    </row>
    <row r="65" spans="1:10">
      <c r="A65" s="78" t="s">
        <v>635</v>
      </c>
      <c r="B65" s="70"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v>
      </c>
      <c r="C65" s="70" t="str">
        <f>IF(ISBLANK(A65),"",INDEX('Error Log'!$A:$J,MATCH('Scores per segment'!$A65,'Error Log'!$A:$A,0),MATCH('Scores per segment'!C$1,'Error Log'!$A$1:$J$1,0)))</f>
        <v>the global coffeehouse chain said in an update on its site that stores are expected to open for ` business as usual '  
starbucks says a sales register computer glitch has disrupted sales at company-operated stores in the us and canada .  
it did not explain exactly what caused the outage , which began in the early evening on the east coast and in the late afternoon .  
the company offered free drinks and baked goods to customers at starbucks ' first-ever store in seattle .</v>
      </c>
      <c r="D65" s="70">
        <f>IF(H65=0,wdct(TRIM(C65)),0)</f>
        <v>79</v>
      </c>
      <c r="E65" s="70">
        <f>COUNTIFS('Error Log'!$A:$A,$A65,'Error Log'!$J:$J,E$1)</f>
        <v>5</v>
      </c>
      <c r="F65" s="70">
        <f>COUNTIFS('Error Log'!$A:$A,$A65,'Error Log'!$J:$J,F$1)</f>
        <v>3</v>
      </c>
      <c r="G65" s="70">
        <f>COUNTIFS('Error Log'!$A:$A,$A65,'Error Log'!$J:$J,G$1)</f>
        <v>0</v>
      </c>
      <c r="H65" s="70">
        <f>COUNTIFS('Error Log'!$A:$A,$A65,'Error Log'!$F:$F,"Source")</f>
        <v>0</v>
      </c>
      <c r="I65" s="70">
        <f>COUNTIFS('Error Log'!$A:$A,$A65,'Error Log'!$F:$F,"Target")</f>
        <v>0</v>
      </c>
      <c r="J65" s="71">
        <f t="shared" si="0"/>
        <v>58.860759493670884</v>
      </c>
    </row>
    <row r="66" spans="1:10">
      <c r="A66" s="78" t="s">
        <v>654</v>
      </c>
      <c r="B66" s="70"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v>
      </c>
      <c r="C66" s="70" t="str">
        <f>IF(ISBLANK(A66),"",INDEX('Error Log'!$A:$J,MATCH('Scores per segment'!$A66,'Error Log'!$A:$A,0),MATCH('Scores per segment'!C$1,'Error Log'!$A$1:$J$1,0)))</f>
        <v xml:space="preserve">floyd mayweather and manny pacquiao will retire on may 2 .  
the two men are in and out of the ring .  
mayweather does not earn any money . </v>
      </c>
      <c r="D66" s="70">
        <f>IF(H66=0,wdct(TRIM(C66)),0)</f>
        <v>26</v>
      </c>
      <c r="E66" s="70">
        <f>COUNTIFS('Error Log'!$A:$A,$A66,'Error Log'!$J:$J,E$1)</f>
        <v>3</v>
      </c>
      <c r="F66" s="70">
        <f>COUNTIFS('Error Log'!$A:$A,$A66,'Error Log'!$J:$J,F$1)</f>
        <v>1</v>
      </c>
      <c r="G66" s="70">
        <f>COUNTIFS('Error Log'!$A:$A,$A66,'Error Log'!$J:$J,G$1)</f>
        <v>1</v>
      </c>
      <c r="H66" s="70">
        <f>COUNTIFS('Error Log'!$A:$A,$A66,'Error Log'!$F:$F,"Source")</f>
        <v>0</v>
      </c>
      <c r="I66" s="70">
        <f>COUNTIFS('Error Log'!$A:$A,$A66,'Error Log'!$F:$F,"Target")</f>
        <v>0</v>
      </c>
      <c r="J66" s="71">
        <f t="shared" ref="J66:J129" si="1">IF(I66=0,IFERROR((((1-((E66*10+F66*5+G66*1)/D66))*100)+100)/2,0),-150)</f>
        <v>30.76923076923077</v>
      </c>
    </row>
    <row r="67" spans="1:10">
      <c r="A67" s="78" t="s">
        <v>663</v>
      </c>
      <c r="B67" s="70"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70" t="str">
        <f>IF(ISBLANK(A67),"",INDEX('Error Log'!$A:$J,MATCH('Scores per segment'!$A67,'Error Log'!$A:$A,0),MATCH('Scores per segment'!C$1,'Error Log'!$A$1:$J$1,0)))</f>
        <v xml:space="preserve">locations in ceredigion , powys and pembrokeshire are also being used to radicalise muslims , an officer from the wales extremism and counter terrorism unit .  those involved in activities ` take part in ordinary activities ' in the community but ` have an ulterior motive '  it is alleged hate preacher sent abu hamza to train in the brecon beacons .  he was arrested as part of an al-qaeda inspired gang . </v>
      </c>
      <c r="D67" s="70">
        <f>IF(H67=0,wdct(TRIM(C67)),0)</f>
        <v>64</v>
      </c>
      <c r="E67" s="70">
        <f>COUNTIFS('Error Log'!$A:$A,$A67,'Error Log'!$J:$J,E$1)</f>
        <v>3</v>
      </c>
      <c r="F67" s="70">
        <f>COUNTIFS('Error Log'!$A:$A,$A67,'Error Log'!$J:$J,F$1)</f>
        <v>2</v>
      </c>
      <c r="G67" s="70">
        <f>COUNTIFS('Error Log'!$A:$A,$A67,'Error Log'!$J:$J,G$1)</f>
        <v>0</v>
      </c>
      <c r="H67" s="70">
        <f>COUNTIFS('Error Log'!$A:$A,$A67,'Error Log'!$F:$F,"Source")</f>
        <v>0</v>
      </c>
      <c r="I67" s="70">
        <f>COUNTIFS('Error Log'!$A:$A,$A67,'Error Log'!$F:$F,"Target")</f>
        <v>0</v>
      </c>
      <c r="J67" s="71">
        <f t="shared" si="1"/>
        <v>68.75</v>
      </c>
    </row>
    <row r="68" spans="1:10">
      <c r="A68" s="78" t="s">
        <v>675</v>
      </c>
      <c r="B68" s="70"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3-6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70" t="str">
        <f>IF(ISBLANK(A68),"",INDEX('Error Log'!$A:$J,MATCH('Scores per segment'!$A68,'Error Log'!$A:$A,0),MATCH('Scores per segment'!C$1,'Error Log'!$A$1:$J$1,0)))</f>
        <v xml:space="preserve">louis van gaal is keen to make the winger of his first signings this summer .  the 21-year-old has scored 20 goals in 26 league games for psv this season .  manchester united have made a move over the holland international . </v>
      </c>
      <c r="D68" s="70">
        <f>IF(H68=0,wdct(TRIM(C68)),0)</f>
        <v>39</v>
      </c>
      <c r="E68" s="70">
        <f>COUNTIFS('Error Log'!$A:$A,$A68,'Error Log'!$J:$J,E$1)</f>
        <v>2</v>
      </c>
      <c r="F68" s="70">
        <f>COUNTIFS('Error Log'!$A:$A,$A68,'Error Log'!$J:$J,F$1)</f>
        <v>2</v>
      </c>
      <c r="G68" s="70">
        <f>COUNTIFS('Error Log'!$A:$A,$A68,'Error Log'!$J:$J,G$1)</f>
        <v>0</v>
      </c>
      <c r="H68" s="70">
        <f>COUNTIFS('Error Log'!$A:$A,$A68,'Error Log'!$F:$F,"Source")</f>
        <v>0</v>
      </c>
      <c r="I68" s="70">
        <f>COUNTIFS('Error Log'!$A:$A,$A68,'Error Log'!$F:$F,"Target")</f>
        <v>0</v>
      </c>
      <c r="J68" s="71">
        <f t="shared" si="1"/>
        <v>61.538461538461533</v>
      </c>
    </row>
    <row r="69" spans="1:10">
      <c r="A69" s="78" t="s">
        <v>689</v>
      </c>
      <c r="B69" s="70"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63 vertebrae</v>
      </c>
      <c r="C69" s="70" t="str">
        <f>IF(ISBLANK(A69),"",INDEX('Error Log'!$A:$J,MATCH('Scores per segment'!$A69,'Error Log'!$A:$A,0),MATCH('Scores per segment'!C$1,'Error Log'!$A$1:$J$1,0)))</f>
        <v>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v>
      </c>
      <c r="D69" s="70">
        <f>IF(H69=0,wdct(TRIM(C69)),0)</f>
        <v>64</v>
      </c>
      <c r="E69" s="70">
        <f>COUNTIFS('Error Log'!$A:$A,$A69,'Error Log'!$J:$J,E$1)</f>
        <v>1</v>
      </c>
      <c r="F69" s="70">
        <f>COUNTIFS('Error Log'!$A:$A,$A69,'Error Log'!$J:$J,F$1)</f>
        <v>0</v>
      </c>
      <c r="G69" s="70">
        <f>COUNTIFS('Error Log'!$A:$A,$A69,'Error Log'!$J:$J,G$1)</f>
        <v>0</v>
      </c>
      <c r="H69" s="70">
        <f>COUNTIFS('Error Log'!$A:$A,$A69,'Error Log'!$F:$F,"Source")</f>
        <v>0</v>
      </c>
      <c r="I69" s="70">
        <f>COUNTIFS('Error Log'!$A:$A,$A69,'Error Log'!$F:$F,"Target")</f>
        <v>0</v>
      </c>
      <c r="J69" s="71">
        <f t="shared" si="1"/>
        <v>92.1875</v>
      </c>
    </row>
    <row r="70" spans="1:10">
      <c r="A70" s="78" t="s">
        <v>693</v>
      </c>
      <c r="B70" s="70"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21 ) : on for abraham and showed explosive pace straight away but was let down by a hurried attempt at a finish which flew over the bar .
isaiah brown holds off a tackle from fikayo tomori , during another impressive display for the young forward</v>
      </c>
      <c r="C70" s="70" t="str">
        <f>IF(ISBLANK(A70),"",INDEX('Error Log'!$A:$J,MATCH('Scores per segment'!$A70,'Error Log'!$A:$A,0),MATCH('Scores per segment'!C$1,'Error Log'!$A$1:$J$1,0)))</f>
        <v>dominic solanke scored late on to give chelsea 3-1 lead back to west london .  
tammy abraham double scored in manchester city 's first half lead .  
norwegian international has been on the bench for chelsea .</v>
      </c>
      <c r="D70" s="70">
        <f>IF(H70=0,wdct(TRIM(C70)),0)</f>
        <v>34</v>
      </c>
      <c r="E70" s="70">
        <f>COUNTIFS('Error Log'!$A:$A,$A70,'Error Log'!$J:$J,E$1)</f>
        <v>7</v>
      </c>
      <c r="F70" s="70">
        <f>COUNTIFS('Error Log'!$A:$A,$A70,'Error Log'!$J:$J,F$1)</f>
        <v>3</v>
      </c>
      <c r="G70" s="70">
        <f>COUNTIFS('Error Log'!$A:$A,$A70,'Error Log'!$J:$J,G$1)</f>
        <v>1</v>
      </c>
      <c r="H70" s="70">
        <f>COUNTIFS('Error Log'!$A:$A,$A70,'Error Log'!$F:$F,"Source")</f>
        <v>0</v>
      </c>
      <c r="I70" s="70">
        <f>COUNTIFS('Error Log'!$A:$A,$A70,'Error Log'!$F:$F,"Target")</f>
        <v>0</v>
      </c>
      <c r="J70" s="71">
        <f t="shared" si="1"/>
        <v>-26.470588235294116</v>
      </c>
    </row>
    <row r="71" spans="1:10">
      <c r="A71" s="78" t="s">
        <v>726</v>
      </c>
      <c r="B71" s="70"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2004 .
correction : an earlier version of this article incorrectly stated that canadians elected their first female prime minister , kim campbell .</v>
      </c>
      <c r="C71" s="70" t="str">
        <f>IF(ISBLANK(A71),"",INDEX('Error Log'!$A:$J,MATCH('Scores per segment'!$A71,'Error Log'!$A:$A,0),MATCH('Scores per segment'!C$1,'Error Log'!$A$1:$J$1,0)))</f>
        <v>hillary clinton should n't be president as george w. bush 's testosterone to blame .  
cheryl rios says her hormones are a `` perfect '' age to be president .  
rios is the ceo of go ape marketing .</v>
      </c>
      <c r="D71" s="70">
        <f>IF(H71=0,wdct(TRIM(C71)),0)</f>
        <v>34</v>
      </c>
      <c r="E71" s="70">
        <f>COUNTIFS('Error Log'!$A:$A,$A71,'Error Log'!$J:$J,E$1)</f>
        <v>7</v>
      </c>
      <c r="F71" s="70">
        <f>COUNTIFS('Error Log'!$A:$A,$A71,'Error Log'!$J:$J,F$1)</f>
        <v>6</v>
      </c>
      <c r="G71" s="70">
        <f>COUNTIFS('Error Log'!$A:$A,$A71,'Error Log'!$J:$J,G$1)</f>
        <v>3</v>
      </c>
      <c r="H71" s="70">
        <f>COUNTIFS('Error Log'!$A:$A,$A71,'Error Log'!$F:$F,"Source")</f>
        <v>0</v>
      </c>
      <c r="I71" s="70">
        <f>COUNTIFS('Error Log'!$A:$A,$A71,'Error Log'!$F:$F,"Target")</f>
        <v>0</v>
      </c>
      <c r="J71" s="71">
        <f t="shared" si="1"/>
        <v>-51.470588235294116</v>
      </c>
    </row>
    <row r="72" spans="1:10">
      <c r="A72" s="78" t="s">
        <v>758</v>
      </c>
      <c r="B72" s="70"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$ 42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70" t="str">
        <f>IF(ISBLANK(A72),"",INDEX('Error Log'!$A:$J,MATCH('Scores per segment'!$A72,'Error Log'!$A:$A,0),MATCH('Scores per segment'!C$1,'Error Log'!$A$1:$J$1,0)))</f>
        <v>the florida senator told bob schieffer he was n't against gay marriage , but believes the ` definition of the institution of marriage should be between one man and one woman '  
he said state legislators should petition the state legislature and have a political debate . 
rubio believes people are born with a sexual preference but insisted same-sex marriage should not be a constitutional right .  
rubio is running for president last week .</v>
      </c>
      <c r="D72" s="70">
        <f>IF(H72=0,wdct(TRIM(C72)),0)</f>
        <v>69</v>
      </c>
      <c r="E72" s="70">
        <f>COUNTIFS('Error Log'!$A:$A,$A72,'Error Log'!$J:$J,E$1)</f>
        <v>2</v>
      </c>
      <c r="F72" s="70">
        <f>COUNTIFS('Error Log'!$A:$A,$A72,'Error Log'!$J:$J,F$1)</f>
        <v>2</v>
      </c>
      <c r="G72" s="70">
        <f>COUNTIFS('Error Log'!$A:$A,$A72,'Error Log'!$J:$J,G$1)</f>
        <v>0</v>
      </c>
      <c r="H72" s="70">
        <f>COUNTIFS('Error Log'!$A:$A,$A72,'Error Log'!$F:$F,"Source")</f>
        <v>0</v>
      </c>
      <c r="I72" s="70">
        <f>COUNTIFS('Error Log'!$A:$A,$A72,'Error Log'!$F:$F,"Target")</f>
        <v>0</v>
      </c>
      <c r="J72" s="71">
        <f t="shared" si="1"/>
        <v>78.260869565217391</v>
      </c>
    </row>
    <row r="73" spans="1:10">
      <c r="A73" s="79" t="s">
        <v>769</v>
      </c>
      <c r="B73" s="70"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70" t="str">
        <f>IF(ISBLANK(A73),"",INDEX('Error Log'!$A:$J,MATCH('Scores per segment'!$A73,'Error Log'!$A:$A,0),MATCH('Scores per segment'!C$1,'Error Log'!$A$1:$J$1,0)))</f>
        <v>robert hardy , 89 , is selling off his collection of antiques in a # 100,000 auction .  
mr hardy is a keen military historian who studied english and is now an expert on the medieval longbow .  
the piece was created by actor robert hardy .</v>
      </c>
      <c r="D73" s="70">
        <f>IF(H73=0,wdct(TRIM(C73)),0)</f>
        <v>41</v>
      </c>
      <c r="E73" s="70">
        <f>COUNTIFS('Error Log'!$A:$A,$A73,'Error Log'!$J:$J,E$1)</f>
        <v>2</v>
      </c>
      <c r="F73" s="70">
        <f>COUNTIFS('Error Log'!$A:$A,$A73,'Error Log'!$J:$J,F$1)</f>
        <v>1</v>
      </c>
      <c r="G73" s="70">
        <f>COUNTIFS('Error Log'!$A:$A,$A73,'Error Log'!$J:$J,G$1)</f>
        <v>0</v>
      </c>
      <c r="H73" s="70">
        <f>COUNTIFS('Error Log'!$A:$A,$A73,'Error Log'!$F:$F,"Source")</f>
        <v>0</v>
      </c>
      <c r="I73" s="70">
        <f>COUNTIFS('Error Log'!$A:$A,$A73,'Error Log'!$F:$F,"Target")</f>
        <v>0</v>
      </c>
      <c r="J73" s="71">
        <f t="shared" si="1"/>
        <v>69.512195121951223</v>
      </c>
    </row>
    <row r="74" spans="1:10">
      <c r="A74" s="79" t="s">
        <v>776</v>
      </c>
      <c r="B74" s="70"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213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70" t="str">
        <f>IF(ISBLANK(A74),"",INDEX('Error Log'!$A:$J,MATCH('Scores per segment'!$A74,'Error Log'!$A:$A,0),MATCH('Scores per segment'!C$1,'Error Log'!$A$1:$J$1,0)))</f>
        <v xml:space="preserve">spanish pablo , 27 , and latvian ilze , 31 , met in riga in 2011 .  in 356 days so far they 've covered almost 7,000 miles -lrb- 11,131.92 km by their measurements -rrb- and been through 16 countries .  one of the 16 countries are off to a start . </v>
      </c>
      <c r="D74" s="70">
        <f>IF(H74=0,wdct(TRIM(C74)),0)</f>
        <v>45</v>
      </c>
      <c r="E74" s="70">
        <f>COUNTIFS('Error Log'!$A:$A,$A74,'Error Log'!$J:$J,E$1)</f>
        <v>3</v>
      </c>
      <c r="F74" s="70">
        <f>COUNTIFS('Error Log'!$A:$A,$A74,'Error Log'!$J:$J,F$1)</f>
        <v>5</v>
      </c>
      <c r="G74" s="70">
        <f>COUNTIFS('Error Log'!$A:$A,$A74,'Error Log'!$J:$J,G$1)</f>
        <v>0</v>
      </c>
      <c r="H74" s="70">
        <f>COUNTIFS('Error Log'!$A:$A,$A74,'Error Log'!$F:$F,"Source")</f>
        <v>0</v>
      </c>
      <c r="I74" s="70">
        <f>COUNTIFS('Error Log'!$A:$A,$A74,'Error Log'!$F:$F,"Target")</f>
        <v>0</v>
      </c>
      <c r="J74" s="71">
        <f t="shared" si="1"/>
        <v>38.888888888888886</v>
      </c>
    </row>
    <row r="75" spans="1:10">
      <c r="A75" s="79" t="s">
        <v>802</v>
      </c>
      <c r="B75" s="70"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v>
      </c>
      <c r="C75" s="70" t="str">
        <f>IF(ISBLANK(A75),"",INDEX('Error Log'!$A:$J,MATCH('Scores per segment'!$A75,'Error Log'!$A:$A,0),MATCH('Scores per segment'!C$1,'Error Log'!$A$1:$J$1,0)))</f>
        <v>michael scott shemansky is on the run after authorities named him as a suspect in the murder of his mother sandra shemansky , 57 .  
the body was discovered at the home they shared in winter garden .  
his wife filed a domestic violence injunction against him two years ago .</v>
      </c>
      <c r="D75" s="70">
        <f>IF(H75=0,wdct(TRIM(C75)),0)</f>
        <v>47</v>
      </c>
      <c r="E75" s="70">
        <f>COUNTIFS('Error Log'!$A:$A,$A75,'Error Log'!$J:$J,E$1)</f>
        <v>2</v>
      </c>
      <c r="F75" s="70">
        <f>COUNTIFS('Error Log'!$A:$A,$A75,'Error Log'!$J:$J,F$1)</f>
        <v>1</v>
      </c>
      <c r="G75" s="70">
        <f>COUNTIFS('Error Log'!$A:$A,$A75,'Error Log'!$J:$J,G$1)</f>
        <v>0</v>
      </c>
      <c r="H75" s="70">
        <f>COUNTIFS('Error Log'!$A:$A,$A75,'Error Log'!$F:$F,"Source")</f>
        <v>0</v>
      </c>
      <c r="I75" s="70">
        <f>COUNTIFS('Error Log'!$A:$A,$A75,'Error Log'!$F:$F,"Target")</f>
        <v>0</v>
      </c>
      <c r="J75" s="71">
        <f t="shared" si="1"/>
        <v>73.404255319148945</v>
      </c>
    </row>
    <row r="76" spans="1:10">
      <c r="A76" s="79" t="s">
        <v>809</v>
      </c>
      <c r="B76" s="70"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70" t="str">
        <f>IF(ISBLANK(A76),"",INDEX('Error Log'!$A:$J,MATCH('Scores per segment'!$A76,'Error Log'!$A:$A,0),MATCH('Scores per segment'!C$1,'Error Log'!$A$1:$J$1,0)))</f>
        <v>the couple , who does not wish to be identified , hired attorney cathy hale to sue james evans the owner of premiere photos for allegedly providing a photo booth that printed ` poor n ***** party ' on the bottom of the pictures .  the couple was n't alerted of the photos until many months after the celebration when the bride 's sister told the family about the racist incident at the photo booth the couple rented for the party .  hale claims evans did n't apologize for the racial slur and told</v>
      </c>
      <c r="D76" s="70">
        <f>IF(H76=0,wdct(TRIM(C76)),0)</f>
        <v>87</v>
      </c>
      <c r="E76" s="70">
        <f>COUNTIFS('Error Log'!$A:$A,$A76,'Error Log'!$J:$J,E$1)</f>
        <v>3</v>
      </c>
      <c r="F76" s="70">
        <f>COUNTIFS('Error Log'!$A:$A,$A76,'Error Log'!$J:$J,F$1)</f>
        <v>0</v>
      </c>
      <c r="G76" s="70">
        <f>COUNTIFS('Error Log'!$A:$A,$A76,'Error Log'!$J:$J,G$1)</f>
        <v>1</v>
      </c>
      <c r="H76" s="70">
        <f>COUNTIFS('Error Log'!$A:$A,$A76,'Error Log'!$F:$F,"Source")</f>
        <v>0</v>
      </c>
      <c r="I76" s="70">
        <f>COUNTIFS('Error Log'!$A:$A,$A76,'Error Log'!$F:$F,"Target")</f>
        <v>0</v>
      </c>
      <c r="J76" s="71">
        <f t="shared" si="1"/>
        <v>82.183908045977006</v>
      </c>
    </row>
    <row r="77" spans="1:10">
      <c r="A77" s="79" t="s">
        <v>816</v>
      </c>
      <c r="B77" s="70"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v>
      </c>
      <c r="C77" s="70" t="str">
        <f>IF(ISBLANK(A77),"",INDEX('Error Log'!$A:$J,MATCH('Scores per segment'!$A77,'Error Log'!$A:$A,0),MATCH('Scores per segment'!C$1,'Error Log'!$A$1:$J$1,0)))</f>
        <v>eugene in the united states has been awarded the rights to host the 2021 iaaf world championships .  
the decision was taken by the international association of athletics federations council .  eugene failed last november in its bid to host 2019 event .</v>
      </c>
      <c r="D77" s="70">
        <f>IF(H77=0,wdct(TRIM(C77)),0)</f>
        <v>40</v>
      </c>
      <c r="E77" s="70">
        <f>COUNTIFS('Error Log'!$A:$A,$A77,'Error Log'!$J:$J,E$1)</f>
        <v>1</v>
      </c>
      <c r="F77" s="70">
        <f>COUNTIFS('Error Log'!$A:$A,$A77,'Error Log'!$J:$J,F$1)</f>
        <v>1</v>
      </c>
      <c r="G77" s="70">
        <f>COUNTIFS('Error Log'!$A:$A,$A77,'Error Log'!$J:$J,G$1)</f>
        <v>0</v>
      </c>
      <c r="H77" s="70">
        <f>COUNTIFS('Error Log'!$A:$A,$A77,'Error Log'!$F:$F,"Source")</f>
        <v>0</v>
      </c>
      <c r="I77" s="70">
        <f>COUNTIFS('Error Log'!$A:$A,$A77,'Error Log'!$F:$F,"Target")</f>
        <v>0</v>
      </c>
      <c r="J77" s="71">
        <f t="shared" si="1"/>
        <v>81.25</v>
      </c>
    </row>
    <row r="78" spans="1:10">
      <c r="A78" s="79" t="s">
        <v>821</v>
      </c>
      <c r="B78" s="70"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v>
      </c>
      <c r="C78" s="70" t="str">
        <f>IF(ISBLANK(A78),"",INDEX('Error Log'!$A:$J,MATCH('Scores per segment'!$A78,'Error Log'!$A:$A,0),MATCH('Scores per segment'!C$1,'Error Log'!$A$1:$J$1,0)))</f>
        <v>england full back mike brown admitted he is unsure when he will return to action for harlequins .  
northampton wing george north has been advised by leading medics not to play again this season .  
ireland 's johnny sexton was stood down for 12 weeks .</v>
      </c>
      <c r="D78" s="70">
        <f>IF(H78=0,wdct(TRIM(C78)),0)</f>
        <v>43</v>
      </c>
      <c r="E78" s="70">
        <f>COUNTIFS('Error Log'!$A:$A,$A78,'Error Log'!$J:$J,E$1)</f>
        <v>2</v>
      </c>
      <c r="F78" s="70">
        <f>COUNTIFS('Error Log'!$A:$A,$A78,'Error Log'!$J:$J,F$1)</f>
        <v>2</v>
      </c>
      <c r="G78" s="70">
        <f>COUNTIFS('Error Log'!$A:$A,$A78,'Error Log'!$J:$J,G$1)</f>
        <v>0</v>
      </c>
      <c r="H78" s="70">
        <f>COUNTIFS('Error Log'!$A:$A,$A78,'Error Log'!$F:$F,"Source")</f>
        <v>0</v>
      </c>
      <c r="I78" s="70">
        <f>COUNTIFS('Error Log'!$A:$A,$A78,'Error Log'!$F:$F,"Target")</f>
        <v>0</v>
      </c>
      <c r="J78" s="71">
        <f t="shared" si="1"/>
        <v>65.116279069767444</v>
      </c>
    </row>
    <row r="79" spans="1:10">
      <c r="A79" s="79" t="s">
        <v>829</v>
      </c>
      <c r="B79" s="70"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70" t="str">
        <f>IF(ISBLANK(A79),"",INDEX('Error Log'!$A:$J,MATCH('Scores per segment'!$A79,'Error Log'!$A:$A,0),MATCH('Scores per segment'!C$1,'Error Log'!$A$1:$J$1,0)))</f>
        <v>leonie granger , 25 , targeted playboy mehmet hassan , 56 , flashing a roll of # 50 notes at a casino in london 's west end .  
the care assistant , from gillingham , kent , used her good looks to befriend the poker player , who showered her with gifts , cash and trips to fancy restaurants .  
they tied up the father of three and kicked him to death as they ransacked his home to find his hidden winnings .</v>
      </c>
      <c r="D79" s="70">
        <f>IF(H79=0,wdct(TRIM(C79)),0)</f>
        <v>70</v>
      </c>
      <c r="E79" s="70">
        <f>COUNTIFS('Error Log'!$A:$A,$A79,'Error Log'!$J:$J,E$1)</f>
        <v>3</v>
      </c>
      <c r="F79" s="70">
        <f>COUNTIFS('Error Log'!$A:$A,$A79,'Error Log'!$J:$J,F$1)</f>
        <v>3</v>
      </c>
      <c r="G79" s="70">
        <f>COUNTIFS('Error Log'!$A:$A,$A79,'Error Log'!$J:$J,G$1)</f>
        <v>0</v>
      </c>
      <c r="H79" s="70">
        <f>COUNTIFS('Error Log'!$A:$A,$A79,'Error Log'!$F:$F,"Source")</f>
        <v>0</v>
      </c>
      <c r="I79" s="70">
        <f>COUNTIFS('Error Log'!$A:$A,$A79,'Error Log'!$F:$F,"Target")</f>
        <v>0</v>
      </c>
      <c r="J79" s="71">
        <f t="shared" si="1"/>
        <v>67.857142857142861</v>
      </c>
    </row>
    <row r="80" spans="1:10">
      <c r="A80" s="79" t="s">
        <v>849</v>
      </c>
      <c r="B80" s="70"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70" t="str">
        <f>IF(ISBLANK(A80),"",INDEX('Error Log'!$A:$J,MATCH('Scores per segment'!$A80,'Error Log'!$A:$A,0),MATCH('Scores per segment'!C$1,'Error Log'!$A$1:$J$1,0)))</f>
        <v>the frequency with which britons are having sex has been in decline .  
professor david spiegelhalter revealed in new book how a typical heterosexual couple was now having sex three times a month .  
this was compared to four times a year in 1990 and five times in 1990 .</v>
      </c>
      <c r="D80" s="70">
        <f>IF(H80=0,wdct(TRIM(C80)),0)</f>
        <v>47</v>
      </c>
      <c r="E80" s="70">
        <f>COUNTIFS('Error Log'!$A:$A,$A80,'Error Log'!$J:$J,E$1)</f>
        <v>0</v>
      </c>
      <c r="F80" s="70">
        <f>COUNTIFS('Error Log'!$A:$A,$A80,'Error Log'!$J:$J,F$1)</f>
        <v>0</v>
      </c>
      <c r="G80" s="70">
        <f>COUNTIFS('Error Log'!$A:$A,$A80,'Error Log'!$J:$J,G$1)</f>
        <v>0</v>
      </c>
      <c r="H80" s="70">
        <f>COUNTIFS('Error Log'!$A:$A,$A80,'Error Log'!$F:$F,"Source")</f>
        <v>0</v>
      </c>
      <c r="I80" s="70">
        <f>COUNTIFS('Error Log'!$A:$A,$A80,'Error Log'!$F:$F,"Target")</f>
        <v>0</v>
      </c>
      <c r="J80" s="71">
        <f t="shared" si="1"/>
        <v>100</v>
      </c>
    </row>
    <row r="81" spans="1:10">
      <c r="A81" s="79" t="s">
        <v>852</v>
      </c>
      <c r="B81" s="70"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v>
      </c>
      <c r="C81" s="70" t="str">
        <f>IF(ISBLANK(A81),"",INDEX('Error Log'!$A:$J,MATCH('Scores per segment'!$A81,'Error Log'!$A:$A,0),MATCH('Scores per segment'!C$1,'Error Log'!$A$1:$J$1,0)))</f>
        <v>chelsea midfielder cesc fabregas captained spain on tuesday .  
the chelsea midfielder was given just four out of 10 at stamford bridge .  
his first international appearance since october .</v>
      </c>
      <c r="D81" s="70">
        <f>IF(H81=0,wdct(TRIM(C81)),0)</f>
        <v>27</v>
      </c>
      <c r="E81" s="70">
        <f>COUNTIFS('Error Log'!$A:$A,$A81,'Error Log'!$J:$J,E$1)</f>
        <v>4</v>
      </c>
      <c r="F81" s="70">
        <f>COUNTIFS('Error Log'!$A:$A,$A81,'Error Log'!$J:$J,F$1)</f>
        <v>3</v>
      </c>
      <c r="G81" s="70">
        <f>COUNTIFS('Error Log'!$A:$A,$A81,'Error Log'!$J:$J,G$1)</f>
        <v>0</v>
      </c>
      <c r="H81" s="70">
        <f>COUNTIFS('Error Log'!$A:$A,$A81,'Error Log'!$F:$F,"Source")</f>
        <v>0</v>
      </c>
      <c r="I81" s="70">
        <f>COUNTIFS('Error Log'!$A:$A,$A81,'Error Log'!$F:$F,"Target")</f>
        <v>0</v>
      </c>
      <c r="J81" s="71">
        <f t="shared" si="1"/>
        <v>-1.8518518518518619</v>
      </c>
    </row>
    <row r="82" spans="1:10">
      <c r="A82" s="79" t="s">
        <v>863</v>
      </c>
      <c r="B82" s="70"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v>
      </c>
      <c r="C82" s="70" t="str">
        <f>IF(ISBLANK(A82),"",INDEX('Error Log'!$A:$J,MATCH('Scores per segment'!$A82,'Error Log'!$A:$A,0),MATCH('Scores per segment'!C$1,'Error Log'!$A$1:$J$1,0)))</f>
        <v>tibetan mastiffs now so unpopular in china they are being sent to slaughterhouses .  
wealthy businessmen would give prized mastiffs to officials in anti-corruption crackdown .  it is thought recent bans on owning dogs of more than 50kg in cities .</v>
      </c>
      <c r="D82" s="70">
        <f>IF(H82=0,wdct(TRIM(C82)),0)</f>
        <v>38</v>
      </c>
      <c r="E82" s="70">
        <f>COUNTIFS('Error Log'!$A:$A,$A82,'Error Log'!$J:$J,E$1)</f>
        <v>3</v>
      </c>
      <c r="F82" s="70">
        <f>COUNTIFS('Error Log'!$A:$A,$A82,'Error Log'!$J:$J,F$1)</f>
        <v>1</v>
      </c>
      <c r="G82" s="70">
        <f>COUNTIFS('Error Log'!$A:$A,$A82,'Error Log'!$J:$J,G$1)</f>
        <v>0</v>
      </c>
      <c r="H82" s="70">
        <f>COUNTIFS('Error Log'!$A:$A,$A82,'Error Log'!$F:$F,"Source")</f>
        <v>0</v>
      </c>
      <c r="I82" s="70">
        <f>COUNTIFS('Error Log'!$A:$A,$A82,'Error Log'!$F:$F,"Target")</f>
        <v>0</v>
      </c>
      <c r="J82" s="71">
        <f t="shared" si="1"/>
        <v>53.94736842105263</v>
      </c>
    </row>
    <row r="83" spans="1:10">
      <c r="A83" s="79" t="s">
        <v>871</v>
      </c>
      <c r="B83" s="70"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2016-20 season .</v>
      </c>
      <c r="C83" s="70" t="str">
        <f>IF(ISBLANK(A83),"",INDEX('Error Log'!$A:$J,MATCH('Scores per segment'!$A83,'Error Log'!$A:$A,0),MATCH('Scores per segment'!C$1,'Error Log'!$A$1:$J$1,0)))</f>
        <v>jamaican starlet deshane beckford was invited to train with west ham 's academy earlier this month .  beckford also has offers from clubs in belgium .  
west ham have cheapest tickets at the olympic stadium will cost as little .</v>
      </c>
      <c r="D83" s="70">
        <f>IF(H83=0,wdct(TRIM(C83)),0)</f>
        <v>37</v>
      </c>
      <c r="E83" s="70">
        <f>COUNTIFS('Error Log'!$A:$A,$A83,'Error Log'!$J:$J,E$1)</f>
        <v>2</v>
      </c>
      <c r="F83" s="70">
        <f>COUNTIFS('Error Log'!$A:$A,$A83,'Error Log'!$J:$J,F$1)</f>
        <v>2</v>
      </c>
      <c r="G83" s="70">
        <f>COUNTIFS('Error Log'!$A:$A,$A83,'Error Log'!$J:$J,G$1)</f>
        <v>1</v>
      </c>
      <c r="H83" s="70">
        <f>COUNTIFS('Error Log'!$A:$A,$A83,'Error Log'!$F:$F,"Source")</f>
        <v>0</v>
      </c>
      <c r="I83" s="70">
        <f>COUNTIFS('Error Log'!$A:$A,$A83,'Error Log'!$F:$F,"Target")</f>
        <v>0</v>
      </c>
      <c r="J83" s="71">
        <f t="shared" si="1"/>
        <v>58.108108108108112</v>
      </c>
    </row>
    <row r="84" spans="1:10">
      <c r="A84" s="79" t="s">
        <v>882</v>
      </c>
      <c r="B84" s="70"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70" t="str">
        <f>IF(ISBLANK(A84),"",INDEX('Error Log'!$A:$J,MATCH('Scores per segment'!$A84,'Error Log'!$A:$A,0),MATCH('Scores per segment'!C$1,'Error Log'!$A$1:$J$1,0)))</f>
        <v>poll led to calls for a campaign to stem sexist or threatening behaviour on buses and trains .  
half of them were assaulted before they were 18 years old .  
survey found that six out of ten women were attacked on public transport .</v>
      </c>
      <c r="D84" s="70">
        <f>IF(H84=0,wdct(TRIM(C84)),0)</f>
        <v>41</v>
      </c>
      <c r="E84" s="70">
        <f>COUNTIFS('Error Log'!$A:$A,$A84,'Error Log'!$J:$J,E$1)</f>
        <v>1</v>
      </c>
      <c r="F84" s="70">
        <f>COUNTIFS('Error Log'!$A:$A,$A84,'Error Log'!$J:$J,F$1)</f>
        <v>0</v>
      </c>
      <c r="G84" s="70">
        <f>COUNTIFS('Error Log'!$A:$A,$A84,'Error Log'!$J:$J,G$1)</f>
        <v>0</v>
      </c>
      <c r="H84" s="70">
        <f>COUNTIFS('Error Log'!$A:$A,$A84,'Error Log'!$F:$F,"Source")</f>
        <v>0</v>
      </c>
      <c r="I84" s="70">
        <f>COUNTIFS('Error Log'!$A:$A,$A84,'Error Log'!$F:$F,"Target")</f>
        <v>0</v>
      </c>
      <c r="J84" s="71">
        <f t="shared" si="1"/>
        <v>87.804878048780495</v>
      </c>
    </row>
    <row r="85" spans="1:10">
      <c r="A85" s="79" t="s">
        <v>886</v>
      </c>
      <c r="B85" s="70"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58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70" t="str">
        <f>IF(ISBLANK(A85),"",INDEX('Error Log'!$A:$J,MATCH('Scores per segment'!$A85,'Error Log'!$A:$A,0),MATCH('Scores per segment'!C$1,'Error Log'!$A$1:$J$1,0)))</f>
        <v>mike lane , 40 , was beaten by protesters with iron bars on ropes .  
he condemned the decision by police as ` pathetic '  
he was admitted to hospital with concussion and broken teeth .  
police have dropped an investigation into a vicious assault .</v>
      </c>
      <c r="D85" s="70">
        <f>IF(H85=0,wdct(TRIM(C85)),0)</f>
        <v>39</v>
      </c>
      <c r="E85" s="70">
        <f>COUNTIFS('Error Log'!$A:$A,$A85,'Error Log'!$J:$J,E$1)</f>
        <v>2</v>
      </c>
      <c r="F85" s="70">
        <f>COUNTIFS('Error Log'!$A:$A,$A85,'Error Log'!$J:$J,F$1)</f>
        <v>2</v>
      </c>
      <c r="G85" s="70">
        <f>COUNTIFS('Error Log'!$A:$A,$A85,'Error Log'!$J:$J,G$1)</f>
        <v>0</v>
      </c>
      <c r="H85" s="70">
        <f>COUNTIFS('Error Log'!$A:$A,$A85,'Error Log'!$F:$F,"Source")</f>
        <v>0</v>
      </c>
      <c r="I85" s="70">
        <f>COUNTIFS('Error Log'!$A:$A,$A85,'Error Log'!$F:$F,"Target")</f>
        <v>0</v>
      </c>
      <c r="J85" s="71">
        <f t="shared" si="1"/>
        <v>61.538461538461533</v>
      </c>
    </row>
    <row r="86" spans="1:10">
      <c r="A86" s="79" t="s">
        <v>900</v>
      </c>
      <c r="B86" s="70"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70" t="str">
        <f>IF(ISBLANK(A86),"",INDEX('Error Log'!$A:$J,MATCH('Scores per segment'!$A86,'Error Log'!$A:$A,0),MATCH('Scores per segment'!C$1,'Error Log'!$A$1:$J$1,0)))</f>
        <v>leeds-based direct line is running a competition called #everydayfix .  
they asked people to pick their top ten ` everyday emergencies ' - things that caused them an undue amount of stress in their daily lives .  
groups from london-based design company makerversity were asked to design products that could alleviate certain emergencies - and three were picked for a shortlist .</v>
      </c>
      <c r="D86" s="70">
        <f>IF(H86=0,wdct(TRIM(C86)),0)</f>
        <v>55</v>
      </c>
      <c r="E86" s="70">
        <f>COUNTIFS('Error Log'!$A:$A,$A86,'Error Log'!$J:$J,E$1)</f>
        <v>3</v>
      </c>
      <c r="F86" s="70">
        <f>COUNTIFS('Error Log'!$A:$A,$A86,'Error Log'!$J:$J,F$1)</f>
        <v>2</v>
      </c>
      <c r="G86" s="70">
        <f>COUNTIFS('Error Log'!$A:$A,$A86,'Error Log'!$J:$J,G$1)</f>
        <v>0</v>
      </c>
      <c r="H86" s="70">
        <f>COUNTIFS('Error Log'!$A:$A,$A86,'Error Log'!$F:$F,"Source")</f>
        <v>0</v>
      </c>
      <c r="I86" s="70">
        <f>COUNTIFS('Error Log'!$A:$A,$A86,'Error Log'!$F:$F,"Target")</f>
        <v>0</v>
      </c>
      <c r="J86" s="71">
        <f t="shared" si="1"/>
        <v>63.636363636363633</v>
      </c>
    </row>
    <row r="87" spans="1:10">
      <c r="A87" s="79" t="s">
        <v>913</v>
      </c>
      <c r="B87" s="70"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70" t="str">
        <f>IF(ISBLANK(A87),"",INDEX('Error Log'!$A:$J,MATCH('Scores per segment'!$A87,'Error Log'!$A:$A,0),MATCH('Scores per segment'!C$1,'Error Log'!$A$1:$J$1,0)))</f>
        <v>gary locke has been given the role on a permanent basis .  
the former hearts boss joined the club as assistant boss to allan johnston last summer but took control of the team when his team-mate quit at the start of february .  
locke has lost just once in seven games at rugby park .</v>
      </c>
      <c r="D87" s="70">
        <f>IF(H87=0,wdct(TRIM(C87)),0)</f>
        <v>52</v>
      </c>
      <c r="E87" s="70">
        <f>COUNTIFS('Error Log'!$A:$A,$A87,'Error Log'!$J:$J,E$1)</f>
        <v>0</v>
      </c>
      <c r="F87" s="70">
        <f>COUNTIFS('Error Log'!$A:$A,$A87,'Error Log'!$J:$J,F$1)</f>
        <v>0</v>
      </c>
      <c r="G87" s="70">
        <f>COUNTIFS('Error Log'!$A:$A,$A87,'Error Log'!$J:$J,G$1)</f>
        <v>0</v>
      </c>
      <c r="H87" s="70">
        <f>COUNTIFS('Error Log'!$A:$A,$A87,'Error Log'!$F:$F,"Source")</f>
        <v>0</v>
      </c>
      <c r="I87" s="70">
        <f>COUNTIFS('Error Log'!$A:$A,$A87,'Error Log'!$F:$F,"Target")</f>
        <v>0</v>
      </c>
      <c r="J87" s="71">
        <f t="shared" si="1"/>
        <v>100</v>
      </c>
    </row>
    <row r="88" spans="1:10">
      <c r="A88" s="79" t="s">
        <v>916</v>
      </c>
      <c r="B88" s="70"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8" s="70" t="str">
        <f>IF(ISBLANK(A88),"",INDEX('Error Log'!$A:$J,MATCH('Scores per segment'!$A88,'Error Log'!$A:$A,0),MATCH('Scores per segment'!C$1,'Error Log'!$A$1:$J$1,0)))</f>
        <v>vera baird donated # 500,000 to victims first northumbria , a charity which supports crime victims in her area .  
the pair now face a ministry of justice probe as critics accuse them of concocting ' a soap opera ' within the force .  
it comes after the home secretary implemented a rule allowing pccs for victims of crime .</v>
      </c>
      <c r="D88" s="70">
        <f>IF(H88=0,wdct(TRIM(C88)),0)</f>
        <v>53</v>
      </c>
      <c r="E88" s="70">
        <f>COUNTIFS('Error Log'!$A:$A,$A88,'Error Log'!$J:$J,E$1)</f>
        <v>2</v>
      </c>
      <c r="F88" s="70">
        <f>COUNTIFS('Error Log'!$A:$A,$A88,'Error Log'!$J:$J,F$1)</f>
        <v>1</v>
      </c>
      <c r="G88" s="70">
        <f>COUNTIFS('Error Log'!$A:$A,$A88,'Error Log'!$J:$J,G$1)</f>
        <v>0</v>
      </c>
      <c r="H88" s="70">
        <f>COUNTIFS('Error Log'!$A:$A,$A88,'Error Log'!$F:$F,"Source")</f>
        <v>0</v>
      </c>
      <c r="I88" s="70">
        <f>COUNTIFS('Error Log'!$A:$A,$A88,'Error Log'!$F:$F,"Target")</f>
        <v>0</v>
      </c>
      <c r="J88" s="71">
        <f t="shared" si="1"/>
        <v>76.415094339622641</v>
      </c>
    </row>
    <row r="89" spans="1:10">
      <c r="A89" s="79" t="s">
        <v>922</v>
      </c>
      <c r="B89" s="70"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2027 letter from gadahn making recommendations for al qaeda 's media strategy .
gadahn was married to a muslim woman from afghanistan and reportedly had at least one child .
cnn 's steve almasy contributed to this report .</v>
      </c>
      <c r="C89" s="70" t="str">
        <f>IF(ISBLANK(A89),"",INDEX('Error Log'!$A:$J,MATCH('Scores per segment'!$A89,'Error Log'!$A:$A,0),MATCH('Scores per segment'!C$1,'Error Log'!$A$1:$J$1,0)))</f>
        <v xml:space="preserve">adam gadahn , 36 , was killed in january in a u.s. counterterrorism operation .  
his parents changed their name from pearlman after their marriage .  
he was abducted by al qaeda in 2011 </v>
      </c>
      <c r="D89" s="70">
        <f>IF(H89=0,wdct(TRIM(C89)),0)</f>
        <v>31</v>
      </c>
      <c r="E89" s="70">
        <f>COUNTIFS('Error Log'!$A:$A,$A89,'Error Log'!$J:$J,E$1)</f>
        <v>4</v>
      </c>
      <c r="F89" s="70">
        <f>COUNTIFS('Error Log'!$A:$A,$A89,'Error Log'!$J:$J,F$1)</f>
        <v>3</v>
      </c>
      <c r="G89" s="70">
        <f>COUNTIFS('Error Log'!$A:$A,$A89,'Error Log'!$J:$J,G$1)</f>
        <v>0</v>
      </c>
      <c r="H89" s="70">
        <f>COUNTIFS('Error Log'!$A:$A,$A89,'Error Log'!$F:$F,"Source")</f>
        <v>0</v>
      </c>
      <c r="I89" s="70">
        <f>COUNTIFS('Error Log'!$A:$A,$A89,'Error Log'!$F:$F,"Target")</f>
        <v>0</v>
      </c>
      <c r="J89" s="71">
        <f t="shared" si="1"/>
        <v>11.29032258064516</v>
      </c>
    </row>
    <row r="90" spans="1:10">
      <c r="A90" s="98" t="s">
        <v>1197</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 xml:space="preserve">liverpool captain steven gerrard is still one of the best players in the world . 
 gerrard is set to feature for liverpool in the fa cup semi-final against aston villa at wembley on sunday . 
 liverpool captain martin skrtel believes liverpool can fill gerrard 's . </v>
      </c>
      <c r="D90" s="70">
        <f>IF(H90=0,wdct(TRIM(C90)),0)</f>
        <v>43</v>
      </c>
      <c r="E90" s="70">
        <f>COUNTIFS('Error Log'!$A:$A,$A90,'Error Log'!$J:$J,E$1)</f>
        <v>1</v>
      </c>
      <c r="F90" s="70">
        <f>COUNTIFS('Error Log'!$A:$A,$A90,'Error Log'!$J:$J,F$1)</f>
        <v>2</v>
      </c>
      <c r="G90" s="70">
        <f>COUNTIFS('Error Log'!$A:$A,$A90,'Error Log'!$J:$J,G$1)</f>
        <v>0</v>
      </c>
      <c r="H90" s="70">
        <f>COUNTIFS('Error Log'!$A:$A,$A90,'Error Log'!$F:$F,"Source")</f>
        <v>0</v>
      </c>
      <c r="I90" s="70">
        <f>COUNTIFS('Error Log'!$A:$A,$A90,'Error Log'!$F:$F,"Target")</f>
        <v>0</v>
      </c>
      <c r="J90" s="71">
        <f t="shared" si="1"/>
        <v>76.744186046511629</v>
      </c>
    </row>
    <row r="91" spans="1:10">
      <c r="A91" s="98" t="s">
        <v>1198</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she claims her boy has been using them all year , but then a teacher 's aide complained .</v>
      </c>
      <c r="D91" s="70">
        <f>IF(H91=0,wdct(TRIM(C91)),0)</f>
        <v>70</v>
      </c>
      <c r="E91" s="70">
        <f>COUNTIFS('Error Log'!$A:$A,$A91,'Error Log'!$J:$J,E$1)</f>
        <v>2</v>
      </c>
      <c r="F91" s="70">
        <f>COUNTIFS('Error Log'!$A:$A,$A91,'Error Log'!$J:$J,F$1)</f>
        <v>1</v>
      </c>
      <c r="G91" s="70">
        <f>COUNTIFS('Error Log'!$A:$A,$A91,'Error Log'!$J:$J,G$1)</f>
        <v>0</v>
      </c>
      <c r="H91" s="70">
        <f>COUNTIFS('Error Log'!$A:$A,$A91,'Error Log'!$F:$F,"Source")</f>
        <v>0</v>
      </c>
      <c r="I91" s="70">
        <f>COUNTIFS('Error Log'!$A:$A,$A91,'Error Log'!$F:$F,"Target")</f>
        <v>0</v>
      </c>
      <c r="J91" s="71">
        <f t="shared" si="1"/>
        <v>82.142857142857139</v>
      </c>
    </row>
    <row r="92" spans="1:10">
      <c r="A92" s="98" t="s">
        <v>1199</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three-quarters of women never wash their own car with drivers more likely to take it to a car wash on a local forecourt . 
 a third of men have never picked up a bucket and a chamois leather to clean their own motor . 
 only five per cent of those said that had ever asked their children to wash the car as a way for them to earn extra pocket money .</v>
      </c>
      <c r="D92" s="70">
        <f>IF(H92=0,wdct(TRIM(C92)),0)</f>
        <v>69</v>
      </c>
      <c r="E92" s="70">
        <f>COUNTIFS('Error Log'!$A:$A,$A92,'Error Log'!$J:$J,E$1)</f>
        <v>1</v>
      </c>
      <c r="F92" s="70">
        <f>COUNTIFS('Error Log'!$A:$A,$A92,'Error Log'!$J:$J,F$1)</f>
        <v>2</v>
      </c>
      <c r="G92" s="70">
        <f>COUNTIFS('Error Log'!$A:$A,$A92,'Error Log'!$J:$J,G$1)</f>
        <v>0</v>
      </c>
      <c r="H92" s="70">
        <f>COUNTIFS('Error Log'!$A:$A,$A92,'Error Log'!$F:$F,"Source")</f>
        <v>0</v>
      </c>
      <c r="I92" s="70">
        <f>COUNTIFS('Error Log'!$A:$A,$A92,'Error Log'!$F:$F,"Target")</f>
        <v>0</v>
      </c>
      <c r="J92" s="71">
        <f t="shared" si="1"/>
        <v>85.507246376811594</v>
      </c>
    </row>
    <row r="93" spans="1:10">
      <c r="A93" s="98" t="s">
        <v>1200</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 xml:space="preserve">smoked poured over westhampton beach on wednesday at 3pm as a fire spread through 90 condos before the building collapsed . 
 it is not known what started the blaze , which was so intense it melted the paint off nearby buildings . 
 it is used as a holiday home by residents between may and november . </v>
      </c>
      <c r="D93" s="70">
        <f>IF(H93=0,wdct(TRIM(C93)),0)</f>
        <v>52</v>
      </c>
      <c r="E93" s="70">
        <f>COUNTIFS('Error Log'!$A:$A,$A93,'Error Log'!$J:$J,E$1)</f>
        <v>1</v>
      </c>
      <c r="F93" s="70">
        <f>COUNTIFS('Error Log'!$A:$A,$A93,'Error Log'!$J:$J,F$1)</f>
        <v>1</v>
      </c>
      <c r="G93" s="70">
        <f>COUNTIFS('Error Log'!$A:$A,$A93,'Error Log'!$J:$J,G$1)</f>
        <v>0</v>
      </c>
      <c r="H93" s="70">
        <f>COUNTIFS('Error Log'!$A:$A,$A93,'Error Log'!$F:$F,"Source")</f>
        <v>0</v>
      </c>
      <c r="I93" s="70">
        <f>COUNTIFS('Error Log'!$A:$A,$A93,'Error Log'!$F:$F,"Target")</f>
        <v>0</v>
      </c>
      <c r="J93" s="71">
        <f t="shared" si="1"/>
        <v>85.57692307692308</v>
      </c>
    </row>
    <row r="94" spans="1:10">
      <c r="A94" s="98" t="s">
        <v>1201</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 xml:space="preserve">alice barker was a dancer in new york as the cotton club and the cafe zanzibar . 
 `` soundies , '' mark cantor of jazz-on-film , was in a video of her music videos . 
 she said she did n't know what she had dancing . </v>
      </c>
      <c r="D94" s="70">
        <f>IF(H94=0,wdct(TRIM(C94)),0)</f>
        <v>39</v>
      </c>
      <c r="E94" s="70">
        <f>COUNTIFS('Error Log'!$A:$A,$A94,'Error Log'!$J:$J,E$1)</f>
        <v>3</v>
      </c>
      <c r="F94" s="70">
        <f>COUNTIFS('Error Log'!$A:$A,$A94,'Error Log'!$J:$J,F$1)</f>
        <v>4</v>
      </c>
      <c r="G94" s="70">
        <f>COUNTIFS('Error Log'!$A:$A,$A94,'Error Log'!$J:$J,G$1)</f>
        <v>1</v>
      </c>
      <c r="H94" s="70">
        <f>COUNTIFS('Error Log'!$A:$A,$A94,'Error Log'!$F:$F,"Source")</f>
        <v>0</v>
      </c>
      <c r="I94" s="70">
        <f>COUNTIFS('Error Log'!$A:$A,$A94,'Error Log'!$F:$F,"Target")</f>
        <v>0</v>
      </c>
      <c r="J94" s="71">
        <f t="shared" si="1"/>
        <v>34.615384615384613</v>
      </c>
    </row>
    <row r="95" spans="1:10">
      <c r="A95" s="98" t="s">
        <v>1202</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 xml:space="preserve">the monarch , 88 , was spotted trotting through windsor great park aboard her faithful black fell pony , carltonlima emma . 
 the queen is reportedly reluctant to wear one because of her hair . 
 the queen has been encouraged to wear the safety hats . </v>
      </c>
      <c r="D95" s="70">
        <f>IF(H95=0,wdct(TRIM(C95)),0)</f>
        <v>40</v>
      </c>
      <c r="E95" s="70">
        <f>COUNTIFS('Error Log'!$A:$A,$A95,'Error Log'!$J:$J,E$1)</f>
        <v>1</v>
      </c>
      <c r="F95" s="70">
        <f>COUNTIFS('Error Log'!$A:$A,$A95,'Error Log'!$J:$J,F$1)</f>
        <v>0</v>
      </c>
      <c r="G95" s="70">
        <f>COUNTIFS('Error Log'!$A:$A,$A95,'Error Log'!$J:$J,G$1)</f>
        <v>0</v>
      </c>
      <c r="H95" s="70">
        <f>COUNTIFS('Error Log'!$A:$A,$A95,'Error Log'!$F:$F,"Source")</f>
        <v>0</v>
      </c>
      <c r="I95" s="70">
        <f>COUNTIFS('Error Log'!$A:$A,$A95,'Error Log'!$F:$F,"Target")</f>
        <v>0</v>
      </c>
      <c r="J95" s="71">
        <f t="shared" si="1"/>
        <v>87.5</v>
      </c>
    </row>
    <row r="96" spans="1:10">
      <c r="A96" s="98" t="s">
        <v>1203</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 xml:space="preserve">two french tourists allegedly ignited an aerosol spray with a lighter causing a large flame to make contact with a quokka on rottnest island off perth in western australia on april 3 . 
 detectives went to rottnest island on saturday and questioned the two men and seized video evidence of the careless act . 
 they have each been charged with animal cruelty and will appear in fremantle magistrates court on april 17 . </v>
      </c>
      <c r="D96" s="70">
        <f>IF(H96=0,wdct(TRIM(C96)),0)</f>
        <v>70</v>
      </c>
      <c r="E96" s="70">
        <f>COUNTIFS('Error Log'!$A:$A,$A96,'Error Log'!$J:$J,E$1)</f>
        <v>1</v>
      </c>
      <c r="F96" s="70">
        <f>COUNTIFS('Error Log'!$A:$A,$A96,'Error Log'!$J:$J,F$1)</f>
        <v>1</v>
      </c>
      <c r="G96" s="70">
        <f>COUNTIFS('Error Log'!$A:$A,$A96,'Error Log'!$J:$J,G$1)</f>
        <v>0</v>
      </c>
      <c r="H96" s="70">
        <f>COUNTIFS('Error Log'!$A:$A,$A96,'Error Log'!$F:$F,"Source")</f>
        <v>0</v>
      </c>
      <c r="I96" s="70">
        <f>COUNTIFS('Error Log'!$A:$A,$A96,'Error Log'!$F:$F,"Target")</f>
        <v>0</v>
      </c>
      <c r="J96" s="71">
        <f t="shared" si="1"/>
        <v>89.285714285714278</v>
      </c>
    </row>
    <row r="97" spans="1:10">
      <c r="A97" s="98" t="s">
        <v>1204</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 xml:space="preserve">leon yeaman , 55 , was allegedly killed by a single punch in the head from 28-year-old shift worker phillip pama , 28 , during a row in front of their north brisbane homes . 
 mr yeaman was granted conditional bail on friday . 
 he was ordered to return to court on may 18 . </v>
      </c>
      <c r="D97" s="70">
        <f>IF(H97=0,wdct(TRIM(C97)),0)</f>
        <v>48</v>
      </c>
      <c r="E97" s="70">
        <f>COUNTIFS('Error Log'!$A:$A,$A97,'Error Log'!$J:$J,E$1)</f>
        <v>2</v>
      </c>
      <c r="F97" s="70">
        <f>COUNTIFS('Error Log'!$A:$A,$A97,'Error Log'!$J:$J,F$1)</f>
        <v>0</v>
      </c>
      <c r="G97" s="70">
        <f>COUNTIFS('Error Log'!$A:$A,$A97,'Error Log'!$J:$J,G$1)</f>
        <v>0</v>
      </c>
      <c r="H97" s="70">
        <f>COUNTIFS('Error Log'!$A:$A,$A97,'Error Log'!$F:$F,"Source")</f>
        <v>0</v>
      </c>
      <c r="I97" s="70">
        <f>COUNTIFS('Error Log'!$A:$A,$A97,'Error Log'!$F:$F,"Target")</f>
        <v>0</v>
      </c>
      <c r="J97" s="71">
        <f t="shared" si="1"/>
        <v>79.166666666666657</v>
      </c>
    </row>
    <row r="98" spans="1:10">
      <c r="A98" s="98" t="s">
        <v>1205</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more than 200 students signed the school not to show the movie as part of umix , a series of social events for students . 
 bradley cooper was nominated for an oscar for his portrayal of chris kyle , a navy seal and most lethal sniper . 
 michigan head football coach jim harbaugh .</v>
      </c>
      <c r="D98" s="70">
        <f>IF(H98=0,wdct(TRIM(C98)),0)</f>
        <v>49</v>
      </c>
      <c r="E98" s="70">
        <f>COUNTIFS('Error Log'!$A:$A,$A98,'Error Log'!$J:$J,E$1)</f>
        <v>4</v>
      </c>
      <c r="F98" s="70">
        <f>COUNTIFS('Error Log'!$A:$A,$A98,'Error Log'!$J:$J,F$1)</f>
        <v>2</v>
      </c>
      <c r="G98" s="70">
        <f>COUNTIFS('Error Log'!$A:$A,$A98,'Error Log'!$J:$J,G$1)</f>
        <v>1</v>
      </c>
      <c r="H98" s="70">
        <f>COUNTIFS('Error Log'!$A:$A,$A98,'Error Log'!$F:$F,"Source")</f>
        <v>0</v>
      </c>
      <c r="I98" s="70">
        <f>COUNTIFS('Error Log'!$A:$A,$A98,'Error Log'!$F:$F,"Target")</f>
        <v>0</v>
      </c>
      <c r="J98" s="71">
        <f t="shared" si="1"/>
        <v>47.959183673469383</v>
      </c>
    </row>
    <row r="99" spans="1:10">
      <c r="A99" s="98" t="s">
        <v>1206</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 xml:space="preserve">yulia simonova , 52 , wanted to hire a hitman to torture and murder 15-year-old damian vanya in exchange for 100,000 rubles , after he dumped her for a classmate . 
 police arrested the 52-year-old in her car . 
 russian music teacher now faces 15 years in prison after being charged with attempted murder . </v>
      </c>
      <c r="D99" s="70">
        <f>IF(H99=0,wdct(TRIM(C99)),0)</f>
        <v>49</v>
      </c>
      <c r="E99" s="70">
        <f>COUNTIFS('Error Log'!$A:$A,$A99,'Error Log'!$J:$J,E$1)</f>
        <v>0</v>
      </c>
      <c r="F99" s="70">
        <f>COUNTIFS('Error Log'!$A:$A,$A99,'Error Log'!$J:$J,F$1)</f>
        <v>1</v>
      </c>
      <c r="G99" s="70">
        <f>COUNTIFS('Error Log'!$A:$A,$A99,'Error Log'!$J:$J,G$1)</f>
        <v>0</v>
      </c>
      <c r="H99" s="70">
        <f>COUNTIFS('Error Log'!$A:$A,$A99,'Error Log'!$F:$F,"Source")</f>
        <v>0</v>
      </c>
      <c r="I99" s="70">
        <f>COUNTIFS('Error Log'!$A:$A,$A99,'Error Log'!$F:$F,"Target")</f>
        <v>0</v>
      </c>
      <c r="J99" s="71">
        <f t="shared" si="1"/>
        <v>94.897959183673464</v>
      </c>
    </row>
    <row r="100" spans="1:10">
      <c r="A100" s="98" t="s">
        <v>1207</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louise redknapp says trouser can come as the wide leg trouser jean . 
 lou jeans will not go out of the leg trouser . 
 the trouser is a wide leg trouser .</v>
      </c>
      <c r="D100" s="70">
        <f>IF(H100=0,wdct(TRIM(C100)),0)</f>
        <v>29</v>
      </c>
      <c r="E100" s="70">
        <f>COUNTIFS('Error Log'!$A:$A,$A100,'Error Log'!$J:$J,E$1)</f>
        <v>3</v>
      </c>
      <c r="F100" s="70">
        <f>COUNTIFS('Error Log'!$A:$A,$A100,'Error Log'!$J:$J,F$1)</f>
        <v>5</v>
      </c>
      <c r="G100" s="70">
        <f>COUNTIFS('Error Log'!$A:$A,$A100,'Error Log'!$J:$J,G$1)</f>
        <v>0</v>
      </c>
      <c r="H100" s="70">
        <f>COUNTIFS('Error Log'!$A:$A,$A100,'Error Log'!$F:$F,"Source")</f>
        <v>0</v>
      </c>
      <c r="I100" s="70">
        <f>COUNTIFS('Error Log'!$A:$A,$A100,'Error Log'!$F:$F,"Target")</f>
        <v>0</v>
      </c>
      <c r="J100" s="71">
        <f t="shared" si="1"/>
        <v>5.1724137931034448</v>
      </c>
    </row>
    <row r="101" spans="1:10">
      <c r="A101" s="98" t="s">
        <v>1208</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jose mourinho said he tries his best to separate his professional and family life . 
 the father-of-two said that he and his family ` know about poverty ' and have been privileged to have worked with the word food programme as an ambassador against hunger . 
 chelsea are currently top of the league and are playing struggling qpr this weekend .</v>
      </c>
      <c r="D101" s="70">
        <f>IF(H101=0,wdct(TRIM(C101)),0)</f>
        <v>56</v>
      </c>
      <c r="E101" s="70">
        <f>COUNTIFS('Error Log'!$A:$A,$A101,'Error Log'!$J:$J,E$1)</f>
        <v>2</v>
      </c>
      <c r="F101" s="70">
        <f>COUNTIFS('Error Log'!$A:$A,$A101,'Error Log'!$J:$J,F$1)</f>
        <v>1</v>
      </c>
      <c r="G101" s="70">
        <f>COUNTIFS('Error Log'!$A:$A,$A101,'Error Log'!$J:$J,G$1)</f>
        <v>0</v>
      </c>
      <c r="H101" s="70">
        <f>COUNTIFS('Error Log'!$A:$A,$A101,'Error Log'!$F:$F,"Source")</f>
        <v>0</v>
      </c>
      <c r="I101" s="70">
        <f>COUNTIFS('Error Log'!$A:$A,$A101,'Error Log'!$F:$F,"Target")</f>
        <v>0</v>
      </c>
      <c r="J101" s="71">
        <f t="shared" si="1"/>
        <v>77.678571428571431</v>
      </c>
    </row>
    <row r="102" spans="1:10">
      <c r="A102" s="98" t="s">
        <v>1209</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james haskell showed off his inner iron man in a instagram post . 
 the movie premiered at westfield london shopping centre on tuesday . 
 haskell returned to wasps for the 2012 season after spells with stade francais and ricoh black rams and highlanders in new zealand .</v>
      </c>
      <c r="D102" s="70">
        <f>IF(H102=0,wdct(TRIM(C102)),0)</f>
        <v>44</v>
      </c>
      <c r="E102" s="70">
        <f>COUNTIFS('Error Log'!$A:$A,$A102,'Error Log'!$J:$J,E$1)</f>
        <v>0</v>
      </c>
      <c r="F102" s="70">
        <f>COUNTIFS('Error Log'!$A:$A,$A102,'Error Log'!$J:$J,F$1)</f>
        <v>0</v>
      </c>
      <c r="G102" s="70">
        <f>COUNTIFS('Error Log'!$A:$A,$A102,'Error Log'!$J:$J,G$1)</f>
        <v>0</v>
      </c>
      <c r="H102" s="70">
        <f>COUNTIFS('Error Log'!$A:$A,$A102,'Error Log'!$F:$F,"Source")</f>
        <v>0</v>
      </c>
      <c r="I102" s="70">
        <f>COUNTIFS('Error Log'!$A:$A,$A102,'Error Log'!$F:$F,"Target")</f>
        <v>0</v>
      </c>
      <c r="J102" s="71">
        <f t="shared" si="1"/>
        <v>100</v>
      </c>
    </row>
    <row r="103" spans="1:10">
      <c r="A103" s="79" t="s">
        <v>1210</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bob barker hosted `` the price is right '' on april 1 edition . 
 contestants told to `` come on down ! '' for the first time in eight years . 
 barker 's `` lucky seven '' game show for 35 years .</v>
      </c>
      <c r="D103" s="70">
        <f>IF(H103=0,wdct(TRIM(C103)),0)</f>
        <v>33</v>
      </c>
      <c r="E103" s="70">
        <f>COUNTIFS('Error Log'!$A:$A,$A103,'Error Log'!$J:$J,E$1)</f>
        <v>1</v>
      </c>
      <c r="F103" s="70">
        <f>COUNTIFS('Error Log'!$A:$A,$A103,'Error Log'!$J:$J,F$1)</f>
        <v>2</v>
      </c>
      <c r="G103" s="70">
        <f>COUNTIFS('Error Log'!$A:$A,$A103,'Error Log'!$J:$J,G$1)</f>
        <v>0</v>
      </c>
      <c r="H103" s="70">
        <f>COUNTIFS('Error Log'!$A:$A,$A103,'Error Log'!$F:$F,"Source")</f>
        <v>0</v>
      </c>
      <c r="I103" s="70">
        <f>COUNTIFS('Error Log'!$A:$A,$A103,'Error Log'!$F:$F,"Target")</f>
        <v>0</v>
      </c>
      <c r="J103" s="71">
        <f t="shared" si="1"/>
        <v>69.696969696969688</v>
      </c>
    </row>
    <row r="104" spans="1:10">
      <c r="A104" s="79" t="s">
        <v>1211</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amateur jockey lee lewis ferguson has just a cut on his nose to show for the fall . 
 ferguson was flung from his horse in the 4.20 pm on thursday morning . 
 ferguson 's double somersault fall from merrion square was watched online .</v>
      </c>
      <c r="D104" s="70">
        <f>IF(H104=0,wdct(TRIM(C104)),0)</f>
        <v>41</v>
      </c>
      <c r="E104" s="70">
        <f>COUNTIFS('Error Log'!$A:$A,$A104,'Error Log'!$J:$J,E$1)</f>
        <v>2</v>
      </c>
      <c r="F104" s="70">
        <f>COUNTIFS('Error Log'!$A:$A,$A104,'Error Log'!$J:$J,F$1)</f>
        <v>0</v>
      </c>
      <c r="G104" s="70">
        <f>COUNTIFS('Error Log'!$A:$A,$A104,'Error Log'!$J:$J,G$1)</f>
        <v>0</v>
      </c>
      <c r="H104" s="70">
        <f>COUNTIFS('Error Log'!$A:$A,$A104,'Error Log'!$F:$F,"Source")</f>
        <v>0</v>
      </c>
      <c r="I104" s="70">
        <f>COUNTIFS('Error Log'!$A:$A,$A104,'Error Log'!$F:$F,"Target")</f>
        <v>0</v>
      </c>
      <c r="J104" s="71">
        <f t="shared" si="1"/>
        <v>75.609756097560975</v>
      </c>
    </row>
    <row r="105" spans="1:10">
      <c r="A105" s="79" t="s">
        <v>1212</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v>
      </c>
      <c r="D105" s="70">
        <f>IF(H105=0,wdct(TRIM(C105)),0)</f>
        <v>59</v>
      </c>
      <c r="E105" s="70">
        <f>COUNTIFS('Error Log'!$A:$A,$A105,'Error Log'!$J:$J,E$1)</f>
        <v>1</v>
      </c>
      <c r="F105" s="70">
        <f>COUNTIFS('Error Log'!$A:$A,$A105,'Error Log'!$J:$J,F$1)</f>
        <v>2</v>
      </c>
      <c r="G105" s="70">
        <f>COUNTIFS('Error Log'!$A:$A,$A105,'Error Log'!$J:$J,G$1)</f>
        <v>0</v>
      </c>
      <c r="H105" s="70">
        <f>COUNTIFS('Error Log'!$A:$A,$A105,'Error Log'!$F:$F,"Source")</f>
        <v>0</v>
      </c>
      <c r="I105" s="70">
        <f>COUNTIFS('Error Log'!$A:$A,$A105,'Error Log'!$F:$F,"Target")</f>
        <v>0</v>
      </c>
      <c r="J105" s="71">
        <f t="shared" si="1"/>
        <v>83.050847457627128</v>
      </c>
    </row>
    <row r="106" spans="1:10">
      <c r="A106" s="79" t="s">
        <v>1213</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pablo osvaldo has urged italian legends andrea pirlo and francesco totti to move to boca juniors . 
 the 29-year-old moved to his current side on a loan deal from southampton . 
 osvaldo believes that the duo would be a good fit for boca juniors .</v>
      </c>
      <c r="D106" s="70">
        <f>IF(H106=0,wdct(TRIM(C106)),0)</f>
        <v>42</v>
      </c>
      <c r="E106" s="70">
        <f>COUNTIFS('Error Log'!$A:$A,$A106,'Error Log'!$J:$J,E$1)</f>
        <v>1</v>
      </c>
      <c r="F106" s="70">
        <f>COUNTIFS('Error Log'!$A:$A,$A106,'Error Log'!$J:$J,F$1)</f>
        <v>1</v>
      </c>
      <c r="G106" s="70">
        <f>COUNTIFS('Error Log'!$A:$A,$A106,'Error Log'!$J:$J,G$1)</f>
        <v>0</v>
      </c>
      <c r="H106" s="70">
        <f>COUNTIFS('Error Log'!$A:$A,$A106,'Error Log'!$F:$F,"Source")</f>
        <v>0</v>
      </c>
      <c r="I106" s="70">
        <f>COUNTIFS('Error Log'!$A:$A,$A106,'Error Log'!$F:$F,"Target")</f>
        <v>0</v>
      </c>
      <c r="J106" s="71">
        <f t="shared" si="1"/>
        <v>82.142857142857139</v>
      </c>
    </row>
    <row r="107" spans="1:10">
      <c r="A107" s="79" t="s">
        <v>1214</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atif saeed , 38 , from lahore , pakistan was in the safari park when he spotted the male lion in the distance . 
 mr saeed got out of his car and fired off the hunter armed only with a camera . 
 atif saeed crept to within 10 feet of the lion .</v>
      </c>
      <c r="D107" s="70">
        <f>IF(H107=0,wdct(TRIM(C107)),0)</f>
        <v>47</v>
      </c>
      <c r="E107" s="70">
        <f>COUNTIFS('Error Log'!$A:$A,$A107,'Error Log'!$J:$J,E$1)</f>
        <v>2</v>
      </c>
      <c r="F107" s="70">
        <f>COUNTIFS('Error Log'!$A:$A,$A107,'Error Log'!$J:$J,F$1)</f>
        <v>0</v>
      </c>
      <c r="G107" s="70">
        <f>COUNTIFS('Error Log'!$A:$A,$A107,'Error Log'!$J:$J,G$1)</f>
        <v>0</v>
      </c>
      <c r="H107" s="70">
        <f>COUNTIFS('Error Log'!$A:$A,$A107,'Error Log'!$F:$F,"Source")</f>
        <v>0</v>
      </c>
      <c r="I107" s="70">
        <f>COUNTIFS('Error Log'!$A:$A,$A107,'Error Log'!$F:$F,"Target")</f>
        <v>0</v>
      </c>
      <c r="J107" s="71">
        <f t="shared" si="1"/>
        <v>78.723404255319153</v>
      </c>
    </row>
    <row r="108" spans="1:10">
      <c r="A108" s="79" t="s">
        <v>1215</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 xml:space="preserve">dani alves has been unable to agree a new deal with the catalan club and will leave the nou camp this summer . 
 former sevilla full-back has been linked with manchester united and manchester city . 
 alves has enjoyed seven successful years at barcelona . </v>
      </c>
      <c r="D108" s="70">
        <f>IF(H108=0,wdct(TRIM(C108)),0)</f>
        <v>42</v>
      </c>
      <c r="E108" s="70">
        <f>COUNTIFS('Error Log'!$A:$A,$A108,'Error Log'!$J:$J,E$1)</f>
        <v>1</v>
      </c>
      <c r="F108" s="70">
        <f>COUNTIFS('Error Log'!$A:$A,$A108,'Error Log'!$J:$J,F$1)</f>
        <v>1</v>
      </c>
      <c r="G108" s="70">
        <f>COUNTIFS('Error Log'!$A:$A,$A108,'Error Log'!$J:$J,G$1)</f>
        <v>0</v>
      </c>
      <c r="H108" s="70">
        <f>COUNTIFS('Error Log'!$A:$A,$A108,'Error Log'!$F:$F,"Source")</f>
        <v>0</v>
      </c>
      <c r="I108" s="70">
        <f>COUNTIFS('Error Log'!$A:$A,$A108,'Error Log'!$F:$F,"Target")</f>
        <v>0</v>
      </c>
      <c r="J108" s="71">
        <f t="shared" si="1"/>
        <v>82.142857142857139</v>
      </c>
    </row>
    <row r="109" spans="1:10">
      <c r="A109" s="79" t="s">
        <v>1216</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 xml:space="preserve">the unnamed woman , believed to be 25 to 45 years old , was discovered lying unconscious march 22 in the area near shore parkway and 26th avenue in the gravesend section of brooklyn . 
 paramedics who were unable to revive her and she was pronounced dead that evening . 
 police are still awaiting a medical examiner 's report . </v>
      </c>
      <c r="D109" s="70">
        <f>IF(H109=0,wdct(TRIM(C109)),0)</f>
        <v>55</v>
      </c>
      <c r="E109" s="70">
        <f>COUNTIFS('Error Log'!$A:$A,$A109,'Error Log'!$J:$J,E$1)</f>
        <v>1</v>
      </c>
      <c r="F109" s="70">
        <f>COUNTIFS('Error Log'!$A:$A,$A109,'Error Log'!$J:$J,F$1)</f>
        <v>2</v>
      </c>
      <c r="G109" s="70">
        <f>COUNTIFS('Error Log'!$A:$A,$A109,'Error Log'!$J:$J,G$1)</f>
        <v>0</v>
      </c>
      <c r="H109" s="70">
        <f>COUNTIFS('Error Log'!$A:$A,$A109,'Error Log'!$F:$F,"Source")</f>
        <v>0</v>
      </c>
      <c r="I109" s="70">
        <f>COUNTIFS('Error Log'!$A:$A,$A109,'Error Log'!$F:$F,"Target")</f>
        <v>0</v>
      </c>
      <c r="J109" s="71">
        <f t="shared" si="1"/>
        <v>81.818181818181813</v>
      </c>
    </row>
    <row r="110" spans="1:10">
      <c r="A110" s="79" t="s">
        <v>1217</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v>
      </c>
      <c r="D110" s="70">
        <f>IF(H110=0,wdct(TRIM(C110)),0)</f>
        <v>66</v>
      </c>
      <c r="E110" s="70">
        <f>COUNTIFS('Error Log'!$A:$A,$A110,'Error Log'!$J:$J,E$1)</f>
        <v>2</v>
      </c>
      <c r="F110" s="70">
        <f>COUNTIFS('Error Log'!$A:$A,$A110,'Error Log'!$J:$J,F$1)</f>
        <v>2</v>
      </c>
      <c r="G110" s="70">
        <f>COUNTIFS('Error Log'!$A:$A,$A110,'Error Log'!$J:$J,G$1)</f>
        <v>0</v>
      </c>
      <c r="H110" s="70">
        <f>COUNTIFS('Error Log'!$A:$A,$A110,'Error Log'!$F:$F,"Source")</f>
        <v>0</v>
      </c>
      <c r="I110" s="70">
        <f>COUNTIFS('Error Log'!$A:$A,$A110,'Error Log'!$F:$F,"Target")</f>
        <v>0</v>
      </c>
      <c r="J110" s="71">
        <f t="shared" si="1"/>
        <v>77.272727272727266</v>
      </c>
    </row>
    <row r="111" spans="1:10">
      <c r="A111" s="79" t="s">
        <v>1218</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 xml:space="preserve">hannah and alex purchased a solar-powered two-bedroom , wood and steel home that now allows them to live almost self-sufficiently in nelson , new zealand . 
 a new zealand couple built this country home on the bed of a flatbed truck . 
 the couple built a home in about a year and a half . </v>
      </c>
      <c r="D111" s="70">
        <f>IF(H111=0,wdct(TRIM(C111)),0)</f>
        <v>50</v>
      </c>
      <c r="E111" s="70">
        <f>COUNTIFS('Error Log'!$A:$A,$A111,'Error Log'!$J:$J,E$1)</f>
        <v>2</v>
      </c>
      <c r="F111" s="70">
        <f>COUNTIFS('Error Log'!$A:$A,$A111,'Error Log'!$J:$J,F$1)</f>
        <v>1</v>
      </c>
      <c r="G111" s="70">
        <f>COUNTIFS('Error Log'!$A:$A,$A111,'Error Log'!$J:$J,G$1)</f>
        <v>0</v>
      </c>
      <c r="H111" s="70">
        <f>COUNTIFS('Error Log'!$A:$A,$A111,'Error Log'!$F:$F,"Source")</f>
        <v>0</v>
      </c>
      <c r="I111" s="70">
        <f>COUNTIFS('Error Log'!$A:$A,$A111,'Error Log'!$F:$F,"Target")</f>
        <v>0</v>
      </c>
      <c r="J111" s="71">
        <f t="shared" si="1"/>
        <v>75</v>
      </c>
    </row>
    <row r="112" spans="1:10">
      <c r="A112" s="79" t="s">
        <v>1219</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 xml:space="preserve">12 per cent of people questioned thought the child should be named after william 's mother - diana the princess of wales . 
 brits are hoping for a baby princess this time and favour the name diana . alice and charlotte were next in terms of preference . </v>
      </c>
      <c r="D112" s="70">
        <f>IF(H112=0,wdct(TRIM(C112)),0)</f>
        <v>44</v>
      </c>
      <c r="E112" s="70">
        <f>COUNTIFS('Error Log'!$A:$A,$A112,'Error Log'!$J:$J,E$1)</f>
        <v>1</v>
      </c>
      <c r="F112" s="70">
        <f>COUNTIFS('Error Log'!$A:$A,$A112,'Error Log'!$J:$J,F$1)</f>
        <v>1</v>
      </c>
      <c r="G112" s="70">
        <f>COUNTIFS('Error Log'!$A:$A,$A112,'Error Log'!$J:$J,G$1)</f>
        <v>0</v>
      </c>
      <c r="H112" s="70">
        <f>COUNTIFS('Error Log'!$A:$A,$A112,'Error Log'!$F:$F,"Source")</f>
        <v>0</v>
      </c>
      <c r="I112" s="70">
        <f>COUNTIFS('Error Log'!$A:$A,$A112,'Error Log'!$F:$F,"Target")</f>
        <v>0</v>
      </c>
      <c r="J112" s="71">
        <f t="shared" si="1"/>
        <v>82.954545454545467</v>
      </c>
    </row>
    <row r="113" spans="1:10">
      <c r="A113" s="79" t="s">
        <v>1220</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 xml:space="preserve">children who share ipads in class do much better in early literacy tests than those who do n't , researchers claim . 
 shared ipad students scored around 30 points higher in a test than students who used the device on their own and non-ipad users . 
 she worked with 352 students at a suburban school district during the research . </v>
      </c>
      <c r="D113" s="70">
        <f>IF(H113=0,wdct(TRIM(C113)),0)</f>
        <v>56</v>
      </c>
      <c r="E113" s="70">
        <f>COUNTIFS('Error Log'!$A:$A,$A113,'Error Log'!$J:$J,E$1)</f>
        <v>0</v>
      </c>
      <c r="F113" s="70">
        <f>COUNTIFS('Error Log'!$A:$A,$A113,'Error Log'!$J:$J,F$1)</f>
        <v>2</v>
      </c>
      <c r="G113" s="70">
        <f>COUNTIFS('Error Log'!$A:$A,$A113,'Error Log'!$J:$J,G$1)</f>
        <v>0</v>
      </c>
      <c r="H113" s="70">
        <f>COUNTIFS('Error Log'!$A:$A,$A113,'Error Log'!$F:$F,"Source")</f>
        <v>0</v>
      </c>
      <c r="I113" s="70">
        <f>COUNTIFS('Error Log'!$A:$A,$A113,'Error Log'!$F:$F,"Target")</f>
        <v>0</v>
      </c>
      <c r="J113" s="71">
        <f t="shared" si="1"/>
        <v>91.071428571428569</v>
      </c>
    </row>
    <row r="114" spans="1:10">
      <c r="A114" s="79" t="s">
        <v>1221</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nina moric , 38 , posted photos of heavy bruising on her instagram account . 
 italian media reported that ms moric tried to take her own life . 
 ms moric told her fans that she was recovering at home after being treated in hospital on saturday night .</v>
      </c>
      <c r="D114" s="70">
        <f>IF(H114=0,wdct(TRIM(C114)),0)</f>
        <v>43</v>
      </c>
      <c r="E114" s="70">
        <f>COUNTIFS('Error Log'!$A:$A,$A114,'Error Log'!$J:$J,E$1)</f>
        <v>2</v>
      </c>
      <c r="F114" s="70">
        <f>COUNTIFS('Error Log'!$A:$A,$A114,'Error Log'!$J:$J,F$1)</f>
        <v>2</v>
      </c>
      <c r="G114" s="70">
        <f>COUNTIFS('Error Log'!$A:$A,$A114,'Error Log'!$J:$J,G$1)</f>
        <v>0</v>
      </c>
      <c r="H114" s="70">
        <f>COUNTIFS('Error Log'!$A:$A,$A114,'Error Log'!$F:$F,"Source")</f>
        <v>0</v>
      </c>
      <c r="I114" s="70">
        <f>COUNTIFS('Error Log'!$A:$A,$A114,'Error Log'!$F:$F,"Target")</f>
        <v>0</v>
      </c>
      <c r="J114" s="71">
        <f t="shared" si="1"/>
        <v>65.116279069767444</v>
      </c>
    </row>
    <row r="115" spans="1:10">
      <c r="A115" s="79" t="s">
        <v>1222</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the piglet was born with its back legs missing . 
 the clip featured on the people 's daily online shows the young animal . 
 the piglet have all been born with all four legs .</v>
      </c>
      <c r="D115" s="70">
        <f>IF(H115=0,wdct(TRIM(C115)),0)</f>
        <v>32</v>
      </c>
      <c r="E115" s="70">
        <f>COUNTIFS('Error Log'!$A:$A,$A115,'Error Log'!$J:$J,E$1)</f>
        <v>3</v>
      </c>
      <c r="F115" s="70">
        <f>COUNTIFS('Error Log'!$A:$A,$A115,'Error Log'!$J:$J,F$1)</f>
        <v>2</v>
      </c>
      <c r="G115" s="70">
        <f>COUNTIFS('Error Log'!$A:$A,$A115,'Error Log'!$J:$J,G$1)</f>
        <v>0</v>
      </c>
      <c r="H115" s="70">
        <f>COUNTIFS('Error Log'!$A:$A,$A115,'Error Log'!$F:$F,"Source")</f>
        <v>0</v>
      </c>
      <c r="I115" s="70">
        <f>COUNTIFS('Error Log'!$A:$A,$A115,'Error Log'!$F:$F,"Target")</f>
        <v>0</v>
      </c>
      <c r="J115" s="71">
        <f t="shared" si="1"/>
        <v>37.5</v>
      </c>
    </row>
    <row r="116" spans="1:10">
      <c r="A116" s="79" t="s">
        <v>1223</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residents of new south wales are being warned to brace for more floods and damage , with heavy rain possible from thursday . 
 state emergency service was deluged with calls for assistance last week and has more than 4,000 jobs from the 24,196 requests still to be completed . 
 the same weather system that lashed the state 's east coast for three days last week could hit the region .</v>
      </c>
      <c r="D116" s="70">
        <f>IF(H116=0,wdct(TRIM(C116)),0)</f>
        <v>66</v>
      </c>
      <c r="E116" s="70">
        <f>COUNTIFS('Error Log'!$A:$A,$A116,'Error Log'!$J:$J,E$1)</f>
        <v>1</v>
      </c>
      <c r="F116" s="70">
        <f>COUNTIFS('Error Log'!$A:$A,$A116,'Error Log'!$J:$J,F$1)</f>
        <v>1</v>
      </c>
      <c r="G116" s="70">
        <f>COUNTIFS('Error Log'!$A:$A,$A116,'Error Log'!$J:$J,G$1)</f>
        <v>0</v>
      </c>
      <c r="H116" s="70">
        <f>COUNTIFS('Error Log'!$A:$A,$A116,'Error Log'!$F:$F,"Source")</f>
        <v>0</v>
      </c>
      <c r="I116" s="70">
        <f>COUNTIFS('Error Log'!$A:$A,$A116,'Error Log'!$F:$F,"Target")</f>
        <v>0</v>
      </c>
      <c r="J116" s="71">
        <f t="shared" si="1"/>
        <v>88.636363636363626</v>
      </c>
    </row>
    <row r="117" spans="1:10">
      <c r="A117" s="79" t="s">
        <v>1224</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todd phillips , a front-outside tire changer for dayle coyne racing , was injuried when he was struck by the car of francesco dracone , who had come in on lap 25 for tires and fuel . 
 dracone spun while exiting his put box , clipping phillips ' leg . 
 phillips was taken to the care center for treatment where he has received stitches for a cut on his leg and has been released .</v>
      </c>
      <c r="D117" s="70">
        <f>IF(H117=0,wdct(TRIM(C117)),0)</f>
        <v>67</v>
      </c>
      <c r="E117" s="70">
        <f>COUNTIFS('Error Log'!$A:$A,$A117,'Error Log'!$J:$J,E$1)</f>
        <v>1</v>
      </c>
      <c r="F117" s="70">
        <f>COUNTIFS('Error Log'!$A:$A,$A117,'Error Log'!$J:$J,F$1)</f>
        <v>1</v>
      </c>
      <c r="G117" s="70">
        <f>COUNTIFS('Error Log'!$A:$A,$A117,'Error Log'!$J:$J,G$1)</f>
        <v>0</v>
      </c>
      <c r="H117" s="70">
        <f>COUNTIFS('Error Log'!$A:$A,$A117,'Error Log'!$F:$F,"Source")</f>
        <v>0</v>
      </c>
      <c r="I117" s="70">
        <f>COUNTIFS('Error Log'!$A:$A,$A117,'Error Log'!$F:$F,"Target")</f>
        <v>0</v>
      </c>
      <c r="J117" s="71">
        <f t="shared" si="1"/>
        <v>88.805970149253739</v>
      </c>
    </row>
    <row r="118" spans="1:10">
      <c r="A118" s="79" t="s">
        <v>1225</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russia beat lisicki 4-6 , 7-6 -lrb- 4 -rrb- , 6-3 . 
 anastasia pavlyuchenkova beat germany 's sabine lisicki for a 2-0 lead in the opening rubber . 
 russia are on the fed cup final with 2-0 lead after svetlana lisicki .</v>
      </c>
      <c r="D118" s="70">
        <f>IF(H118=0,wdct(TRIM(C118)),0)</f>
        <v>37</v>
      </c>
      <c r="E118" s="70">
        <f>COUNTIFS('Error Log'!$A:$A,$A118,'Error Log'!$J:$J,E$1)</f>
        <v>4</v>
      </c>
      <c r="F118" s="70">
        <f>COUNTIFS('Error Log'!$A:$A,$A118,'Error Log'!$J:$J,F$1)</f>
        <v>3</v>
      </c>
      <c r="G118" s="70">
        <f>COUNTIFS('Error Log'!$A:$A,$A118,'Error Log'!$J:$J,G$1)</f>
        <v>0</v>
      </c>
      <c r="H118" s="70">
        <f>COUNTIFS('Error Log'!$A:$A,$A118,'Error Log'!$F:$F,"Source")</f>
        <v>0</v>
      </c>
      <c r="I118" s="70">
        <f>COUNTIFS('Error Log'!$A:$A,$A118,'Error Log'!$F:$F,"Target")</f>
        <v>0</v>
      </c>
      <c r="J118" s="71">
        <f t="shared" si="1"/>
        <v>25.675675675675681</v>
      </c>
    </row>
    <row r="119" spans="1:10">
      <c r="A119" s="79" t="s">
        <v>1226</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milton vieira severiano , 32 , confessed that he battered and shot his dancer wife 's head into concrete paving 11 times then shooting her in the face five times . 
 sickening video captured on security cameras shows crazed dancer cicera alves de sena , 29 , into the garden of their apartment in rio de janeiro in eastern brazil . 
 severiano confessed he 'd carried out the act because he was jealous of men looking at her .</v>
      </c>
      <c r="D119" s="70">
        <f>IF(H119=0,wdct(TRIM(C119)),0)</f>
        <v>72</v>
      </c>
      <c r="E119" s="70">
        <f>COUNTIFS('Error Log'!$A:$A,$A119,'Error Log'!$J:$J,E$1)</f>
        <v>5</v>
      </c>
      <c r="F119" s="70">
        <f>COUNTIFS('Error Log'!$A:$A,$A119,'Error Log'!$J:$J,F$1)</f>
        <v>2</v>
      </c>
      <c r="G119" s="70">
        <f>COUNTIFS('Error Log'!$A:$A,$A119,'Error Log'!$J:$J,G$1)</f>
        <v>0</v>
      </c>
      <c r="H119" s="70">
        <f>COUNTIFS('Error Log'!$A:$A,$A119,'Error Log'!$F:$F,"Source")</f>
        <v>0</v>
      </c>
      <c r="I119" s="70">
        <f>COUNTIFS('Error Log'!$A:$A,$A119,'Error Log'!$F:$F,"Target")</f>
        <v>0</v>
      </c>
      <c r="J119" s="71">
        <f t="shared" si="1"/>
        <v>58.333333333333329</v>
      </c>
    </row>
    <row r="120" spans="1:10">
      <c r="A120" s="79" t="s">
        <v>1227</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bobbi kristina brown is the daughter of bobby brown and whitney houston . 
 she remains in the same neurological state she has been in for three months . 
 she also has a tracheostomy in her throat .</v>
      </c>
      <c r="D120" s="70">
        <f>IF(H120=0,wdct(TRIM(C120)),0)</f>
        <v>34</v>
      </c>
      <c r="E120" s="70">
        <f>COUNTIFS('Error Log'!$A:$A,$A120,'Error Log'!$J:$J,E$1)</f>
        <v>2</v>
      </c>
      <c r="F120" s="70">
        <f>COUNTIFS('Error Log'!$A:$A,$A120,'Error Log'!$J:$J,F$1)</f>
        <v>3</v>
      </c>
      <c r="G120" s="70">
        <f>COUNTIFS('Error Log'!$A:$A,$A120,'Error Log'!$J:$J,G$1)</f>
        <v>0</v>
      </c>
      <c r="H120" s="70">
        <f>COUNTIFS('Error Log'!$A:$A,$A120,'Error Log'!$F:$F,"Source")</f>
        <v>0</v>
      </c>
      <c r="I120" s="70">
        <f>COUNTIFS('Error Log'!$A:$A,$A120,'Error Log'!$F:$F,"Target")</f>
        <v>0</v>
      </c>
      <c r="J120" s="71">
        <f t="shared" si="1"/>
        <v>48.529411764705884</v>
      </c>
    </row>
    <row r="121" spans="1:10">
      <c r="A121" s="79" t="s">
        <v>1228</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journalist and author of the best-selling book i quit sugar has opened up about her own personal battle with mental illness , revealing she came close to taking her own life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v>
      </c>
      <c r="D121" s="70">
        <f>IF(H121=0,wdct(TRIM(C121)),0)</f>
        <v>90</v>
      </c>
      <c r="E121" s="70">
        <f>COUNTIFS('Error Log'!$A:$A,$A121,'Error Log'!$J:$J,E$1)</f>
        <v>2</v>
      </c>
      <c r="F121" s="70">
        <f>COUNTIFS('Error Log'!$A:$A,$A121,'Error Log'!$J:$J,F$1)</f>
        <v>3</v>
      </c>
      <c r="G121" s="70">
        <f>COUNTIFS('Error Log'!$A:$A,$A121,'Error Log'!$J:$J,G$1)</f>
        <v>0</v>
      </c>
      <c r="H121" s="70">
        <f>COUNTIFS('Error Log'!$A:$A,$A121,'Error Log'!$F:$F,"Source")</f>
        <v>0</v>
      </c>
      <c r="I121" s="70">
        <f>COUNTIFS('Error Log'!$A:$A,$A121,'Error Log'!$F:$F,"Target")</f>
        <v>0</v>
      </c>
      <c r="J121" s="71">
        <f t="shared" si="1"/>
        <v>80.555555555555557</v>
      </c>
    </row>
    <row r="122" spans="1:10">
      <c r="A122" s="79" t="s">
        <v>1229</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jack grealish takes to aston villa for first premier league start on tuesday night . 
 ireland under 21 international says he is n't about to change . 
 the aston villa teenager says he will carry on that way .</v>
      </c>
      <c r="D122" s="70">
        <f>IF(H122=0,wdct(TRIM(C122)),0)</f>
        <v>36</v>
      </c>
      <c r="E122" s="70">
        <f>COUNTIFS('Error Log'!$A:$A,$A122,'Error Log'!$J:$J,E$1)</f>
        <v>2</v>
      </c>
      <c r="F122" s="70">
        <f>COUNTIFS('Error Log'!$A:$A,$A122,'Error Log'!$J:$J,F$1)</f>
        <v>2</v>
      </c>
      <c r="G122" s="70">
        <f>COUNTIFS('Error Log'!$A:$A,$A122,'Error Log'!$J:$J,G$1)</f>
        <v>0</v>
      </c>
      <c r="H122" s="70">
        <f>COUNTIFS('Error Log'!$A:$A,$A122,'Error Log'!$F:$F,"Source")</f>
        <v>0</v>
      </c>
      <c r="I122" s="70">
        <f>COUNTIFS('Error Log'!$A:$A,$A122,'Error Log'!$F:$F,"Target")</f>
        <v>0</v>
      </c>
      <c r="J122" s="71">
        <f t="shared" si="1"/>
        <v>58.333333333333329</v>
      </c>
    </row>
    <row r="123" spans="1:10">
      <c r="A123" s="79" t="s">
        <v>1230</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v>
      </c>
      <c r="D123" s="70">
        <f>IF(H123=0,wdct(TRIM(C123)),0)</f>
        <v>82</v>
      </c>
      <c r="E123" s="70">
        <f>COUNTIFS('Error Log'!$A:$A,$A123,'Error Log'!$J:$J,E$1)</f>
        <v>4</v>
      </c>
      <c r="F123" s="70">
        <f>COUNTIFS('Error Log'!$A:$A,$A123,'Error Log'!$J:$J,F$1)</f>
        <v>2</v>
      </c>
      <c r="G123" s="70">
        <f>COUNTIFS('Error Log'!$A:$A,$A123,'Error Log'!$J:$J,G$1)</f>
        <v>0</v>
      </c>
      <c r="H123" s="70">
        <f>COUNTIFS('Error Log'!$A:$A,$A123,'Error Log'!$F:$F,"Source")</f>
        <v>0</v>
      </c>
      <c r="I123" s="70">
        <f>COUNTIFS('Error Log'!$A:$A,$A123,'Error Log'!$F:$F,"Target")</f>
        <v>0</v>
      </c>
      <c r="J123" s="71">
        <f t="shared" si="1"/>
        <v>69.512195121951223</v>
      </c>
    </row>
    <row r="124" spans="1:10">
      <c r="A124" s="15" t="s">
        <v>1231</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the blast occurred at an oil storage facility monday night after an oil leak . 
 five out of six people were injured by broken glass and have been sent to hospital for treatment . 
 more than 600 firefighters were sent to battle the blaze and the fire is now under control .</v>
      </c>
      <c r="D124" s="70">
        <f>IF(H124=0,wdct(TRIM(C124)),0)</f>
        <v>49</v>
      </c>
      <c r="E124" s="70">
        <f>COUNTIFS('Error Log'!$A:$A,$A124,'Error Log'!$J:$J,E$1)</f>
        <v>2</v>
      </c>
      <c r="F124" s="70">
        <f>COUNTIFS('Error Log'!$A:$A,$A124,'Error Log'!$J:$J,F$1)</f>
        <v>2</v>
      </c>
      <c r="G124" s="70">
        <f>COUNTIFS('Error Log'!$A:$A,$A124,'Error Log'!$J:$J,G$1)</f>
        <v>0</v>
      </c>
      <c r="H124" s="70">
        <f>COUNTIFS('Error Log'!$A:$A,$A124,'Error Log'!$F:$F,"Source")</f>
        <v>0</v>
      </c>
      <c r="I124" s="70">
        <f>COUNTIFS('Error Log'!$A:$A,$A124,'Error Log'!$F:$F,"Target")</f>
        <v>0</v>
      </c>
      <c r="J124" s="71">
        <f t="shared" si="1"/>
        <v>69.387755102040813</v>
      </c>
    </row>
    <row r="125" spans="1:10">
      <c r="A125" s="15" t="s">
        <v>1232</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gemma the pit bull was filmed at home in california being fed some treats . 
 but her owner throws a broccoli spear into the mix . 
 she then proceeds to spit it out on the floor .</v>
      </c>
      <c r="D125" s="70">
        <f>IF(H125=0,wdct(TRIM(C125)),0)</f>
        <v>34</v>
      </c>
      <c r="E125" s="70">
        <f>COUNTIFS('Error Log'!$A:$A,$A125,'Error Log'!$J:$J,E$1)</f>
        <v>0</v>
      </c>
      <c r="F125" s="70">
        <f>COUNTIFS('Error Log'!$A:$A,$A125,'Error Log'!$J:$J,F$1)</f>
        <v>0</v>
      </c>
      <c r="G125" s="70">
        <f>COUNTIFS('Error Log'!$A:$A,$A125,'Error Log'!$J:$J,G$1)</f>
        <v>0</v>
      </c>
      <c r="H125" s="70">
        <f>COUNTIFS('Error Log'!$A:$A,$A125,'Error Log'!$F:$F,"Source")</f>
        <v>0</v>
      </c>
      <c r="I125" s="70">
        <f>COUNTIFS('Error Log'!$A:$A,$A125,'Error Log'!$F:$F,"Target")</f>
        <v>0</v>
      </c>
      <c r="J125" s="71">
        <f t="shared" si="1"/>
        <v>100</v>
      </c>
    </row>
    <row r="126" spans="1:10">
      <c r="A126" s="15" t="s">
        <v>1233</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witness robert kushner lost his varsity coaching job at a private academy after testifying this week about his years selling marijuana . 
 kushner , 32 , is one of more than a dozen former drug dealers testifying for the federal government about allegations of police wrongdoing . 
 kushner had passed a background check when he was hired to coach basketball in 2010 .</v>
      </c>
      <c r="D126" s="70">
        <f>IF(H126=0,wdct(TRIM(C126)),0)</f>
        <v>58</v>
      </c>
      <c r="E126" s="70">
        <f>COUNTIFS('Error Log'!$A:$A,$A126,'Error Log'!$J:$J,E$1)</f>
        <v>0</v>
      </c>
      <c r="F126" s="70">
        <f>COUNTIFS('Error Log'!$A:$A,$A126,'Error Log'!$J:$J,F$1)</f>
        <v>0</v>
      </c>
      <c r="G126" s="70">
        <f>COUNTIFS('Error Log'!$A:$A,$A126,'Error Log'!$J:$J,G$1)</f>
        <v>0</v>
      </c>
      <c r="H126" s="70">
        <f>COUNTIFS('Error Log'!$A:$A,$A126,'Error Log'!$F:$F,"Source")</f>
        <v>0</v>
      </c>
      <c r="I126" s="70">
        <f>COUNTIFS('Error Log'!$A:$A,$A126,'Error Log'!$F:$F,"Target")</f>
        <v>0</v>
      </c>
      <c r="J126" s="71">
        <f t="shared" si="1"/>
        <v>100</v>
      </c>
    </row>
    <row r="127" spans="1:10">
      <c r="A127" s="15" t="s">
        <v>1234</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 xml:space="preserve">hsbc has apologised after a link on its official website directed visitors to a pornographic page . 
 anyone trying to access the porn site took over the address after the awards were scrapped in 2011 and the organisers allowed its registration on hsbc.com.hk to retire . 
 hsbc removed the hyperlink from its main website after mistake . </v>
      </c>
      <c r="D127" s="70">
        <f>IF(H127=0,wdct(TRIM(C127)),0)</f>
        <v>56</v>
      </c>
      <c r="E127" s="70">
        <f>COUNTIFS('Error Log'!$A:$A,$A127,'Error Log'!$J:$J,E$1)</f>
        <v>4</v>
      </c>
      <c r="F127" s="70">
        <f>COUNTIFS('Error Log'!$A:$A,$A127,'Error Log'!$J:$J,F$1)</f>
        <v>1</v>
      </c>
      <c r="G127" s="70">
        <f>COUNTIFS('Error Log'!$A:$A,$A127,'Error Log'!$J:$J,G$1)</f>
        <v>0</v>
      </c>
      <c r="H127" s="70">
        <f>COUNTIFS('Error Log'!$A:$A,$A127,'Error Log'!$F:$F,"Source")</f>
        <v>0</v>
      </c>
      <c r="I127" s="70">
        <f>COUNTIFS('Error Log'!$A:$A,$A127,'Error Log'!$F:$F,"Target")</f>
        <v>0</v>
      </c>
      <c r="J127" s="71">
        <f t="shared" si="1"/>
        <v>59.821428571428569</v>
      </c>
    </row>
    <row r="128" spans="1:10">
      <c r="A128" s="15" t="s">
        <v>1235</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youtube user lionel hutz filmed his young son chasing the family feline around the garden in a bid to get some rest . 
 footage shows the cat licking his fur before his human friend comes along and plonks himself on top . 
 the boy then proceeds to follow the pet to his new location .</v>
      </c>
      <c r="D128" s="70">
        <f>IF(H128=0,wdct(TRIM(C128)),0)</f>
        <v>52</v>
      </c>
      <c r="E128" s="70">
        <f>COUNTIFS('Error Log'!$A:$A,$A128,'Error Log'!$J:$J,E$1)</f>
        <v>0</v>
      </c>
      <c r="F128" s="70">
        <f>COUNTIFS('Error Log'!$A:$A,$A128,'Error Log'!$J:$J,F$1)</f>
        <v>1</v>
      </c>
      <c r="G128" s="70">
        <f>COUNTIFS('Error Log'!$A:$A,$A128,'Error Log'!$J:$J,G$1)</f>
        <v>0</v>
      </c>
      <c r="H128" s="70">
        <f>COUNTIFS('Error Log'!$A:$A,$A128,'Error Log'!$F:$F,"Source")</f>
        <v>0</v>
      </c>
      <c r="I128" s="70">
        <f>COUNTIFS('Error Log'!$A:$A,$A128,'Error Log'!$F:$F,"Target")</f>
        <v>0</v>
      </c>
      <c r="J128" s="71">
        <f t="shared" si="1"/>
        <v>95.192307692307693</v>
      </c>
    </row>
    <row r="129" spans="1:10">
      <c r="A129" s="15" t="s">
        <v>1236</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 xml:space="preserve">a 13-year-old maryland boy provided firefighters with instructions during a 911 call and got himself and his little sister rescued after his family 's home caught fire on sunday morning . 
 the boy called 911 shortly before 7am after he smelled smoke and told the dispatcher the siblings were trapped in the room because it was too hot to get out through the hallway . 
 marcus was rescued along with his 9-year-old sister . </v>
      </c>
      <c r="D129" s="70">
        <f>IF(H129=0,wdct(TRIM(C129)),0)</f>
        <v>71</v>
      </c>
      <c r="E129" s="70">
        <f>COUNTIFS('Error Log'!$A:$A,$A129,'Error Log'!$J:$J,E$1)</f>
        <v>1</v>
      </c>
      <c r="F129" s="70">
        <f>COUNTIFS('Error Log'!$A:$A,$A129,'Error Log'!$J:$J,F$1)</f>
        <v>0</v>
      </c>
      <c r="G129" s="70">
        <f>COUNTIFS('Error Log'!$A:$A,$A129,'Error Log'!$J:$J,G$1)</f>
        <v>0</v>
      </c>
      <c r="H129" s="70">
        <f>COUNTIFS('Error Log'!$A:$A,$A129,'Error Log'!$F:$F,"Source")</f>
        <v>0</v>
      </c>
      <c r="I129" s="70">
        <f>COUNTIFS('Error Log'!$A:$A,$A129,'Error Log'!$F:$F,"Target")</f>
        <v>0</v>
      </c>
      <c r="J129" s="71">
        <f t="shared" si="1"/>
        <v>92.957746478873247</v>
      </c>
    </row>
    <row r="130" spans="1:10">
      <c r="A130" s="15" t="s">
        <v>1237</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mohammed abu khdeir 's name will be removed from an israeli memorial commemorating fallen soldiers and victims of terrorism . 
 abu khdeir , 16 , was beaten and burned alive by three israelis in july . 
 his father says he 's not a terror victim .</v>
      </c>
      <c r="D130" s="70">
        <f>IF(H130=0,wdct(TRIM(C130)),0)</f>
        <v>41</v>
      </c>
      <c r="E130" s="70">
        <f>COUNTIFS('Error Log'!$A:$A,$A130,'Error Log'!$J:$J,E$1)</f>
        <v>0</v>
      </c>
      <c r="F130" s="70">
        <f>COUNTIFS('Error Log'!$A:$A,$A130,'Error Log'!$J:$J,F$1)</f>
        <v>0</v>
      </c>
      <c r="G130" s="70">
        <f>COUNTIFS('Error Log'!$A:$A,$A130,'Error Log'!$J:$J,G$1)</f>
        <v>0</v>
      </c>
      <c r="H130" s="70">
        <f>COUNTIFS('Error Log'!$A:$A,$A130,'Error Log'!$F:$F,"Source")</f>
        <v>0</v>
      </c>
      <c r="I130" s="70">
        <f>COUNTIFS('Error Log'!$A:$A,$A130,'Error Log'!$F:$F,"Target")</f>
        <v>0</v>
      </c>
      <c r="J130" s="71">
        <f t="shared" ref="J130:J193" si="2">IF(I130=0,IFERROR((((1-((E130*10+F130*5+G130*1)/D130))*100)+100)/2,0),-150)</f>
        <v>100</v>
      </c>
    </row>
    <row r="131" spans="1:10">
      <c r="A131" s="15" t="s">
        <v>1238</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the images were taken in jervis bay , the south coast of nsw . 
 a similar display was shown in sydney 's manly beach back in august 2014 . 
 photographer andy hutchinson described the sight as a ` beautiful supernatural scene ' caused by millions of plankton .</v>
      </c>
      <c r="D131" s="70">
        <f>IF(H131=0,wdct(TRIM(C131)),0)</f>
        <v>42</v>
      </c>
      <c r="E131" s="70">
        <f>COUNTIFS('Error Log'!$A:$A,$A131,'Error Log'!$J:$J,E$1)</f>
        <v>1</v>
      </c>
      <c r="F131" s="70">
        <f>COUNTIFS('Error Log'!$A:$A,$A131,'Error Log'!$J:$J,F$1)</f>
        <v>0</v>
      </c>
      <c r="G131" s="70">
        <f>COUNTIFS('Error Log'!$A:$A,$A131,'Error Log'!$J:$J,G$1)</f>
        <v>0</v>
      </c>
      <c r="H131" s="70">
        <f>COUNTIFS('Error Log'!$A:$A,$A131,'Error Log'!$F:$F,"Source")</f>
        <v>0</v>
      </c>
      <c r="I131" s="70">
        <f>COUNTIFS('Error Log'!$A:$A,$A131,'Error Log'!$F:$F,"Target")</f>
        <v>0</v>
      </c>
      <c r="J131" s="71">
        <f t="shared" si="2"/>
        <v>88.095238095238102</v>
      </c>
    </row>
    <row r="132" spans="1:10">
      <c r="A132" s="15" t="s">
        <v>1239</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bolton-born boxer amir khan spent his day a safari park with his family in northern california . 
 khan posed alongside , and also fed , a rare but dangerous white tiger as he posed with stunning giraffes and sea lions at six flags discovery kingdom . 
 the 28-year-old will fight former light-welterweight world champion chris algieri on may 30 .</v>
      </c>
      <c r="D132" s="70">
        <f>IF(H132=0,wdct(TRIM(C132)),0)</f>
        <v>55</v>
      </c>
      <c r="E132" s="70">
        <f>COUNTIFS('Error Log'!$A:$A,$A132,'Error Log'!$J:$J,E$1)</f>
        <v>0</v>
      </c>
      <c r="F132" s="70">
        <f>COUNTIFS('Error Log'!$A:$A,$A132,'Error Log'!$J:$J,F$1)</f>
        <v>0</v>
      </c>
      <c r="G132" s="70">
        <f>COUNTIFS('Error Log'!$A:$A,$A132,'Error Log'!$J:$J,G$1)</f>
        <v>0</v>
      </c>
      <c r="H132" s="70">
        <f>COUNTIFS('Error Log'!$A:$A,$A132,'Error Log'!$F:$F,"Source")</f>
        <v>0</v>
      </c>
      <c r="I132" s="70">
        <f>COUNTIFS('Error Log'!$A:$A,$A132,'Error Log'!$F:$F,"Target")</f>
        <v>0</v>
      </c>
      <c r="J132" s="71">
        <f t="shared" si="2"/>
        <v>100</v>
      </c>
    </row>
    <row r="133" spans="1:10">
      <c r="A133" s="15" t="s">
        <v>1240</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 xml:space="preserve">after surgery , the cancer cells are sent to a lab where they are screened , and women can be told within days whether they have a high or low risk of the disease returning . 
 most of the tests are available only privately and cost about # 2,500 . 
 experts say the risk of chemotherapy is as low as five per cent . </v>
      </c>
      <c r="D133" s="70">
        <f>IF(H133=0,wdct(TRIM(C133)),0)</f>
        <v>58</v>
      </c>
      <c r="E133" s="70">
        <f>COUNTIFS('Error Log'!$A:$A,$A133,'Error Log'!$J:$J,E$1)</f>
        <v>1</v>
      </c>
      <c r="F133" s="70">
        <f>COUNTIFS('Error Log'!$A:$A,$A133,'Error Log'!$J:$J,F$1)</f>
        <v>1</v>
      </c>
      <c r="G133" s="70">
        <f>COUNTIFS('Error Log'!$A:$A,$A133,'Error Log'!$J:$J,G$1)</f>
        <v>0</v>
      </c>
      <c r="H133" s="70">
        <f>COUNTIFS('Error Log'!$A:$A,$A133,'Error Log'!$F:$F,"Source")</f>
        <v>0</v>
      </c>
      <c r="I133" s="70">
        <f>COUNTIFS('Error Log'!$A:$A,$A133,'Error Log'!$F:$F,"Target")</f>
        <v>0</v>
      </c>
      <c r="J133" s="71">
        <f t="shared" si="2"/>
        <v>87.068965517241381</v>
      </c>
    </row>
    <row r="134" spans="1:10">
      <c r="A134" s="15" t="s">
        <v>1241</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 xml:space="preserve">ten pieces produces capsule collection of ten pieces of unisex clothing designed to be worn in 20 ways . 
 empty pool was used as part of mercedes-benz fashion week australia . 
 ten pieces is worn in ten ways . </v>
      </c>
      <c r="D134" s="70">
        <f>IF(H134=0,wdct(TRIM(C134)),0)</f>
        <v>36</v>
      </c>
      <c r="E134" s="70">
        <f>COUNTIFS('Error Log'!$A:$A,$A134,'Error Log'!$J:$J,E$1)</f>
        <v>2</v>
      </c>
      <c r="F134" s="70">
        <f>COUNTIFS('Error Log'!$A:$A,$A134,'Error Log'!$J:$J,F$1)</f>
        <v>0</v>
      </c>
      <c r="G134" s="70">
        <f>COUNTIFS('Error Log'!$A:$A,$A134,'Error Log'!$J:$J,G$1)</f>
        <v>0</v>
      </c>
      <c r="H134" s="70">
        <f>COUNTIFS('Error Log'!$A:$A,$A134,'Error Log'!$F:$F,"Source")</f>
        <v>0</v>
      </c>
      <c r="I134" s="70">
        <f>COUNTIFS('Error Log'!$A:$A,$A134,'Error Log'!$F:$F,"Target")</f>
        <v>0</v>
      </c>
      <c r="J134" s="71">
        <f t="shared" si="2"/>
        <v>72.222222222222229</v>
      </c>
    </row>
    <row r="135" spans="1:10">
      <c r="A135" s="15" t="s">
        <v>1242</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 xml:space="preserve">at least one woman was airlifted from hms illustrious , which was nicknamed ` hms lusty ' by the crew before it was decommissioned last year . 
 more than 25 women have been airlifted from royal navy ships because of pregnancy . 
 data comes nine months after commander sarah west , the first woman to captain a royal navy warship . </v>
      </c>
      <c r="D135" s="70">
        <f>IF(H135=0,wdct(TRIM(C135)),0)</f>
        <v>54</v>
      </c>
      <c r="E135" s="70">
        <f>COUNTIFS('Error Log'!$A:$A,$A135,'Error Log'!$J:$J,E$1)</f>
        <v>2</v>
      </c>
      <c r="F135" s="70">
        <f>COUNTIFS('Error Log'!$A:$A,$A135,'Error Log'!$J:$J,F$1)</f>
        <v>2</v>
      </c>
      <c r="G135" s="70">
        <f>COUNTIFS('Error Log'!$A:$A,$A135,'Error Log'!$J:$J,G$1)</f>
        <v>0</v>
      </c>
      <c r="H135" s="70">
        <f>COUNTIFS('Error Log'!$A:$A,$A135,'Error Log'!$F:$F,"Source")</f>
        <v>0</v>
      </c>
      <c r="I135" s="70">
        <f>COUNTIFS('Error Log'!$A:$A,$A135,'Error Log'!$F:$F,"Target")</f>
        <v>0</v>
      </c>
      <c r="J135" s="71">
        <f t="shared" si="2"/>
        <v>72.222222222222229</v>
      </c>
    </row>
    <row r="136" spans="1:10">
      <c r="A136" s="15" t="s">
        <v>1243</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 a former open university information officer , has joined the supporters of the media pressure group hacked off . 
 it wants mps to set up a statutory body to regulate the press . 
 pie was formed in 1974 to campaign for sex with children to be legalised .</v>
      </c>
      <c r="D136" s="70">
        <f>IF(H136=0,wdct(TRIM(C136)),0)</f>
        <v>46</v>
      </c>
      <c r="E136" s="70">
        <f>COUNTIFS('Error Log'!$A:$A,$A136,'Error Log'!$J:$J,E$1)</f>
        <v>2</v>
      </c>
      <c r="F136" s="70">
        <f>COUNTIFS('Error Log'!$A:$A,$A136,'Error Log'!$J:$J,F$1)</f>
        <v>1</v>
      </c>
      <c r="G136" s="70">
        <f>COUNTIFS('Error Log'!$A:$A,$A136,'Error Log'!$J:$J,G$1)</f>
        <v>0</v>
      </c>
      <c r="H136" s="70">
        <f>COUNTIFS('Error Log'!$A:$A,$A136,'Error Log'!$F:$F,"Source")</f>
        <v>0</v>
      </c>
      <c r="I136" s="70">
        <f>COUNTIFS('Error Log'!$A:$A,$A136,'Error Log'!$F:$F,"Target")</f>
        <v>0</v>
      </c>
      <c r="J136" s="71">
        <f t="shared" si="2"/>
        <v>72.826086956521749</v>
      </c>
    </row>
    <row r="137" spans="1:10">
      <c r="A137" s="15" t="s">
        <v>1244</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the discovery came on the same day a japanese court approved a government plan to restart two reactors at the sendai nuclear power plant . 
 prime minister shinzo abe 's push to restart the reactors is unpopular . 
 drone was found on the rooftop of japan 's rooftop to the white house .</v>
      </c>
      <c r="D137" s="70">
        <f>IF(H137=0,wdct(TRIM(C137)),0)</f>
        <v>50</v>
      </c>
      <c r="E137" s="70">
        <f>COUNTIFS('Error Log'!$A:$A,$A137,'Error Log'!$J:$J,E$1)</f>
        <v>2</v>
      </c>
      <c r="F137" s="70">
        <f>COUNTIFS('Error Log'!$A:$A,$A137,'Error Log'!$J:$J,F$1)</f>
        <v>2</v>
      </c>
      <c r="G137" s="70">
        <f>COUNTIFS('Error Log'!$A:$A,$A137,'Error Log'!$J:$J,G$1)</f>
        <v>0</v>
      </c>
      <c r="H137" s="70">
        <f>COUNTIFS('Error Log'!$A:$A,$A137,'Error Log'!$F:$F,"Source")</f>
        <v>0</v>
      </c>
      <c r="I137" s="70">
        <f>COUNTIFS('Error Log'!$A:$A,$A137,'Error Log'!$F:$F,"Target")</f>
        <v>0</v>
      </c>
      <c r="J137" s="71">
        <f t="shared" si="2"/>
        <v>70</v>
      </c>
    </row>
    <row r="138" spans="1:10">
      <c r="A138" s="15" t="s">
        <v>1245</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 xml:space="preserve">chinese parents called mai zizhuo and he has been shooting hoops since he was two and a half years old . 
 now a new basketball star is on the rise in china . 
 lakers fan ` siu720 ' says he ca n't believe it . </v>
      </c>
      <c r="D138" s="70">
        <f>IF(H138=0,wdct(TRIM(C138)),0)</f>
        <v>40</v>
      </c>
      <c r="E138" s="70">
        <f>COUNTIFS('Error Log'!$A:$A,$A138,'Error Log'!$J:$J,E$1)</f>
        <v>3</v>
      </c>
      <c r="F138" s="70">
        <f>COUNTIFS('Error Log'!$A:$A,$A138,'Error Log'!$J:$J,F$1)</f>
        <v>2</v>
      </c>
      <c r="G138" s="70">
        <f>COUNTIFS('Error Log'!$A:$A,$A138,'Error Log'!$J:$J,G$1)</f>
        <v>0</v>
      </c>
      <c r="H138" s="70">
        <f>COUNTIFS('Error Log'!$A:$A,$A138,'Error Log'!$F:$F,"Source")</f>
        <v>0</v>
      </c>
      <c r="I138" s="70">
        <f>COUNTIFS('Error Log'!$A:$A,$A138,'Error Log'!$F:$F,"Target")</f>
        <v>0</v>
      </c>
      <c r="J138" s="71">
        <f t="shared" si="2"/>
        <v>50</v>
      </c>
    </row>
    <row r="139" spans="1:10">
      <c r="A139" s="15" t="s">
        <v>1246</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 xml:space="preserve">lu xincai takes his 84-year-old mother to work with him on the back of his motorbike every day . 
 the security guard says he is scared his mother will get lost if he leaves her at home by herself because she suffers from the degenerative disease . 
 he takes his mother with him to work on his back every day . </v>
      </c>
      <c r="D139" s="70">
        <f>IF(H139=0,wdct(TRIM(C139)),0)</f>
        <v>58</v>
      </c>
      <c r="E139" s="70">
        <f>COUNTIFS('Error Log'!$A:$A,$A139,'Error Log'!$J:$J,E$1)</f>
        <v>3</v>
      </c>
      <c r="F139" s="70">
        <f>COUNTIFS('Error Log'!$A:$A,$A139,'Error Log'!$J:$J,F$1)</f>
        <v>1</v>
      </c>
      <c r="G139" s="70">
        <f>COUNTIFS('Error Log'!$A:$A,$A139,'Error Log'!$J:$J,G$1)</f>
        <v>0</v>
      </c>
      <c r="H139" s="70">
        <f>COUNTIFS('Error Log'!$A:$A,$A139,'Error Log'!$F:$F,"Source")</f>
        <v>0</v>
      </c>
      <c r="I139" s="70">
        <f>COUNTIFS('Error Log'!$A:$A,$A139,'Error Log'!$F:$F,"Target")</f>
        <v>0</v>
      </c>
      <c r="J139" s="71">
        <f t="shared" si="2"/>
        <v>69.827586206896555</v>
      </c>
    </row>
    <row r="140" spans="1:10">
      <c r="A140" s="79" t="s">
        <v>1247</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jamar nicholson , 15 , and his friends were hanging out in an alleyway in south l.a. before school on february 10 . 
 one of the teenagers was holding a toy gun that the officers thought was real . 
 nicholson was shot in the back by officer miguel gutierrez and is in pain but he says he and his friend feel lucky to be alive .</v>
      </c>
      <c r="D140" s="70">
        <f>IF(H140=0,wdct(TRIM(C140)),0)</f>
        <v>62</v>
      </c>
      <c r="E140" s="70">
        <f>COUNTIFS('Error Log'!$A:$A,$A140,'Error Log'!$J:$J,E$1)</f>
        <v>2</v>
      </c>
      <c r="F140" s="70">
        <f>COUNTIFS('Error Log'!$A:$A,$A140,'Error Log'!$J:$J,F$1)</f>
        <v>3</v>
      </c>
      <c r="G140" s="70">
        <f>COUNTIFS('Error Log'!$A:$A,$A140,'Error Log'!$J:$J,G$1)</f>
        <v>0</v>
      </c>
      <c r="H140" s="70">
        <f>COUNTIFS('Error Log'!$A:$A,$A140,'Error Log'!$F:$F,"Source")</f>
        <v>0</v>
      </c>
      <c r="I140" s="70">
        <f>COUNTIFS('Error Log'!$A:$A,$A140,'Error Log'!$F:$F,"Target")</f>
        <v>0</v>
      </c>
      <c r="J140" s="71">
        <f t="shared" si="2"/>
        <v>71.774193548387089</v>
      </c>
    </row>
    <row r="141" spans="1:10" ht="15.6">
      <c r="A141" s="107" t="s">
        <v>1255</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 
 women 's binge drinking rates rose by nearly 36 percent between 2002 and 2012 . 
 rate of binge drinking among women increased more than seven times .</v>
      </c>
      <c r="D141" s="70">
        <f>IF(H141=0,wdct(TRIM(C141)),0)</f>
        <v>36</v>
      </c>
      <c r="E141" s="70">
        <f>COUNTIFS('Error Log'!$A:$A,$A141,'Error Log'!$J:$J,E$1)</f>
        <v>1</v>
      </c>
      <c r="F141" s="70">
        <f>COUNTIFS('Error Log'!$A:$A,$A141,'Error Log'!$J:$J,F$1)</f>
        <v>1</v>
      </c>
      <c r="G141" s="70">
        <f>COUNTIFS('Error Log'!$A:$A,$A141,'Error Log'!$J:$J,G$1)</f>
        <v>0</v>
      </c>
      <c r="H141" s="70">
        <f>COUNTIFS('Error Log'!$A:$A,$A141,'Error Log'!$F:$F,"Source")</f>
        <v>0</v>
      </c>
      <c r="I141" s="70">
        <f>COUNTIFS('Error Log'!$A:$A,$A141,'Error Log'!$F:$F,"Target")</f>
        <v>0</v>
      </c>
      <c r="J141" s="71">
        <f t="shared" si="2"/>
        <v>79.166666666666657</v>
      </c>
    </row>
    <row r="142" spans="1:10">
      <c r="A142" s="105" t="s">
        <v>1260</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 xml:space="preserve">a passenger filmed the driver on a bus in auckland , new zealand , and sent the video to bus company ritchies coachlines along with a complaint . 
 in the footage the driver can be seen flicking through pages of the newspaper while the bus is in motion . 
 ritchies coachlines boss andrew ritchie said he was embarrassed by the ` idiot ' driver 's actions . </v>
      </c>
      <c r="D142" s="70">
        <f>IF(H142=0,wdct(TRIM(C142)),0)</f>
        <v>60</v>
      </c>
      <c r="E142" s="70">
        <f>COUNTIFS('Error Log'!$A:$A,$A142,'Error Log'!$J:$J,E$1)</f>
        <v>0</v>
      </c>
      <c r="F142" s="70">
        <f>COUNTIFS('Error Log'!$A:$A,$A142,'Error Log'!$J:$J,F$1)</f>
        <v>0</v>
      </c>
      <c r="G142" s="70">
        <f>COUNTIFS('Error Log'!$A:$A,$A142,'Error Log'!$J:$J,G$1)</f>
        <v>0</v>
      </c>
      <c r="H142" s="70">
        <f>COUNTIFS('Error Log'!$A:$A,$A142,'Error Log'!$F:$F,"Source")</f>
        <v>0</v>
      </c>
      <c r="I142" s="70">
        <f>COUNTIFS('Error Log'!$A:$A,$A142,'Error Log'!$F:$F,"Target")</f>
        <v>0</v>
      </c>
      <c r="J142" s="71">
        <f t="shared" si="2"/>
        <v>100</v>
      </c>
    </row>
    <row r="143" spans="1:10">
      <c r="A143" s="105" t="s">
        <v>1263</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just over a quarter of women giving birth in england now have a caesarean and the rate has more than doubled since the early 1990s . 
 doctors say the procedure should only be carried out when ` medically necessary ' because it can lead to infections and even death . 
 experts say this figure should ideally be between just 10 per cent and 15 per cent .</v>
      </c>
      <c r="D143" s="70">
        <f>IF(H143=0,wdct(TRIM(C143)),0)</f>
        <v>62</v>
      </c>
      <c r="E143" s="70">
        <f>COUNTIFS('Error Log'!$A:$A,$A143,'Error Log'!$J:$J,E$1)</f>
        <v>1</v>
      </c>
      <c r="F143" s="70">
        <f>COUNTIFS('Error Log'!$A:$A,$A143,'Error Log'!$J:$J,F$1)</f>
        <v>1</v>
      </c>
      <c r="G143" s="70">
        <f>COUNTIFS('Error Log'!$A:$A,$A143,'Error Log'!$J:$J,G$1)</f>
        <v>0</v>
      </c>
      <c r="H143" s="70">
        <f>COUNTIFS('Error Log'!$A:$A,$A143,'Error Log'!$F:$F,"Source")</f>
        <v>0</v>
      </c>
      <c r="I143" s="70">
        <f>COUNTIFS('Error Log'!$A:$A,$A143,'Error Log'!$F:$F,"Target")</f>
        <v>0</v>
      </c>
      <c r="J143" s="71">
        <f t="shared" si="2"/>
        <v>87.903225806451616</v>
      </c>
    </row>
    <row r="144" spans="1:10">
      <c r="A144" s="105" t="s">
        <v>1268</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 xml:space="preserve">james robarge , 45 , from saxtons river , vermont was sentenced in court for second-degree murder in the death of his wife kelly robarge , 42 . 
 her badly decomposed body , with her hands and head detached , was found 10 days later in unity . 
 robarge has served nearly two years behind bars which means he could be eligible for parole in about 28 years . </v>
      </c>
      <c r="D144" s="70">
        <f>IF(H144=0,wdct(TRIM(C144)),0)</f>
        <v>60</v>
      </c>
      <c r="E144" s="70">
        <f>COUNTIFS('Error Log'!$A:$A,$A144,'Error Log'!$J:$J,E$1)</f>
        <v>0</v>
      </c>
      <c r="F144" s="70">
        <f>COUNTIFS('Error Log'!$A:$A,$A144,'Error Log'!$J:$J,F$1)</f>
        <v>1</v>
      </c>
      <c r="G144" s="70">
        <f>COUNTIFS('Error Log'!$A:$A,$A144,'Error Log'!$J:$J,G$1)</f>
        <v>0</v>
      </c>
      <c r="H144" s="70">
        <f>COUNTIFS('Error Log'!$A:$A,$A144,'Error Log'!$F:$F,"Source")</f>
        <v>0</v>
      </c>
      <c r="I144" s="70">
        <f>COUNTIFS('Error Log'!$A:$A,$A144,'Error Log'!$F:$F,"Target")</f>
        <v>0</v>
      </c>
      <c r="J144" s="71">
        <f t="shared" si="2"/>
        <v>95.833333333333329</v>
      </c>
    </row>
    <row r="145" spans="1:10">
      <c r="A145" s="106" t="s">
        <v>1272</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michelle filkins , 44 , of west wareham has been charged with breaking and entering , larceny over $ 250 , and malicious destruction of property . 
 she was discovered at the court street property in edgartown by owner mark conklin on april 17 after she allegedly broke into a gray nissan pickup truck when conklin called the police . 
 when he confronted her she claimed that she owned the house .</v>
      </c>
      <c r="D145" s="70">
        <f>IF(H145=0,wdct(TRIM(C145)),0)</f>
        <v>64</v>
      </c>
      <c r="E145" s="70">
        <f>COUNTIFS('Error Log'!$A:$A,$A145,'Error Log'!$J:$J,E$1)</f>
        <v>1</v>
      </c>
      <c r="F145" s="70">
        <f>COUNTIFS('Error Log'!$A:$A,$A145,'Error Log'!$J:$J,F$1)</f>
        <v>1</v>
      </c>
      <c r="G145" s="70">
        <f>COUNTIFS('Error Log'!$A:$A,$A145,'Error Log'!$J:$J,G$1)</f>
        <v>1</v>
      </c>
      <c r="H145" s="70">
        <f>COUNTIFS('Error Log'!$A:$A,$A145,'Error Log'!$F:$F,"Source")</f>
        <v>0</v>
      </c>
      <c r="I145" s="70">
        <f>COUNTIFS('Error Log'!$A:$A,$A145,'Error Log'!$F:$F,"Target")</f>
        <v>0</v>
      </c>
      <c r="J145" s="71">
        <f t="shared" si="2"/>
        <v>87.5</v>
      </c>
    </row>
    <row r="146" spans="1:10">
      <c r="A146" s="106" t="s">
        <v>1278</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 xml:space="preserve">french customs officers seized more than 2 tons of cocaine aboard a sailboat that was falsely flying an american flag in the caribbean . 
 french authorities arrested one venezuelan and two spanish citizens on board the vessel off martinique . 
 martinique 's value is estimated at more than $ 105 million . </v>
      </c>
      <c r="D146" s="70">
        <f>IF(H146=0,wdct(TRIM(C146)),0)</f>
        <v>48</v>
      </c>
      <c r="E146" s="70">
        <f>COUNTIFS('Error Log'!$A:$A,$A146,'Error Log'!$J:$J,E$1)</f>
        <v>0</v>
      </c>
      <c r="F146" s="70">
        <f>COUNTIFS('Error Log'!$A:$A,$A146,'Error Log'!$J:$J,F$1)</f>
        <v>1</v>
      </c>
      <c r="G146" s="70">
        <f>COUNTIFS('Error Log'!$A:$A,$A146,'Error Log'!$J:$J,G$1)</f>
        <v>0</v>
      </c>
      <c r="H146" s="70">
        <f>COUNTIFS('Error Log'!$A:$A,$A146,'Error Log'!$F:$F,"Source")</f>
        <v>0</v>
      </c>
      <c r="I146" s="70">
        <f>COUNTIFS('Error Log'!$A:$A,$A146,'Error Log'!$F:$F,"Target")</f>
        <v>0</v>
      </c>
      <c r="J146" s="71">
        <f t="shared" si="2"/>
        <v>94.791666666666671</v>
      </c>
    </row>
    <row r="147" spans="1:10">
      <c r="A147" s="106" t="s">
        <v>1282</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 xml:space="preserve">the phone , which belonged to bella crooke from melbourne , was handed in to albury police station on sunday morning . 
 police officers realised the phone was unlocked and used it to post selfies and photos of the phone in locations around the police station . 
 officers from albury police posted selfies on a woman 's facebook page saying she could come and collect her phone . </v>
      </c>
      <c r="D147" s="70">
        <f>IF(H147=0,wdct(TRIM(C147)),0)</f>
        <v>63</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2"/>
        <v>88.095238095238102</v>
      </c>
    </row>
    <row r="148" spans="1:10">
      <c r="A148" s="106" t="s">
        <v>1287</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a baby girl was found crying in the ladies ' toilet of a burger bar in sichuan province . 
 workers who found the baby , who was wrapped in a shirt but was still attached to the umbilical cord and placenta , called the police and ambulance . 
 the woman , yuan yen , 34 , was found to have blood on her when she was approached . 
 workers at the restaurant said yuan yen had returned to her table and sat ` in a trance ' she was arre</v>
      </c>
      <c r="D148" s="70">
        <f>IF(H148=0,wdct(TRIM(C148)),0)</f>
        <v>79</v>
      </c>
      <c r="E148" s="70">
        <f>COUNTIFS('Error Log'!$A:$A,$A148,'Error Log'!$J:$J,E$1)</f>
        <v>2</v>
      </c>
      <c r="F148" s="70">
        <f>COUNTIFS('Error Log'!$A:$A,$A148,'Error Log'!$J:$J,F$1)</f>
        <v>2</v>
      </c>
      <c r="G148" s="70">
        <f>COUNTIFS('Error Log'!$A:$A,$A148,'Error Log'!$J:$J,G$1)</f>
        <v>0</v>
      </c>
      <c r="H148" s="70">
        <f>COUNTIFS('Error Log'!$A:$A,$A148,'Error Log'!$F:$F,"Source")</f>
        <v>0</v>
      </c>
      <c r="I148" s="70">
        <f>COUNTIFS('Error Log'!$A:$A,$A148,'Error Log'!$F:$F,"Target")</f>
        <v>0</v>
      </c>
      <c r="J148" s="71">
        <f t="shared" si="2"/>
        <v>81.012658227848107</v>
      </c>
    </row>
    <row r="149" spans="1:10">
      <c r="A149" s="105" t="s">
        <v>1294</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 xml:space="preserve">five-day-old hippopotamus was seen being hurled into the air before being dragged along the surface of the water in the isimangaliso wetland park , in eastern south africa . 
 the calf 's mother watched in horror as the hippo was flung into the firing line of an adult male , which was tussling with its rival . 
 the two male hippos had been fighting for two adults . </v>
      </c>
      <c r="D149" s="70">
        <f>IF(H149=0,wdct(TRIM(C149)),0)</f>
        <v>63</v>
      </c>
      <c r="E149" s="70">
        <f>COUNTIFS('Error Log'!$A:$A,$A149,'Error Log'!$J:$J,E$1)</f>
        <v>0</v>
      </c>
      <c r="F149" s="70">
        <f>COUNTIFS('Error Log'!$A:$A,$A149,'Error Log'!$J:$J,F$1)</f>
        <v>1</v>
      </c>
      <c r="G149" s="70">
        <f>COUNTIFS('Error Log'!$A:$A,$A149,'Error Log'!$J:$J,G$1)</f>
        <v>0</v>
      </c>
      <c r="H149" s="70">
        <f>COUNTIFS('Error Log'!$A:$A,$A149,'Error Log'!$F:$F,"Source")</f>
        <v>0</v>
      </c>
      <c r="I149" s="70">
        <f>COUNTIFS('Error Log'!$A:$A,$A149,'Error Log'!$F:$F,"Target")</f>
        <v>0</v>
      </c>
      <c r="J149" s="71">
        <f t="shared" si="2"/>
        <v>96.031746031746025</v>
      </c>
    </row>
    <row r="150" spans="1:10">
      <c r="A150" s="105" t="s">
        <v>1298</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 xml:space="preserve">ian rogers owns nine haunted dolls all of which he says contain their own personality . 
 ian 's favourite doll is annabel , who he thinks is haunted by a seven-year-old girl who drowned . 
 # 50 haunted dolls are said to contain the spirits of people who have passed on . </v>
      </c>
      <c r="D150" s="70">
        <f>IF(H150=0,wdct(TRIM(C150)),0)</f>
        <v>47</v>
      </c>
      <c r="E150" s="70">
        <f>COUNTIFS('Error Log'!$A:$A,$A150,'Error Log'!$J:$J,E$1)</f>
        <v>1</v>
      </c>
      <c r="F150" s="70">
        <f>COUNTIFS('Error Log'!$A:$A,$A150,'Error Log'!$J:$J,F$1)</f>
        <v>1</v>
      </c>
      <c r="G150" s="70">
        <f>COUNTIFS('Error Log'!$A:$A,$A150,'Error Log'!$J:$J,G$1)</f>
        <v>0</v>
      </c>
      <c r="H150" s="70">
        <f>COUNTIFS('Error Log'!$A:$A,$A150,'Error Log'!$F:$F,"Source")</f>
        <v>0</v>
      </c>
      <c r="I150" s="70">
        <f>COUNTIFS('Error Log'!$A:$A,$A150,'Error Log'!$F:$F,"Target")</f>
        <v>0</v>
      </c>
      <c r="J150" s="71">
        <f t="shared" si="2"/>
        <v>84.042553191489361</v>
      </c>
    </row>
    <row r="151" spans="1:10">
      <c r="A151" s="105" t="s">
        <v>1303</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 xml:space="preserve">the knightsbridge flat , london , has just three years left on the lease . 
 the cost would work out at # 191,000 per year , or # 15,000 per month . 
 it boasts three bedrooms , two bathrooms , a reception room and utility room . </v>
      </c>
      <c r="D151" s="70">
        <f>IF(H151=0,wdct(TRIM(C151)),0)</f>
        <v>37</v>
      </c>
      <c r="E151" s="70">
        <f>COUNTIFS('Error Log'!$A:$A,$A151,'Error Log'!$J:$J,E$1)</f>
        <v>2</v>
      </c>
      <c r="F151" s="70">
        <f>COUNTIFS('Error Log'!$A:$A,$A151,'Error Log'!$J:$J,F$1)</f>
        <v>2</v>
      </c>
      <c r="G151" s="70">
        <f>COUNTIFS('Error Log'!$A:$A,$A151,'Error Log'!$J:$J,G$1)</f>
        <v>0</v>
      </c>
      <c r="H151" s="70">
        <f>COUNTIFS('Error Log'!$A:$A,$A151,'Error Log'!$F:$F,"Source")</f>
        <v>0</v>
      </c>
      <c r="I151" s="70">
        <f>COUNTIFS('Error Log'!$A:$A,$A151,'Error Log'!$F:$F,"Target")</f>
        <v>0</v>
      </c>
      <c r="J151" s="71">
        <f t="shared" si="2"/>
        <v>59.45945945945946</v>
      </c>
    </row>
    <row r="152" spans="1:10">
      <c r="A152" s="81"/>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81"/>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81"/>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81"/>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81"/>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81"/>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81"/>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81"/>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81"/>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81"/>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81"/>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81"/>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81"/>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81"/>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81"/>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81"/>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81"/>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81"/>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81"/>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81"/>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81"/>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81"/>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81"/>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81"/>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81"/>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81"/>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81"/>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81"/>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81"/>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81"/>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81"/>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81"/>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81"/>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81"/>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81"/>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81"/>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81"/>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81"/>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81"/>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81"/>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81"/>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81"/>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81"/>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3">IF(I194=0,IFERROR((((1-((E194*10+F194*5+G194*1)/D194))*100)+100)/2,0),-150)</f>
        <v>0</v>
      </c>
    </row>
    <row r="195" spans="1:10">
      <c r="A195" s="81"/>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81"/>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81"/>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81"/>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81"/>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81"/>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81"/>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81"/>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81"/>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81"/>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81"/>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81"/>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81"/>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81"/>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81"/>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81"/>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81"/>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81"/>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81"/>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81"/>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81"/>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81"/>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81"/>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81"/>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81"/>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81"/>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81"/>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81"/>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81"/>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81"/>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81"/>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81"/>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81"/>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81"/>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81"/>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81"/>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81"/>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81"/>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81"/>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81"/>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81"/>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81"/>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81"/>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81"/>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81"/>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81"/>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81"/>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81"/>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81"/>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81"/>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81"/>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81"/>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81"/>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81"/>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81"/>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81"/>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81"/>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81"/>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81"/>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3"/>
        <v>0</v>
      </c>
    </row>
    <row r="254" spans="1:10">
      <c r="A254" s="81"/>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3"/>
        <v>0</v>
      </c>
    </row>
    <row r="255" spans="1:10">
      <c r="A255" s="81"/>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3"/>
        <v>0</v>
      </c>
    </row>
    <row r="256" spans="1:10">
      <c r="A256" s="81"/>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3"/>
        <v>0</v>
      </c>
    </row>
    <row r="257" spans="1:10">
      <c r="A257" s="81"/>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3"/>
        <v>0</v>
      </c>
    </row>
    <row r="258" spans="1:10">
      <c r="A258" s="81"/>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4">IF(I258=0,IFERROR((((1-((E258*10+F258*5+G258*1)/D258))*100)+100)/2,0),-150)</f>
        <v>0</v>
      </c>
    </row>
    <row r="259" spans="1:10">
      <c r="A259" s="81"/>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81"/>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81"/>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81"/>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81"/>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81"/>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81"/>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81"/>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81"/>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81"/>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81"/>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81"/>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81"/>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81"/>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81"/>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81"/>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81"/>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81"/>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81"/>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81"/>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81"/>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81"/>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81"/>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81"/>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81"/>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81"/>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81"/>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81"/>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81"/>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81"/>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81"/>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81"/>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81"/>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81"/>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81"/>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81"/>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81"/>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81"/>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81"/>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81"/>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81"/>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81"/>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81"/>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81"/>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81"/>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81"/>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81"/>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81"/>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81"/>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81"/>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81"/>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81"/>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81"/>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81"/>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81"/>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81"/>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81"/>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81"/>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81"/>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4"/>
        <v>0</v>
      </c>
    </row>
    <row r="318" spans="1:10">
      <c r="A318" s="81"/>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4"/>
        <v>0</v>
      </c>
    </row>
    <row r="319" spans="1:10">
      <c r="A319" s="81"/>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4"/>
        <v>0</v>
      </c>
    </row>
    <row r="320" spans="1:10">
      <c r="A320" s="81"/>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4"/>
        <v>0</v>
      </c>
    </row>
    <row r="321" spans="1:10">
      <c r="A321" s="81"/>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4"/>
        <v>0</v>
      </c>
    </row>
    <row r="322" spans="1:10">
      <c r="A322" s="81"/>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5">IF(I322=0,IFERROR((((1-((E322*10+F322*5+G322*1)/D322))*100)+100)/2,0),-150)</f>
        <v>0</v>
      </c>
    </row>
    <row r="323" spans="1:10">
      <c r="A323" s="81"/>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81"/>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81"/>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81"/>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81"/>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81"/>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81"/>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81"/>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81"/>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81"/>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81"/>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81"/>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81"/>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81"/>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81"/>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81"/>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81"/>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81"/>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81"/>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81"/>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81"/>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81"/>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81"/>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81"/>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81"/>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81"/>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81"/>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81"/>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81"/>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81"/>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81"/>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81"/>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81"/>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81"/>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81"/>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81"/>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81"/>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81"/>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81"/>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81"/>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81"/>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81"/>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81"/>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81"/>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81"/>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81"/>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81"/>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81"/>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81"/>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81"/>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81"/>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81"/>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81"/>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81"/>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81"/>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81"/>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81"/>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81"/>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81"/>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5"/>
        <v>0</v>
      </c>
    </row>
    <row r="382" spans="1:10">
      <c r="A382" s="81"/>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5"/>
        <v>0</v>
      </c>
    </row>
    <row r="383" spans="1:10">
      <c r="A383" s="81"/>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5"/>
        <v>0</v>
      </c>
    </row>
    <row r="384" spans="1:10">
      <c r="A384" s="81"/>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5"/>
        <v>0</v>
      </c>
    </row>
    <row r="385" spans="1:10">
      <c r="A385" s="81"/>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5"/>
        <v>0</v>
      </c>
    </row>
    <row r="386" spans="1:10">
      <c r="A386" s="81"/>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6">IF(I386=0,IFERROR((((1-((E386*10+F386*5+G386*1)/D386))*100)+100)/2,0),-150)</f>
        <v>0</v>
      </c>
    </row>
    <row r="387" spans="1:10">
      <c r="A387" s="81"/>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81"/>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81"/>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81"/>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81"/>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81"/>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81"/>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81"/>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81"/>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81"/>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81"/>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81"/>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81"/>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81"/>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81"/>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81"/>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81"/>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81"/>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81"/>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81"/>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81"/>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81"/>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81"/>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81"/>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81"/>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81"/>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81"/>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81"/>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81"/>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81"/>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81"/>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81"/>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81"/>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81"/>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81"/>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81"/>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81"/>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81"/>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81"/>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81"/>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81"/>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81"/>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81"/>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81"/>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81"/>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81"/>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81"/>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81"/>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81"/>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81"/>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81"/>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81"/>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81"/>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81"/>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81"/>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81"/>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81"/>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81"/>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81"/>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6"/>
        <v>0</v>
      </c>
    </row>
    <row r="446" spans="1:10">
      <c r="A446" s="81"/>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6"/>
        <v>0</v>
      </c>
    </row>
    <row r="447" spans="1:10">
      <c r="A447" s="81"/>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6"/>
        <v>0</v>
      </c>
    </row>
    <row r="448" spans="1:10">
      <c r="A448" s="81"/>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6"/>
        <v>0</v>
      </c>
    </row>
    <row r="449" spans="1:10">
      <c r="A449" s="81"/>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6"/>
        <v>0</v>
      </c>
    </row>
    <row r="450" spans="1:10">
      <c r="A450" s="81"/>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7">IF(I450=0,IFERROR((((1-((E450*10+F450*5+G450*1)/D450))*100)+100)/2,0),-150)</f>
        <v>0</v>
      </c>
    </row>
    <row r="451" spans="1:10">
      <c r="A451" s="81"/>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81"/>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81"/>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81"/>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81"/>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81"/>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81"/>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81"/>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81"/>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81"/>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81"/>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81"/>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81"/>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81"/>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81"/>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81"/>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81"/>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81"/>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81"/>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81"/>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81"/>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81"/>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81"/>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81"/>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81"/>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81"/>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81"/>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81"/>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81"/>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81"/>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81"/>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81"/>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81"/>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81"/>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81"/>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81"/>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81"/>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81"/>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81"/>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81"/>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81"/>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81"/>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81"/>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81"/>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81"/>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81"/>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row r="497" spans="1:10">
      <c r="A497" s="81"/>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7"/>
        <v>0</v>
      </c>
    </row>
    <row r="498" spans="1:10">
      <c r="A498" s="81"/>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7"/>
        <v>0</v>
      </c>
    </row>
    <row r="499" spans="1:10">
      <c r="A499" s="81"/>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7"/>
        <v>0</v>
      </c>
    </row>
    <row r="500" spans="1:10">
      <c r="A500" s="81"/>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7"/>
        <v>0</v>
      </c>
    </row>
    <row r="501" spans="1:10">
      <c r="A501" s="81"/>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7"/>
  <sheetViews>
    <sheetView tabSelected="1" zoomScale="80" zoomScaleNormal="80" workbookViewId="0">
      <pane ySplit="1" topLeftCell="A2" activePane="bottomLeft" state="frozen"/>
      <selection pane="bottomLeft" activeCell="C56" sqref="C56"/>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15" t="s">
        <v>50</v>
      </c>
      <c r="B1" s="116"/>
      <c r="C1" s="116"/>
      <c r="D1" s="116"/>
      <c r="E1" s="116"/>
      <c r="F1" s="116"/>
      <c r="G1" s="116"/>
      <c r="H1" s="116"/>
      <c r="I1" s="116"/>
      <c r="J1" s="116"/>
      <c r="K1" s="116"/>
      <c r="L1" s="116"/>
      <c r="M1" s="117"/>
    </row>
    <row r="2" spans="1:14">
      <c r="A2" s="5" t="s">
        <v>31</v>
      </c>
      <c r="B2" s="5" t="s">
        <v>30</v>
      </c>
      <c r="C2" s="5" t="s">
        <v>54</v>
      </c>
      <c r="D2" s="5" t="s">
        <v>55</v>
      </c>
      <c r="E2" s="5" t="s">
        <v>56</v>
      </c>
      <c r="F2" s="5" t="s">
        <v>29</v>
      </c>
      <c r="G2" s="5" t="s">
        <v>27</v>
      </c>
      <c r="H2" s="5" t="s">
        <v>28</v>
      </c>
      <c r="I2" s="5" t="s">
        <v>58</v>
      </c>
      <c r="J2" s="5" t="s">
        <v>57</v>
      </c>
    </row>
    <row r="3" spans="1:14">
      <c r="A3" s="114" t="s">
        <v>21</v>
      </c>
      <c r="B3" s="4" t="s">
        <v>22</v>
      </c>
      <c r="C3" s="3" t="s">
        <v>25</v>
      </c>
      <c r="D3" s="3" t="s">
        <v>25</v>
      </c>
      <c r="E3" s="3" t="s">
        <v>25</v>
      </c>
      <c r="F3" s="3" t="s">
        <v>23</v>
      </c>
      <c r="G3" s="3" t="s">
        <v>23</v>
      </c>
      <c r="H3" s="3" t="s">
        <v>23</v>
      </c>
      <c r="I3" s="3" t="s">
        <v>59</v>
      </c>
      <c r="J3" s="3" t="s">
        <v>23</v>
      </c>
      <c r="N3" s="2"/>
    </row>
    <row r="4" spans="1:14">
      <c r="A4" s="114"/>
      <c r="B4" s="4" t="s">
        <v>7</v>
      </c>
      <c r="C4" s="3" t="s">
        <v>25</v>
      </c>
      <c r="D4" s="3" t="s">
        <v>25</v>
      </c>
      <c r="E4" s="3" t="s">
        <v>25</v>
      </c>
      <c r="F4" s="3" t="s">
        <v>60</v>
      </c>
      <c r="G4" s="3" t="s">
        <v>23</v>
      </c>
      <c r="H4" s="3" t="s">
        <v>23</v>
      </c>
      <c r="I4" s="3" t="s">
        <v>59</v>
      </c>
      <c r="J4" s="3" t="s">
        <v>60</v>
      </c>
      <c r="N4" s="2"/>
    </row>
    <row r="5" spans="1:14">
      <c r="A5" s="114"/>
      <c r="B5" s="4" t="s">
        <v>63</v>
      </c>
      <c r="C5" s="3" t="s">
        <v>25</v>
      </c>
      <c r="D5" s="3" t="s">
        <v>25</v>
      </c>
      <c r="E5" s="3" t="s">
        <v>25</v>
      </c>
      <c r="F5" s="3" t="s">
        <v>60</v>
      </c>
      <c r="G5" s="3" t="s">
        <v>60</v>
      </c>
      <c r="H5" s="3" t="s">
        <v>23</v>
      </c>
      <c r="I5" s="3" t="s">
        <v>59</v>
      </c>
      <c r="J5" s="3" t="s">
        <v>24</v>
      </c>
      <c r="N5" s="2"/>
    </row>
    <row r="6" spans="1:14">
      <c r="A6" s="114"/>
      <c r="B6" s="4" t="s">
        <v>64</v>
      </c>
      <c r="C6" s="3" t="s">
        <v>25</v>
      </c>
      <c r="D6" s="3" t="s">
        <v>25</v>
      </c>
      <c r="E6" s="3" t="s">
        <v>25</v>
      </c>
      <c r="F6" s="3" t="s">
        <v>25</v>
      </c>
      <c r="G6" s="3" t="s">
        <v>25</v>
      </c>
      <c r="H6" s="3" t="s">
        <v>25</v>
      </c>
      <c r="I6" s="3" t="s">
        <v>24</v>
      </c>
      <c r="J6" s="3" t="s">
        <v>24</v>
      </c>
      <c r="N6" s="2"/>
    </row>
    <row r="7" spans="1:14">
      <c r="A7" s="114"/>
      <c r="B7" s="4" t="s">
        <v>45</v>
      </c>
      <c r="C7" s="3" t="s">
        <v>24</v>
      </c>
      <c r="D7" s="3" t="s">
        <v>24</v>
      </c>
      <c r="E7" s="3" t="s">
        <v>25</v>
      </c>
      <c r="F7" s="3" t="s">
        <v>24</v>
      </c>
      <c r="G7" s="3" t="s">
        <v>24</v>
      </c>
      <c r="H7" s="3" t="s">
        <v>61</v>
      </c>
      <c r="I7" s="3" t="s">
        <v>24</v>
      </c>
      <c r="J7" s="3" t="s">
        <v>24</v>
      </c>
      <c r="N7" s="2"/>
    </row>
    <row r="8" spans="1:14">
      <c r="A8" s="114" t="s">
        <v>2</v>
      </c>
      <c r="B8" s="4" t="s">
        <v>65</v>
      </c>
      <c r="C8" s="3" t="s">
        <v>24</v>
      </c>
      <c r="D8" s="3" t="s">
        <v>24</v>
      </c>
      <c r="E8" s="3" t="s">
        <v>23</v>
      </c>
      <c r="F8" s="3" t="s">
        <v>24</v>
      </c>
      <c r="G8" s="3" t="s">
        <v>24</v>
      </c>
      <c r="H8" s="3" t="s">
        <v>23</v>
      </c>
      <c r="I8" s="3" t="s">
        <v>1</v>
      </c>
      <c r="J8" s="3" t="s">
        <v>24</v>
      </c>
      <c r="N8" s="2"/>
    </row>
    <row r="9" spans="1:14">
      <c r="A9" s="114"/>
      <c r="B9" s="4" t="s">
        <v>26</v>
      </c>
      <c r="C9" s="3" t="s">
        <v>23</v>
      </c>
      <c r="D9" s="3" t="s">
        <v>23</v>
      </c>
      <c r="E9" s="3" t="s">
        <v>23</v>
      </c>
      <c r="F9" s="3" t="s">
        <v>23</v>
      </c>
      <c r="G9" s="3" t="s">
        <v>23</v>
      </c>
      <c r="H9" s="3" t="s">
        <v>23</v>
      </c>
      <c r="I9" s="3" t="s">
        <v>59</v>
      </c>
      <c r="J9" s="3" t="s">
        <v>23</v>
      </c>
      <c r="N9" s="2"/>
    </row>
    <row r="10" spans="1:14">
      <c r="A10" s="114"/>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8" spans="1:13">
      <c r="E38" s="76"/>
    </row>
    <row r="39" spans="1:13">
      <c r="A39" s="8" t="s">
        <v>2</v>
      </c>
      <c r="B39" s="8" t="s">
        <v>2</v>
      </c>
      <c r="C39" s="8" t="s">
        <v>2</v>
      </c>
      <c r="E39" s="76"/>
      <c r="M39" s="72"/>
    </row>
    <row r="40" spans="1:13">
      <c r="A40" s="8" t="s">
        <v>65</v>
      </c>
      <c r="B40" s="8" t="s">
        <v>26</v>
      </c>
      <c r="C40" s="8" t="s">
        <v>67</v>
      </c>
      <c r="E40" s="76"/>
      <c r="M40" s="72"/>
    </row>
    <row r="41" spans="1:13">
      <c r="A41" s="11" t="s">
        <v>56</v>
      </c>
      <c r="B41" s="11" t="s">
        <v>54</v>
      </c>
      <c r="C41" s="11" t="s">
        <v>54</v>
      </c>
      <c r="E41" s="76"/>
      <c r="M41" s="72"/>
    </row>
    <row r="42" spans="1:13">
      <c r="A42" s="11" t="s">
        <v>28</v>
      </c>
      <c r="B42" s="11" t="s">
        <v>55</v>
      </c>
      <c r="C42" s="11" t="s">
        <v>55</v>
      </c>
      <c r="E42" s="76"/>
      <c r="M42" s="72"/>
    </row>
    <row r="43" spans="1:13">
      <c r="A43" s="11" t="s">
        <v>58</v>
      </c>
      <c r="B43" s="11" t="s">
        <v>56</v>
      </c>
      <c r="C43" s="11" t="s">
        <v>56</v>
      </c>
      <c r="E43" s="76"/>
      <c r="M43" s="72"/>
    </row>
    <row r="44" spans="1:13">
      <c r="A44" s="11"/>
      <c r="B44" s="11" t="s">
        <v>29</v>
      </c>
      <c r="C44" s="11" t="s">
        <v>29</v>
      </c>
      <c r="E44" s="76"/>
      <c r="M44" s="72"/>
    </row>
    <row r="45" spans="1:13">
      <c r="A45" s="11"/>
      <c r="B45" s="11" t="s">
        <v>27</v>
      </c>
      <c r="C45" s="11" t="s">
        <v>27</v>
      </c>
      <c r="E45" s="76"/>
      <c r="M45" s="72"/>
    </row>
    <row r="46" spans="1:13">
      <c r="B46" s="11" t="s">
        <v>28</v>
      </c>
      <c r="C46" s="11" t="s">
        <v>28</v>
      </c>
      <c r="E46" s="76"/>
      <c r="M46" s="72"/>
    </row>
    <row r="47" spans="1:13">
      <c r="B47" s="11" t="s">
        <v>58</v>
      </c>
      <c r="E47" s="76"/>
      <c r="M47" s="72"/>
    </row>
    <row r="48" spans="1:13">
      <c r="B48" s="11" t="s">
        <v>57</v>
      </c>
      <c r="E48" s="76"/>
    </row>
    <row r="49" spans="1:5">
      <c r="E49" s="76"/>
    </row>
    <row r="50" spans="1:5">
      <c r="E50" s="76"/>
    </row>
    <row r="51" spans="1:5">
      <c r="A51" s="76"/>
    </row>
    <row r="53" spans="1:5">
      <c r="A53" s="76"/>
    </row>
    <row r="55" spans="1:5">
      <c r="A55" s="76"/>
    </row>
    <row r="57" spans="1:5">
      <c r="A57"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2020-11-27T09:16:30Z</dcterms:modified>
</cp:coreProperties>
</file>