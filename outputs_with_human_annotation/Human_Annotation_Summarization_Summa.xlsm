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Users\hdd\Desktop\annotation_150\"/>
    </mc:Choice>
  </mc:AlternateContent>
  <xr:revisionPtr revIDLastSave="0" documentId="13_ncr:1_{DCB6B7CF-0E2F-4AAD-8E5B-3330054931ED}" xr6:coauthVersionLast="45" xr6:coauthVersionMax="45" xr10:uidLastSave="{00000000-0000-0000-0000-000000000000}"/>
  <bookViews>
    <workbookView xWindow="384" yWindow="384" windowWidth="21252" windowHeight="11184" tabRatio="868" activeTab="3" xr2:uid="{00000000-000D-0000-FFFF-FFFF00000000}"/>
  </bookViews>
  <sheets>
    <sheet name="ScoreCard" sheetId="18" r:id="rId1"/>
    <sheet name="Error Log" sheetId="14" r:id="rId2"/>
    <sheet name="Scores per segment" sheetId="21" r:id="rId3"/>
    <sheet name="Severity_Matrix" sheetId="19" r:id="rId4"/>
  </sheets>
  <functionGroups builtInGroupCount="19"/>
  <externalReferences>
    <externalReference r:id="rId5"/>
  </externalReferences>
  <definedNames>
    <definedName name="_xlnm._FilterDatabase" localSheetId="1" hidden="1">'Error Log'!$A$1:$J$396</definedName>
    <definedName name="_xlnm._FilterDatabase" localSheetId="2" hidden="1">'Scores per segment'!$A$1:$J$501</definedName>
    <definedName name="Accuracy">Severity_Matrix!$B$14:$B$18</definedName>
    <definedName name="Addition">Severity_Matrix!$A$26:$A$33</definedName>
    <definedName name="Duplication">Severity_Matrix!$D$41:$D$48</definedName>
    <definedName name="Fluency">Severity_Matrix!$C$14:$C$18</definedName>
    <definedName name="Inaccuracy_external">Severity_Matrix!$D$26:$D$33</definedName>
    <definedName name="Inaccuracy_internal">Severity_Matrix!$C$26:$C$33</definedName>
    <definedName name="Inappropriate_Selection_of_Words">Severity_Matrix!$B$41:$B$48</definedName>
    <definedName name="Issue_Type">Severity_Matrix!$A$14:$A$16</definedName>
    <definedName name="Omission">Severity_Matrix!$B$26:$B$33</definedName>
    <definedName name="Positive_Negative_Aspect">Severity_Matrix!$E$26:$E$33</definedName>
    <definedName name="Spelling">Severity_Matrix!$C$41:$C$48</definedName>
    <definedName name="Word_From">Severity_Matrix!$E$41:$E$48</definedName>
    <definedName name="Word_Order">Severity_Matrix!$A$41:$A$48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H140" i="21" l="1"/>
  <c r="I140" i="21"/>
  <c r="H141" i="21"/>
  <c r="I141" i="21"/>
  <c r="H142" i="21"/>
  <c r="I142" i="21"/>
  <c r="H143" i="21"/>
  <c r="I143" i="21"/>
  <c r="H144" i="21"/>
  <c r="I144" i="21"/>
  <c r="H145" i="21"/>
  <c r="I145" i="21"/>
  <c r="H146" i="21"/>
  <c r="I146" i="21"/>
  <c r="H147" i="21"/>
  <c r="I147" i="21"/>
  <c r="H148" i="21"/>
  <c r="I148" i="21"/>
  <c r="H149" i="21"/>
  <c r="I149" i="21"/>
  <c r="H150" i="21"/>
  <c r="I150" i="21"/>
  <c r="H151" i="21"/>
  <c r="I151" i="21"/>
  <c r="J397" i="14"/>
  <c r="J398" i="14"/>
  <c r="J399" i="14"/>
  <c r="J400" i="14"/>
  <c r="J401" i="14"/>
  <c r="J402" i="14"/>
  <c r="J403" i="14"/>
  <c r="J404" i="14"/>
  <c r="J405" i="14"/>
  <c r="J406" i="14"/>
  <c r="F143" i="21" s="1"/>
  <c r="J407" i="14"/>
  <c r="J408" i="14"/>
  <c r="J409" i="14"/>
  <c r="J410" i="14"/>
  <c r="E145" i="21" s="1"/>
  <c r="J411" i="14"/>
  <c r="J412" i="14"/>
  <c r="J413" i="14"/>
  <c r="J414" i="14"/>
  <c r="J415" i="14"/>
  <c r="J416" i="14"/>
  <c r="J417" i="14"/>
  <c r="J418" i="14"/>
  <c r="J419" i="14"/>
  <c r="J420" i="14"/>
  <c r="J421" i="14"/>
  <c r="J422" i="14"/>
  <c r="J423" i="14"/>
  <c r="J424" i="14"/>
  <c r="J425" i="14"/>
  <c r="J426" i="14"/>
  <c r="F150" i="21" s="1"/>
  <c r="J427" i="14"/>
  <c r="J428" i="14"/>
  <c r="F151" i="21" l="1"/>
  <c r="F149" i="21"/>
  <c r="G148" i="21"/>
  <c r="E144" i="21"/>
  <c r="G146" i="21"/>
  <c r="F141" i="21"/>
  <c r="E148" i="21"/>
  <c r="G150" i="21"/>
  <c r="G145" i="21"/>
  <c r="E140" i="21"/>
  <c r="E141" i="21"/>
  <c r="F147" i="21"/>
  <c r="G142" i="21"/>
  <c r="E150" i="21"/>
  <c r="E151" i="21"/>
  <c r="G149" i="21"/>
  <c r="E147" i="21"/>
  <c r="F146" i="21"/>
  <c r="E143" i="21"/>
  <c r="F142" i="21"/>
  <c r="G141" i="21"/>
  <c r="E146" i="21"/>
  <c r="F145" i="21"/>
  <c r="G144" i="21"/>
  <c r="E142" i="21"/>
  <c r="G140" i="21"/>
  <c r="E149" i="21"/>
  <c r="G147" i="21"/>
  <c r="F144" i="21"/>
  <c r="G143" i="21"/>
  <c r="F140" i="21"/>
  <c r="G151" i="21"/>
  <c r="F148" i="21"/>
  <c r="J389" i="14"/>
  <c r="J390" i="14"/>
  <c r="J391" i="14"/>
  <c r="J392" i="14"/>
  <c r="J393" i="14"/>
  <c r="J394" i="14"/>
  <c r="J395" i="14"/>
  <c r="J396" i="14"/>
  <c r="J30" i="14" l="1"/>
  <c r="J15" i="14"/>
  <c r="J16" i="14"/>
  <c r="J76" i="14"/>
  <c r="J77" i="14"/>
  <c r="J78" i="14"/>
  <c r="J79" i="14"/>
  <c r="J62" i="14"/>
  <c r="J384" i="14"/>
  <c r="J385" i="14"/>
  <c r="J386" i="14"/>
  <c r="J387" i="14"/>
  <c r="J388" i="14"/>
  <c r="J383" i="14"/>
  <c r="J312" i="14"/>
  <c r="J313" i="14"/>
  <c r="J310" i="14"/>
  <c r="J311" i="14"/>
  <c r="J288" i="14"/>
  <c r="J350" i="14" l="1"/>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266" i="14"/>
  <c r="J267" i="14"/>
  <c r="J268" i="14"/>
  <c r="J269" i="14"/>
  <c r="J270" i="14"/>
  <c r="J271" i="14"/>
  <c r="J272" i="14"/>
  <c r="J273" i="14"/>
  <c r="J274" i="14"/>
  <c r="J275" i="14"/>
  <c r="J276" i="14"/>
  <c r="J277" i="14"/>
  <c r="J278" i="14"/>
  <c r="J279" i="14"/>
  <c r="J280" i="14"/>
  <c r="J281" i="14"/>
  <c r="J282" i="14"/>
  <c r="J283" i="14"/>
  <c r="J284" i="14"/>
  <c r="J285" i="14"/>
  <c r="J286" i="14"/>
  <c r="J287" i="14"/>
  <c r="J289" i="14"/>
  <c r="J290" i="14"/>
  <c r="J291" i="14"/>
  <c r="J292" i="14"/>
  <c r="J293" i="14"/>
  <c r="J294" i="14"/>
  <c r="J295" i="14"/>
  <c r="J296" i="14"/>
  <c r="J297" i="14"/>
  <c r="J298" i="14"/>
  <c r="J299" i="14"/>
  <c r="J300" i="14"/>
  <c r="J301" i="14"/>
  <c r="J302" i="14"/>
  <c r="J303" i="14"/>
  <c r="J304" i="14"/>
  <c r="J305" i="14"/>
  <c r="J306" i="14"/>
  <c r="J307" i="14"/>
  <c r="J308" i="14"/>
  <c r="J309"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12" i="14" l="1"/>
  <c r="J192" i="14" l="1"/>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134" i="14" l="1"/>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33" i="14"/>
  <c r="J3" i="14" l="1"/>
  <c r="J4" i="14"/>
  <c r="J5" i="14"/>
  <c r="J6" i="14"/>
  <c r="J7" i="14"/>
  <c r="J8" i="14"/>
  <c r="J9" i="14"/>
  <c r="J10" i="14"/>
  <c r="J11" i="14"/>
  <c r="J13" i="14"/>
  <c r="J14" i="14"/>
  <c r="J17" i="14"/>
  <c r="J18" i="14"/>
  <c r="J19" i="14"/>
  <c r="J20" i="14"/>
  <c r="J21" i="14"/>
  <c r="J22" i="14"/>
  <c r="J23" i="14"/>
  <c r="J24" i="14"/>
  <c r="J25" i="14"/>
  <c r="J26" i="14"/>
  <c r="J27" i="14"/>
  <c r="J28" i="14"/>
  <c r="J29"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3" i="14"/>
  <c r="J64" i="14"/>
  <c r="J65" i="14"/>
  <c r="J66" i="14"/>
  <c r="J67" i="14"/>
  <c r="J68" i="14"/>
  <c r="J69" i="14"/>
  <c r="J70" i="14"/>
  <c r="J71" i="14"/>
  <c r="J72" i="14"/>
  <c r="J73" i="14"/>
  <c r="J74" i="14"/>
  <c r="J75"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2" i="14"/>
  <c r="E2" i="21" s="1"/>
  <c r="H31" i="18" l="1"/>
  <c r="I35" i="18" l="1"/>
  <c r="I34" i="18"/>
  <c r="I33" i="18"/>
  <c r="H35" i="18"/>
  <c r="H34" i="18"/>
  <c r="H33" i="18"/>
  <c r="I32" i="18"/>
  <c r="H32" i="18"/>
  <c r="I31" i="18"/>
  <c r="I30" i="18"/>
  <c r="H30" i="18"/>
  <c r="H29" i="18"/>
  <c r="I29" i="18"/>
  <c r="I28" i="18"/>
  <c r="H28" i="18"/>
  <c r="D28" i="18"/>
  <c r="D31" i="18"/>
  <c r="E31" i="18"/>
  <c r="F31" i="18"/>
  <c r="G31" i="18"/>
  <c r="J31" i="18"/>
  <c r="K31" i="18"/>
  <c r="H2" i="21"/>
  <c r="I2" i="21"/>
  <c r="H3" i="21"/>
  <c r="I3" i="21"/>
  <c r="H4" i="21"/>
  <c r="I4" i="21"/>
  <c r="H5" i="21"/>
  <c r="I5" i="21"/>
  <c r="H6" i="21"/>
  <c r="I6" i="21"/>
  <c r="H7" i="21"/>
  <c r="I7" i="21"/>
  <c r="H8" i="21"/>
  <c r="I8" i="21"/>
  <c r="H9" i="21"/>
  <c r="I9" i="21"/>
  <c r="H10" i="21"/>
  <c r="I10" i="21"/>
  <c r="H11" i="21"/>
  <c r="I11" i="21"/>
  <c r="H12" i="21"/>
  <c r="I12" i="21"/>
  <c r="H13" i="21"/>
  <c r="I13" i="21"/>
  <c r="H14" i="21"/>
  <c r="I14" i="21"/>
  <c r="H15" i="21"/>
  <c r="I15" i="21"/>
  <c r="H16" i="21"/>
  <c r="I16" i="21"/>
  <c r="H17" i="21"/>
  <c r="I17" i="21"/>
  <c r="H18" i="21"/>
  <c r="I18" i="21"/>
  <c r="H19" i="21"/>
  <c r="I19" i="21"/>
  <c r="H20" i="21"/>
  <c r="I20" i="21"/>
  <c r="H21" i="21"/>
  <c r="I21" i="21"/>
  <c r="H22" i="21"/>
  <c r="I22" i="21"/>
  <c r="H23" i="21"/>
  <c r="I23" i="21"/>
  <c r="H24" i="21"/>
  <c r="I24" i="21"/>
  <c r="H25" i="21"/>
  <c r="I25" i="21"/>
  <c r="H26" i="21"/>
  <c r="I26" i="21"/>
  <c r="H27" i="21"/>
  <c r="I27" i="21"/>
  <c r="H28" i="21"/>
  <c r="I28" i="21"/>
  <c r="H29" i="21"/>
  <c r="I29" i="21"/>
  <c r="H30" i="21"/>
  <c r="I30" i="21"/>
  <c r="H31" i="21"/>
  <c r="I31" i="21"/>
  <c r="H32" i="21"/>
  <c r="I32" i="21"/>
  <c r="H33" i="21"/>
  <c r="I33" i="21"/>
  <c r="H34" i="21"/>
  <c r="I34" i="21"/>
  <c r="H35" i="21"/>
  <c r="I35" i="21"/>
  <c r="H36" i="21"/>
  <c r="I36" i="21"/>
  <c r="H37" i="21"/>
  <c r="I37" i="21"/>
  <c r="H38" i="21"/>
  <c r="I38" i="21"/>
  <c r="H39" i="21"/>
  <c r="I39" i="21"/>
  <c r="H40" i="21"/>
  <c r="I40" i="21"/>
  <c r="H41" i="21"/>
  <c r="I41" i="21"/>
  <c r="H42" i="21"/>
  <c r="I42" i="21"/>
  <c r="H43" i="21"/>
  <c r="I43" i="21"/>
  <c r="H44" i="21"/>
  <c r="I44" i="21"/>
  <c r="H45" i="21"/>
  <c r="I45" i="21"/>
  <c r="H46" i="21"/>
  <c r="I46" i="21"/>
  <c r="H47" i="21"/>
  <c r="I47" i="21"/>
  <c r="H48" i="21"/>
  <c r="I48" i="21"/>
  <c r="H49" i="21"/>
  <c r="I49" i="21"/>
  <c r="H50" i="21"/>
  <c r="I50" i="21"/>
  <c r="H51" i="21"/>
  <c r="I51" i="21"/>
  <c r="H52" i="21"/>
  <c r="I52" i="21"/>
  <c r="H53" i="21"/>
  <c r="I53" i="21"/>
  <c r="H54" i="21"/>
  <c r="I54" i="21"/>
  <c r="H55" i="21"/>
  <c r="I55" i="21"/>
  <c r="H56" i="21"/>
  <c r="I56" i="21"/>
  <c r="H57" i="21"/>
  <c r="I57" i="21"/>
  <c r="H58" i="21"/>
  <c r="I58" i="21"/>
  <c r="H59" i="21"/>
  <c r="I59" i="21"/>
  <c r="H60" i="21"/>
  <c r="I60" i="21"/>
  <c r="H61" i="21"/>
  <c r="I61" i="21"/>
  <c r="H62" i="21"/>
  <c r="I62" i="21"/>
  <c r="H63" i="21"/>
  <c r="I63" i="21"/>
  <c r="H64" i="21"/>
  <c r="I64" i="21"/>
  <c r="H65" i="21"/>
  <c r="I65" i="21"/>
  <c r="H66" i="21"/>
  <c r="I66" i="21"/>
  <c r="H67" i="21"/>
  <c r="I67" i="21"/>
  <c r="H68" i="21"/>
  <c r="I68" i="21"/>
  <c r="H69" i="21"/>
  <c r="I69" i="21"/>
  <c r="H70" i="21"/>
  <c r="I70" i="21"/>
  <c r="H71" i="21"/>
  <c r="I71" i="21"/>
  <c r="H72" i="21"/>
  <c r="I72" i="21"/>
  <c r="H73" i="21"/>
  <c r="I73" i="21"/>
  <c r="H74" i="21"/>
  <c r="I74" i="21"/>
  <c r="H75" i="21"/>
  <c r="I75" i="21"/>
  <c r="H76" i="21"/>
  <c r="I76" i="21"/>
  <c r="H77" i="21"/>
  <c r="I77" i="21"/>
  <c r="H78" i="21"/>
  <c r="I78" i="21"/>
  <c r="H79" i="21"/>
  <c r="I79" i="21"/>
  <c r="H80" i="21"/>
  <c r="I80" i="21"/>
  <c r="H81" i="21"/>
  <c r="I81" i="21"/>
  <c r="H82" i="21"/>
  <c r="I82" i="21"/>
  <c r="H83" i="21"/>
  <c r="I83" i="21"/>
  <c r="H84" i="21"/>
  <c r="I84" i="21"/>
  <c r="H85" i="21"/>
  <c r="I85" i="21"/>
  <c r="H86" i="21"/>
  <c r="I86" i="21"/>
  <c r="H87" i="21"/>
  <c r="I87" i="21"/>
  <c r="H88" i="21"/>
  <c r="I88" i="21"/>
  <c r="H89" i="21"/>
  <c r="I89" i="21"/>
  <c r="H90" i="21"/>
  <c r="I90" i="21"/>
  <c r="H91" i="21"/>
  <c r="I91" i="21"/>
  <c r="H92" i="21"/>
  <c r="I92" i="21"/>
  <c r="H93" i="21"/>
  <c r="I93" i="21"/>
  <c r="H94" i="21"/>
  <c r="I94" i="21"/>
  <c r="H95" i="21"/>
  <c r="I95" i="21"/>
  <c r="H96" i="21"/>
  <c r="I96" i="21"/>
  <c r="H97" i="21"/>
  <c r="I97" i="21"/>
  <c r="H98" i="21"/>
  <c r="I98" i="21"/>
  <c r="H99" i="21"/>
  <c r="I99" i="21"/>
  <c r="H100" i="21"/>
  <c r="I100" i="21"/>
  <c r="H101" i="21"/>
  <c r="I101" i="21"/>
  <c r="H102" i="21"/>
  <c r="I102" i="21"/>
  <c r="H103" i="21"/>
  <c r="I103" i="21"/>
  <c r="H104" i="21"/>
  <c r="I104" i="21"/>
  <c r="H105" i="21"/>
  <c r="I105" i="21"/>
  <c r="H106" i="21"/>
  <c r="I106" i="21"/>
  <c r="H107" i="21"/>
  <c r="I107" i="21"/>
  <c r="H108" i="21"/>
  <c r="I108" i="21"/>
  <c r="H109" i="21"/>
  <c r="I109" i="21"/>
  <c r="H110" i="21"/>
  <c r="I110" i="21"/>
  <c r="H111" i="21"/>
  <c r="I111" i="21"/>
  <c r="H112" i="21"/>
  <c r="I112" i="21"/>
  <c r="H113" i="21"/>
  <c r="I113" i="21"/>
  <c r="H114" i="21"/>
  <c r="I114" i="21"/>
  <c r="H115" i="21"/>
  <c r="I115" i="21"/>
  <c r="H116" i="21"/>
  <c r="I116" i="21"/>
  <c r="H117" i="21"/>
  <c r="I117" i="21"/>
  <c r="H118" i="21"/>
  <c r="I118" i="21"/>
  <c r="H119" i="21"/>
  <c r="I119" i="21"/>
  <c r="H120" i="21"/>
  <c r="I120" i="21"/>
  <c r="H121" i="21"/>
  <c r="I121" i="21"/>
  <c r="H122" i="21"/>
  <c r="I122" i="21"/>
  <c r="H123" i="21"/>
  <c r="I123" i="21"/>
  <c r="H124" i="21"/>
  <c r="I124" i="21"/>
  <c r="H125" i="21"/>
  <c r="I125" i="21"/>
  <c r="H126" i="21"/>
  <c r="I126" i="21"/>
  <c r="H127" i="21"/>
  <c r="I127" i="21"/>
  <c r="H128" i="21"/>
  <c r="I128" i="21"/>
  <c r="H129" i="21"/>
  <c r="I129" i="21"/>
  <c r="H130" i="21"/>
  <c r="I130" i="21"/>
  <c r="H131" i="21"/>
  <c r="I131" i="21"/>
  <c r="H132" i="21"/>
  <c r="I132" i="21"/>
  <c r="H133" i="21"/>
  <c r="I133" i="21"/>
  <c r="H134" i="21"/>
  <c r="I134" i="21"/>
  <c r="H135" i="21"/>
  <c r="I135" i="21"/>
  <c r="H136" i="21"/>
  <c r="I136" i="21"/>
  <c r="H137" i="21"/>
  <c r="I137" i="21"/>
  <c r="H138" i="21"/>
  <c r="I138" i="21"/>
  <c r="H139" i="21"/>
  <c r="I139" i="21"/>
  <c r="H153" i="21"/>
  <c r="I153" i="21"/>
  <c r="H154" i="21"/>
  <c r="I154" i="21"/>
  <c r="H155" i="21"/>
  <c r="I155" i="21"/>
  <c r="H156" i="21"/>
  <c r="I156" i="21"/>
  <c r="H157" i="21"/>
  <c r="I157" i="21"/>
  <c r="H158" i="21"/>
  <c r="I158" i="21"/>
  <c r="H159" i="21"/>
  <c r="I159" i="21"/>
  <c r="H160" i="21"/>
  <c r="I160" i="21"/>
  <c r="H161" i="21"/>
  <c r="I161" i="21"/>
  <c r="H162" i="21"/>
  <c r="I162" i="21"/>
  <c r="H163" i="21"/>
  <c r="I163" i="21"/>
  <c r="H164" i="21"/>
  <c r="I164" i="21"/>
  <c r="H165" i="21"/>
  <c r="I165" i="21"/>
  <c r="H166" i="21"/>
  <c r="I166" i="21"/>
  <c r="H167" i="21"/>
  <c r="I167" i="21"/>
  <c r="H168" i="21"/>
  <c r="I168" i="21"/>
  <c r="H169" i="21"/>
  <c r="I169" i="21"/>
  <c r="H170" i="21"/>
  <c r="I170" i="21"/>
  <c r="H171" i="21"/>
  <c r="I171" i="21"/>
  <c r="H172" i="21"/>
  <c r="I172" i="21"/>
  <c r="H173" i="21"/>
  <c r="I173" i="21"/>
  <c r="H174" i="21"/>
  <c r="I174" i="21"/>
  <c r="H175" i="21"/>
  <c r="I175" i="21"/>
  <c r="H176" i="21"/>
  <c r="I176" i="21"/>
  <c r="H177" i="21"/>
  <c r="I177" i="21"/>
  <c r="H178" i="21"/>
  <c r="I178" i="21"/>
  <c r="H179" i="21"/>
  <c r="I179" i="21"/>
  <c r="H180" i="21"/>
  <c r="I180" i="21"/>
  <c r="H181" i="21"/>
  <c r="I181" i="21"/>
  <c r="H182" i="21"/>
  <c r="I182" i="21"/>
  <c r="H183" i="21"/>
  <c r="I183" i="21"/>
  <c r="H184" i="21"/>
  <c r="I184" i="21"/>
  <c r="H185" i="21"/>
  <c r="I185" i="21"/>
  <c r="H186" i="21"/>
  <c r="I186" i="21"/>
  <c r="H187" i="21"/>
  <c r="I187" i="21"/>
  <c r="H188" i="21"/>
  <c r="I188" i="21"/>
  <c r="H189" i="21"/>
  <c r="I189" i="21"/>
  <c r="H190" i="21"/>
  <c r="I190" i="21"/>
  <c r="H191" i="21"/>
  <c r="I191" i="21"/>
  <c r="H192" i="21"/>
  <c r="I192" i="21"/>
  <c r="H193" i="21"/>
  <c r="I193" i="21"/>
  <c r="H194" i="21"/>
  <c r="I194" i="21"/>
  <c r="H195" i="21"/>
  <c r="I195" i="21"/>
  <c r="H196" i="21"/>
  <c r="I196" i="21"/>
  <c r="H197" i="21"/>
  <c r="I197" i="21"/>
  <c r="H198" i="21"/>
  <c r="I198" i="21"/>
  <c r="H199" i="21"/>
  <c r="I199" i="21"/>
  <c r="H200" i="21"/>
  <c r="I200" i="21"/>
  <c r="H201" i="21"/>
  <c r="I201" i="21"/>
  <c r="H202" i="21"/>
  <c r="I202" i="21"/>
  <c r="H203" i="21"/>
  <c r="I203" i="21"/>
  <c r="H204" i="21"/>
  <c r="I204" i="21"/>
  <c r="H205" i="21"/>
  <c r="I205" i="21"/>
  <c r="H206" i="21"/>
  <c r="I206" i="21"/>
  <c r="H207" i="21"/>
  <c r="I207" i="21"/>
  <c r="H208" i="21"/>
  <c r="I208" i="21"/>
  <c r="H209" i="21"/>
  <c r="I209" i="21"/>
  <c r="H210" i="21"/>
  <c r="I210" i="21"/>
  <c r="H211" i="21"/>
  <c r="I211" i="21"/>
  <c r="H212" i="21"/>
  <c r="I212" i="21"/>
  <c r="H213" i="21"/>
  <c r="I213" i="21"/>
  <c r="H214" i="21"/>
  <c r="I214" i="21"/>
  <c r="H215" i="21"/>
  <c r="I215" i="21"/>
  <c r="H216" i="21"/>
  <c r="I216" i="21"/>
  <c r="H217" i="21"/>
  <c r="I217" i="21"/>
  <c r="H218" i="21"/>
  <c r="I218" i="21"/>
  <c r="H219" i="21"/>
  <c r="I219" i="21"/>
  <c r="H220" i="21"/>
  <c r="I220" i="21"/>
  <c r="H221" i="21"/>
  <c r="I221" i="21"/>
  <c r="H222" i="21"/>
  <c r="I222" i="21"/>
  <c r="H223" i="21"/>
  <c r="I223" i="21"/>
  <c r="H224" i="21"/>
  <c r="I224" i="21"/>
  <c r="H225" i="21"/>
  <c r="I225" i="21"/>
  <c r="H226" i="21"/>
  <c r="I226" i="21"/>
  <c r="H227" i="21"/>
  <c r="I227" i="21"/>
  <c r="H228" i="21"/>
  <c r="I228" i="21"/>
  <c r="H229" i="21"/>
  <c r="I229" i="21"/>
  <c r="H230" i="21"/>
  <c r="I230" i="21"/>
  <c r="H231" i="21"/>
  <c r="I231" i="21"/>
  <c r="H232" i="21"/>
  <c r="I232" i="21"/>
  <c r="H233" i="21"/>
  <c r="I233" i="21"/>
  <c r="H234" i="21"/>
  <c r="I234" i="21"/>
  <c r="H235" i="21"/>
  <c r="I235" i="21"/>
  <c r="H236" i="21"/>
  <c r="I236" i="21"/>
  <c r="H237" i="21"/>
  <c r="I237" i="21"/>
  <c r="H238" i="21"/>
  <c r="I238" i="21"/>
  <c r="H239" i="21"/>
  <c r="I239" i="21"/>
  <c r="H240" i="21"/>
  <c r="I240" i="21"/>
  <c r="H241" i="21"/>
  <c r="I241" i="21"/>
  <c r="H242" i="21"/>
  <c r="I242" i="21"/>
  <c r="H243" i="21"/>
  <c r="I243" i="21"/>
  <c r="H244" i="21"/>
  <c r="I244" i="21"/>
  <c r="H245" i="21"/>
  <c r="I245" i="21"/>
  <c r="H246" i="21"/>
  <c r="I246" i="21"/>
  <c r="H247" i="21"/>
  <c r="I247" i="21"/>
  <c r="H248" i="21"/>
  <c r="I248" i="21"/>
  <c r="H249" i="21"/>
  <c r="I249" i="21"/>
  <c r="H250" i="21"/>
  <c r="I250" i="21"/>
  <c r="H251" i="21"/>
  <c r="I251" i="21"/>
  <c r="H252" i="21"/>
  <c r="I252" i="21"/>
  <c r="H253" i="21"/>
  <c r="I253" i="21"/>
  <c r="H254" i="21"/>
  <c r="I254" i="21"/>
  <c r="H255" i="21"/>
  <c r="I255" i="21"/>
  <c r="H256" i="21"/>
  <c r="I256" i="21"/>
  <c r="H257" i="21"/>
  <c r="I257" i="21"/>
  <c r="H258" i="21"/>
  <c r="I258" i="21"/>
  <c r="H259" i="21"/>
  <c r="I259" i="21"/>
  <c r="H260" i="21"/>
  <c r="I260" i="21"/>
  <c r="H261" i="21"/>
  <c r="I261" i="21"/>
  <c r="H262" i="21"/>
  <c r="I262" i="21"/>
  <c r="H263" i="21"/>
  <c r="I263" i="21"/>
  <c r="H264" i="21"/>
  <c r="I264" i="21"/>
  <c r="H265" i="21"/>
  <c r="I265" i="21"/>
  <c r="H266" i="21"/>
  <c r="I266" i="21"/>
  <c r="H267" i="21"/>
  <c r="I267" i="21"/>
  <c r="H268" i="21"/>
  <c r="I268" i="21"/>
  <c r="H269" i="21"/>
  <c r="I269" i="21"/>
  <c r="H270" i="21"/>
  <c r="I270" i="21"/>
  <c r="H271" i="21"/>
  <c r="I271" i="21"/>
  <c r="H272" i="21"/>
  <c r="I272" i="21"/>
  <c r="H273" i="21"/>
  <c r="I273" i="21"/>
  <c r="H274" i="21"/>
  <c r="I274" i="21"/>
  <c r="H275" i="21"/>
  <c r="I275" i="21"/>
  <c r="H276" i="21"/>
  <c r="I276" i="21"/>
  <c r="H277" i="21"/>
  <c r="I277" i="21"/>
  <c r="H278" i="21"/>
  <c r="I278" i="21"/>
  <c r="H279" i="21"/>
  <c r="I279" i="21"/>
  <c r="H280" i="21"/>
  <c r="I280" i="21"/>
  <c r="H281" i="21"/>
  <c r="I281" i="21"/>
  <c r="H282" i="21"/>
  <c r="I282" i="21"/>
  <c r="H283" i="21"/>
  <c r="I283" i="21"/>
  <c r="H284" i="21"/>
  <c r="I284" i="21"/>
  <c r="H285" i="21"/>
  <c r="I285" i="21"/>
  <c r="H286" i="21"/>
  <c r="I286" i="21"/>
  <c r="H287" i="21"/>
  <c r="I287" i="21"/>
  <c r="H288" i="21"/>
  <c r="I288" i="21"/>
  <c r="H289" i="21"/>
  <c r="I289" i="21"/>
  <c r="H290" i="21"/>
  <c r="I290" i="21"/>
  <c r="H291" i="21"/>
  <c r="I291" i="21"/>
  <c r="H292" i="21"/>
  <c r="I292" i="21"/>
  <c r="H293" i="21"/>
  <c r="I293" i="21"/>
  <c r="H294" i="21"/>
  <c r="I294" i="21"/>
  <c r="H295" i="21"/>
  <c r="I295" i="21"/>
  <c r="H296" i="21"/>
  <c r="I296" i="21"/>
  <c r="H297" i="21"/>
  <c r="I297" i="21"/>
  <c r="H298" i="21"/>
  <c r="I298" i="21"/>
  <c r="H299" i="21"/>
  <c r="I299" i="21"/>
  <c r="H300" i="21"/>
  <c r="I300" i="21"/>
  <c r="H301" i="21"/>
  <c r="I301" i="21"/>
  <c r="H302" i="21"/>
  <c r="I302" i="21"/>
  <c r="H303" i="21"/>
  <c r="I303" i="21"/>
  <c r="H304" i="21"/>
  <c r="I304" i="21"/>
  <c r="H305" i="21"/>
  <c r="I305" i="21"/>
  <c r="H306" i="21"/>
  <c r="I306" i="21"/>
  <c r="H307" i="21"/>
  <c r="I307" i="21"/>
  <c r="H308" i="21"/>
  <c r="I308" i="21"/>
  <c r="H309" i="21"/>
  <c r="I309" i="21"/>
  <c r="H310" i="21"/>
  <c r="I310" i="21"/>
  <c r="H311" i="21"/>
  <c r="I311" i="21"/>
  <c r="H312" i="21"/>
  <c r="I312" i="21"/>
  <c r="H313" i="21"/>
  <c r="I313" i="21"/>
  <c r="H314" i="21"/>
  <c r="I314" i="21"/>
  <c r="H315" i="21"/>
  <c r="I315" i="21"/>
  <c r="H316" i="21"/>
  <c r="I316" i="21"/>
  <c r="H317" i="21"/>
  <c r="I317" i="21"/>
  <c r="H318" i="21"/>
  <c r="I318" i="21"/>
  <c r="H319" i="21"/>
  <c r="I319" i="21"/>
  <c r="H320" i="21"/>
  <c r="I320" i="21"/>
  <c r="H321" i="21"/>
  <c r="I321" i="21"/>
  <c r="H322" i="21"/>
  <c r="I322" i="21"/>
  <c r="H323" i="21"/>
  <c r="I323" i="21"/>
  <c r="H324" i="21"/>
  <c r="I324" i="21"/>
  <c r="H325" i="21"/>
  <c r="I325" i="21"/>
  <c r="H326" i="21"/>
  <c r="I326" i="21"/>
  <c r="H327" i="21"/>
  <c r="I327" i="21"/>
  <c r="H328" i="21"/>
  <c r="I328" i="21"/>
  <c r="H329" i="21"/>
  <c r="I329" i="21"/>
  <c r="H330" i="21"/>
  <c r="I330" i="21"/>
  <c r="H331" i="21"/>
  <c r="I331" i="21"/>
  <c r="H332" i="21"/>
  <c r="I332" i="21"/>
  <c r="H333" i="21"/>
  <c r="I333" i="21"/>
  <c r="H334" i="21"/>
  <c r="I334" i="21"/>
  <c r="H335" i="21"/>
  <c r="I335" i="21"/>
  <c r="H336" i="21"/>
  <c r="I336" i="21"/>
  <c r="H337" i="21"/>
  <c r="I337" i="21"/>
  <c r="H338" i="21"/>
  <c r="I338" i="21"/>
  <c r="H339" i="21"/>
  <c r="I339" i="21"/>
  <c r="H340" i="21"/>
  <c r="I340" i="21"/>
  <c r="H341" i="21"/>
  <c r="I341" i="21"/>
  <c r="H342" i="21"/>
  <c r="I342" i="21"/>
  <c r="H343" i="21"/>
  <c r="I343" i="21"/>
  <c r="H344" i="21"/>
  <c r="I344" i="21"/>
  <c r="H345" i="21"/>
  <c r="I345" i="21"/>
  <c r="H346" i="21"/>
  <c r="I346" i="21"/>
  <c r="H347" i="21"/>
  <c r="I347" i="21"/>
  <c r="H348" i="21"/>
  <c r="I348" i="21"/>
  <c r="H349" i="21"/>
  <c r="I349" i="21"/>
  <c r="H350" i="21"/>
  <c r="I350" i="21"/>
  <c r="H351" i="21"/>
  <c r="I351" i="21"/>
  <c r="H352" i="21"/>
  <c r="I352" i="21"/>
  <c r="H353" i="21"/>
  <c r="I353" i="21"/>
  <c r="H354" i="21"/>
  <c r="I354" i="21"/>
  <c r="H355" i="21"/>
  <c r="I355" i="21"/>
  <c r="H356" i="21"/>
  <c r="I356" i="21"/>
  <c r="H357" i="21"/>
  <c r="I357" i="21"/>
  <c r="H358" i="21"/>
  <c r="I358" i="21"/>
  <c r="H359" i="21"/>
  <c r="I359" i="21"/>
  <c r="H360" i="21"/>
  <c r="I360" i="21"/>
  <c r="H361" i="21"/>
  <c r="I361" i="21"/>
  <c r="H362" i="21"/>
  <c r="I362" i="21"/>
  <c r="H363" i="21"/>
  <c r="I363" i="21"/>
  <c r="H364" i="21"/>
  <c r="I364" i="21"/>
  <c r="H365" i="21"/>
  <c r="I365" i="21"/>
  <c r="H366" i="21"/>
  <c r="I366" i="21"/>
  <c r="H367" i="21"/>
  <c r="I367" i="21"/>
  <c r="H368" i="21"/>
  <c r="I368" i="21"/>
  <c r="H369" i="21"/>
  <c r="I369" i="21"/>
  <c r="H370" i="21"/>
  <c r="I370" i="21"/>
  <c r="H371" i="21"/>
  <c r="I371" i="21"/>
  <c r="H372" i="21"/>
  <c r="I372" i="21"/>
  <c r="H373" i="21"/>
  <c r="I373" i="21"/>
  <c r="H374" i="21"/>
  <c r="I374" i="21"/>
  <c r="H375" i="21"/>
  <c r="I375" i="21"/>
  <c r="H376" i="21"/>
  <c r="I376" i="21"/>
  <c r="H377" i="21"/>
  <c r="I377" i="21"/>
  <c r="H378" i="21"/>
  <c r="I378" i="21"/>
  <c r="H379" i="21"/>
  <c r="I379" i="21"/>
  <c r="H380" i="21"/>
  <c r="I380" i="21"/>
  <c r="H381" i="21"/>
  <c r="I381" i="21"/>
  <c r="H382" i="21"/>
  <c r="I382" i="21"/>
  <c r="H383" i="21"/>
  <c r="I383" i="21"/>
  <c r="H384" i="21"/>
  <c r="I384" i="21"/>
  <c r="H385" i="21"/>
  <c r="I385" i="21"/>
  <c r="H386" i="21"/>
  <c r="I386" i="21"/>
  <c r="H387" i="21"/>
  <c r="I387" i="21"/>
  <c r="H388" i="21"/>
  <c r="I388" i="21"/>
  <c r="H389" i="21"/>
  <c r="I389" i="21"/>
  <c r="H390" i="21"/>
  <c r="I390" i="21"/>
  <c r="H391" i="21"/>
  <c r="I391" i="21"/>
  <c r="H392" i="21"/>
  <c r="I392" i="21"/>
  <c r="H393" i="21"/>
  <c r="I393" i="21"/>
  <c r="H394" i="21"/>
  <c r="I394" i="21"/>
  <c r="H395" i="21"/>
  <c r="I395" i="21"/>
  <c r="H396" i="21"/>
  <c r="I396" i="21"/>
  <c r="H397" i="21"/>
  <c r="I397" i="21"/>
  <c r="H398" i="21"/>
  <c r="I398" i="21"/>
  <c r="H399" i="21"/>
  <c r="I399" i="21"/>
  <c r="H400" i="21"/>
  <c r="I400" i="21"/>
  <c r="H401" i="21"/>
  <c r="I401" i="21"/>
  <c r="H402" i="21"/>
  <c r="I402" i="21"/>
  <c r="H403" i="21"/>
  <c r="I403" i="21"/>
  <c r="H404" i="21"/>
  <c r="I404" i="21"/>
  <c r="H405" i="21"/>
  <c r="I405" i="21"/>
  <c r="H406" i="21"/>
  <c r="I406" i="21"/>
  <c r="H407" i="21"/>
  <c r="I407" i="21"/>
  <c r="H408" i="21"/>
  <c r="I408" i="21"/>
  <c r="H409" i="21"/>
  <c r="I409" i="21"/>
  <c r="H410" i="21"/>
  <c r="I410" i="21"/>
  <c r="H411" i="21"/>
  <c r="I411" i="21"/>
  <c r="H412" i="21"/>
  <c r="I412" i="21"/>
  <c r="H413" i="21"/>
  <c r="I413" i="21"/>
  <c r="H414" i="21"/>
  <c r="I414" i="21"/>
  <c r="H415" i="21"/>
  <c r="I415" i="21"/>
  <c r="H416" i="21"/>
  <c r="I416" i="21"/>
  <c r="H417" i="21"/>
  <c r="I417" i="21"/>
  <c r="H418" i="21"/>
  <c r="I418" i="21"/>
  <c r="H419" i="21"/>
  <c r="I419" i="21"/>
  <c r="H420" i="21"/>
  <c r="I420" i="21"/>
  <c r="H421" i="21"/>
  <c r="I421" i="21"/>
  <c r="H422" i="21"/>
  <c r="I422" i="21"/>
  <c r="H423" i="21"/>
  <c r="I423" i="21"/>
  <c r="H424" i="21"/>
  <c r="I424" i="21"/>
  <c r="H425" i="21"/>
  <c r="I425" i="21"/>
  <c r="H426" i="21"/>
  <c r="I426" i="21"/>
  <c r="H427" i="21"/>
  <c r="I427" i="21"/>
  <c r="H428" i="21"/>
  <c r="I428" i="21"/>
  <c r="H429" i="21"/>
  <c r="I429" i="21"/>
  <c r="H430" i="21"/>
  <c r="I430" i="21"/>
  <c r="H431" i="21"/>
  <c r="I431" i="21"/>
  <c r="H432" i="21"/>
  <c r="I432" i="21"/>
  <c r="H433" i="21"/>
  <c r="I433" i="21"/>
  <c r="H434" i="21"/>
  <c r="I434" i="21"/>
  <c r="H435" i="21"/>
  <c r="I435" i="21"/>
  <c r="H436" i="21"/>
  <c r="I436" i="21"/>
  <c r="H437" i="21"/>
  <c r="I437" i="21"/>
  <c r="H438" i="21"/>
  <c r="I438" i="21"/>
  <c r="H439" i="21"/>
  <c r="I439" i="21"/>
  <c r="H440" i="21"/>
  <c r="I440" i="21"/>
  <c r="H441" i="21"/>
  <c r="I441" i="21"/>
  <c r="H442" i="21"/>
  <c r="I442" i="21"/>
  <c r="H443" i="21"/>
  <c r="I443" i="21"/>
  <c r="H444" i="21"/>
  <c r="I444" i="21"/>
  <c r="H445" i="21"/>
  <c r="I445" i="21"/>
  <c r="H446" i="21"/>
  <c r="I446" i="21"/>
  <c r="H447" i="21"/>
  <c r="I447" i="21"/>
  <c r="H448" i="21"/>
  <c r="I448" i="21"/>
  <c r="H449" i="21"/>
  <c r="I449" i="21"/>
  <c r="H450" i="21"/>
  <c r="I450" i="21"/>
  <c r="H451" i="21"/>
  <c r="I451" i="21"/>
  <c r="H452" i="21"/>
  <c r="I452" i="21"/>
  <c r="H453" i="21"/>
  <c r="I453" i="21"/>
  <c r="H454" i="21"/>
  <c r="I454" i="21"/>
  <c r="H455" i="21"/>
  <c r="I455" i="21"/>
  <c r="H456" i="21"/>
  <c r="I456" i="21"/>
  <c r="H457" i="21"/>
  <c r="I457" i="21"/>
  <c r="H458" i="21"/>
  <c r="I458" i="21"/>
  <c r="H459" i="21"/>
  <c r="I459" i="21"/>
  <c r="H460" i="21"/>
  <c r="I460" i="21"/>
  <c r="H461" i="21"/>
  <c r="I461" i="21"/>
  <c r="H462" i="21"/>
  <c r="I462" i="21"/>
  <c r="H463" i="21"/>
  <c r="I463" i="21"/>
  <c r="H464" i="21"/>
  <c r="I464" i="21"/>
  <c r="H465" i="21"/>
  <c r="I465" i="21"/>
  <c r="H466" i="21"/>
  <c r="I466" i="21"/>
  <c r="H467" i="21"/>
  <c r="I467" i="21"/>
  <c r="H468" i="21"/>
  <c r="I468" i="21"/>
  <c r="H469" i="21"/>
  <c r="I469" i="21"/>
  <c r="H470" i="21"/>
  <c r="I470" i="21"/>
  <c r="H471" i="21"/>
  <c r="I471" i="21"/>
  <c r="H472" i="21"/>
  <c r="I472" i="21"/>
  <c r="H473" i="21"/>
  <c r="I473" i="21"/>
  <c r="H474" i="21"/>
  <c r="I474" i="21"/>
  <c r="H475" i="21"/>
  <c r="I475" i="21"/>
  <c r="H476" i="21"/>
  <c r="I476" i="21"/>
  <c r="H477" i="21"/>
  <c r="I477" i="21"/>
  <c r="H478" i="21"/>
  <c r="I478" i="21"/>
  <c r="H479" i="21"/>
  <c r="I479" i="21"/>
  <c r="H480" i="21"/>
  <c r="I480" i="21"/>
  <c r="H481" i="21"/>
  <c r="I481" i="21"/>
  <c r="H482" i="21"/>
  <c r="I482" i="21"/>
  <c r="H483" i="21"/>
  <c r="I483" i="21"/>
  <c r="H484" i="21"/>
  <c r="I484" i="21"/>
  <c r="H485" i="21"/>
  <c r="I485" i="21"/>
  <c r="H486" i="21"/>
  <c r="I486" i="21"/>
  <c r="H487" i="21"/>
  <c r="I487" i="21"/>
  <c r="H488" i="21"/>
  <c r="I488" i="21"/>
  <c r="H489" i="21"/>
  <c r="I489" i="21"/>
  <c r="H490" i="21"/>
  <c r="I490" i="21"/>
  <c r="H491" i="21"/>
  <c r="I491" i="21"/>
  <c r="H492" i="21"/>
  <c r="I492" i="21"/>
  <c r="H493" i="21"/>
  <c r="I493" i="21"/>
  <c r="H494" i="21"/>
  <c r="I494" i="21"/>
  <c r="H495" i="21"/>
  <c r="I495" i="21"/>
  <c r="H496" i="21"/>
  <c r="I496" i="21"/>
  <c r="H497" i="21"/>
  <c r="I497" i="21"/>
  <c r="H498" i="21"/>
  <c r="I498" i="21"/>
  <c r="H499" i="21"/>
  <c r="I499" i="21"/>
  <c r="H500" i="21"/>
  <c r="I500" i="21"/>
  <c r="H501" i="21"/>
  <c r="I501" i="21"/>
  <c r="L31" i="18" l="1"/>
  <c r="C5" i="21"/>
  <c r="B22" i="21"/>
  <c r="B3" i="21"/>
  <c r="B20" i="21"/>
  <c r="C20" i="21"/>
  <c r="B21" i="21"/>
  <c r="C21" i="21"/>
  <c r="C22" i="21"/>
  <c r="B23" i="21"/>
  <c r="C23" i="21"/>
  <c r="B24" i="21"/>
  <c r="C24" i="21"/>
  <c r="B25" i="21"/>
  <c r="C25" i="21"/>
  <c r="B26" i="21"/>
  <c r="C26" i="21"/>
  <c r="B27" i="21"/>
  <c r="C27" i="21"/>
  <c r="B28" i="21"/>
  <c r="C28" i="21"/>
  <c r="B29" i="21"/>
  <c r="C29" i="21"/>
  <c r="E29" i="21"/>
  <c r="F29" i="21"/>
  <c r="G29" i="21"/>
  <c r="B30" i="21"/>
  <c r="C30" i="21"/>
  <c r="E30" i="21"/>
  <c r="F30" i="21"/>
  <c r="G30" i="21"/>
  <c r="B31" i="21"/>
  <c r="C31" i="21"/>
  <c r="E31" i="21"/>
  <c r="F31" i="21"/>
  <c r="G31" i="21"/>
  <c r="B32" i="21"/>
  <c r="C32" i="21"/>
  <c r="E32" i="21"/>
  <c r="F32" i="21"/>
  <c r="G32" i="21"/>
  <c r="B33" i="21"/>
  <c r="C33" i="21"/>
  <c r="E33" i="21"/>
  <c r="F33" i="21"/>
  <c r="G33" i="21"/>
  <c r="B34" i="21"/>
  <c r="C34" i="21"/>
  <c r="E34" i="21"/>
  <c r="F34" i="21"/>
  <c r="G34" i="21"/>
  <c r="B35" i="21"/>
  <c r="C35" i="21"/>
  <c r="E35" i="21"/>
  <c r="F35" i="21"/>
  <c r="G35" i="21"/>
  <c r="B36" i="21"/>
  <c r="C36" i="21"/>
  <c r="E36" i="21"/>
  <c r="F36" i="21"/>
  <c r="G36" i="21"/>
  <c r="B37" i="21"/>
  <c r="C37" i="21"/>
  <c r="E37" i="21"/>
  <c r="F37" i="21"/>
  <c r="G37" i="21"/>
  <c r="B38" i="21"/>
  <c r="C38" i="21"/>
  <c r="E38" i="21"/>
  <c r="F38" i="21"/>
  <c r="G38" i="21"/>
  <c r="B39" i="21"/>
  <c r="C39" i="21"/>
  <c r="E39" i="21"/>
  <c r="F39" i="21"/>
  <c r="G39" i="21"/>
  <c r="B40" i="21"/>
  <c r="C40" i="21"/>
  <c r="E40" i="21"/>
  <c r="F40" i="21"/>
  <c r="G40" i="21"/>
  <c r="B41" i="21"/>
  <c r="C41" i="21"/>
  <c r="E41" i="21"/>
  <c r="F41" i="21"/>
  <c r="G41" i="21"/>
  <c r="B42" i="21"/>
  <c r="C42" i="21"/>
  <c r="E42" i="21"/>
  <c r="F42" i="21"/>
  <c r="G42" i="21"/>
  <c r="B43" i="21"/>
  <c r="C43" i="21"/>
  <c r="E43" i="21"/>
  <c r="F43" i="21"/>
  <c r="G43" i="21"/>
  <c r="B44" i="21"/>
  <c r="C44" i="21"/>
  <c r="E44" i="21"/>
  <c r="F44" i="21"/>
  <c r="G44" i="21"/>
  <c r="B45" i="21"/>
  <c r="C45" i="21"/>
  <c r="E45" i="21"/>
  <c r="F45" i="21"/>
  <c r="G45" i="21"/>
  <c r="B46" i="21"/>
  <c r="C46" i="21"/>
  <c r="E46" i="21"/>
  <c r="F46" i="21"/>
  <c r="G46" i="21"/>
  <c r="B47" i="21"/>
  <c r="C47" i="21"/>
  <c r="E47" i="21"/>
  <c r="F47" i="21"/>
  <c r="G47" i="21"/>
  <c r="B48" i="21"/>
  <c r="C48" i="21"/>
  <c r="E48" i="21"/>
  <c r="F48" i="21"/>
  <c r="G48" i="21"/>
  <c r="B49" i="21"/>
  <c r="C49" i="21"/>
  <c r="E49" i="21"/>
  <c r="F49" i="21"/>
  <c r="G49" i="21"/>
  <c r="B50" i="21"/>
  <c r="C50" i="21"/>
  <c r="E50" i="21"/>
  <c r="F50" i="21"/>
  <c r="G50" i="21"/>
  <c r="B51" i="21"/>
  <c r="C51" i="21"/>
  <c r="E51" i="21"/>
  <c r="F51" i="21"/>
  <c r="G51" i="21"/>
  <c r="B52" i="21"/>
  <c r="C52" i="21"/>
  <c r="E52" i="21"/>
  <c r="F52" i="21"/>
  <c r="G52" i="21"/>
  <c r="B53" i="21"/>
  <c r="C53" i="21"/>
  <c r="E53" i="21"/>
  <c r="F53" i="21"/>
  <c r="G53" i="21"/>
  <c r="B54" i="21"/>
  <c r="C54" i="21"/>
  <c r="E54" i="21"/>
  <c r="F54" i="21"/>
  <c r="G54" i="21"/>
  <c r="B55" i="21"/>
  <c r="C55" i="21"/>
  <c r="E55" i="21"/>
  <c r="F55" i="21"/>
  <c r="G55" i="21"/>
  <c r="B56" i="21"/>
  <c r="C56" i="21"/>
  <c r="E56" i="21"/>
  <c r="F56" i="21"/>
  <c r="G56" i="21"/>
  <c r="B57" i="21"/>
  <c r="C57" i="21"/>
  <c r="E57" i="21"/>
  <c r="F57" i="21"/>
  <c r="G57" i="21"/>
  <c r="B58" i="21"/>
  <c r="C58" i="21"/>
  <c r="E58" i="21"/>
  <c r="F58" i="21"/>
  <c r="G58" i="21"/>
  <c r="B59" i="21"/>
  <c r="C59" i="21"/>
  <c r="E59" i="21"/>
  <c r="F59" i="21"/>
  <c r="G59" i="21"/>
  <c r="B60" i="21"/>
  <c r="C60" i="21"/>
  <c r="E60" i="21"/>
  <c r="F60" i="21"/>
  <c r="G60" i="21"/>
  <c r="B61" i="21"/>
  <c r="C61" i="21"/>
  <c r="E61" i="21"/>
  <c r="F61" i="21"/>
  <c r="G61" i="21"/>
  <c r="B62" i="21"/>
  <c r="C62" i="21"/>
  <c r="E62" i="21"/>
  <c r="F62" i="21"/>
  <c r="G62" i="21"/>
  <c r="B63" i="21"/>
  <c r="C63" i="21"/>
  <c r="E63" i="21"/>
  <c r="F63" i="21"/>
  <c r="G63" i="21"/>
  <c r="B64" i="21"/>
  <c r="C64" i="21"/>
  <c r="E64" i="21"/>
  <c r="F64" i="21"/>
  <c r="G64" i="21"/>
  <c r="B65" i="21"/>
  <c r="C65" i="21"/>
  <c r="E65" i="21"/>
  <c r="F65" i="21"/>
  <c r="G65" i="21"/>
  <c r="B66" i="21"/>
  <c r="C66" i="21"/>
  <c r="E66" i="21"/>
  <c r="F66" i="21"/>
  <c r="G66" i="21"/>
  <c r="B67" i="21"/>
  <c r="C67" i="21"/>
  <c r="E67" i="21"/>
  <c r="F67" i="21"/>
  <c r="G67" i="21"/>
  <c r="B68" i="21"/>
  <c r="C68" i="21"/>
  <c r="E68" i="21"/>
  <c r="F68" i="21"/>
  <c r="G68" i="21"/>
  <c r="B69" i="21"/>
  <c r="C69" i="21"/>
  <c r="E69" i="21"/>
  <c r="F69" i="21"/>
  <c r="G69" i="21"/>
  <c r="B70" i="21"/>
  <c r="C70" i="21"/>
  <c r="E70" i="21"/>
  <c r="F70" i="21"/>
  <c r="G70" i="21"/>
  <c r="B71" i="21"/>
  <c r="C71" i="21"/>
  <c r="E71" i="21"/>
  <c r="F71" i="21"/>
  <c r="G71" i="21"/>
  <c r="B72" i="21"/>
  <c r="C72" i="21"/>
  <c r="E72" i="21"/>
  <c r="F72" i="21"/>
  <c r="G72" i="21"/>
  <c r="B73" i="21"/>
  <c r="C73" i="21"/>
  <c r="E73" i="21"/>
  <c r="F73" i="21"/>
  <c r="G73" i="21"/>
  <c r="B74" i="21"/>
  <c r="C74" i="21"/>
  <c r="E74" i="21"/>
  <c r="F74" i="21"/>
  <c r="G74" i="21"/>
  <c r="B75" i="21"/>
  <c r="C75" i="21"/>
  <c r="E75" i="21"/>
  <c r="F75" i="21"/>
  <c r="G75" i="21"/>
  <c r="B76" i="21"/>
  <c r="C76" i="21"/>
  <c r="E76" i="21"/>
  <c r="F76" i="21"/>
  <c r="G76" i="21"/>
  <c r="B77" i="21"/>
  <c r="C77" i="21"/>
  <c r="E77" i="21"/>
  <c r="F77" i="21"/>
  <c r="G77" i="21"/>
  <c r="B78" i="21"/>
  <c r="C78" i="21"/>
  <c r="E78" i="21"/>
  <c r="F78" i="21"/>
  <c r="G78" i="21"/>
  <c r="B79" i="21"/>
  <c r="C79" i="21"/>
  <c r="E79" i="21"/>
  <c r="F79" i="21"/>
  <c r="G79" i="21"/>
  <c r="B80" i="21"/>
  <c r="C80" i="21"/>
  <c r="E80" i="21"/>
  <c r="F80" i="21"/>
  <c r="G80" i="21"/>
  <c r="B81" i="21"/>
  <c r="C81" i="21"/>
  <c r="E81" i="21"/>
  <c r="F81" i="21"/>
  <c r="G81" i="21"/>
  <c r="B82" i="21"/>
  <c r="C82" i="21"/>
  <c r="E82" i="21"/>
  <c r="F82" i="21"/>
  <c r="G82" i="21"/>
  <c r="B83" i="21"/>
  <c r="C83" i="21"/>
  <c r="E83" i="21"/>
  <c r="F83" i="21"/>
  <c r="G83" i="21"/>
  <c r="B84" i="21"/>
  <c r="C84" i="21"/>
  <c r="E84" i="21"/>
  <c r="F84" i="21"/>
  <c r="G84" i="21"/>
  <c r="B85" i="21"/>
  <c r="C85" i="21"/>
  <c r="E85" i="21"/>
  <c r="F85" i="21"/>
  <c r="G85" i="21"/>
  <c r="B86" i="21"/>
  <c r="C86" i="21"/>
  <c r="E86" i="21"/>
  <c r="F86" i="21"/>
  <c r="G86" i="21"/>
  <c r="B87" i="21"/>
  <c r="C87" i="21"/>
  <c r="E87" i="21"/>
  <c r="F87" i="21"/>
  <c r="G87" i="21"/>
  <c r="B88" i="21"/>
  <c r="C88" i="21"/>
  <c r="E88" i="21"/>
  <c r="F88" i="21"/>
  <c r="G88" i="21"/>
  <c r="B89" i="21"/>
  <c r="C89" i="21"/>
  <c r="E89" i="21"/>
  <c r="F89" i="21"/>
  <c r="G89" i="21"/>
  <c r="B90" i="21"/>
  <c r="C90" i="21"/>
  <c r="E90" i="21"/>
  <c r="F90" i="21"/>
  <c r="G90" i="21"/>
  <c r="B91" i="21"/>
  <c r="C91" i="21"/>
  <c r="E91" i="21"/>
  <c r="F91" i="21"/>
  <c r="G91" i="21"/>
  <c r="B92" i="21"/>
  <c r="C92" i="21"/>
  <c r="E92" i="21"/>
  <c r="F92" i="21"/>
  <c r="G92" i="21"/>
  <c r="B93" i="21"/>
  <c r="C93" i="21"/>
  <c r="E93" i="21"/>
  <c r="F93" i="21"/>
  <c r="G93" i="21"/>
  <c r="B94" i="21"/>
  <c r="C94" i="21"/>
  <c r="E94" i="21"/>
  <c r="F94" i="21"/>
  <c r="G94" i="21"/>
  <c r="B95" i="21"/>
  <c r="C95" i="21"/>
  <c r="E95" i="21"/>
  <c r="F95" i="21"/>
  <c r="G95" i="21"/>
  <c r="B96" i="21"/>
  <c r="C96" i="21"/>
  <c r="E96" i="21"/>
  <c r="F96" i="21"/>
  <c r="G96" i="21"/>
  <c r="B97" i="21"/>
  <c r="C97" i="21"/>
  <c r="E97" i="21"/>
  <c r="F97" i="21"/>
  <c r="G97" i="21"/>
  <c r="B98" i="21"/>
  <c r="C98" i="21"/>
  <c r="E98" i="21"/>
  <c r="F98" i="21"/>
  <c r="G98" i="21"/>
  <c r="B99" i="21"/>
  <c r="C99" i="21"/>
  <c r="E99" i="21"/>
  <c r="F99" i="21"/>
  <c r="G99" i="21"/>
  <c r="B100" i="21"/>
  <c r="C100" i="21"/>
  <c r="E100" i="21"/>
  <c r="F100" i="21"/>
  <c r="G100" i="21"/>
  <c r="B101" i="21"/>
  <c r="C101" i="21"/>
  <c r="E101" i="21"/>
  <c r="F101" i="21"/>
  <c r="G101" i="21"/>
  <c r="B102" i="21"/>
  <c r="C102" i="21"/>
  <c r="E102" i="21"/>
  <c r="F102" i="21"/>
  <c r="G102" i="21"/>
  <c r="B103" i="21"/>
  <c r="C103" i="21"/>
  <c r="E103" i="21"/>
  <c r="F103" i="21"/>
  <c r="G103" i="21"/>
  <c r="B104" i="21"/>
  <c r="C104" i="21"/>
  <c r="E104" i="21"/>
  <c r="F104" i="21"/>
  <c r="G104" i="21"/>
  <c r="B105" i="21"/>
  <c r="C105" i="21"/>
  <c r="E105" i="21"/>
  <c r="F105" i="21"/>
  <c r="G105" i="21"/>
  <c r="B106" i="21"/>
  <c r="C106" i="21"/>
  <c r="E106" i="21"/>
  <c r="F106" i="21"/>
  <c r="G106" i="21"/>
  <c r="B107" i="21"/>
  <c r="C107" i="21"/>
  <c r="E107" i="21"/>
  <c r="F107" i="21"/>
  <c r="G107" i="21"/>
  <c r="B108" i="21"/>
  <c r="C108" i="21"/>
  <c r="E108" i="21"/>
  <c r="F108" i="21"/>
  <c r="G108" i="21"/>
  <c r="B109" i="21"/>
  <c r="C109" i="21"/>
  <c r="E109" i="21"/>
  <c r="F109" i="21"/>
  <c r="G109" i="21"/>
  <c r="B110" i="21"/>
  <c r="C110" i="21"/>
  <c r="E110" i="21"/>
  <c r="F110" i="21"/>
  <c r="G110" i="21"/>
  <c r="B111" i="21"/>
  <c r="C111" i="21"/>
  <c r="E111" i="21"/>
  <c r="F111" i="21"/>
  <c r="G111" i="21"/>
  <c r="B112" i="21"/>
  <c r="C112" i="21"/>
  <c r="E112" i="21"/>
  <c r="F112" i="21"/>
  <c r="G112" i="21"/>
  <c r="B113" i="21"/>
  <c r="C113" i="21"/>
  <c r="E113" i="21"/>
  <c r="F113" i="21"/>
  <c r="G113" i="21"/>
  <c r="B114" i="21"/>
  <c r="C114" i="21"/>
  <c r="E114" i="21"/>
  <c r="F114" i="21"/>
  <c r="G114" i="21"/>
  <c r="B115" i="21"/>
  <c r="C115" i="21"/>
  <c r="E115" i="21"/>
  <c r="F115" i="21"/>
  <c r="G115" i="21"/>
  <c r="B116" i="21"/>
  <c r="C116" i="21"/>
  <c r="E116" i="21"/>
  <c r="F116" i="21"/>
  <c r="G116" i="21"/>
  <c r="B117" i="21"/>
  <c r="C117" i="21"/>
  <c r="E117" i="21"/>
  <c r="F117" i="21"/>
  <c r="G117" i="21"/>
  <c r="B118" i="21"/>
  <c r="C118" i="21"/>
  <c r="E118" i="21"/>
  <c r="F118" i="21"/>
  <c r="G118" i="21"/>
  <c r="B119" i="21"/>
  <c r="C119" i="21"/>
  <c r="E119" i="21"/>
  <c r="F119" i="21"/>
  <c r="G119" i="21"/>
  <c r="B120" i="21"/>
  <c r="C120" i="21"/>
  <c r="E120" i="21"/>
  <c r="F120" i="21"/>
  <c r="G120" i="21"/>
  <c r="B121" i="21"/>
  <c r="C121" i="21"/>
  <c r="E121" i="21"/>
  <c r="F121" i="21"/>
  <c r="G121" i="21"/>
  <c r="B122" i="21"/>
  <c r="C122" i="21"/>
  <c r="E122" i="21"/>
  <c r="F122" i="21"/>
  <c r="G122" i="21"/>
  <c r="B123" i="21"/>
  <c r="C123" i="21"/>
  <c r="E123" i="21"/>
  <c r="F123" i="21"/>
  <c r="G123" i="21"/>
  <c r="B124" i="21"/>
  <c r="C124" i="21"/>
  <c r="E124" i="21"/>
  <c r="F124" i="21"/>
  <c r="G124" i="21"/>
  <c r="B125" i="21"/>
  <c r="C125" i="21"/>
  <c r="E125" i="21"/>
  <c r="F125" i="21"/>
  <c r="G125" i="21"/>
  <c r="B126" i="21"/>
  <c r="C126" i="21"/>
  <c r="E126" i="21"/>
  <c r="F126" i="21"/>
  <c r="G126" i="21"/>
  <c r="B127" i="21"/>
  <c r="C127" i="21"/>
  <c r="E127" i="21"/>
  <c r="F127" i="21"/>
  <c r="G127" i="21"/>
  <c r="B128" i="21"/>
  <c r="C128" i="21"/>
  <c r="E128" i="21"/>
  <c r="F128" i="21"/>
  <c r="G128" i="21"/>
  <c r="B129" i="21"/>
  <c r="C129" i="21"/>
  <c r="E129" i="21"/>
  <c r="F129" i="21"/>
  <c r="G129" i="21"/>
  <c r="B130" i="21"/>
  <c r="C130" i="21"/>
  <c r="E130" i="21"/>
  <c r="F130" i="21"/>
  <c r="G130" i="21"/>
  <c r="B131" i="21"/>
  <c r="C131" i="21"/>
  <c r="E131" i="21"/>
  <c r="F131" i="21"/>
  <c r="G131" i="21"/>
  <c r="B132" i="21"/>
  <c r="C132" i="21"/>
  <c r="E132" i="21"/>
  <c r="F132" i="21"/>
  <c r="G132" i="21"/>
  <c r="B133" i="21"/>
  <c r="C133" i="21"/>
  <c r="E133" i="21"/>
  <c r="F133" i="21"/>
  <c r="G133" i="21"/>
  <c r="B134" i="21"/>
  <c r="C134" i="21"/>
  <c r="E134" i="21"/>
  <c r="F134" i="21"/>
  <c r="G134" i="21"/>
  <c r="B135" i="21"/>
  <c r="C135" i="21"/>
  <c r="E135" i="21"/>
  <c r="F135" i="21"/>
  <c r="G135" i="21"/>
  <c r="B136" i="21"/>
  <c r="C136" i="21"/>
  <c r="E136" i="21"/>
  <c r="F136" i="21"/>
  <c r="G136" i="21"/>
  <c r="B137" i="21"/>
  <c r="C137" i="21"/>
  <c r="E137" i="21"/>
  <c r="F137" i="21"/>
  <c r="G137" i="21"/>
  <c r="B138" i="21"/>
  <c r="C138" i="21"/>
  <c r="E138" i="21"/>
  <c r="F138" i="21"/>
  <c r="G138" i="21"/>
  <c r="B139" i="21"/>
  <c r="C139" i="21"/>
  <c r="E139" i="21"/>
  <c r="F139" i="21"/>
  <c r="G139" i="21"/>
  <c r="B140" i="21"/>
  <c r="C140" i="21"/>
  <c r="B141" i="21"/>
  <c r="C141" i="21"/>
  <c r="B142" i="21"/>
  <c r="C142" i="21"/>
  <c r="B143" i="21"/>
  <c r="C143" i="21"/>
  <c r="B144" i="21"/>
  <c r="C144" i="21"/>
  <c r="B145" i="21"/>
  <c r="C145" i="21"/>
  <c r="B146" i="21"/>
  <c r="C146" i="21"/>
  <c r="B147" i="21"/>
  <c r="C147" i="21"/>
  <c r="B148" i="21"/>
  <c r="C148" i="21"/>
  <c r="B149" i="21"/>
  <c r="C149" i="21"/>
  <c r="B150" i="21"/>
  <c r="C150" i="21"/>
  <c r="B151" i="21"/>
  <c r="C151" i="21"/>
  <c r="B152" i="21"/>
  <c r="C152" i="21"/>
  <c r="B153" i="21"/>
  <c r="C153" i="21"/>
  <c r="E153" i="21"/>
  <c r="F153" i="21"/>
  <c r="G153" i="21"/>
  <c r="B154" i="21"/>
  <c r="C154" i="21"/>
  <c r="E154" i="21"/>
  <c r="F154" i="21"/>
  <c r="G154" i="21"/>
  <c r="B155" i="21"/>
  <c r="C155" i="21"/>
  <c r="E155" i="21"/>
  <c r="F155" i="21"/>
  <c r="G155" i="21"/>
  <c r="B156" i="21"/>
  <c r="C156" i="21"/>
  <c r="E156" i="21"/>
  <c r="F156" i="21"/>
  <c r="G156" i="21"/>
  <c r="B157" i="21"/>
  <c r="C157" i="21"/>
  <c r="E157" i="21"/>
  <c r="F157" i="21"/>
  <c r="G157" i="21"/>
  <c r="B158" i="21"/>
  <c r="C158" i="21"/>
  <c r="E158" i="21"/>
  <c r="F158" i="21"/>
  <c r="G158" i="21"/>
  <c r="B159" i="21"/>
  <c r="C159" i="21"/>
  <c r="E159" i="21"/>
  <c r="F159" i="21"/>
  <c r="G159" i="21"/>
  <c r="B160" i="21"/>
  <c r="C160" i="21"/>
  <c r="E160" i="21"/>
  <c r="F160" i="21"/>
  <c r="G160" i="21"/>
  <c r="B161" i="21"/>
  <c r="C161" i="21"/>
  <c r="E161" i="21"/>
  <c r="F161" i="21"/>
  <c r="G161" i="21"/>
  <c r="B162" i="21"/>
  <c r="C162" i="21"/>
  <c r="E162" i="21"/>
  <c r="F162" i="21"/>
  <c r="G162" i="21"/>
  <c r="B163" i="21"/>
  <c r="C163" i="21"/>
  <c r="E163" i="21"/>
  <c r="F163" i="21"/>
  <c r="G163" i="21"/>
  <c r="B164" i="21"/>
  <c r="C164" i="21"/>
  <c r="E164" i="21"/>
  <c r="F164" i="21"/>
  <c r="G164" i="21"/>
  <c r="B165" i="21"/>
  <c r="C165" i="21"/>
  <c r="E165" i="21"/>
  <c r="F165" i="21"/>
  <c r="G165" i="21"/>
  <c r="B166" i="21"/>
  <c r="C166" i="21"/>
  <c r="E166" i="21"/>
  <c r="F166" i="21"/>
  <c r="G166" i="21"/>
  <c r="B167" i="21"/>
  <c r="C167" i="21"/>
  <c r="E167" i="21"/>
  <c r="F167" i="21"/>
  <c r="G167" i="21"/>
  <c r="B168" i="21"/>
  <c r="C168" i="21"/>
  <c r="E168" i="21"/>
  <c r="F168" i="21"/>
  <c r="G168" i="21"/>
  <c r="B169" i="21"/>
  <c r="C169" i="21"/>
  <c r="E169" i="21"/>
  <c r="F169" i="21"/>
  <c r="G169" i="21"/>
  <c r="B170" i="21"/>
  <c r="C170" i="21"/>
  <c r="E170" i="21"/>
  <c r="F170" i="21"/>
  <c r="G170" i="21"/>
  <c r="B171" i="21"/>
  <c r="C171" i="21"/>
  <c r="E171" i="21"/>
  <c r="F171" i="21"/>
  <c r="G171" i="21"/>
  <c r="B172" i="21"/>
  <c r="C172" i="21"/>
  <c r="E172" i="21"/>
  <c r="F172" i="21"/>
  <c r="G172" i="21"/>
  <c r="B173" i="21"/>
  <c r="C173" i="21"/>
  <c r="E173" i="21"/>
  <c r="F173" i="21"/>
  <c r="G173" i="21"/>
  <c r="B174" i="21"/>
  <c r="C174" i="21"/>
  <c r="E174" i="21"/>
  <c r="F174" i="21"/>
  <c r="G174" i="21"/>
  <c r="B175" i="21"/>
  <c r="C175" i="21"/>
  <c r="E175" i="21"/>
  <c r="F175" i="21"/>
  <c r="G175" i="21"/>
  <c r="B176" i="21"/>
  <c r="C176" i="21"/>
  <c r="E176" i="21"/>
  <c r="F176" i="21"/>
  <c r="G176" i="21"/>
  <c r="B177" i="21"/>
  <c r="C177" i="21"/>
  <c r="E177" i="21"/>
  <c r="F177" i="21"/>
  <c r="G177" i="21"/>
  <c r="B178" i="21"/>
  <c r="C178" i="21"/>
  <c r="E178" i="21"/>
  <c r="F178" i="21"/>
  <c r="G178" i="21"/>
  <c r="B179" i="21"/>
  <c r="C179" i="21"/>
  <c r="E179" i="21"/>
  <c r="F179" i="21"/>
  <c r="G179" i="21"/>
  <c r="B180" i="21"/>
  <c r="C180" i="21"/>
  <c r="E180" i="21"/>
  <c r="F180" i="21"/>
  <c r="G180" i="21"/>
  <c r="B181" i="21"/>
  <c r="C181" i="21"/>
  <c r="E181" i="21"/>
  <c r="F181" i="21"/>
  <c r="G181" i="21"/>
  <c r="B182" i="21"/>
  <c r="C182" i="21"/>
  <c r="E182" i="21"/>
  <c r="F182" i="21"/>
  <c r="G182" i="21"/>
  <c r="B183" i="21"/>
  <c r="C183" i="21"/>
  <c r="E183" i="21"/>
  <c r="F183" i="21"/>
  <c r="G183" i="21"/>
  <c r="B184" i="21"/>
  <c r="C184" i="21"/>
  <c r="E184" i="21"/>
  <c r="F184" i="21"/>
  <c r="G184" i="21"/>
  <c r="B185" i="21"/>
  <c r="C185" i="21"/>
  <c r="E185" i="21"/>
  <c r="F185" i="21"/>
  <c r="G185" i="21"/>
  <c r="B186" i="21"/>
  <c r="C186" i="21"/>
  <c r="E186" i="21"/>
  <c r="F186" i="21"/>
  <c r="G186" i="21"/>
  <c r="B187" i="21"/>
  <c r="C187" i="21"/>
  <c r="E187" i="21"/>
  <c r="F187" i="21"/>
  <c r="G187" i="21"/>
  <c r="B188" i="21"/>
  <c r="C188" i="21"/>
  <c r="E188" i="21"/>
  <c r="F188" i="21"/>
  <c r="G188" i="21"/>
  <c r="B189" i="21"/>
  <c r="C189" i="21"/>
  <c r="E189" i="21"/>
  <c r="F189" i="21"/>
  <c r="G189" i="21"/>
  <c r="B190" i="21"/>
  <c r="C190" i="21"/>
  <c r="E190" i="21"/>
  <c r="F190" i="21"/>
  <c r="G190" i="21"/>
  <c r="B191" i="21"/>
  <c r="C191" i="21"/>
  <c r="E191" i="21"/>
  <c r="F191" i="21"/>
  <c r="G191" i="21"/>
  <c r="B192" i="21"/>
  <c r="C192" i="21"/>
  <c r="E192" i="21"/>
  <c r="F192" i="21"/>
  <c r="G192" i="21"/>
  <c r="B193" i="21"/>
  <c r="C193" i="21"/>
  <c r="E193" i="21"/>
  <c r="F193" i="21"/>
  <c r="G193" i="21"/>
  <c r="B194" i="21"/>
  <c r="C194" i="21"/>
  <c r="E194" i="21"/>
  <c r="F194" i="21"/>
  <c r="G194" i="21"/>
  <c r="B195" i="21"/>
  <c r="C195" i="21"/>
  <c r="E195" i="21"/>
  <c r="F195" i="21"/>
  <c r="G195" i="21"/>
  <c r="B196" i="21"/>
  <c r="C196" i="21"/>
  <c r="E196" i="21"/>
  <c r="F196" i="21"/>
  <c r="G196" i="21"/>
  <c r="B197" i="21"/>
  <c r="C197" i="21"/>
  <c r="E197" i="21"/>
  <c r="F197" i="21"/>
  <c r="G197" i="21"/>
  <c r="B198" i="21"/>
  <c r="C198" i="21"/>
  <c r="E198" i="21"/>
  <c r="F198" i="21"/>
  <c r="G198" i="21"/>
  <c r="B199" i="21"/>
  <c r="C199" i="21"/>
  <c r="E199" i="21"/>
  <c r="F199" i="21"/>
  <c r="G199" i="21"/>
  <c r="B200" i="21"/>
  <c r="C200" i="21"/>
  <c r="E200" i="21"/>
  <c r="F200" i="21"/>
  <c r="G200" i="21"/>
  <c r="B201" i="21"/>
  <c r="C201" i="21"/>
  <c r="E201" i="21"/>
  <c r="F201" i="21"/>
  <c r="G201" i="21"/>
  <c r="B202" i="21"/>
  <c r="C202" i="21"/>
  <c r="E202" i="21"/>
  <c r="F202" i="21"/>
  <c r="G202" i="21"/>
  <c r="B203" i="21"/>
  <c r="C203" i="21"/>
  <c r="E203" i="21"/>
  <c r="F203" i="21"/>
  <c r="G203" i="21"/>
  <c r="B204" i="21"/>
  <c r="C204" i="21"/>
  <c r="E204" i="21"/>
  <c r="F204" i="21"/>
  <c r="G204" i="21"/>
  <c r="B205" i="21"/>
  <c r="C205" i="21"/>
  <c r="E205" i="21"/>
  <c r="F205" i="21"/>
  <c r="G205" i="21"/>
  <c r="B206" i="21"/>
  <c r="C206" i="21"/>
  <c r="E206" i="21"/>
  <c r="F206" i="21"/>
  <c r="G206" i="21"/>
  <c r="B207" i="21"/>
  <c r="C207" i="21"/>
  <c r="E207" i="21"/>
  <c r="F207" i="21"/>
  <c r="G207" i="21"/>
  <c r="B208" i="21"/>
  <c r="C208" i="21"/>
  <c r="E208" i="21"/>
  <c r="F208" i="21"/>
  <c r="G208" i="21"/>
  <c r="B209" i="21"/>
  <c r="C209" i="21"/>
  <c r="E209" i="21"/>
  <c r="F209" i="21"/>
  <c r="G209" i="21"/>
  <c r="B210" i="21"/>
  <c r="C210" i="21"/>
  <c r="E210" i="21"/>
  <c r="F210" i="21"/>
  <c r="G210" i="21"/>
  <c r="B211" i="21"/>
  <c r="C211" i="21"/>
  <c r="E211" i="21"/>
  <c r="F211" i="21"/>
  <c r="G211" i="21"/>
  <c r="B212" i="21"/>
  <c r="C212" i="21"/>
  <c r="E212" i="21"/>
  <c r="F212" i="21"/>
  <c r="G212" i="21"/>
  <c r="B213" i="21"/>
  <c r="C213" i="21"/>
  <c r="E213" i="21"/>
  <c r="F213" i="21"/>
  <c r="G213" i="21"/>
  <c r="B214" i="21"/>
  <c r="C214" i="21"/>
  <c r="E214" i="21"/>
  <c r="F214" i="21"/>
  <c r="G214" i="21"/>
  <c r="B215" i="21"/>
  <c r="C215" i="21"/>
  <c r="E215" i="21"/>
  <c r="F215" i="21"/>
  <c r="G215" i="21"/>
  <c r="B216" i="21"/>
  <c r="C216" i="21"/>
  <c r="E216" i="21"/>
  <c r="F216" i="21"/>
  <c r="G216" i="21"/>
  <c r="B217" i="21"/>
  <c r="C217" i="21"/>
  <c r="E217" i="21"/>
  <c r="F217" i="21"/>
  <c r="G217" i="21"/>
  <c r="B218" i="21"/>
  <c r="C218" i="21"/>
  <c r="E218" i="21"/>
  <c r="F218" i="21"/>
  <c r="G218" i="21"/>
  <c r="B219" i="21"/>
  <c r="C219" i="21"/>
  <c r="E219" i="21"/>
  <c r="F219" i="21"/>
  <c r="G219" i="21"/>
  <c r="B220" i="21"/>
  <c r="C220" i="21"/>
  <c r="E220" i="21"/>
  <c r="F220" i="21"/>
  <c r="G220" i="21"/>
  <c r="B221" i="21"/>
  <c r="C221" i="21"/>
  <c r="E221" i="21"/>
  <c r="F221" i="21"/>
  <c r="G221" i="21"/>
  <c r="B222" i="21"/>
  <c r="C222" i="21"/>
  <c r="E222" i="21"/>
  <c r="F222" i="21"/>
  <c r="G222" i="21"/>
  <c r="B223" i="21"/>
  <c r="C223" i="21"/>
  <c r="E223" i="21"/>
  <c r="F223" i="21"/>
  <c r="G223" i="21"/>
  <c r="B224" i="21"/>
  <c r="C224" i="21"/>
  <c r="E224" i="21"/>
  <c r="F224" i="21"/>
  <c r="G224" i="21"/>
  <c r="B225" i="21"/>
  <c r="C225" i="21"/>
  <c r="E225" i="21"/>
  <c r="F225" i="21"/>
  <c r="G225" i="21"/>
  <c r="B226" i="21"/>
  <c r="C226" i="21"/>
  <c r="E226" i="21"/>
  <c r="F226" i="21"/>
  <c r="G226" i="21"/>
  <c r="B227" i="21"/>
  <c r="C227" i="21"/>
  <c r="E227" i="21"/>
  <c r="F227" i="21"/>
  <c r="G227" i="21"/>
  <c r="B228" i="21"/>
  <c r="C228" i="21"/>
  <c r="E228" i="21"/>
  <c r="F228" i="21"/>
  <c r="G228" i="21"/>
  <c r="B229" i="21"/>
  <c r="C229" i="21"/>
  <c r="E229" i="21"/>
  <c r="F229" i="21"/>
  <c r="G229" i="21"/>
  <c r="B230" i="21"/>
  <c r="C230" i="21"/>
  <c r="E230" i="21"/>
  <c r="F230" i="21"/>
  <c r="G230" i="21"/>
  <c r="B231" i="21"/>
  <c r="C231" i="21"/>
  <c r="E231" i="21"/>
  <c r="F231" i="21"/>
  <c r="G231" i="21"/>
  <c r="B232" i="21"/>
  <c r="C232" i="21"/>
  <c r="E232" i="21"/>
  <c r="F232" i="21"/>
  <c r="G232" i="21"/>
  <c r="B233" i="21"/>
  <c r="C233" i="21"/>
  <c r="E233" i="21"/>
  <c r="F233" i="21"/>
  <c r="G233" i="21"/>
  <c r="B234" i="21"/>
  <c r="C234" i="21"/>
  <c r="E234" i="21"/>
  <c r="F234" i="21"/>
  <c r="G234" i="21"/>
  <c r="B235" i="21"/>
  <c r="C235" i="21"/>
  <c r="E235" i="21"/>
  <c r="F235" i="21"/>
  <c r="G235" i="21"/>
  <c r="B236" i="21"/>
  <c r="C236" i="21"/>
  <c r="E236" i="21"/>
  <c r="F236" i="21"/>
  <c r="G236" i="21"/>
  <c r="B237" i="21"/>
  <c r="C237" i="21"/>
  <c r="E237" i="21"/>
  <c r="F237" i="21"/>
  <c r="G237" i="21"/>
  <c r="B238" i="21"/>
  <c r="C238" i="21"/>
  <c r="E238" i="21"/>
  <c r="F238" i="21"/>
  <c r="G238" i="21"/>
  <c r="B239" i="21"/>
  <c r="C239" i="21"/>
  <c r="E239" i="21"/>
  <c r="F239" i="21"/>
  <c r="G239" i="21"/>
  <c r="B240" i="21"/>
  <c r="C240" i="21"/>
  <c r="E240" i="21"/>
  <c r="F240" i="21"/>
  <c r="G240" i="21"/>
  <c r="B241" i="21"/>
  <c r="C241" i="21"/>
  <c r="E241" i="21"/>
  <c r="F241" i="21"/>
  <c r="G241" i="21"/>
  <c r="B242" i="21"/>
  <c r="C242" i="21"/>
  <c r="E242" i="21"/>
  <c r="F242" i="21"/>
  <c r="G242" i="21"/>
  <c r="B243" i="21"/>
  <c r="C243" i="21"/>
  <c r="E243" i="21"/>
  <c r="F243" i="21"/>
  <c r="G243" i="21"/>
  <c r="B244" i="21"/>
  <c r="C244" i="21"/>
  <c r="E244" i="21"/>
  <c r="F244" i="21"/>
  <c r="G244" i="21"/>
  <c r="B245" i="21"/>
  <c r="C245" i="21"/>
  <c r="E245" i="21"/>
  <c r="F245" i="21"/>
  <c r="G245" i="21"/>
  <c r="B246" i="21"/>
  <c r="C246" i="21"/>
  <c r="E246" i="21"/>
  <c r="F246" i="21"/>
  <c r="G246" i="21"/>
  <c r="B247" i="21"/>
  <c r="C247" i="21"/>
  <c r="E247" i="21"/>
  <c r="F247" i="21"/>
  <c r="G247" i="21"/>
  <c r="B248" i="21"/>
  <c r="C248" i="21"/>
  <c r="E248" i="21"/>
  <c r="F248" i="21"/>
  <c r="G248" i="21"/>
  <c r="B249" i="21"/>
  <c r="C249" i="21"/>
  <c r="E249" i="21"/>
  <c r="F249" i="21"/>
  <c r="G249" i="21"/>
  <c r="B250" i="21"/>
  <c r="C250" i="21"/>
  <c r="E250" i="21"/>
  <c r="F250" i="21"/>
  <c r="G250" i="21"/>
  <c r="B251" i="21"/>
  <c r="C251" i="21"/>
  <c r="E251" i="21"/>
  <c r="F251" i="21"/>
  <c r="G251" i="21"/>
  <c r="B252" i="21"/>
  <c r="C252" i="21"/>
  <c r="E252" i="21"/>
  <c r="F252" i="21"/>
  <c r="G252" i="21"/>
  <c r="B253" i="21"/>
  <c r="C253" i="21"/>
  <c r="E253" i="21"/>
  <c r="F253" i="21"/>
  <c r="G253" i="21"/>
  <c r="B254" i="21"/>
  <c r="C254" i="21"/>
  <c r="E254" i="21"/>
  <c r="F254" i="21"/>
  <c r="G254" i="21"/>
  <c r="B255" i="21"/>
  <c r="C255" i="21"/>
  <c r="E255" i="21"/>
  <c r="F255" i="21"/>
  <c r="G255" i="21"/>
  <c r="B256" i="21"/>
  <c r="C256" i="21"/>
  <c r="E256" i="21"/>
  <c r="F256" i="21"/>
  <c r="G256" i="21"/>
  <c r="B257" i="21"/>
  <c r="C257" i="21"/>
  <c r="E257" i="21"/>
  <c r="F257" i="21"/>
  <c r="G257" i="21"/>
  <c r="B258" i="21"/>
  <c r="C258" i="21"/>
  <c r="E258" i="21"/>
  <c r="F258" i="21"/>
  <c r="G258" i="21"/>
  <c r="B259" i="21"/>
  <c r="C259" i="21"/>
  <c r="E259" i="21"/>
  <c r="F259" i="21"/>
  <c r="G259" i="21"/>
  <c r="B260" i="21"/>
  <c r="C260" i="21"/>
  <c r="E260" i="21"/>
  <c r="F260" i="21"/>
  <c r="G260" i="21"/>
  <c r="B261" i="21"/>
  <c r="C261" i="21"/>
  <c r="E261" i="21"/>
  <c r="F261" i="21"/>
  <c r="G261" i="21"/>
  <c r="B262" i="21"/>
  <c r="C262" i="21"/>
  <c r="E262" i="21"/>
  <c r="F262" i="21"/>
  <c r="G262" i="21"/>
  <c r="B263" i="21"/>
  <c r="C263" i="21"/>
  <c r="E263" i="21"/>
  <c r="F263" i="21"/>
  <c r="G263" i="21"/>
  <c r="B264" i="21"/>
  <c r="C264" i="21"/>
  <c r="E264" i="21"/>
  <c r="F264" i="21"/>
  <c r="G264" i="21"/>
  <c r="B265" i="21"/>
  <c r="C265" i="21"/>
  <c r="E265" i="21"/>
  <c r="F265" i="21"/>
  <c r="G265" i="21"/>
  <c r="B266" i="21"/>
  <c r="C266" i="21"/>
  <c r="E266" i="21"/>
  <c r="F266" i="21"/>
  <c r="G266" i="21"/>
  <c r="B267" i="21"/>
  <c r="C267" i="21"/>
  <c r="E267" i="21"/>
  <c r="F267" i="21"/>
  <c r="G267" i="21"/>
  <c r="B268" i="21"/>
  <c r="C268" i="21"/>
  <c r="E268" i="21"/>
  <c r="F268" i="21"/>
  <c r="G268" i="21"/>
  <c r="B269" i="21"/>
  <c r="C269" i="21"/>
  <c r="E269" i="21"/>
  <c r="F269" i="21"/>
  <c r="G269" i="21"/>
  <c r="B270" i="21"/>
  <c r="C270" i="21"/>
  <c r="E270" i="21"/>
  <c r="F270" i="21"/>
  <c r="G270" i="21"/>
  <c r="B271" i="21"/>
  <c r="C271" i="21"/>
  <c r="E271" i="21"/>
  <c r="F271" i="21"/>
  <c r="G271" i="21"/>
  <c r="B272" i="21"/>
  <c r="C272" i="21"/>
  <c r="E272" i="21"/>
  <c r="F272" i="21"/>
  <c r="G272" i="21"/>
  <c r="B273" i="21"/>
  <c r="C273" i="21"/>
  <c r="E273" i="21"/>
  <c r="F273" i="21"/>
  <c r="G273" i="21"/>
  <c r="B274" i="21"/>
  <c r="C274" i="21"/>
  <c r="E274" i="21"/>
  <c r="F274" i="21"/>
  <c r="G274" i="21"/>
  <c r="B275" i="21"/>
  <c r="C275" i="21"/>
  <c r="E275" i="21"/>
  <c r="F275" i="21"/>
  <c r="G275" i="21"/>
  <c r="B276" i="21"/>
  <c r="C276" i="21"/>
  <c r="E276" i="21"/>
  <c r="F276" i="21"/>
  <c r="G276" i="21"/>
  <c r="B277" i="21"/>
  <c r="C277" i="21"/>
  <c r="E277" i="21"/>
  <c r="F277" i="21"/>
  <c r="G277" i="21"/>
  <c r="B278" i="21"/>
  <c r="C278" i="21"/>
  <c r="E278" i="21"/>
  <c r="F278" i="21"/>
  <c r="G278" i="21"/>
  <c r="B279" i="21"/>
  <c r="C279" i="21"/>
  <c r="E279" i="21"/>
  <c r="F279" i="21"/>
  <c r="G279" i="21"/>
  <c r="B280" i="21"/>
  <c r="C280" i="21"/>
  <c r="E280" i="21"/>
  <c r="F280" i="21"/>
  <c r="G280" i="21"/>
  <c r="B281" i="21"/>
  <c r="C281" i="21"/>
  <c r="E281" i="21"/>
  <c r="F281" i="21"/>
  <c r="G281" i="21"/>
  <c r="B282" i="21"/>
  <c r="C282" i="21"/>
  <c r="E282" i="21"/>
  <c r="F282" i="21"/>
  <c r="G282" i="21"/>
  <c r="B283" i="21"/>
  <c r="C283" i="21"/>
  <c r="E283" i="21"/>
  <c r="F283" i="21"/>
  <c r="G283" i="21"/>
  <c r="B284" i="21"/>
  <c r="C284" i="21"/>
  <c r="E284" i="21"/>
  <c r="F284" i="21"/>
  <c r="G284" i="21"/>
  <c r="B285" i="21"/>
  <c r="C285" i="21"/>
  <c r="E285" i="21"/>
  <c r="F285" i="21"/>
  <c r="G285" i="21"/>
  <c r="B286" i="21"/>
  <c r="C286" i="21"/>
  <c r="E286" i="21"/>
  <c r="F286" i="21"/>
  <c r="G286" i="21"/>
  <c r="B287" i="21"/>
  <c r="C287" i="21"/>
  <c r="E287" i="21"/>
  <c r="F287" i="21"/>
  <c r="G287" i="21"/>
  <c r="B288" i="21"/>
  <c r="C288" i="21"/>
  <c r="E288" i="21"/>
  <c r="F288" i="21"/>
  <c r="G288" i="21"/>
  <c r="B289" i="21"/>
  <c r="C289" i="21"/>
  <c r="E289" i="21"/>
  <c r="F289" i="21"/>
  <c r="G289" i="21"/>
  <c r="B290" i="21"/>
  <c r="C290" i="21"/>
  <c r="E290" i="21"/>
  <c r="F290" i="21"/>
  <c r="G290" i="21"/>
  <c r="B291" i="21"/>
  <c r="C291" i="21"/>
  <c r="E291" i="21"/>
  <c r="F291" i="21"/>
  <c r="G291" i="21"/>
  <c r="B292" i="21"/>
  <c r="C292" i="21"/>
  <c r="E292" i="21"/>
  <c r="F292" i="21"/>
  <c r="G292" i="21"/>
  <c r="B293" i="21"/>
  <c r="C293" i="21"/>
  <c r="E293" i="21"/>
  <c r="F293" i="21"/>
  <c r="G293" i="21"/>
  <c r="B294" i="21"/>
  <c r="C294" i="21"/>
  <c r="E294" i="21"/>
  <c r="F294" i="21"/>
  <c r="G294" i="21"/>
  <c r="B295" i="21"/>
  <c r="C295" i="21"/>
  <c r="E295" i="21"/>
  <c r="F295" i="21"/>
  <c r="G295" i="21"/>
  <c r="B296" i="21"/>
  <c r="C296" i="21"/>
  <c r="E296" i="21"/>
  <c r="F296" i="21"/>
  <c r="G296" i="21"/>
  <c r="B297" i="21"/>
  <c r="C297" i="21"/>
  <c r="E297" i="21"/>
  <c r="F297" i="21"/>
  <c r="G297" i="21"/>
  <c r="B298" i="21"/>
  <c r="C298" i="21"/>
  <c r="E298" i="21"/>
  <c r="F298" i="21"/>
  <c r="G298" i="21"/>
  <c r="B299" i="21"/>
  <c r="C299" i="21"/>
  <c r="E299" i="21"/>
  <c r="F299" i="21"/>
  <c r="G299" i="21"/>
  <c r="B300" i="21"/>
  <c r="C300" i="21"/>
  <c r="E300" i="21"/>
  <c r="F300" i="21"/>
  <c r="G300" i="21"/>
  <c r="B301" i="21"/>
  <c r="C301" i="21"/>
  <c r="E301" i="21"/>
  <c r="F301" i="21"/>
  <c r="G301" i="21"/>
  <c r="B302" i="21"/>
  <c r="C302" i="21"/>
  <c r="E302" i="21"/>
  <c r="F302" i="21"/>
  <c r="G302" i="21"/>
  <c r="B303" i="21"/>
  <c r="C303" i="21"/>
  <c r="E303" i="21"/>
  <c r="F303" i="21"/>
  <c r="G303" i="21"/>
  <c r="B304" i="21"/>
  <c r="C304" i="21"/>
  <c r="E304" i="21"/>
  <c r="F304" i="21"/>
  <c r="G304" i="21"/>
  <c r="B305" i="21"/>
  <c r="C305" i="21"/>
  <c r="E305" i="21"/>
  <c r="F305" i="21"/>
  <c r="G305" i="21"/>
  <c r="B306" i="21"/>
  <c r="C306" i="21"/>
  <c r="E306" i="21"/>
  <c r="F306" i="21"/>
  <c r="G306" i="21"/>
  <c r="B307" i="21"/>
  <c r="C307" i="21"/>
  <c r="E307" i="21"/>
  <c r="F307" i="21"/>
  <c r="G307" i="21"/>
  <c r="B308" i="21"/>
  <c r="C308" i="21"/>
  <c r="E308" i="21"/>
  <c r="F308" i="21"/>
  <c r="G308" i="21"/>
  <c r="B309" i="21"/>
  <c r="C309" i="21"/>
  <c r="E309" i="21"/>
  <c r="F309" i="21"/>
  <c r="G309" i="21"/>
  <c r="B310" i="21"/>
  <c r="C310" i="21"/>
  <c r="E310" i="21"/>
  <c r="F310" i="21"/>
  <c r="G310" i="21"/>
  <c r="B311" i="21"/>
  <c r="C311" i="21"/>
  <c r="E311" i="21"/>
  <c r="F311" i="21"/>
  <c r="G311" i="21"/>
  <c r="B312" i="21"/>
  <c r="C312" i="21"/>
  <c r="E312" i="21"/>
  <c r="F312" i="21"/>
  <c r="G312" i="21"/>
  <c r="B313" i="21"/>
  <c r="C313" i="21"/>
  <c r="E313" i="21"/>
  <c r="F313" i="21"/>
  <c r="G313" i="21"/>
  <c r="B314" i="21"/>
  <c r="C314" i="21"/>
  <c r="E314" i="21"/>
  <c r="F314" i="21"/>
  <c r="G314" i="21"/>
  <c r="B315" i="21"/>
  <c r="C315" i="21"/>
  <c r="E315" i="21"/>
  <c r="F315" i="21"/>
  <c r="G315" i="21"/>
  <c r="B316" i="21"/>
  <c r="C316" i="21"/>
  <c r="E316" i="21"/>
  <c r="F316" i="21"/>
  <c r="G316" i="21"/>
  <c r="B317" i="21"/>
  <c r="C317" i="21"/>
  <c r="E317" i="21"/>
  <c r="F317" i="21"/>
  <c r="G317" i="21"/>
  <c r="B318" i="21"/>
  <c r="C318" i="21"/>
  <c r="E318" i="21"/>
  <c r="F318" i="21"/>
  <c r="G318" i="21"/>
  <c r="B319" i="21"/>
  <c r="C319" i="21"/>
  <c r="E319" i="21"/>
  <c r="F319" i="21"/>
  <c r="G319" i="21"/>
  <c r="B320" i="21"/>
  <c r="C320" i="21"/>
  <c r="E320" i="21"/>
  <c r="F320" i="21"/>
  <c r="G320" i="21"/>
  <c r="B321" i="21"/>
  <c r="C321" i="21"/>
  <c r="E321" i="21"/>
  <c r="F321" i="21"/>
  <c r="G321" i="21"/>
  <c r="B322" i="21"/>
  <c r="C322" i="21"/>
  <c r="E322" i="21"/>
  <c r="F322" i="21"/>
  <c r="G322" i="21"/>
  <c r="B323" i="21"/>
  <c r="C323" i="21"/>
  <c r="E323" i="21"/>
  <c r="F323" i="21"/>
  <c r="G323" i="21"/>
  <c r="B324" i="21"/>
  <c r="C324" i="21"/>
  <c r="E324" i="21"/>
  <c r="F324" i="21"/>
  <c r="G324" i="21"/>
  <c r="B325" i="21"/>
  <c r="C325" i="21"/>
  <c r="E325" i="21"/>
  <c r="F325" i="21"/>
  <c r="G325" i="21"/>
  <c r="B326" i="21"/>
  <c r="C326" i="21"/>
  <c r="E326" i="21"/>
  <c r="F326" i="21"/>
  <c r="G326" i="21"/>
  <c r="B327" i="21"/>
  <c r="C327" i="21"/>
  <c r="E327" i="21"/>
  <c r="F327" i="21"/>
  <c r="G327" i="21"/>
  <c r="B328" i="21"/>
  <c r="C328" i="21"/>
  <c r="E328" i="21"/>
  <c r="F328" i="21"/>
  <c r="G328" i="21"/>
  <c r="B329" i="21"/>
  <c r="C329" i="21"/>
  <c r="E329" i="21"/>
  <c r="F329" i="21"/>
  <c r="G329" i="21"/>
  <c r="B330" i="21"/>
  <c r="C330" i="21"/>
  <c r="E330" i="21"/>
  <c r="F330" i="21"/>
  <c r="G330" i="21"/>
  <c r="B331" i="21"/>
  <c r="C331" i="21"/>
  <c r="E331" i="21"/>
  <c r="F331" i="21"/>
  <c r="G331" i="21"/>
  <c r="B332" i="21"/>
  <c r="C332" i="21"/>
  <c r="E332" i="21"/>
  <c r="F332" i="21"/>
  <c r="G332" i="21"/>
  <c r="B333" i="21"/>
  <c r="C333" i="21"/>
  <c r="E333" i="21"/>
  <c r="F333" i="21"/>
  <c r="G333" i="21"/>
  <c r="B334" i="21"/>
  <c r="C334" i="21"/>
  <c r="E334" i="21"/>
  <c r="F334" i="21"/>
  <c r="G334" i="21"/>
  <c r="B335" i="21"/>
  <c r="C335" i="21"/>
  <c r="E335" i="21"/>
  <c r="F335" i="21"/>
  <c r="G335" i="21"/>
  <c r="B336" i="21"/>
  <c r="C336" i="21"/>
  <c r="E336" i="21"/>
  <c r="F336" i="21"/>
  <c r="G336" i="21"/>
  <c r="B337" i="21"/>
  <c r="C337" i="21"/>
  <c r="E337" i="21"/>
  <c r="F337" i="21"/>
  <c r="G337" i="21"/>
  <c r="B338" i="21"/>
  <c r="C338" i="21"/>
  <c r="E338" i="21"/>
  <c r="F338" i="21"/>
  <c r="G338" i="21"/>
  <c r="B339" i="21"/>
  <c r="C339" i="21"/>
  <c r="E339" i="21"/>
  <c r="F339" i="21"/>
  <c r="G339" i="21"/>
  <c r="B340" i="21"/>
  <c r="C340" i="21"/>
  <c r="E340" i="21"/>
  <c r="F340" i="21"/>
  <c r="G340" i="21"/>
  <c r="B341" i="21"/>
  <c r="C341" i="21"/>
  <c r="E341" i="21"/>
  <c r="F341" i="21"/>
  <c r="G341" i="21"/>
  <c r="B342" i="21"/>
  <c r="C342" i="21"/>
  <c r="E342" i="21"/>
  <c r="F342" i="21"/>
  <c r="G342" i="21"/>
  <c r="B343" i="21"/>
  <c r="C343" i="21"/>
  <c r="E343" i="21"/>
  <c r="F343" i="21"/>
  <c r="G343" i="21"/>
  <c r="B344" i="21"/>
  <c r="C344" i="21"/>
  <c r="E344" i="21"/>
  <c r="F344" i="21"/>
  <c r="G344" i="21"/>
  <c r="B345" i="21"/>
  <c r="C345" i="21"/>
  <c r="E345" i="21"/>
  <c r="F345" i="21"/>
  <c r="G345" i="21"/>
  <c r="B346" i="21"/>
  <c r="C346" i="21"/>
  <c r="E346" i="21"/>
  <c r="F346" i="21"/>
  <c r="G346" i="21"/>
  <c r="B347" i="21"/>
  <c r="C347" i="21"/>
  <c r="E347" i="21"/>
  <c r="F347" i="21"/>
  <c r="G347" i="21"/>
  <c r="B348" i="21"/>
  <c r="C348" i="21"/>
  <c r="E348" i="21"/>
  <c r="F348" i="21"/>
  <c r="G348" i="21"/>
  <c r="B349" i="21"/>
  <c r="C349" i="21"/>
  <c r="E349" i="21"/>
  <c r="F349" i="21"/>
  <c r="G349" i="21"/>
  <c r="B350" i="21"/>
  <c r="C350" i="21"/>
  <c r="E350" i="21"/>
  <c r="F350" i="21"/>
  <c r="G350" i="21"/>
  <c r="B351" i="21"/>
  <c r="C351" i="21"/>
  <c r="E351" i="21"/>
  <c r="F351" i="21"/>
  <c r="G351" i="21"/>
  <c r="B352" i="21"/>
  <c r="C352" i="21"/>
  <c r="E352" i="21"/>
  <c r="F352" i="21"/>
  <c r="G352" i="21"/>
  <c r="B353" i="21"/>
  <c r="C353" i="21"/>
  <c r="E353" i="21"/>
  <c r="F353" i="21"/>
  <c r="G353" i="21"/>
  <c r="B354" i="21"/>
  <c r="C354" i="21"/>
  <c r="E354" i="21"/>
  <c r="F354" i="21"/>
  <c r="G354" i="21"/>
  <c r="B355" i="21"/>
  <c r="C355" i="21"/>
  <c r="E355" i="21"/>
  <c r="F355" i="21"/>
  <c r="G355" i="21"/>
  <c r="B356" i="21"/>
  <c r="C356" i="21"/>
  <c r="E356" i="21"/>
  <c r="F356" i="21"/>
  <c r="G356" i="21"/>
  <c r="B357" i="21"/>
  <c r="C357" i="21"/>
  <c r="E357" i="21"/>
  <c r="F357" i="21"/>
  <c r="G357" i="21"/>
  <c r="B358" i="21"/>
  <c r="C358" i="21"/>
  <c r="E358" i="21"/>
  <c r="F358" i="21"/>
  <c r="G358" i="21"/>
  <c r="B359" i="21"/>
  <c r="C359" i="21"/>
  <c r="E359" i="21"/>
  <c r="F359" i="21"/>
  <c r="G359" i="21"/>
  <c r="B360" i="21"/>
  <c r="C360" i="21"/>
  <c r="E360" i="21"/>
  <c r="F360" i="21"/>
  <c r="G360" i="21"/>
  <c r="B361" i="21"/>
  <c r="C361" i="21"/>
  <c r="E361" i="21"/>
  <c r="F361" i="21"/>
  <c r="G361" i="21"/>
  <c r="B362" i="21"/>
  <c r="C362" i="21"/>
  <c r="E362" i="21"/>
  <c r="F362" i="21"/>
  <c r="G362" i="21"/>
  <c r="B363" i="21"/>
  <c r="C363" i="21"/>
  <c r="E363" i="21"/>
  <c r="F363" i="21"/>
  <c r="G363" i="21"/>
  <c r="B364" i="21"/>
  <c r="C364" i="21"/>
  <c r="E364" i="21"/>
  <c r="F364" i="21"/>
  <c r="G364" i="21"/>
  <c r="B365" i="21"/>
  <c r="C365" i="21"/>
  <c r="E365" i="21"/>
  <c r="F365" i="21"/>
  <c r="G365" i="21"/>
  <c r="B366" i="21"/>
  <c r="C366" i="21"/>
  <c r="E366" i="21"/>
  <c r="F366" i="21"/>
  <c r="G366" i="21"/>
  <c r="B367" i="21"/>
  <c r="C367" i="21"/>
  <c r="E367" i="21"/>
  <c r="F367" i="21"/>
  <c r="G367" i="21"/>
  <c r="B368" i="21"/>
  <c r="C368" i="21"/>
  <c r="E368" i="21"/>
  <c r="F368" i="21"/>
  <c r="G368" i="21"/>
  <c r="B369" i="21"/>
  <c r="C369" i="21"/>
  <c r="E369" i="21"/>
  <c r="F369" i="21"/>
  <c r="G369" i="21"/>
  <c r="B370" i="21"/>
  <c r="C370" i="21"/>
  <c r="E370" i="21"/>
  <c r="F370" i="21"/>
  <c r="G370" i="21"/>
  <c r="B371" i="21"/>
  <c r="C371" i="21"/>
  <c r="E371" i="21"/>
  <c r="F371" i="21"/>
  <c r="G371" i="21"/>
  <c r="B372" i="21"/>
  <c r="C372" i="21"/>
  <c r="E372" i="21"/>
  <c r="F372" i="21"/>
  <c r="G372" i="21"/>
  <c r="B373" i="21"/>
  <c r="C373" i="21"/>
  <c r="E373" i="21"/>
  <c r="F373" i="21"/>
  <c r="G373" i="21"/>
  <c r="B374" i="21"/>
  <c r="C374" i="21"/>
  <c r="E374" i="21"/>
  <c r="F374" i="21"/>
  <c r="G374" i="21"/>
  <c r="B375" i="21"/>
  <c r="C375" i="21"/>
  <c r="E375" i="21"/>
  <c r="F375" i="21"/>
  <c r="G375" i="21"/>
  <c r="B376" i="21"/>
  <c r="C376" i="21"/>
  <c r="E376" i="21"/>
  <c r="F376" i="21"/>
  <c r="G376" i="21"/>
  <c r="B377" i="21"/>
  <c r="C377" i="21"/>
  <c r="E377" i="21"/>
  <c r="F377" i="21"/>
  <c r="G377" i="21"/>
  <c r="B378" i="21"/>
  <c r="C378" i="21"/>
  <c r="E378" i="21"/>
  <c r="F378" i="21"/>
  <c r="G378" i="21"/>
  <c r="B379" i="21"/>
  <c r="C379" i="21"/>
  <c r="E379" i="21"/>
  <c r="F379" i="21"/>
  <c r="G379" i="21"/>
  <c r="B380" i="21"/>
  <c r="C380" i="21"/>
  <c r="E380" i="21"/>
  <c r="F380" i="21"/>
  <c r="G380" i="21"/>
  <c r="B381" i="21"/>
  <c r="C381" i="21"/>
  <c r="E381" i="21"/>
  <c r="F381" i="21"/>
  <c r="G381" i="21"/>
  <c r="B382" i="21"/>
  <c r="C382" i="21"/>
  <c r="E382" i="21"/>
  <c r="F382" i="21"/>
  <c r="G382" i="21"/>
  <c r="B383" i="21"/>
  <c r="C383" i="21"/>
  <c r="E383" i="21"/>
  <c r="F383" i="21"/>
  <c r="G383" i="21"/>
  <c r="B384" i="21"/>
  <c r="C384" i="21"/>
  <c r="E384" i="21"/>
  <c r="F384" i="21"/>
  <c r="G384" i="21"/>
  <c r="B385" i="21"/>
  <c r="C385" i="21"/>
  <c r="E385" i="21"/>
  <c r="F385" i="21"/>
  <c r="G385" i="21"/>
  <c r="B386" i="21"/>
  <c r="C386" i="21"/>
  <c r="E386" i="21"/>
  <c r="F386" i="21"/>
  <c r="G386" i="21"/>
  <c r="B387" i="21"/>
  <c r="C387" i="21"/>
  <c r="E387" i="21"/>
  <c r="F387" i="21"/>
  <c r="G387" i="21"/>
  <c r="B388" i="21"/>
  <c r="C388" i="21"/>
  <c r="E388" i="21"/>
  <c r="F388" i="21"/>
  <c r="G388" i="21"/>
  <c r="B389" i="21"/>
  <c r="C389" i="21"/>
  <c r="E389" i="21"/>
  <c r="F389" i="21"/>
  <c r="G389" i="21"/>
  <c r="B390" i="21"/>
  <c r="C390" i="21"/>
  <c r="E390" i="21"/>
  <c r="F390" i="21"/>
  <c r="G390" i="21"/>
  <c r="B391" i="21"/>
  <c r="C391" i="21"/>
  <c r="E391" i="21"/>
  <c r="F391" i="21"/>
  <c r="G391" i="21"/>
  <c r="B392" i="21"/>
  <c r="C392" i="21"/>
  <c r="E392" i="21"/>
  <c r="F392" i="21"/>
  <c r="G392" i="21"/>
  <c r="B393" i="21"/>
  <c r="C393" i="21"/>
  <c r="E393" i="21"/>
  <c r="F393" i="21"/>
  <c r="G393" i="21"/>
  <c r="B394" i="21"/>
  <c r="C394" i="21"/>
  <c r="E394" i="21"/>
  <c r="F394" i="21"/>
  <c r="G394" i="21"/>
  <c r="B395" i="21"/>
  <c r="C395" i="21"/>
  <c r="E395" i="21"/>
  <c r="F395" i="21"/>
  <c r="G395" i="21"/>
  <c r="B396" i="21"/>
  <c r="C396" i="21"/>
  <c r="E396" i="21"/>
  <c r="F396" i="21"/>
  <c r="G396" i="21"/>
  <c r="B397" i="21"/>
  <c r="C397" i="21"/>
  <c r="E397" i="21"/>
  <c r="F397" i="21"/>
  <c r="G397" i="21"/>
  <c r="B398" i="21"/>
  <c r="C398" i="21"/>
  <c r="E398" i="21"/>
  <c r="F398" i="21"/>
  <c r="G398" i="21"/>
  <c r="B399" i="21"/>
  <c r="C399" i="21"/>
  <c r="E399" i="21"/>
  <c r="F399" i="21"/>
  <c r="G399" i="21"/>
  <c r="B400" i="21"/>
  <c r="C400" i="21"/>
  <c r="E400" i="21"/>
  <c r="F400" i="21"/>
  <c r="G400" i="21"/>
  <c r="B401" i="21"/>
  <c r="C401" i="21"/>
  <c r="E401" i="21"/>
  <c r="F401" i="21"/>
  <c r="G401" i="21"/>
  <c r="B402" i="21"/>
  <c r="C402" i="21"/>
  <c r="E402" i="21"/>
  <c r="F402" i="21"/>
  <c r="G402" i="21"/>
  <c r="B403" i="21"/>
  <c r="C403" i="21"/>
  <c r="E403" i="21"/>
  <c r="F403" i="21"/>
  <c r="G403" i="21"/>
  <c r="B404" i="21"/>
  <c r="C404" i="21"/>
  <c r="E404" i="21"/>
  <c r="F404" i="21"/>
  <c r="G404" i="21"/>
  <c r="B405" i="21"/>
  <c r="C405" i="21"/>
  <c r="E405" i="21"/>
  <c r="F405" i="21"/>
  <c r="G405" i="21"/>
  <c r="B406" i="21"/>
  <c r="C406" i="21"/>
  <c r="E406" i="21"/>
  <c r="F406" i="21"/>
  <c r="G406" i="21"/>
  <c r="B407" i="21"/>
  <c r="C407" i="21"/>
  <c r="E407" i="21"/>
  <c r="F407" i="21"/>
  <c r="G407" i="21"/>
  <c r="B408" i="21"/>
  <c r="C408" i="21"/>
  <c r="E408" i="21"/>
  <c r="F408" i="21"/>
  <c r="G408" i="21"/>
  <c r="B409" i="21"/>
  <c r="C409" i="21"/>
  <c r="E409" i="21"/>
  <c r="F409" i="21"/>
  <c r="G409" i="21"/>
  <c r="B410" i="21"/>
  <c r="C410" i="21"/>
  <c r="E410" i="21"/>
  <c r="F410" i="21"/>
  <c r="G410" i="21"/>
  <c r="B411" i="21"/>
  <c r="C411" i="21"/>
  <c r="E411" i="21"/>
  <c r="F411" i="21"/>
  <c r="G411" i="21"/>
  <c r="B412" i="21"/>
  <c r="C412" i="21"/>
  <c r="E412" i="21"/>
  <c r="F412" i="21"/>
  <c r="G412" i="21"/>
  <c r="B413" i="21"/>
  <c r="C413" i="21"/>
  <c r="E413" i="21"/>
  <c r="F413" i="21"/>
  <c r="G413" i="21"/>
  <c r="B414" i="21"/>
  <c r="C414" i="21"/>
  <c r="E414" i="21"/>
  <c r="F414" i="21"/>
  <c r="G414" i="21"/>
  <c r="B415" i="21"/>
  <c r="C415" i="21"/>
  <c r="E415" i="21"/>
  <c r="F415" i="21"/>
  <c r="G415" i="21"/>
  <c r="B416" i="21"/>
  <c r="C416" i="21"/>
  <c r="E416" i="21"/>
  <c r="F416" i="21"/>
  <c r="G416" i="21"/>
  <c r="B417" i="21"/>
  <c r="C417" i="21"/>
  <c r="E417" i="21"/>
  <c r="F417" i="21"/>
  <c r="G417" i="21"/>
  <c r="B418" i="21"/>
  <c r="C418" i="21"/>
  <c r="E418" i="21"/>
  <c r="F418" i="21"/>
  <c r="G418" i="21"/>
  <c r="B419" i="21"/>
  <c r="C419" i="21"/>
  <c r="E419" i="21"/>
  <c r="F419" i="21"/>
  <c r="G419" i="21"/>
  <c r="B420" i="21"/>
  <c r="C420" i="21"/>
  <c r="E420" i="21"/>
  <c r="F420" i="21"/>
  <c r="G420" i="21"/>
  <c r="B421" i="21"/>
  <c r="C421" i="21"/>
  <c r="E421" i="21"/>
  <c r="F421" i="21"/>
  <c r="G421" i="21"/>
  <c r="B422" i="21"/>
  <c r="C422" i="21"/>
  <c r="E422" i="21"/>
  <c r="F422" i="21"/>
  <c r="G422" i="21"/>
  <c r="B423" i="21"/>
  <c r="C423" i="21"/>
  <c r="E423" i="21"/>
  <c r="F423" i="21"/>
  <c r="G423" i="21"/>
  <c r="B424" i="21"/>
  <c r="C424" i="21"/>
  <c r="E424" i="21"/>
  <c r="F424" i="21"/>
  <c r="G424" i="21"/>
  <c r="B425" i="21"/>
  <c r="C425" i="21"/>
  <c r="E425" i="21"/>
  <c r="F425" i="21"/>
  <c r="G425" i="21"/>
  <c r="B426" i="21"/>
  <c r="C426" i="21"/>
  <c r="E426" i="21"/>
  <c r="F426" i="21"/>
  <c r="G426" i="21"/>
  <c r="B427" i="21"/>
  <c r="C427" i="21"/>
  <c r="E427" i="21"/>
  <c r="F427" i="21"/>
  <c r="G427" i="21"/>
  <c r="B428" i="21"/>
  <c r="C428" i="21"/>
  <c r="E428" i="21"/>
  <c r="F428" i="21"/>
  <c r="G428" i="21"/>
  <c r="B429" i="21"/>
  <c r="C429" i="21"/>
  <c r="E429" i="21"/>
  <c r="F429" i="21"/>
  <c r="G429" i="21"/>
  <c r="B430" i="21"/>
  <c r="C430" i="21"/>
  <c r="E430" i="21"/>
  <c r="F430" i="21"/>
  <c r="G430" i="21"/>
  <c r="B431" i="21"/>
  <c r="C431" i="21"/>
  <c r="E431" i="21"/>
  <c r="F431" i="21"/>
  <c r="G431" i="21"/>
  <c r="B432" i="21"/>
  <c r="C432" i="21"/>
  <c r="E432" i="21"/>
  <c r="F432" i="21"/>
  <c r="G432" i="21"/>
  <c r="B433" i="21"/>
  <c r="C433" i="21"/>
  <c r="E433" i="21"/>
  <c r="F433" i="21"/>
  <c r="G433" i="21"/>
  <c r="B434" i="21"/>
  <c r="C434" i="21"/>
  <c r="E434" i="21"/>
  <c r="F434" i="21"/>
  <c r="G434" i="21"/>
  <c r="B435" i="21"/>
  <c r="C435" i="21"/>
  <c r="E435" i="21"/>
  <c r="F435" i="21"/>
  <c r="G435" i="21"/>
  <c r="B436" i="21"/>
  <c r="C436" i="21"/>
  <c r="E436" i="21"/>
  <c r="F436" i="21"/>
  <c r="G436" i="21"/>
  <c r="B437" i="21"/>
  <c r="C437" i="21"/>
  <c r="E437" i="21"/>
  <c r="F437" i="21"/>
  <c r="G437" i="21"/>
  <c r="B438" i="21"/>
  <c r="C438" i="21"/>
  <c r="E438" i="21"/>
  <c r="F438" i="21"/>
  <c r="G438" i="21"/>
  <c r="B439" i="21"/>
  <c r="C439" i="21"/>
  <c r="E439" i="21"/>
  <c r="F439" i="21"/>
  <c r="G439" i="21"/>
  <c r="B440" i="21"/>
  <c r="C440" i="21"/>
  <c r="E440" i="21"/>
  <c r="F440" i="21"/>
  <c r="G440" i="21"/>
  <c r="B441" i="21"/>
  <c r="C441" i="21"/>
  <c r="E441" i="21"/>
  <c r="F441" i="21"/>
  <c r="G441" i="21"/>
  <c r="B442" i="21"/>
  <c r="C442" i="21"/>
  <c r="E442" i="21"/>
  <c r="F442" i="21"/>
  <c r="G442" i="21"/>
  <c r="B443" i="21"/>
  <c r="C443" i="21"/>
  <c r="E443" i="21"/>
  <c r="F443" i="21"/>
  <c r="G443" i="21"/>
  <c r="B444" i="21"/>
  <c r="C444" i="21"/>
  <c r="E444" i="21"/>
  <c r="F444" i="21"/>
  <c r="G444" i="21"/>
  <c r="B445" i="21"/>
  <c r="C445" i="21"/>
  <c r="E445" i="21"/>
  <c r="F445" i="21"/>
  <c r="G445" i="21"/>
  <c r="B446" i="21"/>
  <c r="C446" i="21"/>
  <c r="E446" i="21"/>
  <c r="F446" i="21"/>
  <c r="G446" i="21"/>
  <c r="B447" i="21"/>
  <c r="C447" i="21"/>
  <c r="E447" i="21"/>
  <c r="F447" i="21"/>
  <c r="G447" i="21"/>
  <c r="B448" i="21"/>
  <c r="C448" i="21"/>
  <c r="E448" i="21"/>
  <c r="F448" i="21"/>
  <c r="G448" i="21"/>
  <c r="B449" i="21"/>
  <c r="C449" i="21"/>
  <c r="E449" i="21"/>
  <c r="F449" i="21"/>
  <c r="G449" i="21"/>
  <c r="B450" i="21"/>
  <c r="C450" i="21"/>
  <c r="E450" i="21"/>
  <c r="F450" i="21"/>
  <c r="G450" i="21"/>
  <c r="B451" i="21"/>
  <c r="C451" i="21"/>
  <c r="E451" i="21"/>
  <c r="F451" i="21"/>
  <c r="G451" i="21"/>
  <c r="B452" i="21"/>
  <c r="C452" i="21"/>
  <c r="E452" i="21"/>
  <c r="F452" i="21"/>
  <c r="G452" i="21"/>
  <c r="B453" i="21"/>
  <c r="C453" i="21"/>
  <c r="E453" i="21"/>
  <c r="F453" i="21"/>
  <c r="G453" i="21"/>
  <c r="B454" i="21"/>
  <c r="C454" i="21"/>
  <c r="E454" i="21"/>
  <c r="F454" i="21"/>
  <c r="G454" i="21"/>
  <c r="B455" i="21"/>
  <c r="C455" i="21"/>
  <c r="E455" i="21"/>
  <c r="F455" i="21"/>
  <c r="G455" i="21"/>
  <c r="B456" i="21"/>
  <c r="C456" i="21"/>
  <c r="E456" i="21"/>
  <c r="F456" i="21"/>
  <c r="G456" i="21"/>
  <c r="B457" i="21"/>
  <c r="C457" i="21"/>
  <c r="E457" i="21"/>
  <c r="F457" i="21"/>
  <c r="G457" i="21"/>
  <c r="B458" i="21"/>
  <c r="C458" i="21"/>
  <c r="E458" i="21"/>
  <c r="F458" i="21"/>
  <c r="G458" i="21"/>
  <c r="B459" i="21"/>
  <c r="C459" i="21"/>
  <c r="E459" i="21"/>
  <c r="F459" i="21"/>
  <c r="G459" i="21"/>
  <c r="B460" i="21"/>
  <c r="C460" i="21"/>
  <c r="E460" i="21"/>
  <c r="F460" i="21"/>
  <c r="G460" i="21"/>
  <c r="B461" i="21"/>
  <c r="C461" i="21"/>
  <c r="E461" i="21"/>
  <c r="F461" i="21"/>
  <c r="G461" i="21"/>
  <c r="B462" i="21"/>
  <c r="C462" i="21"/>
  <c r="E462" i="21"/>
  <c r="F462" i="21"/>
  <c r="G462" i="21"/>
  <c r="B463" i="21"/>
  <c r="C463" i="21"/>
  <c r="E463" i="21"/>
  <c r="F463" i="21"/>
  <c r="G463" i="21"/>
  <c r="B464" i="21"/>
  <c r="C464" i="21"/>
  <c r="E464" i="21"/>
  <c r="F464" i="21"/>
  <c r="G464" i="21"/>
  <c r="B465" i="21"/>
  <c r="C465" i="21"/>
  <c r="E465" i="21"/>
  <c r="F465" i="21"/>
  <c r="G465" i="21"/>
  <c r="B466" i="21"/>
  <c r="C466" i="21"/>
  <c r="E466" i="21"/>
  <c r="F466" i="21"/>
  <c r="G466" i="21"/>
  <c r="B467" i="21"/>
  <c r="C467" i="21"/>
  <c r="E467" i="21"/>
  <c r="F467" i="21"/>
  <c r="G467" i="21"/>
  <c r="B468" i="21"/>
  <c r="C468" i="21"/>
  <c r="E468" i="21"/>
  <c r="F468" i="21"/>
  <c r="G468" i="21"/>
  <c r="B469" i="21"/>
  <c r="C469" i="21"/>
  <c r="E469" i="21"/>
  <c r="F469" i="21"/>
  <c r="G469" i="21"/>
  <c r="B470" i="21"/>
  <c r="C470" i="21"/>
  <c r="E470" i="21"/>
  <c r="F470" i="21"/>
  <c r="G470" i="21"/>
  <c r="B471" i="21"/>
  <c r="C471" i="21"/>
  <c r="E471" i="21"/>
  <c r="F471" i="21"/>
  <c r="G471" i="21"/>
  <c r="B472" i="21"/>
  <c r="C472" i="21"/>
  <c r="E472" i="21"/>
  <c r="F472" i="21"/>
  <c r="G472" i="21"/>
  <c r="B473" i="21"/>
  <c r="C473" i="21"/>
  <c r="E473" i="21"/>
  <c r="F473" i="21"/>
  <c r="G473" i="21"/>
  <c r="B474" i="21"/>
  <c r="C474" i="21"/>
  <c r="E474" i="21"/>
  <c r="F474" i="21"/>
  <c r="G474" i="21"/>
  <c r="B475" i="21"/>
  <c r="C475" i="21"/>
  <c r="E475" i="21"/>
  <c r="F475" i="21"/>
  <c r="G475" i="21"/>
  <c r="B476" i="21"/>
  <c r="C476" i="21"/>
  <c r="E476" i="21"/>
  <c r="F476" i="21"/>
  <c r="G476" i="21"/>
  <c r="B477" i="21"/>
  <c r="C477" i="21"/>
  <c r="E477" i="21"/>
  <c r="F477" i="21"/>
  <c r="G477" i="21"/>
  <c r="B478" i="21"/>
  <c r="C478" i="21"/>
  <c r="E478" i="21"/>
  <c r="F478" i="21"/>
  <c r="G478" i="21"/>
  <c r="B479" i="21"/>
  <c r="C479" i="21"/>
  <c r="E479" i="21"/>
  <c r="F479" i="21"/>
  <c r="G479" i="21"/>
  <c r="B480" i="21"/>
  <c r="C480" i="21"/>
  <c r="E480" i="21"/>
  <c r="F480" i="21"/>
  <c r="G480" i="21"/>
  <c r="B481" i="21"/>
  <c r="C481" i="21"/>
  <c r="E481" i="21"/>
  <c r="F481" i="21"/>
  <c r="G481" i="21"/>
  <c r="B482" i="21"/>
  <c r="C482" i="21"/>
  <c r="E482" i="21"/>
  <c r="F482" i="21"/>
  <c r="G482" i="21"/>
  <c r="B483" i="21"/>
  <c r="C483" i="21"/>
  <c r="E483" i="21"/>
  <c r="F483" i="21"/>
  <c r="G483" i="21"/>
  <c r="B484" i="21"/>
  <c r="C484" i="21"/>
  <c r="E484" i="21"/>
  <c r="F484" i="21"/>
  <c r="G484" i="21"/>
  <c r="B485" i="21"/>
  <c r="C485" i="21"/>
  <c r="E485" i="21"/>
  <c r="F485" i="21"/>
  <c r="G485" i="21"/>
  <c r="B486" i="21"/>
  <c r="C486" i="21"/>
  <c r="E486" i="21"/>
  <c r="F486" i="21"/>
  <c r="G486" i="21"/>
  <c r="B487" i="21"/>
  <c r="C487" i="21"/>
  <c r="E487" i="21"/>
  <c r="F487" i="21"/>
  <c r="G487" i="21"/>
  <c r="B488" i="21"/>
  <c r="C488" i="21"/>
  <c r="E488" i="21"/>
  <c r="F488" i="21"/>
  <c r="G488" i="21"/>
  <c r="B489" i="21"/>
  <c r="C489" i="21"/>
  <c r="E489" i="21"/>
  <c r="F489" i="21"/>
  <c r="G489" i="21"/>
  <c r="B490" i="21"/>
  <c r="C490" i="21"/>
  <c r="E490" i="21"/>
  <c r="F490" i="21"/>
  <c r="G490" i="21"/>
  <c r="B491" i="21"/>
  <c r="C491" i="21"/>
  <c r="E491" i="21"/>
  <c r="F491" i="21"/>
  <c r="G491" i="21"/>
  <c r="B492" i="21"/>
  <c r="C492" i="21"/>
  <c r="E492" i="21"/>
  <c r="F492" i="21"/>
  <c r="G492" i="21"/>
  <c r="B493" i="21"/>
  <c r="C493" i="21"/>
  <c r="E493" i="21"/>
  <c r="F493" i="21"/>
  <c r="G493" i="21"/>
  <c r="B494" i="21"/>
  <c r="C494" i="21"/>
  <c r="E494" i="21"/>
  <c r="F494" i="21"/>
  <c r="G494" i="21"/>
  <c r="B495" i="21"/>
  <c r="C495" i="21"/>
  <c r="E495" i="21"/>
  <c r="F495" i="21"/>
  <c r="G495" i="21"/>
  <c r="B496" i="21"/>
  <c r="C496" i="21"/>
  <c r="E496" i="21"/>
  <c r="F496" i="21"/>
  <c r="G496" i="21"/>
  <c r="B497" i="21"/>
  <c r="C497" i="21"/>
  <c r="E497" i="21"/>
  <c r="F497" i="21"/>
  <c r="G497" i="21"/>
  <c r="B498" i="21"/>
  <c r="C498" i="21"/>
  <c r="E498" i="21"/>
  <c r="F498" i="21"/>
  <c r="G498" i="21"/>
  <c r="B499" i="21"/>
  <c r="C499" i="21"/>
  <c r="E499" i="21"/>
  <c r="F499" i="21"/>
  <c r="G499" i="21"/>
  <c r="B500" i="21"/>
  <c r="C500" i="21"/>
  <c r="E500" i="21"/>
  <c r="F500" i="21"/>
  <c r="G500" i="21"/>
  <c r="B501" i="21"/>
  <c r="C501" i="21"/>
  <c r="E501" i="21"/>
  <c r="F501" i="21"/>
  <c r="G501" i="21"/>
  <c r="B8" i="21"/>
  <c r="B2" i="21"/>
  <c r="B4" i="21"/>
  <c r="B5" i="21"/>
  <c r="B6" i="21"/>
  <c r="B7" i="21"/>
  <c r="B9" i="21"/>
  <c r="B10" i="21"/>
  <c r="B11" i="21"/>
  <c r="B12" i="21"/>
  <c r="B13" i="21"/>
  <c r="B14" i="21"/>
  <c r="B15" i="21"/>
  <c r="B16" i="21"/>
  <c r="B17" i="21"/>
  <c r="B18" i="21"/>
  <c r="C2" i="21"/>
  <c r="C3" i="21"/>
  <c r="C4" i="21"/>
  <c r="C6" i="21"/>
  <c r="C7" i="21"/>
  <c r="C8" i="21"/>
  <c r="C9" i="21"/>
  <c r="C10" i="21"/>
  <c r="C11" i="21"/>
  <c r="C12" i="21"/>
  <c r="C13" i="21"/>
  <c r="C14" i="21"/>
  <c r="C15" i="21"/>
  <c r="C16" i="21"/>
  <c r="C17" i="21"/>
  <c r="C18" i="21"/>
  <c r="C19" i="21"/>
  <c r="B19" i="21"/>
  <c r="F25" i="21"/>
  <c r="G25" i="21"/>
  <c r="E25" i="21"/>
  <c r="E28" i="21"/>
  <c r="F28" i="21"/>
  <c r="G28" i="21"/>
  <c r="E24" i="21"/>
  <c r="F24" i="21"/>
  <c r="G24" i="21"/>
  <c r="E27" i="21"/>
  <c r="F27" i="21"/>
  <c r="G27" i="21"/>
  <c r="E23" i="21"/>
  <c r="F23" i="21"/>
  <c r="G23" i="21"/>
  <c r="G26" i="21"/>
  <c r="E26" i="21"/>
  <c r="F26" i="21"/>
  <c r="F22" i="21"/>
  <c r="G22" i="21"/>
  <c r="E22" i="21"/>
  <c r="E21" i="21"/>
  <c r="F21" i="21"/>
  <c r="G21" i="21"/>
  <c r="G20" i="21"/>
  <c r="E20" i="21"/>
  <c r="F20" i="21"/>
  <c r="G18" i="18"/>
  <c r="E17" i="21"/>
  <c r="F17" i="21"/>
  <c r="G17" i="21"/>
  <c r="F8" i="21"/>
  <c r="G8" i="21"/>
  <c r="E8" i="21"/>
  <c r="F18" i="21"/>
  <c r="G18" i="21"/>
  <c r="E18" i="21"/>
  <c r="E14" i="21"/>
  <c r="F14" i="21"/>
  <c r="G14" i="21"/>
  <c r="G7" i="21"/>
  <c r="E7" i="21"/>
  <c r="F7" i="21"/>
  <c r="E6" i="21"/>
  <c r="F6" i="21"/>
  <c r="G6" i="21"/>
  <c r="E3" i="21"/>
  <c r="F3" i="21"/>
  <c r="G3" i="21"/>
  <c r="G15" i="21"/>
  <c r="E15" i="21"/>
  <c r="F15" i="21"/>
  <c r="F10" i="21"/>
  <c r="G10" i="21"/>
  <c r="E10" i="21"/>
  <c r="E9" i="21"/>
  <c r="F9" i="21"/>
  <c r="G9" i="21"/>
  <c r="E11" i="21"/>
  <c r="F11" i="21"/>
  <c r="G11" i="21"/>
  <c r="E19" i="21"/>
  <c r="F19" i="21"/>
  <c r="G19" i="21"/>
  <c r="F13" i="21"/>
  <c r="G13" i="21"/>
  <c r="E13" i="21"/>
  <c r="F16" i="21"/>
  <c r="G16" i="21"/>
  <c r="E16" i="21"/>
  <c r="E12" i="21"/>
  <c r="F12" i="21"/>
  <c r="G12" i="21"/>
  <c r="F5" i="21"/>
  <c r="G5" i="21"/>
  <c r="E5" i="21"/>
  <c r="E4" i="21"/>
  <c r="F4" i="21"/>
  <c r="G4" i="21"/>
  <c r="F18" i="18"/>
  <c r="G2" i="21"/>
  <c r="E18" i="18"/>
  <c r="F2" i="21"/>
  <c r="D18" i="18"/>
  <c r="D34" i="18"/>
  <c r="E34" i="18"/>
  <c r="F34" i="18"/>
  <c r="G34" i="18"/>
  <c r="J34" i="18"/>
  <c r="K34" i="18"/>
  <c r="D35" i="18"/>
  <c r="E35" i="18"/>
  <c r="F35" i="18"/>
  <c r="G35" i="18"/>
  <c r="J35" i="18"/>
  <c r="K35" i="18"/>
  <c r="E33" i="18"/>
  <c r="F33" i="18"/>
  <c r="G33" i="18"/>
  <c r="J33" i="18"/>
  <c r="K33" i="18"/>
  <c r="D33" i="18"/>
  <c r="D29" i="18"/>
  <c r="E29" i="18"/>
  <c r="F29" i="18"/>
  <c r="G29" i="18"/>
  <c r="J29" i="18"/>
  <c r="K29" i="18"/>
  <c r="D30" i="18"/>
  <c r="E30" i="18"/>
  <c r="F30" i="18"/>
  <c r="G30" i="18"/>
  <c r="J30" i="18"/>
  <c r="K30" i="18"/>
  <c r="D32" i="18"/>
  <c r="E32" i="18"/>
  <c r="F32" i="18"/>
  <c r="G32" i="18"/>
  <c r="J32" i="18"/>
  <c r="K32" i="18"/>
  <c r="E28" i="18"/>
  <c r="F28" i="18"/>
  <c r="G28" i="18"/>
  <c r="J28" i="18"/>
  <c r="K28" i="18"/>
  <c r="F10" i="18"/>
  <c r="F4" i="18"/>
  <c r="I8" i="18"/>
  <c r="D140" i="21"/>
  <c r="D142" i="21"/>
  <c r="D144" i="21"/>
  <c r="D146" i="21"/>
  <c r="D148" i="21"/>
  <c r="D150" i="21"/>
  <c r="D141" i="21"/>
  <c r="D143" i="21"/>
  <c r="D145" i="21"/>
  <c r="D147" i="21"/>
  <c r="D149" i="21"/>
  <c r="D151" i="21"/>
  <c r="J151" i="21" l="1"/>
  <c r="J149" i="21"/>
  <c r="J147" i="21"/>
  <c r="J145" i="21"/>
  <c r="J143" i="21"/>
  <c r="J141" i="21"/>
  <c r="J150" i="21"/>
  <c r="J148" i="21"/>
  <c r="J146" i="21"/>
  <c r="J144" i="21"/>
  <c r="J142" i="21"/>
  <c r="J140" i="21"/>
  <c r="L34" i="18"/>
  <c r="I10" i="18"/>
  <c r="L29" i="18"/>
  <c r="J36" i="18"/>
  <c r="L32" i="18"/>
  <c r="L35" i="18"/>
  <c r="K36" i="18"/>
  <c r="G36" i="18"/>
  <c r="F36" i="18"/>
  <c r="I36" i="18"/>
  <c r="E36" i="18"/>
  <c r="L30" i="18"/>
  <c r="L33" i="18"/>
  <c r="L28" i="18"/>
  <c r="H36" i="18"/>
  <c r="D36" i="18"/>
  <c r="L36" i="18" l="1"/>
  <c r="F6" i="18" s="1"/>
  <c r="D98" i="21"/>
  <c r="D466" i="21"/>
  <c r="D16" i="21"/>
  <c r="D366" i="21"/>
  <c r="D189" i="21"/>
  <c r="D220" i="21"/>
  <c r="D230" i="21"/>
  <c r="D110" i="21"/>
  <c r="D368" i="21"/>
  <c r="D461" i="21"/>
  <c r="D168" i="21"/>
  <c r="D34" i="21"/>
  <c r="D86" i="21"/>
  <c r="D60" i="21"/>
  <c r="D257" i="21"/>
  <c r="D373" i="21"/>
  <c r="D198" i="21"/>
  <c r="D242" i="21"/>
  <c r="D9" i="21"/>
  <c r="D228" i="21"/>
  <c r="D337" i="21"/>
  <c r="D89" i="21"/>
  <c r="D338" i="21"/>
  <c r="D330" i="21"/>
  <c r="D412" i="21"/>
  <c r="D427" i="21"/>
  <c r="D371" i="21"/>
  <c r="D21" i="21"/>
  <c r="D256" i="21"/>
  <c r="D486" i="21"/>
  <c r="D491" i="21"/>
  <c r="D434" i="21"/>
  <c r="D249" i="21"/>
  <c r="D309" i="21"/>
  <c r="D166" i="21"/>
  <c r="D291" i="21"/>
  <c r="D139" i="21"/>
  <c r="D234" i="21"/>
  <c r="D175" i="21"/>
  <c r="D325" i="21"/>
  <c r="D333" i="21"/>
  <c r="D68" i="21"/>
  <c r="D440" i="21"/>
  <c r="D121" i="21"/>
  <c r="D454" i="21"/>
  <c r="D392" i="21"/>
  <c r="D273" i="21"/>
  <c r="D262" i="21"/>
  <c r="D278" i="21"/>
  <c r="D233" i="21"/>
  <c r="D380" i="21"/>
  <c r="D374" i="21"/>
  <c r="D342" i="21"/>
  <c r="D433" i="21"/>
  <c r="D241" i="21"/>
  <c r="D196" i="21"/>
  <c r="D467" i="21"/>
  <c r="D354" i="21"/>
  <c r="D277" i="21"/>
  <c r="D134" i="21"/>
  <c r="D360" i="21"/>
  <c r="D83" i="21"/>
  <c r="D96" i="21"/>
  <c r="D30" i="21"/>
  <c r="D255" i="21"/>
  <c r="D10" i="21"/>
  <c r="D287" i="21"/>
  <c r="D456" i="21"/>
  <c r="D105" i="21"/>
  <c r="D37" i="21"/>
  <c r="D407" i="21"/>
  <c r="D128" i="21"/>
  <c r="D462" i="21"/>
  <c r="D194" i="21"/>
  <c r="D377" i="21"/>
  <c r="D154" i="21"/>
  <c r="D2" i="21"/>
  <c r="D328" i="21"/>
  <c r="D398" i="21"/>
  <c r="D111" i="21"/>
  <c r="D224" i="21"/>
  <c r="D265" i="21"/>
  <c r="D267" i="21"/>
  <c r="D484" i="21"/>
  <c r="D244" i="21"/>
  <c r="D463" i="21"/>
  <c r="D163" i="21"/>
  <c r="D164" i="21"/>
  <c r="D345" i="21"/>
  <c r="D459" i="21"/>
  <c r="D280" i="21"/>
  <c r="D48" i="21"/>
  <c r="D122" i="21"/>
  <c r="D453" i="21"/>
  <c r="D24" i="21"/>
  <c r="D307" i="21"/>
  <c r="D326" i="21"/>
  <c r="D211" i="21"/>
  <c r="D329" i="21"/>
  <c r="D416" i="21"/>
  <c r="D298" i="21"/>
  <c r="D492" i="21"/>
  <c r="D455" i="21"/>
  <c r="D258" i="21"/>
  <c r="D479" i="21"/>
  <c r="D472" i="21"/>
  <c r="D226" i="21"/>
  <c r="D204" i="21"/>
  <c r="D332" i="21"/>
  <c r="D78" i="21"/>
  <c r="D153" i="21"/>
  <c r="D410" i="21"/>
  <c r="D13" i="21"/>
  <c r="D478" i="21"/>
  <c r="D99" i="21"/>
  <c r="D477" i="21"/>
  <c r="D460" i="21"/>
  <c r="D274" i="21"/>
  <c r="D185" i="21"/>
  <c r="D117" i="21"/>
  <c r="D331" i="21"/>
  <c r="D42" i="21"/>
  <c r="D425" i="21"/>
  <c r="D254" i="21"/>
  <c r="D47" i="21"/>
  <c r="D475" i="21"/>
  <c r="D52" i="21"/>
  <c r="D250" i="21"/>
  <c r="D446" i="21"/>
  <c r="D314" i="21"/>
  <c r="D66" i="21"/>
  <c r="D388" i="21"/>
  <c r="D299" i="21"/>
  <c r="D403" i="21"/>
  <c r="D55" i="21"/>
  <c r="D174" i="21"/>
  <c r="D350" i="21"/>
  <c r="D201" i="21"/>
  <c r="D296" i="21"/>
  <c r="D205" i="21"/>
  <c r="D496" i="21"/>
  <c r="D297" i="21"/>
  <c r="D101" i="21"/>
  <c r="D93" i="21"/>
  <c r="D353" i="21"/>
  <c r="D33" i="21"/>
  <c r="D135" i="21"/>
  <c r="D180" i="21"/>
  <c r="D363" i="21"/>
  <c r="D25" i="21"/>
  <c r="D64" i="21"/>
  <c r="D394" i="21"/>
  <c r="D391" i="21"/>
  <c r="D404" i="21"/>
  <c r="D432" i="21"/>
  <c r="D402" i="21"/>
  <c r="D188" i="21"/>
  <c r="D115" i="21"/>
  <c r="D283" i="21"/>
  <c r="D227" i="21"/>
  <c r="D103" i="21"/>
  <c r="D445" i="21"/>
  <c r="D41" i="21"/>
  <c r="D468" i="21"/>
  <c r="D288" i="21"/>
  <c r="D322" i="21"/>
  <c r="D237" i="21"/>
  <c r="D240" i="21"/>
  <c r="D79" i="21"/>
  <c r="D430" i="21"/>
  <c r="D351" i="21"/>
  <c r="D495" i="21"/>
  <c r="D85" i="21"/>
  <c r="D50" i="21"/>
  <c r="D335" i="21"/>
  <c r="D71" i="21"/>
  <c r="D448" i="21"/>
  <c r="D424" i="21"/>
  <c r="D381" i="21"/>
  <c r="D414" i="21"/>
  <c r="D169" i="21"/>
  <c r="D418" i="21"/>
  <c r="D223" i="21"/>
  <c r="D356" i="21"/>
  <c r="D231" i="21"/>
  <c r="D51" i="21"/>
  <c r="D208" i="21"/>
  <c r="D323" i="21"/>
  <c r="D442" i="21"/>
  <c r="D239" i="21"/>
  <c r="D5" i="21"/>
  <c r="D443" i="21"/>
  <c r="D88" i="21"/>
  <c r="D451" i="21"/>
  <c r="D369" i="21"/>
  <c r="D399" i="21"/>
  <c r="D294" i="21"/>
  <c r="D266" i="21"/>
  <c r="D179" i="21"/>
  <c r="D74" i="21"/>
  <c r="D311" i="21"/>
  <c r="D120" i="21"/>
  <c r="D487" i="21"/>
  <c r="D132" i="21"/>
  <c r="D200" i="21"/>
  <c r="D316" i="21"/>
  <c r="D376" i="21"/>
  <c r="D304" i="21"/>
  <c r="D75" i="21"/>
  <c r="D39" i="21"/>
  <c r="D348" i="21"/>
  <c r="D405" i="21"/>
  <c r="D339" i="21"/>
  <c r="D438" i="21"/>
  <c r="D26" i="21"/>
  <c r="D318" i="21"/>
  <c r="D197" i="21"/>
  <c r="D67" i="21"/>
  <c r="D499" i="21"/>
  <c r="D192" i="21"/>
  <c r="D184" i="21"/>
  <c r="D23" i="21"/>
  <c r="D44" i="21"/>
  <c r="D22" i="21"/>
  <c r="D116" i="21"/>
  <c r="D300" i="21"/>
  <c r="D344" i="21"/>
  <c r="D173" i="21"/>
  <c r="D77" i="21"/>
  <c r="D3" i="21"/>
  <c r="D302" i="21"/>
  <c r="D378" i="21"/>
  <c r="D123" i="21"/>
  <c r="D214" i="21"/>
  <c r="D470" i="21"/>
  <c r="D11" i="21"/>
  <c r="D301" i="21"/>
  <c r="D441" i="21"/>
  <c r="D162" i="21"/>
  <c r="D481" i="21"/>
  <c r="D159" i="21"/>
  <c r="D306" i="21"/>
  <c r="D193" i="21"/>
  <c r="D65" i="21"/>
  <c r="D157" i="21"/>
  <c r="D305" i="21"/>
  <c r="D447" i="21"/>
  <c r="D386" i="21"/>
  <c r="D387" i="21"/>
  <c r="D498" i="21"/>
  <c r="D260" i="21"/>
  <c r="D285" i="21"/>
  <c r="D384" i="21"/>
  <c r="D370" i="21"/>
  <c r="D155" i="21"/>
  <c r="D40" i="21"/>
  <c r="D364" i="21"/>
  <c r="D284" i="21"/>
  <c r="D319" i="21"/>
  <c r="D70" i="21"/>
  <c r="D190" i="21"/>
  <c r="D112" i="21"/>
  <c r="D406" i="21"/>
  <c r="D124" i="21"/>
  <c r="D8" i="21"/>
  <c r="D6" i="21"/>
  <c r="D355" i="21"/>
  <c r="D334" i="21"/>
  <c r="D313" i="21"/>
  <c r="D390" i="21"/>
  <c r="D222" i="21"/>
  <c r="D429" i="21"/>
  <c r="D215" i="21"/>
  <c r="D212" i="21"/>
  <c r="D131" i="21"/>
  <c r="D290" i="21"/>
  <c r="D43" i="21"/>
  <c r="D264" i="21"/>
  <c r="D203" i="21"/>
  <c r="D421" i="21"/>
  <c r="D471" i="21"/>
  <c r="D202" i="21"/>
  <c r="D343" i="21"/>
  <c r="D415" i="21"/>
  <c r="D186" i="21"/>
  <c r="D397" i="21"/>
  <c r="D349" i="21"/>
  <c r="D473" i="21"/>
  <c r="D464" i="21"/>
  <c r="D375" i="21"/>
  <c r="D271" i="21"/>
  <c r="D56" i="21"/>
  <c r="D28" i="21"/>
  <c r="D312" i="21"/>
  <c r="D35" i="21"/>
  <c r="D218" i="21"/>
  <c r="D90" i="21"/>
  <c r="D396" i="21"/>
  <c r="D395" i="21"/>
  <c r="D458" i="21"/>
  <c r="D130" i="21"/>
  <c r="D476" i="21"/>
  <c r="D379" i="21"/>
  <c r="D57" i="21"/>
  <c r="D436" i="21"/>
  <c r="D420" i="21"/>
  <c r="D87" i="21"/>
  <c r="D58" i="21"/>
  <c r="D494" i="21"/>
  <c r="D293" i="21"/>
  <c r="D493" i="21"/>
  <c r="D82" i="21"/>
  <c r="D107" i="21"/>
  <c r="D358" i="21"/>
  <c r="D474" i="21"/>
  <c r="D251" i="21"/>
  <c r="D12" i="21"/>
  <c r="D275" i="21"/>
  <c r="D20" i="21"/>
  <c r="D36" i="21"/>
  <c r="D497" i="21"/>
  <c r="D269" i="21"/>
  <c r="D282" i="21"/>
  <c r="D450" i="21"/>
  <c r="D292" i="21"/>
  <c r="D480" i="21"/>
  <c r="D129" i="21"/>
  <c r="D118" i="21"/>
  <c r="D389" i="21"/>
  <c r="D383" i="21"/>
  <c r="D29" i="21"/>
  <c r="D359" i="21"/>
  <c r="D18" i="21"/>
  <c r="D19" i="21"/>
  <c r="D372" i="21"/>
  <c r="D341" i="21"/>
  <c r="D92" i="21"/>
  <c r="D187" i="21"/>
  <c r="D216" i="21"/>
  <c r="D308" i="21"/>
  <c r="D127" i="21"/>
  <c r="D95" i="21"/>
  <c r="D15" i="21"/>
  <c r="D106" i="21"/>
  <c r="D286" i="21"/>
  <c r="D400" i="21"/>
  <c r="D490" i="21"/>
  <c r="D365" i="21"/>
  <c r="D178" i="21"/>
  <c r="D347" i="21"/>
  <c r="D315" i="21"/>
  <c r="D488" i="21"/>
  <c r="D452" i="21"/>
  <c r="D38" i="21"/>
  <c r="D46" i="21"/>
  <c r="D469" i="21"/>
  <c r="D165" i="21"/>
  <c r="D27" i="21"/>
  <c r="D76" i="21"/>
  <c r="D268" i="21"/>
  <c r="D483" i="21"/>
  <c r="D232" i="21"/>
  <c r="D270" i="21"/>
  <c r="D31" i="21"/>
  <c r="D172" i="21"/>
  <c r="D352" i="21"/>
  <c r="D182" i="21"/>
  <c r="D417" i="21"/>
  <c r="D183" i="21"/>
  <c r="D501" i="21"/>
  <c r="D422" i="21"/>
  <c r="D426" i="21"/>
  <c r="D245" i="21"/>
  <c r="D133" i="21"/>
  <c r="D191" i="21"/>
  <c r="D346" i="21"/>
  <c r="D411" i="21"/>
  <c r="D73" i="21"/>
  <c r="D252" i="21"/>
  <c r="D137" i="21"/>
  <c r="D206" i="21"/>
  <c r="D248" i="21"/>
  <c r="D114" i="21"/>
  <c r="D225" i="21"/>
  <c r="D423" i="21"/>
  <c r="D327" i="21"/>
  <c r="D126" i="21"/>
  <c r="D272" i="21"/>
  <c r="D340" i="21"/>
  <c r="D167" i="21"/>
  <c r="D408" i="21"/>
  <c r="D295" i="21"/>
  <c r="D161" i="21"/>
  <c r="D94" i="21"/>
  <c r="D361" i="21"/>
  <c r="D500" i="21"/>
  <c r="D229" i="21"/>
  <c r="D320" i="21"/>
  <c r="D45" i="21"/>
  <c r="D181" i="21"/>
  <c r="D409" i="21"/>
  <c r="D413" i="21"/>
  <c r="D428" i="21"/>
  <c r="D160" i="21"/>
  <c r="D138" i="21"/>
  <c r="D69" i="21"/>
  <c r="D444" i="21"/>
  <c r="D14" i="21"/>
  <c r="D62" i="21"/>
  <c r="D279" i="21"/>
  <c r="D259" i="21"/>
  <c r="D54" i="21"/>
  <c r="D199" i="21"/>
  <c r="D435" i="21"/>
  <c r="D213" i="21"/>
  <c r="D431" i="21"/>
  <c r="D61" i="21"/>
  <c r="D276" i="21"/>
  <c r="D91" i="21"/>
  <c r="D59" i="21"/>
  <c r="D238" i="21"/>
  <c r="D113" i="21"/>
  <c r="D104" i="21"/>
  <c r="D263" i="21"/>
  <c r="D367" i="21"/>
  <c r="D317" i="21"/>
  <c r="D393" i="21"/>
  <c r="D235" i="21"/>
  <c r="D209" i="21"/>
  <c r="D357" i="21"/>
  <c r="D136" i="21"/>
  <c r="D158" i="21"/>
  <c r="D321" i="21"/>
  <c r="D109" i="21"/>
  <c r="D102" i="21"/>
  <c r="D17" i="21"/>
  <c r="D449" i="21"/>
  <c r="D246" i="21"/>
  <c r="D100" i="21"/>
  <c r="D170" i="21"/>
  <c r="D156" i="21"/>
  <c r="D195" i="21"/>
  <c r="D401" i="21"/>
  <c r="D49" i="21"/>
  <c r="D465" i="21"/>
  <c r="D84" i="21"/>
  <c r="D171" i="21"/>
  <c r="D236" i="21"/>
  <c r="D80" i="21"/>
  <c r="D63" i="21"/>
  <c r="D32" i="21"/>
  <c r="D119" i="21"/>
  <c r="D221" i="21"/>
  <c r="D81" i="21"/>
  <c r="D457" i="21"/>
  <c r="D177" i="21"/>
  <c r="D219" i="21"/>
  <c r="D482" i="21"/>
  <c r="D382" i="21"/>
  <c r="D247" i="21"/>
  <c r="D324" i="21"/>
  <c r="D97" i="21"/>
  <c r="D261" i="21"/>
  <c r="D4" i="21"/>
  <c r="D125" i="21"/>
  <c r="D362" i="21"/>
  <c r="D217" i="21"/>
  <c r="D72" i="21"/>
  <c r="D207" i="21"/>
  <c r="D281" i="21"/>
  <c r="D419" i="21"/>
  <c r="D243" i="21"/>
  <c r="D439" i="21"/>
  <c r="D385" i="21"/>
  <c r="D485" i="21"/>
  <c r="D489" i="21"/>
  <c r="D176" i="21"/>
  <c r="D437" i="21"/>
  <c r="D253" i="21"/>
  <c r="D108" i="21"/>
  <c r="D303" i="21"/>
  <c r="D336" i="21"/>
  <c r="D7" i="21"/>
  <c r="D310" i="21"/>
  <c r="D289" i="21"/>
  <c r="D53" i="21"/>
  <c r="D210" i="21"/>
  <c r="J210" i="21" l="1"/>
  <c r="J53" i="21"/>
  <c r="J289" i="21"/>
  <c r="J310" i="21"/>
  <c r="J7" i="21"/>
  <c r="J336" i="21"/>
  <c r="J303" i="21"/>
  <c r="J108" i="21"/>
  <c r="J253" i="21"/>
  <c r="J437" i="21"/>
  <c r="J176" i="21"/>
  <c r="J489" i="21"/>
  <c r="J485" i="21"/>
  <c r="J385" i="21"/>
  <c r="J439" i="21"/>
  <c r="J243" i="21"/>
  <c r="J419" i="21"/>
  <c r="J281" i="21"/>
  <c r="J207" i="21"/>
  <c r="J72" i="21"/>
  <c r="J217" i="21"/>
  <c r="J362" i="21"/>
  <c r="J125" i="21"/>
  <c r="J4" i="21"/>
  <c r="J261" i="21"/>
  <c r="J97" i="21"/>
  <c r="J324" i="21"/>
  <c r="J247" i="21"/>
  <c r="J382" i="21"/>
  <c r="J482" i="21"/>
  <c r="J219" i="21"/>
  <c r="J177" i="21"/>
  <c r="J457" i="21"/>
  <c r="J81" i="21"/>
  <c r="J221" i="21"/>
  <c r="J119" i="21"/>
  <c r="J32" i="21"/>
  <c r="J63" i="21"/>
  <c r="J80" i="21"/>
  <c r="J236" i="21"/>
  <c r="J171" i="21"/>
  <c r="J84" i="21"/>
  <c r="J465" i="21"/>
  <c r="J49" i="21"/>
  <c r="J401" i="21"/>
  <c r="J195" i="21"/>
  <c r="J156" i="21"/>
  <c r="J170" i="21"/>
  <c r="J100" i="21"/>
  <c r="J246" i="21"/>
  <c r="J449" i="21"/>
  <c r="J17" i="21"/>
  <c r="J102" i="21"/>
  <c r="J109" i="21"/>
  <c r="J321" i="21"/>
  <c r="J158" i="21"/>
  <c r="J136" i="21"/>
  <c r="J357" i="21"/>
  <c r="J209" i="21"/>
  <c r="J235" i="21"/>
  <c r="J393" i="21"/>
  <c r="J317" i="21"/>
  <c r="J367" i="21"/>
  <c r="J263" i="21"/>
  <c r="J104" i="21"/>
  <c r="J113" i="21"/>
  <c r="J238" i="21"/>
  <c r="J59" i="21"/>
  <c r="J91" i="21"/>
  <c r="J276" i="21"/>
  <c r="J61" i="21"/>
  <c r="J431" i="21"/>
  <c r="J213" i="21"/>
  <c r="J435" i="21"/>
  <c r="J199" i="21"/>
  <c r="J54" i="21"/>
  <c r="J259" i="21"/>
  <c r="J279" i="21"/>
  <c r="J62" i="21"/>
  <c r="J14" i="21"/>
  <c r="J444" i="21"/>
  <c r="J69" i="21"/>
  <c r="J138" i="21"/>
  <c r="J160" i="21"/>
  <c r="J428" i="21"/>
  <c r="J413" i="21"/>
  <c r="J409" i="21"/>
  <c r="J181" i="21"/>
  <c r="J45" i="21"/>
  <c r="J320" i="21"/>
  <c r="J229" i="21"/>
  <c r="J500" i="21"/>
  <c r="J361" i="21"/>
  <c r="J94" i="21"/>
  <c r="J161" i="21"/>
  <c r="J295" i="21"/>
  <c r="J408" i="21"/>
  <c r="J167" i="21"/>
  <c r="J340" i="21"/>
  <c r="J272" i="21"/>
  <c r="J126" i="21"/>
  <c r="J327" i="21"/>
  <c r="J423" i="21"/>
  <c r="J225" i="21"/>
  <c r="J114" i="21"/>
  <c r="J248" i="21"/>
  <c r="J206" i="21"/>
  <c r="J137" i="21"/>
  <c r="J252" i="21"/>
  <c r="J73" i="21"/>
  <c r="J411" i="21"/>
  <c r="J346" i="21"/>
  <c r="J191" i="21"/>
  <c r="J133" i="21"/>
  <c r="J245" i="21"/>
  <c r="J426" i="21"/>
  <c r="J422" i="21"/>
  <c r="J501" i="21"/>
  <c r="J183" i="21"/>
  <c r="J417" i="21"/>
  <c r="J182" i="21"/>
  <c r="J352" i="21"/>
  <c r="J172" i="21"/>
  <c r="J31" i="21"/>
  <c r="J270" i="21"/>
  <c r="J232" i="21"/>
  <c r="J483" i="21"/>
  <c r="J268" i="21"/>
  <c r="J76" i="21"/>
  <c r="J27" i="21"/>
  <c r="J165" i="21"/>
  <c r="J469" i="21"/>
  <c r="J46" i="21"/>
  <c r="J38" i="21"/>
  <c r="J452" i="21"/>
  <c r="J488" i="21"/>
  <c r="J315" i="21"/>
  <c r="J347" i="21"/>
  <c r="J178" i="21"/>
  <c r="J365" i="21"/>
  <c r="J490" i="21"/>
  <c r="J400" i="21"/>
  <c r="J286" i="21"/>
  <c r="J106" i="21"/>
  <c r="J15" i="21"/>
  <c r="J95" i="21"/>
  <c r="J127" i="21"/>
  <c r="J308" i="21"/>
  <c r="J216" i="21"/>
  <c r="J187" i="21"/>
  <c r="J92" i="21"/>
  <c r="J341" i="21"/>
  <c r="J372" i="21"/>
  <c r="J19" i="21"/>
  <c r="J18" i="21"/>
  <c r="J359" i="21"/>
  <c r="J29" i="21"/>
  <c r="J383" i="21"/>
  <c r="J389" i="21"/>
  <c r="J118" i="21"/>
  <c r="J129" i="21"/>
  <c r="J480" i="21"/>
  <c r="J292" i="21"/>
  <c r="J450" i="21"/>
  <c r="J282" i="21"/>
  <c r="J269" i="21"/>
  <c r="J497" i="21"/>
  <c r="J36" i="21"/>
  <c r="J20" i="21"/>
  <c r="J275" i="21"/>
  <c r="J12" i="21"/>
  <c r="J251" i="21"/>
  <c r="J474" i="21"/>
  <c r="J358" i="21"/>
  <c r="J107" i="21"/>
  <c r="J82" i="21"/>
  <c r="J493" i="21"/>
  <c r="J293" i="21"/>
  <c r="J494" i="21"/>
  <c r="J58" i="21"/>
  <c r="J87" i="21"/>
  <c r="J420" i="21"/>
  <c r="J436" i="21"/>
  <c r="J57" i="21"/>
  <c r="J379" i="21"/>
  <c r="J476" i="21"/>
  <c r="J130" i="21"/>
  <c r="J458" i="21"/>
  <c r="J395" i="21"/>
  <c r="J396" i="21"/>
  <c r="J90" i="21"/>
  <c r="J218" i="21"/>
  <c r="J35" i="21"/>
  <c r="J312" i="21"/>
  <c r="J28" i="21"/>
  <c r="J56" i="21"/>
  <c r="J271" i="21"/>
  <c r="J375" i="21"/>
  <c r="J464" i="21"/>
  <c r="J473" i="21"/>
  <c r="J349" i="21"/>
  <c r="J397" i="21"/>
  <c r="J186" i="21"/>
  <c r="J415" i="21"/>
  <c r="J343" i="21"/>
  <c r="J202" i="21"/>
  <c r="J471" i="21"/>
  <c r="J421" i="21"/>
  <c r="J203" i="21"/>
  <c r="J264" i="21"/>
  <c r="J43" i="21"/>
  <c r="J290" i="21"/>
  <c r="J131" i="21"/>
  <c r="J212" i="21"/>
  <c r="J215" i="21"/>
  <c r="J429" i="21"/>
  <c r="J222" i="21"/>
  <c r="J390" i="21"/>
  <c r="J313" i="21"/>
  <c r="J334" i="21"/>
  <c r="J355" i="21"/>
  <c r="J6" i="21"/>
  <c r="J8" i="21"/>
  <c r="J124" i="21"/>
  <c r="J406" i="21"/>
  <c r="J112" i="21"/>
  <c r="J190" i="21"/>
  <c r="J70" i="21"/>
  <c r="J319" i="21"/>
  <c r="J284" i="21"/>
  <c r="J364" i="21"/>
  <c r="J40" i="21"/>
  <c r="J155" i="21"/>
  <c r="J370" i="21"/>
  <c r="J384" i="21"/>
  <c r="J285" i="21"/>
  <c r="J260" i="21"/>
  <c r="J498" i="21"/>
  <c r="J387" i="21"/>
  <c r="J386" i="21"/>
  <c r="J447" i="21"/>
  <c r="J305" i="21"/>
  <c r="J157" i="21"/>
  <c r="J65" i="21"/>
  <c r="J193" i="21"/>
  <c r="J306" i="21"/>
  <c r="J159" i="21"/>
  <c r="J481" i="21"/>
  <c r="J162" i="21"/>
  <c r="J441" i="21"/>
  <c r="J301" i="21"/>
  <c r="J11" i="21"/>
  <c r="J470" i="21"/>
  <c r="J214" i="21"/>
  <c r="J123" i="21"/>
  <c r="J378" i="21"/>
  <c r="J302" i="21"/>
  <c r="J3" i="21"/>
  <c r="J77" i="21"/>
  <c r="J173" i="21"/>
  <c r="J344" i="21"/>
  <c r="J300" i="21"/>
  <c r="J116" i="21"/>
  <c r="J22" i="21"/>
  <c r="J44" i="21"/>
  <c r="J23" i="21"/>
  <c r="J184" i="21"/>
  <c r="J192" i="21"/>
  <c r="J499" i="21"/>
  <c r="J67" i="21"/>
  <c r="J197" i="21"/>
  <c r="J318" i="21"/>
  <c r="J26" i="21"/>
  <c r="J438" i="21"/>
  <c r="J339" i="21"/>
  <c r="J405" i="21"/>
  <c r="J348" i="21"/>
  <c r="J39" i="21"/>
  <c r="J75" i="21"/>
  <c r="J304" i="21"/>
  <c r="J376" i="21"/>
  <c r="J316" i="21"/>
  <c r="J200" i="21"/>
  <c r="J132" i="21"/>
  <c r="J487" i="21"/>
  <c r="J120" i="21"/>
  <c r="J311" i="21"/>
  <c r="J74" i="21"/>
  <c r="J179" i="21"/>
  <c r="J266" i="21"/>
  <c r="J294" i="21"/>
  <c r="J399" i="21"/>
  <c r="J369" i="21"/>
  <c r="J451" i="21"/>
  <c r="J88" i="21"/>
  <c r="J443" i="21"/>
  <c r="J5" i="21"/>
  <c r="J239" i="21"/>
  <c r="J442" i="21"/>
  <c r="J323" i="21"/>
  <c r="J208" i="21"/>
  <c r="J51" i="21"/>
  <c r="J231" i="21"/>
  <c r="J356" i="21"/>
  <c r="J223" i="21"/>
  <c r="J418" i="21"/>
  <c r="J169" i="21"/>
  <c r="J414" i="21"/>
  <c r="J381" i="21"/>
  <c r="J424" i="21"/>
  <c r="J448" i="21"/>
  <c r="J71" i="21"/>
  <c r="J335" i="21"/>
  <c r="J50" i="21"/>
  <c r="J85" i="21"/>
  <c r="J495" i="21"/>
  <c r="J351" i="21"/>
  <c r="J430" i="21"/>
  <c r="J79" i="21"/>
  <c r="J240" i="21"/>
  <c r="J237" i="21"/>
  <c r="J322" i="21"/>
  <c r="J288" i="21"/>
  <c r="J468" i="21"/>
  <c r="J41" i="21"/>
  <c r="J445" i="21"/>
  <c r="J103" i="21"/>
  <c r="J227" i="21"/>
  <c r="J283" i="21"/>
  <c r="J115" i="21"/>
  <c r="J188" i="21"/>
  <c r="J402" i="21"/>
  <c r="J432" i="21"/>
  <c r="J404" i="21"/>
  <c r="J391" i="21"/>
  <c r="J394" i="21"/>
  <c r="J64" i="21"/>
  <c r="J25" i="21"/>
  <c r="J363" i="21"/>
  <c r="J180" i="21"/>
  <c r="J135" i="21"/>
  <c r="J33" i="21"/>
  <c r="J353" i="21"/>
  <c r="J93" i="21"/>
  <c r="J101" i="21"/>
  <c r="J297" i="21"/>
  <c r="J496" i="21"/>
  <c r="J205" i="21"/>
  <c r="J296" i="21"/>
  <c r="J201" i="21"/>
  <c r="J350" i="21"/>
  <c r="J174" i="21"/>
  <c r="J55" i="21"/>
  <c r="J403" i="21"/>
  <c r="J299" i="21"/>
  <c r="J388" i="21"/>
  <c r="J66" i="21"/>
  <c r="J314" i="21"/>
  <c r="J446" i="21"/>
  <c r="J250" i="21"/>
  <c r="J52" i="21"/>
  <c r="J475" i="21"/>
  <c r="J47" i="21"/>
  <c r="J254" i="21"/>
  <c r="J425" i="21"/>
  <c r="J42" i="21"/>
  <c r="J331" i="21"/>
  <c r="J117" i="21"/>
  <c r="J185" i="21"/>
  <c r="J274" i="21"/>
  <c r="J460" i="21"/>
  <c r="J477" i="21"/>
  <c r="J99" i="21"/>
  <c r="J478" i="21"/>
  <c r="J13" i="21"/>
  <c r="J410" i="21"/>
  <c r="J153" i="21"/>
  <c r="J78" i="21"/>
  <c r="J332" i="21"/>
  <c r="J204" i="21"/>
  <c r="J226" i="21"/>
  <c r="J472" i="21"/>
  <c r="J479" i="21"/>
  <c r="J258" i="21"/>
  <c r="J455" i="21"/>
  <c r="J492" i="21"/>
  <c r="J298" i="21"/>
  <c r="J416" i="21"/>
  <c r="J329" i="21"/>
  <c r="J211" i="21"/>
  <c r="J326" i="21"/>
  <c r="J307" i="21"/>
  <c r="J24" i="21"/>
  <c r="J453" i="21"/>
  <c r="J122" i="21"/>
  <c r="J48" i="21"/>
  <c r="J280" i="21"/>
  <c r="J459" i="21"/>
  <c r="J345" i="21"/>
  <c r="J164" i="21"/>
  <c r="J163" i="21"/>
  <c r="J463" i="21"/>
  <c r="J244" i="21"/>
  <c r="J484" i="21"/>
  <c r="J267" i="21"/>
  <c r="J265" i="21"/>
  <c r="J224" i="21"/>
  <c r="J111" i="21"/>
  <c r="J398" i="21"/>
  <c r="J328" i="21"/>
  <c r="C8" i="18"/>
  <c r="I6" i="18" s="1"/>
  <c r="J2" i="21"/>
  <c r="J154" i="21"/>
  <c r="J377" i="21"/>
  <c r="J194" i="21"/>
  <c r="J462" i="21"/>
  <c r="J128" i="21"/>
  <c r="J407" i="21"/>
  <c r="J37" i="21"/>
  <c r="J105" i="21"/>
  <c r="J456" i="21"/>
  <c r="J287" i="21"/>
  <c r="J10" i="21"/>
  <c r="J255" i="21"/>
  <c r="J30" i="21"/>
  <c r="J96" i="21"/>
  <c r="J83" i="21"/>
  <c r="J360" i="21"/>
  <c r="J134" i="21"/>
  <c r="J277" i="21"/>
  <c r="J354" i="21"/>
  <c r="J467" i="21"/>
  <c r="J196" i="21"/>
  <c r="J241" i="21"/>
  <c r="J433" i="21"/>
  <c r="J342" i="21"/>
  <c r="J374" i="21"/>
  <c r="J380" i="21"/>
  <c r="J233" i="21"/>
  <c r="J278" i="21"/>
  <c r="J262" i="21"/>
  <c r="J273" i="21"/>
  <c r="J392" i="21"/>
  <c r="J454" i="21"/>
  <c r="J121" i="21"/>
  <c r="J440" i="21"/>
  <c r="J68" i="21"/>
  <c r="J333" i="21"/>
  <c r="J325" i="21"/>
  <c r="J175" i="21"/>
  <c r="J234" i="21"/>
  <c r="J139" i="21"/>
  <c r="J291" i="21"/>
  <c r="J166" i="21"/>
  <c r="J309" i="21"/>
  <c r="J249" i="21"/>
  <c r="J434" i="21"/>
  <c r="J491" i="21"/>
  <c r="J486" i="21"/>
  <c r="J256" i="21"/>
  <c r="J21" i="21"/>
  <c r="J371" i="21"/>
  <c r="J427" i="21"/>
  <c r="J412" i="21"/>
  <c r="J330" i="21"/>
  <c r="J338" i="21"/>
  <c r="J89" i="21"/>
  <c r="J337" i="21"/>
  <c r="J228" i="21"/>
  <c r="J9" i="21"/>
  <c r="J242" i="21"/>
  <c r="J198" i="21"/>
  <c r="J373" i="21"/>
  <c r="J257" i="21"/>
  <c r="J60" i="21"/>
  <c r="J86" i="21"/>
  <c r="J34" i="21"/>
  <c r="J168" i="21"/>
  <c r="J461" i="21"/>
  <c r="J368" i="21"/>
  <c r="J110" i="21"/>
  <c r="J230" i="21"/>
  <c r="J220" i="21"/>
  <c r="J189" i="21"/>
  <c r="J366" i="21"/>
  <c r="J16" i="21"/>
  <c r="J466" i="21"/>
  <c r="J98" i="21"/>
  <c r="H18" i="18" l="1"/>
  <c r="I4" i="18" s="1"/>
  <c r="K5" i="18" s="1"/>
  <c r="K7" i="18" s="1"/>
</calcChain>
</file>

<file path=xl/sharedStrings.xml><?xml version="1.0" encoding="utf-8"?>
<sst xmlns="http://schemas.openxmlformats.org/spreadsheetml/2006/main" count="3327" uniqueCount="1006">
  <si>
    <t>Issue Types</t>
    <phoneticPr fontId="4" type="noConversion"/>
  </si>
  <si>
    <t>Minor</t>
  </si>
  <si>
    <t>Fluency</t>
  </si>
  <si>
    <t>Subtypes</t>
  </si>
  <si>
    <t>Source</t>
  </si>
  <si>
    <t>Target</t>
  </si>
  <si>
    <t>Total Errors</t>
    <phoneticPr fontId="6" type="noConversion"/>
  </si>
  <si>
    <t>Omission</t>
  </si>
  <si>
    <t>Accuracy</t>
    <phoneticPr fontId="6" type="noConversion"/>
  </si>
  <si>
    <t># Total Errors:</t>
    <phoneticPr fontId="6" type="noConversion"/>
  </si>
  <si>
    <t># Segments:</t>
    <phoneticPr fontId="3" type="noConversion"/>
  </si>
  <si>
    <t># Words:</t>
    <phoneticPr fontId="3" type="noConversion"/>
  </si>
  <si>
    <t>Errors / 1k words:</t>
    <phoneticPr fontId="3" type="noConversion"/>
  </si>
  <si>
    <t># Seg corrects:</t>
    <phoneticPr fontId="6" type="noConversion"/>
  </si>
  <si>
    <t># Total Rows:</t>
    <phoneticPr fontId="3" type="noConversion"/>
  </si>
  <si>
    <t>After Evaluation</t>
    <phoneticPr fontId="3" type="noConversion"/>
  </si>
  <si>
    <t>Before Evaluation</t>
    <phoneticPr fontId="3" type="noConversion"/>
  </si>
  <si>
    <t>#error</t>
    <phoneticPr fontId="4" type="noConversion"/>
  </si>
  <si>
    <t>Evaluation Date</t>
    <phoneticPr fontId="3" type="noConversion"/>
  </si>
  <si>
    <t>% Seg Correct:</t>
    <phoneticPr fontId="3" type="noConversion"/>
  </si>
  <si>
    <t>ID</t>
    <phoneticPr fontId="4" type="noConversion"/>
  </si>
  <si>
    <t>Accuracy</t>
  </si>
  <si>
    <t>Addition</t>
  </si>
  <si>
    <t>Major</t>
  </si>
  <si>
    <t>N/A</t>
  </si>
  <si>
    <t>Critical</t>
  </si>
  <si>
    <t>Duplication</t>
  </si>
  <si>
    <t>Place&amp;Name</t>
  </si>
  <si>
    <t>Attribute</t>
  </si>
  <si>
    <t>Number&amp;Time</t>
  </si>
  <si>
    <t>Sub_Issue_Type</t>
  </si>
  <si>
    <t>Issue_Type</t>
  </si>
  <si>
    <t>Issue Words</t>
  </si>
  <si>
    <t>Labels</t>
  </si>
  <si>
    <t>Severity</t>
  </si>
  <si>
    <t>Critical</t>
    <phoneticPr fontId="4" type="noConversion"/>
  </si>
  <si>
    <t>Major</t>
    <phoneticPr fontId="4" type="noConversion"/>
  </si>
  <si>
    <t>Minor</t>
    <phoneticPr fontId="4" type="noConversion"/>
  </si>
  <si>
    <t># Invalid Segments:</t>
    <phoneticPr fontId="4" type="noConversion"/>
  </si>
  <si>
    <t>% Invalid Segments:</t>
    <phoneticPr fontId="6" type="noConversion"/>
  </si>
  <si>
    <t>Severities ScoreCard</t>
    <phoneticPr fontId="4" type="noConversion"/>
  </si>
  <si>
    <t>Errors ScoreCard</t>
    <phoneticPr fontId="4" type="noConversion"/>
  </si>
  <si>
    <t>Results</t>
    <phoneticPr fontId="4" type="noConversion"/>
  </si>
  <si>
    <t>wordcount</t>
    <phoneticPr fontId="4" type="noConversion"/>
  </si>
  <si>
    <t>Positive_Negative_Aspect</t>
  </si>
  <si>
    <t>Invalid Source</t>
    <phoneticPr fontId="4" type="noConversion"/>
  </si>
  <si>
    <t>Invalid Target</t>
    <phoneticPr fontId="4" type="noConversion"/>
  </si>
  <si>
    <t>Invalid Target</t>
    <phoneticPr fontId="4" type="noConversion"/>
  </si>
  <si>
    <t>Severity_Matrix</t>
    <phoneticPr fontId="15" type="noConversion"/>
  </si>
  <si>
    <t>Source Language</t>
  </si>
  <si>
    <t>(Optional)</t>
    <phoneticPr fontId="4" type="noConversion"/>
  </si>
  <si>
    <t>Score</t>
  </si>
  <si>
    <t>Event Entity-Subject</t>
  </si>
  <si>
    <t>Event Entity-Object</t>
  </si>
  <si>
    <t>Event Relation-Predicate</t>
  </si>
  <si>
    <t>Whole Sentence</t>
  </si>
  <si>
    <t>Grammar Function Words</t>
  </si>
  <si>
    <t>Minor</t>
    <phoneticPr fontId="1" type="noConversion"/>
  </si>
  <si>
    <t>Critical</t>
    <phoneticPr fontId="1" type="noConversion"/>
  </si>
  <si>
    <t>Critical</t>
    <phoneticPr fontId="1" type="noConversion"/>
  </si>
  <si>
    <t>Reason for Error (optional)</t>
  </si>
  <si>
    <t>Inaccuracy_internal</t>
  </si>
  <si>
    <t>Inaccuracy_external</t>
  </si>
  <si>
    <t>Word_Order</t>
  </si>
  <si>
    <t>Word_Form</t>
  </si>
  <si>
    <t>Word_From</t>
  </si>
  <si>
    <t>Inaccuracy_internal</t>
    <phoneticPr fontId="4" type="noConversion"/>
  </si>
  <si>
    <t>Inaccuracy_external</t>
    <phoneticPr fontId="4" type="noConversion"/>
  </si>
  <si>
    <t>Word_Form</t>
    <phoneticPr fontId="4" type="noConversion"/>
  </si>
  <si>
    <t>Word_Order</t>
    <phoneticPr fontId="4" type="noConversion"/>
  </si>
  <si>
    <t>Attribute</t>
    <phoneticPr fontId="4" type="noConversion"/>
  </si>
  <si>
    <t>0-1</t>
  </si>
  <si>
    <t>a philadelphia court heard thursday that corry ` corey ' campbell , 21 , was the ringleader of the gang , who have become known as the ` tattoo terrorists ' .
torture chamber : corry ` corey ' campbell , 21 ( left ) , the ringleader of a gang dubbed the ` tattoo terrorists ' was jailed for 20 years thursday for the abuse in march/april 21 .
accomplices : sandra ng , 19 ( left ) , campbell 's girlfriend , was sentenced to 23 months in state prison for her role in the shocking assault last year , while another defendant jennifer pratt , 40 , is awaiting trial</t>
    <phoneticPr fontId="4" type="noConversion"/>
  </si>
  <si>
    <t>greg valecce , 53 , had  offensive symbols tattooed on his arms
also suffered</t>
    <phoneticPr fontId="4" type="noConversion"/>
  </si>
  <si>
    <t>incident occurred in mayfair , philadelphia</t>
    <phoneticPr fontId="4" type="noConversion"/>
  </si>
  <si>
    <t>corry believed valecce had harmed his cat</t>
    <phoneticPr fontId="4" type="noConversion"/>
  </si>
  <si>
    <t>campbell and four others tortured valecce for three days</t>
    <phoneticPr fontId="4" type="noConversion"/>
  </si>
  <si>
    <t>left</t>
    <phoneticPr fontId="4" type="noConversion"/>
  </si>
  <si>
    <t>1-1</t>
  </si>
  <si>
    <t>the golden bear added another magic moment to his storied career at augusta national in the par-3 contest .
jack nicklaus gave the crowd something to cheer with a hole in one on the fourth during the par-3 contest
nicklaus was playing alongside gary player and ben crenshaw as the first roar of masters week filled the skies in a sunswept georgia .</t>
    <phoneticPr fontId="4" type="noConversion"/>
  </si>
  <si>
    <t>players cheer</t>
  </si>
  <si>
    <t>colombian camilo villegas later eclipsed nicklaus ' achievement</t>
  </si>
  <si>
    <t>villegas was beaten in a play-off by world no 74 kevin streelman</t>
  </si>
  <si>
    <t>3-1</t>
  </si>
  <si>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t>
    <phoneticPr fontId="4" type="noConversion"/>
  </si>
  <si>
    <t>the preliminary hearing is scheduled for july 2</t>
  </si>
  <si>
    <t>4-1</t>
  </si>
  <si>
    <t>stephen curry eclipsed his own nba record for most 3-pointers in a season , scoring 45 points to rally the golden state warriors to a 116-105 victory over the portland trail blazers on thursday night .
stephen curry broke his own nba three-point record as golden state warriors beat portland trail blazers
curry ( centre ) hit eight three-pointers to to eclipse his previous nba best of 272 made in a single season</t>
    <phoneticPr fontId="4" type="noConversion"/>
  </si>
  <si>
    <t>centre</t>
    <phoneticPr fontId="4" type="noConversion"/>
  </si>
  <si>
    <t>miami heat lost 78-89 vs chicago bulls in the eastern conference</t>
  </si>
  <si>
    <t>5-1</t>
  </si>
  <si>
    <t>conor mcgregor is gearing up for a featherweight title challenge against jose aldo on july 11 and has unveiled a fearsome new tattoo ahead of the encounter .
conor mcgregor reveals his new tattoo of a tiger on his stomach to his instagram followers
mcgregor claims he has greater motivation to win the title than aldo has to defend it for the eighth time</t>
    <phoneticPr fontId="4" type="noConversion"/>
  </si>
  <si>
    <t>mcgregor grabbed aldo 's featherweight champion belt in dublin</t>
  </si>
  <si>
    <t>6-1</t>
  </si>
  <si>
    <t>liverpool players mario balotelli , fabio borini , rickie lambert and lazar markovic got more than they bargained for when youtube star bas van velzen arrived at melwood .
van velzen lines up his first free-kick of the day as the liverpool stars watch on
balotelli wore his famous t-shirt during manchester city 's 6-1 win over united in october 2011</t>
    <phoneticPr fontId="4" type="noConversion"/>
  </si>
  <si>
    <t>they were all set to give van velzen a free-kick masterclass</t>
  </si>
  <si>
    <t>van velzen 's dead ball skills became apparent very quickly</t>
  </si>
  <si>
    <t>7-1</t>
  </si>
  <si>
    <t>julie robert , a cultural studies professor at the university of technology sydney , said it was ` problematic ' that the prime minister , who she believes should be advocating against binge drinking , thought it acceptable to ` showcase his masculinity ' by skolling a beer .
australian prime minister tony abbott was cheered on by a crowd of about 50 as he skolled a schooner of beer
mr abbott came under fire after the incident as anti-drinking campaigners said he was glorifying binge drinking</t>
    <phoneticPr fontId="4" type="noConversion"/>
  </si>
  <si>
    <t>tony abbott drinking the beer in six seconds</t>
    <phoneticPr fontId="4" type="noConversion"/>
  </si>
  <si>
    <t>criticism also levelled at media and officials who made light of the event</t>
    <phoneticPr fontId="4" type="noConversion"/>
  </si>
  <si>
    <t>julie robert , a cultural studies professor at the university of technology sydney , said it was ` problematic ' that the prime minister , who she believes should be advocating against binge drinking , thought it acceptable to ` showcase his masculinity ' by skolling a beer .</t>
    <phoneticPr fontId="4" type="noConversion"/>
  </si>
  <si>
    <t>8-1</t>
    <phoneticPr fontId="4" type="noConversion"/>
  </si>
  <si>
    <t>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t>
    <phoneticPr fontId="4" type="noConversion"/>
  </si>
  <si>
    <t>carriers of the brca1 gene , like hollywood star angelina jolie , can reduce their risk of death once they have been diagnosed with breast cancer by having their ovaries removed
a study indicates that following the example of the hollywood star cuts their risk of dying from breast cancer by more than 60 per cent .
miss jolie , 39 , had the procedure , known as an oophorectomy , in march .</t>
    <phoneticPr fontId="4" type="noConversion"/>
  </si>
  <si>
    <t>but the theory does not apply for those with brca2 gene mutation</t>
    <phoneticPr fontId="4" type="noConversion"/>
  </si>
  <si>
    <t>having the brca1 or brca2 genes increase risk of breast cancer by 70 %</t>
    <phoneticPr fontId="4" type="noConversion"/>
  </si>
  <si>
    <t xml:space="preserve">experts said benefits of having ovaries removed lasted for up to 15 years
</t>
    <phoneticPr fontId="4" type="noConversion"/>
  </si>
  <si>
    <t>miss jolie , 39 , had the procedure , known as an oophorectomy , in march .</t>
  </si>
  <si>
    <t>9-1</t>
    <phoneticPr fontId="4" type="noConversion"/>
  </si>
  <si>
    <t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t>
    <phoneticPr fontId="4" type="noConversion"/>
  </si>
  <si>
    <t xml:space="preserve">
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more than two weeks into a short-term needle exchange program approved by gov. mike pence , there are now 120 confirmed hiv cases and 10 preliminary positive cases tied to scott county , about 30 miles north of louisville , kentucky
</t>
    <phoneticPr fontId="4" type="noConversion"/>
  </si>
  <si>
    <t>there are now 120 confirmed hiv cases and 10 preliminary positive cases tied to scott county , about 30 miles north of louisville , kentucky</t>
    <phoneticPr fontId="4" type="noConversion"/>
  </si>
  <si>
    <t>outbreak has occurred among intravenous drug users and primarily involves the use of the high-powered prescription painkiller opana</t>
  </si>
  <si>
    <t>the number of cases to rise as more people are tested</t>
  </si>
  <si>
    <t>10-1</t>
    <phoneticPr fontId="4" type="noConversion"/>
  </si>
  <si>
    <t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t>
    <phoneticPr fontId="4" type="noConversion"/>
  </si>
  <si>
    <t xml:space="preserve">police in north carolina say a married couple is dead after an amtrak train hit them on easter morning as they lingered on the tracks .
derek lowe , 38 , and tina lowe , 33 , were hit shortly before 10 am on sunday in durham by a train heading north .
derek lowe , 38 , and tina lowe , 33 , were struck and killed by an amtrak train shortly before 10 am on easter sunday in durham , north carolina
</t>
    <phoneticPr fontId="4" type="noConversion"/>
  </si>
  <si>
    <t>northbound train struck pair on property owned by norfolk-southern</t>
    <phoneticPr fontId="4" type="noConversion"/>
  </si>
  <si>
    <t>train no. 80 , the carolinian , was headed from charlotte to new york city</t>
    <phoneticPr fontId="4" type="noConversion"/>
  </si>
  <si>
    <t>no passengers were hurt</t>
    <phoneticPr fontId="4" type="noConversion"/>
  </si>
  <si>
    <t>they were homeless</t>
    <phoneticPr fontId="4" type="noConversion"/>
  </si>
  <si>
    <t>derek lowe , 38 , and tina lowe , 33 , were struck and killed by an amtrak train shortly before 10 am on easter Sunday</t>
    <phoneticPr fontId="4" type="noConversion"/>
  </si>
  <si>
    <t>11-1</t>
    <phoneticPr fontId="4" type="noConversion"/>
  </si>
  <si>
    <t>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t>
    <phoneticPr fontId="4" type="noConversion"/>
  </si>
  <si>
    <t>saskia posted snaps of the test to her twitter account , @saskiaisabxlla , commenting ` boyfriend made me take an @arsenal exam ! '
saskia 's football fan boyfriend made her take an arsenal test and did n't dump her thanks to her a grade
saskia scored an impressive 87 per cent , but according to her unnamed boyfriend 's feedback she ` could have performed better on q17 ' , needs to ` learn all player positions ' and should understand that ` tottenham are scum ' .</t>
    <phoneticPr fontId="4" type="noConversion"/>
  </si>
  <si>
    <t>12-1</t>
    <phoneticPr fontId="4" type="noConversion"/>
  </si>
  <si>
    <t>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t>
    <phoneticPr fontId="4" type="noConversion"/>
  </si>
  <si>
    <t xml:space="preserve"> 
carlos toro , 66 , worked as a mid-level member of the medellin cartel in the 1980s when a confrontation with his boss caused him to flee from colombia fearing for his life .
carlos toro , seen in 1982 , is facing deportation from the united states after working for the dea for 27 years
carlos lehder rivas of colombia was taken down thanks in part to former medellin cartel member toro</t>
    <phoneticPr fontId="4" type="noConversion"/>
  </si>
  <si>
    <t>carlos toro , 66 , worked as a mid-level member of the medellin cartel in the 1980s when a confrontation with his boss caused him to flee from colombia fearing for his life .</t>
    <phoneticPr fontId="4" type="noConversion"/>
  </si>
  <si>
    <t>being sent back to native country of colombia would be ` death sentence '</t>
    <phoneticPr fontId="4" type="noConversion"/>
  </si>
  <si>
    <t>also provided information on former dictator of panama manuel noriega</t>
    <phoneticPr fontId="4" type="noConversion"/>
  </si>
  <si>
    <t>he is hoping for visa or green card but ca n't yet collect social security</t>
    <phoneticPr fontId="4" type="noConversion"/>
  </si>
  <si>
    <t>13-1</t>
    <phoneticPr fontId="4" type="noConversion"/>
  </si>
  <si>
    <t>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t>
    <phoneticPr fontId="4" type="noConversion"/>
  </si>
  <si>
    <t xml:space="preserve">
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t>
    <phoneticPr fontId="4" type="noConversion"/>
  </si>
  <si>
    <t>muliaina was held in cells overnight and questioned by officers in cardiff</t>
    <phoneticPr fontId="4" type="noConversion"/>
  </si>
  <si>
    <t>14-1</t>
    <phoneticPr fontId="4" type="noConversion"/>
  </si>
  <si>
    <t>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t>
    <phoneticPr fontId="4" type="noConversion"/>
  </si>
  <si>
    <t>the us body that regulates internet addresses is looking to crack down on a canadian company using the new ' .
kevin spacey has reportedly paid have his his ' .
kevin spacey is reportedly among celebrities paying out to have their name removed from one of the ' .</t>
    <phoneticPr fontId="4" type="noConversion"/>
  </si>
  <si>
    <t xml:space="preserve"> .</t>
    <phoneticPr fontId="4" type="noConversion"/>
  </si>
  <si>
    <t>kevin spacey has reportedly paid have his his ' .</t>
    <phoneticPr fontId="4" type="noConversion"/>
  </si>
  <si>
    <t>youtube , bing , visa , bank of america and yahoo among others targeted</t>
    <phoneticPr fontId="4" type="noConversion"/>
  </si>
  <si>
    <t>owners recommended to resell ' . sucks ' domains for around $ 2,499 a year</t>
    <phoneticPr fontId="4" type="noConversion"/>
  </si>
  <si>
    <t>15-1</t>
    <phoneticPr fontId="4" type="noConversion"/>
  </si>
  <si>
    <t>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t>
    <phoneticPr fontId="4" type="noConversion"/>
  </si>
  <si>
    <t>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t>
    <phoneticPr fontId="4" type="noConversion"/>
  </si>
  <si>
    <t>her brother apparently saw her covered in flames and threw water on her</t>
    <phoneticPr fontId="4" type="noConversion"/>
  </si>
  <si>
    <t>16-1</t>
    <phoneticPr fontId="4" type="noConversion"/>
  </si>
  <si>
    <t>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t>
    <phoneticPr fontId="4" type="noConversion"/>
  </si>
  <si>
    <t>police exhumed the boy 's body from his grave in norfolk last year after the case came up for periodical review .
the woman , who has not been named , was arrested on suspicion of infanticide but the charge was dropped after she explained how the baby had been stillborn and that she had concealed the pregnancy from her family and friends .
he has now been reburied at weasenham st peter church , norfolk</t>
    <phoneticPr fontId="4" type="noConversion"/>
  </si>
  <si>
    <t>he has now been reburied at weasenham st peter church , norfolkv</t>
    <phoneticPr fontId="4" type="noConversion"/>
  </si>
  <si>
    <t>cps may now charge her with failing to register the birth and preventing a lawful burial</t>
    <phoneticPr fontId="4" type="noConversion"/>
  </si>
  <si>
    <t>17-1</t>
    <phoneticPr fontId="4" type="noConversion"/>
  </si>
  <si>
    <t>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t>
    <phoneticPr fontId="4" type="noConversion"/>
  </si>
  <si>
    <t>manchester united manager louis van gaal says he has been dreaming of beating rivals city in sunday 's derby at old trafford but will have to do so without robin van persie .
robin van persie will not return to the fray for manchester united against manchester city on sunday
louis van gaal explained at his press conference on friday that van persie is not yet fit enough to play</t>
    <phoneticPr fontId="4" type="noConversion"/>
  </si>
  <si>
    <t>18-1</t>
    <phoneticPr fontId="4" type="noConversion"/>
  </si>
  <si>
    <t>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t>
    <phoneticPr fontId="4" type="noConversion"/>
  </si>
  <si>
    <t>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mr hicks ' family , from bath , took driver mr young to the high court ( pictured ) , where a judge ruled he had unlawfully imprisoned his passenger</t>
    <phoneticPr fontId="4" type="noConversion"/>
  </si>
  <si>
    <t>mr hicks jumped out , sustaining head injuries , and now needs 24-hour care</t>
    <phoneticPr fontId="4" type="noConversion"/>
  </si>
  <si>
    <t>20-1</t>
    <phoneticPr fontId="4" type="noConversion"/>
  </si>
  <si>
    <t>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t>
    <phoneticPr fontId="4" type="noConversion"/>
  </si>
  <si>
    <t>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the cheapest tickets for the lunchtime kick-off were £ 64 , some of the highest prices in the premier league</t>
    <phoneticPr fontId="4" type="noConversion"/>
  </si>
  <si>
    <t>the cheapest tickets for the lunchtime kick-off were £ 64 , some of the highest prices in the premier league</t>
    <phoneticPr fontId="4" type="noConversion"/>
  </si>
  <si>
    <t>more protests are expected after the lunchtime kick-off at the emirates</t>
    <phoneticPr fontId="4" type="noConversion"/>
  </si>
  <si>
    <t>21-1</t>
    <phoneticPr fontId="4" type="noConversion"/>
  </si>
  <si>
    <t>(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t>
    <phoneticPr fontId="4" type="noConversion"/>
  </si>
  <si>
    <t>spotters reported a tornado about 6 miles northwest of goddard , which is less than 15 miles west of wichita .
three of the sightings were near aetna , 125 miles southwest of wichita .
the national weather service indicated a tornado may have touched down in the small town of potosi , missouri , about 70 miles from st. louis .</t>
    <phoneticPr fontId="4" type="noConversion"/>
  </si>
  <si>
    <t>thursday 's forecast calls for more storms but to the east</t>
    <phoneticPr fontId="4" type="noConversion"/>
  </si>
  <si>
    <t>22-1</t>
    <phoneticPr fontId="4" type="noConversion"/>
  </si>
  <si>
    <t>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t>
    <phoneticPr fontId="4" type="noConversion"/>
  </si>
  <si>
    <t>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t>
    <phoneticPr fontId="4" type="noConversion"/>
  </si>
  <si>
    <t>（left）</t>
    <phoneticPr fontId="4" type="noConversion"/>
  </si>
  <si>
    <r>
      <rPr>
        <sz val="11"/>
        <color rgb="FF000000"/>
        <rFont val="宋体"/>
        <family val="2"/>
        <charset val="134"/>
      </rPr>
      <t>（</t>
    </r>
    <r>
      <rPr>
        <sz val="11"/>
        <color indexed="8"/>
        <rFont val="Arial"/>
        <family val="2"/>
      </rPr>
      <t>right</t>
    </r>
    <r>
      <rPr>
        <sz val="11"/>
        <color rgb="FF000000"/>
        <rFont val="宋体"/>
        <family val="2"/>
        <charset val="134"/>
      </rPr>
      <t>）</t>
    </r>
    <phoneticPr fontId="4" type="noConversion"/>
  </si>
  <si>
    <t>neither of her parents were suitable candidates for partial liver transplant</t>
    <phoneticPr fontId="4" type="noConversion"/>
  </si>
  <si>
    <t>star underwent operation in leeds in november and has since recovered</t>
    <phoneticPr fontId="4" type="noConversion"/>
  </si>
  <si>
    <t>23-1</t>
    <phoneticPr fontId="4" type="noConversion"/>
  </si>
  <si>
    <t>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t>
    <phoneticPr fontId="4" type="noConversion"/>
  </si>
  <si>
    <t>luke rockhold is ready to be the bull to lyoto machida 's matador when the middleweights collide in new jersey on saturday .
the californian is bidding for his fourth consecutive victory since losing to vitor belfort two years ago and has a title shot in his sights .
lyoto machida ( left ) and luke rockhold face off ahead of their middleweight clash this weekend</t>
    <phoneticPr fontId="4" type="noConversion"/>
  </si>
  <si>
    <t>24-1</t>
    <phoneticPr fontId="4" type="noConversion"/>
  </si>
  <si>
    <t>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t>
    <phoneticPr fontId="4" type="noConversion"/>
  </si>
  <si>
    <t>taking part in audi 's football challenge , hazard and nathan ake paired up to take on loic remy and willian in a head-to-head challenge for the car manufacturers .
one of the challenges the chelsea players were set was to sink balls into convertible audi 's from long range
17-goal man eden hazard and youngster nathan ake took on blues ' team-mates loic remy and willian</t>
    <phoneticPr fontId="4" type="noConversion"/>
  </si>
  <si>
    <t>one of the challenges the chelsea players were set was to sink balls into convertible audi 's from long range</t>
    <phoneticPr fontId="4" type="noConversion"/>
  </si>
  <si>
    <t>17-goal man eden hazard and youngster nathan ake took on blues ' team-mates loic remy and willian</t>
    <phoneticPr fontId="4" type="noConversion"/>
  </si>
  <si>
    <t>24-1</t>
  </si>
  <si>
    <t>willian accidentally smashes the wing mirror of one of the audi 's</t>
    <phoneticPr fontId="4" type="noConversion"/>
  </si>
  <si>
    <t>25-1</t>
    <phoneticPr fontId="4" type="noConversion"/>
  </si>
  <si>
    <t>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t>
    <phoneticPr fontId="4" type="noConversion"/>
  </si>
  <si>
    <t>captured in fort pierce , florida , the shocking footage shows the light general aviation aircraft approaching the aero acres residential airpark .
the light general aviation aircraft approaches the aero acres residential airpark and touches down without its landing gear deployed
the plane 's propellers can be heard ricocheting off the ground as the wings bounce up and down from the impact</t>
    <phoneticPr fontId="4" type="noConversion"/>
  </si>
  <si>
    <t>aircraft takes off and flies 100 miles away to fort lauderdale , florida</t>
  </si>
  <si>
    <t>26-1</t>
    <phoneticPr fontId="4" type="noConversion"/>
  </si>
  <si>
    <t>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t>
    <phoneticPr fontId="4" type="noConversion"/>
  </si>
  <si>
    <t>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tragic : john timmons , 29 , and amanda murphy , 24 , were killed instantly in the crash on december 7 , 2013</t>
    <phoneticPr fontId="4" type="noConversion"/>
  </si>
  <si>
    <t>dellinger pleaded guilty in february to negligent homicide for their deaths , and to assault for the death of the fetus</t>
    <phoneticPr fontId="4" type="noConversion"/>
  </si>
  <si>
    <t>he faces 12 to 24 years in prison when sentencing resumes Thursday</t>
    <phoneticPr fontId="4" type="noConversion"/>
  </si>
  <si>
    <t>26-1</t>
  </si>
  <si>
    <t>deborah dellinger , defendant 's wife , described her husband from the witness stand as a ` man of ethics , integrity and friendship '</t>
    <phoneticPr fontId="4" type="noConversion"/>
  </si>
  <si>
    <t>tragic : john timmons , 29 , and amanda murphy , 24 , were killed instantly in the crash on december 7 , 2013</t>
    <phoneticPr fontId="4" type="noConversion"/>
  </si>
  <si>
    <t>27-1</t>
    <phoneticPr fontId="4" type="noConversion"/>
  </si>
  <si>
    <t>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t>
    <phoneticPr fontId="4" type="noConversion"/>
  </si>
  <si>
    <t>manuel pellegrini has admitted he is disappointed in yaya toure but vowed to back the manchester city midfielder -- at least until the end of the season .
manuel pellegrini has admitted he has been disappointed by the ivory coast midfielder 's level
city boss pellegrini has vowed to support toure until at least the end of the season</t>
    <phoneticPr fontId="4" type="noConversion"/>
  </si>
  <si>
    <t>manuel pellegrini has admitted he has been disappointed by the ivory coast midfielder 's level</t>
    <phoneticPr fontId="4" type="noConversion"/>
  </si>
  <si>
    <t>city boss pellegrini has vowed to support toure until at least the end of the season</t>
  </si>
  <si>
    <t>27-1</t>
  </si>
  <si>
    <t>sportsmail revealed manchester city would listen to offers for yaya toure</t>
  </si>
  <si>
    <t>manchester city face west ham at upton park on sunday</t>
  </si>
  <si>
    <t>sam allardyce has warned aaron cresswell about joining manchester city</t>
  </si>
  <si>
    <t>28-1</t>
    <phoneticPr fontId="4" type="noConversion"/>
  </si>
  <si>
    <t>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t>
    <phoneticPr fontId="4" type="noConversion"/>
  </si>
  <si>
    <t>lacey spears of scottsville , kentucky , who was spared the maximum 25 years to life , appeared emotionless as the verdict was read in the death of her son garnett-paul spears .
lacey spears of scottsville , kentucky , was found guilty last month of second-degree murder in the death of her son at a suburban new york hospital ( pictured wednesday )
the new york judge who sentenced spears on wednesday said she suffers from a mental illness and said the crime was still ` unfathomable in its cruelty . '</t>
    <phoneticPr fontId="4" type="noConversion"/>
  </si>
  <si>
    <t>she showed no emotion when she was sentenced to 20 years in prison</t>
    <phoneticPr fontId="4" type="noConversion"/>
  </si>
  <si>
    <t>the boy 's father chris hill wrote on his facebook account of spears : ` crazy a ** woman needs to be beat to death in prison '</t>
  </si>
  <si>
    <t>29-1</t>
    <phoneticPr fontId="4" type="noConversion"/>
  </si>
  <si>
    <t>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t>
    <phoneticPr fontId="4" type="noConversion"/>
  </si>
  <si>
    <t>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sentence dropped : domenico rancadore ( right and left ) fled to britain in the 1990s and was convicted in his absence in italy for his role as a ` man of honour '</t>
    <phoneticPr fontId="4" type="noConversion"/>
  </si>
  <si>
    <t>today it emerged that the 65-year-old 's case expired in october last year</t>
  </si>
  <si>
    <t>sentence</t>
    <phoneticPr fontId="4" type="noConversion"/>
  </si>
  <si>
    <t>droped</t>
    <phoneticPr fontId="4" type="noConversion"/>
  </si>
  <si>
    <t>30-1</t>
    <phoneticPr fontId="4" type="noConversion"/>
  </si>
  <si>
    <t>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t>
    <phoneticPr fontId="4" type="noConversion"/>
  </si>
  <si>
    <t>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experts say the modified version of the vaccination is worth waiting for .</t>
    <phoneticPr fontId="4" type="noConversion"/>
  </si>
  <si>
    <t>the decision to include both was triggered by a spike in flu-related deaths in the northern hemisphere as the vaccine was not a good match to fight against the two types of flu .</t>
    <phoneticPr fontId="4" type="noConversion"/>
  </si>
  <si>
    <t>experts say the modified version of the vaccination is worth waiting for .</t>
    <phoneticPr fontId="4" type="noConversion"/>
  </si>
  <si>
    <t>30-1</t>
  </si>
  <si>
    <t>flu strains h3n2 and b/phuket triggered spike in deaths in u.s. and europe</t>
  </si>
  <si>
    <t>high-risk groups in australia will be able to get free flu shots from april 20</t>
  </si>
  <si>
    <t>31-1</t>
    <phoneticPr fontId="4" type="noConversion"/>
  </si>
  <si>
    <t>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t>
    <phoneticPr fontId="4" type="noConversion"/>
  </si>
  <si>
    <t>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t>
    <phoneticPr fontId="4" type="noConversion"/>
  </si>
  <si>
    <t>ap mccoy and mr mole will have six rivals in the grade one celebration chase at sandown on saturday</t>
  </si>
  <si>
    <t>there are three 7-2 co-favourites for the grade one celebration chase</t>
    <phoneticPr fontId="4" type="noConversion"/>
  </si>
  <si>
    <t>32-1</t>
    <phoneticPr fontId="4" type="noConversion"/>
  </si>
  <si>
    <t>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t>
    <phoneticPr fontId="4" type="noConversion"/>
  </si>
  <si>
    <t>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killing : president lincoln was assassinated by john wilkes booth at a performance of the play ` our american cousin ' in april 1865</t>
    <phoneticPr fontId="4" type="noConversion"/>
  </si>
  <si>
    <t>killing : president lincoln was assassinated by john wilkes booth at a performance of the play ` our american cousin ' in april 1865</t>
  </si>
  <si>
    <t>the site was pilloried in this month 's issue of national geographic magazine as having ` all the historical character of an office lobby '</t>
    <phoneticPr fontId="4" type="noConversion"/>
  </si>
  <si>
    <t>32-1</t>
  </si>
  <si>
    <t>rauner would roll the agency into another department</t>
  </si>
  <si>
    <t>lincoln 's tomb was designed by vermont sculptor larkin mead , who won a national contest</t>
    <phoneticPr fontId="4" type="noConversion"/>
  </si>
  <si>
    <t>it was dedicated by president ulysses s. grant in 1874</t>
  </si>
  <si>
    <t>the tomb was reconstructed in both 1899 and 1930</t>
  </si>
  <si>
    <t>33-1</t>
    <phoneticPr fontId="4" type="noConversion"/>
  </si>
  <si>
    <t>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t>
    <phoneticPr fontId="4" type="noConversion"/>
  </si>
  <si>
    <t>virginia trimble ritter 's daughter , marcia , was raped and choked to death by jerome sydney barrett in 1975 .
marcia 's body was found 33 days after she disappeared and ritter 's then-husband advised her against seeing the body and the crime scene photos .
virginia trimble ritter 's daughter , marcia , was raped and choked to death by jerome sydney barrett in 1975</t>
    <phoneticPr fontId="4" type="noConversion"/>
  </si>
  <si>
    <t>marcia 's body was found 33 days after she disappeared and ritter 's then-husband advised her against seeing the body and the crime scene photos .</t>
  </si>
  <si>
    <t>virginia trimble ritter 's daughter , marcia , was raped and choked to death by jerome sydney barrett in 1975</t>
  </si>
  <si>
    <t>33-1</t>
  </si>
  <si>
    <t>the case was nashville 's most notorious unsolved murder for 33 years</t>
  </si>
  <si>
    <t>ritter , who did not see her daughter 's body at the time , recently asked to see the photos investigators took at the scene</t>
  </si>
  <si>
    <t>after seeing the photos , ritter said she shouted , ` if i had a gun i 'd kill him ! '</t>
  </si>
  <si>
    <t>34-1</t>
    <phoneticPr fontId="4" type="noConversion"/>
  </si>
  <si>
    <t>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t>
    <phoneticPr fontId="4" type="noConversion"/>
  </si>
  <si>
    <t>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femail rounds up the worst offenders ...</t>
    <phoneticPr fontId="4" type="noConversion"/>
  </si>
  <si>
    <t>femail rounds up the worst offenders ...</t>
  </si>
  <si>
    <t>chokers , berry-coloured lips , round sunglasses and calvin klein logo t-shirts are all the rage with a new generation of fashion fans .</t>
  </si>
  <si>
    <t>34-1</t>
  </si>
  <si>
    <t>other 90s/00s trends here to stay include uggs , velour and corsets</t>
  </si>
  <si>
    <t>35-1</t>
    <phoneticPr fontId="4" type="noConversion"/>
  </si>
  <si>
    <t>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t>
    <phoneticPr fontId="4" type="noConversion"/>
  </si>
  <si>
    <t>rory mcilroy believes it is ` unthinkable ' that he will not win the masters at some point to complete the career grand slam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t>
    <phoneticPr fontId="4" type="noConversion"/>
  </si>
  <si>
    <t>final-round collapse at augusta national in 2011 was the most important day of career , mcilroy reveals</t>
  </si>
  <si>
    <t>rory mcilroy believes it is ` unthinkable ' that he will not win the masters at some point to complete the career grand slam .</t>
  </si>
  <si>
    <t>the northern irishman finished joint eighth last year</t>
  </si>
  <si>
    <t>37-1</t>
    <phoneticPr fontId="4" type="noConversion"/>
  </si>
  <si>
    <t>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t>
    <phoneticPr fontId="4" type="noConversion"/>
  </si>
  <si>
    <t>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jurgen klopp confirmed in a press conference he is to leave borussia dortmund this summer</t>
    <phoneticPr fontId="4" type="noConversion"/>
  </si>
  <si>
    <t>klopp was immediately installed as the bookmakers ' favourite to replace manuel pellegrini at manchester city , although it is understood that the struggling premier league champions have no plans to make such a move .</t>
  </si>
  <si>
    <t>jurgen klopp will leave borussia dortmund after seven years in charge</t>
  </si>
  <si>
    <t>he has denied that he wants to take a break because of exhaustion</t>
  </si>
  <si>
    <t>klopp has won two bundesliga titles and the german cup at dortmund</t>
  </si>
  <si>
    <t>he has admitted that he is no longer the perfect manager for the club</t>
  </si>
  <si>
    <t>36-1</t>
    <phoneticPr fontId="4" type="noConversion"/>
  </si>
  <si>
    <t>(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t>
    <phoneticPr fontId="4" type="noConversion"/>
  </si>
  <si>
    <t>amanda curtis , ceo of a fashion company , snapped the lucky shot .
families will have to find a new way to cheer up mourners , because the strippers are the latest focus of the country 's crackdown on vice .
johnny depp is nearly unrecognizable in the ` black mass ' trailer</t>
    <phoneticPr fontId="4" type="noConversion"/>
  </si>
  <si>
    <t>amanda curtis , ceo of a fashion company , snapped the lucky shot .</t>
  </si>
  <si>
    <t>families will have to find a new way to cheer up mourners , because the strippers are the latest focus of the country 's crackdown on vice .</t>
  </si>
  <si>
    <t>36-1</t>
  </si>
  <si>
    <t>johnny depp is nearly unrecognizable in the ` black mass ' trailer</t>
  </si>
  <si>
    <t>what do funeral strippers , a quadruple rainbow and kylie jenner have in common ? they all trended this week !</t>
  </si>
  <si>
    <t>38-1</t>
    <phoneticPr fontId="4" type="noConversion"/>
  </si>
  <si>
    <t>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t>
    <phoneticPr fontId="4" type="noConversion"/>
  </si>
  <si>
    <t>the day following andy murray 's 500th win another huge cake was wheeled out to mark williams reaching the semi-final with a 7-6 , 1-6 , 6-3 progression over germany 's sabine lisicki .
williams beat sabine lisicki in three sets on wednesday to progress to the semi-finals of the miami open
williams will face romania 's simona halep for a place in the final after the third-seed beat sloane stephens 6-1 , 7-5 .</t>
  </si>
  <si>
    <t>williams will face romania 's simona halep for a place in the final after the third-seed beat sloane stephens 6-1 , 7-5 .</t>
  </si>
  <si>
    <t>andy murray was similarly given reward after 500th career win</t>
  </si>
  <si>
    <t>39-1</t>
    <phoneticPr fontId="4" type="noConversion"/>
  </si>
  <si>
    <t>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t>
    <phoneticPr fontId="4" type="noConversion"/>
  </si>
  <si>
    <t>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t>
    <phoneticPr fontId="4" type="noConversion"/>
  </si>
  <si>
    <t>warning : new figures show that 272 youngsters left disabled by foetal alcohol syndrome were hospitalised in england over the past 12 months , according to the official health and social care information centre</t>
    <phoneticPr fontId="4" type="noConversion"/>
  </si>
  <si>
    <t>at least one in 100 babies , 7,500 every year , could suffer problems</t>
    <phoneticPr fontId="4" type="noConversion"/>
  </si>
  <si>
    <t>40-1</t>
    <phoneticPr fontId="4" type="noConversion"/>
  </si>
  <si>
    <t>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t>
    <phoneticPr fontId="4" type="noConversion"/>
  </si>
  <si>
    <t>two gunman shot her dead at point-blank range late friday after she locked up the second floor cafe in karachi for the night , police said .
mahmud died from five bullet wounds .
she is in a hospital but is expected to be released on time for her daughter 's funeral .</t>
    <phoneticPr fontId="4" type="noConversion"/>
  </si>
  <si>
    <t>two gunman shot her dead at point-blank range late friday after she locked up the second floor cafe in karachi for the night , police said .</t>
  </si>
  <si>
    <t>mahmud died from five bullet wounds .</t>
  </si>
  <si>
    <t>40-1</t>
  </si>
  <si>
    <t>she is in a hospital but is expected to be released on time for her daughter 's funeral .</t>
  </si>
  <si>
    <t>she hosted a controversial discussion on the disappearance of people</t>
  </si>
  <si>
    <t>she knew what she was doing was dangerous and had received death threats before</t>
  </si>
  <si>
    <t>mahmud loved books , jimi hendrix and discussions about human rights</t>
  </si>
  <si>
    <t>41-1</t>
    <phoneticPr fontId="4" type="noConversion"/>
  </si>
  <si>
    <t>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t>
    <phoneticPr fontId="4" type="noConversion"/>
  </si>
  <si>
    <t>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he previously pleaded guilty at durham crown court to attempted robbery and court officials confirmed he had been jailed for six years after the hearing today .</t>
    <phoneticPr fontId="4" type="noConversion"/>
  </si>
  <si>
    <t>an axe-wielding robber has been jailed for attempting to rob a corner shop</t>
  </si>
  <si>
    <t>shaun andrew mckerry , 31 , had been arrested 80 times by the age of 15</t>
  </si>
  <si>
    <t>he previously pleaded guilty at durham crown court to attempted robbery and court officials confirmed he had been jailed for six years after the hearing today .</t>
  </si>
  <si>
    <t>42-1</t>
    <phoneticPr fontId="4" type="noConversion"/>
  </si>
  <si>
    <t>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t>
    <phoneticPr fontId="4" type="noConversion"/>
  </si>
  <si>
    <t>it is almost 70 years since he fled the violence that followed the partition of india , and he is still regarded as a second class citizen in indian kashmir -- unable to own property or vote in state elections .
mangu ram was 14 when he fled to kashmir as a refugee - now an old man , for the past 70 years he has been denied citizenship rights
its rulers have refused to give the west pakistan refugees ( wprs ) the right to own property or vote in state elections - meaning three generations are caught in abject poverty</t>
    <phoneticPr fontId="4" type="noConversion"/>
  </si>
  <si>
    <t>it is almost 70 years since he fled the violence that followed the partition of india , and he is still regarded as a second class citizen in indian kashmir -- unable to own property or vote in state elections .</t>
  </si>
  <si>
    <t>mangu ram was 14 when he fled to kashmir as a refugee - now an old man , for the past 70 years he has been denied citizenship rights</t>
  </si>
  <si>
    <t>42-1</t>
  </si>
  <si>
    <t>hopes that election of hindu nationalist party as a coalition partner could herald historic change for the community</t>
    <phoneticPr fontId="4" type="noConversion"/>
  </si>
  <si>
    <t>43-1</t>
    <phoneticPr fontId="4" type="noConversion"/>
  </si>
  <si>
    <t>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t>
    <phoneticPr fontId="4" type="noConversion"/>
  </si>
  <si>
    <t>the four men appeared in turn in a courtroom in dartmouth , near halifax , where they were given identical but unusual bail conditions that could see them having to live on a canadian naval base for the next few years .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t>
    <phoneticPr fontId="4" type="noConversion"/>
  </si>
  <si>
    <t>two of the accused , simon radford , 31 , of gosport , hampshire and craig stoner , 24 , from stonehouse , gloucestershire hid their faces as they were led to a provincial court in dartmouth , nova scotia</t>
  </si>
  <si>
    <t>darren smalley , 35 , of gosport , hampshire , and his co-accused were ordered to surrender their passports as part of their bail conditions</t>
  </si>
  <si>
    <t>43-1</t>
  </si>
  <si>
    <t>they are charged with raping a 21-year-old woman at military base party</t>
  </si>
  <si>
    <t>men were in canada playing a hockey tournament with canadian forces</t>
  </si>
  <si>
    <t>44-1</t>
    <phoneticPr fontId="4" type="noConversion"/>
  </si>
  <si>
    <t>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t>
    <phoneticPr fontId="4" type="noConversion"/>
  </si>
  <si>
    <t>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muto says he is still considering a move to chelsea as he wants to join a club where he will ` play and develop '</t>
    <phoneticPr fontId="4" type="noConversion"/>
  </si>
  <si>
    <t>fc tokyo forward yoshinori muto has admitted that he is still considering whether to join premier league leaders chelsea this summer .</t>
    <phoneticPr fontId="4" type="noConversion"/>
  </si>
  <si>
    <t>muto 's former manager , ranko popovic , says his potential is ` amazing '</t>
  </si>
  <si>
    <t>44-1</t>
  </si>
  <si>
    <t>jose mourinho has admitted that he is aware of the japan international</t>
  </si>
  <si>
    <t>45-1</t>
    <phoneticPr fontId="4" type="noConversion"/>
  </si>
  <si>
    <t>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t>
    <phoneticPr fontId="4" type="noConversion"/>
  </si>
  <si>
    <t>four-year-old rj jackson is one of just 70 people in the world who suffers netherton 's syndrome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t>
    <phoneticPr fontId="4" type="noConversion"/>
  </si>
  <si>
    <t>says rj faces cruel taunts from bullies - most of whom are ignorant adults</t>
    <phoneticPr fontId="4" type="noConversion"/>
  </si>
  <si>
    <t>46-1</t>
    <phoneticPr fontId="4" type="noConversion"/>
  </si>
  <si>
    <t>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t>
    <phoneticPr fontId="4" type="noConversion"/>
  </si>
  <si>
    <t>matt giteau 's stellar displays for toulon have put him back on the wallabies radar ahead of the world cup
toulon 's steffon armitage came off the bench against leinster on sunday and turned the game on its head .
england head coach stuart lancaster has remained steadfast in his policy not to select overseas players</t>
    <phoneticPr fontId="4" type="noConversion"/>
  </si>
  <si>
    <t>matt giteau 's stellar displays for toulon have put him back on the wallabies radar ahead of the world cup</t>
  </si>
  <si>
    <t>toulon 's steffon armitage came off the bench against leinster on sunday and turned the game on its head .</t>
  </si>
  <si>
    <t>46-1</t>
  </si>
  <si>
    <t>england head coach stuart lancaster has remained steadfast in his policy not to select overseas players</t>
  </si>
  <si>
    <t>australia have seen sense by revamping their overseas selection policy</t>
  </si>
  <si>
    <t>it leaves england looking old-fashioned and they need to react</t>
  </si>
  <si>
    <t>england need the best squad possible for the forthcoming world cup</t>
  </si>
  <si>
    <t>47-1</t>
    <phoneticPr fontId="4" type="noConversion"/>
  </si>
  <si>
    <t>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t>
    <phoneticPr fontId="4" type="noConversion"/>
  </si>
  <si>
    <t>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weighing in on the debate : susanna reid revealed she found the controversial protein world advert ` anxiety inducing ' on good morning britain on monday</t>
    <phoneticPr fontId="4" type="noConversion"/>
  </si>
  <si>
    <t>the sight of the 24-year-old 's toned figure towering above train platforms has caused a stir among feminists and body image campaigners - a change.org petition calling for the adverts to be pulled has already attracted more than 50,000 signatures .</t>
  </si>
  <si>
    <t>weighing in on the debate : susanna reid revealed she found the controversial protein world advert ` anxiety inducing ' on good morning britain on monday</t>
  </si>
  <si>
    <t>47-1</t>
  </si>
  <si>
    <t>tfl say protein world has come to end of three-week ad placement period</t>
  </si>
  <si>
    <t>a rally has been organised against protein world in hyde park on may 2</t>
  </si>
  <si>
    <t>48-1</t>
    <phoneticPr fontId="4" type="noConversion"/>
  </si>
  <si>
    <t>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t>
    <phoneticPr fontId="4" type="noConversion"/>
  </si>
  <si>
    <t>called greenstone , the egg-shaped gadget acts like a beacon , or booster , to help messages move around these so-called wireless mesh networks more easily .
firechat launched last year and has been downloaded more than five million times .
it takes advantage of a feature that launched in apple 's ios 7 called multipeer connectivity framework ( mcf ) .</t>
    <phoneticPr fontId="4" type="noConversion"/>
  </si>
  <si>
    <t>Fluency</t>
    <phoneticPr fontId="4" type="noConversion"/>
  </si>
  <si>
    <t>firechat launched last year and has been downloaded more than five million times .</t>
  </si>
  <si>
    <t>it currently works with open garden 's firechat ` off-the-grid ' firechat app</t>
  </si>
  <si>
    <t>48-1</t>
  </si>
  <si>
    <t>instead of sending messages using a mobile signal , the free app and gadget create a localised network where each mobile becomes a ` node '</t>
  </si>
  <si>
    <t>49-1</t>
    <phoneticPr fontId="4" type="noConversion"/>
  </si>
  <si>
    <t>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t>
    <phoneticPr fontId="4" type="noConversion"/>
  </si>
  <si>
    <t>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t>
    <phoneticPr fontId="4" type="noConversion"/>
  </si>
  <si>
    <t>sent letter : prime minister david cameron has written to first great western to request it ` urgently reviews ' plans to increase fares on trains running through his witney constituency</t>
    <phoneticPr fontId="4" type="noConversion"/>
  </si>
  <si>
    <t>passengers in his witney constituency could face increases of up to 87 % comes after mr cameron pledged to freeze fares for whole of next term</t>
  </si>
  <si>
    <t>49-1</t>
  </si>
  <si>
    <t>other sharp hikes include virgin 's service between stafford and liverpool</t>
  </si>
  <si>
    <t>50-1</t>
    <phoneticPr fontId="4" type="noConversion"/>
  </si>
  <si>
    <t>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t>
    <phoneticPr fontId="4" type="noConversion"/>
  </si>
  <si>
    <t>during a recent ted talk , lillian bustle , from new jersey , revealed that she also calls herself ` short ' , because she is 5 ' 3 " , and ` wife ' , because she is married , noting that each of these words is just an honest description of what she is .
not-so-tiny dancer : burlesque performer lillian bustle explained in her ted talk that ` fat ' is just another word - and using it does n't have to be an insult
unfortunately , lillian added , her worldview is n't held by everyone , and she pointed to a statistic that shows that size discrimination in the workplace has risen 66 per cent in the past 30 years .</t>
    <phoneticPr fontId="4" type="noConversion"/>
  </si>
  <si>
    <t>during a recent ted talk , lillian bustle , from new jersey , revealed that she also calls herself ` short ' , because she is 5 ' 3 " , and ` wife ' , because she is married , noting that each of these words is just an honest description of what she is .</t>
  </si>
  <si>
    <t>unfortunately , lillian added , her worldview is n't held by everyone , and she pointed to a statistic that shows that size discrimination in the workplace has risen 66 per cent in the past 30 years .</t>
  </si>
  <si>
    <t>50-1</t>
  </si>
  <si>
    <t>she says she likes performing burlesque because it helps open people up to liking different body types</t>
  </si>
  <si>
    <t>the dancer says she 's thrilled at the positive reception her ted talk has received , adding that she believes it means ` body-positivity ' is working</t>
  </si>
  <si>
    <t>51-1</t>
    <phoneticPr fontId="4" type="noConversion"/>
  </si>
  <si>
    <t>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t>
    <phoneticPr fontId="4" type="noConversion"/>
  </si>
  <si>
    <t>former soldier john young , 66 , has been left blinded in one eye after thugs through a brick at him through his front door when he confronted them about throwing stones at his property in oldham
former soldier john young , 66 , and his new wife elaine , 54 , were sat in the front room of their home in oldham , greater manchester , when thugs began pelting his front window with stones .
however , despite undergoing emergency surgery , doctors were unable to save his eyesight meaning he is now blind in one eye .</t>
    <phoneticPr fontId="4" type="noConversion"/>
  </si>
  <si>
    <t>52-1</t>
    <phoneticPr fontId="4" type="noConversion"/>
  </si>
  <si>
    <t>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t>
    <phoneticPr fontId="4" type="noConversion"/>
  </si>
  <si>
    <t>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arsenal 's first team stars will be dressed in similar attire when arsene wenger 's side make their way to wembley stadium for their fa cup final encounter against aston villa on may 30 .</t>
    <phoneticPr fontId="4" type="noConversion"/>
  </si>
  <si>
    <t>walcott and co , along with runway model olga sherer , have posed for an official portrait for paris ' oldest fashion house - lanvin - the club 's official tailor since 2013 .</t>
  </si>
  <si>
    <t>arsenal 's first team stars will be dressed in similar attire when arsene wenger 's side make their way to wembley stadium for their fa cup final encounter against aston villa on may 30 .</t>
  </si>
  <si>
    <t>walcott has been named on the bench for 17 of arsenal 's league games</t>
  </si>
  <si>
    <t>53-1</t>
    <phoneticPr fontId="4" type="noConversion"/>
  </si>
  <si>
    <t>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t>
    <phoneticPr fontId="4" type="noConversion"/>
  </si>
  <si>
    <t>derbyshire wicketkeeper tom poynton has been rewarded for his successful return from injury by signing a new one-year contract extension .
poynton , 25 , missed the entire 2014 campaign due to leg injuries sustained in a road accident in which his father keith died last april .
derbyshire wicketkeeper tom poynton has been rewarded for his successful return from injury</t>
    <phoneticPr fontId="4" type="noConversion"/>
  </si>
  <si>
    <t>derbyshire wicketkeeper tom poynton has been rewarded for his successful return from injury</t>
    <phoneticPr fontId="4" type="noConversion"/>
  </si>
  <si>
    <t>54-1</t>
    <phoneticPr fontId="4" type="noConversion"/>
  </si>
  <si>
    <t>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t>
    <phoneticPr fontId="4" type="noConversion"/>
  </si>
  <si>
    <t>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t>
    <phoneticPr fontId="4" type="noConversion"/>
  </si>
  <si>
    <t>alien edgar bug from men in black has an estimated value of $ 40,000 and could end up selling for much more</t>
  </si>
  <si>
    <t>more than 400 items from rick baker 's cinovation studio will be auctioned</t>
  </si>
  <si>
    <t>54-1</t>
  </si>
  <si>
    <t>artist has worked on hits like men in black , batman forever and gremlins</t>
  </si>
  <si>
    <t>baker worked on michael jackson 's moonwalker film and thriller video</t>
  </si>
  <si>
    <t>56-1</t>
    <phoneticPr fontId="4" type="noConversion"/>
  </si>
  <si>
    <t>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t>
    <phoneticPr fontId="4" type="noConversion"/>
  </si>
  <si>
    <t>harley renshaw was diagnosed with cancer in his kidney , neck , lungs and bones .
harley renshaw has been told he is cancer-free after battling an aggressive form of the disease for a year .
harley was diagnosed with cancer in his kidney , lung , bones and neck after mother stacey took him to a doctor with a stomach pain</t>
    <phoneticPr fontId="4" type="noConversion"/>
  </si>
  <si>
    <t>harley renshaw was diagnosed with cancer in his kidney , neck , lungs and bones .</t>
    <phoneticPr fontId="4" type="noConversion"/>
  </si>
  <si>
    <t>he underwent months of gruelling chemotherapy and radiotherapy</t>
  </si>
  <si>
    <t>56-1</t>
  </si>
  <si>
    <t>made himself a superhero outfit to help him feel brave during treatment</t>
  </si>
  <si>
    <t>57-1</t>
    <phoneticPr fontId="4" type="noConversion"/>
  </si>
  <si>
    <t>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t>
    <phoneticPr fontId="4" type="noConversion"/>
  </si>
  <si>
    <t>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t>
    <phoneticPr fontId="4" type="noConversion"/>
  </si>
  <si>
    <t>left</t>
  </si>
  <si>
    <t>right</t>
    <phoneticPr fontId="4" type="noConversion"/>
  </si>
  <si>
    <t>57-1</t>
  </si>
  <si>
    <t>thought he may have entered woodland as thought it was shortcut to hotel</t>
    <phoneticPr fontId="4" type="noConversion"/>
  </si>
  <si>
    <t>58-1</t>
    <phoneticPr fontId="4" type="noConversion"/>
  </si>
  <si>
    <t>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t>
    <phoneticPr fontId="4" type="noConversion"/>
  </si>
  <si>
    <t>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jack grealish takes on liverpool 's emre can at wembley during aston villa 's 2-1 victory at wembley</t>
    <phoneticPr fontId="4" type="noConversion"/>
  </si>
  <si>
    <t>jack grealish takes on liverpool 's emre can at wembley during aston villa 's 2-1 victory at wembley</t>
  </si>
  <si>
    <t>grealish will make a decision over international future at end of the season</t>
    <phoneticPr fontId="4" type="noConversion"/>
  </si>
  <si>
    <t>59-1</t>
    <phoneticPr fontId="4" type="noConversion"/>
  </si>
  <si>
    <t>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t>
    <phoneticPr fontId="4" type="noConversion"/>
  </si>
  <si>
    <t>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scurr , 15 , has spoken out about the pressures on young girls to be a size zero after , having becoming obsessed with her own weight , she developed anorexia</t>
    <phoneticPr fontId="4" type="noConversion"/>
  </si>
  <si>
    <t>now 15 she has overcome the disorder and is battling back</t>
  </si>
  <si>
    <t>the 15-year-old , from whitley bay , was left on a heart machine after she collapsed through starvation but has now spoken about pressures put on teenagers to be a ` size zero ' .</t>
    <phoneticPr fontId="4" type="noConversion"/>
  </si>
  <si>
    <t>60-1</t>
    <phoneticPr fontId="4" type="noConversion"/>
  </si>
  <si>
    <t>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t>
    <phoneticPr fontId="4" type="noConversion"/>
  </si>
  <si>
    <t>the high landings fees give an insight into some of the most unexpectedly popular transport hubs for the rich and famous , from salzburg , in austria , to darwin , in australia .
travelling by private jet is a growing trend , with 2.5 million private flights recorded in the us in 2013 ( the latest statistics ) and 705,000 in europe .
it a huge industry for the rich and famous , with its market worth $ 16.7 trillion in the us and $ 15.8 trillion in europe .</t>
    <phoneticPr fontId="4" type="noConversion"/>
  </si>
  <si>
    <t>the high landings fees give an insight into some of the most unexpectedly popular transport hubs for the rich and famous , from salzburg , in austria , to darwin , in australia .</t>
  </si>
  <si>
    <t>travelling by private jet is a growing trend , with 2.5 million private flights recorded in the us in 2013 ( the latest statistics ) and 705,000 in europe .</t>
  </si>
  <si>
    <t>60-1</t>
  </si>
  <si>
    <t>it a huge industry for the rich and famous , with its market worth $ 16.7 trillion in the us and $ 15.8 trillion in europe .</t>
  </si>
  <si>
    <t>the richest compiled a list of the top airport landing charges</t>
  </si>
  <si>
    <t>prices are based on landing a private 767-400 jet carrier</t>
  </si>
  <si>
    <t>61-1</t>
    <phoneticPr fontId="4" type="noConversion"/>
  </si>
  <si>
    <t>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t>
    <phoneticPr fontId="4" type="noConversion"/>
  </si>
  <si>
    <t>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t>
    <phoneticPr fontId="4" type="noConversion"/>
  </si>
  <si>
    <t>the message was ` hold nothing back ' as sterling , daniel sturridge , martin skrtel and simon mignolet unveiled the new home strip to fans in the centenary stand on friday afternoon .</t>
  </si>
  <si>
    <t>midfielder has been linked with a move away from liverpool after refusing to sign new # 100,000-a-week contract</t>
  </si>
  <si>
    <t>61-1</t>
  </si>
  <si>
    <t>captain steven gerrard did not model new strip as he prepares to leave for la galaxy in the summer</t>
  </si>
  <si>
    <t>62-1</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</si>
  <si>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1989 by a points landslide , thereby retaining the world super-middleweight title .
but sugar ray took most pride from the trilogy from forcing duran to say no mas .
he said : ` to me , making roberto duran to quit was better than knocking him out . '</t>
    <phoneticPr fontId="4" type="noConversion"/>
  </si>
  <si>
    <t>floyd mayweather v manny pacquiao will be the biggest fight of all time financially and the most significant this century .
sugar ray leonard v roberto duran
sugar ray leonard celebrates after roberto duran quit in their fight in louisiana in november 1980</t>
    <phoneticPr fontId="4" type="noConversion"/>
  </si>
  <si>
    <t>sugar ray leonard celebrates after roberto duran quit in their fight in louisiana in november 1980</t>
  </si>
  <si>
    <t>leonard humiliated his opponent until he said ` no mas ' - no more</t>
  </si>
  <si>
    <t>62-1</t>
  </si>
  <si>
    <t>it took duran three years to reclaim his mantle as a hero in panama</t>
  </si>
  <si>
    <t>63-1</t>
    <phoneticPr fontId="4" type="noConversion"/>
  </si>
  <si>
    <t>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t>
    <phoneticPr fontId="4" type="noConversion"/>
  </si>
  <si>
    <t>university of manchester researchers have revealed an hd dark matter map ( shown ) .
it shows clumps of mystery particles across 0.4 per cent of the sky .
the goal is to eventually map 12.5 per cent over five years .</t>
    <phoneticPr fontId="4" type="noConversion"/>
  </si>
  <si>
    <t xml:space="preserve">( shown ) </t>
  </si>
  <si>
    <t>results could help reveal how galaxies form in the universe</t>
  </si>
  <si>
    <t>64-1</t>
    <phoneticPr fontId="4" type="noConversion"/>
  </si>
  <si>
    <t>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t>
    <phoneticPr fontId="4" type="noConversion"/>
  </si>
  <si>
    <t>katie gallegos from clackamas county , oregon , decided to take the pooch to a mcdonald 's drive-thru for an ice cream with his pal daisy .
to date the video of cooper 's ice cream outing has been watched more than seven million times .
fan club : to date the video of cooper 's ice cream outing has been watched more than seven million times</t>
    <phoneticPr fontId="4" type="noConversion"/>
  </si>
  <si>
    <t>to date the video of cooper 's ice cream outing has been watched more than seven million times .</t>
  </si>
  <si>
    <t>fan club : to date the video of cooper 's ice cream outing has been watched more than seven million times</t>
  </si>
  <si>
    <t>64-1</t>
  </si>
  <si>
    <t>but while the small female pup takes a few ladylike licks , cooper gobbles the rest of the cone up in one bite</t>
  </si>
  <si>
    <t>gallegos says ice cream is a weekly treat for her pets</t>
  </si>
  <si>
    <t>65-1</t>
    <phoneticPr fontId="4" type="noConversion"/>
  </si>
  <si>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13th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phoneticPr fontId="4" type="noConversion"/>
  </si>
  <si>
    <t>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bertrand traore is one of three players currently on loan at vitesse arnhem from chelsea this season</t>
    <phoneticPr fontId="4" type="noConversion"/>
  </si>
  <si>
    <t>mouscron , in belgium 's pro league , had a partnership with lille but the french side are now poised to link up with another belgian club , ostend , leaving room for a new deal and chelsea are the preferred option .</t>
  </si>
  <si>
    <t>bertrand traore is one of three players currently on loan at vitesse arnhem from chelsea this season</t>
  </si>
  <si>
    <t>65-1</t>
  </si>
  <si>
    <t>chelsea are in early discussions over a possible partnership in belgium</t>
  </si>
  <si>
    <t>chelsea already have an agreement with vitesse arnheim in holland</t>
  </si>
  <si>
    <t>66-1</t>
    <phoneticPr fontId="4" type="noConversion"/>
  </si>
  <si>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$ 4.6 billion</t>
    <phoneticPr fontId="4" type="noConversion"/>
  </si>
  <si>
    <t>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starbucks says a sales register computer glitch has disrupted sales at company-operated stores in the us and canada</t>
    <phoneticPr fontId="4" type="noConversion"/>
  </si>
  <si>
    <t>starbucks says a sales register computer glitch has disrupted sales at company-operated stores in the us and canada</t>
  </si>
  <si>
    <t>company said in statement glitch was caused by a failure during a daily system refresh</t>
  </si>
  <si>
    <t>66-1</t>
  </si>
  <si>
    <t>glitch also affected starbucks ' evolution fresh and teavana stores</t>
  </si>
  <si>
    <t>many starbucks locations closed their doors so as not to give away free drinks</t>
  </si>
  <si>
    <t>67-1</t>
    <phoneticPr fontId="4" type="noConversion"/>
  </si>
  <si>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2001 .
pacquiao is promoted by bob arum 's top rank company .
actor mark wahlberg is a big fan of pacquiao .</t>
    <phoneticPr fontId="4" type="noConversion"/>
  </si>
  <si>
    <t>floyd mayweather and manny pacquiao are less than two weeks away from playing their part in the richest fight in boxing history .
since leaving top rank in 2006 , mayweather has looked after his own interests and negotiated a 60-40 split in his favour for his fight against pacquiao .
it is predicted he will retire with as much as $ 100m ( £ 67m ) in the bank .</t>
    <phoneticPr fontId="4" type="noConversion"/>
  </si>
  <si>
    <t>it is predicted he will retire with as much as $ 100m ( £ 67m ) in the bank .</t>
  </si>
  <si>
    <t>69-1</t>
    <phoneticPr fontId="4" type="noConversion"/>
  </si>
  <si>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25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phoneticPr fontId="4" type="noConversion"/>
  </si>
  <si>
    <t>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incidents of islamic extremist activity in wales can be traced back to 1998 , when it is claimed hate preacher abu hamza sent a group of 10 extremists to train in the brecon beacons , in powys .</t>
    <phoneticPr fontId="4" type="noConversion"/>
  </si>
  <si>
    <t>incidents of islamic extremist activity in wales can be traced back to 1998 , when it is claimed hate preacher abu hamza sent a group of 10 extremists to train in the brecon beacons , in powys .</t>
  </si>
  <si>
    <t>70-1</t>
    <phoneticPr fontId="4" type="noConversion"/>
  </si>
  <si>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phoneticPr fontId="4" type="noConversion"/>
  </si>
  <si>
    <t>the eredivisie champions have confirmed that the red devils have made a move over the holland international - with united manager louis van gaal keen to make him one of his first signings this summer .
manchester united have made an official approach for memphis depay ( right ) , says psv 's technical director
united boss louis van gaal ( right ) is keen to make the winger of his first signings this summer</t>
    <phoneticPr fontId="4" type="noConversion"/>
  </si>
  <si>
    <t>the eredivisie champions have confirmed that the red devils have made a move over the holland international - with united manager louis van gaal keen to make him one of his first signings this summer .</t>
  </si>
  <si>
    <t>( right )</t>
  </si>
  <si>
    <t>70-1</t>
  </si>
  <si>
    <t>united boss louis van gaal ( right ) is keen to make the winger of his first signings this summer</t>
  </si>
  <si>
    <t xml:space="preserve"> right </t>
  </si>
  <si>
    <t>memphis depay has scored 20 goals in 26 league games for psv this term</t>
  </si>
  <si>
    <t>psv beat heerenveen to lift their first eredivisie title in seven years</t>
  </si>
  <si>
    <t>paris-saint germain are also interested in the highly-rated 21-year-old</t>
  </si>
  <si>
    <t>71-1</t>
    <phoneticPr fontId="4" type="noConversion"/>
  </si>
  <si>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53 vertebrae</t>
    <phoneticPr fontId="4" type="noConversion"/>
  </si>
  <si>
    <t>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t>
    <phoneticPr fontId="4" type="noConversion"/>
  </si>
  <si>
    <t>72-1</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</si>
  <si>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6 ) : on for abraham and showed explosive pace straight away but was let down by a hurried attempt at a finish which flew over the bar .
isaiah brown holds off a tackle from fikayo tomori , during another impressive display for the young forward</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</si>
  <si>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manchester city midfielder kean bryan tracks the run of dominic solanke as city looked to stem the tide</t>
    <phoneticPr fontId="4" type="noConversion"/>
  </si>
  <si>
    <t>chelsea took a commanding 3-1 lead back to west london after a strong showing in manchester to see off city 's young side .</t>
  </si>
  <si>
    <t>manchester city midfielder kean bryan tracks the run of dominic solanke as city looked to stem the tide</t>
  </si>
  <si>
    <t>72-1</t>
  </si>
  <si>
    <t>manchester city struggle without injured star thierry ambrose</t>
  </si>
  <si>
    <t>73-1</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</si>
  <si>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1993 .
correction : an earlier version of this article incorrectly stated that canadians elected their first female prime minister , kim campbell .</t>
    <phoneticPr fontId="4" type="noConversion"/>
  </si>
  <si>
    <t>according to one female businesswoman in texas , hillary clinton should n't be president because her hormones might make her so irrational she 'll start an unnecessary war .
time magazine declared hillary clinton the " perfect " age to be president , because she 's a postmenopausal woman who is " biologically primed " to lead .
unfortunately , cheryl rios ' view of women is not unique .</t>
    <phoneticPr fontId="4" type="noConversion"/>
  </si>
  <si>
    <t>time magazine declared hillary clinton the " perfect " age to be president , because she 's a postmenopausal woman who is " biologically primed " to lead .</t>
  </si>
  <si>
    <t>unfortunately , cheryl rios ' view of women is not unique .</t>
  </si>
  <si>
    <t>73-1</t>
  </si>
  <si>
    <t>what 's scary is that the bias against women in the workplace is still going strong in 2015</t>
  </si>
  <si>
    <t>74-1</t>
    <phoneticPr fontId="4" type="noConversion"/>
  </si>
  <si>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$ 40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phoneticPr fontId="4" type="noConversion"/>
  </si>
  <si>
    <t>marco rubio has claimed people are ` born with a sexual preference ' while insisting state legislators should decide whether or not to allow gay marriage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t>
    <phoneticPr fontId="4" type="noConversion"/>
  </si>
  <si>
    <t>the florida senator told bob schieffer that he was n't against gay marriage , but believes the ` definition of the institution of marriage should be between one man and one woman ' .</t>
  </si>
  <si>
    <t>marco rubio told face the nation he believes people are born with a sexual preference , but insisted same-sex marriage should not be a constitutional right</t>
  </si>
  <si>
    <t>74-1</t>
  </si>
  <si>
    <t>said he does n't agree with gay marriage , but would attend a same-sex union if it was somebody he ` cared ' for</t>
  </si>
  <si>
    <t>75-1</t>
    <phoneticPr fontId="4" type="noConversion"/>
  </si>
  <si>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1990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phoneticPr fontId="4" type="noConversion"/>
  </si>
  <si>
    <t>veteran actor robert hardy is selling his enormous collection of antiques in a £ 100,000 auction after deciding to downsize his home .
mr hardy , 89 , is a keen military historian who studied english with j.r.r. tolkien and is now an expert on the medieval longbow .
sale : actor robert hardy is selling off his collection of antiques including a diorama of the battle of agincourt</t>
    <phoneticPr fontId="4" type="noConversion"/>
  </si>
  <si>
    <t>76-1</t>
    <phoneticPr fontId="4" type="noConversion"/>
  </si>
  <si>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200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phoneticPr fontId="4" type="noConversion"/>
  </si>
  <si>
    <t>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pablo , 27 , and ilze , 31 , stop for a picture in bosnia , one of the 16 countries they 've been through since leaving london last year</t>
    <phoneticPr fontId="4" type="noConversion"/>
  </si>
  <si>
    <t>spanish pablo , 27 , and latvian ilze , 31 , who met in riga in 2011 , are off to a flying start as they approach their first year of their open-ended odyssey on the road .</t>
  </si>
  <si>
    <t>pablo , 27 , and ilze , 31 , stop for a picture in bosnia , one of the 16 countries they 've been through since leaving london last year</t>
  </si>
  <si>
    <t>76-1</t>
  </si>
  <si>
    <t>they camp or stay with couchsurfing and warmshowers hosts and spent an average $ 2.99 per day</t>
  </si>
  <si>
    <t>they saved up for their travels , which they share on their website , while working in english restaurants</t>
  </si>
  <si>
    <t>77-1</t>
    <phoneticPr fontId="4" type="noConversion"/>
  </si>
  <si>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407-656-3636 .</t>
    <phoneticPr fontId="4" type="noConversion"/>
  </si>
  <si>
    <t>michael scott shemansky is on the run after authorities named him as a suspect in the murder of his mother
police say michael scott shemansky came to their attention after he failed to appear for a supervised visit with his son on the same day mother sandra shemansky , 57 , was found dead at the home they shared in winter garden .
he is already on parole for battery on law enforcement , has a history of bipolar mental illness , and was involuntarily committed to a psychiatric ward for an attempted suicide .</t>
    <phoneticPr fontId="4" type="noConversion"/>
  </si>
  <si>
    <t>78-1</t>
    <phoneticPr fontId="4" type="noConversion"/>
  </si>
  <si>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100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t>
    <phoneticPr fontId="4" type="noConversion"/>
  </si>
  <si>
    <t>the couple , who does not wish to be identified , hired attorney cathy hale to sue james evans the owner of premiere photos for allegedly providing a photo booth that printed , ` poor n ***** party ' on the bottom of the pictures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t>
    <phoneticPr fontId="4" type="noConversion"/>
  </si>
  <si>
    <t>racial slur : this racial slur was allegedly printed by premiere photos at the bottom of some of the photographs at their wedding event in 2012</t>
  </si>
  <si>
    <t>the couple rented a photo booth for the wedding and the bride 's sister noticed the racial slur but chose not to tell the couple on their special day</t>
  </si>
  <si>
    <t>79-1</t>
    <phoneticPr fontId="4" type="noConversion"/>
  </si>
  <si>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2013 iaaf world athletics championships in moscow</t>
    <phoneticPr fontId="4" type="noConversion"/>
  </si>
  <si>
    <t>the city of eugene in the united states has been awarded the rights to host the 2021 iaaf world championships .
eugene in the united states has been awarded the rights to host the 2021 iaaf world championships
mo farah won gold in the men 's 10000 metres during the 2013 iaaf world athletics championships in moscow</t>
    <phoneticPr fontId="4" type="noConversion"/>
  </si>
  <si>
    <t>eugene in the united states has been awarded the rights to host the 2021 iaaf world championships</t>
  </si>
  <si>
    <t>mo farah won gold in the men 's 10000 metres during the 2013 iaaf world athletics championships in moscow</t>
  </si>
  <si>
    <t>79-1</t>
  </si>
  <si>
    <t>the sport 's governing body iaaf bypassed the normal bidding process</t>
  </si>
  <si>
    <t>eugene missed out on bid to host 2019 event which was awarded to doha</t>
  </si>
  <si>
    <t>80-1</t>
    <phoneticPr fontId="4" type="noConversion"/>
  </si>
  <si>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2015 campaign that champions people at the heart and soul of the game by putting grassroots clubs on the global stage .</t>
    <phoneticPr fontId="4" type="noConversion"/>
  </si>
  <si>
    <t>the england full-back remains unsure when he will return after pulling out of harlequins ' aviva premiership clash with saracens at wembley last weekend .
england full back mike brown admits he is unsure when he will return to action for club side harlequins
george north will not play against clermont auvergne on saturday and will see a neurosurgeon</t>
    <phoneticPr fontId="4" type="noConversion"/>
  </si>
  <si>
    <t>england full back mike brown admits he is unsure when he will return to action for club side harlequins</t>
  </si>
  <si>
    <t>george north will not play against clermont auvergne on saturday and will see a neurosurgeon</t>
  </si>
  <si>
    <t>80-1</t>
  </si>
  <si>
    <t>brown is still wary after suffering concussion while on england duty</t>
  </si>
  <si>
    <t>81-1</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</si>
  <si>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£ 50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phoneticPr fontId="4" type="noConversion"/>
  </si>
  <si>
    <t>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t>
    <phoneticPr fontId="4" type="noConversion"/>
  </si>
  <si>
    <t>the care assistant , from gillingham , kent , used her good looks to befriend the poker player , who showered her with gifts , cash and trips to fancy restaurants .</t>
  </si>
  <si>
    <t>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17 years at the old bailey after being found guilty of manslaughter over the death of professional gambler mehmet hassan ( right ) who she lured at a casino</t>
  </si>
  <si>
    <t xml:space="preserve"> ( left ) </t>
  </si>
  <si>
    <t>81-1</t>
  </si>
  <si>
    <t>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18 years at the old bailey after being found guilty of manslaughter over the death of professional gambler mehmet hassan ( right ) who she lured at a casino</t>
  </si>
  <si>
    <t>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19 years at the old bailey after being found guilty of manslaughter over the death of professional gambler mehmet hassan ( right ) who she lured at a casino</t>
  </si>
  <si>
    <r>
      <t>went to his flat and let in boyfriend kyrron jackson and nicholas chandler</t>
    </r>
    <r>
      <rPr>
        <sz val="11"/>
        <color rgb="FF000000"/>
        <rFont val="微软雅黑"/>
        <family val="2"/>
        <charset val="134"/>
      </rPr>
      <t>，</t>
    </r>
    <r>
      <rPr>
        <sz val="11"/>
        <color indexed="8"/>
        <rFont val="Arial"/>
        <family val="2"/>
      </rPr>
      <t>they kicked mr hassan to death and stole some of his gambling winnings</t>
    </r>
    <phoneticPr fontId="4" type="noConversion"/>
  </si>
  <si>
    <t>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20 years at the old bailey after being found guilty of manslaughter over the death of professional gambler mehmet hassan ( right ) who she lured at a casino</t>
  </si>
  <si>
    <t>and two men found guilty of murder</t>
  </si>
  <si>
    <t>82-1</t>
    <phoneticPr fontId="4" type="noConversion"/>
  </si>
  <si>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4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phoneticPr fontId="4" type="noConversion"/>
  </si>
  <si>
    <t>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t>
    <phoneticPr fontId="4" type="noConversion"/>
  </si>
  <si>
    <t>( file picture )</t>
  </si>
  <si>
    <t>83-1</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</si>
  <si>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3-2 win over hull city , but that was his first in five games
mourinho is looking to guide his team over the line in the premier league title race , with fabregas a key cog</t>
    <phoneticPr fontId="4" type="noConversion"/>
  </si>
  <si>
    <t>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jose mourinho will be demanding more from his deep-lying playmaker in the premier league run-in</t>
    <phoneticPr fontId="4" type="noConversion"/>
  </si>
  <si>
    <t>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2-1 in holland
jose mourinho will be demanding more from his deep-lying playmaker in the premier league run-in</t>
  </si>
  <si>
    <t>on tuesday - his first international appearance since october - he was given just four out of 10 by one spanish newspaper and while his season is likely to end in success with the premier league title following a capital one cup win , questions remain about fabregas ' durability .</t>
  </si>
  <si>
    <t>83-1</t>
  </si>
  <si>
    <t>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2-2 in holland
jose mourinho will be demanding more from his deep-lying playmaker in the premier league run-in</t>
  </si>
  <si>
    <t>jose mourinho will be demanding more from his deep-lying playmaker in the premier league run-in</t>
  </si>
  <si>
    <t>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2-3 in holland
jose mourinho will be demanding more from his deep-lying playmaker in the premier league run-in</t>
  </si>
  <si>
    <t>cesc fabregas ' poor form continued for spain against holland on tuesday</t>
  </si>
  <si>
    <t>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2-4 in holland
jose mourinho will be demanding more from his deep-lying playmaker in the premier league run-in</t>
  </si>
  <si>
    <t>thierry henry 's mark of 20 in 2002-03 is four more than fabregas ' total</t>
  </si>
  <si>
    <t>84-1</t>
    <phoneticPr fontId="4" type="noConversion"/>
  </si>
  <si>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£ 600,000 .
the dogs are seen with a model</t>
    <phoneticPr fontId="4" type="noConversion"/>
  </si>
  <si>
    <t>big beauty : tibetan mastiffs can weigh 80 kg
but tibetan mastiffs are now so unpopular in china they are being sent to slaughterhouses -- and their meat put into cheap hotpots .
the dogs ' dramatic decline in fortune is being partly blamed on the chinese government 's wide-reaching anti-corruption crackdown .</t>
    <phoneticPr fontId="4" type="noConversion"/>
  </si>
  <si>
    <t>big beauty : tibetan mastiffs can weigh 80 kg</t>
  </si>
  <si>
    <t>tibetan mastiffs had been status symbols for china 's wealthiest</t>
  </si>
  <si>
    <t>84-1</t>
  </si>
  <si>
    <t>they were given as gifts to grateful officials by businessmen</t>
  </si>
  <si>
    <t>85-1</t>
    <phoneticPr fontId="4" type="noConversion"/>
  </si>
  <si>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2016-17 season .</t>
    <phoneticPr fontId="4" type="noConversion"/>
  </si>
  <si>
    <t>the skilful 17-year-old forward from montego bay united was invited to train with west ham 's academy earlier this month and has impressed coaches after spending two weeks with the club .
premier league outfit west ham are closing in on the signature of jamaican starlet deshane beckford
meanwhile , west ham have revealed season tickets at the olympic stadium will cost as little as £ 289 .</t>
    <phoneticPr fontId="4" type="noConversion"/>
  </si>
  <si>
    <t>the skilful 17-year-old forward from montego bay united was invited to train with west ham 's academy earlier this month and has impressed coaches after spending two weeks with the club .</t>
  </si>
  <si>
    <t>jamaican starlet beckford has been linked with a host of european clubs</t>
  </si>
  <si>
    <t>87-1</t>
    <phoneticPr fontId="4" type="noConversion"/>
  </si>
  <si>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t>
    <phoneticPr fontId="4" type="noConversion"/>
  </si>
  <si>
    <t>half of them were assaulted before they were 18 years old .
the poll led to calls for a campaign to stem sexist or threatening behaviour on buses and trains .
every woman surveyed in paris claimed to have been a victim of some kind of sexual harassment on the city 's public transport</t>
    <phoneticPr fontId="4" type="noConversion"/>
  </si>
  <si>
    <t>88-1</t>
    <phoneticPr fontId="4" type="noConversion"/>
  </si>
  <si>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53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phoneticPr fontId="4" type="noConversion"/>
  </si>
  <si>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attack : mike lane ,40 , who is joint master of the tedworth hunt , on the ground during the confrontation with hunt saboteurs</t>
    <phoneticPr fontId="4" type="noConversion"/>
  </si>
  <si>
    <t>attack : mike lane ,40 , who is joint master of the tedworth hunt , on the ground during the confrontation with hunt saboteurs</t>
  </si>
  <si>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attack : mike lane ,41 , who is joint master of the tedworth hunt , on the ground during the confrontation with hunt saboteurs</t>
  </si>
  <si>
    <t>attack happened as 30 riders and hounds were chasing artificial scent</t>
  </si>
  <si>
    <t>88-1</t>
  </si>
  <si>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attack : mike lane ,42 , who is joint master of the tedworth hunt , on the ground during the confrontation with hunt saboteurs</t>
    <phoneticPr fontId="4" type="noConversion"/>
  </si>
  <si>
    <t>wiltshire police handed video footage and some names of saboteurs</t>
  </si>
  <si>
    <t>89-1</t>
    <phoneticPr fontId="4" type="noConversion"/>
  </si>
  <si>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23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phoneticPr fontId="4" type="noConversion"/>
  </si>
  <si>
    <t>leeds-based direct line is running a competition called #everydayfix .
they asked groups to design products to deal with common problems .
the products were designed as part of the direct line everyday fix design makeathon .</t>
    <phoneticPr fontId="4" type="noConversion"/>
  </si>
  <si>
    <t>the products were designed as part of the direct line everyday fix design makeathon .</t>
  </si>
  <si>
    <t>these include forgetting to lock the door and running out of battery</t>
  </si>
  <si>
    <t>89-1</t>
  </si>
  <si>
    <t>you can vote for your favourite design and the winner will be crowdfunded</t>
  </si>
  <si>
    <t>90-1</t>
    <phoneticPr fontId="4" type="noConversion"/>
  </si>
  <si>
    <t>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39-year-old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t>
    <phoneticPr fontId="4" type="noConversion"/>
  </si>
  <si>
    <t>kilmarnock interim manager gary locke has been given the role on a permanent basis after signing a three-year deal .
the 39-year-old - who will speak at a press conference on friday morning - has lost just once in seven games since taking over at rugby park .
gary locke has been given the job at kilmarnock on a permanent basis after a successful interim spell</t>
    <phoneticPr fontId="4" type="noConversion"/>
  </si>
  <si>
    <t>gary locke has been given the job at kilmarnock on a permanent basis after a successful interim spell</t>
  </si>
  <si>
    <t>the 37-year-old took over when allan johnston quit</t>
  </si>
  <si>
    <t>93-1</t>
    <phoneticPr fontId="4" type="noConversion"/>
  </si>
  <si>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2010 , said she was stepping down to spend more time with her family .
ms baird praised her ` passion and enthusiasm ' , adding : ` sue and i have worked well together over the two-and-a-half years since i became police and crime commissioner . '</t>
    <phoneticPr fontId="4" type="noConversion"/>
  </si>
  <si>
    <t>vera baird donated £ 500,000 to victims first northumbria , a charity which supports crime victims in her area and of which she is a director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t>
    <phoneticPr fontId="4" type="noConversion"/>
  </si>
  <si>
    <t>chief constable sue sim is also on the organisation 's board of directors</t>
  </si>
  <si>
    <t>94-1</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</si>
  <si>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2011 letter from gadahn making recommendations for al qaeda 's media strategy .
gadahn was married to a muslim woman from afghanistan and reportedly had at least one child .
cnn 's steve almasy contributed to this report .</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</si>
  <si>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warren weinstein , a u.s. citizen who was abducted by al qaeda in pakistan in 2011 , died along with another hostage , italian giovanni lo porto , in the attack that killed farouq , according to the white house .</t>
    <phoneticPr fontId="4" type="noConversion"/>
  </si>
  <si>
    <t>( cnn ) he was known as the american mouthpiece of al qaeda , speaking against his native country on behalf of a terrorist organization that 's devoted blood and resources to attacking it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</si>
  <si>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warren weinstein , a u.s. citizen who was abducted by al qaeda in pakistan in 2012 , died along with another hostage , italian giovanni lo porto , in the attack that killed farouq , according to the white house .</t>
  </si>
  <si>
    <t>the white house announced thursday that adam gadahn , 36 , was killed in january in a u.s. government counterterrorism operation .</t>
  </si>
  <si>
    <t>94-1</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</si>
  <si>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warren weinstein , a u.s. citizen who was abducted by al qaeda in pakistan in 2013 , died along with another hostage , italian giovanni lo porto , in the attack that killed farouq , according to the white house .</t>
  </si>
  <si>
    <t>warren weinstein , a u.s. citizen who was abducted by al qaeda in pakistan in 2011 , died along with another hostage , italian giovanni lo porto , in the attack that killed farouq , according to the white house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</si>
  <si>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warren weinstein , a u.s. citizen who was abducted by al qaeda in pakistan in 2014 , died along with another hostage , italian giovanni lo porto , in the attack that killed farouq , according to the white house .</t>
  </si>
  <si>
    <t>in his final known video , adam gadahn called for governments of pakistan and saudi arabia to be overthrown</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</si>
  <si>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warren weinstein , a u.s. citizen who was abducted by al qaeda in pakistan in 2015 , died along with another hostage , italian giovanni lo porto , in the attack that killed farouq , according to the white house .</t>
  </si>
  <si>
    <t>he was raised in california and said he was of jewish ancestry</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</si>
  <si>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warren weinstein , a u.s. citizen who was abducted by al qaeda in pakistan in 2016 , died along with another hostage , italian giovanni lo porto , in the attack that killed farouq , according to the white house .</t>
  </si>
  <si>
    <t>he converted to islam in 1995 , left u.s. in 1998 and joined al qaeda , becoming a spokesman</t>
  </si>
  <si>
    <t>cnn</t>
    <phoneticPr fontId="4" type="noConversion"/>
  </si>
  <si>
    <t>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t>
    <phoneticPr fontId="4" type="noConversion"/>
  </si>
  <si>
    <t>reds captain gerrard is set to feature for liverpool in the fa cup semi-final against aston villa at wembley on sunday , looking to lead his hometown side into the final against arsenal .
martin skrtel ( left ) says departing liverpool captain steven gerrard is still one of the best players in the world
gerrard is aiming to end his liverpool career by making the fa cup final and beating arsenal</t>
    <phoneticPr fontId="4" type="noConversion"/>
  </si>
  <si>
    <t>skrtel believes the club do have players that could eventually replace him</t>
    <phoneticPr fontId="4" type="noConversion"/>
  </si>
  <si>
    <t>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t>
    <phoneticPr fontId="4" type="noConversion"/>
  </si>
  <si>
    <t>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t>
    <phoneticPr fontId="4" type="noConversion"/>
  </si>
  <si>
    <t>jessica kemp from eustis says teachers at seminole county elementary threaten to remove kindergartner logan from class because the oils smelled and were a distraction to youngsters around him</t>
    <phoneticPr fontId="4" type="noConversion"/>
  </si>
  <si>
    <t>jessica kemp , 32 , has slammed seminole county elementary in eustis</t>
  </si>
  <si>
    <t>school district have said they will not suspend him as it 's a ` health issue '</t>
  </si>
  <si>
    <t>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t>
    <phoneticPr fontId="4" type="noConversion"/>
  </si>
  <si>
    <t>the study also reveals that three-quarters of women never wash their own car with drivers more likely to take it to a car wash on a local forecourt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t>
    <phoneticPr fontId="4" type="noConversion"/>
  </si>
  <si>
    <t>the study also reveals that three-quarters of women never wash their own car with drivers more likely to take it to a car wash on a local forecourt .</t>
    <phoneticPr fontId="4" type="noConversion"/>
  </si>
  <si>
    <t>meanwhile only five per cent of those surveyed said that had ever asked their children to wash the car , as a way for them to earn extra pocket money .</t>
    <phoneticPr fontId="4" type="noConversion"/>
  </si>
  <si>
    <t>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t>
    <phoneticPr fontId="4" type="noConversion"/>
  </si>
  <si>
    <t>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t>
    <phoneticPr fontId="4" type="noConversion"/>
  </si>
  <si>
    <t>ravaged : ninety condos on the beach in westhampton were obliterated by flames on wednesday afternoon</t>
  </si>
  <si>
    <t>twelve fire teams were deployed to fight the blaze but could only battle it from the outside , it lasted past 8 pm</t>
  </si>
  <si>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t>
    <phoneticPr fontId="4" type="noConversion"/>
  </si>
  <si>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mark cantor of jazz-on-film.com and some volunteers put together a video of " soundies " -- early music videos -- and showed them to barker at the nursing home where she lives .</t>
    <phoneticPr fontId="4" type="noConversion"/>
  </si>
  <si>
    <t>mark cantor of jazz-on-film.com and some volunteers put together a video of " soundies " -- early music videos -- and showed them to barker at the nursing home where she lives .</t>
    <phoneticPr fontId="4" type="noConversion"/>
  </si>
  <si>
    <t>( cnn )</t>
  </si>
  <si>
    <t>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t>
    <phoneticPr fontId="4" type="noConversion"/>
  </si>
  <si>
    <t>the monarch , 88 , was spotted trotting through windsor great park aboard her faithful black fell pony , carltonlima emma .
her majesty is famous for her love of horses and first found herself in the saddle at the age of four after being presented with a shetland pony , named peggy , aged four .
first love : the queen 's first pony was a tiny shetland named peggy who was given to her at the age of four</t>
    <phoneticPr fontId="4" type="noConversion"/>
  </si>
  <si>
    <t>her majesty is famous for her love of horses and first found herself in the saddle at the age of four after being presented with a shetland pony , named peggy , aged four .</t>
    <phoneticPr fontId="4" type="noConversion"/>
  </si>
  <si>
    <t>first love : the queen 's first pony was a tiny shetland named peggy who was given to her at the age of four</t>
    <phoneticPr fontId="4" type="noConversion"/>
  </si>
  <si>
    <t>left hard hats at home and opted for one of her favourite scarves instead</t>
    <phoneticPr fontId="4" type="noConversion"/>
  </si>
  <si>
    <t>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t>
    <phoneticPr fontId="4" type="noConversion"/>
  </si>
  <si>
    <t>the two men allegedly ignited an aerosol spray with a lighter causing a large flame to make contact with a quokka on rottnest island off perth in western australia on april 3 .
two french male tourists allegedly ignited an aerosol spray with a lighter causing a large flame to make contact with a quokka on rottnest island off perth in western australia on april 3
they have each been charged with animal cruelty and will appear in fremantle magistrates court on april 17 .</t>
    <phoneticPr fontId="4" type="noConversion"/>
  </si>
  <si>
    <t>two french male tourists allegedly ignited an aerosol spray with a lighter causing a large flame to make contact with a quokka on rottnest island off perth in western australia on april 3</t>
    <phoneticPr fontId="4" type="noConversion"/>
  </si>
  <si>
    <t>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t>
    <phoneticPr fontId="4" type="noConversion"/>
  </si>
  <si>
    <t>leon yeaman , 55 , was allegedly killed by a single punch in the head from 28-year-old shift worker phillip pama , 28 , during a row in front of their north brisbane homes .
phillip pama covered his face as he left brisbane magistrate courts where he was granted conditional bail on friday
the father of three allegedly killed his 55-year-old neighbour with one punch after he refused to turn his music down</t>
    <phoneticPr fontId="4" type="noConversion"/>
  </si>
  <si>
    <t>phillip pama covered his face as he left brisbane magistrate courts where he was granted conditional bail on Friday</t>
    <phoneticPr fontId="4" type="noConversion"/>
  </si>
  <si>
    <t>the father of three allegedly killed his 55-year-old neighbour with one punch after he refused to turn his music down</t>
  </si>
  <si>
    <t>two men got in an argument about noise levels on thursday night</t>
  </si>
  <si>
    <t>pama was granted conditional bail and is set to return to court may 18</t>
  </si>
  <si>
    <t>(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t>
    <phoneticPr fontId="4" type="noConversion"/>
  </si>
  <si>
    <t>(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t>
    <phoneticPr fontId="4" type="noConversion"/>
  </si>
  <si>
    <t>bradley cooper was nominated for an oscar for his portrayal of chris kyle , a navy seal and the most lethal sniper in u.s. military history .</t>
  </si>
  <si>
    <t>some complained about the film 's depiction of the iraq war</t>
  </si>
  <si>
    <t>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t>
    <phoneticPr fontId="4" type="noConversion"/>
  </si>
  <si>
    <t>jilted music teacher yulia simonova , 52 , wanted to hire a hitman to torture and murder 15-year-old damian vanya after he ended their relationship
yulia simonova faces 15 years behind bars after she asked a friend to find someone willing to torture and kill damian vanya in exchange for 100,000 rubles ( £ 1,400 ) , after he dumped her for a classmate .
the russian music teacher now faces 15 years in prison after being charged with attempted murder</t>
    <phoneticPr fontId="4" type="noConversion"/>
  </si>
  <si>
    <t>yulia simonova faces 15 years behind bars after she asked a friend to find someone willing to torture and kill damian vanya in exchange for 100,000 rubles ( £ 1,400 ) , after he dumped her for a classmate .</t>
  </si>
  <si>
    <t>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t>
    <phoneticPr fontId="4" type="noConversion"/>
  </si>
  <si>
    <t>louise redknapp says that a wide-leg trouser can come as a welcome relief from the skinny jean
louise and emma say to avoid being drowned by too much fabric try a high heeled shoe
poppy delevingne channeled the trend at the aw15 chloe show in paris</t>
    <phoneticPr fontId="4" type="noConversion"/>
  </si>
  <si>
    <t>poppy delevingne channeled the trend at the aw15 chloe show in paris</t>
  </si>
  <si>
    <t>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t>
    <phoneticPr fontId="4" type="noConversion"/>
  </si>
  <si>
    <t>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t>
    <phoneticPr fontId="4" type="noConversion"/>
  </si>
  <si>
    <t>mourinho with his wife matilde faria at the 2014 victoria 's secret fashion show in london</t>
  </si>
  <si>
    <t>he also claims that he is essentially a ` very good person ' despite his antics</t>
  </si>
  <si>
    <t>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t>
    <phoneticPr fontId="4" type="noConversion"/>
  </si>
  <si>
    <t>the highly-anticipated movie premiered at westfield london shopping centre on tuesday evening with fans queuing up to see the a-list cast which includes robert downey jr. , chris hemsworth and scarlett johansson .
the london wasps captain ( middle ) returned to the club where he started his career for the 2012 season
the flanker returned to wasps for the 2012 season after spells with stade francais , ricoh black rams and highlanders in new zealand .</t>
    <phoneticPr fontId="4" type="noConversion"/>
  </si>
  <si>
    <t>james haskell dresses in iron man costume and posts it on instagram</t>
  </si>
  <si>
    <t>( middle )</t>
    <phoneticPr fontId="4" type="noConversion"/>
  </si>
  <si>
    <t>the flanker returned to wasps for the 2012 season after spells with stade francais , ricoh black rams and highlanders in new zealand .</t>
    <phoneticPr fontId="4" type="noConversion"/>
  </si>
  <si>
    <t>with fans queuing up to see the a-list cast which includes robert downey jr. , chris hemsworth and scarlett johansson .</t>
  </si>
  <si>
    <t>(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t>
    <phoneticPr fontId="4" type="noConversion"/>
  </si>
  <si>
    <t>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t>
    <phoneticPr fontId="4" type="noConversion"/>
  </si>
  <si>
    <t>looking spry at 91 , barker handled the first price-guessing game of the show , the classic " lucky seven , " before turning hosting duties over to carey , who finished up .</t>
  </si>
  <si>
    <t>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t>
    <phoneticPr fontId="4" type="noConversion"/>
  </si>
  <si>
    <t>there was no special treatment for lewis ferguson at paul nicholls 's yard on thursday morning .
amateur jockey lee lewis ferguson has just a cut on his nose to show for his ordeal
teenager ferguson was flung from his horse in spectacular fashion at wincanton</t>
    <phoneticPr fontId="4" type="noConversion"/>
  </si>
  <si>
    <t>there was no special treatment for lewis ferguson at paul nicholls 's yard on thursday morning .</t>
  </si>
  <si>
    <t>lewis ferguson was mucking out the stables as usual on thursday</t>
  </si>
  <si>
    <t>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t>
    <phoneticPr fontId="4" type="noConversion"/>
  </si>
  <si>
    <t>agent arthur baldwin was taken into custody at 12:30 am on friday on a residential street in south-eastern d.c. by the metropolitan police .
he has been hit with a felony charge of attempted burglary and another of destruction of property .
the agency revoked baldwin 's security clearance and put him on leave in light of the arrest .</t>
    <phoneticPr fontId="4" type="noConversion"/>
  </si>
  <si>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t>
    <phoneticPr fontId="4" type="noConversion"/>
  </si>
  <si>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pablo osvaldo thinks that his former team-mates andrea pirlo and francesco totti should move to boca</t>
    <phoneticPr fontId="4" type="noConversion"/>
  </si>
  <si>
    <t>pablo osvaldo thinks that his former team-mates andrea pirlo and francesco totti should move to boca</t>
    <phoneticPr fontId="4" type="noConversion"/>
  </si>
  <si>
    <t>osvaldo believes the boca fans ` would go crazy ' for the italian duo</t>
  </si>
  <si>
    <t>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t>
    <phoneticPr fontId="4" type="noConversion"/>
  </si>
  <si>
    <t>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t>
    <phoneticPr fontId="4" type="noConversion"/>
  </si>
  <si>
    <t>fearless atif saeed , 38 , from lahore , pakistan was in the city 's safari park when he spotted the male lion in the distance .</t>
    <phoneticPr fontId="4" type="noConversion"/>
  </si>
  <si>
    <t>as soon as the camera captured the image , mr saeed had to flee for his life</t>
  </si>
  <si>
    <t>the lion charged at the intrepid photographer as he closed the car 's door</t>
  </si>
  <si>
    <t>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t>
    <phoneticPr fontId="4" type="noConversion"/>
  </si>
  <si>
    <t>dani alves looks set to leave barcelona this summer after his representative confirmed the brazilian right-back had rejected the club 's final contract offer .
alves has enjoyed seven successful years at barcelona , winning four spanish titles and the champions league twice .
alves has been unable to agree a new deal with the catalan club and will leave the nou camp this summer</t>
    <phoneticPr fontId="4" type="noConversion"/>
  </si>
  <si>
    <t>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t>
    <phoneticPr fontId="4" type="noConversion"/>
  </si>
  <si>
    <t>the unnamed woman , believed to be between 25 and 45 years old , was discovered lying unconscious march 22 in the area near shore parkway and 26th avenue in the gravesend section of brooklyn .
distinctive : nypd has released images of a heart tattoo with the name ` monique ' found on an unnamed woman who died in brooklyn last month .
investigators believe the faded body art was the name ` monique ' etched across a tattooed ribbon within a heart topped with a rose .</t>
    <phoneticPr fontId="4" type="noConversion"/>
  </si>
  <si>
    <t>investigators believe the faded body art was the name ` monique ' etched across a tattooed ribbon within a heart topped with a rose .</t>
  </si>
  <si>
    <t xml:space="preserve">distinctive : </t>
  </si>
  <si>
    <t>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t>
    <phoneticPr fontId="4" type="noConversion"/>
  </si>
  <si>
    <t>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t>
    <phoneticPr fontId="4" type="noConversion"/>
  </si>
  <si>
    <t>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t>
    <phoneticPr fontId="4" type="noConversion"/>
  </si>
  <si>
    <t>hannah and alex purchased a 1986 hino flatbed and undertook their year and a half labor of love .
the result was a solar-powered two-bedroom , wood and steel home that now allows them to live almost self-sufficiently in nelson , new zealand .
ingenuity : the couple started with a steel frame and slowly , project by project , built a home in about a year and a half</t>
    <phoneticPr fontId="4" type="noConversion"/>
  </si>
  <si>
    <t>ingenuity : the couple started with a steel frame and slowly , project by project , built a home in about a year and a half</t>
  </si>
  <si>
    <t>hannah and alex needed a place to live after they moved back to new zealand from the uk in 2009</t>
  </si>
  <si>
    <t>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t>
    <phoneticPr fontId="4" type="noConversion"/>
  </si>
  <si>
    <t>according to the yougov survey for the sunday times , 12 per cent of people questioned thought that the child should be named after william 's mother - diana the princess of wales .
brits are hoping for a baby princess this time and favour the name diana
diana is the favourite name for the second royal baby , name after williams mother - the late princess of wales</t>
    <phoneticPr fontId="4" type="noConversion"/>
  </si>
  <si>
    <t>according to the yougov survey for the sunday times , 12 per cent of people questioned thought that the child should be named after william 's mother - diana the princess of wales .</t>
  </si>
  <si>
    <t>brits are hoping for a baby princess this time and favour the name diana</t>
  </si>
  <si>
    <t>alice and charlotte were the second favourite names if it 's a girl</t>
  </si>
  <si>
    <t>if it 's a boy , then the favourite name is james , followed by alexander</t>
  </si>
  <si>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t>
    <phoneticPr fontId="4" type="noConversion"/>
  </si>
  <si>
    <t>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shared ipad students scored around 30 points higher than students who used the device on their own and non-ipad users .</t>
    <phoneticPr fontId="4" type="noConversion"/>
  </si>
  <si>
    <t>the findings come after the general secretary of the national association of head teachers said he was dubious about using technology as a teaching aid in non-it classes .</t>
  </si>
  <si>
    <t>however , research into the effects of the devices on literacy levels suggests the best outcome comes from youngsters sharing devices .</t>
  </si>
  <si>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phoneticPr fontId="4" type="noConversion"/>
  </si>
  <si>
    <t>a model who appeared in the video for ricky martin 's hit song la vida loco has told followers she did not try to take her own life and was instead treated in hospital after she collapsed due to ` low blood pressure ' .
nina moric , pictured , took to instagram to deny claims that she tried to take her own life over the weekend
the croatian-born model , pictured , claimed she collapsed at home due to ` low blood pressure '</t>
    <phoneticPr fontId="4" type="noConversion"/>
  </si>
  <si>
    <t>nina moric , pictured , took to instagram to deny claims that she tried to take her own life over the weekend</t>
  </si>
  <si>
    <t>the croatian-born model , pictured , claimed she collapsed at home due to ` low blood pressure '</t>
  </si>
  <si>
    <t>italian media claimed the croatian-born model tried to take her own life</t>
  </si>
  <si>
    <t>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t>
    <phoneticPr fontId="4" type="noConversion"/>
  </si>
  <si>
    <t>the piglet was born with its back legs missing . 
 the clip featured on the people 's daily online shows the young animal . 
 the piglet have all been born with all four legs .</t>
    <phoneticPr fontId="4" type="noConversion"/>
  </si>
  <si>
    <t xml:space="preserve"> the clip featured on the people 's daily online shows the young animal . </t>
  </si>
  <si>
    <t xml:space="preserve"> the piglet have all been born with all four legs .</t>
  </si>
  <si>
    <t xml:space="preserve">piglet was born in china with only two front legs has learned to walk . </t>
  </si>
  <si>
    <t xml:space="preserve"> villagers have flocked to see the two-legged animal in qionglai city . </t>
  </si>
  <si>
    <t xml:space="preserve"> a video released online and has captured the hearts of thousands .</t>
  </si>
  <si>
    <t>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t>
    <phoneticPr fontId="4" type="noConversion"/>
  </si>
  <si>
    <t>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meteorologists say early indicators show an east coast low -- the same weather system that lashed the state 's east coast for three days last week -- could hit again bringing heavy rain from thursday through to saturday</t>
    <phoneticPr fontId="4" type="noConversion"/>
  </si>
  <si>
    <t>the state emergency service was deluged with calls for assistance last week and has more than 4,000 jobs from the 24,196 requests still to be completed .</t>
  </si>
  <si>
    <t>meteorologists say early indicators show an east coast low -- the same weather system that lashed the state 's east coast for three days last week -- could hit again bringing heavy rain from thursday through to saturday</t>
  </si>
  <si>
    <t>the ses says it is concerned about the impact this will have on communities hard hit by last week 's storms - particularly in the hunter</t>
  </si>
  <si>
    <t>residents urged to prepare their homes to prevent more damage</t>
  </si>
  <si>
    <t>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t>
    <phoneticPr fontId="4" type="noConversion"/>
  </si>
  <si>
    <t>a pit crew member was hit by a car on sunday during the inaugural indycar grand prix of louisiana .
todd phillips , a front-outside tire changer for dayle coyne racing , was injuried when he was struck by the car of francesco dracone , who had come in on lap 25 for tires and fuel .
francesco dracone ( 19 ) , of italy , spins out on turn one during the indycar grand prix of louisiana auto race in avondale on sunday</t>
    <phoneticPr fontId="4" type="noConversion"/>
  </si>
  <si>
    <t>francesco dracone ( 19 ) , of italy , spins out on turn one during the indycar grand prix of louisiana auto race in avondale on sunday</t>
  </si>
  <si>
    <t>phillips received stitches for a cut on his leg and has been released</t>
  </si>
  <si>
    <t>dracone did not finish the race and wound up 23rd</t>
  </si>
  <si>
    <t>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t>
    <phoneticPr fontId="4" type="noConversion"/>
  </si>
  <si>
    <t>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anastasia pavlyuchenkova of russia beat germany 's sabine lisicki for a 2-0 lead in their fed cup tie</t>
    <phoneticPr fontId="4" type="noConversion"/>
  </si>
  <si>
    <t>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t>
    <phoneticPr fontId="4" type="noConversion"/>
  </si>
  <si>
    <t>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dancer cicera alves de sena ( pictured ) was killed by her husband after he 'd yelled at her that she was ` a slut '</t>
    <phoneticPr fontId="4" type="noConversion"/>
  </si>
  <si>
    <t>( pictured )</t>
  </si>
  <si>
    <t>he later confessed the crime to police who found guns in his getaway car</t>
  </si>
  <si>
    <t>sickening video captured on security cameras shows crazed milton vieira severiano , 32 , dragging the limp body of dancer cicera alves de sena , 29 , into the garden of their apartment in the city of rio de janeiro in eastern brazil .</t>
  </si>
  <si>
    <t>( cnn ) bobbi kristina brown , the daughter of bobby brown and whitney houston , has " global and irreversible brain damage , " according to her grandmother .
though the 22-year-old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phoneticPr fontId="4" type="noConversion"/>
  </si>
  <si>
    <t>( cnn ) bobbi kristina brown , the daughter of bobby brown and whitney houston , has " global and irreversible brain damage , " according to her grandmother .
houston 's statement matched that from a source with knowledge of brown 's condition , who told cnn on monday that she remained in the same neurological state she has been in for nearly three months .
in a statement monday , an attorney for the brown family said that bobbi kristina brown 's condition has improved but that the kind of life she will lead remains to be seen .</t>
    <phoneticPr fontId="4" type="noConversion"/>
  </si>
  <si>
    <t>houston 's statement matched that from a source with knowledge of brown 's condition , who told cnn on monday that she remained in the same neurological state she has been in for nearly three months .</t>
  </si>
  <si>
    <t>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t>
    <phoneticPr fontId="4" type="noConversion"/>
  </si>
  <si>
    <t>journalist and author of the best-selling book i quit sugar has opened up about her own personal battle with mental illness , revealing she came close to taking her own life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t>
    <phoneticPr fontId="4" type="noConversion"/>
  </si>
  <si>
    <t>sarah wilson opened up in a candid interview about how her battle with mental illness drove her to believe her life was n't worth living</t>
  </si>
  <si>
    <t>one in three australian women will experience anxiety in their lifetime</t>
  </si>
  <si>
    <t>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t>
    <phoneticPr fontId="4" type="noConversion"/>
  </si>
  <si>
    <t>and grealish says , due to superstition , that he 'll carry on that way after making his first premier league start on tuesday night .
the ireland under 21 international wears children 's shinpads - and says is n't about to change
grealish was pleased to have finally made his first premier league start for villa against qpr</t>
    <phoneticPr fontId="4" type="noConversion"/>
  </si>
  <si>
    <t>and grealish says , due to superstition , that he 'll carry on that way after making his first premier league start on tuesday night .</t>
  </si>
  <si>
    <t>renowned for keeping his socks low</t>
  </si>
  <si>
    <t>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t>
    <phoneticPr fontId="4" type="noConversion"/>
  </si>
  <si>
    <t>elena curtin of portland was seven-months pregnant when she was charged with second-degree assault after she struck her boyfriend 's ex in the head and arm with a crowbar in november 2014 .
elena curtin of portland , oregon , was seven-months pregnant when she was charged with second-degree assault after she struck her boyfriend 's ex in the head and arm with a crowbar in november 2014
curtin was charged after coming home and finding her boyfriend 's ex-girlfriend shooting heroin in her bathroom</t>
    <phoneticPr fontId="4" type="noConversion"/>
  </si>
  <si>
    <t>elena curtin of portland was seven-months pregnant when she was charged with second-degree assault after she struck her boyfriend 's ex in the head and arm with a crowbar in november 2014 .</t>
  </si>
  <si>
    <t>she hit boyfriend 's ex on head and arm but prosecutors dropped charge</t>
  </si>
  <si>
    <t>reds captain gerrard is set to feature for liverpool in the fa cup semi-final against aston villa at wembley on sunday , looking to lead his hometown side into the final against arsenal .</t>
    <phoneticPr fontId="4" type="noConversion"/>
  </si>
  <si>
    <t>( left )</t>
    <phoneticPr fontId="4" type="noConversion"/>
  </si>
  <si>
    <t>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t>
    <phoneticPr fontId="4" type="noConversion"/>
  </si>
  <si>
    <t>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five out of six people were injured by broken glass and have been sent to the hospital for treatment , xinhua news agency reported .</t>
    <phoneticPr fontId="4" type="noConversion"/>
  </si>
  <si>
    <t>hong kong</t>
  </si>
  <si>
    <t>the plant , located in zhangzhou city , produces paraxylene ( px ) , a reportedly carcinogenic chemical used in the production of polyester films and fabrics .</t>
  </si>
  <si>
    <t>five out of six people were injured by broken glass and have been sent to the hospital for treatment , xinhua news agency reported .</t>
  </si>
  <si>
    <t>for the second time in two years</t>
  </si>
  <si>
    <t>the explosion was triggered by an oil leak , though local media has not reported any toxic chemical spills</t>
  </si>
  <si>
    <t>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t>
    <phoneticPr fontId="4" type="noConversion"/>
  </si>
  <si>
    <t>gemma the pit bull was filmed at home in california being fed some treats .
but in a bid to trick her , her owner throws a broccoli spear into the mix .
yuck : gemma the pit bull was filmed at home in california being fed some treats , but in a bid to trick her , her owner throws a broccoli spear into the mix</t>
    <phoneticPr fontId="4" type="noConversion"/>
  </si>
  <si>
    <t>yuck : gemma the pit bull was filmed at home in california being fed some treats , but in a bid to trick her , her owner throws a broccoli spear into the mix</t>
    <phoneticPr fontId="4" type="noConversion"/>
  </si>
  <si>
    <t xml:space="preserve">she then proceeds to spit it out on the floor </t>
  </si>
  <si>
    <t>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t>
    <phoneticPr fontId="4" type="noConversion"/>
  </si>
  <si>
    <t>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t>
    <phoneticPr fontId="4" type="noConversion"/>
  </si>
  <si>
    <t>itness robert kushner lost his varsity coaching job at the jack m. barrack hebrew academy after testifying this week about his years selling marijuana</t>
  </si>
  <si>
    <t>kushner had passed a background check when he was hired to coach basketball in 2010</t>
  </si>
  <si>
    <t>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t>
    <phoneticPr fontId="4" type="noConversion"/>
  </si>
  <si>
    <t>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t>
    <phoneticPr fontId="4" type="noConversion"/>
  </si>
  <si>
    <t>and denied association with the page</t>
  </si>
  <si>
    <t>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t>
    <phoneticPr fontId="4" type="noConversion"/>
  </si>
  <si>
    <t>california-based youtube user lionel hutz filmed his young son chasing the family feline around the garden in a bid to get some rest .
footage shows the cat licking his fur before his human friend comes along and plonks himself on top .
the boy then proceeds to follow the pet to his new location .</t>
    <phoneticPr fontId="4" type="noConversion"/>
  </si>
  <si>
    <t>the boy then proceeds to follow the pet to his new location .</t>
  </si>
  <si>
    <t>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t>
    <phoneticPr fontId="4" type="noConversion"/>
  </si>
  <si>
    <t>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t>
    <phoneticPr fontId="4" type="noConversion"/>
  </si>
  <si>
    <t>a 13-year-old maryland boy called 911 after a fire broke out on the first floor of his home in clinton on sunday</t>
  </si>
  <si>
    <t>siblings saved and three other people in the home escaped without injury</t>
  </si>
  <si>
    <t>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t>
    <phoneticPr fontId="4" type="noConversion"/>
  </si>
  <si>
    <t>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but abu khdeir 's family objected to his inclusion on the memorial wall .</t>
    <phoneticPr fontId="4" type="noConversion"/>
  </si>
  <si>
    <t>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t>
    <phoneticPr fontId="4" type="noConversion"/>
  </si>
  <si>
    <t>the images were taken in jervis bay , the south coast of nsw , as the neon glow illuminated one of australia 's popular beaches .
photographer andy hutchinson described the sight as a ` beautiful supernatural scene ' caused by millions of plankton omitting light .
iain suthers , of university of new south wales , says the algae blossoms in the spring and the autumn</t>
    <phoneticPr fontId="4" type="noConversion"/>
  </si>
  <si>
    <t>a similar display was shown in sydney 's manly beach back in august 2014</t>
  </si>
  <si>
    <t>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t>
    <phoneticPr fontId="4" type="noConversion"/>
  </si>
  <si>
    <t>bolton-born boxer amir khan spent his friday alongside some fellow natural born fighters as he enjoyed a family trip to a safari park in northern california .
bolton-born boxer amir khan enjoyed a day a safari park with his family in northern california
khan ( left ) has announced his next fight will be against chris algieri at welterweight on may 30</t>
    <phoneticPr fontId="4" type="noConversion"/>
  </si>
  <si>
    <t>bolton-born boxer amir khan spent his friday alongside some fellow natural born fighters as he enjoyed a family trip to a safari park in northern california .</t>
  </si>
  <si>
    <t xml:space="preserve">( left ) </t>
  </si>
  <si>
    <t>khan posed alongside a rare white tiger as well as a giraffe and sea lion</t>
  </si>
  <si>
    <t>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t>
    <phoneticPr fontId="4" type="noConversion"/>
  </si>
  <si>
    <t>breast cancer patients may be spared chemotherapy thanks to new tests that pinpoint genetic ` markers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t>
    <phoneticPr fontId="4" type="noConversion"/>
  </si>
  <si>
    <t>for some women , the test can accurately tell if the risk is as low as five per cent , which is as good as if not better than the odds for those who have chemotherapy .</t>
  </si>
  <si>
    <t>they are available privately for £ 2,500 and may be rolled out soon on nhs</t>
  </si>
  <si>
    <t>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t>
    <phoneticPr fontId="4" type="noConversion"/>
  </si>
  <si>
    <t>the empty pool was used as the unusual catwalk setting for the ten pieces presentation as part of mercedes-benz fashion week australia .
bondi 's icebergs club pool was drained on thursday to create a unique catwalk for mercedes-benz fashion week australia
mono : ten pieces produces capsule collection of ten pieces of unisex clothing designed to be worn in 20 ways</t>
    <phoneticPr fontId="4" type="noConversion"/>
  </si>
  <si>
    <t>the empty pool was used as the unusual catwalk setting for the ten pieces presentation as part of mercedes-benz fashion week australia .</t>
  </si>
  <si>
    <t>mono : ten pieces produces capsule collection of ten pieces of unisex clothing designed to be worn in 20 ways</t>
  </si>
  <si>
    <t>guests sat in and around the pool to take in the capsule collection of monochrome unisex pieces</t>
  </si>
  <si>
    <t>label is owned by icebergs restaurateur maurice terzini and partner lucy hinckfuss</t>
  </si>
  <si>
    <t>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t>
    <phoneticPr fontId="4" type="noConversion"/>
  </si>
  <si>
    <t>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t>
    <phoneticPr fontId="4" type="noConversion"/>
  </si>
  <si>
    <t>more than 25 women have been airlifted from royal navy ships because of pregnancy , including at least one woman from hms illustrious ( above ) , which was nicknamed ` hms lusty ' by the crew before it was decommissioned last year</t>
  </si>
  <si>
    <t>mod spokesman confirmed there was a strict ` no touching ' rule in place</t>
  </si>
  <si>
    <t>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t>
    <phoneticPr fontId="4" type="noConversion"/>
  </si>
  <si>
    <t>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t>
    <phoneticPr fontId="4" type="noConversion"/>
  </si>
  <si>
    <t>tom o'carroll , a leading member of the notorious paedophile information exchange ( above ) , has joined the supporters of the media pressure group hacked off</t>
  </si>
  <si>
    <t>a leading member of the notorious paedophile information exchange , which campaigned to legalise child sex in the 1970s and 80s , has joined the supporters of the media pressure group hacked off .</t>
  </si>
  <si>
    <t>69-year-old former key activist jailed in 1981 for ` corrupting public morals '</t>
  </si>
  <si>
    <t>pie was formed in 1974 to campaign for sex with children to be legalised</t>
  </si>
  <si>
    <t>his attendance at the meeting is likely to be an embarrassment for group</t>
  </si>
  <si>
    <t>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t>
    <phoneticPr fontId="4" type="noConversion"/>
  </si>
  <si>
    <t>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t>
    <phoneticPr fontId="4" type="noConversion"/>
  </si>
  <si>
    <t>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t>
    <phoneticPr fontId="4" type="noConversion"/>
  </si>
  <si>
    <t>chinese parents are passionate about raising child prodigies - whether they are 10-year-old university entrants or four-year-old michael jackson dance-alikes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t>
    <phoneticPr fontId="4" type="noConversion"/>
  </si>
  <si>
    <t>chinese parents are passionate about raising child prodigies - whether they are 10-year-old university entrants or four-year-old michael jackson dance-alikes .</t>
  </si>
  <si>
    <t>the five-year-old child is called mai zizhuo and he has been shooting hoops since he was two and a half years old , reported the people 's daily online .</t>
  </si>
  <si>
    <t>mai zizhou has been trained to play basketball since 2.5 years old</t>
  </si>
  <si>
    <t>his incredible skills have won him legions of fans around china</t>
  </si>
  <si>
    <t>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t>
    <phoneticPr fontId="4" type="noConversion"/>
  </si>
  <si>
    <t>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vulnerable : his elderly mother suffers from alzheimer 's and used to get lost when she was left alone</t>
    <phoneticPr fontId="4" type="noConversion"/>
  </si>
  <si>
    <t>vulnerable : his elderly mother suffers from alzheimer 's and used to get lost when she was left alone</t>
  </si>
  <si>
    <t>lu xincai says no one else can look after his 84-year-old mother</t>
  </si>
  <si>
    <t>he ties her to him with a sash to make sure she does not fall off</t>
  </si>
  <si>
    <t>she 's now been given her own room at the bank where he works</t>
  </si>
  <si>
    <t>Kabul</t>
    <phoneticPr fontId="4" type="noConversion"/>
  </si>
  <si>
    <t>afghanistan</t>
  </si>
  <si>
    <t xml:space="preserve">taking part in the protests in the city of khost </t>
  </si>
  <si>
    <t xml:space="preserve">faizullah ghairat </t>
  </si>
  <si>
    <t>tokyo</t>
    <phoneticPr fontId="4" type="noConversion"/>
  </si>
  <si>
    <t>bizarre</t>
  </si>
  <si>
    <t>alarming</t>
  </si>
  <si>
    <t>was found on the rooftop of japan 's equivalent to the white house on wednesday , police and government officials said .</t>
  </si>
  <si>
    <t>more than four years after the fukushima daiichi nuclear disaster .</t>
  </si>
  <si>
    <t>@saskiaisabxlla</t>
  </si>
  <si>
    <t>they were tasked with various challenges involving the expensive cars</t>
  </si>
  <si>
    <t xml:space="preserve"> ( right  )</t>
    <phoneticPr fontId="4" type="noConversion"/>
  </si>
  <si>
    <t>29-1</t>
  </si>
  <si>
    <t>scoring 45 points</t>
  </si>
  <si>
    <t>state health officials said on friday .</t>
  </si>
  <si>
    <t>9-1</t>
  </si>
  <si>
    <t>PolyTope Metrics</t>
    <phoneticPr fontId="1" type="noConversion"/>
  </si>
  <si>
    <t>PolyTope Score:</t>
    <phoneticPr fontId="3" type="noConversion"/>
  </si>
  <si>
    <t>Subject</t>
    <phoneticPr fontId="4" type="noConversion"/>
  </si>
  <si>
    <t>Object</t>
    <phoneticPr fontId="4" type="noConversion"/>
  </si>
  <si>
    <t>Predicate</t>
    <phoneticPr fontId="4" type="noConversion"/>
  </si>
  <si>
    <t>Function Word</t>
    <phoneticPr fontId="4" type="noConversion"/>
  </si>
  <si>
    <t>Source</t>
    <phoneticPr fontId="4" type="noConversion"/>
  </si>
  <si>
    <t>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t>
    <phoneticPr fontId="4" type="noConversion"/>
  </si>
  <si>
    <t>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t>
    <phoneticPr fontId="4" type="noConversion"/>
  </si>
  <si>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t>
    <phoneticPr fontId="4" type="noConversion"/>
  </si>
  <si>
    <t>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t>
    <phoneticPr fontId="4" type="noConversion"/>
  </si>
  <si>
    <t>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t>
    <phoneticPr fontId="4" type="noConversion"/>
  </si>
  <si>
    <t>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t>
    <phoneticPr fontId="4" type="noConversion"/>
  </si>
  <si>
    <t>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</si>
  <si>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£ 51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</si>
  <si>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£ 52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</si>
  <si>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£ 53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</si>
  <si>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£ 54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</si>
  <si>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3-3 win over hull city , but that was his first in five games
mourinho is looking to guide his team over the line in the premier league title race , with fabregas a key cog</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</si>
  <si>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3-4 win over hull city , but that was his first in five games
mourinho is looking to guide his team over the line in the premier league title race , with fabregas a key cog</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</si>
  <si>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3-5 win over hull city , but that was his first in five games
mourinho is looking to guide his team over the line in the premier league title race , with fabregas a key cog</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</si>
  <si>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3-6 win over hull city , but that was his first in five games
mourinho is looking to guide his team over the line in the premier league title race , with fabregas a key cog</t>
    <phoneticPr fontId="4" type="noConversion"/>
  </si>
  <si>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54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phoneticPr fontId="4" type="noConversion"/>
  </si>
  <si>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55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phoneticPr fontId="4" type="noConversion"/>
  </si>
  <si>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24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phoneticPr fontId="4" type="noConversion"/>
  </si>
  <si>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25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</si>
  <si>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2012 letter from gadahn making recommendations for al qaeda 's media strategy .
gadahn was married to a muslim woman from afghanistan and reportedly had at least one child .
cnn 's steve almasy contributed to this report .</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</si>
  <si>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2013 letter from gadahn making recommendations for al qaeda 's media strategy .
gadahn was married to a muslim woman from afghanistan and reportedly had at least one child .
cnn 's steve almasy contributed to this report .</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</si>
  <si>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2014 letter from gadahn making recommendations for al qaeda 's media strategy .
gadahn was married to a muslim woman from afghanistan and reportedly had at least one child .
cnn 's steve almasy contributed to this report .</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</si>
  <si>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2015 letter from gadahn making recommendations for al qaeda 's media strategy .
gadahn was married to a muslim woman from afghanistan and reportedly had at least one child .
cnn 's steve almasy contributed to this report .</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</si>
  <si>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2016 letter from gadahn making recommendations for al qaeda 's media strategy .
gadahn was married to a muslim woman from afghanistan and reportedly had at least one child .
cnn 's steve almasy contributed to this report .</t>
    <phoneticPr fontId="4" type="noConversion"/>
  </si>
  <si>
    <t>95-1</t>
  </si>
  <si>
    <t>96-1</t>
  </si>
  <si>
    <t>97-1</t>
  </si>
  <si>
    <t>98-1</t>
  </si>
  <si>
    <t>99-1</t>
  </si>
  <si>
    <t>100-1</t>
  </si>
  <si>
    <t>101-1</t>
  </si>
  <si>
    <t>102-1</t>
  </si>
  <si>
    <t>103-1</t>
  </si>
  <si>
    <t>104-1</t>
  </si>
  <si>
    <t>105-1</t>
  </si>
  <si>
    <t>106-1</t>
  </si>
  <si>
    <t>107-1</t>
  </si>
  <si>
    <t>108-1</t>
  </si>
  <si>
    <t>109-1</t>
  </si>
  <si>
    <t>110-1</t>
  </si>
  <si>
    <t>111-1</t>
  </si>
  <si>
    <t>112-1</t>
  </si>
  <si>
    <t>113-1</t>
  </si>
  <si>
    <t>114-1</t>
  </si>
  <si>
    <t>115-1</t>
  </si>
  <si>
    <t>116-1</t>
  </si>
  <si>
    <t>117-1</t>
  </si>
  <si>
    <t>118-1</t>
  </si>
  <si>
    <t>119-1</t>
  </si>
  <si>
    <t>120-1</t>
  </si>
  <si>
    <t>121-1</t>
  </si>
  <si>
    <t>122-1</t>
  </si>
  <si>
    <t>123-1</t>
  </si>
  <si>
    <t>124-1</t>
  </si>
  <si>
    <t>125-1</t>
  </si>
  <si>
    <t>126-1</t>
  </si>
  <si>
    <t>127-1</t>
  </si>
  <si>
    <t>128-1</t>
  </si>
  <si>
    <t>129-1</t>
  </si>
  <si>
    <t>130-1</t>
  </si>
  <si>
    <t>131-1</t>
  </si>
  <si>
    <t>132-1</t>
  </si>
  <si>
    <t>133-1</t>
  </si>
  <si>
    <t>134-1</t>
  </si>
  <si>
    <t>135-1</t>
  </si>
  <si>
    <t>136-1</t>
  </si>
  <si>
    <t>137-1</t>
  </si>
  <si>
    <t>138-1</t>
  </si>
  <si>
    <t>139-1</t>
  </si>
  <si>
    <t>140-1</t>
  </si>
  <si>
    <t>141-1</t>
  </si>
  <si>
    <t>142-1</t>
  </si>
  <si>
    <t>143-1</t>
  </si>
  <si>
    <t>144-1</t>
  </si>
  <si>
    <t>2-1</t>
  </si>
  <si>
    <t>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t>
  </si>
  <si>
    <t>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suing la for millions : jamar nicholson ( left ) and his friend jason huerta ( right ) , who stand solemnly in the alleyway where nicholson was shot , are suing the city of los angeles for $ 20 million</t>
  </si>
  <si>
    <t>jamar nicholson , 15 , and his friends were hanging out in an alleyway in south l.a. before school on february 10 when two police officers working for the lapd 's criminal gang-homicide unit approached the boys with their guns drawn .</t>
  </si>
  <si>
    <t>suing la for millions : jamar nicholson ( left ) and his friend jason huerta ( right ) , who stand solemnly in the alleyway where nicholson was shot , are suing the city of los angeles for $ 20 million</t>
  </si>
  <si>
    <t>jamar nicholson , 15 , was shot in the back by officer miguel gutierrez on february 10 because his friend was holding a toy gun</t>
  </si>
  <si>
    <t>officer miguel gutierrez who shot nicholson has returned to duty but the incident is under investigation</t>
  </si>
  <si>
    <t>19-1</t>
  </si>
  <si>
    <t>(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t>
  </si>
  <si>
    <t>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about 88,600 u.s. deaths were attributed to alcohol in 2010 , the researchers note , and the cost of excessive drinking has been estimated at more than $ 220 billion per year .</t>
  </si>
  <si>
    <t>the centers for disease control and prevention defines heavy drinking as exceeding an average of one drink per day during the past month for women and two drinks per day for men .</t>
  </si>
  <si>
    <t>about 88,600 u.s. deaths were attributed to alcohol in 2010 , the researchers note , and the cost of excessive drinking has been estimated at more than $ 220 billion per year .</t>
  </si>
  <si>
    <t>it 's now more acceptable for women to drink the way men traditionally have , says one expert</t>
  </si>
  <si>
    <t>55-1</t>
  </si>
  <si>
    <t>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t>
  </si>
  <si>
    <t>a passenger filmed the driver on a bus in auckland , new zealand , and sent the video to bus company ritchies coachlines along with a complaint .
a bus driver was caught reading a newspaper while driving in auckland , new zealand
ritchies coachlines boss andrew ritchie said he was embarrassed by the ` idiot ' driver 's actions</t>
  </si>
  <si>
    <t xml:space="preserve"> in auckland</t>
  </si>
  <si>
    <t xml:space="preserve"> new zealand</t>
  </si>
  <si>
    <t>68-1</t>
  </si>
  <si>
    <t>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t>
  </si>
  <si>
    <t>they say the procedure should only be carried out when ` medically necessary ' because it can lead to infections and even death .
just over a quarter of women giving birth in england now have a caesarean and the rate has more than doubled since the early 1990s .
just over a quarter of women giving birth in england now have a caesarean and the rate has more than doubled since the early 1990s</t>
  </si>
  <si>
    <t>just over a quarter of women giving birth in england now have a caesarean and the rate has more than doubled since the early 1990s</t>
  </si>
  <si>
    <t>86-1</t>
  </si>
  <si>
    <t>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t>
  </si>
  <si>
    <t>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robarge was convicted of second-degree murder in the death of his wife , 42-year-old kelly robarge</t>
  </si>
  <si>
    <t>robarge was convicted of second-degree murder in the death of his wife , 42-year-old kelly robarge</t>
  </si>
  <si>
    <t>her badly decomposed body , with her hands and head detached , was found 10 days later in unity .</t>
  </si>
  <si>
    <t>91-1</t>
  </si>
  <si>
    <t>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t>
  </si>
  <si>
    <t>michelle filkins , 44 , of west wareham has been charged with breaking and entering , larceny over $ 250 , and malicious destruction of property .
michelle filkins , 44 , of west wareham has been charged with breaking and entering , larceny over $ 250 , and the malicious destruction of property after she was arrested on april 17
filkins was arrested on april 17 after owner mark conklin found her sitting in his summer home</t>
  </si>
  <si>
    <t>michelle filkins , 44 , of west wareham has been charged with breaking and entering , larceny over $ 250 , and the malicious destruction of property after she was arrested on april 17</t>
  </si>
  <si>
    <t>a neighbor told police he saw filkins outside with items from the house and that she appeared to be having a yard sale or giving the items away</t>
  </si>
  <si>
    <t>92-1</t>
  </si>
  <si>
    <t>(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t>
  </si>
  <si>
    <t>(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in november , french customs officials seized nearly 250 kilograms ( 550 pounds ) of cocaine on a vessel that was also off the coast of martinique , according to authorities .</t>
  </si>
  <si>
    <t xml:space="preserve">( cnn ) </t>
  </si>
  <si>
    <t xml:space="preserve"> that was falsely flying an american flag in the caribbean .</t>
  </si>
  <si>
    <t>said michael lachaux , director of customs operations in martinique .</t>
  </si>
  <si>
    <t>in november , french customs officials seized nearly 250 kilograms ( 550 pounds ) of cocaine on a vessel that was also off the coast of martinique , according to authorities .</t>
  </si>
  <si>
    <t>officers arrested one venezuelan and two spanish citizens on board the vessel</t>
  </si>
  <si>
    <t>145-1</t>
  </si>
  <si>
    <t>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t>
  </si>
  <si>
    <t>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t>
  </si>
  <si>
    <t>officers from albury police station on the nsw-victoria border posted selfies on a woman 's facebook page saying she could come and collect her phone after it was handed in on sunday morning</t>
  </si>
  <si>
    <t>bella crooke lost the phone on saturday at a friend 's birthday party</t>
  </si>
  <si>
    <t>146-1</t>
  </si>
  <si>
    <t>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t>
  </si>
  <si>
    <t>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t>
  </si>
  <si>
    <t>workers who found the baby , who was wrapped in a shirt but was still attached to the umbilical cord and placenta , called the police and ambulance .</t>
  </si>
  <si>
    <t>a baby girl was found in the bin inside the ladies ' toilet at a chinese burger bar</t>
  </si>
  <si>
    <t>the tot still had the umbilical cord and placenta attached but was otherwise fine</t>
  </si>
  <si>
    <t>woman who had been in toilet returned to her table ` like she was in trance '</t>
  </si>
  <si>
    <t>she was arrested after cctv showed her visiting the restroom</t>
  </si>
  <si>
    <t>147-1</t>
  </si>
  <si>
    <t>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t>
  </si>
  <si>
    <t>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deadly : the calf was dragged along the surface of water and died hours after the tussle , with its mother looking on in horror</t>
  </si>
  <si>
    <t>adult hippos had been fighting for hours before attacking the baby in the isimangaliso wetland park</t>
  </si>
  <si>
    <t>the calf 's mother watched in horror as the hippo was flung into the air before being dragged along the surface of the water in the isimangaliso wetland park , in eastern south africa .</t>
  </si>
  <si>
    <t>148-1</t>
  </si>
  <si>
    <t>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t>
  </si>
  <si>
    <t>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t>
  </si>
  <si>
    <t>ian rogers , 36 , became hooked on all things paranormal as a child and took part in his first ghost hunt in the year 2000 .</t>
  </si>
  <si>
    <t>the dolls are said to be haunted with the spirits of dead people</t>
  </si>
  <si>
    <t>149-1</t>
  </si>
  <si>
    <t>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t>
  </si>
  <si>
    <t>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t>
  </si>
  <si>
    <t>property experts said if a buyer decides to extend the lease , the property could be worth upwards of £ 6 million</t>
  </si>
  <si>
    <t>but renewal would not come cheap with the cost for a new 90-year lease estimated at between £ 3.35 and £ 4.5 million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</si>
</sst>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 #,##0.00_ ;_ * \-#,##0.00_ ;_ * &quot;-&quot;??_ ;_ @_ "/>
    <numFmt numFmtId="165" formatCode="00_ "/>
    <numFmt numFmtId="166" formatCode="0.000000000000_ "/>
    <numFmt numFmtId="167" formatCode="_-* #,##0.0_-;\-* #,##0.0_-;_-* &quot;-&quot;??_-;_-@_-"/>
  </numFmts>
  <fonts count="38">
    <font>
      <sz val="12"/>
      <color indexed="8"/>
      <name val="宋体"/>
      <charset val="134"/>
    </font>
    <font>
      <sz val="11"/>
      <color theme="1"/>
      <name val="Calibri"/>
      <family val="2"/>
      <scheme val="minor"/>
    </font>
    <font>
      <sz val="11"/>
      <color theme="1"/>
      <name val="Calibri"/>
      <family val="2"/>
      <scheme val="minor"/>
    </font>
    <font>
      <sz val="11"/>
      <color theme="1"/>
      <name val="Calibri"/>
      <family val="2"/>
      <scheme val="minor"/>
    </font>
    <font>
      <sz val="9"/>
      <name val="宋体"/>
      <family val="3"/>
      <charset val="134"/>
    </font>
    <font>
      <sz val="10"/>
      <name val="Arial"/>
      <family val="2"/>
    </font>
    <font>
      <sz val="11"/>
      <color theme="1"/>
      <name val="宋体"/>
      <family val="3"/>
      <charset val="134"/>
    </font>
    <font>
      <u/>
      <sz val="12"/>
      <color theme="10"/>
      <name val="宋体"/>
      <family val="3"/>
      <charset val="134"/>
    </font>
    <font>
      <u/>
      <sz val="12"/>
      <color theme="11"/>
      <name val="宋体"/>
      <family val="3"/>
      <charset val="134"/>
    </font>
    <font>
      <sz val="12"/>
      <color indexed="8"/>
      <name val="宋体"/>
      <family val="3"/>
      <charset val="134"/>
    </font>
    <font>
      <sz val="11"/>
      <color theme="1"/>
      <name val="Calibri"/>
      <family val="2"/>
      <charset val="134"/>
      <scheme val="minor"/>
    </font>
    <font>
      <sz val="11"/>
      <color theme="1"/>
      <name val="Arial"/>
      <family val="2"/>
    </font>
    <font>
      <sz val="10"/>
      <color theme="1"/>
      <name val="Arial"/>
      <family val="2"/>
    </font>
    <font>
      <b/>
      <sz val="10"/>
      <name val="Arial"/>
      <family val="2"/>
    </font>
    <font>
      <b/>
      <sz val="10"/>
      <color theme="1"/>
      <name val="Arial"/>
      <family val="2"/>
    </font>
    <font>
      <sz val="9"/>
      <name val="宋体"/>
      <family val="3"/>
      <charset val="134"/>
    </font>
    <font>
      <b/>
      <sz val="11"/>
      <name val="Arial"/>
      <family val="2"/>
    </font>
    <font>
      <sz val="11"/>
      <color indexed="8"/>
      <name val="Arial"/>
      <family val="2"/>
    </font>
    <font>
      <b/>
      <sz val="11"/>
      <color indexed="8"/>
      <name val="Arial"/>
      <family val="2"/>
    </font>
    <font>
      <b/>
      <u/>
      <sz val="11"/>
      <color theme="1"/>
      <name val="Arial"/>
      <family val="2"/>
    </font>
    <font>
      <b/>
      <sz val="11"/>
      <color theme="1"/>
      <name val="Arial"/>
      <family val="2"/>
    </font>
    <font>
      <b/>
      <sz val="9"/>
      <name val="Arial"/>
      <family val="2"/>
    </font>
    <font>
      <sz val="12"/>
      <color rgb="FF000000"/>
      <name val="Arial"/>
      <family val="2"/>
    </font>
    <font>
      <sz val="9"/>
      <name val="Arial"/>
      <family val="2"/>
    </font>
    <font>
      <sz val="10"/>
      <color rgb="FF000000"/>
      <name val="Arial"/>
      <family val="2"/>
    </font>
    <font>
      <b/>
      <sz val="12"/>
      <color rgb="FF000000"/>
      <name val="Arial"/>
      <family val="2"/>
    </font>
    <font>
      <b/>
      <sz val="9"/>
      <color rgb="FF000000"/>
      <name val="Arial"/>
      <family val="2"/>
    </font>
    <font>
      <sz val="12"/>
      <color indexed="8"/>
      <name val="Arial"/>
      <family val="2"/>
    </font>
    <font>
      <sz val="11"/>
      <color theme="0" tint="-0.14999847407452621"/>
      <name val="Arial"/>
      <family val="2"/>
    </font>
    <font>
      <sz val="11"/>
      <color theme="0"/>
      <name val="Arial"/>
      <family val="2"/>
    </font>
    <font>
      <sz val="12"/>
      <color indexed="8"/>
      <name val="宋体"/>
      <family val="3"/>
      <charset val="134"/>
    </font>
    <font>
      <sz val="9"/>
      <color theme="1" tint="0.499984740745262"/>
      <name val="Arial"/>
      <family val="2"/>
    </font>
    <font>
      <b/>
      <sz val="12"/>
      <color theme="1"/>
      <name val="Arial"/>
      <family val="2"/>
    </font>
    <font>
      <sz val="12"/>
      <color rgb="FF000000"/>
      <name val="Calibri"/>
      <family val="2"/>
    </font>
    <font>
      <sz val="11"/>
      <color rgb="FF000000"/>
      <name val="微软雅黑"/>
      <family val="2"/>
      <charset val="134"/>
    </font>
    <font>
      <sz val="11"/>
      <color indexed="8"/>
      <name val="Arial"/>
      <family val="2"/>
      <charset val="134"/>
    </font>
    <font>
      <sz val="11"/>
      <color rgb="FF000000"/>
      <name val="宋体"/>
      <family val="2"/>
      <charset val="134"/>
    </font>
    <font>
      <sz val="11"/>
      <name val="Arial"/>
      <family val="2"/>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39997558519241921"/>
        <bgColor rgb="FF000000"/>
      </patternFill>
    </fill>
    <fill>
      <patternFill patternType="solid">
        <fgColor theme="7" tint="0.59999389629810485"/>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s>
  <cellStyleXfs count="211">
    <xf numFmtId="0" fontId="0" fillId="0" borderId="0"/>
    <xf numFmtId="0" fontId="6" fillId="0" borderId="0"/>
    <xf numFmtId="0" fontId="5" fillId="0" borderId="0"/>
    <xf numFmtId="0" fontId="3"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9" fontId="2" fillId="0" borderId="0" applyFont="0" applyFill="0" applyBorder="0" applyAlignment="0" applyProtection="0"/>
    <xf numFmtId="0" fontId="9" fillId="0" borderId="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0"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164" fontId="30" fillId="0" borderId="0" applyFont="0" applyFill="0" applyBorder="0" applyAlignment="0" applyProtection="0">
      <alignment vertical="center"/>
    </xf>
    <xf numFmtId="0" fontId="9"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120">
    <xf numFmtId="0" fontId="0" fillId="0" borderId="0" xfId="0"/>
    <xf numFmtId="49" fontId="11" fillId="0" borderId="1" xfId="0" applyNumberFormat="1" applyFont="1" applyBorder="1" applyAlignment="1">
      <alignment wrapText="1"/>
    </xf>
    <xf numFmtId="0" fontId="12" fillId="0" borderId="0" xfId="180" applyFont="1" applyAlignment="1">
      <alignment vertical="center"/>
    </xf>
    <xf numFmtId="0" fontId="5" fillId="0" borderId="1" xfId="180" applyFont="1" applyFill="1" applyBorder="1" applyAlignment="1">
      <alignment vertical="center"/>
    </xf>
    <xf numFmtId="0" fontId="13" fillId="0" borderId="1" xfId="180" applyFont="1" applyFill="1" applyBorder="1" applyAlignment="1">
      <alignment vertical="center"/>
    </xf>
    <xf numFmtId="0" fontId="13" fillId="2" borderId="1" xfId="180" applyFont="1" applyFill="1" applyBorder="1" applyAlignment="1">
      <alignment vertical="center"/>
    </xf>
    <xf numFmtId="0" fontId="12" fillId="0" borderId="0" xfId="0" applyFont="1" applyAlignment="1">
      <alignment vertical="center"/>
    </xf>
    <xf numFmtId="0" fontId="12" fillId="4" borderId="1" xfId="0" applyFont="1" applyFill="1" applyBorder="1" applyAlignment="1">
      <alignment vertical="center"/>
    </xf>
    <xf numFmtId="0" fontId="14" fillId="4" borderId="1" xfId="0" applyFont="1" applyFill="1" applyBorder="1" applyAlignment="1">
      <alignment vertical="center"/>
    </xf>
    <xf numFmtId="0" fontId="13" fillId="2" borderId="1" xfId="0" applyFont="1" applyFill="1" applyBorder="1" applyAlignment="1">
      <alignment vertical="center"/>
    </xf>
    <xf numFmtId="0" fontId="5" fillId="0" borderId="1" xfId="0" applyFont="1" applyFill="1" applyBorder="1" applyAlignment="1">
      <alignment vertical="center"/>
    </xf>
    <xf numFmtId="0" fontId="12" fillId="0" borderId="1" xfId="0" applyFont="1" applyBorder="1" applyAlignment="1">
      <alignment vertical="center"/>
    </xf>
    <xf numFmtId="0" fontId="16" fillId="3" borderId="1" xfId="0" applyFont="1" applyFill="1" applyBorder="1" applyAlignment="1" applyProtection="1">
      <alignment horizontal="center" vertical="center" wrapText="1"/>
      <protection locked="0"/>
    </xf>
    <xf numFmtId="0" fontId="16" fillId="0" borderId="1" xfId="0" applyFont="1" applyBorder="1" applyAlignment="1">
      <alignment horizontal="center" vertical="center" wrapText="1"/>
    </xf>
    <xf numFmtId="0" fontId="17" fillId="0" borderId="1" xfId="0" applyFont="1" applyBorder="1" applyAlignment="1" applyProtection="1">
      <alignment horizontal="left" vertical="center" wrapText="1"/>
      <protection locked="0"/>
    </xf>
    <xf numFmtId="0" fontId="17" fillId="0" borderId="1" xfId="0" applyFont="1" applyBorder="1" applyAlignment="1">
      <alignment vertical="center"/>
    </xf>
    <xf numFmtId="1" fontId="18" fillId="0" borderId="1" xfId="0" applyNumberFormat="1" applyFont="1" applyBorder="1" applyAlignment="1">
      <alignment horizontal="left" vertical="center"/>
    </xf>
    <xf numFmtId="0" fontId="18" fillId="0" borderId="1" xfId="0" applyFont="1" applyBorder="1" applyAlignment="1">
      <alignment horizontal="center" vertical="center"/>
    </xf>
    <xf numFmtId="165" fontId="17" fillId="0" borderId="1" xfId="0" applyNumberFormat="1" applyFont="1" applyBorder="1" applyAlignment="1">
      <alignment horizontal="center" vertical="center"/>
    </xf>
    <xf numFmtId="1" fontId="17" fillId="0" borderId="1" xfId="0" applyNumberFormat="1" applyFont="1" applyBorder="1" applyAlignment="1">
      <alignment horizontal="left" vertical="center"/>
    </xf>
    <xf numFmtId="0" fontId="17" fillId="0" borderId="1" xfId="0" applyFont="1" applyBorder="1" applyAlignment="1">
      <alignment wrapText="1"/>
    </xf>
    <xf numFmtId="0" fontId="17" fillId="0" borderId="0" xfId="0" applyFont="1" applyBorder="1" applyAlignment="1">
      <alignment vertical="center"/>
    </xf>
    <xf numFmtId="1" fontId="17" fillId="0" borderId="0" xfId="0" applyNumberFormat="1" applyFont="1" applyBorder="1" applyAlignment="1">
      <alignment horizontal="left" vertical="center"/>
    </xf>
    <xf numFmtId="0" fontId="17" fillId="0" borderId="0" xfId="0" applyFont="1" applyBorder="1" applyAlignment="1">
      <alignment horizontal="center" vertical="center"/>
    </xf>
    <xf numFmtId="49" fontId="17" fillId="0" borderId="0" xfId="0" applyNumberFormat="1" applyFont="1" applyBorder="1" applyAlignment="1">
      <alignment horizontal="left" vertical="top" wrapText="1"/>
    </xf>
    <xf numFmtId="0" fontId="17" fillId="0" borderId="0" xfId="0" applyFont="1" applyBorder="1" applyAlignment="1" applyProtection="1">
      <alignment horizontal="left" vertical="center" wrapText="1"/>
      <protection locked="0"/>
    </xf>
    <xf numFmtId="0" fontId="11" fillId="0" borderId="0" xfId="180" applyFont="1">
      <alignment vertical="center"/>
    </xf>
    <xf numFmtId="0" fontId="11" fillId="0" borderId="1" xfId="180" applyFont="1" applyBorder="1" applyAlignment="1">
      <alignment horizontal="right" vertical="center"/>
    </xf>
    <xf numFmtId="0" fontId="11" fillId="0" borderId="0" xfId="180" applyFont="1" applyAlignment="1">
      <alignment horizontal="right" vertical="center"/>
    </xf>
    <xf numFmtId="14" fontId="11" fillId="0" borderId="1" xfId="180" applyNumberFormat="1" applyFont="1" applyBorder="1" applyAlignment="1">
      <alignment horizontal="right" vertical="center"/>
    </xf>
    <xf numFmtId="0" fontId="11" fillId="0" borderId="5" xfId="180" applyFont="1" applyBorder="1">
      <alignment vertical="center"/>
    </xf>
    <xf numFmtId="0" fontId="26" fillId="0" borderId="11" xfId="180" applyFont="1" applyFill="1" applyBorder="1" applyAlignment="1">
      <alignment horizontal="right"/>
    </xf>
    <xf numFmtId="0" fontId="27" fillId="0" borderId="0" xfId="0" applyFont="1"/>
    <xf numFmtId="0" fontId="11" fillId="0" borderId="0" xfId="180" applyFont="1" applyBorder="1">
      <alignment vertical="center"/>
    </xf>
    <xf numFmtId="0" fontId="11" fillId="0" borderId="0" xfId="180" applyFont="1" applyBorder="1" applyAlignment="1">
      <alignment horizontal="right" vertical="center"/>
    </xf>
    <xf numFmtId="0" fontId="28" fillId="0" borderId="0" xfId="180" applyFont="1">
      <alignment vertical="center"/>
    </xf>
    <xf numFmtId="2" fontId="29" fillId="0" borderId="0" xfId="180" applyNumberFormat="1" applyFont="1">
      <alignment vertical="center"/>
    </xf>
    <xf numFmtId="0" fontId="29" fillId="0" borderId="0" xfId="180" applyFont="1">
      <alignment vertical="center"/>
    </xf>
    <xf numFmtId="166" fontId="29" fillId="0" borderId="0" xfId="180" applyNumberFormat="1" applyFont="1">
      <alignment vertical="center"/>
    </xf>
    <xf numFmtId="0" fontId="11" fillId="0" borderId="0" xfId="180" applyFont="1" applyBorder="1" applyAlignment="1">
      <alignment horizontal="center" vertical="center"/>
    </xf>
    <xf numFmtId="0" fontId="19" fillId="0" borderId="0" xfId="180" applyFont="1">
      <alignment vertical="center"/>
    </xf>
    <xf numFmtId="0" fontId="16" fillId="2" borderId="0" xfId="180" applyFont="1" applyFill="1" applyAlignment="1">
      <alignment horizontal="right" vertical="center"/>
    </xf>
    <xf numFmtId="164" fontId="20" fillId="2" borderId="0" xfId="203" applyFont="1" applyFill="1" applyAlignment="1">
      <alignment horizontal="right" vertical="center"/>
    </xf>
    <xf numFmtId="167" fontId="20" fillId="2" borderId="0" xfId="182" applyNumberFormat="1" applyFont="1" applyFill="1" applyAlignment="1">
      <alignment horizontal="right" vertical="center"/>
    </xf>
    <xf numFmtId="10" fontId="20" fillId="2" borderId="0" xfId="181" applyNumberFormat="1" applyFont="1" applyFill="1" applyAlignment="1">
      <alignment horizontal="right" vertical="center"/>
    </xf>
    <xf numFmtId="0" fontId="21" fillId="10" borderId="6" xfId="180" applyFont="1" applyFill="1" applyBorder="1" applyAlignment="1">
      <alignment vertical="center"/>
    </xf>
    <xf numFmtId="0" fontId="21" fillId="10" borderId="11" xfId="180" applyFont="1" applyFill="1" applyBorder="1" applyAlignment="1">
      <alignment vertical="center"/>
    </xf>
    <xf numFmtId="0" fontId="21" fillId="10" borderId="15" xfId="180" applyFont="1" applyFill="1" applyBorder="1" applyAlignment="1">
      <alignment vertical="center"/>
    </xf>
    <xf numFmtId="0" fontId="23" fillId="6" borderId="2" xfId="180" applyFont="1" applyFill="1" applyBorder="1" applyAlignment="1">
      <alignment horizontal="right"/>
    </xf>
    <xf numFmtId="0" fontId="23" fillId="6" borderId="1" xfId="180" applyFont="1" applyFill="1" applyBorder="1" applyAlignment="1">
      <alignment horizontal="right"/>
    </xf>
    <xf numFmtId="0" fontId="23" fillId="6" borderId="9" xfId="180" applyFont="1" applyFill="1" applyBorder="1" applyAlignment="1">
      <alignment horizontal="right"/>
    </xf>
    <xf numFmtId="0" fontId="31" fillId="7" borderId="1" xfId="180" applyFont="1" applyFill="1" applyBorder="1" applyAlignment="1">
      <alignment horizontal="right"/>
    </xf>
    <xf numFmtId="0" fontId="23" fillId="9" borderId="1" xfId="180" applyFont="1" applyFill="1" applyBorder="1" applyAlignment="1">
      <alignment horizontal="right"/>
    </xf>
    <xf numFmtId="0" fontId="23" fillId="9" borderId="9" xfId="180" applyFont="1" applyFill="1" applyBorder="1" applyAlignment="1">
      <alignment horizontal="right"/>
    </xf>
    <xf numFmtId="0" fontId="23" fillId="9" borderId="2" xfId="180" applyFont="1" applyFill="1" applyBorder="1" applyAlignment="1">
      <alignment horizontal="right"/>
    </xf>
    <xf numFmtId="0" fontId="23" fillId="5" borderId="2" xfId="180" applyFont="1" applyFill="1" applyBorder="1" applyAlignment="1">
      <alignment horizontal="right"/>
    </xf>
    <xf numFmtId="0" fontId="23" fillId="5" borderId="1" xfId="180" applyFont="1" applyFill="1" applyBorder="1" applyAlignment="1">
      <alignment horizontal="right"/>
    </xf>
    <xf numFmtId="0" fontId="23" fillId="5" borderId="9" xfId="180" applyFont="1" applyFill="1" applyBorder="1" applyAlignment="1">
      <alignment horizontal="right"/>
    </xf>
    <xf numFmtId="0" fontId="20" fillId="6" borderId="1" xfId="180" applyFont="1" applyFill="1" applyBorder="1" applyAlignment="1">
      <alignment horizontal="center" vertical="center"/>
    </xf>
    <xf numFmtId="0" fontId="20" fillId="5" borderId="1" xfId="180" applyFont="1" applyFill="1" applyBorder="1" applyAlignment="1">
      <alignment horizontal="center" vertical="center"/>
    </xf>
    <xf numFmtId="0" fontId="20" fillId="9" borderId="1" xfId="180" applyFont="1" applyFill="1" applyBorder="1" applyAlignment="1">
      <alignment horizontal="center" vertical="center"/>
    </xf>
    <xf numFmtId="0" fontId="5" fillId="0" borderId="2" xfId="180" applyFont="1" applyFill="1" applyBorder="1" applyAlignment="1"/>
    <xf numFmtId="0" fontId="5" fillId="0" borderId="1" xfId="180" applyFont="1" applyFill="1" applyBorder="1" applyAlignment="1"/>
    <xf numFmtId="0" fontId="24" fillId="0" borderId="9" xfId="180" applyFont="1" applyFill="1" applyBorder="1" applyAlignment="1"/>
    <xf numFmtId="0" fontId="26" fillId="0" borderId="12" xfId="180" applyFont="1" applyFill="1" applyBorder="1" applyAlignment="1"/>
    <xf numFmtId="0" fontId="21" fillId="0" borderId="14" xfId="180" applyFont="1" applyFill="1" applyBorder="1" applyAlignment="1"/>
    <xf numFmtId="0" fontId="21" fillId="0" borderId="13" xfId="180" applyFont="1" applyFill="1" applyBorder="1" applyAlignment="1"/>
    <xf numFmtId="0" fontId="20" fillId="0" borderId="0" xfId="180" applyFont="1" applyBorder="1" applyAlignment="1">
      <alignment horizontal="right" vertical="center"/>
    </xf>
    <xf numFmtId="0" fontId="32" fillId="8" borderId="1" xfId="180" applyFont="1" applyFill="1" applyBorder="1" applyAlignment="1">
      <alignment horizontal="center" vertical="center"/>
    </xf>
    <xf numFmtId="2" fontId="32" fillId="0" borderId="1" xfId="180" applyNumberFormat="1" applyFont="1" applyFill="1" applyBorder="1" applyAlignment="1">
      <alignment horizontal="center" vertical="center"/>
    </xf>
    <xf numFmtId="0" fontId="27" fillId="0" borderId="1" xfId="0" applyFont="1" applyBorder="1"/>
    <xf numFmtId="2" fontId="27" fillId="0" borderId="1" xfId="0" applyNumberFormat="1" applyFont="1" applyBorder="1"/>
    <xf numFmtId="0" fontId="10" fillId="0" borderId="0" xfId="180">
      <alignment vertical="center"/>
    </xf>
    <xf numFmtId="0" fontId="20" fillId="11" borderId="1" xfId="180" applyFont="1" applyFill="1" applyBorder="1" applyAlignment="1">
      <alignment horizontal="center" vertical="center"/>
    </xf>
    <xf numFmtId="0" fontId="13" fillId="0" borderId="0" xfId="180" applyFont="1" applyFill="1" applyBorder="1" applyAlignment="1">
      <alignment vertical="center"/>
    </xf>
    <xf numFmtId="0" fontId="5" fillId="0" borderId="0" xfId="180" applyFont="1" applyFill="1" applyBorder="1" applyAlignment="1">
      <alignment vertical="center"/>
    </xf>
    <xf numFmtId="0" fontId="12" fillId="0" borderId="0" xfId="0" applyFont="1" applyBorder="1" applyAlignment="1">
      <alignment vertical="center"/>
    </xf>
    <xf numFmtId="1" fontId="11" fillId="0" borderId="1" xfId="180" applyNumberFormat="1" applyFont="1" applyBorder="1" applyAlignment="1">
      <alignment horizontal="right" vertical="center"/>
    </xf>
    <xf numFmtId="49" fontId="11" fillId="0" borderId="1" xfId="0" applyNumberFormat="1" applyFont="1" applyBorder="1" applyAlignment="1"/>
    <xf numFmtId="49" fontId="17" fillId="0" borderId="1" xfId="0" applyNumberFormat="1" applyFont="1" applyBorder="1" applyAlignment="1">
      <alignment horizontal="left" vertical="center"/>
    </xf>
    <xf numFmtId="49" fontId="18" fillId="0" borderId="1" xfId="0" applyNumberFormat="1" applyFont="1" applyBorder="1" applyAlignment="1">
      <alignment horizontal="left" vertical="center"/>
    </xf>
    <xf numFmtId="49" fontId="27" fillId="0" borderId="1" xfId="0" applyNumberFormat="1" applyFont="1" applyBorder="1"/>
    <xf numFmtId="49" fontId="27" fillId="0" borderId="0" xfId="0" applyNumberFormat="1" applyFont="1"/>
    <xf numFmtId="0" fontId="17" fillId="0" borderId="1" xfId="0" applyFont="1" applyBorder="1" applyAlignment="1" applyProtection="1">
      <alignment horizontal="left" vertical="center"/>
      <protection locked="0"/>
    </xf>
    <xf numFmtId="0" fontId="17" fillId="0" borderId="1" xfId="0" quotePrefix="1" applyFont="1" applyBorder="1" applyAlignment="1" applyProtection="1">
      <alignment horizontal="left" vertical="center"/>
      <protection locked="0"/>
    </xf>
    <xf numFmtId="0" fontId="17" fillId="0" borderId="0" xfId="0" applyFont="1" applyBorder="1" applyAlignment="1" applyProtection="1">
      <alignment horizontal="left" vertical="center"/>
      <protection locked="0"/>
    </xf>
    <xf numFmtId="0" fontId="17" fillId="0" borderId="1" xfId="0" applyFont="1" applyBorder="1" applyAlignment="1"/>
    <xf numFmtId="0" fontId="34" fillId="0" borderId="1" xfId="0" applyFont="1" applyBorder="1" applyAlignment="1" applyProtection="1">
      <alignment horizontal="left" vertical="center"/>
      <protection locked="0"/>
    </xf>
    <xf numFmtId="0" fontId="35" fillId="0" borderId="1" xfId="0" applyFont="1" applyBorder="1" applyAlignment="1" applyProtection="1">
      <alignment horizontal="left" vertical="center"/>
      <protection locked="0"/>
    </xf>
    <xf numFmtId="49" fontId="17" fillId="0" borderId="1" xfId="0" applyNumberFormat="1" applyFont="1" applyFill="1" applyBorder="1" applyAlignment="1">
      <alignment horizontal="left" vertical="center"/>
    </xf>
    <xf numFmtId="165" fontId="17" fillId="0" borderId="1" xfId="0" applyNumberFormat="1" applyFont="1" applyFill="1" applyBorder="1" applyAlignment="1">
      <alignment horizontal="center" vertical="center"/>
    </xf>
    <xf numFmtId="0" fontId="17" fillId="0" borderId="1" xfId="0" applyFont="1" applyFill="1" applyBorder="1" applyAlignment="1"/>
    <xf numFmtId="0" fontId="17" fillId="0" borderId="1" xfId="0" applyFont="1" applyFill="1" applyBorder="1" applyAlignment="1" applyProtection="1">
      <alignment horizontal="left" vertical="center"/>
      <protection locked="0"/>
    </xf>
    <xf numFmtId="0" fontId="37" fillId="0" borderId="1" xfId="0" applyFont="1" applyBorder="1" applyAlignment="1" applyProtection="1">
      <alignment horizontal="left" vertical="center"/>
      <protection locked="0"/>
    </xf>
    <xf numFmtId="0" fontId="17" fillId="0" borderId="0" xfId="0" applyFont="1" applyAlignment="1" applyProtection="1">
      <alignment horizontal="left" vertical="center"/>
      <protection locked="0"/>
    </xf>
    <xf numFmtId="0" fontId="17" fillId="3" borderId="1" xfId="0" applyFont="1" applyFill="1" applyBorder="1" applyAlignment="1" applyProtection="1">
      <alignment horizontal="left" vertical="center"/>
      <protection locked="0"/>
    </xf>
    <xf numFmtId="0" fontId="17" fillId="0" borderId="0" xfId="0" applyFont="1" applyAlignment="1">
      <alignment vertical="center"/>
    </xf>
    <xf numFmtId="0" fontId="16" fillId="0" borderId="1" xfId="0" applyFont="1" applyBorder="1" applyAlignment="1">
      <alignment horizontal="center" vertical="center"/>
    </xf>
    <xf numFmtId="0" fontId="16" fillId="3" borderId="1" xfId="0" applyFont="1" applyFill="1" applyBorder="1" applyAlignment="1" applyProtection="1">
      <alignment horizontal="center" vertical="center"/>
      <protection locked="0"/>
    </xf>
    <xf numFmtId="49" fontId="17" fillId="0" borderId="0" xfId="0" applyNumberFormat="1" applyFont="1" applyBorder="1" applyAlignment="1">
      <alignment horizontal="left" vertical="top"/>
    </xf>
    <xf numFmtId="0" fontId="27" fillId="0" borderId="1" xfId="0" applyFont="1" applyFill="1" applyBorder="1"/>
    <xf numFmtId="2" fontId="27" fillId="0" borderId="1" xfId="0" applyNumberFormat="1" applyFont="1" applyFill="1" applyBorder="1"/>
    <xf numFmtId="0" fontId="27" fillId="0" borderId="0" xfId="0" applyFont="1" applyFill="1"/>
    <xf numFmtId="49" fontId="11" fillId="0" borderId="1" xfId="0" applyNumberFormat="1" applyFont="1" applyBorder="1"/>
    <xf numFmtId="49" fontId="9" fillId="0" borderId="0" xfId="0" applyNumberFormat="1" applyFont="1"/>
    <xf numFmtId="0" fontId="17" fillId="0" borderId="1" xfId="0" applyFont="1" applyBorder="1" applyAlignment="1">
      <alignment horizontal="left" vertical="center"/>
    </xf>
    <xf numFmtId="0" fontId="17" fillId="0" borderId="1" xfId="0" applyFont="1" applyBorder="1"/>
    <xf numFmtId="0" fontId="11" fillId="0" borderId="1" xfId="0" applyFont="1" applyBorder="1"/>
    <xf numFmtId="0" fontId="11" fillId="0" borderId="0" xfId="0" applyFont="1" applyAlignment="1" applyProtection="1">
      <alignment horizontal="left" vertical="center"/>
      <protection locked="0"/>
    </xf>
    <xf numFmtId="49" fontId="9" fillId="0" borderId="1" xfId="0" applyNumberFormat="1" applyFont="1" applyBorder="1"/>
    <xf numFmtId="0" fontId="19" fillId="0" borderId="0" xfId="180" applyFont="1" applyAlignment="1">
      <alignment horizontal="center" vertical="center"/>
    </xf>
    <xf numFmtId="0" fontId="25" fillId="0" borderId="6" xfId="180" applyFont="1" applyFill="1" applyBorder="1" applyAlignment="1">
      <alignment horizontal="center" vertical="center"/>
    </xf>
    <xf numFmtId="0" fontId="25" fillId="0" borderId="11" xfId="180" applyFont="1" applyFill="1" applyBorder="1" applyAlignment="1">
      <alignment horizontal="center" vertical="center"/>
    </xf>
    <xf numFmtId="0" fontId="22" fillId="0" borderId="8" xfId="180" applyFont="1" applyFill="1" applyBorder="1" applyAlignment="1">
      <alignment horizontal="center" vertical="center"/>
    </xf>
    <xf numFmtId="0" fontId="22" fillId="0" borderId="7" xfId="180" applyFont="1" applyFill="1" applyBorder="1" applyAlignment="1">
      <alignment horizontal="center" vertical="center"/>
    </xf>
    <xf numFmtId="0" fontId="22" fillId="0" borderId="16" xfId="180" applyFont="1" applyFill="1" applyBorder="1" applyAlignment="1">
      <alignment horizontal="center" vertical="center"/>
    </xf>
    <xf numFmtId="0" fontId="13" fillId="4" borderId="1" xfId="180" applyFont="1" applyFill="1" applyBorder="1" applyAlignment="1">
      <alignment horizontal="center" vertical="center"/>
    </xf>
    <xf numFmtId="0" fontId="13" fillId="0" borderId="3" xfId="180" applyFont="1" applyBorder="1" applyAlignment="1">
      <alignment horizontal="center" vertical="center"/>
    </xf>
    <xf numFmtId="0" fontId="13" fillId="0" borderId="4" xfId="180" applyFont="1" applyBorder="1" applyAlignment="1">
      <alignment horizontal="center" vertical="center"/>
    </xf>
    <xf numFmtId="0" fontId="13" fillId="0" borderId="10" xfId="180" applyFont="1" applyBorder="1" applyAlignment="1">
      <alignment horizontal="center" vertical="center"/>
    </xf>
  </cellXfs>
  <cellStyles count="211">
    <cellStyle name="Comma 2" xfId="182" xr:uid="{00000000-0005-0000-0000-000001000000}"/>
    <cellStyle name="Normal 2" xfId="1" xr:uid="{00000000-0005-0000-0000-0000C9000000}"/>
    <cellStyle name="Normal 2 2" xfId="2" xr:uid="{00000000-0005-0000-0000-0000CA000000}"/>
    <cellStyle name="Normal 3" xfId="3" xr:uid="{00000000-0005-0000-0000-0000CB000000}"/>
    <cellStyle name="Normal 3 2" xfId="163" xr:uid="{00000000-0005-0000-0000-0000CC000000}"/>
    <cellStyle name="Normal 4" xfId="165" xr:uid="{00000000-0005-0000-0000-0000CD000000}"/>
    <cellStyle name="Normal 5" xfId="180" xr:uid="{00000000-0005-0000-0000-0000CE000000}"/>
    <cellStyle name="Normal 6" xfId="204" xr:uid="{00000000-0005-0000-0000-0000CF000000}"/>
    <cellStyle name="Percent 2" xfId="4" xr:uid="{00000000-0005-0000-0000-0000D0000000}"/>
    <cellStyle name="Percent 2 2" xfId="164" xr:uid="{00000000-0005-0000-0000-0000D1000000}"/>
    <cellStyle name="Percent 3" xfId="181" xr:uid="{00000000-0005-0000-0000-0000D2000000}"/>
    <cellStyle name="千位分隔" xfId="203" builtinId="3"/>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 name="已访问的超链接" xfId="72" builtinId="9" hidden="1"/>
    <cellStyle name="已访问的超链接" xfId="74" builtinId="9" hidden="1"/>
    <cellStyle name="已访问的超链接" xfId="76" builtinId="9" hidden="1"/>
    <cellStyle name="已访问的超链接" xfId="78" builtinId="9" hidden="1"/>
    <cellStyle name="已访问的超链接" xfId="80" builtinId="9" hidden="1"/>
    <cellStyle name="已访问的超链接" xfId="82" builtinId="9" hidden="1"/>
    <cellStyle name="已访问的超链接" xfId="84" builtinId="9" hidden="1"/>
    <cellStyle name="已访问的超链接" xfId="86" builtinId="9" hidden="1"/>
    <cellStyle name="已访问的超链接" xfId="88" builtinId="9" hidden="1"/>
    <cellStyle name="已访问的超链接" xfId="90" builtinId="9" hidden="1"/>
    <cellStyle name="已访问的超链接" xfId="92" builtinId="9" hidden="1"/>
    <cellStyle name="已访问的超链接" xfId="94" builtinId="9" hidden="1"/>
    <cellStyle name="已访问的超链接" xfId="96" builtinId="9" hidden="1"/>
    <cellStyle name="已访问的超链接" xfId="98" builtinId="9" hidden="1"/>
    <cellStyle name="已访问的超链接" xfId="100" builtinId="9" hidden="1"/>
    <cellStyle name="已访问的超链接" xfId="102" builtinId="9" hidden="1"/>
    <cellStyle name="已访问的超链接" xfId="104" builtinId="9" hidden="1"/>
    <cellStyle name="已访问的超链接" xfId="106" builtinId="9" hidden="1"/>
    <cellStyle name="已访问的超链接" xfId="108" builtinId="9" hidden="1"/>
    <cellStyle name="已访问的超链接" xfId="110" builtinId="9" hidden="1"/>
    <cellStyle name="已访问的超链接" xfId="112" builtinId="9" hidden="1"/>
    <cellStyle name="已访问的超链接" xfId="114" builtinId="9" hidden="1"/>
    <cellStyle name="已访问的超链接" xfId="116" builtinId="9" hidden="1"/>
    <cellStyle name="已访问的超链接" xfId="118" builtinId="9" hidden="1"/>
    <cellStyle name="已访问的超链接" xfId="120" builtinId="9" hidden="1"/>
    <cellStyle name="已访问的超链接" xfId="122" builtinId="9" hidden="1"/>
    <cellStyle name="已访问的超链接" xfId="124" builtinId="9" hidden="1"/>
    <cellStyle name="已访问的超链接" xfId="126" builtinId="9" hidden="1"/>
    <cellStyle name="已访问的超链接" xfId="128" builtinId="9" hidden="1"/>
    <cellStyle name="已访问的超链接" xfId="130" builtinId="9" hidden="1"/>
    <cellStyle name="已访问的超链接" xfId="132" builtinId="9" hidden="1"/>
    <cellStyle name="已访问的超链接" xfId="134" builtinId="9" hidden="1"/>
    <cellStyle name="已访问的超链接" xfId="136" builtinId="9" hidden="1"/>
    <cellStyle name="已访问的超链接" xfId="138" builtinId="9" hidden="1"/>
    <cellStyle name="已访问的超链接" xfId="140" builtinId="9" hidden="1"/>
    <cellStyle name="已访问的超链接" xfId="142" builtinId="9" hidden="1"/>
    <cellStyle name="已访问的超链接" xfId="144" builtinId="9" hidden="1"/>
    <cellStyle name="已访问的超链接" xfId="146" builtinId="9" hidden="1"/>
    <cellStyle name="已访问的超链接" xfId="148" builtinId="9" hidden="1"/>
    <cellStyle name="已访问的超链接" xfId="150" builtinId="9" hidden="1"/>
    <cellStyle name="已访问的超链接" xfId="152" builtinId="9" hidden="1"/>
    <cellStyle name="已访问的超链接" xfId="154" builtinId="9" hidden="1"/>
    <cellStyle name="已访问的超链接" xfId="156" builtinId="9" hidden="1"/>
    <cellStyle name="已访问的超链接" xfId="158" builtinId="9" hidden="1"/>
    <cellStyle name="已访问的超链接" xfId="160" builtinId="9" hidden="1"/>
    <cellStyle name="已访问的超链接" xfId="162" builtinId="9" hidden="1"/>
    <cellStyle name="已访问的超链接" xfId="167" builtinId="9" hidden="1"/>
    <cellStyle name="已访问的超链接" xfId="169" builtinId="9" hidden="1"/>
    <cellStyle name="已访问的超链接" xfId="171" builtinId="9" hidden="1"/>
    <cellStyle name="已访问的超链接" xfId="173" builtinId="9" hidden="1"/>
    <cellStyle name="已访问的超链接" xfId="175" builtinId="9" hidden="1"/>
    <cellStyle name="已访问的超链接" xfId="177" builtinId="9" hidden="1"/>
    <cellStyle name="已访问的超链接" xfId="179" builtinId="9" hidden="1"/>
    <cellStyle name="已访问的超链接" xfId="184" builtinId="9" hidden="1"/>
    <cellStyle name="已访问的超链接" xfId="186" builtinId="9" hidden="1"/>
    <cellStyle name="已访问的超链接" xfId="188" builtinId="9" hidden="1"/>
    <cellStyle name="已访问的超链接" xfId="190" builtinId="9" hidden="1"/>
    <cellStyle name="已访问的超链接" xfId="192" builtinId="9" hidden="1"/>
    <cellStyle name="已访问的超链接" xfId="194" builtinId="9" hidden="1"/>
    <cellStyle name="已访问的超链接" xfId="196" builtinId="9" hidden="1"/>
    <cellStyle name="已访问的超链接" xfId="198" builtinId="9" hidden="1"/>
    <cellStyle name="已访问的超链接" xfId="200" builtinId="9" hidden="1"/>
    <cellStyle name="已访问的超链接" xfId="202" builtinId="9" hidden="1"/>
    <cellStyle name="已访问的超链接" xfId="206" builtinId="9" hidden="1"/>
    <cellStyle name="已访问的超链接" xfId="208" builtinId="9" hidden="1"/>
    <cellStyle name="已访问的超链接" xfId="210" builtinId="9" hidden="1"/>
    <cellStyle name="常规" xfId="0" builtinId="0"/>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 name="超链接" xfId="71" builtinId="8" hidden="1"/>
    <cellStyle name="超链接" xfId="73" builtinId="8" hidden="1"/>
    <cellStyle name="超链接" xfId="75" builtinId="8" hidden="1"/>
    <cellStyle name="超链接" xfId="77" builtinId="8" hidden="1"/>
    <cellStyle name="超链接" xfId="79" builtinId="8" hidden="1"/>
    <cellStyle name="超链接" xfId="81" builtinId="8" hidden="1"/>
    <cellStyle name="超链接" xfId="83" builtinId="8" hidden="1"/>
    <cellStyle name="超链接" xfId="85" builtinId="8" hidden="1"/>
    <cellStyle name="超链接" xfId="87" builtinId="8" hidden="1"/>
    <cellStyle name="超链接" xfId="89" builtinId="8" hidden="1"/>
    <cellStyle name="超链接" xfId="91" builtinId="8" hidden="1"/>
    <cellStyle name="超链接" xfId="93" builtinId="8" hidden="1"/>
    <cellStyle name="超链接" xfId="95" builtinId="8" hidden="1"/>
    <cellStyle name="超链接" xfId="97" builtinId="8" hidden="1"/>
    <cellStyle name="超链接" xfId="99" builtinId="8" hidden="1"/>
    <cellStyle name="超链接" xfId="101" builtinId="8" hidden="1"/>
    <cellStyle name="超链接" xfId="103" builtinId="8" hidden="1"/>
    <cellStyle name="超链接" xfId="105" builtinId="8" hidden="1"/>
    <cellStyle name="超链接" xfId="107" builtinId="8" hidden="1"/>
    <cellStyle name="超链接" xfId="109" builtinId="8" hidden="1"/>
    <cellStyle name="超链接" xfId="111" builtinId="8" hidden="1"/>
    <cellStyle name="超链接" xfId="113" builtinId="8" hidden="1"/>
    <cellStyle name="超链接" xfId="115" builtinId="8" hidden="1"/>
    <cellStyle name="超链接" xfId="117" builtinId="8" hidden="1"/>
    <cellStyle name="超链接" xfId="119" builtinId="8" hidden="1"/>
    <cellStyle name="超链接" xfId="121" builtinId="8" hidden="1"/>
    <cellStyle name="超链接" xfId="123" builtinId="8" hidden="1"/>
    <cellStyle name="超链接" xfId="125" builtinId="8" hidden="1"/>
    <cellStyle name="超链接" xfId="127" builtinId="8" hidden="1"/>
    <cellStyle name="超链接" xfId="129" builtinId="8" hidden="1"/>
    <cellStyle name="超链接" xfId="131" builtinId="8" hidden="1"/>
    <cellStyle name="超链接" xfId="133" builtinId="8" hidden="1"/>
    <cellStyle name="超链接" xfId="135" builtinId="8" hidden="1"/>
    <cellStyle name="超链接" xfId="137" builtinId="8" hidden="1"/>
    <cellStyle name="超链接" xfId="139" builtinId="8" hidden="1"/>
    <cellStyle name="超链接" xfId="141" builtinId="8" hidden="1"/>
    <cellStyle name="超链接" xfId="143" builtinId="8" hidden="1"/>
    <cellStyle name="超链接" xfId="145" builtinId="8" hidden="1"/>
    <cellStyle name="超链接" xfId="147" builtinId="8" hidden="1"/>
    <cellStyle name="超链接" xfId="149" builtinId="8" hidden="1"/>
    <cellStyle name="超链接" xfId="151" builtinId="8" hidden="1"/>
    <cellStyle name="超链接" xfId="153" builtinId="8" hidden="1"/>
    <cellStyle name="超链接" xfId="155" builtinId="8" hidden="1"/>
    <cellStyle name="超链接" xfId="157" builtinId="8" hidden="1"/>
    <cellStyle name="超链接" xfId="159" builtinId="8" hidden="1"/>
    <cellStyle name="超链接" xfId="161" builtinId="8" hidden="1"/>
    <cellStyle name="超链接" xfId="166" builtinId="8" hidden="1"/>
    <cellStyle name="超链接" xfId="168" builtinId="8" hidden="1"/>
    <cellStyle name="超链接" xfId="170" builtinId="8" hidden="1"/>
    <cellStyle name="超链接" xfId="172" builtinId="8" hidden="1"/>
    <cellStyle name="超链接" xfId="174" builtinId="8" hidden="1"/>
    <cellStyle name="超链接" xfId="176" builtinId="8" hidden="1"/>
    <cellStyle name="超链接" xfId="178" builtinId="8" hidden="1"/>
    <cellStyle name="超链接" xfId="183" builtinId="8" hidden="1"/>
    <cellStyle name="超链接" xfId="185" builtinId="8" hidden="1"/>
    <cellStyle name="超链接" xfId="187" builtinId="8" hidden="1"/>
    <cellStyle name="超链接" xfId="189" builtinId="8" hidden="1"/>
    <cellStyle name="超链接" xfId="191" builtinId="8" hidden="1"/>
    <cellStyle name="超链接" xfId="193" builtinId="8" hidden="1"/>
    <cellStyle name="超链接" xfId="195" builtinId="8" hidden="1"/>
    <cellStyle name="超链接" xfId="197" builtinId="8" hidden="1"/>
    <cellStyle name="超链接" xfId="199" builtinId="8" hidden="1"/>
    <cellStyle name="超链接" xfId="201" builtinId="8" hidden="1"/>
    <cellStyle name="超链接" xfId="205" builtinId="8" hidden="1"/>
    <cellStyle name="超链接" xfId="207" builtinId="8" hidden="1"/>
    <cellStyle name="超链接" xfId="209" builtinId="8" hidden="1"/>
  </cellStyles>
  <dxfs count="594">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152400</xdr:colOff>
          <xdr:row>0</xdr:row>
          <xdr:rowOff>22860</xdr:rowOff>
        </xdr:from>
        <xdr:to>
          <xdr:col>10</xdr:col>
          <xdr:colOff>1013460</xdr:colOff>
          <xdr:row>0</xdr:row>
          <xdr:rowOff>365760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Copy Row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dd/Desktop/selected_450/Template_Summarization_withoutscoreboard_04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rror Log"/>
      <sheetName val="Sheet1"/>
      <sheetName val="Scores per segment"/>
      <sheetName val="Severity_Matrix"/>
      <sheetName val="Sheet2"/>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主题">
  <a:themeElements>
    <a:clrScheme name="办公室">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办公室">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办公室">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L36"/>
  <sheetViews>
    <sheetView showGridLines="0" topLeftCell="A10" zoomScale="80" zoomScaleNormal="80" zoomScalePageLayoutView="110" workbookViewId="0">
      <selection activeCell="H19" sqref="H19"/>
    </sheetView>
  </sheetViews>
  <sheetFormatPr defaultColWidth="7.69921875" defaultRowHeight="13.8"/>
  <cols>
    <col min="1" max="1" width="3.19921875" style="26" customWidth="1"/>
    <col min="2" max="2" width="15.3984375" style="26" customWidth="1"/>
    <col min="3" max="3" width="20.8984375" style="26" customWidth="1"/>
    <col min="4" max="4" width="14.69921875" style="26" customWidth="1"/>
    <col min="5" max="5" width="16.69921875" style="26" customWidth="1"/>
    <col min="6" max="7" width="15.59765625" style="26" customWidth="1"/>
    <col min="8" max="8" width="17.296875" style="26" customWidth="1"/>
    <col min="9" max="9" width="14.69921875" style="26" customWidth="1"/>
    <col min="10" max="12" width="13.796875" style="26" customWidth="1"/>
    <col min="13" max="16384" width="7.69921875" style="26"/>
  </cols>
  <sheetData>
    <row r="2" spans="2:11">
      <c r="B2" s="110" t="s">
        <v>16</v>
      </c>
      <c r="C2" s="110"/>
      <c r="E2" s="110" t="s">
        <v>15</v>
      </c>
      <c r="F2" s="110"/>
      <c r="H2" s="110" t="s">
        <v>857</v>
      </c>
      <c r="I2" s="110"/>
    </row>
    <row r="4" spans="2:11">
      <c r="B4" s="26" t="s">
        <v>18</v>
      </c>
      <c r="C4" s="27"/>
      <c r="E4" s="26" t="s">
        <v>14</v>
      </c>
      <c r="F4" s="41">
        <f>COUNTA('Error Log'!A:A)-1</f>
        <v>427</v>
      </c>
      <c r="H4" s="26" t="s">
        <v>858</v>
      </c>
      <c r="I4" s="42">
        <f>H18</f>
        <v>85.642282437806344</v>
      </c>
      <c r="K4" s="35"/>
    </row>
    <row r="5" spans="2:11">
      <c r="C5" s="28"/>
      <c r="F5" s="28"/>
      <c r="K5" s="36">
        <f>I4</f>
        <v>85.642282437806344</v>
      </c>
    </row>
    <row r="6" spans="2:11">
      <c r="B6" s="26" t="s">
        <v>49</v>
      </c>
      <c r="C6" s="29"/>
      <c r="D6" s="26" t="s">
        <v>50</v>
      </c>
      <c r="E6" s="26" t="s">
        <v>9</v>
      </c>
      <c r="F6" s="41">
        <f>L36</f>
        <v>417</v>
      </c>
      <c r="H6" s="26" t="s">
        <v>12</v>
      </c>
      <c r="I6" s="43">
        <f>IF(C8=0,"0",1000*(F6/C8))</f>
        <v>38.564690650143348</v>
      </c>
      <c r="K6" s="37">
        <v>1</v>
      </c>
    </row>
    <row r="7" spans="2:11">
      <c r="C7" s="28"/>
      <c r="F7" s="28"/>
      <c r="I7" s="28"/>
      <c r="K7" s="38">
        <f>200-(K5+K6)</f>
        <v>113.35771756219366</v>
      </c>
    </row>
    <row r="8" spans="2:11">
      <c r="B8" s="26" t="s">
        <v>11</v>
      </c>
      <c r="C8" s="77">
        <f>SUM('Scores per segment'!D:D)</f>
        <v>10813</v>
      </c>
      <c r="E8" s="26" t="s">
        <v>38</v>
      </c>
      <c r="F8" s="41">
        <v>0</v>
      </c>
      <c r="H8" s="26" t="s">
        <v>39</v>
      </c>
      <c r="I8" s="44">
        <f>IF(C10=0,"0",(F8/C10))</f>
        <v>0</v>
      </c>
      <c r="K8" s="37"/>
    </row>
    <row r="9" spans="2:11">
      <c r="C9" s="28"/>
      <c r="I9" s="28"/>
      <c r="K9" s="37"/>
    </row>
    <row r="10" spans="2:11">
      <c r="B10" s="26" t="s">
        <v>10</v>
      </c>
      <c r="C10" s="27">
        <v>150</v>
      </c>
      <c r="E10" s="26" t="s">
        <v>13</v>
      </c>
      <c r="F10" s="41">
        <f>COUNTIFS('Error Log'!D:D,"*",'Error Log'!E:E,"")</f>
        <v>10</v>
      </c>
      <c r="H10" s="26" t="s">
        <v>19</v>
      </c>
      <c r="I10" s="44">
        <f>IF(C10=0,"0",(F10/C10))</f>
        <v>6.6666666666666666E-2</v>
      </c>
    </row>
    <row r="11" spans="2:11">
      <c r="C11" s="34"/>
    </row>
    <row r="12" spans="2:11" ht="14.4" thickBot="1">
      <c r="B12" s="30"/>
      <c r="C12" s="30"/>
      <c r="D12" s="30"/>
      <c r="E12" s="30"/>
      <c r="F12" s="30"/>
      <c r="G12" s="30"/>
      <c r="H12" s="30"/>
      <c r="I12" s="30"/>
    </row>
    <row r="13" spans="2:11" ht="14.4" thickTop="1">
      <c r="B13" s="33"/>
      <c r="C13" s="33"/>
      <c r="D13" s="33"/>
      <c r="E13" s="33"/>
      <c r="F13" s="33"/>
      <c r="G13" s="33"/>
      <c r="H13" s="33"/>
      <c r="I13" s="33"/>
      <c r="J13" s="33"/>
    </row>
    <row r="15" spans="2:11">
      <c r="D15" s="40" t="s">
        <v>40</v>
      </c>
    </row>
    <row r="16" spans="2:11">
      <c r="C16" s="34"/>
    </row>
    <row r="17" spans="2:12" ht="15.6">
      <c r="C17" s="39"/>
      <c r="D17" s="58" t="s">
        <v>35</v>
      </c>
      <c r="E17" s="59" t="s">
        <v>36</v>
      </c>
      <c r="F17" s="60" t="s">
        <v>37</v>
      </c>
      <c r="G17" s="73" t="s">
        <v>47</v>
      </c>
      <c r="H17" s="68" t="s">
        <v>51</v>
      </c>
    </row>
    <row r="18" spans="2:12" ht="15.6">
      <c r="C18" s="67" t="s">
        <v>42</v>
      </c>
      <c r="D18" s="58">
        <f>COUNTIF('Error Log'!$J:$J,D$17)</f>
        <v>204</v>
      </c>
      <c r="E18" s="59">
        <f>COUNTIF('Error Log'!$J:$J,E$17)</f>
        <v>213</v>
      </c>
      <c r="F18" s="60">
        <f>COUNTIF('Error Log'!$J:$J,F$17)</f>
        <v>0</v>
      </c>
      <c r="G18" s="73">
        <f>COUNTIF('Error Log'!$F:$F,"Target")</f>
        <v>0</v>
      </c>
      <c r="H18" s="69">
        <f>SUMPRODUCT('Scores per segment'!J:J,'Scores per segment'!D:D)/SUM('Scores per segment'!D:D)</f>
        <v>85.642282437806344</v>
      </c>
    </row>
    <row r="21" spans="2:12">
      <c r="C21" s="34"/>
    </row>
    <row r="22" spans="2:12" ht="14.4" thickBot="1">
      <c r="B22" s="30"/>
      <c r="C22" s="30"/>
      <c r="D22" s="30"/>
      <c r="E22" s="30"/>
      <c r="F22" s="30"/>
      <c r="G22" s="30"/>
      <c r="H22" s="30"/>
      <c r="I22" s="30"/>
      <c r="J22" s="30"/>
      <c r="K22" s="30"/>
      <c r="L22" s="30"/>
    </row>
    <row r="23" spans="2:12" ht="14.4" thickTop="1">
      <c r="B23" s="33"/>
      <c r="C23" s="33"/>
      <c r="D23" s="33"/>
      <c r="E23" s="33"/>
      <c r="F23" s="33"/>
      <c r="G23" s="33"/>
      <c r="H23" s="33"/>
      <c r="I23" s="33"/>
      <c r="J23" s="33"/>
      <c r="K23" s="33"/>
      <c r="L23" s="33"/>
    </row>
    <row r="24" spans="2:12">
      <c r="B24" s="33"/>
      <c r="C24" s="33"/>
      <c r="D24" s="33"/>
      <c r="E24" s="33"/>
      <c r="F24" s="33"/>
      <c r="G24" s="33"/>
      <c r="H24" s="33"/>
      <c r="I24" s="33"/>
      <c r="J24" s="33"/>
      <c r="K24" s="33"/>
      <c r="L24" s="33"/>
    </row>
    <row r="25" spans="2:12">
      <c r="B25" s="33"/>
      <c r="D25" s="40" t="s">
        <v>41</v>
      </c>
      <c r="E25" s="33"/>
      <c r="F25" s="33"/>
      <c r="G25" s="33"/>
      <c r="H25" s="33"/>
      <c r="I25" s="33"/>
      <c r="J25" s="33"/>
      <c r="K25" s="33"/>
      <c r="L25" s="33"/>
    </row>
    <row r="26" spans="2:12" ht="14.4" thickBot="1">
      <c r="B26" s="33"/>
      <c r="C26" s="33"/>
      <c r="D26" s="33"/>
      <c r="E26" s="33"/>
      <c r="F26" s="33"/>
      <c r="G26" s="33"/>
      <c r="H26" s="33"/>
      <c r="I26" s="33"/>
      <c r="J26" s="33"/>
      <c r="K26" s="33"/>
      <c r="L26" s="33"/>
    </row>
    <row r="27" spans="2:12" ht="14.4" thickBot="1">
      <c r="B27" s="45" t="s">
        <v>31</v>
      </c>
      <c r="C27" s="46" t="s">
        <v>30</v>
      </c>
      <c r="D27" s="46" t="s">
        <v>859</v>
      </c>
      <c r="E27" s="46" t="s">
        <v>860</v>
      </c>
      <c r="F27" s="46" t="s">
        <v>861</v>
      </c>
      <c r="G27" s="46" t="s">
        <v>29</v>
      </c>
      <c r="H27" s="46" t="s">
        <v>27</v>
      </c>
      <c r="I27" s="46" t="s">
        <v>70</v>
      </c>
      <c r="J27" s="46" t="s">
        <v>862</v>
      </c>
      <c r="K27" s="46" t="s">
        <v>55</v>
      </c>
      <c r="L27" s="47" t="s">
        <v>6</v>
      </c>
    </row>
    <row r="28" spans="2:12">
      <c r="B28" s="115" t="s">
        <v>8</v>
      </c>
      <c r="C28" s="61" t="s">
        <v>22</v>
      </c>
      <c r="D28" s="48">
        <f>COUNTIFS('Error Log'!$E:$E,$B$28,'Error Log'!$F:$F,$C28,'Error Log'!$G:$G,D$27)</f>
        <v>0</v>
      </c>
      <c r="E28" s="48">
        <f>COUNTIFS('Error Log'!$E:$E,$B$28,'Error Log'!$F:$F,$C28,'Error Log'!$G:$G,E$27)</f>
        <v>0</v>
      </c>
      <c r="F28" s="55">
        <f>COUNTIFS('Error Log'!$E:$E,$B$28,'Error Log'!$F:$F,$C28,'Error Log'!$G:$G,F$27)</f>
        <v>0</v>
      </c>
      <c r="G28" s="55">
        <f>COUNTIFS('Error Log'!$E:$E,$B$28,'Error Log'!$F:$F,$C28,'Error Log'!$G:$G,G$27)</f>
        <v>0</v>
      </c>
      <c r="H28" s="55">
        <f>COUNTIFS('Error Log'!$E:$E,$B$28,'Error Log'!$F:$F,$C28,'Error Log'!$G:$G,H$27)</f>
        <v>0</v>
      </c>
      <c r="I28" s="55">
        <f>COUNTIFS('Error Log'!$E:$E,$B$28,'Error Log'!$F:$F,$C28,'Error Log'!$G:$G,I$27)</f>
        <v>44</v>
      </c>
      <c r="J28" s="48">
        <f>COUNTIFS('Error Log'!$E:$E,$B$28,'Error Log'!$F:$F,$C28,'Error Log'!$G:$G,J$27)</f>
        <v>0</v>
      </c>
      <c r="K28" s="54">
        <f>COUNTIFS('Error Log'!$E:$E,$B$28,'Error Log'!$F:$F,$C28,'Error Log'!$G:$G,K$27)</f>
        <v>124</v>
      </c>
      <c r="L28" s="65">
        <f t="shared" ref="L28:L35" si="0">SUM(D28:K28)</f>
        <v>168</v>
      </c>
    </row>
    <row r="29" spans="2:12">
      <c r="B29" s="114"/>
      <c r="C29" s="62" t="s">
        <v>7</v>
      </c>
      <c r="D29" s="49">
        <f>COUNTIFS('Error Log'!$E:$E,$B$28,'Error Log'!$F:$F,$C29,'Error Log'!$G:$G,D$27)</f>
        <v>0</v>
      </c>
      <c r="E29" s="49">
        <f>COUNTIFS('Error Log'!$E:$E,$B$28,'Error Log'!$F:$F,$C29,'Error Log'!$G:$G,E$27)</f>
        <v>0</v>
      </c>
      <c r="F29" s="56">
        <f>COUNTIFS('Error Log'!$E:$E,$B$28,'Error Log'!$F:$F,$C29,'Error Log'!$G:$G,F$27)</f>
        <v>0</v>
      </c>
      <c r="G29" s="56">
        <f>COUNTIFS('Error Log'!$E:$E,$B$28,'Error Log'!$F:$F,$C29,'Error Log'!$G:$G,G$27)</f>
        <v>0</v>
      </c>
      <c r="H29" s="56">
        <f>COUNTIFS('Error Log'!$E:$E,$B$28,'Error Log'!$F:$F,$C29,'Error Log'!$G:$G,H$27)</f>
        <v>1</v>
      </c>
      <c r="I29" s="56">
        <f>COUNTIFS('Error Log'!$E:$E,$B$28,'Error Log'!$F:$F,$C29,'Error Log'!$G:$G,I$27)</f>
        <v>1</v>
      </c>
      <c r="J29" s="51">
        <f>COUNTIFS('Error Log'!$E:$E,$B$28,'Error Log'!$F:$F,$C29,'Error Log'!$G:$G,J$27)</f>
        <v>0</v>
      </c>
      <c r="K29" s="52">
        <f>COUNTIFS('Error Log'!$E:$E,$B$28,'Error Log'!$F:$F,$C29,'Error Log'!$G:$G,K$27)</f>
        <v>204</v>
      </c>
      <c r="L29" s="66">
        <f t="shared" si="0"/>
        <v>206</v>
      </c>
    </row>
    <row r="30" spans="2:12">
      <c r="B30" s="114"/>
      <c r="C30" s="62" t="s">
        <v>66</v>
      </c>
      <c r="D30" s="49">
        <f>COUNTIFS('Error Log'!$E:$E,$B$28,'Error Log'!$F:$F,$C30,'Error Log'!$G:$G,D$27)</f>
        <v>0</v>
      </c>
      <c r="E30" s="49">
        <f>COUNTIFS('Error Log'!$E:$E,$B$28,'Error Log'!$F:$F,$C30,'Error Log'!$G:$G,E$27)</f>
        <v>0</v>
      </c>
      <c r="F30" s="56">
        <f>COUNTIFS('Error Log'!$E:$E,$B$28,'Error Log'!$F:$F,$C30,'Error Log'!$G:$G,F$27)</f>
        <v>0</v>
      </c>
      <c r="G30" s="56">
        <f>COUNTIFS('Error Log'!$E:$E,$B$28,'Error Log'!$F:$F,$C30,'Error Log'!$G:$G,G$27)</f>
        <v>0</v>
      </c>
      <c r="H30" s="56">
        <f>COUNTIFS('Error Log'!$E:$E,$B$28,'Error Log'!$F:$F,$C30,'Error Log'!$G:$G,H$27)</f>
        <v>0</v>
      </c>
      <c r="I30" s="56">
        <f>COUNTIFS('Error Log'!$E:$E,$B$28,'Error Log'!$F:$F,$C30,'Error Log'!$G:$G,I$27)</f>
        <v>0</v>
      </c>
      <c r="J30" s="49">
        <f>COUNTIFS('Error Log'!$E:$E,$B$28,'Error Log'!$F:$F,$C30,'Error Log'!$G:$G,J$27)</f>
        <v>0</v>
      </c>
      <c r="K30" s="52">
        <f>COUNTIFS('Error Log'!$E:$E,$B$28,'Error Log'!$F:$F,$C30,'Error Log'!$G:$G,K$27)</f>
        <v>0</v>
      </c>
      <c r="L30" s="66">
        <f t="shared" si="0"/>
        <v>0</v>
      </c>
    </row>
    <row r="31" spans="2:12">
      <c r="B31" s="114"/>
      <c r="C31" s="62" t="s">
        <v>67</v>
      </c>
      <c r="D31" s="49">
        <f>COUNTIFS('Error Log'!$E:$E,$B$28,'Error Log'!$F:$F,$C31,'Error Log'!$G:$G,D$27)</f>
        <v>0</v>
      </c>
      <c r="E31" s="49">
        <f>COUNTIFS('Error Log'!$E:$E,$B$28,'Error Log'!$F:$F,$C31,'Error Log'!$G:$G,E$27)</f>
        <v>0</v>
      </c>
      <c r="F31" s="56">
        <f>COUNTIFS('Error Log'!$E:$E,$B$28,'Error Log'!$F:$F,$C31,'Error Log'!$G:$G,F$27)</f>
        <v>0</v>
      </c>
      <c r="G31" s="56">
        <f>COUNTIFS('Error Log'!$E:$E,$B$28,'Error Log'!$F:$F,$C31,'Error Log'!$G:$G,G$27)</f>
        <v>0</v>
      </c>
      <c r="H31" s="56">
        <f>COUNTIFS('Error Log'!$E:$E,$B$28,'Error Log'!$F:$F,$C31,'Error Log'!$G:$G,H$27)</f>
        <v>0</v>
      </c>
      <c r="I31" s="56">
        <f>COUNTIFS('Error Log'!$E:$E,$B$28,'Error Log'!$F:$F,$C31,'Error Log'!$G:$G,I$27)</f>
        <v>0</v>
      </c>
      <c r="J31" s="49">
        <f>COUNTIFS('Error Log'!$E:$E,$B$28,'Error Log'!$F:$F,$C31,'Error Log'!$G:$G,J$27)</f>
        <v>0</v>
      </c>
      <c r="K31" s="52">
        <f>COUNTIFS('Error Log'!$E:$E,$B$28,'Error Log'!$F:$F,$C31,'Error Log'!$G:$G,K$27)</f>
        <v>0</v>
      </c>
      <c r="L31" s="66">
        <f t="shared" ref="L31" si="1">SUM(D31:K31)</f>
        <v>0</v>
      </c>
    </row>
    <row r="32" spans="2:12" ht="14.4" thickBot="1">
      <c r="B32" s="114"/>
      <c r="C32" s="62" t="s">
        <v>44</v>
      </c>
      <c r="D32" s="51">
        <f>COUNTIFS('Error Log'!$E:$E,$B$28,'Error Log'!$F:$F,$C32,'Error Log'!$G:$G,D$27)</f>
        <v>0</v>
      </c>
      <c r="E32" s="51">
        <f>COUNTIFS('Error Log'!$E:$E,$B$28,'Error Log'!$F:$F,$C32,'Error Log'!$G:$G,E$27)</f>
        <v>0</v>
      </c>
      <c r="F32" s="51">
        <f>COUNTIFS('Error Log'!$E:$E,$B$28,'Error Log'!$F:$F,$C32,'Error Log'!$G:$G,F$27)</f>
        <v>0</v>
      </c>
      <c r="G32" s="51">
        <f>COUNTIFS('Error Log'!$E:$E,$B$28,'Error Log'!$F:$F,$C32,'Error Log'!$G:$G,G$27)</f>
        <v>0</v>
      </c>
      <c r="H32" s="51">
        <f>COUNTIFS('Error Log'!$E:$E,$B$28,'Error Log'!$F:$F,$C32,'Error Log'!$G:$G,H$27)</f>
        <v>0</v>
      </c>
      <c r="I32" s="51">
        <f>COUNTIFS('Error Log'!$E:$E,$B$28,'Error Log'!$F:$F,$C32,'Error Log'!$G:$G,I$27)</f>
        <v>0</v>
      </c>
      <c r="J32" s="49">
        <f>COUNTIFS('Error Log'!$E:$E,$B$28,'Error Log'!$F:$F,$C32,'Error Log'!$G:$G,J$27)</f>
        <v>0</v>
      </c>
      <c r="K32" s="52">
        <f>COUNTIFS('Error Log'!$E:$E,$B$28,'Error Log'!$F:$F,$C32,'Error Log'!$G:$G,K$27)</f>
        <v>0</v>
      </c>
      <c r="L32" s="66">
        <f t="shared" si="0"/>
        <v>0</v>
      </c>
    </row>
    <row r="33" spans="2:12">
      <c r="B33" s="113" t="s">
        <v>2</v>
      </c>
      <c r="C33" s="63" t="s">
        <v>69</v>
      </c>
      <c r="D33" s="57">
        <f>COUNTIFS('Error Log'!$E:$E,$B$33,'Error Log'!$F:$F,$C33,'Error Log'!$G:$G,D$27)</f>
        <v>0</v>
      </c>
      <c r="E33" s="53">
        <f>COUNTIFS('Error Log'!$E:$E,$B$33,'Error Log'!$F:$F,$C33,'Error Log'!$G:$G,E$27)</f>
        <v>0</v>
      </c>
      <c r="F33" s="53">
        <f>COUNTIFS('Error Log'!$E:$E,$B$33,'Error Log'!$F:$F,$C33,'Error Log'!$G:$G,F$27)</f>
        <v>0</v>
      </c>
      <c r="G33" s="53">
        <f>COUNTIFS('Error Log'!$E:$E,$B$33,'Error Log'!$F:$F,$C33,'Error Log'!$G:$G,G$27)</f>
        <v>0</v>
      </c>
      <c r="H33" s="53">
        <f>COUNTIFS('Error Log'!$E:$E,$B$33,'Error Log'!$F:$F,$C33,'Error Log'!$G:$G,H$27)</f>
        <v>0</v>
      </c>
      <c r="I33" s="53">
        <f>COUNTIFS('Error Log'!$E:$E,$B$33,'Error Log'!$F:$F,$C33,'Error Log'!$G:$G,I$27)</f>
        <v>0</v>
      </c>
      <c r="J33" s="50">
        <f>COUNTIFS('Error Log'!$E:$E,$B$33,'Error Log'!$F:$F,$C33,'Error Log'!$G:$G,J$27)</f>
        <v>0</v>
      </c>
      <c r="K33" s="53">
        <f>COUNTIFS('Error Log'!$E:$E,$B$33,'Error Log'!$F:$F,$C33,'Error Log'!$G:$G,K$27)</f>
        <v>0</v>
      </c>
      <c r="L33" s="65">
        <f t="shared" si="0"/>
        <v>0</v>
      </c>
    </row>
    <row r="34" spans="2:12">
      <c r="B34" s="114"/>
      <c r="C34" s="62" t="s">
        <v>26</v>
      </c>
      <c r="D34" s="52">
        <f>COUNTIFS('Error Log'!$E:$E,$B$33,'Error Log'!$F:$F,$C34,'Error Log'!$G:$G,D$27)</f>
        <v>0</v>
      </c>
      <c r="E34" s="52">
        <f>COUNTIFS('Error Log'!$E:$E,$B$33,'Error Log'!$F:$F,$C34,'Error Log'!$G:$G,E$27)</f>
        <v>0</v>
      </c>
      <c r="F34" s="52">
        <f>COUNTIFS('Error Log'!$E:$E,$B$33,'Error Log'!$F:$F,$C34,'Error Log'!$G:$G,F$27)</f>
        <v>0</v>
      </c>
      <c r="G34" s="52">
        <f>COUNTIFS('Error Log'!$E:$E,$B$33,'Error Log'!$F:$F,$C34,'Error Log'!$G:$G,G$27)</f>
        <v>0</v>
      </c>
      <c r="H34" s="52">
        <f>COUNTIFS('Error Log'!$E:$E,$B$33,'Error Log'!$F:$F,$C34,'Error Log'!$G:$G,H$27)</f>
        <v>2</v>
      </c>
      <c r="I34" s="52">
        <f>COUNTIFS('Error Log'!$E:$E,$B$33,'Error Log'!$F:$F,$C34,'Error Log'!$G:$G,I$27)</f>
        <v>0</v>
      </c>
      <c r="J34" s="51">
        <f>COUNTIFS('Error Log'!$E:$E,$B$33,'Error Log'!$F:$F,$C34,'Error Log'!$G:$G,J$27)</f>
        <v>0</v>
      </c>
      <c r="K34" s="52">
        <f>COUNTIFS('Error Log'!$E:$E,$B$33,'Error Log'!$F:$F,$C34,'Error Log'!$G:$G,K$27)</f>
        <v>41</v>
      </c>
      <c r="L34" s="66">
        <f t="shared" si="0"/>
        <v>43</v>
      </c>
    </row>
    <row r="35" spans="2:12" ht="14.4" thickBot="1">
      <c r="B35" s="114"/>
      <c r="C35" s="62" t="s">
        <v>68</v>
      </c>
      <c r="D35" s="56">
        <f>COUNTIFS('Error Log'!$E:$E,$B$33,'Error Log'!$F:$F,$C35,'Error Log'!$G:$G,D$27)</f>
        <v>0</v>
      </c>
      <c r="E35" s="52">
        <f>COUNTIFS('Error Log'!$E:$E,$B$33,'Error Log'!$F:$F,$C35,'Error Log'!$G:$G,E$27)</f>
        <v>0</v>
      </c>
      <c r="F35" s="52">
        <f>COUNTIFS('Error Log'!$E:$E,$B$33,'Error Log'!$F:$F,$C35,'Error Log'!$G:$G,F$27)</f>
        <v>0</v>
      </c>
      <c r="G35" s="52">
        <f>COUNTIFS('Error Log'!$E:$E,$B$33,'Error Log'!$F:$F,$C35,'Error Log'!$G:$G,G$27)</f>
        <v>0</v>
      </c>
      <c r="H35" s="52">
        <f>COUNTIFS('Error Log'!$E:$E,$B$33,'Error Log'!$F:$F,$C35,'Error Log'!$G:$G,H$27)</f>
        <v>0</v>
      </c>
      <c r="I35" s="52">
        <f>COUNTIFS('Error Log'!$E:$E,$B$33,'Error Log'!$F:$F,$C35,'Error Log'!$G:$G,I$27)</f>
        <v>0</v>
      </c>
      <c r="J35" s="51">
        <f>COUNTIFS('Error Log'!$E:$E,$B$33,'Error Log'!$F:$F,$C35,'Error Log'!$G:$G,J$27)</f>
        <v>0</v>
      </c>
      <c r="K35" s="52">
        <f>COUNTIFS('Error Log'!$E:$E,$B$33,'Error Log'!$F:$F,$C35,'Error Log'!$G:$G,K$27)</f>
        <v>0</v>
      </c>
      <c r="L35" s="66">
        <f t="shared" si="0"/>
        <v>0</v>
      </c>
    </row>
    <row r="36" spans="2:12" ht="16.2" thickBot="1">
      <c r="B36" s="111" t="s">
        <v>6</v>
      </c>
      <c r="C36" s="112"/>
      <c r="D36" s="31">
        <f t="shared" ref="D36:L36" si="2">SUM(D28:D35)</f>
        <v>0</v>
      </c>
      <c r="E36" s="31">
        <f t="shared" si="2"/>
        <v>0</v>
      </c>
      <c r="F36" s="31">
        <f t="shared" si="2"/>
        <v>0</v>
      </c>
      <c r="G36" s="31">
        <f t="shared" si="2"/>
        <v>0</v>
      </c>
      <c r="H36" s="31">
        <f t="shared" si="2"/>
        <v>3</v>
      </c>
      <c r="I36" s="31">
        <f t="shared" si="2"/>
        <v>45</v>
      </c>
      <c r="J36" s="31">
        <f t="shared" si="2"/>
        <v>0</v>
      </c>
      <c r="K36" s="31">
        <f t="shared" si="2"/>
        <v>369</v>
      </c>
      <c r="L36" s="64">
        <f t="shared" si="2"/>
        <v>417</v>
      </c>
    </row>
  </sheetData>
  <mergeCells count="6">
    <mergeCell ref="B2:C2"/>
    <mergeCell ref="E2:F2"/>
    <mergeCell ref="H2:I2"/>
    <mergeCell ref="B36:C36"/>
    <mergeCell ref="B33:B35"/>
    <mergeCell ref="B28:B32"/>
  </mergeCells>
  <phoneticPr fontId="4" type="noConversion"/>
  <pageMargins left="0.7" right="0.7" top="0.75" bottom="0.75" header="0.3" footer="0.3"/>
  <pageSetup paperSize="9" orientation="portrait" horizontalDpi="4294967292" verticalDpi="4294967292"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K841"/>
  <sheetViews>
    <sheetView showGridLines="0" zoomScale="120" zoomScaleNormal="120" zoomScalePageLayoutView="80" workbookViewId="0">
      <pane ySplit="1" topLeftCell="A2" activePane="bottomLeft" state="frozen"/>
      <selection pane="bottomLeft" sqref="A1:A1048576"/>
    </sheetView>
  </sheetViews>
  <sheetFormatPr defaultColWidth="11" defaultRowHeight="13.8"/>
  <cols>
    <col min="1" max="1" width="7.8984375" style="22" customWidth="1"/>
    <col min="2" max="2" width="7.3984375" style="23" customWidth="1"/>
    <col min="3" max="3" width="19.19921875" style="78" customWidth="1"/>
    <col min="4" max="4" width="18.69921875" style="24" customWidth="1"/>
    <col min="5" max="6" width="11.5" style="25" customWidth="1"/>
    <col min="7" max="7" width="16.69921875" style="25" bestFit="1" customWidth="1"/>
    <col min="8" max="8" width="13.796875" style="25" customWidth="1"/>
    <col min="9" max="9" width="17.19921875" style="25" customWidth="1"/>
    <col min="10" max="10" width="9.296875" style="21" customWidth="1"/>
    <col min="11" max="11" width="17.19921875" style="21" customWidth="1"/>
    <col min="12" max="16384" width="11" style="21"/>
  </cols>
  <sheetData>
    <row r="1" spans="1:11">
      <c r="A1" s="16" t="s">
        <v>20</v>
      </c>
      <c r="B1" s="17" t="s">
        <v>17</v>
      </c>
      <c r="C1" s="97" t="s">
        <v>863</v>
      </c>
      <c r="D1" s="97" t="s">
        <v>5</v>
      </c>
      <c r="E1" s="98" t="s">
        <v>0</v>
      </c>
      <c r="F1" s="98" t="s">
        <v>3</v>
      </c>
      <c r="G1" s="98" t="s">
        <v>33</v>
      </c>
      <c r="H1" s="98" t="s">
        <v>32</v>
      </c>
      <c r="I1" s="98" t="s">
        <v>60</v>
      </c>
      <c r="J1" s="98" t="s">
        <v>34</v>
      </c>
    </row>
    <row r="2" spans="1:11">
      <c r="A2" s="78" t="s">
        <v>71</v>
      </c>
      <c r="B2" s="18">
        <v>1</v>
      </c>
      <c r="C2" s="78" t="s">
        <v>864</v>
      </c>
      <c r="D2" s="78" t="s">
        <v>72</v>
      </c>
      <c r="E2" s="83" t="s">
        <v>21</v>
      </c>
      <c r="F2" s="83" t="s">
        <v>7</v>
      </c>
      <c r="G2" s="83" t="s">
        <v>55</v>
      </c>
      <c r="H2" s="84" t="s">
        <v>73</v>
      </c>
      <c r="I2" s="83"/>
      <c r="J2" s="15" t="str">
        <f>IF(E2="Invalid_Segment","Invalid",IFERROR(INDEX(Severity_Matrix!$C$3:$M$10,MATCH('Error Log'!$F2,Severity_Matrix!$B$3:$B$10,0),MATCH('Error Log'!$G2,Severity_Matrix!$C$2:$M$2,0)),"No errors"))</f>
        <v>Critical</v>
      </c>
      <c r="K2" s="1"/>
    </row>
    <row r="3" spans="1:11">
      <c r="A3" s="78" t="s">
        <v>71</v>
      </c>
      <c r="B3" s="18">
        <v>2</v>
      </c>
      <c r="C3" s="78" t="s">
        <v>864</v>
      </c>
      <c r="D3" s="78" t="s">
        <v>72</v>
      </c>
      <c r="E3" s="83" t="s">
        <v>21</v>
      </c>
      <c r="F3" s="83" t="s">
        <v>7</v>
      </c>
      <c r="G3" s="83" t="s">
        <v>55</v>
      </c>
      <c r="H3" s="84" t="s">
        <v>74</v>
      </c>
      <c r="I3" s="83"/>
      <c r="J3" s="15" t="str">
        <f>IF(E3="Invalid_Segment","Invalid",IFERROR(INDEX(Severity_Matrix!$C$3:$M$10,MATCH('Error Log'!$F3,Severity_Matrix!$B$3:$B$10,0),MATCH('Error Log'!$G3,Severity_Matrix!$C$2:$M$2,0)),"No errors"))</f>
        <v>Critical</v>
      </c>
      <c r="K3" s="1"/>
    </row>
    <row r="4" spans="1:11">
      <c r="A4" s="78" t="s">
        <v>71</v>
      </c>
      <c r="B4" s="18">
        <v>3</v>
      </c>
      <c r="C4" s="78" t="s">
        <v>864</v>
      </c>
      <c r="D4" s="78" t="s">
        <v>72</v>
      </c>
      <c r="E4" s="83" t="s">
        <v>21</v>
      </c>
      <c r="F4" s="83" t="s">
        <v>7</v>
      </c>
      <c r="G4" s="83" t="s">
        <v>55</v>
      </c>
      <c r="H4" s="84" t="s">
        <v>75</v>
      </c>
      <c r="I4" s="83"/>
      <c r="J4" s="15" t="str">
        <f>IF(E4="Invalid_Segment","Invalid",IFERROR(INDEX(Severity_Matrix!$C$3:$M$10,MATCH('Error Log'!$F4,Severity_Matrix!$B$3:$B$10,0),MATCH('Error Log'!$G4,Severity_Matrix!$C$2:$M$2,0)),"No errors"))</f>
        <v>Critical</v>
      </c>
      <c r="K4" s="1"/>
    </row>
    <row r="5" spans="1:11">
      <c r="A5" s="78" t="s">
        <v>71</v>
      </c>
      <c r="B5" s="18">
        <v>4</v>
      </c>
      <c r="C5" s="78" t="s">
        <v>864</v>
      </c>
      <c r="D5" s="78" t="s">
        <v>72</v>
      </c>
      <c r="E5" s="83" t="s">
        <v>21</v>
      </c>
      <c r="F5" s="83" t="s">
        <v>7</v>
      </c>
      <c r="G5" s="83" t="s">
        <v>55</v>
      </c>
      <c r="H5" s="84" t="s">
        <v>76</v>
      </c>
      <c r="I5" s="83"/>
      <c r="J5" s="15" t="str">
        <f>IF(E5="Invalid_Segment","Invalid",IFERROR(INDEX(Severity_Matrix!$C$3:$M$10,MATCH('Error Log'!$F5,Severity_Matrix!$B$3:$B$10,0),MATCH('Error Log'!$G5,Severity_Matrix!$C$2:$M$2,0)),"No errors"))</f>
        <v>Critical</v>
      </c>
      <c r="K5" s="1"/>
    </row>
    <row r="6" spans="1:11">
      <c r="A6" s="78" t="s">
        <v>71</v>
      </c>
      <c r="B6" s="18">
        <v>5</v>
      </c>
      <c r="C6" s="78" t="s">
        <v>864</v>
      </c>
      <c r="D6" s="78" t="s">
        <v>72</v>
      </c>
      <c r="E6" s="83" t="s">
        <v>21</v>
      </c>
      <c r="F6" s="83" t="s">
        <v>22</v>
      </c>
      <c r="G6" s="83" t="s">
        <v>28</v>
      </c>
      <c r="H6" s="84" t="s">
        <v>77</v>
      </c>
      <c r="I6" s="83"/>
      <c r="J6" s="15" t="str">
        <f>IF(E6="Invalid_Segment","Invalid",IFERROR(INDEX(Severity_Matrix!$C$3:$M$10,MATCH('Error Log'!$F6,Severity_Matrix!$B$3:$B$10,0),MATCH('Error Log'!$G6,Severity_Matrix!$C$2:$M$2,0)),"No errors"))</f>
        <v>Major</v>
      </c>
      <c r="K6" s="1"/>
    </row>
    <row r="7" spans="1:11">
      <c r="A7" s="78" t="s">
        <v>71</v>
      </c>
      <c r="B7" s="18">
        <v>6</v>
      </c>
      <c r="C7" s="78" t="s">
        <v>864</v>
      </c>
      <c r="D7" s="78" t="s">
        <v>72</v>
      </c>
      <c r="E7" s="83" t="s">
        <v>21</v>
      </c>
      <c r="F7" s="83" t="s">
        <v>22</v>
      </c>
      <c r="G7" s="83" t="s">
        <v>28</v>
      </c>
      <c r="H7" s="84" t="s">
        <v>77</v>
      </c>
      <c r="I7" s="83"/>
      <c r="J7" s="15" t="str">
        <f>IF(E7="Invalid_Segment","Invalid",IFERROR(INDEX(Severity_Matrix!$C$3:$M$10,MATCH('Error Log'!$F7,Severity_Matrix!$B$3:$B$10,0),MATCH('Error Log'!$G7,Severity_Matrix!$C$2:$M$2,0)),"No errors"))</f>
        <v>Major</v>
      </c>
      <c r="K7" s="1"/>
    </row>
    <row r="8" spans="1:11">
      <c r="A8" s="78" t="s">
        <v>78</v>
      </c>
      <c r="B8" s="18">
        <v>1</v>
      </c>
      <c r="C8" s="78" t="s">
        <v>865</v>
      </c>
      <c r="D8" s="78" t="s">
        <v>79</v>
      </c>
      <c r="E8" s="83" t="s">
        <v>21</v>
      </c>
      <c r="F8" s="83" t="s">
        <v>7</v>
      </c>
      <c r="G8" s="83" t="s">
        <v>55</v>
      </c>
      <c r="H8" s="83" t="s">
        <v>80</v>
      </c>
      <c r="I8" s="83"/>
      <c r="J8" s="15" t="str">
        <f>IF(E8="Invalid_Segment","Invalid",IFERROR(INDEX(Severity_Matrix!$C$3:$M$10,MATCH('Error Log'!$F8,Severity_Matrix!$B$3:$B$10,0),MATCH('Error Log'!$G8,Severity_Matrix!$C$2:$M$2,0)),"No errors"))</f>
        <v>Critical</v>
      </c>
      <c r="K8" s="1"/>
    </row>
    <row r="9" spans="1:11">
      <c r="A9" s="78" t="s">
        <v>78</v>
      </c>
      <c r="B9" s="18">
        <v>1</v>
      </c>
      <c r="C9" s="78" t="s">
        <v>865</v>
      </c>
      <c r="D9" s="78" t="s">
        <v>79</v>
      </c>
      <c r="E9" s="83" t="s">
        <v>21</v>
      </c>
      <c r="F9" s="83" t="s">
        <v>7</v>
      </c>
      <c r="G9" s="83" t="s">
        <v>55</v>
      </c>
      <c r="H9" s="83" t="s">
        <v>81</v>
      </c>
      <c r="I9" s="83"/>
      <c r="J9" s="15" t="str">
        <f>IF(E9="Invalid_Segment","Invalid",IFERROR(INDEX(Severity_Matrix!$C$3:$M$10,MATCH('Error Log'!$F9,Severity_Matrix!$B$3:$B$10,0),MATCH('Error Log'!$G9,Severity_Matrix!$C$2:$M$2,0)),"No errors"))</f>
        <v>Critical</v>
      </c>
      <c r="K9" s="1"/>
    </row>
    <row r="10" spans="1:11">
      <c r="A10" s="78" t="s">
        <v>78</v>
      </c>
      <c r="B10" s="18">
        <v>1</v>
      </c>
      <c r="C10" s="78" t="s">
        <v>865</v>
      </c>
      <c r="D10" s="78" t="s">
        <v>79</v>
      </c>
      <c r="E10" s="83" t="s">
        <v>21</v>
      </c>
      <c r="F10" s="83" t="s">
        <v>7</v>
      </c>
      <c r="G10" s="83" t="s">
        <v>55</v>
      </c>
      <c r="H10" s="83" t="s">
        <v>82</v>
      </c>
      <c r="I10" s="83"/>
      <c r="J10" s="15" t="str">
        <f>IF(E10="Invalid_Segment","Invalid",IFERROR(INDEX(Severity_Matrix!$C$3:$M$10,MATCH('Error Log'!$F10,Severity_Matrix!$B$3:$B$10,0),MATCH('Error Log'!$G10,Severity_Matrix!$C$2:$M$2,0)),"No errors"))</f>
        <v>Critical</v>
      </c>
      <c r="K10" s="1"/>
    </row>
    <row r="11" spans="1:11">
      <c r="A11" s="78" t="s">
        <v>83</v>
      </c>
      <c r="B11" s="18">
        <v>1</v>
      </c>
      <c r="C11" s="78" t="s">
        <v>866</v>
      </c>
      <c r="D11" s="78" t="s">
        <v>84</v>
      </c>
      <c r="E11" s="83" t="s">
        <v>21</v>
      </c>
      <c r="F11" s="83" t="s">
        <v>7</v>
      </c>
      <c r="G11" s="83" t="s">
        <v>55</v>
      </c>
      <c r="H11" s="83" t="s">
        <v>85</v>
      </c>
      <c r="I11" s="83"/>
      <c r="J11" s="15" t="str">
        <f>IF(E11="Invalid_Segment","Invalid",IFERROR(INDEX(Severity_Matrix!$C$3:$M$10,MATCH('Error Log'!$F11,Severity_Matrix!$B$3:$B$10,0),MATCH('Error Log'!$G11,Severity_Matrix!$C$2:$M$2,0)),"No errors"))</f>
        <v>Critical</v>
      </c>
      <c r="K11" s="1"/>
    </row>
    <row r="12" spans="1:11">
      <c r="A12" s="78" t="s">
        <v>83</v>
      </c>
      <c r="B12" s="18">
        <v>2</v>
      </c>
      <c r="C12" s="78" t="s">
        <v>866</v>
      </c>
      <c r="D12" s="78" t="s">
        <v>84</v>
      </c>
      <c r="E12" s="83" t="s">
        <v>21</v>
      </c>
      <c r="F12" s="83" t="s">
        <v>22</v>
      </c>
      <c r="G12" s="83" t="s">
        <v>28</v>
      </c>
      <c r="H12" s="83" t="s">
        <v>629</v>
      </c>
      <c r="I12" s="83"/>
      <c r="J12" s="15" t="str">
        <f>IF(E12="Invalid_Segment","Invalid",IFERROR(INDEX(Severity_Matrix!$C$3:$M$10,MATCH('Error Log'!$F12,Severity_Matrix!$B$3:$B$10,0),MATCH('Error Log'!$G12,Severity_Matrix!$C$2:$M$2,0)),"No errors"))</f>
        <v>Major</v>
      </c>
      <c r="K12" s="1"/>
    </row>
    <row r="13" spans="1:11">
      <c r="A13" s="78" t="s">
        <v>86</v>
      </c>
      <c r="B13" s="18">
        <v>1</v>
      </c>
      <c r="C13" s="78" t="s">
        <v>867</v>
      </c>
      <c r="D13" s="78" t="s">
        <v>87</v>
      </c>
      <c r="E13" s="83" t="s">
        <v>21</v>
      </c>
      <c r="F13" s="83" t="s">
        <v>22</v>
      </c>
      <c r="G13" s="83" t="s">
        <v>28</v>
      </c>
      <c r="H13" s="83" t="s">
        <v>88</v>
      </c>
      <c r="I13" s="83"/>
      <c r="J13" s="15" t="str">
        <f>IF(E13="Invalid_Segment","Invalid",IFERROR(INDEX(Severity_Matrix!$C$3:$M$10,MATCH('Error Log'!$F13,Severity_Matrix!$B$3:$B$10,0),MATCH('Error Log'!$G13,Severity_Matrix!$C$2:$M$2,0)),"No errors"))</f>
        <v>Major</v>
      </c>
      <c r="K13" s="1"/>
    </row>
    <row r="14" spans="1:11">
      <c r="A14" s="78" t="s">
        <v>86</v>
      </c>
      <c r="B14" s="18">
        <v>2</v>
      </c>
      <c r="C14" s="78" t="s">
        <v>867</v>
      </c>
      <c r="D14" s="78" t="s">
        <v>87</v>
      </c>
      <c r="E14" s="83" t="s">
        <v>21</v>
      </c>
      <c r="F14" s="83" t="s">
        <v>7</v>
      </c>
      <c r="G14" s="83" t="s">
        <v>55</v>
      </c>
      <c r="H14" s="83" t="s">
        <v>89</v>
      </c>
      <c r="I14" s="83"/>
      <c r="J14" s="15" t="str">
        <f>IF(E14="Invalid_Segment","Invalid",IFERROR(INDEX(Severity_Matrix!$C$3:$M$10,MATCH('Error Log'!$F14,Severity_Matrix!$B$3:$B$10,0),MATCH('Error Log'!$G14,Severity_Matrix!$C$2:$M$2,0)),"No errors"))</f>
        <v>Critical</v>
      </c>
      <c r="K14" s="1"/>
    </row>
    <row r="15" spans="1:11">
      <c r="A15" s="78" t="s">
        <v>86</v>
      </c>
      <c r="B15" s="18">
        <v>3</v>
      </c>
      <c r="C15" s="78" t="s">
        <v>867</v>
      </c>
      <c r="D15" s="78" t="s">
        <v>87</v>
      </c>
      <c r="E15" s="83" t="s">
        <v>21</v>
      </c>
      <c r="F15" s="83" t="s">
        <v>22</v>
      </c>
      <c r="G15" s="83" t="s">
        <v>28</v>
      </c>
      <c r="H15" s="83" t="s">
        <v>854</v>
      </c>
      <c r="I15" s="83"/>
      <c r="J15" s="15" t="str">
        <f>IF(E15="Invalid_Segment","Invalid",IFERROR(INDEX(Severity_Matrix!$C$3:$M$10,MATCH('Error Log'!$F15,Severity_Matrix!$B$3:$B$10,0),MATCH('Error Log'!$G15,Severity_Matrix!$C$2:$M$2,0)),"No errors"))</f>
        <v>Major</v>
      </c>
      <c r="K15" s="1"/>
    </row>
    <row r="16" spans="1:11">
      <c r="A16" s="78" t="s">
        <v>86</v>
      </c>
      <c r="B16" s="18">
        <v>4</v>
      </c>
      <c r="C16" s="78" t="s">
        <v>867</v>
      </c>
      <c r="D16" s="78" t="s">
        <v>87</v>
      </c>
      <c r="E16" s="83" t="s">
        <v>21</v>
      </c>
      <c r="F16" s="83" t="s">
        <v>7</v>
      </c>
      <c r="G16" s="83" t="s">
        <v>55</v>
      </c>
      <c r="H16" s="83" t="s">
        <v>89</v>
      </c>
      <c r="I16" s="83"/>
      <c r="J16" s="15" t="str">
        <f>IF(E16="Invalid_Segment","Invalid",IFERROR(INDEX(Severity_Matrix!$C$3:$M$10,MATCH('Error Log'!$F16,Severity_Matrix!$B$3:$B$10,0),MATCH('Error Log'!$G16,Severity_Matrix!$C$2:$M$2,0)),"No errors"))</f>
        <v>Critical</v>
      </c>
      <c r="K16" s="1"/>
    </row>
    <row r="17" spans="1:11">
      <c r="A17" s="78" t="s">
        <v>90</v>
      </c>
      <c r="B17" s="18">
        <v>1</v>
      </c>
      <c r="C17" s="78" t="s">
        <v>868</v>
      </c>
      <c r="D17" s="78" t="s">
        <v>91</v>
      </c>
      <c r="E17" s="83" t="s">
        <v>21</v>
      </c>
      <c r="F17" s="83" t="s">
        <v>7</v>
      </c>
      <c r="G17" s="83" t="s">
        <v>55</v>
      </c>
      <c r="H17" s="83" t="s">
        <v>92</v>
      </c>
      <c r="I17" s="83"/>
      <c r="J17" s="15" t="str">
        <f>IF(E17="Invalid_Segment","Invalid",IFERROR(INDEX(Severity_Matrix!$C$3:$M$10,MATCH('Error Log'!$F17,Severity_Matrix!$B$3:$B$10,0),MATCH('Error Log'!$G17,Severity_Matrix!$C$2:$M$2,0)),"No errors"))</f>
        <v>Critical</v>
      </c>
      <c r="K17" s="1"/>
    </row>
    <row r="18" spans="1:11">
      <c r="A18" s="78" t="s">
        <v>93</v>
      </c>
      <c r="B18" s="18">
        <v>1</v>
      </c>
      <c r="C18" s="78" t="s">
        <v>869</v>
      </c>
      <c r="D18" s="78" t="s">
        <v>94</v>
      </c>
      <c r="E18" s="83" t="s">
        <v>21</v>
      </c>
      <c r="F18" s="83" t="s">
        <v>7</v>
      </c>
      <c r="G18" s="83" t="s">
        <v>55</v>
      </c>
      <c r="H18" s="83" t="s">
        <v>95</v>
      </c>
      <c r="I18" s="83"/>
      <c r="J18" s="15" t="str">
        <f>IF(E18="Invalid_Segment","Invalid",IFERROR(INDEX(Severity_Matrix!$C$3:$M$10,MATCH('Error Log'!$F18,Severity_Matrix!$B$3:$B$10,0),MATCH('Error Log'!$G18,Severity_Matrix!$C$2:$M$2,0)),"No errors"))</f>
        <v>Critical</v>
      </c>
      <c r="K18" s="1"/>
    </row>
    <row r="19" spans="1:11">
      <c r="A19" s="78" t="s">
        <v>93</v>
      </c>
      <c r="B19" s="18">
        <v>2</v>
      </c>
      <c r="C19" s="78" t="s">
        <v>869</v>
      </c>
      <c r="D19" s="78" t="s">
        <v>94</v>
      </c>
      <c r="E19" s="83" t="s">
        <v>21</v>
      </c>
      <c r="F19" s="83" t="s">
        <v>7</v>
      </c>
      <c r="G19" s="83" t="s">
        <v>55</v>
      </c>
      <c r="H19" s="83" t="s">
        <v>96</v>
      </c>
      <c r="I19" s="83"/>
      <c r="J19" s="15" t="str">
        <f>IF(E19="Invalid_Segment","Invalid",IFERROR(INDEX(Severity_Matrix!$C$3:$M$10,MATCH('Error Log'!$F19,Severity_Matrix!$B$3:$B$10,0),MATCH('Error Log'!$G19,Severity_Matrix!$C$2:$M$2,0)),"No errors"))</f>
        <v>Critical</v>
      </c>
      <c r="K19" s="1"/>
    </row>
    <row r="20" spans="1:11">
      <c r="A20" s="78" t="s">
        <v>97</v>
      </c>
      <c r="B20" s="18">
        <v>1</v>
      </c>
      <c r="C20" s="78" t="s">
        <v>870</v>
      </c>
      <c r="D20" s="78" t="s">
        <v>98</v>
      </c>
      <c r="E20" s="83" t="s">
        <v>21</v>
      </c>
      <c r="F20" s="83" t="s">
        <v>7</v>
      </c>
      <c r="G20" s="83" t="s">
        <v>55</v>
      </c>
      <c r="H20" s="83" t="s">
        <v>99</v>
      </c>
      <c r="I20" s="83"/>
      <c r="J20" s="15" t="str">
        <f>IF(E20="Invalid_Segment","Invalid",IFERROR(INDEX(Severity_Matrix!$C$3:$M$10,MATCH('Error Log'!$F20,Severity_Matrix!$B$3:$B$10,0),MATCH('Error Log'!$G20,Severity_Matrix!$C$2:$M$2,0)),"No errors"))</f>
        <v>Critical</v>
      </c>
      <c r="K20" s="1"/>
    </row>
    <row r="21" spans="1:11">
      <c r="A21" s="78" t="s">
        <v>97</v>
      </c>
      <c r="B21" s="18">
        <v>2</v>
      </c>
      <c r="C21" s="78" t="s">
        <v>870</v>
      </c>
      <c r="D21" s="78" t="s">
        <v>98</v>
      </c>
      <c r="E21" s="83" t="s">
        <v>21</v>
      </c>
      <c r="F21" s="83" t="s">
        <v>7</v>
      </c>
      <c r="G21" s="83" t="s">
        <v>55</v>
      </c>
      <c r="H21" s="83" t="s">
        <v>100</v>
      </c>
      <c r="I21" s="83"/>
      <c r="J21" s="15" t="str">
        <f>IF(E21="Invalid_Segment","Invalid",IFERROR(INDEX(Severity_Matrix!$C$3:$M$10,MATCH('Error Log'!$F21,Severity_Matrix!$B$3:$B$10,0),MATCH('Error Log'!$G21,Severity_Matrix!$C$2:$M$2,0)),"No errors"))</f>
        <v>Critical</v>
      </c>
      <c r="K21" s="1"/>
    </row>
    <row r="22" spans="1:11">
      <c r="A22" s="78" t="s">
        <v>97</v>
      </c>
      <c r="B22" s="18">
        <v>3</v>
      </c>
      <c r="C22" s="78" t="s">
        <v>870</v>
      </c>
      <c r="D22" s="78" t="s">
        <v>98</v>
      </c>
      <c r="E22" s="83" t="s">
        <v>21</v>
      </c>
      <c r="F22" s="83" t="s">
        <v>22</v>
      </c>
      <c r="G22" s="83" t="s">
        <v>55</v>
      </c>
      <c r="H22" s="83" t="s">
        <v>101</v>
      </c>
      <c r="I22" s="83"/>
      <c r="J22" s="15" t="str">
        <f>IF(E22="Invalid_Segment","Invalid",IFERROR(INDEX(Severity_Matrix!$C$3:$M$10,MATCH('Error Log'!$F22,Severity_Matrix!$B$3:$B$10,0),MATCH('Error Log'!$G22,Severity_Matrix!$C$2:$M$2,0)),"No errors"))</f>
        <v>Major</v>
      </c>
      <c r="K22" s="1"/>
    </row>
    <row r="23" spans="1:11">
      <c r="A23" s="78" t="s">
        <v>102</v>
      </c>
      <c r="B23" s="18">
        <v>1</v>
      </c>
      <c r="C23" s="78" t="s">
        <v>103</v>
      </c>
      <c r="D23" s="78" t="s">
        <v>104</v>
      </c>
      <c r="E23" s="83" t="s">
        <v>21</v>
      </c>
      <c r="F23" s="83" t="s">
        <v>7</v>
      </c>
      <c r="G23" s="83" t="s">
        <v>55</v>
      </c>
      <c r="H23" s="83" t="s">
        <v>105</v>
      </c>
      <c r="I23" s="83"/>
      <c r="J23" s="15" t="str">
        <f>IF(E23="Invalid_Segment","Invalid",IFERROR(INDEX(Severity_Matrix!$C$3:$M$10,MATCH('Error Log'!$F23,Severity_Matrix!$B$3:$B$10,0),MATCH('Error Log'!$G23,Severity_Matrix!$C$2:$M$2,0)),"No errors"))</f>
        <v>Critical</v>
      </c>
      <c r="K23" s="1"/>
    </row>
    <row r="24" spans="1:11">
      <c r="A24" s="78" t="s">
        <v>102</v>
      </c>
      <c r="B24" s="18">
        <v>2</v>
      </c>
      <c r="C24" s="78" t="s">
        <v>103</v>
      </c>
      <c r="D24" s="78" t="s">
        <v>104</v>
      </c>
      <c r="E24" s="83" t="s">
        <v>21</v>
      </c>
      <c r="F24" s="83" t="s">
        <v>7</v>
      </c>
      <c r="G24" s="83" t="s">
        <v>55</v>
      </c>
      <c r="H24" s="83" t="s">
        <v>106</v>
      </c>
      <c r="I24" s="83"/>
      <c r="J24" s="15" t="str">
        <f>IF(E24="Invalid_Segment","Invalid",IFERROR(INDEX(Severity_Matrix!$C$3:$M$10,MATCH('Error Log'!$F24,Severity_Matrix!$B$3:$B$10,0),MATCH('Error Log'!$G24,Severity_Matrix!$C$2:$M$2,0)),"No errors"))</f>
        <v>Critical</v>
      </c>
      <c r="K24" s="1"/>
    </row>
    <row r="25" spans="1:11">
      <c r="A25" s="78" t="s">
        <v>102</v>
      </c>
      <c r="B25" s="18">
        <v>3</v>
      </c>
      <c r="C25" s="78" t="s">
        <v>103</v>
      </c>
      <c r="D25" s="78" t="s">
        <v>104</v>
      </c>
      <c r="E25" s="83" t="s">
        <v>21</v>
      </c>
      <c r="F25" s="83" t="s">
        <v>7</v>
      </c>
      <c r="G25" s="83" t="s">
        <v>55</v>
      </c>
      <c r="H25" s="83" t="s">
        <v>107</v>
      </c>
      <c r="I25" s="83"/>
      <c r="J25" s="15" t="str">
        <f>IF(E25="Invalid_Segment","Invalid",IFERROR(INDEX(Severity_Matrix!$C$3:$M$10,MATCH('Error Log'!$F25,Severity_Matrix!$B$3:$B$10,0),MATCH('Error Log'!$G25,Severity_Matrix!$C$2:$M$2,0)),"No errors"))</f>
        <v>Critical</v>
      </c>
      <c r="K25" s="1"/>
    </row>
    <row r="26" spans="1:11">
      <c r="A26" s="78" t="s">
        <v>102</v>
      </c>
      <c r="B26" s="18">
        <v>4</v>
      </c>
      <c r="C26" s="78" t="s">
        <v>103</v>
      </c>
      <c r="D26" s="78" t="s">
        <v>104</v>
      </c>
      <c r="E26" s="83" t="s">
        <v>21</v>
      </c>
      <c r="F26" s="83" t="s">
        <v>22</v>
      </c>
      <c r="G26" s="83" t="s">
        <v>55</v>
      </c>
      <c r="H26" s="83" t="s">
        <v>108</v>
      </c>
      <c r="I26" s="83"/>
      <c r="J26" s="15" t="str">
        <f>IF(E26="Invalid_Segment","Invalid",IFERROR(INDEX(Severity_Matrix!$C$3:$M$10,MATCH('Error Log'!$F26,Severity_Matrix!$B$3:$B$10,0),MATCH('Error Log'!$G26,Severity_Matrix!$C$2:$M$2,0)),"No errors"))</f>
        <v>Major</v>
      </c>
      <c r="K26" s="1"/>
    </row>
    <row r="27" spans="1:11">
      <c r="A27" s="78" t="s">
        <v>109</v>
      </c>
      <c r="B27" s="18">
        <v>1</v>
      </c>
      <c r="C27" s="78" t="s">
        <v>110</v>
      </c>
      <c r="D27" s="78" t="s">
        <v>111</v>
      </c>
      <c r="E27" s="83" t="s">
        <v>2</v>
      </c>
      <c r="F27" s="83" t="s">
        <v>26</v>
      </c>
      <c r="G27" s="83" t="s">
        <v>55</v>
      </c>
      <c r="H27" s="83" t="s">
        <v>112</v>
      </c>
      <c r="I27" s="83"/>
      <c r="J27" s="15" t="str">
        <f>IF(E27="Invalid_Segment","Invalid",IFERROR(INDEX(Severity_Matrix!$C$3:$M$10,MATCH('Error Log'!$F27,Severity_Matrix!$B$3:$B$10,0),MATCH('Error Log'!$G27,Severity_Matrix!$C$2:$M$2,0)),"No errors"))</f>
        <v>Major</v>
      </c>
      <c r="K27" s="1"/>
    </row>
    <row r="28" spans="1:11">
      <c r="A28" s="78" t="s">
        <v>109</v>
      </c>
      <c r="B28" s="18">
        <v>2</v>
      </c>
      <c r="C28" s="78" t="s">
        <v>110</v>
      </c>
      <c r="D28" s="78" t="s">
        <v>111</v>
      </c>
      <c r="E28" s="83" t="s">
        <v>21</v>
      </c>
      <c r="F28" s="83" t="s">
        <v>7</v>
      </c>
      <c r="G28" s="83" t="s">
        <v>55</v>
      </c>
      <c r="H28" s="83" t="s">
        <v>113</v>
      </c>
      <c r="I28" s="83"/>
      <c r="J28" s="15" t="str">
        <f>IF(E28="Invalid_Segment","Invalid",IFERROR(INDEX(Severity_Matrix!$C$3:$M$10,MATCH('Error Log'!$F28,Severity_Matrix!$B$3:$B$10,0),MATCH('Error Log'!$G28,Severity_Matrix!$C$2:$M$2,0)),"No errors"))</f>
        <v>Critical</v>
      </c>
      <c r="K28" s="1"/>
    </row>
    <row r="29" spans="1:11">
      <c r="A29" s="78" t="s">
        <v>109</v>
      </c>
      <c r="B29" s="18">
        <v>3</v>
      </c>
      <c r="C29" s="78" t="s">
        <v>110</v>
      </c>
      <c r="D29" s="78" t="s">
        <v>111</v>
      </c>
      <c r="E29" s="83" t="s">
        <v>21</v>
      </c>
      <c r="F29" s="83" t="s">
        <v>7</v>
      </c>
      <c r="G29" s="83" t="s">
        <v>55</v>
      </c>
      <c r="H29" s="83" t="s">
        <v>114</v>
      </c>
      <c r="I29" s="83"/>
      <c r="J29" s="15" t="str">
        <f>IF(E29="Invalid_Segment","Invalid",IFERROR(INDEX(Severity_Matrix!$C$3:$M$10,MATCH('Error Log'!$F29,Severity_Matrix!$B$3:$B$10,0),MATCH('Error Log'!$G29,Severity_Matrix!$C$2:$M$2,0)),"No errors"))</f>
        <v>Critical</v>
      </c>
      <c r="K29" s="1"/>
    </row>
    <row r="30" spans="1:11">
      <c r="A30" s="78" t="s">
        <v>856</v>
      </c>
      <c r="B30" s="18">
        <v>4</v>
      </c>
      <c r="C30" s="78" t="s">
        <v>110</v>
      </c>
      <c r="D30" s="78" t="s">
        <v>111</v>
      </c>
      <c r="E30" s="83" t="s">
        <v>21</v>
      </c>
      <c r="F30" s="83" t="s">
        <v>22</v>
      </c>
      <c r="G30" s="83" t="s">
        <v>55</v>
      </c>
      <c r="H30" s="83" t="s">
        <v>855</v>
      </c>
      <c r="I30" s="83"/>
      <c r="J30" s="15" t="str">
        <f>IF(E30="Invalid_Segment","Invalid",IFERROR(INDEX(Severity_Matrix!$C$3:$M$10,MATCH('Error Log'!$F30,Severity_Matrix!$B$3:$B$10,0),MATCH('Error Log'!$G30,Severity_Matrix!$C$2:$M$2,0)),"No errors"))</f>
        <v>Major</v>
      </c>
      <c r="K30" s="1"/>
    </row>
    <row r="31" spans="1:11">
      <c r="A31" s="78" t="s">
        <v>115</v>
      </c>
      <c r="B31" s="18">
        <v>1</v>
      </c>
      <c r="C31" s="78" t="s">
        <v>116</v>
      </c>
      <c r="D31" s="78" t="s">
        <v>117</v>
      </c>
      <c r="E31" s="83" t="s">
        <v>21</v>
      </c>
      <c r="F31" s="83" t="s">
        <v>7</v>
      </c>
      <c r="G31" s="83" t="s">
        <v>55</v>
      </c>
      <c r="H31" s="83" t="s">
        <v>118</v>
      </c>
      <c r="I31" s="83"/>
      <c r="J31" s="15" t="str">
        <f>IF(E31="Invalid_Segment","Invalid",IFERROR(INDEX(Severity_Matrix!$C$3:$M$10,MATCH('Error Log'!$F31,Severity_Matrix!$B$3:$B$10,0),MATCH('Error Log'!$G31,Severity_Matrix!$C$2:$M$2,0)),"No errors"))</f>
        <v>Critical</v>
      </c>
      <c r="K31" s="1"/>
    </row>
    <row r="32" spans="1:11">
      <c r="A32" s="78" t="s">
        <v>115</v>
      </c>
      <c r="B32" s="18">
        <v>2</v>
      </c>
      <c r="C32" s="78" t="s">
        <v>116</v>
      </c>
      <c r="D32" s="78" t="s">
        <v>117</v>
      </c>
      <c r="E32" s="83" t="s">
        <v>21</v>
      </c>
      <c r="F32" s="83" t="s">
        <v>7</v>
      </c>
      <c r="G32" s="83" t="s">
        <v>55</v>
      </c>
      <c r="H32" s="83" t="s">
        <v>119</v>
      </c>
      <c r="I32" s="83"/>
      <c r="J32" s="15" t="str">
        <f>IF(E32="Invalid_Segment","Invalid",IFERROR(INDEX(Severity_Matrix!$C$3:$M$10,MATCH('Error Log'!$F32,Severity_Matrix!$B$3:$B$10,0),MATCH('Error Log'!$G32,Severity_Matrix!$C$2:$M$2,0)),"No errors"))</f>
        <v>Critical</v>
      </c>
      <c r="K32" s="1"/>
    </row>
    <row r="33" spans="1:11">
      <c r="A33" s="78" t="s">
        <v>115</v>
      </c>
      <c r="B33" s="18">
        <v>3</v>
      </c>
      <c r="C33" s="78" t="s">
        <v>116</v>
      </c>
      <c r="D33" s="78" t="s">
        <v>117</v>
      </c>
      <c r="E33" s="83" t="s">
        <v>21</v>
      </c>
      <c r="F33" s="83" t="s">
        <v>7</v>
      </c>
      <c r="G33" s="83" t="s">
        <v>55</v>
      </c>
      <c r="H33" s="83" t="s">
        <v>120</v>
      </c>
      <c r="I33" s="83"/>
      <c r="J33" s="15" t="str">
        <f>IF(E33="Invalid_Segment","Invalid",IFERROR(INDEX(Severity_Matrix!$C$3:$M$10,MATCH('Error Log'!$F33,Severity_Matrix!$B$3:$B$10,0),MATCH('Error Log'!$G33,Severity_Matrix!$C$2:$M$2,0)),"No errors"))</f>
        <v>Critical</v>
      </c>
      <c r="K33" s="1"/>
    </row>
    <row r="34" spans="1:11">
      <c r="A34" s="78" t="s">
        <v>115</v>
      </c>
      <c r="B34" s="18">
        <v>4</v>
      </c>
      <c r="C34" s="78" t="s">
        <v>116</v>
      </c>
      <c r="D34" s="78" t="s">
        <v>117</v>
      </c>
      <c r="E34" s="83" t="s">
        <v>21</v>
      </c>
      <c r="F34" s="83" t="s">
        <v>7</v>
      </c>
      <c r="G34" s="83" t="s">
        <v>55</v>
      </c>
      <c r="H34" s="83" t="s">
        <v>121</v>
      </c>
      <c r="I34" s="83"/>
      <c r="J34" s="15" t="str">
        <f>IF(E34="Invalid_Segment","Invalid",IFERROR(INDEX(Severity_Matrix!$C$3:$M$10,MATCH('Error Log'!$F34,Severity_Matrix!$B$3:$B$10,0),MATCH('Error Log'!$G34,Severity_Matrix!$C$2:$M$2,0)),"No errors"))</f>
        <v>Critical</v>
      </c>
      <c r="K34" s="1"/>
    </row>
    <row r="35" spans="1:11">
      <c r="A35" s="78" t="s">
        <v>115</v>
      </c>
      <c r="B35" s="18">
        <v>5</v>
      </c>
      <c r="C35" s="78" t="s">
        <v>116</v>
      </c>
      <c r="D35" s="78" t="s">
        <v>117</v>
      </c>
      <c r="E35" s="83" t="s">
        <v>2</v>
      </c>
      <c r="F35" s="83" t="s">
        <v>26</v>
      </c>
      <c r="G35" s="83" t="s">
        <v>55</v>
      </c>
      <c r="H35" s="83" t="s">
        <v>122</v>
      </c>
      <c r="I35" s="83"/>
      <c r="J35" s="15" t="str">
        <f>IF(E35="Invalid_Segment","Invalid",IFERROR(INDEX(Severity_Matrix!$C$3:$M$10,MATCH('Error Log'!$F35,Severity_Matrix!$B$3:$B$10,0),MATCH('Error Log'!$G35,Severity_Matrix!$C$2:$M$2,0)),"No errors"))</f>
        <v>Major</v>
      </c>
      <c r="K35" s="1"/>
    </row>
    <row r="36" spans="1:11">
      <c r="A36" s="78" t="s">
        <v>123</v>
      </c>
      <c r="B36" s="18">
        <v>1</v>
      </c>
      <c r="C36" s="78" t="s">
        <v>124</v>
      </c>
      <c r="D36" s="78" t="s">
        <v>125</v>
      </c>
      <c r="E36" s="83" t="s">
        <v>21</v>
      </c>
      <c r="F36" s="83" t="s">
        <v>22</v>
      </c>
      <c r="G36" s="83" t="s">
        <v>28</v>
      </c>
      <c r="H36" s="83" t="s">
        <v>850</v>
      </c>
      <c r="I36" s="83"/>
      <c r="J36" s="15" t="str">
        <f>IF(E36="Invalid_Segment","Invalid",IFERROR(INDEX(Severity_Matrix!$C$3:$M$10,MATCH('Error Log'!$F36,Severity_Matrix!$B$3:$B$10,0),MATCH('Error Log'!$G36,Severity_Matrix!$C$2:$M$2,0)),"No errors"))</f>
        <v>Major</v>
      </c>
      <c r="K36" s="78"/>
    </row>
    <row r="37" spans="1:11">
      <c r="A37" s="78" t="s">
        <v>126</v>
      </c>
      <c r="B37" s="18">
        <v>1</v>
      </c>
      <c r="C37" s="78" t="s">
        <v>127</v>
      </c>
      <c r="D37" s="78" t="s">
        <v>128</v>
      </c>
      <c r="E37" s="83" t="s">
        <v>21</v>
      </c>
      <c r="F37" s="83" t="s">
        <v>22</v>
      </c>
      <c r="G37" s="83" t="s">
        <v>55</v>
      </c>
      <c r="H37" s="83" t="s">
        <v>129</v>
      </c>
      <c r="I37" s="83"/>
      <c r="J37" s="15" t="str">
        <f>IF(E37="Invalid_Segment","Invalid",IFERROR(INDEX(Severity_Matrix!$C$3:$M$10,MATCH('Error Log'!$F37,Severity_Matrix!$B$3:$B$10,0),MATCH('Error Log'!$G37,Severity_Matrix!$C$2:$M$2,0)),"No errors"))</f>
        <v>Major</v>
      </c>
      <c r="K37" s="1"/>
    </row>
    <row r="38" spans="1:11">
      <c r="A38" s="78" t="s">
        <v>126</v>
      </c>
      <c r="B38" s="18">
        <v>2</v>
      </c>
      <c r="C38" s="78" t="s">
        <v>127</v>
      </c>
      <c r="D38" s="78" t="s">
        <v>128</v>
      </c>
      <c r="E38" s="83" t="s">
        <v>21</v>
      </c>
      <c r="F38" s="83" t="s">
        <v>7</v>
      </c>
      <c r="G38" s="83" t="s">
        <v>55</v>
      </c>
      <c r="H38" s="83" t="s">
        <v>130</v>
      </c>
      <c r="I38" s="83"/>
      <c r="J38" s="15" t="str">
        <f>IF(E38="Invalid_Segment","Invalid",IFERROR(INDEX(Severity_Matrix!$C$3:$M$10,MATCH('Error Log'!$F38,Severity_Matrix!$B$3:$B$10,0),MATCH('Error Log'!$G38,Severity_Matrix!$C$2:$M$2,0)),"No errors"))</f>
        <v>Critical</v>
      </c>
      <c r="K38" s="1"/>
    </row>
    <row r="39" spans="1:11">
      <c r="A39" s="78" t="s">
        <v>126</v>
      </c>
      <c r="B39" s="18">
        <v>3</v>
      </c>
      <c r="C39" s="78" t="s">
        <v>127</v>
      </c>
      <c r="D39" s="78" t="s">
        <v>128</v>
      </c>
      <c r="E39" s="83" t="s">
        <v>21</v>
      </c>
      <c r="F39" s="83" t="s">
        <v>7</v>
      </c>
      <c r="G39" s="83" t="s">
        <v>55</v>
      </c>
      <c r="H39" s="83" t="s">
        <v>131</v>
      </c>
      <c r="I39" s="83"/>
      <c r="J39" s="15" t="str">
        <f>IF(E39="Invalid_Segment","Invalid",IFERROR(INDEX(Severity_Matrix!$C$3:$M$10,MATCH('Error Log'!$F39,Severity_Matrix!$B$3:$B$10,0),MATCH('Error Log'!$G39,Severity_Matrix!$C$2:$M$2,0)),"No errors"))</f>
        <v>Critical</v>
      </c>
      <c r="K39" s="1"/>
    </row>
    <row r="40" spans="1:11">
      <c r="A40" s="78" t="s">
        <v>126</v>
      </c>
      <c r="B40" s="18">
        <v>4</v>
      </c>
      <c r="C40" s="78" t="s">
        <v>127</v>
      </c>
      <c r="D40" s="78" t="s">
        <v>128</v>
      </c>
      <c r="E40" s="83" t="s">
        <v>21</v>
      </c>
      <c r="F40" s="83" t="s">
        <v>7</v>
      </c>
      <c r="G40" s="83" t="s">
        <v>55</v>
      </c>
      <c r="H40" s="83" t="s">
        <v>132</v>
      </c>
      <c r="I40" s="83"/>
      <c r="J40" s="15" t="str">
        <f>IF(E40="Invalid_Segment","Invalid",IFERROR(INDEX(Severity_Matrix!$C$3:$M$10,MATCH('Error Log'!$F40,Severity_Matrix!$B$3:$B$10,0),MATCH('Error Log'!$G40,Severity_Matrix!$C$2:$M$2,0)),"No errors"))</f>
        <v>Critical</v>
      </c>
      <c r="K40" s="1"/>
    </row>
    <row r="41" spans="1:11">
      <c r="A41" s="78" t="s">
        <v>133</v>
      </c>
      <c r="B41" s="18">
        <v>1</v>
      </c>
      <c r="C41" s="78" t="s">
        <v>134</v>
      </c>
      <c r="D41" s="78" t="s">
        <v>135</v>
      </c>
      <c r="E41" s="83" t="s">
        <v>21</v>
      </c>
      <c r="F41" s="83" t="s">
        <v>7</v>
      </c>
      <c r="G41" s="83" t="s">
        <v>55</v>
      </c>
      <c r="H41" s="85" t="s">
        <v>136</v>
      </c>
      <c r="I41" s="83"/>
      <c r="J41" s="15" t="str">
        <f>IF(E41="Invalid_Segment","Invalid",IFERROR(INDEX(Severity_Matrix!$C$3:$M$10,MATCH('Error Log'!$F41,Severity_Matrix!$B$3:$B$10,0),MATCH('Error Log'!$G41,Severity_Matrix!$C$2:$M$2,0)),"No errors"))</f>
        <v>Critical</v>
      </c>
      <c r="K41" s="1"/>
    </row>
    <row r="42" spans="1:11">
      <c r="A42" s="78" t="s">
        <v>137</v>
      </c>
      <c r="B42" s="18">
        <v>1</v>
      </c>
      <c r="C42" s="78" t="s">
        <v>138</v>
      </c>
      <c r="D42" s="78" t="s">
        <v>139</v>
      </c>
      <c r="E42" s="83" t="s">
        <v>21</v>
      </c>
      <c r="F42" s="83" t="s">
        <v>7</v>
      </c>
      <c r="G42" s="83" t="s">
        <v>27</v>
      </c>
      <c r="H42" s="84" t="s">
        <v>140</v>
      </c>
      <c r="I42" s="83"/>
      <c r="J42" s="15" t="str">
        <f>IF(E42="Invalid_Segment","Invalid",IFERROR(INDEX(Severity_Matrix!$C$3:$M$10,MATCH('Error Log'!$F42,Severity_Matrix!$B$3:$B$10,0),MATCH('Error Log'!$G42,Severity_Matrix!$C$2:$M$2,0)),"No errors"))</f>
        <v>Major</v>
      </c>
      <c r="K42" s="1"/>
    </row>
    <row r="43" spans="1:11">
      <c r="A43" s="78" t="s">
        <v>137</v>
      </c>
      <c r="B43" s="18">
        <v>2</v>
      </c>
      <c r="C43" s="78" t="s">
        <v>138</v>
      </c>
      <c r="D43" s="78" t="s">
        <v>139</v>
      </c>
      <c r="E43" s="83" t="s">
        <v>2</v>
      </c>
      <c r="F43" s="83" t="s">
        <v>26</v>
      </c>
      <c r="G43" s="83" t="s">
        <v>55</v>
      </c>
      <c r="H43" s="84" t="s">
        <v>141</v>
      </c>
      <c r="I43" s="83"/>
      <c r="J43" s="15" t="str">
        <f>IF(E43="Invalid_Segment","Invalid",IFERROR(INDEX(Severity_Matrix!$C$3:$M$10,MATCH('Error Log'!$F43,Severity_Matrix!$B$3:$B$10,0),MATCH('Error Log'!$G43,Severity_Matrix!$C$2:$M$2,0)),"No errors"))</f>
        <v>Major</v>
      </c>
      <c r="K43" s="1"/>
    </row>
    <row r="44" spans="1:11">
      <c r="A44" s="78" t="s">
        <v>137</v>
      </c>
      <c r="B44" s="18">
        <v>3</v>
      </c>
      <c r="C44" s="78" t="s">
        <v>138</v>
      </c>
      <c r="D44" s="78" t="s">
        <v>139</v>
      </c>
      <c r="E44" s="83" t="s">
        <v>21</v>
      </c>
      <c r="F44" s="83" t="s">
        <v>7</v>
      </c>
      <c r="G44" s="83" t="s">
        <v>55</v>
      </c>
      <c r="H44" s="84" t="s">
        <v>142</v>
      </c>
      <c r="I44" s="83"/>
      <c r="J44" s="15" t="str">
        <f>IF(E44="Invalid_Segment","Invalid",IFERROR(INDEX(Severity_Matrix!$C$3:$M$10,MATCH('Error Log'!$F44,Severity_Matrix!$B$3:$B$10,0),MATCH('Error Log'!$G44,Severity_Matrix!$C$2:$M$2,0)),"No errors"))</f>
        <v>Critical</v>
      </c>
      <c r="K44" s="1"/>
    </row>
    <row r="45" spans="1:11">
      <c r="A45" s="78" t="s">
        <v>137</v>
      </c>
      <c r="B45" s="18">
        <v>4</v>
      </c>
      <c r="C45" s="78" t="s">
        <v>138</v>
      </c>
      <c r="D45" s="78" t="s">
        <v>139</v>
      </c>
      <c r="E45" s="83" t="s">
        <v>21</v>
      </c>
      <c r="F45" s="83" t="s">
        <v>7</v>
      </c>
      <c r="G45" s="83" t="s">
        <v>55</v>
      </c>
      <c r="H45" s="83" t="s">
        <v>143</v>
      </c>
      <c r="I45" s="83"/>
      <c r="J45" s="15" t="str">
        <f>IF(E45="Invalid_Segment","Invalid",IFERROR(INDEX(Severity_Matrix!$C$3:$M$10,MATCH('Error Log'!$F45,Severity_Matrix!$B$3:$B$10,0),MATCH('Error Log'!$G45,Severity_Matrix!$C$2:$M$2,0)),"No errors"))</f>
        <v>Critical</v>
      </c>
      <c r="K45" s="1"/>
    </row>
    <row r="46" spans="1:11">
      <c r="A46" s="78" t="s">
        <v>144</v>
      </c>
      <c r="B46" s="18">
        <v>1</v>
      </c>
      <c r="C46" s="78" t="s">
        <v>145</v>
      </c>
      <c r="D46" s="78" t="s">
        <v>146</v>
      </c>
      <c r="E46" s="83" t="s">
        <v>21</v>
      </c>
      <c r="F46" s="83" t="s">
        <v>7</v>
      </c>
      <c r="G46" s="83" t="s">
        <v>55</v>
      </c>
      <c r="H46" s="83" t="s">
        <v>147</v>
      </c>
      <c r="I46" s="83"/>
      <c r="J46" s="15" t="str">
        <f>IF(E46="Invalid_Segment","Invalid",IFERROR(INDEX(Severity_Matrix!$C$3:$M$10,MATCH('Error Log'!$F46,Severity_Matrix!$B$3:$B$10,0),MATCH('Error Log'!$G46,Severity_Matrix!$C$2:$M$2,0)),"No errors"))</f>
        <v>Critical</v>
      </c>
      <c r="K46" s="1"/>
    </row>
    <row r="47" spans="1:11">
      <c r="A47" s="78" t="s">
        <v>148</v>
      </c>
      <c r="B47" s="23">
        <v>1</v>
      </c>
      <c r="C47" s="78" t="s">
        <v>149</v>
      </c>
      <c r="D47" s="78" t="s">
        <v>150</v>
      </c>
      <c r="E47" s="83" t="s">
        <v>21</v>
      </c>
      <c r="F47" s="83" t="s">
        <v>22</v>
      </c>
      <c r="G47" s="83" t="s">
        <v>55</v>
      </c>
      <c r="H47" s="83" t="s">
        <v>151</v>
      </c>
      <c r="I47" s="83"/>
      <c r="J47" s="15" t="str">
        <f>IF(E47="Invalid_Segment","Invalid",IFERROR(INDEX(Severity_Matrix!$C$3:$M$10,MATCH('Error Log'!$F47,Severity_Matrix!$B$3:$B$10,0),MATCH('Error Log'!$G47,Severity_Matrix!$C$2:$M$2,0)),"No errors"))</f>
        <v>Major</v>
      </c>
      <c r="K47" s="1"/>
    </row>
    <row r="48" spans="1:11">
      <c r="A48" s="78" t="s">
        <v>148</v>
      </c>
      <c r="B48" s="23">
        <v>2</v>
      </c>
      <c r="C48" s="78" t="s">
        <v>149</v>
      </c>
      <c r="D48" s="78" t="s">
        <v>150</v>
      </c>
      <c r="E48" s="83" t="s">
        <v>21</v>
      </c>
      <c r="F48" s="83" t="s">
        <v>7</v>
      </c>
      <c r="G48" s="83" t="s">
        <v>55</v>
      </c>
      <c r="H48" s="83" t="s">
        <v>152</v>
      </c>
      <c r="I48" s="83"/>
      <c r="J48" s="15" t="str">
        <f>IF(E48="Invalid_Segment","Invalid",IFERROR(INDEX(Severity_Matrix!$C$3:$M$10,MATCH('Error Log'!$F48,Severity_Matrix!$B$3:$B$10,0),MATCH('Error Log'!$G48,Severity_Matrix!$C$2:$M$2,0)),"No errors"))</f>
        <v>Critical</v>
      </c>
      <c r="K48" s="1"/>
    </row>
    <row r="49" spans="1:11">
      <c r="A49" s="78" t="s">
        <v>153</v>
      </c>
      <c r="B49" s="18">
        <v>1</v>
      </c>
      <c r="C49" s="78" t="s">
        <v>154</v>
      </c>
      <c r="D49" s="78" t="s">
        <v>155</v>
      </c>
      <c r="E49" s="83"/>
      <c r="F49" s="83"/>
      <c r="G49" s="83"/>
      <c r="H49" s="83"/>
      <c r="I49" s="83"/>
      <c r="J49" s="15" t="str">
        <f>IF(E49="Invalid_Segment","Invalid",IFERROR(INDEX(Severity_Matrix!$C$3:$M$10,MATCH('Error Log'!$F49,Severity_Matrix!$B$3:$B$10,0),MATCH('Error Log'!$G49,Severity_Matrix!$C$2:$M$2,0)),"No errors"))</f>
        <v>No errors</v>
      </c>
      <c r="K49" s="1"/>
    </row>
    <row r="50" spans="1:11">
      <c r="A50" s="78" t="s">
        <v>156</v>
      </c>
      <c r="B50" s="18">
        <v>1</v>
      </c>
      <c r="C50" s="78" t="s">
        <v>157</v>
      </c>
      <c r="D50" s="78" t="s">
        <v>158</v>
      </c>
      <c r="E50" s="83" t="s">
        <v>21</v>
      </c>
      <c r="F50" s="83" t="s">
        <v>7</v>
      </c>
      <c r="G50" s="83" t="s">
        <v>55</v>
      </c>
      <c r="H50" s="83" t="s">
        <v>159</v>
      </c>
      <c r="I50" s="83"/>
      <c r="J50" s="15" t="str">
        <f>IF(E50="Invalid_Segment","Invalid",IFERROR(INDEX(Severity_Matrix!$C$3:$M$10,MATCH('Error Log'!$F50,Severity_Matrix!$B$3:$B$10,0),MATCH('Error Log'!$G50,Severity_Matrix!$C$2:$M$2,0)),"No errors"))</f>
        <v>Critical</v>
      </c>
      <c r="K50" s="1"/>
    </row>
    <row r="51" spans="1:11">
      <c r="A51" s="78" t="s">
        <v>160</v>
      </c>
      <c r="B51" s="18">
        <v>1</v>
      </c>
      <c r="C51" s="78" t="s">
        <v>161</v>
      </c>
      <c r="D51" s="78" t="s">
        <v>162</v>
      </c>
      <c r="E51" s="83" t="s">
        <v>21</v>
      </c>
      <c r="F51" s="83" t="s">
        <v>22</v>
      </c>
      <c r="G51" s="83" t="s">
        <v>55</v>
      </c>
      <c r="H51" s="83" t="s">
        <v>163</v>
      </c>
      <c r="I51" s="83"/>
      <c r="J51" s="15" t="str">
        <f>IF(E51="Invalid_Segment","Invalid",IFERROR(INDEX(Severity_Matrix!$C$3:$M$10,MATCH('Error Log'!$F51,Severity_Matrix!$B$3:$B$10,0),MATCH('Error Log'!$G51,Severity_Matrix!$C$2:$M$2,0)),"No errors"))</f>
        <v>Major</v>
      </c>
      <c r="K51" s="1"/>
    </row>
    <row r="52" spans="1:11">
      <c r="A52" s="78" t="s">
        <v>160</v>
      </c>
      <c r="B52" s="18">
        <v>2</v>
      </c>
      <c r="C52" s="78" t="s">
        <v>161</v>
      </c>
      <c r="D52" s="78" t="s">
        <v>162</v>
      </c>
      <c r="E52" s="83" t="s">
        <v>21</v>
      </c>
      <c r="F52" s="83" t="s">
        <v>7</v>
      </c>
      <c r="G52" s="83" t="s">
        <v>55</v>
      </c>
      <c r="H52" s="83" t="s">
        <v>164</v>
      </c>
      <c r="I52" s="83"/>
      <c r="J52" s="15" t="str">
        <f>IF(E52="Invalid_Segment","Invalid",IFERROR(INDEX(Severity_Matrix!$C$3:$M$10,MATCH('Error Log'!$F52,Severity_Matrix!$B$3:$B$10,0),MATCH('Error Log'!$G52,Severity_Matrix!$C$2:$M$2,0)),"No errors"))</f>
        <v>Critical</v>
      </c>
      <c r="K52" s="1"/>
    </row>
    <row r="53" spans="1:11">
      <c r="A53" s="78" t="s">
        <v>165</v>
      </c>
      <c r="B53" s="18">
        <v>1</v>
      </c>
      <c r="C53" s="78" t="s">
        <v>166</v>
      </c>
      <c r="D53" s="78" t="s">
        <v>167</v>
      </c>
      <c r="E53" s="83" t="s">
        <v>21</v>
      </c>
      <c r="F53" s="83" t="s">
        <v>7</v>
      </c>
      <c r="G53" s="83" t="s">
        <v>55</v>
      </c>
      <c r="H53" s="83" t="s">
        <v>168</v>
      </c>
      <c r="I53" s="83"/>
      <c r="J53" s="15" t="str">
        <f>IF(E53="Invalid_Segment","Invalid",IFERROR(INDEX(Severity_Matrix!$C$3:$M$10,MATCH('Error Log'!$F53,Severity_Matrix!$B$3:$B$10,0),MATCH('Error Log'!$G53,Severity_Matrix!$C$2:$M$2,0)),"No errors"))</f>
        <v>Critical</v>
      </c>
      <c r="K53" s="1"/>
    </row>
    <row r="54" spans="1:11" ht="15.6">
      <c r="A54" s="79" t="s">
        <v>169</v>
      </c>
      <c r="B54" s="18">
        <v>1</v>
      </c>
      <c r="C54" s="78" t="s">
        <v>170</v>
      </c>
      <c r="D54" s="86" t="s">
        <v>171</v>
      </c>
      <c r="E54" s="83" t="s">
        <v>21</v>
      </c>
      <c r="F54" s="83" t="s">
        <v>22</v>
      </c>
      <c r="G54" s="83" t="s">
        <v>28</v>
      </c>
      <c r="H54" s="87" t="s">
        <v>172</v>
      </c>
      <c r="I54" s="83"/>
      <c r="J54" s="15" t="str">
        <f>IF(E54="Invalid_Segment","Invalid",IFERROR(INDEX(Severity_Matrix!$C$3:$M$10,MATCH('Error Log'!$F54,Severity_Matrix!$B$3:$B$10,0),MATCH('Error Log'!$G54,Severity_Matrix!$C$2:$M$2,0)),"No errors"))</f>
        <v>Major</v>
      </c>
      <c r="K54" s="1"/>
    </row>
    <row r="55" spans="1:11" ht="14.4">
      <c r="A55" s="79" t="s">
        <v>169</v>
      </c>
      <c r="B55" s="18">
        <v>2</v>
      </c>
      <c r="C55" s="78" t="s">
        <v>170</v>
      </c>
      <c r="D55" s="86" t="s">
        <v>171</v>
      </c>
      <c r="E55" s="83" t="s">
        <v>21</v>
      </c>
      <c r="F55" s="83" t="s">
        <v>22</v>
      </c>
      <c r="G55" s="83" t="s">
        <v>28</v>
      </c>
      <c r="H55" s="88" t="s">
        <v>173</v>
      </c>
      <c r="I55" s="83"/>
      <c r="J55" s="15" t="str">
        <f>IF(E55="Invalid_Segment","Invalid",IFERROR(INDEX(Severity_Matrix!$C$3:$M$10,MATCH('Error Log'!$F55,Severity_Matrix!$B$3:$B$10,0),MATCH('Error Log'!$G55,Severity_Matrix!$C$2:$M$2,0)),"No errors"))</f>
        <v>Major</v>
      </c>
      <c r="K55" s="1"/>
    </row>
    <row r="56" spans="1:11">
      <c r="A56" s="79" t="s">
        <v>169</v>
      </c>
      <c r="B56" s="18">
        <v>3</v>
      </c>
      <c r="C56" s="78" t="s">
        <v>170</v>
      </c>
      <c r="D56" s="86" t="s">
        <v>171</v>
      </c>
      <c r="E56" s="83" t="s">
        <v>21</v>
      </c>
      <c r="F56" s="83" t="s">
        <v>7</v>
      </c>
      <c r="G56" s="83" t="s">
        <v>55</v>
      </c>
      <c r="H56" s="83" t="s">
        <v>174</v>
      </c>
      <c r="I56" s="83"/>
      <c r="J56" s="15" t="str">
        <f>IF(E56="Invalid_Segment","Invalid",IFERROR(INDEX(Severity_Matrix!$C$3:$M$10,MATCH('Error Log'!$F56,Severity_Matrix!$B$3:$B$10,0),MATCH('Error Log'!$G56,Severity_Matrix!$C$2:$M$2,0)),"No errors"))</f>
        <v>Critical</v>
      </c>
      <c r="K56" s="79"/>
    </row>
    <row r="57" spans="1:11">
      <c r="A57" s="79" t="s">
        <v>169</v>
      </c>
      <c r="B57" s="18">
        <v>4</v>
      </c>
      <c r="C57" s="78" t="s">
        <v>170</v>
      </c>
      <c r="D57" s="86" t="s">
        <v>171</v>
      </c>
      <c r="E57" s="83" t="s">
        <v>21</v>
      </c>
      <c r="F57" s="83" t="s">
        <v>7</v>
      </c>
      <c r="G57" s="83" t="s">
        <v>55</v>
      </c>
      <c r="H57" s="83" t="s">
        <v>175</v>
      </c>
      <c r="I57" s="83"/>
      <c r="J57" s="15" t="str">
        <f>IF(E57="Invalid_Segment","Invalid",IFERROR(INDEX(Severity_Matrix!$C$3:$M$10,MATCH('Error Log'!$F57,Severity_Matrix!$B$3:$B$10,0),MATCH('Error Log'!$G57,Severity_Matrix!$C$2:$M$2,0)),"No errors"))</f>
        <v>Critical</v>
      </c>
      <c r="K57" s="79"/>
    </row>
    <row r="58" spans="1:11">
      <c r="A58" s="79" t="s">
        <v>176</v>
      </c>
      <c r="B58" s="18">
        <v>1</v>
      </c>
      <c r="C58" s="78" t="s">
        <v>177</v>
      </c>
      <c r="D58" s="86" t="s">
        <v>178</v>
      </c>
      <c r="E58" s="83" t="s">
        <v>21</v>
      </c>
      <c r="F58" s="83" t="s">
        <v>22</v>
      </c>
      <c r="G58" s="83" t="s">
        <v>28</v>
      </c>
      <c r="H58" s="83" t="s">
        <v>77</v>
      </c>
      <c r="I58" s="83"/>
      <c r="J58" s="15" t="str">
        <f>IF(E58="Invalid_Segment","Invalid",IFERROR(INDEX(Severity_Matrix!$C$3:$M$10,MATCH('Error Log'!$F58,Severity_Matrix!$B$3:$B$10,0),MATCH('Error Log'!$G58,Severity_Matrix!$C$2:$M$2,0)),"No errors"))</f>
        <v>Major</v>
      </c>
      <c r="K58" s="79"/>
    </row>
    <row r="59" spans="1:11">
      <c r="A59" s="79" t="s">
        <v>179</v>
      </c>
      <c r="B59" s="18">
        <v>1</v>
      </c>
      <c r="C59" s="78" t="s">
        <v>180</v>
      </c>
      <c r="D59" s="86" t="s">
        <v>181</v>
      </c>
      <c r="E59" s="83" t="s">
        <v>21</v>
      </c>
      <c r="F59" s="83" t="s">
        <v>22</v>
      </c>
      <c r="G59" s="83" t="s">
        <v>55</v>
      </c>
      <c r="H59" s="83" t="s">
        <v>182</v>
      </c>
      <c r="I59" s="83"/>
      <c r="J59" s="15" t="str">
        <f>IF(E59="Invalid_Segment","Invalid",IFERROR(INDEX(Severity_Matrix!$C$3:$M$10,MATCH('Error Log'!$F59,Severity_Matrix!$B$3:$B$10,0),MATCH('Error Log'!$G59,Severity_Matrix!$C$2:$M$2,0)),"No errors"))</f>
        <v>Major</v>
      </c>
      <c r="K59" s="79"/>
    </row>
    <row r="60" spans="1:11">
      <c r="A60" s="79" t="s">
        <v>179</v>
      </c>
      <c r="B60" s="18">
        <v>2</v>
      </c>
      <c r="C60" s="78" t="s">
        <v>180</v>
      </c>
      <c r="D60" s="86" t="s">
        <v>181</v>
      </c>
      <c r="E60" s="83" t="s">
        <v>2</v>
      </c>
      <c r="F60" s="83" t="s">
        <v>26</v>
      </c>
      <c r="G60" s="83" t="s">
        <v>55</v>
      </c>
      <c r="H60" s="83" t="s">
        <v>183</v>
      </c>
      <c r="I60" s="83"/>
      <c r="J60" s="15" t="str">
        <f>IF(E60="Invalid_Segment","Invalid",IFERROR(INDEX(Severity_Matrix!$C$3:$M$10,MATCH('Error Log'!$F60,Severity_Matrix!$B$3:$B$10,0),MATCH('Error Log'!$G60,Severity_Matrix!$C$2:$M$2,0)),"No errors"))</f>
        <v>Major</v>
      </c>
      <c r="K60" s="79"/>
    </row>
    <row r="61" spans="1:11">
      <c r="A61" s="79" t="s">
        <v>184</v>
      </c>
      <c r="B61" s="18">
        <v>3</v>
      </c>
      <c r="C61" s="78" t="s">
        <v>180</v>
      </c>
      <c r="D61" s="86" t="s">
        <v>181</v>
      </c>
      <c r="E61" s="83" t="s">
        <v>21</v>
      </c>
      <c r="F61" s="83" t="s">
        <v>7</v>
      </c>
      <c r="G61" s="83" t="s">
        <v>55</v>
      </c>
      <c r="H61" s="83" t="s">
        <v>185</v>
      </c>
      <c r="I61" s="83"/>
      <c r="J61" s="15" t="str">
        <f>IF(E61="Invalid_Segment","Invalid",IFERROR(INDEX(Severity_Matrix!$C$3:$M$10,MATCH('Error Log'!$F61,Severity_Matrix!$B$3:$B$10,0),MATCH('Error Log'!$G61,Severity_Matrix!$C$2:$M$2,0)),"No errors"))</f>
        <v>Critical</v>
      </c>
      <c r="K61" s="79"/>
    </row>
    <row r="62" spans="1:11">
      <c r="A62" s="79" t="s">
        <v>184</v>
      </c>
      <c r="B62" s="18">
        <v>4</v>
      </c>
      <c r="C62" s="78" t="s">
        <v>180</v>
      </c>
      <c r="D62" s="86" t="s">
        <v>181</v>
      </c>
      <c r="E62" s="83" t="s">
        <v>21</v>
      </c>
      <c r="F62" s="83" t="s">
        <v>7</v>
      </c>
      <c r="G62" s="83" t="s">
        <v>55</v>
      </c>
      <c r="H62" s="83" t="s">
        <v>851</v>
      </c>
      <c r="I62" s="83"/>
      <c r="J62" s="15" t="str">
        <f>IF(E62="Invalid_Segment","Invalid",IFERROR(INDEX(Severity_Matrix!$C$3:$M$10,MATCH('Error Log'!$F62,Severity_Matrix!$B$3:$B$10,0),MATCH('Error Log'!$G62,Severity_Matrix!$C$2:$M$2,0)),"No errors"))</f>
        <v>Critical</v>
      </c>
      <c r="K62" s="79"/>
    </row>
    <row r="63" spans="1:11">
      <c r="A63" s="79" t="s">
        <v>186</v>
      </c>
      <c r="B63" s="18">
        <v>1</v>
      </c>
      <c r="C63" s="78" t="s">
        <v>187</v>
      </c>
      <c r="D63" s="86" t="s">
        <v>188</v>
      </c>
      <c r="E63" s="83" t="s">
        <v>21</v>
      </c>
      <c r="F63" s="83" t="s">
        <v>7</v>
      </c>
      <c r="G63" s="83" t="s">
        <v>55</v>
      </c>
      <c r="H63" s="83" t="s">
        <v>189</v>
      </c>
      <c r="I63" s="83"/>
      <c r="J63" s="15" t="str">
        <f>IF(E63="Invalid_Segment","Invalid",IFERROR(INDEX(Severity_Matrix!$C$3:$M$10,MATCH('Error Log'!$F63,Severity_Matrix!$B$3:$B$10,0),MATCH('Error Log'!$G63,Severity_Matrix!$C$2:$M$2,0)),"No errors"))</f>
        <v>Critical</v>
      </c>
      <c r="K63" s="79"/>
    </row>
    <row r="64" spans="1:11">
      <c r="A64" s="89" t="s">
        <v>190</v>
      </c>
      <c r="B64" s="90">
        <v>1</v>
      </c>
      <c r="C64" s="78" t="s">
        <v>191</v>
      </c>
      <c r="D64" s="91" t="s">
        <v>192</v>
      </c>
      <c r="E64" s="92" t="s">
        <v>21</v>
      </c>
      <c r="F64" s="92" t="s">
        <v>7</v>
      </c>
      <c r="G64" s="92" t="s">
        <v>55</v>
      </c>
      <c r="H64" s="92" t="s">
        <v>193</v>
      </c>
      <c r="I64" s="83"/>
      <c r="J64" s="15" t="str">
        <f>IF(E64="Invalid_Segment","Invalid",IFERROR(INDEX(Severity_Matrix!$C$3:$M$10,MATCH('Error Log'!$F64,Severity_Matrix!$B$3:$B$10,0),MATCH('Error Log'!$G64,Severity_Matrix!$C$2:$M$2,0)),"No errors"))</f>
        <v>Critical</v>
      </c>
      <c r="K64" s="79"/>
    </row>
    <row r="65" spans="1:11">
      <c r="A65" s="89" t="s">
        <v>190</v>
      </c>
      <c r="B65" s="90">
        <v>2</v>
      </c>
      <c r="C65" s="78" t="s">
        <v>191</v>
      </c>
      <c r="D65" s="91" t="s">
        <v>192</v>
      </c>
      <c r="E65" s="92" t="s">
        <v>21</v>
      </c>
      <c r="F65" s="92" t="s">
        <v>7</v>
      </c>
      <c r="G65" s="92" t="s">
        <v>55</v>
      </c>
      <c r="H65" s="92" t="s">
        <v>194</v>
      </c>
      <c r="I65" s="83"/>
      <c r="J65" s="15" t="str">
        <f>IF(E65="Invalid_Segment","Invalid",IFERROR(INDEX(Severity_Matrix!$C$3:$M$10,MATCH('Error Log'!$F65,Severity_Matrix!$B$3:$B$10,0),MATCH('Error Log'!$G65,Severity_Matrix!$C$2:$M$2,0)),"No errors"))</f>
        <v>Critical</v>
      </c>
      <c r="K65" s="79"/>
    </row>
    <row r="66" spans="1:11">
      <c r="A66" s="89" t="s">
        <v>195</v>
      </c>
      <c r="B66" s="90">
        <v>3</v>
      </c>
      <c r="C66" s="78" t="s">
        <v>191</v>
      </c>
      <c r="D66" s="91" t="s">
        <v>192</v>
      </c>
      <c r="E66" s="92" t="s">
        <v>21</v>
      </c>
      <c r="F66" s="92" t="s">
        <v>7</v>
      </c>
      <c r="G66" s="92" t="s">
        <v>55</v>
      </c>
      <c r="H66" s="92" t="s">
        <v>196</v>
      </c>
      <c r="I66" s="83"/>
      <c r="J66" s="15" t="str">
        <f>IF(E66="Invalid_Segment","Invalid",IFERROR(INDEX(Severity_Matrix!$C$3:$M$10,MATCH('Error Log'!$F66,Severity_Matrix!$B$3:$B$10,0),MATCH('Error Log'!$G66,Severity_Matrix!$C$2:$M$2,0)),"No errors"))</f>
        <v>Critical</v>
      </c>
      <c r="K66" s="79"/>
    </row>
    <row r="67" spans="1:11">
      <c r="A67" s="89" t="s">
        <v>195</v>
      </c>
      <c r="B67" s="90">
        <v>4</v>
      </c>
      <c r="C67" s="78" t="s">
        <v>191</v>
      </c>
      <c r="D67" s="91" t="s">
        <v>192</v>
      </c>
      <c r="E67" s="83" t="s">
        <v>21</v>
      </c>
      <c r="F67" s="83" t="s">
        <v>22</v>
      </c>
      <c r="G67" s="92" t="s">
        <v>55</v>
      </c>
      <c r="H67" s="92" t="s">
        <v>197</v>
      </c>
      <c r="I67" s="83"/>
      <c r="J67" s="15" t="str">
        <f>IF(E67="Invalid_Segment","Invalid",IFERROR(INDEX(Severity_Matrix!$C$3:$M$10,MATCH('Error Log'!$F67,Severity_Matrix!$B$3:$B$10,0),MATCH('Error Log'!$G67,Severity_Matrix!$C$2:$M$2,0)),"No errors"))</f>
        <v>Major</v>
      </c>
      <c r="K67" s="79"/>
    </row>
    <row r="68" spans="1:11">
      <c r="A68" s="79" t="s">
        <v>198</v>
      </c>
      <c r="B68" s="18">
        <v>1</v>
      </c>
      <c r="C68" s="78" t="s">
        <v>199</v>
      </c>
      <c r="D68" s="86" t="s">
        <v>200</v>
      </c>
      <c r="E68" s="83" t="s">
        <v>2</v>
      </c>
      <c r="F68" s="83" t="s">
        <v>26</v>
      </c>
      <c r="G68" s="83" t="s">
        <v>55</v>
      </c>
      <c r="H68" s="83" t="s">
        <v>201</v>
      </c>
      <c r="I68" s="83"/>
      <c r="J68" s="15" t="str">
        <f>IF(E68="Invalid_Segment","Invalid",IFERROR(INDEX(Severity_Matrix!$C$3:$M$10,MATCH('Error Log'!$F68,Severity_Matrix!$B$3:$B$10,0),MATCH('Error Log'!$G68,Severity_Matrix!$C$2:$M$2,0)),"No errors"))</f>
        <v>Major</v>
      </c>
      <c r="K68" s="79"/>
    </row>
    <row r="69" spans="1:11">
      <c r="A69" s="79" t="s">
        <v>198</v>
      </c>
      <c r="B69" s="18">
        <v>2</v>
      </c>
      <c r="C69" s="78" t="s">
        <v>199</v>
      </c>
      <c r="D69" s="86" t="s">
        <v>200</v>
      </c>
      <c r="E69" s="83" t="s">
        <v>2</v>
      </c>
      <c r="F69" s="83" t="s">
        <v>26</v>
      </c>
      <c r="G69" s="83" t="s">
        <v>55</v>
      </c>
      <c r="H69" s="83" t="s">
        <v>202</v>
      </c>
      <c r="I69" s="83"/>
      <c r="J69" s="15" t="str">
        <f>IF(E69="Invalid_Segment","Invalid",IFERROR(INDEX(Severity_Matrix!$C$3:$M$10,MATCH('Error Log'!$F69,Severity_Matrix!$B$3:$B$10,0),MATCH('Error Log'!$G69,Severity_Matrix!$C$2:$M$2,0)),"No errors"))</f>
        <v>Major</v>
      </c>
      <c r="K69" s="79"/>
    </row>
    <row r="70" spans="1:11">
      <c r="A70" s="79" t="s">
        <v>203</v>
      </c>
      <c r="B70" s="18">
        <v>3</v>
      </c>
      <c r="C70" s="78" t="s">
        <v>199</v>
      </c>
      <c r="D70" s="86" t="s">
        <v>200</v>
      </c>
      <c r="E70" s="83" t="s">
        <v>21</v>
      </c>
      <c r="F70" s="83" t="s">
        <v>7</v>
      </c>
      <c r="G70" s="83" t="s">
        <v>55</v>
      </c>
      <c r="H70" s="83" t="s">
        <v>204</v>
      </c>
      <c r="I70" s="83"/>
      <c r="J70" s="15" t="str">
        <f>IF(E70="Invalid_Segment","Invalid",IFERROR(INDEX(Severity_Matrix!$C$3:$M$10,MATCH('Error Log'!$F70,Severity_Matrix!$B$3:$B$10,0),MATCH('Error Log'!$G70,Severity_Matrix!$C$2:$M$2,0)),"No errors"))</f>
        <v>Critical</v>
      </c>
      <c r="K70" s="79"/>
    </row>
    <row r="71" spans="1:11">
      <c r="A71" s="79" t="s">
        <v>203</v>
      </c>
      <c r="B71" s="18">
        <v>4</v>
      </c>
      <c r="C71" s="78" t="s">
        <v>199</v>
      </c>
      <c r="D71" s="86" t="s">
        <v>200</v>
      </c>
      <c r="E71" s="83" t="s">
        <v>21</v>
      </c>
      <c r="F71" s="83" t="s">
        <v>7</v>
      </c>
      <c r="G71" s="83" t="s">
        <v>55</v>
      </c>
      <c r="H71" s="83" t="s">
        <v>205</v>
      </c>
      <c r="I71" s="83"/>
      <c r="J71" s="15" t="str">
        <f>IF(E71="Invalid_Segment","Invalid",IFERROR(INDEX(Severity_Matrix!$C$3:$M$10,MATCH('Error Log'!$F71,Severity_Matrix!$B$3:$B$10,0),MATCH('Error Log'!$G71,Severity_Matrix!$C$2:$M$2,0)),"No errors"))</f>
        <v>Critical</v>
      </c>
      <c r="K71" s="79"/>
    </row>
    <row r="72" spans="1:11">
      <c r="A72" s="79" t="s">
        <v>203</v>
      </c>
      <c r="B72" s="18">
        <v>5</v>
      </c>
      <c r="C72" s="78" t="s">
        <v>199</v>
      </c>
      <c r="D72" s="86" t="s">
        <v>200</v>
      </c>
      <c r="E72" s="83" t="s">
        <v>21</v>
      </c>
      <c r="F72" s="83" t="s">
        <v>7</v>
      </c>
      <c r="G72" s="83" t="s">
        <v>55</v>
      </c>
      <c r="H72" s="83" t="s">
        <v>206</v>
      </c>
      <c r="I72" s="83"/>
      <c r="J72" s="15" t="str">
        <f>IF(E72="Invalid_Segment","Invalid",IFERROR(INDEX(Severity_Matrix!$C$3:$M$10,MATCH('Error Log'!$F72,Severity_Matrix!$B$3:$B$10,0),MATCH('Error Log'!$G72,Severity_Matrix!$C$2:$M$2,0)),"No errors"))</f>
        <v>Critical</v>
      </c>
      <c r="K72" s="79"/>
    </row>
    <row r="73" spans="1:11">
      <c r="A73" s="79" t="s">
        <v>207</v>
      </c>
      <c r="B73" s="18">
        <v>1</v>
      </c>
      <c r="C73" s="78" t="s">
        <v>208</v>
      </c>
      <c r="D73" s="86" t="s">
        <v>209</v>
      </c>
      <c r="E73" s="83" t="s">
        <v>21</v>
      </c>
      <c r="F73" s="83" t="s">
        <v>7</v>
      </c>
      <c r="G73" s="83" t="s">
        <v>55</v>
      </c>
      <c r="H73" s="83" t="s">
        <v>210</v>
      </c>
      <c r="I73" s="83"/>
      <c r="J73" s="15" t="str">
        <f>IF(E73="Invalid_Segment","Invalid",IFERROR(INDEX(Severity_Matrix!$C$3:$M$10,MATCH('Error Log'!$F73,Severity_Matrix!$B$3:$B$10,0),MATCH('Error Log'!$G73,Severity_Matrix!$C$2:$M$2,0)),"No errors"))</f>
        <v>Critical</v>
      </c>
      <c r="K73" s="79"/>
    </row>
    <row r="74" spans="1:11">
      <c r="A74" s="79" t="s">
        <v>207</v>
      </c>
      <c r="B74" s="18">
        <v>2</v>
      </c>
      <c r="C74" s="78" t="s">
        <v>208</v>
      </c>
      <c r="D74" s="86" t="s">
        <v>209</v>
      </c>
      <c r="E74" s="83" t="s">
        <v>21</v>
      </c>
      <c r="F74" s="83" t="s">
        <v>7</v>
      </c>
      <c r="G74" s="83" t="s">
        <v>55</v>
      </c>
      <c r="H74" s="83" t="s">
        <v>211</v>
      </c>
      <c r="I74" s="83"/>
      <c r="J74" s="15" t="str">
        <f>IF(E74="Invalid_Segment","Invalid",IFERROR(INDEX(Severity_Matrix!$C$3:$M$10,MATCH('Error Log'!$F74,Severity_Matrix!$B$3:$B$10,0),MATCH('Error Log'!$G74,Severity_Matrix!$C$2:$M$2,0)),"No errors"))</f>
        <v>Critical</v>
      </c>
      <c r="K74" s="79"/>
    </row>
    <row r="75" spans="1:11">
      <c r="A75" s="79" t="s">
        <v>212</v>
      </c>
      <c r="B75" s="18">
        <v>1</v>
      </c>
      <c r="C75" s="78" t="s">
        <v>213</v>
      </c>
      <c r="D75" s="86" t="s">
        <v>214</v>
      </c>
      <c r="E75" s="83" t="s">
        <v>21</v>
      </c>
      <c r="F75" s="83" t="s">
        <v>22</v>
      </c>
      <c r="G75" s="83" t="s">
        <v>28</v>
      </c>
      <c r="H75" s="83" t="s">
        <v>852</v>
      </c>
      <c r="I75" s="83"/>
      <c r="J75" s="15" t="str">
        <f>IF(E75="Invalid_Segment","Invalid",IFERROR(INDEX(Severity_Matrix!$C$3:$M$10,MATCH('Error Log'!$F75,Severity_Matrix!$B$3:$B$10,0),MATCH('Error Log'!$G75,Severity_Matrix!$C$2:$M$2,0)),"No errors"))</f>
        <v>Major</v>
      </c>
      <c r="K75" s="79"/>
    </row>
    <row r="76" spans="1:11">
      <c r="A76" s="79" t="s">
        <v>212</v>
      </c>
      <c r="B76" s="18">
        <v>2</v>
      </c>
      <c r="C76" s="78" t="s">
        <v>213</v>
      </c>
      <c r="D76" s="86" t="s">
        <v>214</v>
      </c>
      <c r="E76" s="83" t="s">
        <v>21</v>
      </c>
      <c r="F76" s="83" t="s">
        <v>22</v>
      </c>
      <c r="G76" s="83" t="s">
        <v>28</v>
      </c>
      <c r="H76" s="83" t="s">
        <v>403</v>
      </c>
      <c r="I76" s="83"/>
      <c r="J76" s="15" t="str">
        <f>IF(E76="Invalid_Segment","Invalid",IFERROR(INDEX(Severity_Matrix!$C$3:$M$10,MATCH('Error Log'!$F76,Severity_Matrix!$B$3:$B$10,0),MATCH('Error Log'!$G76,Severity_Matrix!$C$2:$M$2,0)),"No errors"))</f>
        <v>Major</v>
      </c>
      <c r="K76" s="79"/>
    </row>
    <row r="77" spans="1:11">
      <c r="A77" s="79" t="s">
        <v>853</v>
      </c>
      <c r="B77" s="18">
        <v>3</v>
      </c>
      <c r="C77" s="78" t="s">
        <v>213</v>
      </c>
      <c r="D77" s="86" t="s">
        <v>214</v>
      </c>
      <c r="E77" s="83" t="s">
        <v>21</v>
      </c>
      <c r="F77" s="83" t="s">
        <v>7</v>
      </c>
      <c r="G77" s="83" t="s">
        <v>55</v>
      </c>
      <c r="H77" s="83" t="s">
        <v>215</v>
      </c>
      <c r="I77" s="83"/>
      <c r="J77" s="15" t="str">
        <f>IF(E77="Invalid_Segment","Invalid",IFERROR(INDEX(Severity_Matrix!$C$3:$M$10,MATCH('Error Log'!$F77,Severity_Matrix!$B$3:$B$10,0),MATCH('Error Log'!$G77,Severity_Matrix!$C$2:$M$2,0)),"No errors"))</f>
        <v>Critical</v>
      </c>
      <c r="K77" s="79"/>
    </row>
    <row r="78" spans="1:11">
      <c r="A78" s="79" t="s">
        <v>853</v>
      </c>
      <c r="B78" s="18">
        <v>4</v>
      </c>
      <c r="C78" s="78" t="s">
        <v>213</v>
      </c>
      <c r="D78" s="86" t="s">
        <v>214</v>
      </c>
      <c r="E78" s="83" t="s">
        <v>21</v>
      </c>
      <c r="F78" s="83" t="s">
        <v>22</v>
      </c>
      <c r="G78" s="83" t="s">
        <v>28</v>
      </c>
      <c r="H78" s="83" t="s">
        <v>216</v>
      </c>
      <c r="I78" s="83"/>
      <c r="J78" s="15" t="str">
        <f>IF(E78="Invalid_Segment","Invalid",IFERROR(INDEX(Severity_Matrix!$C$3:$M$10,MATCH('Error Log'!$F78,Severity_Matrix!$B$3:$B$10,0),MATCH('Error Log'!$G78,Severity_Matrix!$C$2:$M$2,0)),"No errors"))</f>
        <v>Major</v>
      </c>
      <c r="K78" s="79"/>
    </row>
    <row r="79" spans="1:11">
      <c r="A79" s="79" t="s">
        <v>853</v>
      </c>
      <c r="B79" s="18">
        <v>5</v>
      </c>
      <c r="C79" s="78" t="s">
        <v>213</v>
      </c>
      <c r="D79" s="86" t="s">
        <v>214</v>
      </c>
      <c r="E79" s="83" t="s">
        <v>21</v>
      </c>
      <c r="F79" s="83" t="s">
        <v>22</v>
      </c>
      <c r="G79" s="83" t="s">
        <v>28</v>
      </c>
      <c r="H79" s="83" t="s">
        <v>217</v>
      </c>
      <c r="I79" s="83"/>
      <c r="J79" s="15" t="str">
        <f>IF(E79="Invalid_Segment","Invalid",IFERROR(INDEX(Severity_Matrix!$C$3:$M$10,MATCH('Error Log'!$F79,Severity_Matrix!$B$3:$B$10,0),MATCH('Error Log'!$G79,Severity_Matrix!$C$2:$M$2,0)),"No errors"))</f>
        <v>Major</v>
      </c>
      <c r="K79" s="79"/>
    </row>
    <row r="80" spans="1:11">
      <c r="A80" s="79" t="s">
        <v>218</v>
      </c>
      <c r="B80" s="18">
        <v>1</v>
      </c>
      <c r="C80" s="78" t="s">
        <v>219</v>
      </c>
      <c r="D80" s="86" t="s">
        <v>220</v>
      </c>
      <c r="E80" s="83" t="s">
        <v>21</v>
      </c>
      <c r="F80" s="83" t="s">
        <v>22</v>
      </c>
      <c r="G80" s="83" t="s">
        <v>55</v>
      </c>
      <c r="H80" s="83" t="s">
        <v>221</v>
      </c>
      <c r="I80" s="83"/>
      <c r="J80" s="15" t="str">
        <f>IF(E80="Invalid_Segment","Invalid",IFERROR(INDEX(Severity_Matrix!$C$3:$M$10,MATCH('Error Log'!$F80,Severity_Matrix!$B$3:$B$10,0),MATCH('Error Log'!$G80,Severity_Matrix!$C$2:$M$2,0)),"No errors"))</f>
        <v>Major</v>
      </c>
      <c r="K80" s="79"/>
    </row>
    <row r="81" spans="1:11">
      <c r="A81" s="79" t="s">
        <v>218</v>
      </c>
      <c r="B81" s="18">
        <v>2</v>
      </c>
      <c r="C81" s="78" t="s">
        <v>219</v>
      </c>
      <c r="D81" s="86" t="s">
        <v>220</v>
      </c>
      <c r="E81" s="83" t="s">
        <v>21</v>
      </c>
      <c r="F81" s="83" t="s">
        <v>22</v>
      </c>
      <c r="G81" s="83" t="s">
        <v>55</v>
      </c>
      <c r="H81" s="83" t="s">
        <v>222</v>
      </c>
      <c r="I81" s="83"/>
      <c r="J81" s="15" t="str">
        <f>IF(E81="Invalid_Segment","Invalid",IFERROR(INDEX(Severity_Matrix!$C$3:$M$10,MATCH('Error Log'!$F81,Severity_Matrix!$B$3:$B$10,0),MATCH('Error Log'!$G81,Severity_Matrix!$C$2:$M$2,0)),"No errors"))</f>
        <v>Major</v>
      </c>
      <c r="K81" s="79"/>
    </row>
    <row r="82" spans="1:11">
      <c r="A82" s="79" t="s">
        <v>223</v>
      </c>
      <c r="B82" s="18">
        <v>3</v>
      </c>
      <c r="C82" s="78" t="s">
        <v>219</v>
      </c>
      <c r="D82" s="86" t="s">
        <v>220</v>
      </c>
      <c r="E82" s="83" t="s">
        <v>21</v>
      </c>
      <c r="F82" s="83" t="s">
        <v>7</v>
      </c>
      <c r="G82" s="83" t="s">
        <v>55</v>
      </c>
      <c r="H82" s="83" t="s">
        <v>224</v>
      </c>
      <c r="I82" s="83"/>
      <c r="J82" s="15" t="str">
        <f>IF(E82="Invalid_Segment","Invalid",IFERROR(INDEX(Severity_Matrix!$C$3:$M$10,MATCH('Error Log'!$F82,Severity_Matrix!$B$3:$B$10,0),MATCH('Error Log'!$G82,Severity_Matrix!$C$2:$M$2,0)),"No errors"))</f>
        <v>Critical</v>
      </c>
      <c r="K82" s="79"/>
    </row>
    <row r="83" spans="1:11">
      <c r="A83" s="79" t="s">
        <v>223</v>
      </c>
      <c r="B83" s="18">
        <v>4</v>
      </c>
      <c r="C83" s="78" t="s">
        <v>219</v>
      </c>
      <c r="D83" s="86" t="s">
        <v>220</v>
      </c>
      <c r="E83" s="83" t="s">
        <v>21</v>
      </c>
      <c r="F83" s="83" t="s">
        <v>7</v>
      </c>
      <c r="G83" s="83" t="s">
        <v>55</v>
      </c>
      <c r="H83" s="83" t="s">
        <v>225</v>
      </c>
      <c r="I83" s="83"/>
      <c r="J83" s="15" t="str">
        <f>IF(E83="Invalid_Segment","Invalid",IFERROR(INDEX(Severity_Matrix!$C$3:$M$10,MATCH('Error Log'!$F83,Severity_Matrix!$B$3:$B$10,0),MATCH('Error Log'!$G83,Severity_Matrix!$C$2:$M$2,0)),"No errors"))</f>
        <v>Critical</v>
      </c>
      <c r="K83" s="79"/>
    </row>
    <row r="84" spans="1:11">
      <c r="A84" s="79" t="s">
        <v>226</v>
      </c>
      <c r="B84" s="18">
        <v>1</v>
      </c>
      <c r="C84" s="78" t="s">
        <v>227</v>
      </c>
      <c r="D84" s="86" t="s">
        <v>228</v>
      </c>
      <c r="E84" s="83" t="s">
        <v>21</v>
      </c>
      <c r="F84" s="83" t="s">
        <v>22</v>
      </c>
      <c r="G84" s="83" t="s">
        <v>55</v>
      </c>
      <c r="H84" s="83" t="s">
        <v>229</v>
      </c>
      <c r="I84" s="83"/>
      <c r="J84" s="15" t="str">
        <f>IF(E84="Invalid_Segment","Invalid",IFERROR(INDEX(Severity_Matrix!$C$3:$M$10,MATCH('Error Log'!$F84,Severity_Matrix!$B$3:$B$10,0),MATCH('Error Log'!$G84,Severity_Matrix!$C$2:$M$2,0)),"No errors"))</f>
        <v>Major</v>
      </c>
      <c r="K84" s="79"/>
    </row>
    <row r="85" spans="1:11">
      <c r="A85" s="79" t="s">
        <v>226</v>
      </c>
      <c r="B85" s="18">
        <v>2</v>
      </c>
      <c r="C85" s="78" t="s">
        <v>227</v>
      </c>
      <c r="D85" s="86" t="s">
        <v>228</v>
      </c>
      <c r="E85" s="83" t="s">
        <v>21</v>
      </c>
      <c r="F85" s="83" t="s">
        <v>7</v>
      </c>
      <c r="G85" s="83" t="s">
        <v>55</v>
      </c>
      <c r="H85" s="83" t="s">
        <v>230</v>
      </c>
      <c r="I85" s="83"/>
      <c r="J85" s="15" t="str">
        <f>IF(E85="Invalid_Segment","Invalid",IFERROR(INDEX(Severity_Matrix!$C$3:$M$10,MATCH('Error Log'!$F85,Severity_Matrix!$B$3:$B$10,0),MATCH('Error Log'!$G85,Severity_Matrix!$C$2:$M$2,0)),"No errors"))</f>
        <v>Critical</v>
      </c>
      <c r="K85" s="79"/>
    </row>
    <row r="86" spans="1:11">
      <c r="A86" s="79" t="s">
        <v>231</v>
      </c>
      <c r="B86" s="18">
        <v>1</v>
      </c>
      <c r="C86" s="78" t="s">
        <v>232</v>
      </c>
      <c r="D86" s="86" t="s">
        <v>233</v>
      </c>
      <c r="E86" s="83" t="s">
        <v>21</v>
      </c>
      <c r="F86" s="83" t="s">
        <v>22</v>
      </c>
      <c r="G86" s="83" t="s">
        <v>55</v>
      </c>
      <c r="H86" s="83" t="s">
        <v>234</v>
      </c>
      <c r="I86" s="83"/>
      <c r="J86" s="15" t="str">
        <f>IF(E86="Invalid_Segment","Invalid",IFERROR(INDEX(Severity_Matrix!$C$3:$M$10,MATCH('Error Log'!$F86,Severity_Matrix!$B$3:$B$10,0),MATCH('Error Log'!$G86,Severity_Matrix!$C$2:$M$2,0)),"No errors"))</f>
        <v>Major</v>
      </c>
      <c r="K86" s="79"/>
    </row>
    <row r="87" spans="1:11">
      <c r="A87" s="79" t="s">
        <v>231</v>
      </c>
      <c r="B87" s="18">
        <v>2</v>
      </c>
      <c r="C87" s="78" t="s">
        <v>232</v>
      </c>
      <c r="D87" s="86" t="s">
        <v>233</v>
      </c>
      <c r="E87" s="83" t="s">
        <v>21</v>
      </c>
      <c r="F87" s="83" t="s">
        <v>7</v>
      </c>
      <c r="G87" s="83" t="s">
        <v>55</v>
      </c>
      <c r="H87" s="83" t="s">
        <v>235</v>
      </c>
      <c r="I87" s="83"/>
      <c r="J87" s="15" t="str">
        <f>IF(E87="Invalid_Segment","Invalid",IFERROR(INDEX(Severity_Matrix!$C$3:$M$10,MATCH('Error Log'!$F87,Severity_Matrix!$B$3:$B$10,0),MATCH('Error Log'!$G87,Severity_Matrix!$C$2:$M$2,0)),"No errors"))</f>
        <v>Critical</v>
      </c>
      <c r="K87" s="79"/>
    </row>
    <row r="88" spans="1:11">
      <c r="A88" s="79" t="s">
        <v>236</v>
      </c>
      <c r="B88" s="18">
        <v>3</v>
      </c>
      <c r="C88" s="78" t="s">
        <v>232</v>
      </c>
      <c r="D88" s="86" t="s">
        <v>233</v>
      </c>
      <c r="E88" s="83" t="s">
        <v>21</v>
      </c>
      <c r="F88" s="83" t="s">
        <v>7</v>
      </c>
      <c r="G88" s="83" t="s">
        <v>55</v>
      </c>
      <c r="H88" s="83" t="s">
        <v>237</v>
      </c>
      <c r="I88" s="83"/>
      <c r="J88" s="15" t="str">
        <f>IF(E88="Invalid_Segment","Invalid",IFERROR(INDEX(Severity_Matrix!$C$3:$M$10,MATCH('Error Log'!$F88,Severity_Matrix!$B$3:$B$10,0),MATCH('Error Log'!$G88,Severity_Matrix!$C$2:$M$2,0)),"No errors"))</f>
        <v>Critical</v>
      </c>
      <c r="K88" s="79"/>
    </row>
    <row r="89" spans="1:11">
      <c r="A89" s="79" t="s">
        <v>236</v>
      </c>
      <c r="B89" s="18">
        <v>4</v>
      </c>
      <c r="C89" s="78" t="s">
        <v>232</v>
      </c>
      <c r="D89" s="86" t="s">
        <v>233</v>
      </c>
      <c r="E89" s="83" t="s">
        <v>21</v>
      </c>
      <c r="F89" s="83" t="s">
        <v>7</v>
      </c>
      <c r="G89" s="83" t="s">
        <v>55</v>
      </c>
      <c r="H89" s="83" t="s">
        <v>238</v>
      </c>
      <c r="I89" s="83"/>
      <c r="J89" s="15" t="str">
        <f>IF(E89="Invalid_Segment","Invalid",IFERROR(INDEX(Severity_Matrix!$C$3:$M$10,MATCH('Error Log'!$F89,Severity_Matrix!$B$3:$B$10,0),MATCH('Error Log'!$G89,Severity_Matrix!$C$2:$M$2,0)),"No errors"))</f>
        <v>Critical</v>
      </c>
      <c r="K89" s="79"/>
    </row>
    <row r="90" spans="1:11">
      <c r="A90" s="79" t="s">
        <v>236</v>
      </c>
      <c r="B90" s="18">
        <v>5</v>
      </c>
      <c r="C90" s="78" t="s">
        <v>232</v>
      </c>
      <c r="D90" s="86" t="s">
        <v>233</v>
      </c>
      <c r="E90" s="83" t="s">
        <v>21</v>
      </c>
      <c r="F90" s="83" t="s">
        <v>7</v>
      </c>
      <c r="G90" s="83" t="s">
        <v>55</v>
      </c>
      <c r="H90" s="83" t="s">
        <v>239</v>
      </c>
      <c r="I90" s="83"/>
      <c r="J90" s="15" t="str">
        <f>IF(E90="Invalid_Segment","Invalid",IFERROR(INDEX(Severity_Matrix!$C$3:$M$10,MATCH('Error Log'!$F90,Severity_Matrix!$B$3:$B$10,0),MATCH('Error Log'!$G90,Severity_Matrix!$C$2:$M$2,0)),"No errors"))</f>
        <v>Critical</v>
      </c>
      <c r="K90" s="79"/>
    </row>
    <row r="91" spans="1:11">
      <c r="A91" s="79" t="s">
        <v>236</v>
      </c>
      <c r="B91" s="18">
        <v>6</v>
      </c>
      <c r="C91" s="78" t="s">
        <v>232</v>
      </c>
      <c r="D91" s="86" t="s">
        <v>233</v>
      </c>
      <c r="E91" s="83" t="s">
        <v>21</v>
      </c>
      <c r="F91" s="83" t="s">
        <v>7</v>
      </c>
      <c r="G91" s="83" t="s">
        <v>55</v>
      </c>
      <c r="H91" s="83" t="s">
        <v>240</v>
      </c>
      <c r="I91" s="83"/>
      <c r="J91" s="15" t="str">
        <f>IF(E91="Invalid_Segment","Invalid",IFERROR(INDEX(Severity_Matrix!$C$3:$M$10,MATCH('Error Log'!$F91,Severity_Matrix!$B$3:$B$10,0),MATCH('Error Log'!$G91,Severity_Matrix!$C$2:$M$2,0)),"No errors"))</f>
        <v>Critical</v>
      </c>
      <c r="K91" s="79"/>
    </row>
    <row r="92" spans="1:11">
      <c r="A92" s="79" t="s">
        <v>241</v>
      </c>
      <c r="B92" s="18">
        <v>1</v>
      </c>
      <c r="C92" s="78" t="s">
        <v>242</v>
      </c>
      <c r="D92" s="86" t="s">
        <v>243</v>
      </c>
      <c r="E92" s="83" t="s">
        <v>21</v>
      </c>
      <c r="F92" s="83" t="s">
        <v>22</v>
      </c>
      <c r="G92" s="83" t="s">
        <v>55</v>
      </c>
      <c r="H92" s="83" t="s">
        <v>244</v>
      </c>
      <c r="I92" s="83"/>
      <c r="J92" s="15" t="str">
        <f>IF(E92="Invalid_Segment","Invalid",IFERROR(INDEX(Severity_Matrix!$C$3:$M$10,MATCH('Error Log'!$F92,Severity_Matrix!$B$3:$B$10,0),MATCH('Error Log'!$G92,Severity_Matrix!$C$2:$M$2,0)),"No errors"))</f>
        <v>Major</v>
      </c>
      <c r="K92" s="79"/>
    </row>
    <row r="93" spans="1:11">
      <c r="A93" s="79" t="s">
        <v>241</v>
      </c>
      <c r="B93" s="18">
        <v>2</v>
      </c>
      <c r="C93" s="78" t="s">
        <v>242</v>
      </c>
      <c r="D93" s="86" t="s">
        <v>243</v>
      </c>
      <c r="E93" s="83" t="s">
        <v>2</v>
      </c>
      <c r="F93" s="83" t="s">
        <v>26</v>
      </c>
      <c r="G93" s="83" t="s">
        <v>55</v>
      </c>
      <c r="H93" s="83" t="s">
        <v>245</v>
      </c>
      <c r="I93" s="83"/>
      <c r="J93" s="15" t="str">
        <f>IF(E93="Invalid_Segment","Invalid",IFERROR(INDEX(Severity_Matrix!$C$3:$M$10,MATCH('Error Log'!$F93,Severity_Matrix!$B$3:$B$10,0),MATCH('Error Log'!$G93,Severity_Matrix!$C$2:$M$2,0)),"No errors"))</f>
        <v>Major</v>
      </c>
      <c r="K93" s="79"/>
    </row>
    <row r="94" spans="1:11">
      <c r="A94" s="79" t="s">
        <v>246</v>
      </c>
      <c r="B94" s="18">
        <v>3</v>
      </c>
      <c r="C94" s="78" t="s">
        <v>242</v>
      </c>
      <c r="D94" s="86" t="s">
        <v>243</v>
      </c>
      <c r="E94" s="83" t="s">
        <v>21</v>
      </c>
      <c r="F94" s="83" t="s">
        <v>7</v>
      </c>
      <c r="G94" s="83" t="s">
        <v>55</v>
      </c>
      <c r="H94" s="83" t="s">
        <v>247</v>
      </c>
      <c r="I94" s="83"/>
      <c r="J94" s="15" t="str">
        <f>IF(E94="Invalid_Segment","Invalid",IFERROR(INDEX(Severity_Matrix!$C$3:$M$10,MATCH('Error Log'!$F94,Severity_Matrix!$B$3:$B$10,0),MATCH('Error Log'!$G94,Severity_Matrix!$C$2:$M$2,0)),"No errors"))</f>
        <v>Critical</v>
      </c>
      <c r="K94" s="79"/>
    </row>
    <row r="95" spans="1:11">
      <c r="A95" s="79" t="s">
        <v>246</v>
      </c>
      <c r="B95" s="18">
        <v>4</v>
      </c>
      <c r="C95" s="78" t="s">
        <v>242</v>
      </c>
      <c r="D95" s="86" t="s">
        <v>243</v>
      </c>
      <c r="E95" s="83" t="s">
        <v>21</v>
      </c>
      <c r="F95" s="83" t="s">
        <v>7</v>
      </c>
      <c r="G95" s="83" t="s">
        <v>55</v>
      </c>
      <c r="H95" s="83" t="s">
        <v>248</v>
      </c>
      <c r="I95" s="83"/>
      <c r="J95" s="15" t="str">
        <f>IF(E95="Invalid_Segment","Invalid",IFERROR(INDEX(Severity_Matrix!$C$3:$M$10,MATCH('Error Log'!$F95,Severity_Matrix!$B$3:$B$10,0),MATCH('Error Log'!$G95,Severity_Matrix!$C$2:$M$2,0)),"No errors"))</f>
        <v>Critical</v>
      </c>
      <c r="K95" s="79"/>
    </row>
    <row r="96" spans="1:11">
      <c r="A96" s="79" t="s">
        <v>246</v>
      </c>
      <c r="B96" s="18">
        <v>5</v>
      </c>
      <c r="C96" s="78" t="s">
        <v>242</v>
      </c>
      <c r="D96" s="86" t="s">
        <v>243</v>
      </c>
      <c r="E96" s="83" t="s">
        <v>21</v>
      </c>
      <c r="F96" s="83" t="s">
        <v>7</v>
      </c>
      <c r="G96" s="83" t="s">
        <v>55</v>
      </c>
      <c r="H96" s="83" t="s">
        <v>249</v>
      </c>
      <c r="I96" s="83"/>
      <c r="J96" s="15" t="str">
        <f>IF(E96="Invalid_Segment","Invalid",IFERROR(INDEX(Severity_Matrix!$C$3:$M$10,MATCH('Error Log'!$F96,Severity_Matrix!$B$3:$B$10,0),MATCH('Error Log'!$G96,Severity_Matrix!$C$2:$M$2,0)),"No errors"))</f>
        <v>Critical</v>
      </c>
      <c r="K96" s="79"/>
    </row>
    <row r="97" spans="1:11">
      <c r="A97" s="79" t="s">
        <v>250</v>
      </c>
      <c r="B97" s="18">
        <v>1</v>
      </c>
      <c r="C97" s="78" t="s">
        <v>251</v>
      </c>
      <c r="D97" s="86" t="s">
        <v>252</v>
      </c>
      <c r="E97" s="83" t="s">
        <v>21</v>
      </c>
      <c r="F97" s="83" t="s">
        <v>22</v>
      </c>
      <c r="G97" s="83" t="s">
        <v>55</v>
      </c>
      <c r="H97" s="83" t="s">
        <v>253</v>
      </c>
      <c r="I97" s="83"/>
      <c r="J97" s="15" t="str">
        <f>IF(E97="Invalid_Segment","Invalid",IFERROR(INDEX(Severity_Matrix!$C$3:$M$10,MATCH('Error Log'!$F97,Severity_Matrix!$B$3:$B$10,0),MATCH('Error Log'!$G97,Severity_Matrix!$C$2:$M$2,0)),"No errors"))</f>
        <v>Major</v>
      </c>
      <c r="K97" s="79"/>
    </row>
    <row r="98" spans="1:11">
      <c r="A98" s="79" t="s">
        <v>250</v>
      </c>
      <c r="B98" s="18">
        <v>2</v>
      </c>
      <c r="C98" s="78" t="s">
        <v>251</v>
      </c>
      <c r="D98" s="86" t="s">
        <v>252</v>
      </c>
      <c r="E98" s="83" t="s">
        <v>21</v>
      </c>
      <c r="F98" s="83" t="s">
        <v>22</v>
      </c>
      <c r="G98" s="83" t="s">
        <v>55</v>
      </c>
      <c r="H98" s="83" t="s">
        <v>254</v>
      </c>
      <c r="I98" s="83"/>
      <c r="J98" s="15" t="str">
        <f>IF(E98="Invalid_Segment","Invalid",IFERROR(INDEX(Severity_Matrix!$C$3:$M$10,MATCH('Error Log'!$F98,Severity_Matrix!$B$3:$B$10,0),MATCH('Error Log'!$G98,Severity_Matrix!$C$2:$M$2,0)),"No errors"))</f>
        <v>Major</v>
      </c>
      <c r="K98" s="79"/>
    </row>
    <row r="99" spans="1:11">
      <c r="A99" s="79" t="s">
        <v>255</v>
      </c>
      <c r="B99" s="18">
        <v>3</v>
      </c>
      <c r="C99" s="78" t="s">
        <v>251</v>
      </c>
      <c r="D99" s="86" t="s">
        <v>252</v>
      </c>
      <c r="E99" s="83" t="s">
        <v>21</v>
      </c>
      <c r="F99" s="83" t="s">
        <v>7</v>
      </c>
      <c r="G99" s="83" t="s">
        <v>55</v>
      </c>
      <c r="H99" s="83" t="s">
        <v>256</v>
      </c>
      <c r="I99" s="83"/>
      <c r="J99" s="15" t="str">
        <f>IF(E99="Invalid_Segment","Invalid",IFERROR(INDEX(Severity_Matrix!$C$3:$M$10,MATCH('Error Log'!$F99,Severity_Matrix!$B$3:$B$10,0),MATCH('Error Log'!$G99,Severity_Matrix!$C$2:$M$2,0)),"No errors"))</f>
        <v>Critical</v>
      </c>
      <c r="K99" s="79"/>
    </row>
    <row r="100" spans="1:11">
      <c r="A100" s="79" t="s">
        <v>257</v>
      </c>
      <c r="B100" s="18">
        <v>1</v>
      </c>
      <c r="C100" s="78" t="s">
        <v>258</v>
      </c>
      <c r="D100" s="86" t="s">
        <v>259</v>
      </c>
      <c r="E100" s="83" t="s">
        <v>21</v>
      </c>
      <c r="F100" s="83" t="s">
        <v>7</v>
      </c>
      <c r="G100" s="83" t="s">
        <v>55</v>
      </c>
      <c r="H100" s="83" t="s">
        <v>260</v>
      </c>
      <c r="I100" s="83"/>
      <c r="J100" s="15" t="str">
        <f>IF(E100="Invalid_Segment","Invalid",IFERROR(INDEX(Severity_Matrix!$C$3:$M$10,MATCH('Error Log'!$F100,Severity_Matrix!$B$3:$B$10,0),MATCH('Error Log'!$G100,Severity_Matrix!$C$2:$M$2,0)),"No errors"))</f>
        <v>Critical</v>
      </c>
      <c r="K100" s="79"/>
    </row>
    <row r="101" spans="1:11">
      <c r="A101" s="79" t="s">
        <v>257</v>
      </c>
      <c r="B101" s="18">
        <v>2</v>
      </c>
      <c r="C101" s="78" t="s">
        <v>258</v>
      </c>
      <c r="D101" s="86" t="s">
        <v>259</v>
      </c>
      <c r="E101" s="83" t="s">
        <v>21</v>
      </c>
      <c r="F101" s="83" t="s">
        <v>22</v>
      </c>
      <c r="G101" s="83" t="s">
        <v>55</v>
      </c>
      <c r="H101" s="83" t="s">
        <v>261</v>
      </c>
      <c r="I101" s="83"/>
      <c r="J101" s="15" t="str">
        <f>IF(E101="Invalid_Segment","Invalid",IFERROR(INDEX(Severity_Matrix!$C$3:$M$10,MATCH('Error Log'!$F101,Severity_Matrix!$B$3:$B$10,0),MATCH('Error Log'!$G101,Severity_Matrix!$C$2:$M$2,0)),"No errors"))</f>
        <v>Major</v>
      </c>
      <c r="K101" s="79"/>
    </row>
    <row r="102" spans="1:11">
      <c r="A102" s="79" t="s">
        <v>257</v>
      </c>
      <c r="B102" s="18">
        <v>3</v>
      </c>
      <c r="C102" s="78" t="s">
        <v>258</v>
      </c>
      <c r="D102" s="86" t="s">
        <v>259</v>
      </c>
      <c r="E102" s="83" t="s">
        <v>21</v>
      </c>
      <c r="F102" s="83" t="s">
        <v>7</v>
      </c>
      <c r="G102" s="83" t="s">
        <v>55</v>
      </c>
      <c r="H102" s="83" t="s">
        <v>262</v>
      </c>
      <c r="I102" s="83"/>
      <c r="J102" s="15" t="str">
        <f>IF(E102="Invalid_Segment","Invalid",IFERROR(INDEX(Severity_Matrix!$C$3:$M$10,MATCH('Error Log'!$F102,Severity_Matrix!$B$3:$B$10,0),MATCH('Error Log'!$G102,Severity_Matrix!$C$2:$M$2,0)),"No errors"))</f>
        <v>Critical</v>
      </c>
      <c r="K102" s="79"/>
    </row>
    <row r="103" spans="1:11">
      <c r="A103" s="79" t="s">
        <v>263</v>
      </c>
      <c r="B103" s="18">
        <v>1</v>
      </c>
      <c r="C103" s="78" t="s">
        <v>264</v>
      </c>
      <c r="D103" s="86" t="s">
        <v>265</v>
      </c>
      <c r="E103" s="83" t="s">
        <v>21</v>
      </c>
      <c r="F103" s="83" t="s">
        <v>22</v>
      </c>
      <c r="G103" s="83" t="s">
        <v>55</v>
      </c>
      <c r="H103" s="83" t="s">
        <v>266</v>
      </c>
      <c r="I103" s="83"/>
      <c r="J103" s="15" t="str">
        <f>IF(E103="Invalid_Segment","Invalid",IFERROR(INDEX(Severity_Matrix!$C$3:$M$10,MATCH('Error Log'!$F103,Severity_Matrix!$B$3:$B$10,0),MATCH('Error Log'!$G103,Severity_Matrix!$C$2:$M$2,0)),"No errors"))</f>
        <v>Major</v>
      </c>
      <c r="K103" s="79"/>
    </row>
    <row r="104" spans="1:11">
      <c r="A104" s="79" t="s">
        <v>263</v>
      </c>
      <c r="B104" s="18">
        <v>2</v>
      </c>
      <c r="C104" s="78" t="s">
        <v>264</v>
      </c>
      <c r="D104" s="86" t="s">
        <v>265</v>
      </c>
      <c r="E104" s="83" t="s">
        <v>21</v>
      </c>
      <c r="F104" s="83" t="s">
        <v>7</v>
      </c>
      <c r="G104" s="83" t="s">
        <v>55</v>
      </c>
      <c r="H104" s="83" t="s">
        <v>267</v>
      </c>
      <c r="I104" s="83"/>
      <c r="J104" s="15" t="str">
        <f>IF(E104="Invalid_Segment","Invalid",IFERROR(INDEX(Severity_Matrix!$C$3:$M$10,MATCH('Error Log'!$F104,Severity_Matrix!$B$3:$B$10,0),MATCH('Error Log'!$G104,Severity_Matrix!$C$2:$M$2,0)),"No errors"))</f>
        <v>Critical</v>
      </c>
      <c r="K104" s="79"/>
    </row>
    <row r="105" spans="1:11">
      <c r="A105" s="79" t="s">
        <v>263</v>
      </c>
      <c r="B105" s="18">
        <v>3</v>
      </c>
      <c r="C105" s="78" t="s">
        <v>264</v>
      </c>
      <c r="D105" s="86" t="s">
        <v>265</v>
      </c>
      <c r="E105" s="83" t="s">
        <v>21</v>
      </c>
      <c r="F105" s="83" t="s">
        <v>7</v>
      </c>
      <c r="G105" s="83" t="s">
        <v>55</v>
      </c>
      <c r="H105" s="83" t="s">
        <v>268</v>
      </c>
      <c r="I105" s="83"/>
      <c r="J105" s="15" t="str">
        <f>IF(E105="Invalid_Segment","Invalid",IFERROR(INDEX(Severity_Matrix!$C$3:$M$10,MATCH('Error Log'!$F105,Severity_Matrix!$B$3:$B$10,0),MATCH('Error Log'!$G105,Severity_Matrix!$C$2:$M$2,0)),"No errors"))</f>
        <v>Critical</v>
      </c>
      <c r="K105" s="79"/>
    </row>
    <row r="106" spans="1:11">
      <c r="A106" s="79" t="s">
        <v>263</v>
      </c>
      <c r="B106" s="18">
        <v>4</v>
      </c>
      <c r="C106" s="78" t="s">
        <v>264</v>
      </c>
      <c r="D106" s="86" t="s">
        <v>265</v>
      </c>
      <c r="E106" s="83" t="s">
        <v>21</v>
      </c>
      <c r="F106" s="83" t="s">
        <v>7</v>
      </c>
      <c r="G106" s="83" t="s">
        <v>55</v>
      </c>
      <c r="H106" s="83" t="s">
        <v>269</v>
      </c>
      <c r="I106" s="83"/>
      <c r="J106" s="15" t="str">
        <f>IF(E106="Invalid_Segment","Invalid",IFERROR(INDEX(Severity_Matrix!$C$3:$M$10,MATCH('Error Log'!$F106,Severity_Matrix!$B$3:$B$10,0),MATCH('Error Log'!$G106,Severity_Matrix!$C$2:$M$2,0)),"No errors"))</f>
        <v>Critical</v>
      </c>
      <c r="K106" s="79"/>
    </row>
    <row r="107" spans="1:11">
      <c r="A107" s="79" t="s">
        <v>263</v>
      </c>
      <c r="B107" s="18">
        <v>5</v>
      </c>
      <c r="C107" s="78" t="s">
        <v>264</v>
      </c>
      <c r="D107" s="86" t="s">
        <v>265</v>
      </c>
      <c r="E107" s="83" t="s">
        <v>21</v>
      </c>
      <c r="F107" s="83" t="s">
        <v>7</v>
      </c>
      <c r="G107" s="83" t="s">
        <v>55</v>
      </c>
      <c r="H107" s="83" t="s">
        <v>270</v>
      </c>
      <c r="I107" s="83"/>
      <c r="J107" s="15" t="str">
        <f>IF(E107="Invalid_Segment","Invalid",IFERROR(INDEX(Severity_Matrix!$C$3:$M$10,MATCH('Error Log'!$F107,Severity_Matrix!$B$3:$B$10,0),MATCH('Error Log'!$G107,Severity_Matrix!$C$2:$M$2,0)),"No errors"))</f>
        <v>Critical</v>
      </c>
      <c r="K107" s="79"/>
    </row>
    <row r="108" spans="1:11">
      <c r="A108" s="79" t="s">
        <v>271</v>
      </c>
      <c r="B108" s="18">
        <v>1</v>
      </c>
      <c r="C108" s="78" t="s">
        <v>272</v>
      </c>
      <c r="D108" s="86" t="s">
        <v>273</v>
      </c>
      <c r="E108" s="83" t="s">
        <v>21</v>
      </c>
      <c r="F108" s="83" t="s">
        <v>22</v>
      </c>
      <c r="G108" s="83" t="s">
        <v>55</v>
      </c>
      <c r="H108" s="83" t="s">
        <v>274</v>
      </c>
      <c r="I108" s="83"/>
      <c r="J108" s="15" t="str">
        <f>IF(E108="Invalid_Segment","Invalid",IFERROR(INDEX(Severity_Matrix!$C$3:$M$10,MATCH('Error Log'!$F108,Severity_Matrix!$B$3:$B$10,0),MATCH('Error Log'!$G108,Severity_Matrix!$C$2:$M$2,0)),"No errors"))</f>
        <v>Major</v>
      </c>
      <c r="K108" s="79"/>
    </row>
    <row r="109" spans="1:11">
      <c r="A109" s="79" t="s">
        <v>271</v>
      </c>
      <c r="B109" s="18">
        <v>2</v>
      </c>
      <c r="C109" s="78" t="s">
        <v>272</v>
      </c>
      <c r="D109" s="86" t="s">
        <v>273</v>
      </c>
      <c r="E109" s="83" t="s">
        <v>21</v>
      </c>
      <c r="F109" s="83" t="s">
        <v>22</v>
      </c>
      <c r="G109" s="83" t="s">
        <v>55</v>
      </c>
      <c r="H109" s="83" t="s">
        <v>275</v>
      </c>
      <c r="I109" s="83"/>
      <c r="J109" s="15" t="str">
        <f>IF(E109="Invalid_Segment","Invalid",IFERROR(INDEX(Severity_Matrix!$C$3:$M$10,MATCH('Error Log'!$F109,Severity_Matrix!$B$3:$B$10,0),MATCH('Error Log'!$G109,Severity_Matrix!$C$2:$M$2,0)),"No errors"))</f>
        <v>Major</v>
      </c>
      <c r="K109" s="79"/>
    </row>
    <row r="110" spans="1:11">
      <c r="A110" s="79" t="s">
        <v>276</v>
      </c>
      <c r="B110" s="18">
        <v>3</v>
      </c>
      <c r="C110" s="78" t="s">
        <v>272</v>
      </c>
      <c r="D110" s="86" t="s">
        <v>273</v>
      </c>
      <c r="E110" s="83" t="s">
        <v>21</v>
      </c>
      <c r="F110" s="83" t="s">
        <v>22</v>
      </c>
      <c r="G110" s="83" t="s">
        <v>55</v>
      </c>
      <c r="H110" s="83" t="s">
        <v>277</v>
      </c>
      <c r="I110" s="83"/>
      <c r="J110" s="15" t="str">
        <f>IF(E110="Invalid_Segment","Invalid",IFERROR(INDEX(Severity_Matrix!$C$3:$M$10,MATCH('Error Log'!$F110,Severity_Matrix!$B$3:$B$10,0),MATCH('Error Log'!$G110,Severity_Matrix!$C$2:$M$2,0)),"No errors"))</f>
        <v>Major</v>
      </c>
      <c r="K110" s="79"/>
    </row>
    <row r="111" spans="1:11">
      <c r="A111" s="79" t="s">
        <v>276</v>
      </c>
      <c r="B111" s="18">
        <v>4</v>
      </c>
      <c r="C111" s="78" t="s">
        <v>272</v>
      </c>
      <c r="D111" s="86" t="s">
        <v>273</v>
      </c>
      <c r="E111" s="83" t="s">
        <v>21</v>
      </c>
      <c r="F111" s="83" t="s">
        <v>7</v>
      </c>
      <c r="G111" s="83" t="s">
        <v>55</v>
      </c>
      <c r="H111" s="83" t="s">
        <v>278</v>
      </c>
      <c r="I111" s="83"/>
      <c r="J111" s="15" t="str">
        <f>IF(E111="Invalid_Segment","Invalid",IFERROR(INDEX(Severity_Matrix!$C$3:$M$10,MATCH('Error Log'!$F111,Severity_Matrix!$B$3:$B$10,0),MATCH('Error Log'!$G111,Severity_Matrix!$C$2:$M$2,0)),"No errors"))</f>
        <v>Critical</v>
      </c>
      <c r="K111" s="79"/>
    </row>
    <row r="112" spans="1:11">
      <c r="A112" s="79" t="s">
        <v>279</v>
      </c>
      <c r="B112" s="18">
        <v>1</v>
      </c>
      <c r="C112" s="78" t="s">
        <v>280</v>
      </c>
      <c r="D112" s="86" t="s">
        <v>281</v>
      </c>
      <c r="E112" s="83" t="s">
        <v>21</v>
      </c>
      <c r="F112" s="83" t="s">
        <v>22</v>
      </c>
      <c r="G112" s="83" t="s">
        <v>55</v>
      </c>
      <c r="H112" s="85" t="s">
        <v>282</v>
      </c>
      <c r="I112" s="83"/>
      <c r="J112" s="15" t="str">
        <f>IF(E112="Invalid_Segment","Invalid",IFERROR(INDEX(Severity_Matrix!$C$3:$M$10,MATCH('Error Log'!$F112,Severity_Matrix!$B$3:$B$10,0),MATCH('Error Log'!$G112,Severity_Matrix!$C$2:$M$2,0)),"No errors"))</f>
        <v>Major</v>
      </c>
      <c r="K112" s="79"/>
    </row>
    <row r="113" spans="1:11">
      <c r="A113" s="79" t="s">
        <v>279</v>
      </c>
      <c r="B113" s="18">
        <v>2</v>
      </c>
      <c r="C113" s="78" t="s">
        <v>280</v>
      </c>
      <c r="D113" s="86" t="s">
        <v>281</v>
      </c>
      <c r="E113" s="83" t="s">
        <v>21</v>
      </c>
      <c r="F113" s="83" t="s">
        <v>7</v>
      </c>
      <c r="G113" s="83" t="s">
        <v>55</v>
      </c>
      <c r="H113" s="83" t="s">
        <v>283</v>
      </c>
      <c r="I113" s="83"/>
      <c r="J113" s="15" t="str">
        <f>IF(E113="Invalid_Segment","Invalid",IFERROR(INDEX(Severity_Matrix!$C$3:$M$10,MATCH('Error Log'!$F113,Severity_Matrix!$B$3:$B$10,0),MATCH('Error Log'!$G113,Severity_Matrix!$C$2:$M$2,0)),"No errors"))</f>
        <v>Critical</v>
      </c>
      <c r="K113" s="79"/>
    </row>
    <row r="114" spans="1:11">
      <c r="A114" s="79" t="s">
        <v>284</v>
      </c>
      <c r="B114" s="18">
        <v>1</v>
      </c>
      <c r="C114" s="78" t="s">
        <v>285</v>
      </c>
      <c r="D114" s="86" t="s">
        <v>286</v>
      </c>
      <c r="E114" s="83" t="s">
        <v>2</v>
      </c>
      <c r="F114" s="83" t="s">
        <v>26</v>
      </c>
      <c r="G114" s="83" t="s">
        <v>55</v>
      </c>
      <c r="H114" s="83" t="s">
        <v>287</v>
      </c>
      <c r="I114" s="83"/>
      <c r="J114" s="15" t="str">
        <f>IF(E114="Invalid_Segment","Invalid",IFERROR(INDEX(Severity_Matrix!$C$3:$M$10,MATCH('Error Log'!$F114,Severity_Matrix!$B$3:$B$10,0),MATCH('Error Log'!$G114,Severity_Matrix!$C$2:$M$2,0)),"No errors"))</f>
        <v>Major</v>
      </c>
      <c r="K114" s="79"/>
    </row>
    <row r="115" spans="1:11">
      <c r="A115" s="79" t="s">
        <v>284</v>
      </c>
      <c r="B115" s="18">
        <v>2</v>
      </c>
      <c r="C115" s="78" t="s">
        <v>285</v>
      </c>
      <c r="D115" s="86" t="s">
        <v>286</v>
      </c>
      <c r="E115" s="83" t="s">
        <v>21</v>
      </c>
      <c r="F115" s="83" t="s">
        <v>7</v>
      </c>
      <c r="G115" s="83" t="s">
        <v>55</v>
      </c>
      <c r="H115" s="83" t="s">
        <v>288</v>
      </c>
      <c r="I115" s="83"/>
      <c r="J115" s="15" t="str">
        <f>IF(E115="Invalid_Segment","Invalid",IFERROR(INDEX(Severity_Matrix!$C$3:$M$10,MATCH('Error Log'!$F115,Severity_Matrix!$B$3:$B$10,0),MATCH('Error Log'!$G115,Severity_Matrix!$C$2:$M$2,0)),"No errors"))</f>
        <v>Critical</v>
      </c>
      <c r="K115" s="79"/>
    </row>
    <row r="116" spans="1:11">
      <c r="A116" s="79" t="s">
        <v>289</v>
      </c>
      <c r="B116" s="18">
        <v>1</v>
      </c>
      <c r="C116" s="78" t="s">
        <v>290</v>
      </c>
      <c r="D116" s="86" t="s">
        <v>291</v>
      </c>
      <c r="E116" s="83" t="s">
        <v>21</v>
      </c>
      <c r="F116" s="83" t="s">
        <v>22</v>
      </c>
      <c r="G116" s="83" t="s">
        <v>55</v>
      </c>
      <c r="H116" s="83" t="s">
        <v>292</v>
      </c>
      <c r="I116" s="83"/>
      <c r="J116" s="15" t="str">
        <f>IF(E116="Invalid_Segment","Invalid",IFERROR(INDEX(Severity_Matrix!$C$3:$M$10,MATCH('Error Log'!$F116,Severity_Matrix!$B$3:$B$10,0),MATCH('Error Log'!$G116,Severity_Matrix!$C$2:$M$2,0)),"No errors"))</f>
        <v>Major</v>
      </c>
      <c r="K116" s="79"/>
    </row>
    <row r="117" spans="1:11">
      <c r="A117" s="79" t="s">
        <v>289</v>
      </c>
      <c r="B117" s="18">
        <v>2</v>
      </c>
      <c r="C117" s="78" t="s">
        <v>290</v>
      </c>
      <c r="D117" s="86" t="s">
        <v>291</v>
      </c>
      <c r="E117" s="83" t="s">
        <v>21</v>
      </c>
      <c r="F117" s="83" t="s">
        <v>22</v>
      </c>
      <c r="G117" s="83" t="s">
        <v>55</v>
      </c>
      <c r="H117" s="83" t="s">
        <v>293</v>
      </c>
      <c r="I117" s="83"/>
      <c r="J117" s="15" t="str">
        <f>IF(E117="Invalid_Segment","Invalid",IFERROR(INDEX(Severity_Matrix!$C$3:$M$10,MATCH('Error Log'!$F117,Severity_Matrix!$B$3:$B$10,0),MATCH('Error Log'!$G117,Severity_Matrix!$C$2:$M$2,0)),"No errors"))</f>
        <v>Major</v>
      </c>
      <c r="K117" s="79"/>
    </row>
    <row r="118" spans="1:11">
      <c r="A118" s="79" t="s">
        <v>294</v>
      </c>
      <c r="B118" s="18">
        <v>3</v>
      </c>
      <c r="C118" s="78" t="s">
        <v>290</v>
      </c>
      <c r="D118" s="86" t="s">
        <v>291</v>
      </c>
      <c r="E118" s="83" t="s">
        <v>21</v>
      </c>
      <c r="F118" s="83" t="s">
        <v>22</v>
      </c>
      <c r="G118" s="83" t="s">
        <v>55</v>
      </c>
      <c r="H118" s="83" t="s">
        <v>295</v>
      </c>
      <c r="I118" s="83"/>
      <c r="J118" s="15" t="str">
        <f>IF(E118="Invalid_Segment","Invalid",IFERROR(INDEX(Severity_Matrix!$C$3:$M$10,MATCH('Error Log'!$F118,Severity_Matrix!$B$3:$B$10,0),MATCH('Error Log'!$G118,Severity_Matrix!$C$2:$M$2,0)),"No errors"))</f>
        <v>Major</v>
      </c>
      <c r="K118" s="79"/>
    </row>
    <row r="119" spans="1:11">
      <c r="A119" s="79" t="s">
        <v>294</v>
      </c>
      <c r="B119" s="18">
        <v>4</v>
      </c>
      <c r="C119" s="78" t="s">
        <v>290</v>
      </c>
      <c r="D119" s="86" t="s">
        <v>291</v>
      </c>
      <c r="E119" s="83" t="s">
        <v>21</v>
      </c>
      <c r="F119" s="83" t="s">
        <v>7</v>
      </c>
      <c r="G119" s="83" t="s">
        <v>55</v>
      </c>
      <c r="H119" s="83" t="s">
        <v>296</v>
      </c>
      <c r="I119" s="83"/>
      <c r="J119" s="15" t="str">
        <f>IF(E119="Invalid_Segment","Invalid",IFERROR(INDEX(Severity_Matrix!$C$3:$M$10,MATCH('Error Log'!$F119,Severity_Matrix!$B$3:$B$10,0),MATCH('Error Log'!$G119,Severity_Matrix!$C$2:$M$2,0)),"No errors"))</f>
        <v>Critical</v>
      </c>
      <c r="K119" s="79"/>
    </row>
    <row r="120" spans="1:11">
      <c r="A120" s="79" t="s">
        <v>294</v>
      </c>
      <c r="B120" s="18">
        <v>5</v>
      </c>
      <c r="C120" s="78" t="s">
        <v>290</v>
      </c>
      <c r="D120" s="86" t="s">
        <v>291</v>
      </c>
      <c r="E120" s="83" t="s">
        <v>21</v>
      </c>
      <c r="F120" s="83" t="s">
        <v>7</v>
      </c>
      <c r="G120" s="83" t="s">
        <v>55</v>
      </c>
      <c r="H120" s="83" t="s">
        <v>297</v>
      </c>
      <c r="I120" s="83"/>
      <c r="J120" s="15" t="str">
        <f>IF(E120="Invalid_Segment","Invalid",IFERROR(INDEX(Severity_Matrix!$C$3:$M$10,MATCH('Error Log'!$F120,Severity_Matrix!$B$3:$B$10,0),MATCH('Error Log'!$G120,Severity_Matrix!$C$2:$M$2,0)),"No errors"))</f>
        <v>Critical</v>
      </c>
      <c r="K120" s="79"/>
    </row>
    <row r="121" spans="1:11">
      <c r="A121" s="79" t="s">
        <v>294</v>
      </c>
      <c r="B121" s="18">
        <v>6</v>
      </c>
      <c r="C121" s="78" t="s">
        <v>290</v>
      </c>
      <c r="D121" s="86" t="s">
        <v>291</v>
      </c>
      <c r="E121" s="83" t="s">
        <v>21</v>
      </c>
      <c r="F121" s="83" t="s">
        <v>7</v>
      </c>
      <c r="G121" s="83" t="s">
        <v>55</v>
      </c>
      <c r="H121" s="83" t="s">
        <v>298</v>
      </c>
      <c r="I121" s="83"/>
      <c r="J121" s="15" t="str">
        <f>IF(E121="Invalid_Segment","Invalid",IFERROR(INDEX(Severity_Matrix!$C$3:$M$10,MATCH('Error Log'!$F121,Severity_Matrix!$B$3:$B$10,0),MATCH('Error Log'!$G121,Severity_Matrix!$C$2:$M$2,0)),"No errors"))</f>
        <v>Critical</v>
      </c>
      <c r="K121" s="79"/>
    </row>
    <row r="122" spans="1:11">
      <c r="A122" s="79" t="s">
        <v>299</v>
      </c>
      <c r="B122" s="18">
        <v>1</v>
      </c>
      <c r="C122" s="78" t="s">
        <v>300</v>
      </c>
      <c r="D122" s="86" t="s">
        <v>301</v>
      </c>
      <c r="E122" s="83" t="s">
        <v>21</v>
      </c>
      <c r="F122" s="83" t="s">
        <v>7</v>
      </c>
      <c r="G122" s="83" t="s">
        <v>55</v>
      </c>
      <c r="H122" s="83" t="s">
        <v>302</v>
      </c>
      <c r="I122" s="83"/>
      <c r="J122" s="15" t="str">
        <f>IF(E122="Invalid_Segment","Invalid",IFERROR(INDEX(Severity_Matrix!$C$3:$M$10,MATCH('Error Log'!$F122,Severity_Matrix!$B$3:$B$10,0),MATCH('Error Log'!$G122,Severity_Matrix!$C$2:$M$2,0)),"No errors"))</f>
        <v>Critical</v>
      </c>
      <c r="K122" s="79"/>
    </row>
    <row r="123" spans="1:11">
      <c r="A123" s="79" t="s">
        <v>299</v>
      </c>
      <c r="B123" s="18">
        <v>2</v>
      </c>
      <c r="C123" s="78" t="s">
        <v>300</v>
      </c>
      <c r="D123" s="86" t="s">
        <v>301</v>
      </c>
      <c r="E123" s="83" t="s">
        <v>21</v>
      </c>
      <c r="F123" s="83" t="s">
        <v>7</v>
      </c>
      <c r="G123" s="83" t="s">
        <v>55</v>
      </c>
      <c r="H123" s="83" t="s">
        <v>303</v>
      </c>
      <c r="I123" s="83"/>
      <c r="J123" s="15" t="str">
        <f>IF(E123="Invalid_Segment","Invalid",IFERROR(INDEX(Severity_Matrix!$C$3:$M$10,MATCH('Error Log'!$F123,Severity_Matrix!$B$3:$B$10,0),MATCH('Error Log'!$G123,Severity_Matrix!$C$2:$M$2,0)),"No errors"))</f>
        <v>Critical</v>
      </c>
      <c r="K123" s="79"/>
    </row>
    <row r="124" spans="1:11">
      <c r="A124" s="79" t="s">
        <v>299</v>
      </c>
      <c r="B124" s="18">
        <v>3</v>
      </c>
      <c r="C124" s="78" t="s">
        <v>300</v>
      </c>
      <c r="D124" s="86" t="s">
        <v>301</v>
      </c>
      <c r="E124" s="83" t="s">
        <v>21</v>
      </c>
      <c r="F124" s="83" t="s">
        <v>22</v>
      </c>
      <c r="G124" s="83" t="s">
        <v>55</v>
      </c>
      <c r="H124" s="83" t="s">
        <v>304</v>
      </c>
      <c r="I124" s="83"/>
      <c r="J124" s="15" t="str">
        <f>IF(E124="Invalid_Segment","Invalid",IFERROR(INDEX(Severity_Matrix!$C$3:$M$10,MATCH('Error Log'!$F124,Severity_Matrix!$B$3:$B$10,0),MATCH('Error Log'!$G124,Severity_Matrix!$C$2:$M$2,0)),"No errors"))</f>
        <v>Major</v>
      </c>
      <c r="K124" s="79"/>
    </row>
    <row r="125" spans="1:11">
      <c r="A125" s="79" t="s">
        <v>305</v>
      </c>
      <c r="B125" s="18">
        <v>1</v>
      </c>
      <c r="C125" s="78" t="s">
        <v>306</v>
      </c>
      <c r="D125" s="86" t="s">
        <v>307</v>
      </c>
      <c r="E125" s="83" t="s">
        <v>21</v>
      </c>
      <c r="F125" s="83" t="s">
        <v>22</v>
      </c>
      <c r="G125" s="83" t="s">
        <v>55</v>
      </c>
      <c r="H125" s="83" t="s">
        <v>308</v>
      </c>
      <c r="I125" s="83"/>
      <c r="J125" s="15" t="str">
        <f>IF(E125="Invalid_Segment","Invalid",IFERROR(INDEX(Severity_Matrix!$C$3:$M$10,MATCH('Error Log'!$F125,Severity_Matrix!$B$3:$B$10,0),MATCH('Error Log'!$G125,Severity_Matrix!$C$2:$M$2,0)),"No errors"))</f>
        <v>Major</v>
      </c>
      <c r="K125" s="79"/>
    </row>
    <row r="126" spans="1:11">
      <c r="A126" s="79" t="s">
        <v>305</v>
      </c>
      <c r="B126" s="18">
        <v>2</v>
      </c>
      <c r="C126" s="78" t="s">
        <v>306</v>
      </c>
      <c r="D126" s="86" t="s">
        <v>307</v>
      </c>
      <c r="E126" s="83" t="s">
        <v>21</v>
      </c>
      <c r="F126" s="83" t="s">
        <v>22</v>
      </c>
      <c r="G126" s="83" t="s">
        <v>55</v>
      </c>
      <c r="H126" s="83" t="s">
        <v>309</v>
      </c>
      <c r="I126" s="83"/>
      <c r="J126" s="15" t="str">
        <f>IF(E126="Invalid_Segment","Invalid",IFERROR(INDEX(Severity_Matrix!$C$3:$M$10,MATCH('Error Log'!$F126,Severity_Matrix!$B$3:$B$10,0),MATCH('Error Log'!$G126,Severity_Matrix!$C$2:$M$2,0)),"No errors"))</f>
        <v>Major</v>
      </c>
      <c r="K126" s="79"/>
    </row>
    <row r="127" spans="1:11">
      <c r="A127" s="79" t="s">
        <v>310</v>
      </c>
      <c r="B127" s="18">
        <v>3</v>
      </c>
      <c r="C127" s="78" t="s">
        <v>306</v>
      </c>
      <c r="D127" s="86" t="s">
        <v>307</v>
      </c>
      <c r="E127" s="83" t="s">
        <v>21</v>
      </c>
      <c r="F127" s="83" t="s">
        <v>7</v>
      </c>
      <c r="G127" s="83" t="s">
        <v>55</v>
      </c>
      <c r="H127" s="83" t="s">
        <v>311</v>
      </c>
      <c r="I127" s="83"/>
      <c r="J127" s="15" t="str">
        <f>IF(E127="Invalid_Segment","Invalid",IFERROR(INDEX(Severity_Matrix!$C$3:$M$10,MATCH('Error Log'!$F127,Severity_Matrix!$B$3:$B$10,0),MATCH('Error Log'!$G127,Severity_Matrix!$C$2:$M$2,0)),"No errors"))</f>
        <v>Critical</v>
      </c>
      <c r="K127" s="79"/>
    </row>
    <row r="128" spans="1:11">
      <c r="A128" s="79" t="s">
        <v>312</v>
      </c>
      <c r="B128" s="18">
        <v>1</v>
      </c>
      <c r="C128" s="78" t="s">
        <v>313</v>
      </c>
      <c r="D128" s="86" t="s">
        <v>314</v>
      </c>
      <c r="E128" s="83" t="s">
        <v>21</v>
      </c>
      <c r="F128" s="83" t="s">
        <v>22</v>
      </c>
      <c r="G128" s="83" t="s">
        <v>55</v>
      </c>
      <c r="H128" s="83" t="s">
        <v>315</v>
      </c>
      <c r="I128" s="83"/>
      <c r="J128" s="15" t="str">
        <f>IF(E128="Invalid_Segment","Invalid",IFERROR(INDEX(Severity_Matrix!$C$3:$M$10,MATCH('Error Log'!$F128,Severity_Matrix!$B$3:$B$10,0),MATCH('Error Log'!$G128,Severity_Matrix!$C$2:$M$2,0)),"No errors"))</f>
        <v>Major</v>
      </c>
      <c r="K128" s="79"/>
    </row>
    <row r="129" spans="1:11">
      <c r="A129" s="79" t="s">
        <v>312</v>
      </c>
      <c r="B129" s="18">
        <v>2</v>
      </c>
      <c r="C129" s="78" t="s">
        <v>313</v>
      </c>
      <c r="D129" s="86" t="s">
        <v>314</v>
      </c>
      <c r="E129" s="83" t="s">
        <v>21</v>
      </c>
      <c r="F129" s="83" t="s">
        <v>22</v>
      </c>
      <c r="G129" s="83" t="s">
        <v>55</v>
      </c>
      <c r="H129" s="83" t="s">
        <v>316</v>
      </c>
      <c r="I129" s="83"/>
      <c r="J129" s="15" t="str">
        <f>IF(E129="Invalid_Segment","Invalid",IFERROR(INDEX(Severity_Matrix!$C$3:$M$10,MATCH('Error Log'!$F129,Severity_Matrix!$B$3:$B$10,0),MATCH('Error Log'!$G129,Severity_Matrix!$C$2:$M$2,0)),"No errors"))</f>
        <v>Major</v>
      </c>
      <c r="K129" s="79"/>
    </row>
    <row r="130" spans="1:11">
      <c r="A130" s="79" t="s">
        <v>317</v>
      </c>
      <c r="B130" s="18">
        <v>3</v>
      </c>
      <c r="C130" s="78" t="s">
        <v>313</v>
      </c>
      <c r="D130" s="86" t="s">
        <v>314</v>
      </c>
      <c r="E130" s="83" t="s">
        <v>21</v>
      </c>
      <c r="F130" s="83" t="s">
        <v>7</v>
      </c>
      <c r="G130" s="83" t="s">
        <v>55</v>
      </c>
      <c r="H130" s="83" t="s">
        <v>318</v>
      </c>
      <c r="I130" s="83"/>
      <c r="J130" s="15" t="str">
        <f>IF(E130="Invalid_Segment","Invalid",IFERROR(INDEX(Severity_Matrix!$C$3:$M$10,MATCH('Error Log'!$F130,Severity_Matrix!$B$3:$B$10,0),MATCH('Error Log'!$G130,Severity_Matrix!$C$2:$M$2,0)),"No errors"))</f>
        <v>Critical</v>
      </c>
      <c r="K130" s="79"/>
    </row>
    <row r="131" spans="1:11">
      <c r="A131" s="79" t="s">
        <v>317</v>
      </c>
      <c r="B131" s="18">
        <v>4</v>
      </c>
      <c r="C131" s="78" t="s">
        <v>313</v>
      </c>
      <c r="D131" s="86" t="s">
        <v>314</v>
      </c>
      <c r="E131" s="83" t="s">
        <v>21</v>
      </c>
      <c r="F131" s="83" t="s">
        <v>7</v>
      </c>
      <c r="G131" s="83" t="s">
        <v>55</v>
      </c>
      <c r="H131" s="83" t="s">
        <v>319</v>
      </c>
      <c r="I131" s="83"/>
      <c r="J131" s="15" t="str">
        <f>IF(E131="Invalid_Segment","Invalid",IFERROR(INDEX(Severity_Matrix!$C$3:$M$10,MATCH('Error Log'!$F131,Severity_Matrix!$B$3:$B$10,0),MATCH('Error Log'!$G131,Severity_Matrix!$C$2:$M$2,0)),"No errors"))</f>
        <v>Critical</v>
      </c>
      <c r="K131" s="79"/>
    </row>
    <row r="132" spans="1:11">
      <c r="A132" s="78" t="s">
        <v>320</v>
      </c>
      <c r="B132" s="18">
        <v>1</v>
      </c>
      <c r="C132" s="78" t="s">
        <v>321</v>
      </c>
      <c r="D132" s="78" t="s">
        <v>322</v>
      </c>
      <c r="E132" s="83" t="s">
        <v>2</v>
      </c>
      <c r="F132" s="83" t="s">
        <v>26</v>
      </c>
      <c r="G132" s="83" t="s">
        <v>55</v>
      </c>
      <c r="H132" s="84" t="s">
        <v>323</v>
      </c>
      <c r="I132" s="83"/>
      <c r="J132" s="15" t="str">
        <f>IF(E132="Invalid_Segment","Invalid",IFERROR(INDEX(Severity_Matrix!$C$3:$M$10,MATCH('Error Log'!$F132,Severity_Matrix!$B$3:$B$10,0),MATCH('Error Log'!$G132,Severity_Matrix!$C$2:$M$2,0)),"No errors"))</f>
        <v>Major</v>
      </c>
      <c r="K132" s="79"/>
    </row>
    <row r="133" spans="1:11">
      <c r="A133" s="78" t="s">
        <v>320</v>
      </c>
      <c r="B133" s="18">
        <v>2</v>
      </c>
      <c r="C133" s="78" t="s">
        <v>321</v>
      </c>
      <c r="D133" s="78" t="s">
        <v>322</v>
      </c>
      <c r="E133" s="83" t="s">
        <v>21</v>
      </c>
      <c r="F133" s="83" t="s">
        <v>7</v>
      </c>
      <c r="G133" s="83" t="s">
        <v>55</v>
      </c>
      <c r="H133" s="84" t="s">
        <v>324</v>
      </c>
      <c r="I133" s="83"/>
      <c r="J133" s="15" t="str">
        <f>IF(E133="Invalid_Segment","Invalid",IFERROR(INDEX(Severity_Matrix!$C$3:$M$10,MATCH('Error Log'!$F133,Severity_Matrix!$B$3:$B$10,0),MATCH('Error Log'!$G133,Severity_Matrix!$C$2:$M$2,0)),"No errors"))</f>
        <v>Critical</v>
      </c>
      <c r="K133" s="79"/>
    </row>
    <row r="134" spans="1:11">
      <c r="A134" s="78" t="s">
        <v>325</v>
      </c>
      <c r="B134" s="18">
        <v>3</v>
      </c>
      <c r="C134" s="78" t="s">
        <v>321</v>
      </c>
      <c r="D134" s="78" t="s">
        <v>322</v>
      </c>
      <c r="E134" s="83" t="s">
        <v>21</v>
      </c>
      <c r="F134" s="83" t="s">
        <v>7</v>
      </c>
      <c r="G134" s="83" t="s">
        <v>55</v>
      </c>
      <c r="H134" s="84" t="s">
        <v>326</v>
      </c>
      <c r="I134" s="83"/>
      <c r="J134" s="15" t="str">
        <f>IF(E134="Invalid_Segment","Invalid",IFERROR(INDEX(Severity_Matrix!$C$3:$M$10,MATCH('Error Log'!$F134,Severity_Matrix!$B$3:$B$10,0),MATCH('Error Log'!$G134,Severity_Matrix!$C$2:$M$2,0)),"No errors"))</f>
        <v>Critical</v>
      </c>
    </row>
    <row r="135" spans="1:11">
      <c r="A135" s="78" t="s">
        <v>327</v>
      </c>
      <c r="B135" s="18">
        <v>1</v>
      </c>
      <c r="C135" s="78" t="s">
        <v>328</v>
      </c>
      <c r="D135" s="78" t="s">
        <v>329</v>
      </c>
      <c r="E135" s="83" t="s">
        <v>21</v>
      </c>
      <c r="F135" s="83" t="s">
        <v>7</v>
      </c>
      <c r="G135" s="83" t="s">
        <v>55</v>
      </c>
      <c r="H135" s="83" t="s">
        <v>330</v>
      </c>
      <c r="I135" s="83"/>
      <c r="J135" s="15" t="str">
        <f>IF(E135="Invalid_Segment","Invalid",IFERROR(INDEX(Severity_Matrix!$C$3:$M$10,MATCH('Error Log'!$F135,Severity_Matrix!$B$3:$B$10,0),MATCH('Error Log'!$G135,Severity_Matrix!$C$2:$M$2,0)),"No errors"))</f>
        <v>Critical</v>
      </c>
    </row>
    <row r="136" spans="1:11">
      <c r="A136" s="78" t="s">
        <v>331</v>
      </c>
      <c r="B136" s="18">
        <v>1</v>
      </c>
      <c r="C136" s="78" t="s">
        <v>332</v>
      </c>
      <c r="D136" s="78" t="s">
        <v>333</v>
      </c>
      <c r="E136" s="83" t="s">
        <v>21</v>
      </c>
      <c r="F136" s="83" t="s">
        <v>22</v>
      </c>
      <c r="G136" s="83" t="s">
        <v>55</v>
      </c>
      <c r="H136" s="83" t="s">
        <v>334</v>
      </c>
      <c r="I136" s="83"/>
      <c r="J136" s="15" t="str">
        <f>IF(E136="Invalid_Segment","Invalid",IFERROR(INDEX(Severity_Matrix!$C$3:$M$10,MATCH('Error Log'!$F136,Severity_Matrix!$B$3:$B$10,0),MATCH('Error Log'!$G136,Severity_Matrix!$C$2:$M$2,0)),"No errors"))</f>
        <v>Major</v>
      </c>
    </row>
    <row r="137" spans="1:11">
      <c r="A137" s="78" t="s">
        <v>331</v>
      </c>
      <c r="B137" s="18">
        <v>2</v>
      </c>
      <c r="C137" s="78" t="s">
        <v>332</v>
      </c>
      <c r="D137" s="78" t="s">
        <v>333</v>
      </c>
      <c r="E137" s="83" t="s">
        <v>21</v>
      </c>
      <c r="F137" s="83" t="s">
        <v>22</v>
      </c>
      <c r="G137" s="83" t="s">
        <v>55</v>
      </c>
      <c r="H137" s="83" t="s">
        <v>335</v>
      </c>
      <c r="I137" s="83"/>
      <c r="J137" s="15" t="str">
        <f>IF(E137="Invalid_Segment","Invalid",IFERROR(INDEX(Severity_Matrix!$C$3:$M$10,MATCH('Error Log'!$F137,Severity_Matrix!$B$3:$B$10,0),MATCH('Error Log'!$G137,Severity_Matrix!$C$2:$M$2,0)),"No errors"))</f>
        <v>Major</v>
      </c>
    </row>
    <row r="138" spans="1:11">
      <c r="A138" s="78" t="s">
        <v>336</v>
      </c>
      <c r="B138" s="18">
        <v>3</v>
      </c>
      <c r="C138" s="78" t="s">
        <v>332</v>
      </c>
      <c r="D138" s="78" t="s">
        <v>333</v>
      </c>
      <c r="E138" s="83" t="s">
        <v>21</v>
      </c>
      <c r="F138" s="83" t="s">
        <v>22</v>
      </c>
      <c r="G138" s="83" t="s">
        <v>55</v>
      </c>
      <c r="H138" s="83" t="s">
        <v>337</v>
      </c>
      <c r="I138" s="83"/>
      <c r="J138" s="15" t="str">
        <f>IF(E138="Invalid_Segment","Invalid",IFERROR(INDEX(Severity_Matrix!$C$3:$M$10,MATCH('Error Log'!$F138,Severity_Matrix!$B$3:$B$10,0),MATCH('Error Log'!$G138,Severity_Matrix!$C$2:$M$2,0)),"No errors"))</f>
        <v>Major</v>
      </c>
    </row>
    <row r="139" spans="1:11">
      <c r="A139" s="78" t="s">
        <v>336</v>
      </c>
      <c r="B139" s="18">
        <v>4</v>
      </c>
      <c r="C139" s="78" t="s">
        <v>332</v>
      </c>
      <c r="D139" s="78" t="s">
        <v>333</v>
      </c>
      <c r="E139" s="83" t="s">
        <v>21</v>
      </c>
      <c r="F139" s="83" t="s">
        <v>7</v>
      </c>
      <c r="G139" s="83" t="s">
        <v>55</v>
      </c>
      <c r="H139" s="83" t="s">
        <v>338</v>
      </c>
      <c r="I139" s="83"/>
      <c r="J139" s="15" t="str">
        <f>IF(E139="Invalid_Segment","Invalid",IFERROR(INDEX(Severity_Matrix!$C$3:$M$10,MATCH('Error Log'!$F139,Severity_Matrix!$B$3:$B$10,0),MATCH('Error Log'!$G139,Severity_Matrix!$C$2:$M$2,0)),"No errors"))</f>
        <v>Critical</v>
      </c>
    </row>
    <row r="140" spans="1:11">
      <c r="A140" s="78" t="s">
        <v>336</v>
      </c>
      <c r="B140" s="18">
        <v>5</v>
      </c>
      <c r="C140" s="78" t="s">
        <v>332</v>
      </c>
      <c r="D140" s="78" t="s">
        <v>333</v>
      </c>
      <c r="E140" s="83" t="s">
        <v>21</v>
      </c>
      <c r="F140" s="83" t="s">
        <v>7</v>
      </c>
      <c r="G140" s="83" t="s">
        <v>55</v>
      </c>
      <c r="H140" s="83" t="s">
        <v>339</v>
      </c>
      <c r="I140" s="83"/>
      <c r="J140" s="15" t="str">
        <f>IF(E140="Invalid_Segment","Invalid",IFERROR(INDEX(Severity_Matrix!$C$3:$M$10,MATCH('Error Log'!$F140,Severity_Matrix!$B$3:$B$10,0),MATCH('Error Log'!$G140,Severity_Matrix!$C$2:$M$2,0)),"No errors"))</f>
        <v>Critical</v>
      </c>
    </row>
    <row r="141" spans="1:11">
      <c r="A141" s="78" t="s">
        <v>336</v>
      </c>
      <c r="B141" s="18">
        <v>6</v>
      </c>
      <c r="C141" s="78" t="s">
        <v>332</v>
      </c>
      <c r="D141" s="78" t="s">
        <v>333</v>
      </c>
      <c r="E141" s="83" t="s">
        <v>21</v>
      </c>
      <c r="F141" s="83" t="s">
        <v>7</v>
      </c>
      <c r="G141" s="83" t="s">
        <v>55</v>
      </c>
      <c r="H141" s="83" t="s">
        <v>340</v>
      </c>
      <c r="I141" s="83"/>
      <c r="J141" s="15" t="str">
        <f>IF(E141="Invalid_Segment","Invalid",IFERROR(INDEX(Severity_Matrix!$C$3:$M$10,MATCH('Error Log'!$F141,Severity_Matrix!$B$3:$B$10,0),MATCH('Error Log'!$G141,Severity_Matrix!$C$2:$M$2,0)),"No errors"))</f>
        <v>Critical</v>
      </c>
    </row>
    <row r="142" spans="1:11">
      <c r="A142" s="78" t="s">
        <v>341</v>
      </c>
      <c r="B142" s="18">
        <v>1</v>
      </c>
      <c r="C142" s="78" t="s">
        <v>342</v>
      </c>
      <c r="D142" s="78" t="s">
        <v>343</v>
      </c>
      <c r="E142" s="83" t="s">
        <v>21</v>
      </c>
      <c r="F142" s="83" t="s">
        <v>22</v>
      </c>
      <c r="G142" s="83" t="s">
        <v>55</v>
      </c>
      <c r="H142" s="83" t="s">
        <v>344</v>
      </c>
      <c r="I142" s="83"/>
      <c r="J142" s="15" t="str">
        <f>IF(E142="Invalid_Segment","Invalid",IFERROR(INDEX(Severity_Matrix!$C$3:$M$10,MATCH('Error Log'!$F142,Severity_Matrix!$B$3:$B$10,0),MATCH('Error Log'!$G142,Severity_Matrix!$C$2:$M$2,0)),"No errors"))</f>
        <v>Major</v>
      </c>
    </row>
    <row r="143" spans="1:11">
      <c r="A143" s="78" t="s">
        <v>341</v>
      </c>
      <c r="B143" s="18">
        <v>2</v>
      </c>
      <c r="C143" s="78" t="s">
        <v>342</v>
      </c>
      <c r="D143" s="78" t="s">
        <v>343</v>
      </c>
      <c r="E143" s="83" t="s">
        <v>21</v>
      </c>
      <c r="F143" s="83" t="s">
        <v>22</v>
      </c>
      <c r="G143" s="83" t="s">
        <v>55</v>
      </c>
      <c r="H143" s="83" t="s">
        <v>345</v>
      </c>
      <c r="I143" s="83"/>
      <c r="J143" s="15" t="str">
        <f>IF(E143="Invalid_Segment","Invalid",IFERROR(INDEX(Severity_Matrix!$C$3:$M$10,MATCH('Error Log'!$F143,Severity_Matrix!$B$3:$B$10,0),MATCH('Error Log'!$G143,Severity_Matrix!$C$2:$M$2,0)),"No errors"))</f>
        <v>Major</v>
      </c>
    </row>
    <row r="144" spans="1:11">
      <c r="A144" s="78" t="s">
        <v>346</v>
      </c>
      <c r="B144" s="18">
        <v>3</v>
      </c>
      <c r="C144" s="78" t="s">
        <v>342</v>
      </c>
      <c r="D144" s="78" t="s">
        <v>343</v>
      </c>
      <c r="E144" s="83" t="s">
        <v>21</v>
      </c>
      <c r="F144" s="83" t="s">
        <v>7</v>
      </c>
      <c r="G144" s="83" t="s">
        <v>55</v>
      </c>
      <c r="H144" s="83" t="s">
        <v>347</v>
      </c>
      <c r="I144" s="83"/>
      <c r="J144" s="15" t="str">
        <f>IF(E144="Invalid_Segment","Invalid",IFERROR(INDEX(Severity_Matrix!$C$3:$M$10,MATCH('Error Log'!$F144,Severity_Matrix!$B$3:$B$10,0),MATCH('Error Log'!$G144,Severity_Matrix!$C$2:$M$2,0)),"No errors"))</f>
        <v>Critical</v>
      </c>
    </row>
    <row r="145" spans="1:10">
      <c r="A145" s="78" t="s">
        <v>346</v>
      </c>
      <c r="B145" s="18">
        <v>4</v>
      </c>
      <c r="C145" s="78" t="s">
        <v>342</v>
      </c>
      <c r="D145" s="78" t="s">
        <v>343</v>
      </c>
      <c r="E145" s="83" t="s">
        <v>21</v>
      </c>
      <c r="F145" s="83" t="s">
        <v>7</v>
      </c>
      <c r="G145" s="83" t="s">
        <v>55</v>
      </c>
      <c r="H145" s="83" t="s">
        <v>348</v>
      </c>
      <c r="I145" s="83"/>
      <c r="J145" s="15" t="str">
        <f>IF(E145="Invalid_Segment","Invalid",IFERROR(INDEX(Severity_Matrix!$C$3:$M$10,MATCH('Error Log'!$F145,Severity_Matrix!$B$3:$B$10,0),MATCH('Error Log'!$G145,Severity_Matrix!$C$2:$M$2,0)),"No errors"))</f>
        <v>Critical</v>
      </c>
    </row>
    <row r="146" spans="1:10">
      <c r="A146" s="78" t="s">
        <v>349</v>
      </c>
      <c r="B146" s="18">
        <v>1</v>
      </c>
      <c r="C146" s="78" t="s">
        <v>350</v>
      </c>
      <c r="D146" s="78" t="s">
        <v>351</v>
      </c>
      <c r="E146" s="83" t="s">
        <v>21</v>
      </c>
      <c r="F146" s="83" t="s">
        <v>22</v>
      </c>
      <c r="G146" s="83" t="s">
        <v>55</v>
      </c>
      <c r="H146" s="83" t="s">
        <v>353</v>
      </c>
      <c r="I146" s="83"/>
      <c r="J146" s="15" t="str">
        <f>IF(E146="Invalid_Segment","Invalid",IFERROR(INDEX(Severity_Matrix!$C$3:$M$10,MATCH('Error Log'!$F146,Severity_Matrix!$B$3:$B$10,0),MATCH('Error Log'!$G146,Severity_Matrix!$C$2:$M$2,0)),"No errors"))</f>
        <v>Major</v>
      </c>
    </row>
    <row r="147" spans="1:10">
      <c r="A147" s="78" t="s">
        <v>349</v>
      </c>
      <c r="B147" s="18">
        <v>2</v>
      </c>
      <c r="C147" s="78" t="s">
        <v>350</v>
      </c>
      <c r="D147" s="78" t="s">
        <v>351</v>
      </c>
      <c r="E147" s="83" t="s">
        <v>21</v>
      </c>
      <c r="F147" s="83" t="s">
        <v>7</v>
      </c>
      <c r="G147" s="83" t="s">
        <v>55</v>
      </c>
      <c r="H147" s="83" t="s">
        <v>354</v>
      </c>
      <c r="I147" s="83"/>
      <c r="J147" s="15" t="str">
        <f>IF(E147="Invalid_Segment","Invalid",IFERROR(INDEX(Severity_Matrix!$C$3:$M$10,MATCH('Error Log'!$F147,Severity_Matrix!$B$3:$B$10,0),MATCH('Error Log'!$G147,Severity_Matrix!$C$2:$M$2,0)),"No errors"))</f>
        <v>Critical</v>
      </c>
    </row>
    <row r="148" spans="1:10">
      <c r="A148" s="78" t="s">
        <v>355</v>
      </c>
      <c r="B148" s="18">
        <v>3</v>
      </c>
      <c r="C148" s="78" t="s">
        <v>350</v>
      </c>
      <c r="D148" s="78" t="s">
        <v>351</v>
      </c>
      <c r="E148" s="83" t="s">
        <v>21</v>
      </c>
      <c r="F148" s="83" t="s">
        <v>7</v>
      </c>
      <c r="G148" s="83" t="s">
        <v>55</v>
      </c>
      <c r="H148" s="83" t="s">
        <v>356</v>
      </c>
      <c r="I148" s="83"/>
      <c r="J148" s="15" t="str">
        <f>IF(E148="Invalid_Segment","Invalid",IFERROR(INDEX(Severity_Matrix!$C$3:$M$10,MATCH('Error Log'!$F148,Severity_Matrix!$B$3:$B$10,0),MATCH('Error Log'!$G148,Severity_Matrix!$C$2:$M$2,0)),"No errors"))</f>
        <v>Critical</v>
      </c>
    </row>
    <row r="149" spans="1:10">
      <c r="A149" s="78" t="s">
        <v>357</v>
      </c>
      <c r="B149" s="18">
        <v>1</v>
      </c>
      <c r="C149" s="78" t="s">
        <v>358</v>
      </c>
      <c r="D149" s="78" t="s">
        <v>359</v>
      </c>
      <c r="E149" s="83" t="s">
        <v>2</v>
      </c>
      <c r="F149" s="83" t="s">
        <v>26</v>
      </c>
      <c r="G149" s="83" t="s">
        <v>55</v>
      </c>
      <c r="H149" s="83" t="s">
        <v>360</v>
      </c>
      <c r="I149" s="83"/>
      <c r="J149" s="15" t="str">
        <f>IF(E149="Invalid_Segment","Invalid",IFERROR(INDEX(Severity_Matrix!$C$3:$M$10,MATCH('Error Log'!$F149,Severity_Matrix!$B$3:$B$10,0),MATCH('Error Log'!$G149,Severity_Matrix!$C$2:$M$2,0)),"No errors"))</f>
        <v>Major</v>
      </c>
    </row>
    <row r="150" spans="1:10">
      <c r="A150" s="78" t="s">
        <v>357</v>
      </c>
      <c r="B150" s="18">
        <v>2</v>
      </c>
      <c r="C150" s="78" t="s">
        <v>358</v>
      </c>
      <c r="D150" s="78" t="s">
        <v>359</v>
      </c>
      <c r="E150" s="83" t="s">
        <v>21</v>
      </c>
      <c r="F150" s="83" t="s">
        <v>7</v>
      </c>
      <c r="G150" s="83" t="s">
        <v>55</v>
      </c>
      <c r="H150" s="83" t="s">
        <v>361</v>
      </c>
      <c r="I150" s="83"/>
      <c r="J150" s="15" t="str">
        <f>IF(E150="Invalid_Segment","Invalid",IFERROR(INDEX(Severity_Matrix!$C$3:$M$10,MATCH('Error Log'!$F150,Severity_Matrix!$B$3:$B$10,0),MATCH('Error Log'!$G150,Severity_Matrix!$C$2:$M$2,0)),"No errors"))</f>
        <v>Critical</v>
      </c>
    </row>
    <row r="151" spans="1:10">
      <c r="A151" s="78" t="s">
        <v>362</v>
      </c>
      <c r="B151" s="18">
        <v>3</v>
      </c>
      <c r="C151" s="78" t="s">
        <v>358</v>
      </c>
      <c r="D151" s="78" t="s">
        <v>359</v>
      </c>
      <c r="E151" s="83" t="s">
        <v>21</v>
      </c>
      <c r="F151" s="83" t="s">
        <v>7</v>
      </c>
      <c r="G151" s="83" t="s">
        <v>55</v>
      </c>
      <c r="H151" s="83" t="s">
        <v>363</v>
      </c>
      <c r="I151" s="83"/>
      <c r="J151" s="15" t="str">
        <f>IF(E151="Invalid_Segment","Invalid",IFERROR(INDEX(Severity_Matrix!$C$3:$M$10,MATCH('Error Log'!$F151,Severity_Matrix!$B$3:$B$10,0),MATCH('Error Log'!$G151,Severity_Matrix!$C$2:$M$2,0)),"No errors"))</f>
        <v>Critical</v>
      </c>
    </row>
    <row r="152" spans="1:10">
      <c r="A152" s="78" t="s">
        <v>364</v>
      </c>
      <c r="B152" s="18">
        <v>1</v>
      </c>
      <c r="C152" s="78" t="s">
        <v>365</v>
      </c>
      <c r="D152" s="78" t="s">
        <v>366</v>
      </c>
      <c r="E152" s="83" t="s">
        <v>21</v>
      </c>
      <c r="F152" s="83" t="s">
        <v>22</v>
      </c>
      <c r="G152" s="83" t="s">
        <v>55</v>
      </c>
      <c r="H152" s="83" t="s">
        <v>367</v>
      </c>
      <c r="I152" s="83"/>
      <c r="J152" s="15" t="str">
        <f>IF(E152="Invalid_Segment","Invalid",IFERROR(INDEX(Severity_Matrix!$C$3:$M$10,MATCH('Error Log'!$F152,Severity_Matrix!$B$3:$B$10,0),MATCH('Error Log'!$G152,Severity_Matrix!$C$2:$M$2,0)),"No errors"))</f>
        <v>Major</v>
      </c>
    </row>
    <row r="153" spans="1:10">
      <c r="A153" s="78" t="s">
        <v>364</v>
      </c>
      <c r="B153" s="18">
        <v>2</v>
      </c>
      <c r="C153" s="78" t="s">
        <v>365</v>
      </c>
      <c r="D153" s="78" t="s">
        <v>366</v>
      </c>
      <c r="E153" s="83" t="s">
        <v>21</v>
      </c>
      <c r="F153" s="83" t="s">
        <v>22</v>
      </c>
      <c r="G153" s="83" t="s">
        <v>55</v>
      </c>
      <c r="H153" s="83" t="s">
        <v>368</v>
      </c>
      <c r="I153" s="83"/>
      <c r="J153" s="15" t="str">
        <f>IF(E153="Invalid_Segment","Invalid",IFERROR(INDEX(Severity_Matrix!$C$3:$M$10,MATCH('Error Log'!$F153,Severity_Matrix!$B$3:$B$10,0),MATCH('Error Log'!$G153,Severity_Matrix!$C$2:$M$2,0)),"No errors"))</f>
        <v>Major</v>
      </c>
    </row>
    <row r="154" spans="1:10">
      <c r="A154" s="78" t="s">
        <v>369</v>
      </c>
      <c r="B154" s="18">
        <v>3</v>
      </c>
      <c r="C154" s="78" t="s">
        <v>365</v>
      </c>
      <c r="D154" s="78" t="s">
        <v>366</v>
      </c>
      <c r="E154" s="83" t="s">
        <v>21</v>
      </c>
      <c r="F154" s="83" t="s">
        <v>7</v>
      </c>
      <c r="G154" s="83" t="s">
        <v>55</v>
      </c>
      <c r="H154" s="83" t="s">
        <v>370</v>
      </c>
      <c r="I154" s="83"/>
      <c r="J154" s="15" t="str">
        <f>IF(E154="Invalid_Segment","Invalid",IFERROR(INDEX(Severity_Matrix!$C$3:$M$10,MATCH('Error Log'!$F154,Severity_Matrix!$B$3:$B$10,0),MATCH('Error Log'!$G154,Severity_Matrix!$C$2:$M$2,0)),"No errors"))</f>
        <v>Critical</v>
      </c>
    </row>
    <row r="155" spans="1:10">
      <c r="A155" s="78" t="s">
        <v>369</v>
      </c>
      <c r="B155" s="18">
        <v>4</v>
      </c>
      <c r="C155" s="78" t="s">
        <v>365</v>
      </c>
      <c r="D155" s="78" t="s">
        <v>366</v>
      </c>
      <c r="E155" s="83" t="s">
        <v>21</v>
      </c>
      <c r="F155" s="83" t="s">
        <v>7</v>
      </c>
      <c r="G155" s="83" t="s">
        <v>55</v>
      </c>
      <c r="H155" s="83" t="s">
        <v>371</v>
      </c>
      <c r="I155" s="83"/>
      <c r="J155" s="15" t="str">
        <f>IF(E155="Invalid_Segment","Invalid",IFERROR(INDEX(Severity_Matrix!$C$3:$M$10,MATCH('Error Log'!$F155,Severity_Matrix!$B$3:$B$10,0),MATCH('Error Log'!$G155,Severity_Matrix!$C$2:$M$2,0)),"No errors"))</f>
        <v>Critical</v>
      </c>
    </row>
    <row r="156" spans="1:10">
      <c r="A156" s="78" t="s">
        <v>372</v>
      </c>
      <c r="B156" s="18">
        <v>1</v>
      </c>
      <c r="C156" s="78" t="s">
        <v>373</v>
      </c>
      <c r="D156" s="78" t="s">
        <v>374</v>
      </c>
      <c r="E156" s="83"/>
      <c r="F156" s="83"/>
      <c r="G156" s="83"/>
      <c r="H156" s="83"/>
      <c r="I156" s="83"/>
      <c r="J156" s="15" t="str">
        <f>IF(E156="Invalid_Segment","Invalid",IFERROR(INDEX(Severity_Matrix!$C$3:$M$10,MATCH('Error Log'!$F156,Severity_Matrix!$B$3:$B$10,0),MATCH('Error Log'!$G156,Severity_Matrix!$C$2:$M$2,0)),"No errors"))</f>
        <v>No errors</v>
      </c>
    </row>
    <row r="157" spans="1:10">
      <c r="A157" s="78" t="s">
        <v>375</v>
      </c>
      <c r="B157" s="18">
        <v>1</v>
      </c>
      <c r="C157" s="78" t="s">
        <v>376</v>
      </c>
      <c r="D157" s="78" t="s">
        <v>377</v>
      </c>
      <c r="E157" s="83" t="s">
        <v>21</v>
      </c>
      <c r="F157" s="83" t="s">
        <v>22</v>
      </c>
      <c r="G157" s="83" t="s">
        <v>55</v>
      </c>
      <c r="H157" s="83" t="s">
        <v>378</v>
      </c>
      <c r="I157" s="83"/>
      <c r="J157" s="15" t="str">
        <f>IF(E157="Invalid_Segment","Invalid",IFERROR(INDEX(Severity_Matrix!$C$3:$M$10,MATCH('Error Log'!$F157,Severity_Matrix!$B$3:$B$10,0),MATCH('Error Log'!$G157,Severity_Matrix!$C$2:$M$2,0)),"No errors"))</f>
        <v>Major</v>
      </c>
    </row>
    <row r="158" spans="1:10">
      <c r="A158" s="78" t="s">
        <v>375</v>
      </c>
      <c r="B158" s="18">
        <v>2</v>
      </c>
      <c r="C158" s="78" t="s">
        <v>376</v>
      </c>
      <c r="D158" s="78" t="s">
        <v>377</v>
      </c>
      <c r="E158" s="83" t="s">
        <v>21</v>
      </c>
      <c r="F158" s="83" t="s">
        <v>22</v>
      </c>
      <c r="G158" s="83" t="s">
        <v>55</v>
      </c>
      <c r="H158" s="83" t="s">
        <v>379</v>
      </c>
      <c r="I158" s="83"/>
      <c r="J158" s="15" t="str">
        <f>IF(E158="Invalid_Segment","Invalid",IFERROR(INDEX(Severity_Matrix!$C$3:$M$10,MATCH('Error Log'!$F158,Severity_Matrix!$B$3:$B$10,0),MATCH('Error Log'!$G158,Severity_Matrix!$C$2:$M$2,0)),"No errors"))</f>
        <v>Major</v>
      </c>
    </row>
    <row r="159" spans="1:10">
      <c r="A159" s="78" t="s">
        <v>375</v>
      </c>
      <c r="B159" s="18">
        <v>3</v>
      </c>
      <c r="C159" s="78" t="s">
        <v>376</v>
      </c>
      <c r="D159" s="78" t="s">
        <v>377</v>
      </c>
      <c r="E159" s="83" t="s">
        <v>21</v>
      </c>
      <c r="F159" s="83" t="s">
        <v>7</v>
      </c>
      <c r="G159" s="83" t="s">
        <v>55</v>
      </c>
      <c r="H159" s="83" t="s">
        <v>380</v>
      </c>
      <c r="I159" s="83"/>
      <c r="J159" s="15" t="str">
        <f>IF(E159="Invalid_Segment","Invalid",IFERROR(INDEX(Severity_Matrix!$C$3:$M$10,MATCH('Error Log'!$F159,Severity_Matrix!$B$3:$B$10,0),MATCH('Error Log'!$G159,Severity_Matrix!$C$2:$M$2,0)),"No errors"))</f>
        <v>Critical</v>
      </c>
    </row>
    <row r="160" spans="1:10">
      <c r="A160" s="78" t="s">
        <v>381</v>
      </c>
      <c r="B160" s="18">
        <v>1</v>
      </c>
      <c r="C160" s="78" t="s">
        <v>382</v>
      </c>
      <c r="D160" s="99" t="s">
        <v>383</v>
      </c>
      <c r="E160" s="83" t="s">
        <v>352</v>
      </c>
      <c r="F160" s="83" t="s">
        <v>26</v>
      </c>
      <c r="G160" s="83" t="s">
        <v>55</v>
      </c>
      <c r="H160" s="83" t="s">
        <v>384</v>
      </c>
      <c r="I160" s="83"/>
      <c r="J160" s="15" t="str">
        <f>IF(E160="Invalid_Segment","Invalid",IFERROR(INDEX(Severity_Matrix!$C$3:$M$10,MATCH('Error Log'!$F160,Severity_Matrix!$B$3:$B$10,0),MATCH('Error Log'!$G160,Severity_Matrix!$C$2:$M$2,0)),"No errors"))</f>
        <v>Major</v>
      </c>
    </row>
    <row r="161" spans="1:10">
      <c r="A161" s="79" t="s">
        <v>385</v>
      </c>
      <c r="B161" s="18">
        <v>1</v>
      </c>
      <c r="C161" s="78" t="s">
        <v>386</v>
      </c>
      <c r="D161" s="86" t="s">
        <v>387</v>
      </c>
      <c r="E161" s="83" t="s">
        <v>21</v>
      </c>
      <c r="F161" s="83" t="s">
        <v>22</v>
      </c>
      <c r="G161" s="83" t="s">
        <v>55</v>
      </c>
      <c r="H161" s="83" t="s">
        <v>388</v>
      </c>
      <c r="I161" s="83"/>
      <c r="J161" s="15" t="str">
        <f>IF(E161="Invalid_Segment","Invalid",IFERROR(INDEX(Severity_Matrix!$C$3:$M$10,MATCH('Error Log'!$F161,Severity_Matrix!$B$3:$B$10,0),MATCH('Error Log'!$G161,Severity_Matrix!$C$2:$M$2,0)),"No errors"))</f>
        <v>Major</v>
      </c>
    </row>
    <row r="162" spans="1:10">
      <c r="A162" s="79" t="s">
        <v>385</v>
      </c>
      <c r="B162" s="18">
        <v>2</v>
      </c>
      <c r="C162" s="78" t="s">
        <v>386</v>
      </c>
      <c r="D162" s="86" t="s">
        <v>387</v>
      </c>
      <c r="E162" s="83" t="s">
        <v>21</v>
      </c>
      <c r="F162" s="83" t="s">
        <v>7</v>
      </c>
      <c r="G162" s="83" t="s">
        <v>55</v>
      </c>
      <c r="H162" s="83" t="s">
        <v>389</v>
      </c>
      <c r="I162" s="83"/>
      <c r="J162" s="15" t="str">
        <f>IF(E162="Invalid_Segment","Invalid",IFERROR(INDEX(Severity_Matrix!$C$3:$M$10,MATCH('Error Log'!$F162,Severity_Matrix!$B$3:$B$10,0),MATCH('Error Log'!$G162,Severity_Matrix!$C$2:$M$2,0)),"No errors"))</f>
        <v>Critical</v>
      </c>
    </row>
    <row r="163" spans="1:10">
      <c r="A163" s="79" t="s">
        <v>390</v>
      </c>
      <c r="B163" s="18">
        <v>3</v>
      </c>
      <c r="C163" s="78" t="s">
        <v>386</v>
      </c>
      <c r="D163" s="86" t="s">
        <v>387</v>
      </c>
      <c r="E163" s="83" t="s">
        <v>21</v>
      </c>
      <c r="F163" s="83" t="s">
        <v>7</v>
      </c>
      <c r="G163" s="83" t="s">
        <v>55</v>
      </c>
      <c r="H163" s="83" t="s">
        <v>391</v>
      </c>
      <c r="I163" s="83"/>
      <c r="J163" s="15" t="str">
        <f>IF(E163="Invalid_Segment","Invalid",IFERROR(INDEX(Severity_Matrix!$C$3:$M$10,MATCH('Error Log'!$F163,Severity_Matrix!$B$3:$B$10,0),MATCH('Error Log'!$G163,Severity_Matrix!$C$2:$M$2,0)),"No errors"))</f>
        <v>Critical</v>
      </c>
    </row>
    <row r="164" spans="1:10">
      <c r="A164" s="79" t="s">
        <v>390</v>
      </c>
      <c r="B164" s="18">
        <v>4</v>
      </c>
      <c r="C164" s="78" t="s">
        <v>386</v>
      </c>
      <c r="D164" s="86" t="s">
        <v>387</v>
      </c>
      <c r="E164" s="83" t="s">
        <v>21</v>
      </c>
      <c r="F164" s="83" t="s">
        <v>7</v>
      </c>
      <c r="G164" s="83" t="s">
        <v>55</v>
      </c>
      <c r="H164" s="83" t="s">
        <v>392</v>
      </c>
      <c r="I164" s="83"/>
      <c r="J164" s="15" t="str">
        <f>IF(E164="Invalid_Segment","Invalid",IFERROR(INDEX(Severity_Matrix!$C$3:$M$10,MATCH('Error Log'!$F164,Severity_Matrix!$B$3:$B$10,0),MATCH('Error Log'!$G164,Severity_Matrix!$C$2:$M$2,0)),"No errors"))</f>
        <v>Critical</v>
      </c>
    </row>
    <row r="165" spans="1:10">
      <c r="A165" s="79" t="s">
        <v>393</v>
      </c>
      <c r="B165" s="18">
        <v>1</v>
      </c>
      <c r="C165" s="78" t="s">
        <v>394</v>
      </c>
      <c r="D165" s="86" t="s">
        <v>395</v>
      </c>
      <c r="E165" s="83" t="s">
        <v>2</v>
      </c>
      <c r="F165" s="83" t="s">
        <v>26</v>
      </c>
      <c r="G165" s="83" t="s">
        <v>55</v>
      </c>
      <c r="H165" s="83" t="s">
        <v>396</v>
      </c>
      <c r="I165" s="83"/>
      <c r="J165" s="15" t="str">
        <f>IF(E165="Invalid_Segment","Invalid",IFERROR(INDEX(Severity_Matrix!$C$3:$M$10,MATCH('Error Log'!$F165,Severity_Matrix!$B$3:$B$10,0),MATCH('Error Log'!$G165,Severity_Matrix!$C$2:$M$2,0)),"No errors"))</f>
        <v>Major</v>
      </c>
    </row>
    <row r="166" spans="1:10">
      <c r="A166" s="79" t="s">
        <v>393</v>
      </c>
      <c r="B166" s="18">
        <v>2</v>
      </c>
      <c r="C166" s="78" t="s">
        <v>394</v>
      </c>
      <c r="D166" s="86" t="s">
        <v>395</v>
      </c>
      <c r="E166" s="83" t="s">
        <v>21</v>
      </c>
      <c r="F166" s="83" t="s">
        <v>7</v>
      </c>
      <c r="G166" s="83" t="s">
        <v>55</v>
      </c>
      <c r="H166" s="83" t="s">
        <v>397</v>
      </c>
      <c r="I166" s="83"/>
      <c r="J166" s="15" t="str">
        <f>IF(E166="Invalid_Segment","Invalid",IFERROR(INDEX(Severity_Matrix!$C$3:$M$10,MATCH('Error Log'!$F166,Severity_Matrix!$B$3:$B$10,0),MATCH('Error Log'!$G166,Severity_Matrix!$C$2:$M$2,0)),"No errors"))</f>
        <v>Critical</v>
      </c>
    </row>
    <row r="167" spans="1:10">
      <c r="A167" s="79" t="s">
        <v>398</v>
      </c>
      <c r="B167" s="18">
        <v>3</v>
      </c>
      <c r="C167" s="78" t="s">
        <v>394</v>
      </c>
      <c r="D167" s="86" t="s">
        <v>395</v>
      </c>
      <c r="E167" s="83" t="s">
        <v>21</v>
      </c>
      <c r="F167" s="83" t="s">
        <v>7</v>
      </c>
      <c r="G167" s="83" t="s">
        <v>55</v>
      </c>
      <c r="H167" s="83" t="s">
        <v>399</v>
      </c>
      <c r="I167" s="83"/>
      <c r="J167" s="15" t="str">
        <f>IF(E167="Invalid_Segment","Invalid",IFERROR(INDEX(Severity_Matrix!$C$3:$M$10,MATCH('Error Log'!$F167,Severity_Matrix!$B$3:$B$10,0),MATCH('Error Log'!$G167,Severity_Matrix!$C$2:$M$2,0)),"No errors"))</f>
        <v>Critical</v>
      </c>
    </row>
    <row r="168" spans="1:10">
      <c r="A168" s="79" t="s">
        <v>400</v>
      </c>
      <c r="B168" s="18">
        <v>1</v>
      </c>
      <c r="C168" s="78" t="s">
        <v>401</v>
      </c>
      <c r="D168" s="86" t="s">
        <v>402</v>
      </c>
      <c r="E168" s="83" t="s">
        <v>21</v>
      </c>
      <c r="F168" s="83" t="s">
        <v>22</v>
      </c>
      <c r="G168" s="83" t="s">
        <v>28</v>
      </c>
      <c r="H168" s="83" t="s">
        <v>403</v>
      </c>
      <c r="I168" s="83"/>
      <c r="J168" s="15" t="str">
        <f>IF(E168="Invalid_Segment","Invalid",IFERROR(INDEX(Severity_Matrix!$C$3:$M$10,MATCH('Error Log'!$F168,Severity_Matrix!$B$3:$B$10,0),MATCH('Error Log'!$G168,Severity_Matrix!$C$2:$M$2,0)),"No errors"))</f>
        <v>Major</v>
      </c>
    </row>
    <row r="169" spans="1:10">
      <c r="A169" s="79" t="s">
        <v>400</v>
      </c>
      <c r="B169" s="18">
        <v>2</v>
      </c>
      <c r="C169" s="78" t="s">
        <v>401</v>
      </c>
      <c r="D169" s="86" t="s">
        <v>402</v>
      </c>
      <c r="E169" s="83" t="s">
        <v>21</v>
      </c>
      <c r="F169" s="83" t="s">
        <v>22</v>
      </c>
      <c r="G169" s="83" t="s">
        <v>28</v>
      </c>
      <c r="H169" s="83" t="s">
        <v>404</v>
      </c>
      <c r="I169" s="83"/>
      <c r="J169" s="15" t="str">
        <f>IF(E169="Invalid_Segment","Invalid",IFERROR(INDEX(Severity_Matrix!$C$3:$M$10,MATCH('Error Log'!$F169,Severity_Matrix!$B$3:$B$10,0),MATCH('Error Log'!$G169,Severity_Matrix!$C$2:$M$2,0)),"No errors"))</f>
        <v>Major</v>
      </c>
    </row>
    <row r="170" spans="1:10">
      <c r="A170" s="79" t="s">
        <v>405</v>
      </c>
      <c r="B170" s="18">
        <v>3</v>
      </c>
      <c r="C170" s="78" t="s">
        <v>401</v>
      </c>
      <c r="D170" s="86" t="s">
        <v>402</v>
      </c>
      <c r="E170" s="83" t="s">
        <v>21</v>
      </c>
      <c r="F170" s="83" t="s">
        <v>7</v>
      </c>
      <c r="G170" s="83" t="s">
        <v>55</v>
      </c>
      <c r="H170" s="83" t="s">
        <v>406</v>
      </c>
      <c r="I170" s="83"/>
      <c r="J170" s="15" t="str">
        <f>IF(E170="Invalid_Segment","Invalid",IFERROR(INDEX(Severity_Matrix!$C$3:$M$10,MATCH('Error Log'!$F170,Severity_Matrix!$B$3:$B$10,0),MATCH('Error Log'!$G170,Severity_Matrix!$C$2:$M$2,0)),"No errors"))</f>
        <v>Critical</v>
      </c>
    </row>
    <row r="171" spans="1:10">
      <c r="A171" s="79" t="s">
        <v>407</v>
      </c>
      <c r="B171" s="18">
        <v>1</v>
      </c>
      <c r="C171" s="78" t="s">
        <v>408</v>
      </c>
      <c r="D171" s="86" t="s">
        <v>409</v>
      </c>
      <c r="E171" s="83" t="s">
        <v>21</v>
      </c>
      <c r="F171" s="83" t="s">
        <v>22</v>
      </c>
      <c r="G171" s="83" t="s">
        <v>55</v>
      </c>
      <c r="H171" s="83" t="s">
        <v>410</v>
      </c>
      <c r="I171" s="83"/>
      <c r="J171" s="15" t="str">
        <f>IF(E171="Invalid_Segment","Invalid",IFERROR(INDEX(Severity_Matrix!$C$3:$M$10,MATCH('Error Log'!$F171,Severity_Matrix!$B$3:$B$10,0),MATCH('Error Log'!$G171,Severity_Matrix!$C$2:$M$2,0)),"No errors"))</f>
        <v>Major</v>
      </c>
    </row>
    <row r="172" spans="1:10">
      <c r="A172" s="79" t="s">
        <v>407</v>
      </c>
      <c r="B172" s="18">
        <v>2</v>
      </c>
      <c r="C172" s="78" t="s">
        <v>408</v>
      </c>
      <c r="D172" s="86" t="s">
        <v>409</v>
      </c>
      <c r="E172" s="83" t="s">
        <v>21</v>
      </c>
      <c r="F172" s="83" t="s">
        <v>7</v>
      </c>
      <c r="G172" s="83" t="s">
        <v>55</v>
      </c>
      <c r="H172" s="83" t="s">
        <v>411</v>
      </c>
      <c r="I172" s="83"/>
      <c r="J172" s="15" t="str">
        <f>IF(E172="Invalid_Segment","Invalid",IFERROR(INDEX(Severity_Matrix!$C$3:$M$10,MATCH('Error Log'!$F172,Severity_Matrix!$B$3:$B$10,0),MATCH('Error Log'!$G172,Severity_Matrix!$C$2:$M$2,0)),"No errors"))</f>
        <v>Critical</v>
      </c>
    </row>
    <row r="173" spans="1:10">
      <c r="A173" s="79" t="s">
        <v>412</v>
      </c>
      <c r="B173" s="18">
        <v>1</v>
      </c>
      <c r="C173" s="78" t="s">
        <v>413</v>
      </c>
      <c r="D173" s="86" t="s">
        <v>414</v>
      </c>
      <c r="E173" s="83" t="s">
        <v>21</v>
      </c>
      <c r="F173" s="83" t="s">
        <v>7</v>
      </c>
      <c r="G173" s="83" t="s">
        <v>55</v>
      </c>
      <c r="H173" s="83" t="s">
        <v>415</v>
      </c>
      <c r="I173" s="83"/>
      <c r="J173" s="15" t="str">
        <f>IF(E173="Invalid_Segment","Invalid",IFERROR(INDEX(Severity_Matrix!$C$3:$M$10,MATCH('Error Log'!$F173,Severity_Matrix!$B$3:$B$10,0),MATCH('Error Log'!$G173,Severity_Matrix!$C$2:$M$2,0)),"No errors"))</f>
        <v>Critical</v>
      </c>
    </row>
    <row r="174" spans="1:10">
      <c r="A174" s="79" t="s">
        <v>412</v>
      </c>
      <c r="B174" s="18">
        <v>2</v>
      </c>
      <c r="C174" s="78" t="s">
        <v>413</v>
      </c>
      <c r="D174" s="86" t="s">
        <v>414</v>
      </c>
      <c r="E174" s="83" t="s">
        <v>21</v>
      </c>
      <c r="F174" s="83" t="s">
        <v>22</v>
      </c>
      <c r="G174" s="83" t="s">
        <v>55</v>
      </c>
      <c r="H174" s="83" t="s">
        <v>416</v>
      </c>
      <c r="I174" s="83"/>
      <c r="J174" s="15" t="str">
        <f>IF(E174="Invalid_Segment","Invalid",IFERROR(INDEX(Severity_Matrix!$C$3:$M$10,MATCH('Error Log'!$F174,Severity_Matrix!$B$3:$B$10,0),MATCH('Error Log'!$G174,Severity_Matrix!$C$2:$M$2,0)),"No errors"))</f>
        <v>Major</v>
      </c>
    </row>
    <row r="175" spans="1:10">
      <c r="A175" s="79" t="s">
        <v>417</v>
      </c>
      <c r="B175" s="18">
        <v>1</v>
      </c>
      <c r="C175" s="78" t="s">
        <v>418</v>
      </c>
      <c r="D175" s="86" t="s">
        <v>419</v>
      </c>
      <c r="E175" s="83" t="s">
        <v>21</v>
      </c>
      <c r="F175" s="83" t="s">
        <v>22</v>
      </c>
      <c r="G175" s="83" t="s">
        <v>55</v>
      </c>
      <c r="H175" s="83" t="s">
        <v>420</v>
      </c>
      <c r="I175" s="83"/>
      <c r="J175" s="15" t="str">
        <f>IF(E175="Invalid_Segment","Invalid",IFERROR(INDEX(Severity_Matrix!$C$3:$M$10,MATCH('Error Log'!$F175,Severity_Matrix!$B$3:$B$10,0),MATCH('Error Log'!$G175,Severity_Matrix!$C$2:$M$2,0)),"No errors"))</f>
        <v>Major</v>
      </c>
    </row>
    <row r="176" spans="1:10">
      <c r="A176" s="79" t="s">
        <v>417</v>
      </c>
      <c r="B176" s="18">
        <v>2</v>
      </c>
      <c r="C176" s="78" t="s">
        <v>418</v>
      </c>
      <c r="D176" s="86" t="s">
        <v>419</v>
      </c>
      <c r="E176" s="83" t="s">
        <v>21</v>
      </c>
      <c r="F176" s="83" t="s">
        <v>22</v>
      </c>
      <c r="G176" s="83" t="s">
        <v>55</v>
      </c>
      <c r="H176" s="83" t="s">
        <v>421</v>
      </c>
      <c r="I176" s="83"/>
      <c r="J176" s="15" t="str">
        <f>IF(E176="Invalid_Segment","Invalid",IFERROR(INDEX(Severity_Matrix!$C$3:$M$10,MATCH('Error Log'!$F176,Severity_Matrix!$B$3:$B$10,0),MATCH('Error Log'!$G176,Severity_Matrix!$C$2:$M$2,0)),"No errors"))</f>
        <v>Major</v>
      </c>
    </row>
    <row r="177" spans="1:10">
      <c r="A177" s="79" t="s">
        <v>422</v>
      </c>
      <c r="B177" s="18">
        <v>3</v>
      </c>
      <c r="C177" s="78" t="s">
        <v>418</v>
      </c>
      <c r="D177" s="86" t="s">
        <v>419</v>
      </c>
      <c r="E177" s="83" t="s">
        <v>21</v>
      </c>
      <c r="F177" s="83" t="s">
        <v>22</v>
      </c>
      <c r="G177" s="83" t="s">
        <v>55</v>
      </c>
      <c r="H177" s="83" t="s">
        <v>423</v>
      </c>
      <c r="I177" s="83"/>
      <c r="J177" s="15" t="str">
        <f>IF(E177="Invalid_Segment","Invalid",IFERROR(INDEX(Severity_Matrix!$C$3:$M$10,MATCH('Error Log'!$F177,Severity_Matrix!$B$3:$B$10,0),MATCH('Error Log'!$G177,Severity_Matrix!$C$2:$M$2,0)),"No errors"))</f>
        <v>Major</v>
      </c>
    </row>
    <row r="178" spans="1:10">
      <c r="A178" s="79" t="s">
        <v>422</v>
      </c>
      <c r="B178" s="18">
        <v>4</v>
      </c>
      <c r="C178" s="78" t="s">
        <v>418</v>
      </c>
      <c r="D178" s="86" t="s">
        <v>419</v>
      </c>
      <c r="E178" s="83" t="s">
        <v>21</v>
      </c>
      <c r="F178" s="83" t="s">
        <v>7</v>
      </c>
      <c r="G178" s="83" t="s">
        <v>55</v>
      </c>
      <c r="H178" s="83" t="s">
        <v>424</v>
      </c>
      <c r="I178" s="83"/>
      <c r="J178" s="15" t="str">
        <f>IF(E178="Invalid_Segment","Invalid",IFERROR(INDEX(Severity_Matrix!$C$3:$M$10,MATCH('Error Log'!$F178,Severity_Matrix!$B$3:$B$10,0),MATCH('Error Log'!$G178,Severity_Matrix!$C$2:$M$2,0)),"No errors"))</f>
        <v>Critical</v>
      </c>
    </row>
    <row r="179" spans="1:10">
      <c r="A179" s="79" t="s">
        <v>422</v>
      </c>
      <c r="B179" s="18">
        <v>5</v>
      </c>
      <c r="C179" s="78" t="s">
        <v>418</v>
      </c>
      <c r="D179" s="86" t="s">
        <v>419</v>
      </c>
      <c r="E179" s="83" t="s">
        <v>21</v>
      </c>
      <c r="F179" s="83" t="s">
        <v>7</v>
      </c>
      <c r="G179" s="83" t="s">
        <v>55</v>
      </c>
      <c r="H179" s="83" t="s">
        <v>425</v>
      </c>
      <c r="I179" s="83"/>
      <c r="J179" s="15" t="str">
        <f>IF(E179="Invalid_Segment","Invalid",IFERROR(INDEX(Severity_Matrix!$C$3:$M$10,MATCH('Error Log'!$F179,Severity_Matrix!$B$3:$B$10,0),MATCH('Error Log'!$G179,Severity_Matrix!$C$2:$M$2,0)),"No errors"))</f>
        <v>Critical</v>
      </c>
    </row>
    <row r="180" spans="1:10">
      <c r="A180" s="79" t="s">
        <v>426</v>
      </c>
      <c r="B180" s="18">
        <v>1</v>
      </c>
      <c r="C180" s="78" t="s">
        <v>427</v>
      </c>
      <c r="D180" s="86" t="s">
        <v>428</v>
      </c>
      <c r="E180" s="83" t="s">
        <v>21</v>
      </c>
      <c r="F180" s="83" t="s">
        <v>22</v>
      </c>
      <c r="G180" s="83" t="s">
        <v>55</v>
      </c>
      <c r="H180" s="83" t="s">
        <v>429</v>
      </c>
      <c r="I180" s="83"/>
      <c r="J180" s="15" t="str">
        <f>IF(E180="Invalid_Segment","Invalid",IFERROR(INDEX(Severity_Matrix!$C$3:$M$10,MATCH('Error Log'!$F180,Severity_Matrix!$B$3:$B$10,0),MATCH('Error Log'!$G180,Severity_Matrix!$C$2:$M$2,0)),"No errors"))</f>
        <v>Major</v>
      </c>
    </row>
    <row r="181" spans="1:10">
      <c r="A181" s="79" t="s">
        <v>426</v>
      </c>
      <c r="B181" s="18">
        <v>2</v>
      </c>
      <c r="C181" s="78" t="s">
        <v>427</v>
      </c>
      <c r="D181" s="86" t="s">
        <v>428</v>
      </c>
      <c r="E181" s="83" t="s">
        <v>21</v>
      </c>
      <c r="F181" s="83" t="s">
        <v>7</v>
      </c>
      <c r="G181" s="83" t="s">
        <v>55</v>
      </c>
      <c r="H181" s="83" t="s">
        <v>430</v>
      </c>
      <c r="I181" s="83"/>
      <c r="J181" s="15" t="str">
        <f>IF(E181="Invalid_Segment","Invalid",IFERROR(INDEX(Severity_Matrix!$C$3:$M$10,MATCH('Error Log'!$F181,Severity_Matrix!$B$3:$B$10,0),MATCH('Error Log'!$G181,Severity_Matrix!$C$2:$M$2,0)),"No errors"))</f>
        <v>Critical</v>
      </c>
    </row>
    <row r="182" spans="1:10">
      <c r="A182" s="79" t="s">
        <v>431</v>
      </c>
      <c r="B182" s="18">
        <v>3</v>
      </c>
      <c r="C182" s="78" t="s">
        <v>427</v>
      </c>
      <c r="D182" s="86" t="s">
        <v>428</v>
      </c>
      <c r="E182" s="83" t="s">
        <v>21</v>
      </c>
      <c r="F182" s="83" t="s">
        <v>7</v>
      </c>
      <c r="G182" s="83" t="s">
        <v>55</v>
      </c>
      <c r="H182" s="83" t="s">
        <v>432</v>
      </c>
      <c r="I182" s="83"/>
      <c r="J182" s="15" t="str">
        <f>IF(E182="Invalid_Segment","Invalid",IFERROR(INDEX(Severity_Matrix!$C$3:$M$10,MATCH('Error Log'!$F182,Severity_Matrix!$B$3:$B$10,0),MATCH('Error Log'!$G182,Severity_Matrix!$C$2:$M$2,0)),"No errors"))</f>
        <v>Critical</v>
      </c>
    </row>
    <row r="183" spans="1:10">
      <c r="A183" s="79" t="s">
        <v>433</v>
      </c>
      <c r="B183" s="18">
        <v>1</v>
      </c>
      <c r="C183" s="78" t="s">
        <v>434</v>
      </c>
      <c r="D183" s="86" t="s">
        <v>435</v>
      </c>
      <c r="E183" s="83" t="s">
        <v>21</v>
      </c>
      <c r="F183" s="83" t="s">
        <v>22</v>
      </c>
      <c r="G183" s="83" t="s">
        <v>55</v>
      </c>
      <c r="H183" s="85" t="s">
        <v>436</v>
      </c>
      <c r="I183" s="83"/>
      <c r="J183" s="15" t="str">
        <f>IF(E183="Invalid_Segment","Invalid",IFERROR(INDEX(Severity_Matrix!$C$3:$M$10,MATCH('Error Log'!$F183,Severity_Matrix!$B$3:$B$10,0),MATCH('Error Log'!$G183,Severity_Matrix!$C$2:$M$2,0)),"No errors"))</f>
        <v>Major</v>
      </c>
    </row>
    <row r="184" spans="1:10">
      <c r="A184" s="79" t="s">
        <v>433</v>
      </c>
      <c r="B184" s="18">
        <v>2</v>
      </c>
      <c r="C184" s="78" t="s">
        <v>434</v>
      </c>
      <c r="D184" s="86" t="s">
        <v>435</v>
      </c>
      <c r="E184" s="83" t="s">
        <v>21</v>
      </c>
      <c r="F184" s="83" t="s">
        <v>7</v>
      </c>
      <c r="G184" s="83" t="s">
        <v>55</v>
      </c>
      <c r="H184" s="83" t="s">
        <v>437</v>
      </c>
      <c r="I184" s="83"/>
      <c r="J184" s="15" t="str">
        <f>IF(E184="Invalid_Segment","Invalid",IFERROR(INDEX(Severity_Matrix!$C$3:$M$10,MATCH('Error Log'!$F184,Severity_Matrix!$B$3:$B$10,0),MATCH('Error Log'!$G184,Severity_Matrix!$C$2:$M$2,0)),"No errors"))</f>
        <v>Critical</v>
      </c>
    </row>
    <row r="185" spans="1:10">
      <c r="A185" s="79" t="s">
        <v>438</v>
      </c>
      <c r="B185" s="18">
        <v>3</v>
      </c>
      <c r="C185" s="78" t="s">
        <v>434</v>
      </c>
      <c r="D185" s="86" t="s">
        <v>435</v>
      </c>
      <c r="E185" s="83" t="s">
        <v>21</v>
      </c>
      <c r="F185" s="83" t="s">
        <v>7</v>
      </c>
      <c r="G185" s="83" t="s">
        <v>55</v>
      </c>
      <c r="H185" s="83" t="s">
        <v>439</v>
      </c>
      <c r="I185" s="83"/>
      <c r="J185" s="15" t="str">
        <f>IF(E185="Invalid_Segment","Invalid",IFERROR(INDEX(Severity_Matrix!$C$3:$M$10,MATCH('Error Log'!$F185,Severity_Matrix!$B$3:$B$10,0),MATCH('Error Log'!$G185,Severity_Matrix!$C$2:$M$2,0)),"No errors"))</f>
        <v>Critical</v>
      </c>
    </row>
    <row r="186" spans="1:10">
      <c r="A186" s="79" t="s">
        <v>440</v>
      </c>
      <c r="B186" s="18">
        <v>1</v>
      </c>
      <c r="C186" s="78" t="s">
        <v>441</v>
      </c>
      <c r="D186" s="86" t="s">
        <v>442</v>
      </c>
      <c r="E186" s="83" t="s">
        <v>21</v>
      </c>
      <c r="F186" s="83" t="s">
        <v>22</v>
      </c>
      <c r="G186" s="83" t="s">
        <v>28</v>
      </c>
      <c r="H186" s="83" t="s">
        <v>443</v>
      </c>
      <c r="I186" s="83"/>
      <c r="J186" s="15" t="str">
        <f>IF(E186="Invalid_Segment","Invalid",IFERROR(INDEX(Severity_Matrix!$C$3:$M$10,MATCH('Error Log'!$F186,Severity_Matrix!$B$3:$B$10,0),MATCH('Error Log'!$G186,Severity_Matrix!$C$2:$M$2,0)),"No errors"))</f>
        <v>Major</v>
      </c>
    </row>
    <row r="187" spans="1:10">
      <c r="A187" s="79" t="s">
        <v>440</v>
      </c>
      <c r="B187" s="18">
        <v>2</v>
      </c>
      <c r="C187" s="78" t="s">
        <v>441</v>
      </c>
      <c r="D187" s="86" t="s">
        <v>442</v>
      </c>
      <c r="E187" s="83" t="s">
        <v>21</v>
      </c>
      <c r="F187" s="83" t="s">
        <v>7</v>
      </c>
      <c r="G187" s="83" t="s">
        <v>55</v>
      </c>
      <c r="H187" s="83" t="s">
        <v>444</v>
      </c>
      <c r="I187" s="83"/>
      <c r="J187" s="15" t="str">
        <f>IF(E187="Invalid_Segment","Invalid",IFERROR(INDEX(Severity_Matrix!$C$3:$M$10,MATCH('Error Log'!$F187,Severity_Matrix!$B$3:$B$10,0),MATCH('Error Log'!$G187,Severity_Matrix!$C$2:$M$2,0)),"No errors"))</f>
        <v>Critical</v>
      </c>
    </row>
    <row r="188" spans="1:10">
      <c r="A188" s="79" t="s">
        <v>445</v>
      </c>
      <c r="B188" s="18">
        <v>1</v>
      </c>
      <c r="C188" s="78" t="s">
        <v>446</v>
      </c>
      <c r="D188" s="86" t="s">
        <v>447</v>
      </c>
      <c r="E188" s="83" t="s">
        <v>21</v>
      </c>
      <c r="F188" s="83" t="s">
        <v>22</v>
      </c>
      <c r="G188" s="83" t="s">
        <v>55</v>
      </c>
      <c r="H188" s="83" t="s">
        <v>448</v>
      </c>
      <c r="I188" s="83"/>
      <c r="J188" s="15" t="str">
        <f>IF(E188="Invalid_Segment","Invalid",IFERROR(INDEX(Severity_Matrix!$C$3:$M$10,MATCH('Error Log'!$F188,Severity_Matrix!$B$3:$B$10,0),MATCH('Error Log'!$G188,Severity_Matrix!$C$2:$M$2,0)),"No errors"))</f>
        <v>Major</v>
      </c>
    </row>
    <row r="189" spans="1:10">
      <c r="A189" s="79" t="s">
        <v>445</v>
      </c>
      <c r="B189" s="18">
        <v>2</v>
      </c>
      <c r="C189" s="78" t="s">
        <v>446</v>
      </c>
      <c r="D189" s="86" t="s">
        <v>447</v>
      </c>
      <c r="E189" s="83" t="s">
        <v>2</v>
      </c>
      <c r="F189" s="83" t="s">
        <v>26</v>
      </c>
      <c r="G189" s="83" t="s">
        <v>55</v>
      </c>
      <c r="H189" s="83" t="s">
        <v>449</v>
      </c>
      <c r="I189" s="83"/>
      <c r="J189" s="15" t="str">
        <f>IF(E189="Invalid_Segment","Invalid",IFERROR(INDEX(Severity_Matrix!$C$3:$M$10,MATCH('Error Log'!$F189,Severity_Matrix!$B$3:$B$10,0),MATCH('Error Log'!$G189,Severity_Matrix!$C$2:$M$2,0)),"No errors"))</f>
        <v>Major</v>
      </c>
    </row>
    <row r="190" spans="1:10">
      <c r="A190" s="79" t="s">
        <v>450</v>
      </c>
      <c r="B190" s="18">
        <v>3</v>
      </c>
      <c r="C190" s="78" t="s">
        <v>446</v>
      </c>
      <c r="D190" s="86" t="s">
        <v>447</v>
      </c>
      <c r="E190" s="83" t="s">
        <v>21</v>
      </c>
      <c r="F190" s="83" t="s">
        <v>7</v>
      </c>
      <c r="G190" s="83" t="s">
        <v>55</v>
      </c>
      <c r="H190" s="83" t="s">
        <v>451</v>
      </c>
      <c r="I190" s="83"/>
      <c r="J190" s="15" t="str">
        <f>IF(E190="Invalid_Segment","Invalid",IFERROR(INDEX(Severity_Matrix!$C$3:$M$10,MATCH('Error Log'!$F190,Severity_Matrix!$B$3:$B$10,0),MATCH('Error Log'!$G190,Severity_Matrix!$C$2:$M$2,0)),"No errors"))</f>
        <v>Critical</v>
      </c>
    </row>
    <row r="191" spans="1:10">
      <c r="A191" s="79" t="s">
        <v>450</v>
      </c>
      <c r="B191" s="18">
        <v>4</v>
      </c>
      <c r="C191" s="78" t="s">
        <v>446</v>
      </c>
      <c r="D191" s="86" t="s">
        <v>447</v>
      </c>
      <c r="E191" s="83" t="s">
        <v>21</v>
      </c>
      <c r="F191" s="83" t="s">
        <v>7</v>
      </c>
      <c r="G191" s="83" t="s">
        <v>55</v>
      </c>
      <c r="H191" s="83" t="s">
        <v>452</v>
      </c>
      <c r="I191" s="83"/>
      <c r="J191" s="15" t="str">
        <f>IF(E191="Invalid_Segment","Invalid",IFERROR(INDEX(Severity_Matrix!$C$3:$M$10,MATCH('Error Log'!$F191,Severity_Matrix!$B$3:$B$10,0),MATCH('Error Log'!$G191,Severity_Matrix!$C$2:$M$2,0)),"No errors"))</f>
        <v>Critical</v>
      </c>
    </row>
    <row r="192" spans="1:10">
      <c r="A192" s="78" t="s">
        <v>453</v>
      </c>
      <c r="B192" s="18">
        <v>1</v>
      </c>
      <c r="C192" s="78" t="s">
        <v>454</v>
      </c>
      <c r="D192" s="78" t="s">
        <v>455</v>
      </c>
      <c r="E192" s="83" t="s">
        <v>21</v>
      </c>
      <c r="F192" s="83" t="s">
        <v>22</v>
      </c>
      <c r="G192" s="83" t="s">
        <v>55</v>
      </c>
      <c r="H192" s="83" t="s">
        <v>456</v>
      </c>
      <c r="I192" s="83"/>
      <c r="J192" s="15" t="str">
        <f>IF(E192="Invalid_Segment","Invalid",IFERROR(INDEX(Severity_Matrix!$C$3:$M$10,MATCH('Error Log'!$F192,Severity_Matrix!$B$3:$B$10,0),MATCH('Error Log'!$G192,Severity_Matrix!$C$2:$M$2,0)),"No errors"))</f>
        <v>Major</v>
      </c>
    </row>
    <row r="193" spans="1:10">
      <c r="A193" s="78" t="s">
        <v>453</v>
      </c>
      <c r="B193" s="18">
        <v>2</v>
      </c>
      <c r="C193" s="78" t="s">
        <v>454</v>
      </c>
      <c r="D193" s="78" t="s">
        <v>455</v>
      </c>
      <c r="E193" s="83" t="s">
        <v>21</v>
      </c>
      <c r="F193" s="83" t="s">
        <v>22</v>
      </c>
      <c r="G193" s="83" t="s">
        <v>55</v>
      </c>
      <c r="H193" s="83" t="s">
        <v>457</v>
      </c>
      <c r="I193" s="83"/>
      <c r="J193" s="15" t="str">
        <f>IF(E193="Invalid_Segment","Invalid",IFERROR(INDEX(Severity_Matrix!$C$3:$M$10,MATCH('Error Log'!$F193,Severity_Matrix!$B$3:$B$10,0),MATCH('Error Log'!$G193,Severity_Matrix!$C$2:$M$2,0)),"No errors"))</f>
        <v>Major</v>
      </c>
    </row>
    <row r="194" spans="1:10">
      <c r="A194" s="78" t="s">
        <v>458</v>
      </c>
      <c r="B194" s="18">
        <v>3</v>
      </c>
      <c r="C194" s="78" t="s">
        <v>454</v>
      </c>
      <c r="D194" s="78" t="s">
        <v>455</v>
      </c>
      <c r="E194" s="83" t="s">
        <v>21</v>
      </c>
      <c r="F194" s="83" t="s">
        <v>7</v>
      </c>
      <c r="G194" s="83" t="s">
        <v>55</v>
      </c>
      <c r="H194" s="83" t="s">
        <v>459</v>
      </c>
      <c r="I194" s="83"/>
      <c r="J194" s="15" t="str">
        <f>IF(E194="Invalid_Segment","Invalid",IFERROR(INDEX(Severity_Matrix!$C$3:$M$10,MATCH('Error Log'!$F194,Severity_Matrix!$B$3:$B$10,0),MATCH('Error Log'!$G194,Severity_Matrix!$C$2:$M$2,0)),"No errors"))</f>
        <v>Critical</v>
      </c>
    </row>
    <row r="195" spans="1:10">
      <c r="A195" s="78" t="s">
        <v>458</v>
      </c>
      <c r="B195" s="18">
        <v>4</v>
      </c>
      <c r="C195" s="78" t="s">
        <v>454</v>
      </c>
      <c r="D195" s="78" t="s">
        <v>455</v>
      </c>
      <c r="E195" s="83" t="s">
        <v>21</v>
      </c>
      <c r="F195" s="83" t="s">
        <v>7</v>
      </c>
      <c r="G195" s="83" t="s">
        <v>55</v>
      </c>
      <c r="H195" s="83" t="s">
        <v>460</v>
      </c>
      <c r="I195" s="83"/>
      <c r="J195" s="15" t="str">
        <f>IF(E195="Invalid_Segment","Invalid",IFERROR(INDEX(Severity_Matrix!$C$3:$M$10,MATCH('Error Log'!$F195,Severity_Matrix!$B$3:$B$10,0),MATCH('Error Log'!$G195,Severity_Matrix!$C$2:$M$2,0)),"No errors"))</f>
        <v>Critical</v>
      </c>
    </row>
    <row r="196" spans="1:10">
      <c r="A196" s="78" t="s">
        <v>461</v>
      </c>
      <c r="B196" s="18">
        <v>1</v>
      </c>
      <c r="C196" s="78" t="s">
        <v>462</v>
      </c>
      <c r="D196" s="78" t="s">
        <v>463</v>
      </c>
      <c r="E196" s="83" t="s">
        <v>21</v>
      </c>
      <c r="F196" s="83" t="s">
        <v>22</v>
      </c>
      <c r="G196" s="83" t="s">
        <v>55</v>
      </c>
      <c r="H196" s="83" t="s">
        <v>464</v>
      </c>
      <c r="I196" s="83"/>
      <c r="J196" s="15" t="str">
        <f>IF(E196="Invalid_Segment","Invalid",IFERROR(INDEX(Severity_Matrix!$C$3:$M$10,MATCH('Error Log'!$F196,Severity_Matrix!$B$3:$B$10,0),MATCH('Error Log'!$G196,Severity_Matrix!$C$2:$M$2,0)),"No errors"))</f>
        <v>Major</v>
      </c>
    </row>
    <row r="197" spans="1:10">
      <c r="A197" s="78" t="s">
        <v>461</v>
      </c>
      <c r="B197" s="18">
        <v>2</v>
      </c>
      <c r="C197" s="78" t="s">
        <v>462</v>
      </c>
      <c r="D197" s="78" t="s">
        <v>463</v>
      </c>
      <c r="E197" s="83" t="s">
        <v>21</v>
      </c>
      <c r="F197" s="83" t="s">
        <v>7</v>
      </c>
      <c r="G197" s="83" t="s">
        <v>55</v>
      </c>
      <c r="H197" s="83" t="s">
        <v>465</v>
      </c>
      <c r="I197" s="83"/>
      <c r="J197" s="15" t="str">
        <f>IF(E197="Invalid_Segment","Invalid",IFERROR(INDEX(Severity_Matrix!$C$3:$M$10,MATCH('Error Log'!$F197,Severity_Matrix!$B$3:$B$10,0),MATCH('Error Log'!$G197,Severity_Matrix!$C$2:$M$2,0)),"No errors"))</f>
        <v>Critical</v>
      </c>
    </row>
    <row r="198" spans="1:10">
      <c r="A198" s="78" t="s">
        <v>466</v>
      </c>
      <c r="B198" s="18">
        <v>3</v>
      </c>
      <c r="C198" s="78" t="s">
        <v>462</v>
      </c>
      <c r="D198" s="78" t="s">
        <v>463</v>
      </c>
      <c r="E198" s="83" t="s">
        <v>21</v>
      </c>
      <c r="F198" s="83" t="s">
        <v>7</v>
      </c>
      <c r="G198" s="83" t="s">
        <v>55</v>
      </c>
      <c r="H198" s="83" t="s">
        <v>467</v>
      </c>
      <c r="I198" s="83"/>
      <c r="J198" s="15" t="str">
        <f>IF(E198="Invalid_Segment","Invalid",IFERROR(INDEX(Severity_Matrix!$C$3:$M$10,MATCH('Error Log'!$F198,Severity_Matrix!$B$3:$B$10,0),MATCH('Error Log'!$G198,Severity_Matrix!$C$2:$M$2,0)),"No errors"))</f>
        <v>Critical</v>
      </c>
    </row>
    <row r="199" spans="1:10">
      <c r="A199" s="78" t="s">
        <v>466</v>
      </c>
      <c r="B199" s="18">
        <v>4</v>
      </c>
      <c r="C199" s="78" t="s">
        <v>462</v>
      </c>
      <c r="D199" s="78" t="s">
        <v>463</v>
      </c>
      <c r="E199" s="83" t="s">
        <v>21</v>
      </c>
      <c r="F199" s="83" t="s">
        <v>7</v>
      </c>
      <c r="G199" s="83" t="s">
        <v>55</v>
      </c>
      <c r="H199" s="83" t="s">
        <v>468</v>
      </c>
      <c r="I199" s="83"/>
      <c r="J199" s="15" t="str">
        <f>IF(E199="Invalid_Segment","Invalid",IFERROR(INDEX(Severity_Matrix!$C$3:$M$10,MATCH('Error Log'!$F199,Severity_Matrix!$B$3:$B$10,0),MATCH('Error Log'!$G199,Severity_Matrix!$C$2:$M$2,0)),"No errors"))</f>
        <v>Critical</v>
      </c>
    </row>
    <row r="200" spans="1:10">
      <c r="A200" s="78" t="s">
        <v>469</v>
      </c>
      <c r="B200" s="18">
        <v>1</v>
      </c>
      <c r="C200" s="78" t="s">
        <v>470</v>
      </c>
      <c r="D200" s="78" t="s">
        <v>471</v>
      </c>
      <c r="E200" s="83" t="s">
        <v>21</v>
      </c>
      <c r="F200" s="83" t="s">
        <v>22</v>
      </c>
      <c r="G200" s="83" t="s">
        <v>55</v>
      </c>
      <c r="H200" s="83" t="s">
        <v>472</v>
      </c>
      <c r="I200" s="83"/>
      <c r="J200" s="15" t="str">
        <f>IF(E200="Invalid_Segment","Invalid",IFERROR(INDEX(Severity_Matrix!$C$3:$M$10,MATCH('Error Log'!$F200,Severity_Matrix!$B$3:$B$10,0),MATCH('Error Log'!$G200,Severity_Matrix!$C$2:$M$2,0)),"No errors"))</f>
        <v>Major</v>
      </c>
    </row>
    <row r="201" spans="1:10">
      <c r="A201" s="78" t="s">
        <v>473</v>
      </c>
      <c r="B201" s="18">
        <v>1</v>
      </c>
      <c r="C201" s="78" t="s">
        <v>474</v>
      </c>
      <c r="D201" s="78" t="s">
        <v>475</v>
      </c>
      <c r="E201" s="83" t="s">
        <v>21</v>
      </c>
      <c r="F201" s="83" t="s">
        <v>22</v>
      </c>
      <c r="G201" s="83" t="s">
        <v>55</v>
      </c>
      <c r="H201" s="83" t="s">
        <v>476</v>
      </c>
      <c r="I201" s="83"/>
      <c r="J201" s="15" t="str">
        <f>IF(E201="Invalid_Segment","Invalid",IFERROR(INDEX(Severity_Matrix!$C$3:$M$10,MATCH('Error Log'!$F201,Severity_Matrix!$B$3:$B$10,0),MATCH('Error Log'!$G201,Severity_Matrix!$C$2:$M$2,0)),"No errors"))</f>
        <v>Major</v>
      </c>
    </row>
    <row r="202" spans="1:10">
      <c r="A202" s="78" t="s">
        <v>477</v>
      </c>
      <c r="B202" s="18">
        <v>1</v>
      </c>
      <c r="C202" s="78" t="s">
        <v>478</v>
      </c>
      <c r="D202" s="78" t="s">
        <v>479</v>
      </c>
      <c r="E202" s="83" t="s">
        <v>21</v>
      </c>
      <c r="F202" s="83" t="s">
        <v>22</v>
      </c>
      <c r="G202" s="83" t="s">
        <v>55</v>
      </c>
      <c r="H202" s="83" t="s">
        <v>480</v>
      </c>
      <c r="I202" s="83"/>
      <c r="J202" s="15" t="str">
        <f>IF(E202="Invalid_Segment","Invalid",IFERROR(INDEX(Severity_Matrix!$C$3:$M$10,MATCH('Error Log'!$F202,Severity_Matrix!$B$3:$B$10,0),MATCH('Error Log'!$G202,Severity_Matrix!$C$2:$M$2,0)),"No errors"))</f>
        <v>Major</v>
      </c>
    </row>
    <row r="203" spans="1:10">
      <c r="A203" s="78" t="s">
        <v>477</v>
      </c>
      <c r="B203" s="18">
        <v>2</v>
      </c>
      <c r="C203" s="78" t="s">
        <v>478</v>
      </c>
      <c r="D203" s="78" t="s">
        <v>479</v>
      </c>
      <c r="E203" s="83" t="s">
        <v>21</v>
      </c>
      <c r="F203" s="83" t="s">
        <v>22</v>
      </c>
      <c r="G203" s="83" t="s">
        <v>28</v>
      </c>
      <c r="H203" s="83" t="s">
        <v>481</v>
      </c>
      <c r="I203" s="83"/>
      <c r="J203" s="15" t="str">
        <f>IF(E203="Invalid_Segment","Invalid",IFERROR(INDEX(Severity_Matrix!$C$3:$M$10,MATCH('Error Log'!$F203,Severity_Matrix!$B$3:$B$10,0),MATCH('Error Log'!$G203,Severity_Matrix!$C$2:$M$2,0)),"No errors"))</f>
        <v>Major</v>
      </c>
    </row>
    <row r="204" spans="1:10">
      <c r="A204" s="78" t="s">
        <v>482</v>
      </c>
      <c r="B204" s="18">
        <v>3</v>
      </c>
      <c r="C204" s="78" t="s">
        <v>478</v>
      </c>
      <c r="D204" s="78" t="s">
        <v>479</v>
      </c>
      <c r="E204" s="83" t="s">
        <v>21</v>
      </c>
      <c r="F204" s="83" t="s">
        <v>22</v>
      </c>
      <c r="G204" s="83" t="s">
        <v>55</v>
      </c>
      <c r="H204" s="83" t="s">
        <v>483</v>
      </c>
      <c r="I204" s="83"/>
      <c r="J204" s="15" t="str">
        <f>IF(E204="Invalid_Segment","Invalid",IFERROR(INDEX(Severity_Matrix!$C$3:$M$10,MATCH('Error Log'!$F204,Severity_Matrix!$B$3:$B$10,0),MATCH('Error Log'!$G204,Severity_Matrix!$C$2:$M$2,0)),"No errors"))</f>
        <v>Major</v>
      </c>
    </row>
    <row r="205" spans="1:10">
      <c r="A205" s="78" t="s">
        <v>482</v>
      </c>
      <c r="B205" s="18">
        <v>4</v>
      </c>
      <c r="C205" s="78" t="s">
        <v>478</v>
      </c>
      <c r="D205" s="78" t="s">
        <v>479</v>
      </c>
      <c r="E205" s="83" t="s">
        <v>21</v>
      </c>
      <c r="F205" s="83" t="s">
        <v>22</v>
      </c>
      <c r="G205" s="83" t="s">
        <v>28</v>
      </c>
      <c r="H205" s="83" t="s">
        <v>484</v>
      </c>
      <c r="I205" s="83"/>
      <c r="J205" s="15" t="str">
        <f>IF(E205="Invalid_Segment","Invalid",IFERROR(INDEX(Severity_Matrix!$C$3:$M$10,MATCH('Error Log'!$F205,Severity_Matrix!$B$3:$B$10,0),MATCH('Error Log'!$G205,Severity_Matrix!$C$2:$M$2,0)),"No errors"))</f>
        <v>Major</v>
      </c>
    </row>
    <row r="206" spans="1:10">
      <c r="A206" s="78" t="s">
        <v>482</v>
      </c>
      <c r="B206" s="18">
        <v>5</v>
      </c>
      <c r="C206" s="78" t="s">
        <v>478</v>
      </c>
      <c r="D206" s="78" t="s">
        <v>479</v>
      </c>
      <c r="E206" s="83" t="s">
        <v>21</v>
      </c>
      <c r="F206" s="83" t="s">
        <v>7</v>
      </c>
      <c r="G206" s="83" t="s">
        <v>55</v>
      </c>
      <c r="H206" s="83" t="s">
        <v>485</v>
      </c>
      <c r="I206" s="83"/>
      <c r="J206" s="15" t="str">
        <f>IF(E206="Invalid_Segment","Invalid",IFERROR(INDEX(Severity_Matrix!$C$3:$M$10,MATCH('Error Log'!$F206,Severity_Matrix!$B$3:$B$10,0),MATCH('Error Log'!$G206,Severity_Matrix!$C$2:$M$2,0)),"No errors"))</f>
        <v>Critical</v>
      </c>
    </row>
    <row r="207" spans="1:10">
      <c r="A207" s="78" t="s">
        <v>482</v>
      </c>
      <c r="B207" s="18">
        <v>6</v>
      </c>
      <c r="C207" s="78" t="s">
        <v>478</v>
      </c>
      <c r="D207" s="78" t="s">
        <v>479</v>
      </c>
      <c r="E207" s="83" t="s">
        <v>21</v>
      </c>
      <c r="F207" s="83" t="s">
        <v>7</v>
      </c>
      <c r="G207" s="83" t="s">
        <v>55</v>
      </c>
      <c r="H207" s="83" t="s">
        <v>486</v>
      </c>
      <c r="I207" s="83"/>
      <c r="J207" s="15" t="str">
        <f>IF(E207="Invalid_Segment","Invalid",IFERROR(INDEX(Severity_Matrix!$C$3:$M$10,MATCH('Error Log'!$F207,Severity_Matrix!$B$3:$B$10,0),MATCH('Error Log'!$G207,Severity_Matrix!$C$2:$M$2,0)),"No errors"))</f>
        <v>Critical</v>
      </c>
    </row>
    <row r="208" spans="1:10">
      <c r="A208" s="78" t="s">
        <v>482</v>
      </c>
      <c r="B208" s="18">
        <v>7</v>
      </c>
      <c r="C208" s="78" t="s">
        <v>478</v>
      </c>
      <c r="D208" s="78" t="s">
        <v>479</v>
      </c>
      <c r="E208" s="83" t="s">
        <v>21</v>
      </c>
      <c r="F208" s="83" t="s">
        <v>7</v>
      </c>
      <c r="G208" s="83" t="s">
        <v>55</v>
      </c>
      <c r="H208" s="83" t="s">
        <v>487</v>
      </c>
      <c r="I208" s="83"/>
      <c r="J208" s="15" t="str">
        <f>IF(E208="Invalid_Segment","Invalid",IFERROR(INDEX(Severity_Matrix!$C$3:$M$10,MATCH('Error Log'!$F208,Severity_Matrix!$B$3:$B$10,0),MATCH('Error Log'!$G208,Severity_Matrix!$C$2:$M$2,0)),"No errors"))</f>
        <v>Critical</v>
      </c>
    </row>
    <row r="209" spans="1:10">
      <c r="A209" s="78" t="s">
        <v>488</v>
      </c>
      <c r="B209" s="18">
        <v>1</v>
      </c>
      <c r="C209" s="78" t="s">
        <v>489</v>
      </c>
      <c r="D209" s="78" t="s">
        <v>490</v>
      </c>
      <c r="E209" s="83"/>
      <c r="F209" s="83"/>
      <c r="G209" s="83"/>
      <c r="H209" s="83"/>
      <c r="I209" s="83"/>
      <c r="J209" s="15" t="str">
        <f>IF(E209="Invalid_Segment","Invalid",IFERROR(INDEX(Severity_Matrix!$C$3:$M$10,MATCH('Error Log'!$F209,Severity_Matrix!$B$3:$B$10,0),MATCH('Error Log'!$G209,Severity_Matrix!$C$2:$M$2,0)),"No errors"))</f>
        <v>No errors</v>
      </c>
    </row>
    <row r="210" spans="1:10">
      <c r="A210" s="78" t="s">
        <v>491</v>
      </c>
      <c r="B210" s="18">
        <v>1</v>
      </c>
      <c r="C210" s="78" t="s">
        <v>492</v>
      </c>
      <c r="D210" s="78" t="s">
        <v>493</v>
      </c>
      <c r="E210" s="83" t="s">
        <v>21</v>
      </c>
      <c r="F210" s="83" t="s">
        <v>22</v>
      </c>
      <c r="G210" s="83" t="s">
        <v>55</v>
      </c>
      <c r="H210" s="83" t="s">
        <v>494</v>
      </c>
      <c r="I210" s="83"/>
      <c r="J210" s="15" t="str">
        <f>IF(E210="Invalid_Segment","Invalid",IFERROR(INDEX(Severity_Matrix!$C$3:$M$10,MATCH('Error Log'!$F210,Severity_Matrix!$B$3:$B$10,0),MATCH('Error Log'!$G210,Severity_Matrix!$C$2:$M$2,0)),"No errors"))</f>
        <v>Major</v>
      </c>
    </row>
    <row r="211" spans="1:10">
      <c r="A211" s="78" t="s">
        <v>491</v>
      </c>
      <c r="B211" s="18">
        <v>2</v>
      </c>
      <c r="C211" s="78" t="s">
        <v>492</v>
      </c>
      <c r="D211" s="78" t="s">
        <v>493</v>
      </c>
      <c r="E211" s="83" t="s">
        <v>21</v>
      </c>
      <c r="F211" s="83" t="s">
        <v>22</v>
      </c>
      <c r="G211" s="83" t="s">
        <v>55</v>
      </c>
      <c r="H211" s="83" t="s">
        <v>495</v>
      </c>
      <c r="I211" s="83"/>
      <c r="J211" s="15" t="str">
        <f>IF(E211="Invalid_Segment","Invalid",IFERROR(INDEX(Severity_Matrix!$C$3:$M$10,MATCH('Error Log'!$F211,Severity_Matrix!$B$3:$B$10,0),MATCH('Error Log'!$G211,Severity_Matrix!$C$2:$M$2,0)),"No errors"))</f>
        <v>Major</v>
      </c>
    </row>
    <row r="212" spans="1:10">
      <c r="A212" s="78" t="s">
        <v>496</v>
      </c>
      <c r="B212" s="18">
        <v>3</v>
      </c>
      <c r="C212" s="78" t="s">
        <v>492</v>
      </c>
      <c r="D212" s="78" t="s">
        <v>493</v>
      </c>
      <c r="E212" s="83" t="s">
        <v>21</v>
      </c>
      <c r="F212" s="83" t="s">
        <v>7</v>
      </c>
      <c r="G212" s="83" t="s">
        <v>55</v>
      </c>
      <c r="H212" s="83" t="s">
        <v>497</v>
      </c>
      <c r="I212" s="83"/>
      <c r="J212" s="15" t="str">
        <f>IF(E212="Invalid_Segment","Invalid",IFERROR(INDEX(Severity_Matrix!$C$3:$M$10,MATCH('Error Log'!$F212,Severity_Matrix!$B$3:$B$10,0),MATCH('Error Log'!$G212,Severity_Matrix!$C$2:$M$2,0)),"No errors"))</f>
        <v>Critical</v>
      </c>
    </row>
    <row r="213" spans="1:10">
      <c r="A213" s="78" t="s">
        <v>498</v>
      </c>
      <c r="B213" s="18">
        <v>1</v>
      </c>
      <c r="C213" s="78" t="s">
        <v>499</v>
      </c>
      <c r="D213" s="78" t="s">
        <v>500</v>
      </c>
      <c r="E213" s="83" t="s">
        <v>21</v>
      </c>
      <c r="F213" s="83" t="s">
        <v>22</v>
      </c>
      <c r="G213" s="83" t="s">
        <v>55</v>
      </c>
      <c r="H213" s="83" t="s">
        <v>501</v>
      </c>
      <c r="I213" s="83"/>
      <c r="J213" s="15" t="str">
        <f>IF(E213="Invalid_Segment","Invalid",IFERROR(INDEX(Severity_Matrix!$C$3:$M$10,MATCH('Error Log'!$F213,Severity_Matrix!$B$3:$B$10,0),MATCH('Error Log'!$G213,Severity_Matrix!$C$2:$M$2,0)),"No errors"))</f>
        <v>Major</v>
      </c>
    </row>
    <row r="214" spans="1:10">
      <c r="A214" s="78" t="s">
        <v>498</v>
      </c>
      <c r="B214" s="18">
        <v>2</v>
      </c>
      <c r="C214" s="78" t="s">
        <v>499</v>
      </c>
      <c r="D214" s="78" t="s">
        <v>500</v>
      </c>
      <c r="E214" s="83" t="s">
        <v>21</v>
      </c>
      <c r="F214" s="83" t="s">
        <v>22</v>
      </c>
      <c r="G214" s="83" t="s">
        <v>55</v>
      </c>
      <c r="H214" s="83" t="s">
        <v>502</v>
      </c>
      <c r="I214" s="83"/>
      <c r="J214" s="15" t="str">
        <f>IF(E214="Invalid_Segment","Invalid",IFERROR(INDEX(Severity_Matrix!$C$3:$M$10,MATCH('Error Log'!$F214,Severity_Matrix!$B$3:$B$10,0),MATCH('Error Log'!$G214,Severity_Matrix!$C$2:$M$2,0)),"No errors"))</f>
        <v>Major</v>
      </c>
    </row>
    <row r="215" spans="1:10">
      <c r="A215" s="78" t="s">
        <v>503</v>
      </c>
      <c r="B215" s="18">
        <v>3</v>
      </c>
      <c r="C215" s="78" t="s">
        <v>499</v>
      </c>
      <c r="D215" s="78" t="s">
        <v>500</v>
      </c>
      <c r="E215" s="83" t="s">
        <v>21</v>
      </c>
      <c r="F215" s="83" t="s">
        <v>7</v>
      </c>
      <c r="G215" s="83" t="s">
        <v>55</v>
      </c>
      <c r="H215" s="83" t="s">
        <v>504</v>
      </c>
      <c r="I215" s="83"/>
      <c r="J215" s="15" t="str">
        <f>IF(E215="Invalid_Segment","Invalid",IFERROR(INDEX(Severity_Matrix!$C$3:$M$10,MATCH('Error Log'!$F215,Severity_Matrix!$B$3:$B$10,0),MATCH('Error Log'!$G215,Severity_Matrix!$C$2:$M$2,0)),"No errors"))</f>
        <v>Critical</v>
      </c>
    </row>
    <row r="216" spans="1:10">
      <c r="A216" s="78" t="s">
        <v>505</v>
      </c>
      <c r="B216" s="18">
        <v>1</v>
      </c>
      <c r="C216" s="78" t="s">
        <v>506</v>
      </c>
      <c r="D216" s="78" t="s">
        <v>507</v>
      </c>
      <c r="E216" s="83" t="s">
        <v>21</v>
      </c>
      <c r="F216" s="83" t="s">
        <v>22</v>
      </c>
      <c r="G216" s="83" t="s">
        <v>55</v>
      </c>
      <c r="H216" s="83" t="s">
        <v>508</v>
      </c>
      <c r="I216" s="83"/>
      <c r="J216" s="15" t="str">
        <f>IF(E216="Invalid_Segment","Invalid",IFERROR(INDEX(Severity_Matrix!$C$3:$M$10,MATCH('Error Log'!$F216,Severity_Matrix!$B$3:$B$10,0),MATCH('Error Log'!$G216,Severity_Matrix!$C$2:$M$2,0)),"No errors"))</f>
        <v>Major</v>
      </c>
    </row>
    <row r="217" spans="1:10">
      <c r="A217" s="78" t="s">
        <v>505</v>
      </c>
      <c r="B217" s="18">
        <v>2</v>
      </c>
      <c r="C217" s="78" t="s">
        <v>506</v>
      </c>
      <c r="D217" s="78" t="s">
        <v>507</v>
      </c>
      <c r="E217" s="83" t="s">
        <v>2</v>
      </c>
      <c r="F217" s="83" t="s">
        <v>26</v>
      </c>
      <c r="G217" s="83" t="s">
        <v>55</v>
      </c>
      <c r="H217" s="83" t="s">
        <v>509</v>
      </c>
      <c r="I217" s="83"/>
      <c r="J217" s="15" t="str">
        <f>IF(E217="Invalid_Segment","Invalid",IFERROR(INDEX(Severity_Matrix!$C$3:$M$10,MATCH('Error Log'!$F217,Severity_Matrix!$B$3:$B$10,0),MATCH('Error Log'!$G217,Severity_Matrix!$C$2:$M$2,0)),"No errors"))</f>
        <v>Major</v>
      </c>
    </row>
    <row r="218" spans="1:10">
      <c r="A218" s="78" t="s">
        <v>510</v>
      </c>
      <c r="B218" s="18">
        <v>3</v>
      </c>
      <c r="C218" s="78" t="s">
        <v>506</v>
      </c>
      <c r="D218" s="78" t="s">
        <v>507</v>
      </c>
      <c r="E218" s="83" t="s">
        <v>21</v>
      </c>
      <c r="F218" s="83" t="s">
        <v>7</v>
      </c>
      <c r="G218" s="83" t="s">
        <v>55</v>
      </c>
      <c r="H218" s="83" t="s">
        <v>511</v>
      </c>
      <c r="I218" s="83"/>
      <c r="J218" s="15" t="str">
        <f>IF(E218="Invalid_Segment","Invalid",IFERROR(INDEX(Severity_Matrix!$C$3:$M$10,MATCH('Error Log'!$F218,Severity_Matrix!$B$3:$B$10,0),MATCH('Error Log'!$G218,Severity_Matrix!$C$2:$M$2,0)),"No errors"))</f>
        <v>Critical</v>
      </c>
    </row>
    <row r="219" spans="1:10">
      <c r="A219" s="78" t="s">
        <v>512</v>
      </c>
      <c r="B219" s="18">
        <v>1</v>
      </c>
      <c r="C219" s="78" t="s">
        <v>513</v>
      </c>
      <c r="D219" s="78" t="s">
        <v>514</v>
      </c>
      <c r="E219" s="83"/>
      <c r="F219" s="83"/>
      <c r="G219" s="83"/>
      <c r="H219" s="83"/>
      <c r="I219" s="83"/>
      <c r="J219" s="15" t="str">
        <f>IF(E219="Invalid_Segment","Invalid",IFERROR(INDEX(Severity_Matrix!$C$3:$M$10,MATCH('Error Log'!$F219,Severity_Matrix!$B$3:$B$10,0),MATCH('Error Log'!$G219,Severity_Matrix!$C$2:$M$2,0)),"No errors"))</f>
        <v>No errors</v>
      </c>
    </row>
    <row r="220" spans="1:10">
      <c r="A220" s="79" t="s">
        <v>515</v>
      </c>
      <c r="B220" s="18">
        <v>1</v>
      </c>
      <c r="C220" s="78" t="s">
        <v>516</v>
      </c>
      <c r="D220" s="86" t="s">
        <v>517</v>
      </c>
      <c r="E220" s="83" t="s">
        <v>21</v>
      </c>
      <c r="F220" s="83" t="s">
        <v>22</v>
      </c>
      <c r="G220" s="83" t="s">
        <v>55</v>
      </c>
      <c r="H220" s="83" t="s">
        <v>518</v>
      </c>
      <c r="I220" s="83"/>
      <c r="J220" s="15" t="str">
        <f>IF(E220="Invalid_Segment","Invalid",IFERROR(INDEX(Severity_Matrix!$C$3:$M$10,MATCH('Error Log'!$F220,Severity_Matrix!$B$3:$B$10,0),MATCH('Error Log'!$G220,Severity_Matrix!$C$2:$M$2,0)),"No errors"))</f>
        <v>Major</v>
      </c>
    </row>
    <row r="221" spans="1:10">
      <c r="A221" s="79" t="s">
        <v>515</v>
      </c>
      <c r="B221" s="18">
        <v>2</v>
      </c>
      <c r="C221" s="78" t="s">
        <v>516</v>
      </c>
      <c r="D221" s="86" t="s">
        <v>517</v>
      </c>
      <c r="E221" s="83" t="s">
        <v>21</v>
      </c>
      <c r="F221" s="83" t="s">
        <v>22</v>
      </c>
      <c r="G221" s="83" t="s">
        <v>55</v>
      </c>
      <c r="H221" s="83" t="s">
        <v>519</v>
      </c>
      <c r="I221" s="83"/>
      <c r="J221" s="15" t="str">
        <f>IF(E221="Invalid_Segment","Invalid",IFERROR(INDEX(Severity_Matrix!$C$3:$M$10,MATCH('Error Log'!$F221,Severity_Matrix!$B$3:$B$10,0),MATCH('Error Log'!$G221,Severity_Matrix!$C$2:$M$2,0)),"No errors"))</f>
        <v>Major</v>
      </c>
    </row>
    <row r="222" spans="1:10">
      <c r="A222" s="79" t="s">
        <v>520</v>
      </c>
      <c r="B222" s="18">
        <v>3</v>
      </c>
      <c r="C222" s="78" t="s">
        <v>516</v>
      </c>
      <c r="D222" s="86" t="s">
        <v>517</v>
      </c>
      <c r="E222" s="83" t="s">
        <v>21</v>
      </c>
      <c r="F222" s="83" t="s">
        <v>7</v>
      </c>
      <c r="G222" s="83" t="s">
        <v>55</v>
      </c>
      <c r="H222" s="83" t="s">
        <v>521</v>
      </c>
      <c r="I222" s="83"/>
      <c r="J222" s="15" t="str">
        <f>IF(E222="Invalid_Segment","Invalid",IFERROR(INDEX(Severity_Matrix!$C$3:$M$10,MATCH('Error Log'!$F222,Severity_Matrix!$B$3:$B$10,0),MATCH('Error Log'!$G222,Severity_Matrix!$C$2:$M$2,0)),"No errors"))</f>
        <v>Critical</v>
      </c>
    </row>
    <row r="223" spans="1:10">
      <c r="A223" s="79" t="s">
        <v>520</v>
      </c>
      <c r="B223" s="18">
        <v>4</v>
      </c>
      <c r="C223" s="78" t="s">
        <v>516</v>
      </c>
      <c r="D223" s="86" t="s">
        <v>517</v>
      </c>
      <c r="E223" s="83" t="s">
        <v>21</v>
      </c>
      <c r="F223" s="83" t="s">
        <v>7</v>
      </c>
      <c r="G223" s="83" t="s">
        <v>55</v>
      </c>
      <c r="H223" s="83" t="s">
        <v>522</v>
      </c>
      <c r="I223" s="83"/>
      <c r="J223" s="15" t="str">
        <f>IF(E223="Invalid_Segment","Invalid",IFERROR(INDEX(Severity_Matrix!$C$3:$M$10,MATCH('Error Log'!$F223,Severity_Matrix!$B$3:$B$10,0),MATCH('Error Log'!$G223,Severity_Matrix!$C$2:$M$2,0)),"No errors"))</f>
        <v>Critical</v>
      </c>
    </row>
    <row r="224" spans="1:10">
      <c r="A224" s="79" t="s">
        <v>523</v>
      </c>
      <c r="B224" s="18">
        <v>1</v>
      </c>
      <c r="C224" s="78" t="s">
        <v>524</v>
      </c>
      <c r="D224" s="86" t="s">
        <v>525</v>
      </c>
      <c r="E224" s="83"/>
      <c r="F224" s="83"/>
      <c r="G224" s="83"/>
      <c r="H224" s="83"/>
      <c r="I224" s="83"/>
      <c r="J224" s="15" t="str">
        <f>IF(E224="Invalid_Segment","Invalid",IFERROR(INDEX(Severity_Matrix!$C$3:$M$10,MATCH('Error Log'!$F224,Severity_Matrix!$B$3:$B$10,0),MATCH('Error Log'!$G224,Severity_Matrix!$C$2:$M$2,0)),"No errors"))</f>
        <v>No errors</v>
      </c>
    </row>
    <row r="225" spans="1:10">
      <c r="A225" s="79" t="s">
        <v>526</v>
      </c>
      <c r="B225" s="18">
        <v>1</v>
      </c>
      <c r="C225" s="78" t="s">
        <v>527</v>
      </c>
      <c r="D225" s="86" t="s">
        <v>528</v>
      </c>
      <c r="E225" s="83" t="s">
        <v>21</v>
      </c>
      <c r="F225" s="83" t="s">
        <v>22</v>
      </c>
      <c r="G225" s="83" t="s">
        <v>55</v>
      </c>
      <c r="H225" s="83" t="s">
        <v>529</v>
      </c>
      <c r="I225" s="83"/>
      <c r="J225" s="15" t="str">
        <f>IF(E225="Invalid_Segment","Invalid",IFERROR(INDEX(Severity_Matrix!$C$3:$M$10,MATCH('Error Log'!$F225,Severity_Matrix!$B$3:$B$10,0),MATCH('Error Log'!$G225,Severity_Matrix!$C$2:$M$2,0)),"No errors"))</f>
        <v>Major</v>
      </c>
    </row>
    <row r="226" spans="1:10">
      <c r="A226" s="79" t="s">
        <v>526</v>
      </c>
      <c r="B226" s="18">
        <v>2</v>
      </c>
      <c r="C226" s="78" t="s">
        <v>527</v>
      </c>
      <c r="D226" s="86" t="s">
        <v>528</v>
      </c>
      <c r="E226" s="83" t="s">
        <v>21</v>
      </c>
      <c r="F226" s="83" t="s">
        <v>7</v>
      </c>
      <c r="G226" s="83" t="s">
        <v>55</v>
      </c>
      <c r="H226" s="83" t="s">
        <v>530</v>
      </c>
      <c r="I226" s="83"/>
      <c r="J226" s="15" t="str">
        <f>IF(E226="Invalid_Segment","Invalid",IFERROR(INDEX(Severity_Matrix!$C$3:$M$10,MATCH('Error Log'!$F226,Severity_Matrix!$B$3:$B$10,0),MATCH('Error Log'!$G226,Severity_Matrix!$C$2:$M$2,0)),"No errors"))</f>
        <v>Critical</v>
      </c>
    </row>
    <row r="227" spans="1:10">
      <c r="A227" s="79" t="s">
        <v>531</v>
      </c>
      <c r="B227" s="18">
        <v>1</v>
      </c>
      <c r="C227" s="78" t="s">
        <v>532</v>
      </c>
      <c r="D227" s="86" t="s">
        <v>533</v>
      </c>
      <c r="E227" s="83" t="s">
        <v>2</v>
      </c>
      <c r="F227" s="83" t="s">
        <v>26</v>
      </c>
      <c r="G227" s="83" t="s">
        <v>55</v>
      </c>
      <c r="H227" s="83" t="s">
        <v>534</v>
      </c>
      <c r="I227" s="83"/>
      <c r="J227" s="15" t="str">
        <f>IF(E227="Invalid_Segment","Invalid",IFERROR(INDEX(Severity_Matrix!$C$3:$M$10,MATCH('Error Log'!$F227,Severity_Matrix!$B$3:$B$10,0),MATCH('Error Log'!$G227,Severity_Matrix!$C$2:$M$2,0)),"No errors"))</f>
        <v>Major</v>
      </c>
    </row>
    <row r="228" spans="1:10">
      <c r="A228" s="79" t="s">
        <v>531</v>
      </c>
      <c r="B228" s="18">
        <v>2</v>
      </c>
      <c r="C228" s="78" t="s">
        <v>532</v>
      </c>
      <c r="D228" s="86" t="s">
        <v>533</v>
      </c>
      <c r="E228" s="83" t="s">
        <v>21</v>
      </c>
      <c r="F228" s="83" t="s">
        <v>22</v>
      </c>
      <c r="G228" s="83" t="s">
        <v>55</v>
      </c>
      <c r="H228" s="85" t="s">
        <v>535</v>
      </c>
      <c r="I228" s="83"/>
      <c r="J228" s="15" t="str">
        <f>IF(E228="Invalid_Segment","Invalid",IFERROR(INDEX(Severity_Matrix!$C$3:$M$10,MATCH('Error Log'!$F228,Severity_Matrix!$B$3:$B$10,0),MATCH('Error Log'!$G228,Severity_Matrix!$C$2:$M$2,0)),"No errors"))</f>
        <v>Major</v>
      </c>
    </row>
    <row r="229" spans="1:10">
      <c r="A229" s="79" t="s">
        <v>536</v>
      </c>
      <c r="B229" s="18">
        <v>3</v>
      </c>
      <c r="C229" s="78" t="s">
        <v>532</v>
      </c>
      <c r="D229" s="86" t="s">
        <v>533</v>
      </c>
      <c r="E229" s="83" t="s">
        <v>21</v>
      </c>
      <c r="F229" s="83" t="s">
        <v>7</v>
      </c>
      <c r="G229" s="83" t="s">
        <v>55</v>
      </c>
      <c r="H229" s="83" t="s">
        <v>537</v>
      </c>
      <c r="I229" s="83"/>
      <c r="J229" s="15" t="str">
        <f>IF(E229="Invalid_Segment","Invalid",IFERROR(INDEX(Severity_Matrix!$C$3:$M$10,MATCH('Error Log'!$F229,Severity_Matrix!$B$3:$B$10,0),MATCH('Error Log'!$G229,Severity_Matrix!$C$2:$M$2,0)),"No errors"))</f>
        <v>Critical</v>
      </c>
    </row>
    <row r="230" spans="1:10">
      <c r="A230" s="79" t="s">
        <v>536</v>
      </c>
      <c r="B230" s="18">
        <v>4</v>
      </c>
      <c r="C230" s="78" t="s">
        <v>532</v>
      </c>
      <c r="D230" s="86" t="s">
        <v>533</v>
      </c>
      <c r="E230" s="83" t="s">
        <v>21</v>
      </c>
      <c r="F230" s="83" t="s">
        <v>7</v>
      </c>
      <c r="G230" s="83" t="s">
        <v>55</v>
      </c>
      <c r="H230" s="83" t="s">
        <v>538</v>
      </c>
      <c r="I230" s="83"/>
      <c r="J230" s="15" t="str">
        <f>IF(E230="Invalid_Segment","Invalid",IFERROR(INDEX(Severity_Matrix!$C$3:$M$10,MATCH('Error Log'!$F230,Severity_Matrix!$B$3:$B$10,0),MATCH('Error Log'!$G230,Severity_Matrix!$C$2:$M$2,0)),"No errors"))</f>
        <v>Critical</v>
      </c>
    </row>
    <row r="231" spans="1:10">
      <c r="A231" s="79" t="s">
        <v>539</v>
      </c>
      <c r="B231" s="18">
        <v>1</v>
      </c>
      <c r="C231" s="78" t="s">
        <v>540</v>
      </c>
      <c r="D231" s="86" t="s">
        <v>541</v>
      </c>
      <c r="E231" s="83" t="s">
        <v>2</v>
      </c>
      <c r="F231" s="83" t="s">
        <v>26</v>
      </c>
      <c r="G231" s="83" t="s">
        <v>55</v>
      </c>
      <c r="H231" s="83" t="s">
        <v>542</v>
      </c>
      <c r="I231" s="83"/>
      <c r="J231" s="15" t="str">
        <f>IF(E231="Invalid_Segment","Invalid",IFERROR(INDEX(Severity_Matrix!$C$3:$M$10,MATCH('Error Log'!$F231,Severity_Matrix!$B$3:$B$10,0),MATCH('Error Log'!$G231,Severity_Matrix!$C$2:$M$2,0)),"No errors"))</f>
        <v>Major</v>
      </c>
    </row>
    <row r="232" spans="1:10">
      <c r="A232" s="79" t="s">
        <v>539</v>
      </c>
      <c r="B232" s="18">
        <v>2</v>
      </c>
      <c r="C232" s="78" t="s">
        <v>540</v>
      </c>
      <c r="D232" s="86" t="s">
        <v>541</v>
      </c>
      <c r="E232" s="83" t="s">
        <v>21</v>
      </c>
      <c r="F232" s="83" t="s">
        <v>22</v>
      </c>
      <c r="G232" s="83" t="s">
        <v>55</v>
      </c>
      <c r="H232" s="83" t="s">
        <v>543</v>
      </c>
      <c r="I232" s="83"/>
      <c r="J232" s="15" t="str">
        <f>IF(E232="Invalid_Segment","Invalid",IFERROR(INDEX(Severity_Matrix!$C$3:$M$10,MATCH('Error Log'!$F232,Severity_Matrix!$B$3:$B$10,0),MATCH('Error Log'!$G232,Severity_Matrix!$C$2:$M$2,0)),"No errors"))</f>
        <v>Major</v>
      </c>
    </row>
    <row r="233" spans="1:10">
      <c r="A233" s="79" t="s">
        <v>544</v>
      </c>
      <c r="B233" s="18">
        <v>3</v>
      </c>
      <c r="C233" s="78" t="s">
        <v>540</v>
      </c>
      <c r="D233" s="86" t="s">
        <v>541</v>
      </c>
      <c r="E233" s="83" t="s">
        <v>21</v>
      </c>
      <c r="F233" s="83" t="s">
        <v>7</v>
      </c>
      <c r="G233" s="83" t="s">
        <v>55</v>
      </c>
      <c r="H233" s="83" t="s">
        <v>545</v>
      </c>
      <c r="I233" s="83"/>
      <c r="J233" s="15" t="str">
        <f>IF(E233="Invalid_Segment","Invalid",IFERROR(INDEX(Severity_Matrix!$C$3:$M$10,MATCH('Error Log'!$F233,Severity_Matrix!$B$3:$B$10,0),MATCH('Error Log'!$G233,Severity_Matrix!$C$2:$M$2,0)),"No errors"))</f>
        <v>Critical</v>
      </c>
    </row>
    <row r="234" spans="1:10">
      <c r="A234" s="79" t="s">
        <v>546</v>
      </c>
      <c r="B234" s="18">
        <v>1</v>
      </c>
      <c r="C234" s="78" t="s">
        <v>547</v>
      </c>
      <c r="D234" s="86" t="s">
        <v>548</v>
      </c>
      <c r="E234" s="83" t="s">
        <v>21</v>
      </c>
      <c r="F234" s="83" t="s">
        <v>22</v>
      </c>
      <c r="G234" s="83" t="s">
        <v>55</v>
      </c>
      <c r="H234" s="83" t="s">
        <v>549</v>
      </c>
      <c r="I234" s="83"/>
      <c r="J234" s="15" t="str">
        <f>IF(E234="Invalid_Segment","Invalid",IFERROR(INDEX(Severity_Matrix!$C$3:$M$10,MATCH('Error Log'!$F234,Severity_Matrix!$B$3:$B$10,0),MATCH('Error Log'!$G234,Severity_Matrix!$C$2:$M$2,0)),"No errors"))</f>
        <v>Major</v>
      </c>
    </row>
    <row r="235" spans="1:10">
      <c r="A235" s="79" t="s">
        <v>546</v>
      </c>
      <c r="B235" s="18">
        <v>2</v>
      </c>
      <c r="C235" s="78" t="s">
        <v>871</v>
      </c>
      <c r="D235" s="86" t="s">
        <v>550</v>
      </c>
      <c r="E235" s="83" t="s">
        <v>21</v>
      </c>
      <c r="F235" s="83" t="s">
        <v>22</v>
      </c>
      <c r="G235" s="83" t="s">
        <v>28</v>
      </c>
      <c r="H235" s="83" t="s">
        <v>551</v>
      </c>
      <c r="I235" s="83"/>
      <c r="J235" s="15" t="str">
        <f>IF(E235="Invalid_Segment","Invalid",IFERROR(INDEX(Severity_Matrix!$C$3:$M$10,MATCH('Error Log'!$F235,Severity_Matrix!$B$3:$B$10,0),MATCH('Error Log'!$G235,Severity_Matrix!$C$2:$M$2,0)),"No errors"))</f>
        <v>Major</v>
      </c>
    </row>
    <row r="236" spans="1:10">
      <c r="A236" s="79" t="s">
        <v>552</v>
      </c>
      <c r="B236" s="18">
        <v>3</v>
      </c>
      <c r="C236" s="78" t="s">
        <v>872</v>
      </c>
      <c r="D236" s="86" t="s">
        <v>553</v>
      </c>
      <c r="E236" s="83" t="s">
        <v>21</v>
      </c>
      <c r="F236" s="83" t="s">
        <v>22</v>
      </c>
      <c r="G236" s="83" t="s">
        <v>28</v>
      </c>
      <c r="H236" s="83" t="s">
        <v>481</v>
      </c>
      <c r="I236" s="83"/>
      <c r="J236" s="15" t="str">
        <f>IF(E236="Invalid_Segment","Invalid",IFERROR(INDEX(Severity_Matrix!$C$3:$M$10,MATCH('Error Log'!$F236,Severity_Matrix!$B$3:$B$10,0),MATCH('Error Log'!$G236,Severity_Matrix!$C$2:$M$2,0)),"No errors"))</f>
        <v>Major</v>
      </c>
    </row>
    <row r="237" spans="1:10" ht="15.6">
      <c r="A237" s="79" t="s">
        <v>552</v>
      </c>
      <c r="B237" s="18">
        <v>4</v>
      </c>
      <c r="C237" s="78" t="s">
        <v>873</v>
      </c>
      <c r="D237" s="86" t="s">
        <v>554</v>
      </c>
      <c r="E237" s="83" t="s">
        <v>21</v>
      </c>
      <c r="F237" s="83" t="s">
        <v>7</v>
      </c>
      <c r="G237" s="83" t="s">
        <v>55</v>
      </c>
      <c r="H237" s="83" t="s">
        <v>555</v>
      </c>
      <c r="I237" s="83"/>
      <c r="J237" s="15" t="str">
        <f>IF(E237="Invalid_Segment","Invalid",IFERROR(INDEX(Severity_Matrix!$C$3:$M$10,MATCH('Error Log'!$F237,Severity_Matrix!$B$3:$B$10,0),MATCH('Error Log'!$G237,Severity_Matrix!$C$2:$M$2,0)),"No errors"))</f>
        <v>Critical</v>
      </c>
    </row>
    <row r="238" spans="1:10">
      <c r="A238" s="79" t="s">
        <v>552</v>
      </c>
      <c r="B238" s="18">
        <v>5</v>
      </c>
      <c r="C238" s="78" t="s">
        <v>874</v>
      </c>
      <c r="D238" s="86" t="s">
        <v>556</v>
      </c>
      <c r="E238" s="83" t="s">
        <v>21</v>
      </c>
      <c r="F238" s="83" t="s">
        <v>7</v>
      </c>
      <c r="G238" s="83" t="s">
        <v>55</v>
      </c>
      <c r="H238" s="83" t="s">
        <v>557</v>
      </c>
      <c r="I238" s="83"/>
      <c r="J238" s="15" t="str">
        <f>IF(E238="Invalid_Segment","Invalid",IFERROR(INDEX(Severity_Matrix!$C$3:$M$10,MATCH('Error Log'!$F238,Severity_Matrix!$B$3:$B$10,0),MATCH('Error Log'!$G238,Severity_Matrix!$C$2:$M$2,0)),"No errors"))</f>
        <v>Critical</v>
      </c>
    </row>
    <row r="239" spans="1:10">
      <c r="A239" s="79" t="s">
        <v>558</v>
      </c>
      <c r="B239" s="18">
        <v>1</v>
      </c>
      <c r="C239" s="78" t="s">
        <v>559</v>
      </c>
      <c r="D239" s="86" t="s">
        <v>560</v>
      </c>
      <c r="E239" s="83" t="s">
        <v>21</v>
      </c>
      <c r="F239" s="83" t="s">
        <v>22</v>
      </c>
      <c r="G239" s="83" t="s">
        <v>28</v>
      </c>
      <c r="H239" s="83" t="s">
        <v>561</v>
      </c>
      <c r="I239" s="83"/>
      <c r="J239" s="15" t="str">
        <f>IF(E239="Invalid_Segment","Invalid",IFERROR(INDEX(Severity_Matrix!$C$3:$M$10,MATCH('Error Log'!$F239,Severity_Matrix!$B$3:$B$10,0),MATCH('Error Log'!$G239,Severity_Matrix!$C$2:$M$2,0)),"No errors"))</f>
        <v>Major</v>
      </c>
    </row>
    <row r="240" spans="1:10">
      <c r="A240" s="79" t="s">
        <v>562</v>
      </c>
      <c r="B240" s="18">
        <v>1</v>
      </c>
      <c r="C240" s="78" t="s">
        <v>563</v>
      </c>
      <c r="D240" s="86" t="s">
        <v>564</v>
      </c>
      <c r="E240" s="83" t="s">
        <v>21</v>
      </c>
      <c r="F240" s="83" t="s">
        <v>22</v>
      </c>
      <c r="G240" s="83" t="s">
        <v>28</v>
      </c>
      <c r="H240" s="83" t="s">
        <v>481</v>
      </c>
      <c r="I240" s="83"/>
      <c r="J240" s="15" t="str">
        <f>IF(E240="Invalid_Segment","Invalid",IFERROR(INDEX(Severity_Matrix!$C$3:$M$10,MATCH('Error Log'!$F240,Severity_Matrix!$B$3:$B$10,0),MATCH('Error Log'!$G240,Severity_Matrix!$C$2:$M$2,0)),"No errors"))</f>
        <v>Major</v>
      </c>
    </row>
    <row r="241" spans="1:10">
      <c r="A241" s="79" t="s">
        <v>562</v>
      </c>
      <c r="B241" s="18">
        <v>2</v>
      </c>
      <c r="C241" s="78" t="s">
        <v>875</v>
      </c>
      <c r="D241" s="86" t="s">
        <v>565</v>
      </c>
      <c r="E241" s="83" t="s">
        <v>21</v>
      </c>
      <c r="F241" s="83" t="s">
        <v>22</v>
      </c>
      <c r="G241" s="83" t="s">
        <v>55</v>
      </c>
      <c r="H241" s="83" t="s">
        <v>566</v>
      </c>
      <c r="I241" s="83"/>
      <c r="J241" s="15" t="str">
        <f>IF(E241="Invalid_Segment","Invalid",IFERROR(INDEX(Severity_Matrix!$C$3:$M$10,MATCH('Error Log'!$F241,Severity_Matrix!$B$3:$B$10,0),MATCH('Error Log'!$G241,Severity_Matrix!$C$2:$M$2,0)),"No errors"))</f>
        <v>Major</v>
      </c>
    </row>
    <row r="242" spans="1:10">
      <c r="A242" s="79" t="s">
        <v>567</v>
      </c>
      <c r="B242" s="18">
        <v>3</v>
      </c>
      <c r="C242" s="78" t="s">
        <v>876</v>
      </c>
      <c r="D242" s="86" t="s">
        <v>568</v>
      </c>
      <c r="E242" s="83" t="s">
        <v>21</v>
      </c>
      <c r="F242" s="83" t="s">
        <v>22</v>
      </c>
      <c r="G242" s="83" t="s">
        <v>55</v>
      </c>
      <c r="H242" s="83" t="s">
        <v>569</v>
      </c>
      <c r="I242" s="83"/>
      <c r="J242" s="15" t="str">
        <f>IF(E242="Invalid_Segment","Invalid",IFERROR(INDEX(Severity_Matrix!$C$3:$M$10,MATCH('Error Log'!$F242,Severity_Matrix!$B$3:$B$10,0),MATCH('Error Log'!$G242,Severity_Matrix!$C$2:$M$2,0)),"No errors"))</f>
        <v>Major</v>
      </c>
    </row>
    <row r="243" spans="1:10">
      <c r="A243" s="79" t="s">
        <v>567</v>
      </c>
      <c r="B243" s="18">
        <v>4</v>
      </c>
      <c r="C243" s="78" t="s">
        <v>877</v>
      </c>
      <c r="D243" s="86" t="s">
        <v>570</v>
      </c>
      <c r="E243" s="83" t="s">
        <v>21</v>
      </c>
      <c r="F243" s="83" t="s">
        <v>7</v>
      </c>
      <c r="G243" s="83" t="s">
        <v>55</v>
      </c>
      <c r="H243" s="83" t="s">
        <v>571</v>
      </c>
      <c r="I243" s="83"/>
      <c r="J243" s="15" t="str">
        <f>IF(E243="Invalid_Segment","Invalid",IFERROR(INDEX(Severity_Matrix!$C$3:$M$10,MATCH('Error Log'!$F243,Severity_Matrix!$B$3:$B$10,0),MATCH('Error Log'!$G243,Severity_Matrix!$C$2:$M$2,0)),"No errors"))</f>
        <v>Critical</v>
      </c>
    </row>
    <row r="244" spans="1:10">
      <c r="A244" s="79" t="s">
        <v>567</v>
      </c>
      <c r="B244" s="18">
        <v>5</v>
      </c>
      <c r="C244" s="78" t="s">
        <v>878</v>
      </c>
      <c r="D244" s="86" t="s">
        <v>572</v>
      </c>
      <c r="E244" s="83" t="s">
        <v>21</v>
      </c>
      <c r="F244" s="83" t="s">
        <v>7</v>
      </c>
      <c r="G244" s="83" t="s">
        <v>55</v>
      </c>
      <c r="H244" s="83" t="s">
        <v>573</v>
      </c>
      <c r="I244" s="83"/>
      <c r="J244" s="15" t="str">
        <f>IF(E244="Invalid_Segment","Invalid",IFERROR(INDEX(Severity_Matrix!$C$3:$M$10,MATCH('Error Log'!$F244,Severity_Matrix!$B$3:$B$10,0),MATCH('Error Log'!$G244,Severity_Matrix!$C$2:$M$2,0)),"No errors"))</f>
        <v>Critical</v>
      </c>
    </row>
    <row r="245" spans="1:10">
      <c r="A245" s="79" t="s">
        <v>574</v>
      </c>
      <c r="B245" s="18">
        <v>1</v>
      </c>
      <c r="C245" s="78" t="s">
        <v>575</v>
      </c>
      <c r="D245" s="86" t="s">
        <v>576</v>
      </c>
      <c r="E245" s="83" t="s">
        <v>21</v>
      </c>
      <c r="F245" s="83" t="s">
        <v>22</v>
      </c>
      <c r="G245" s="83" t="s">
        <v>55</v>
      </c>
      <c r="H245" s="83" t="s">
        <v>577</v>
      </c>
      <c r="I245" s="83"/>
      <c r="J245" s="15" t="str">
        <f>IF(E245="Invalid_Segment","Invalid",IFERROR(INDEX(Severity_Matrix!$C$3:$M$10,MATCH('Error Log'!$F245,Severity_Matrix!$B$3:$B$10,0),MATCH('Error Log'!$G245,Severity_Matrix!$C$2:$M$2,0)),"No errors"))</f>
        <v>Major</v>
      </c>
    </row>
    <row r="246" spans="1:10">
      <c r="A246" s="79" t="s">
        <v>574</v>
      </c>
      <c r="B246" s="18">
        <v>2</v>
      </c>
      <c r="C246" s="78" t="s">
        <v>575</v>
      </c>
      <c r="D246" s="86" t="s">
        <v>576</v>
      </c>
      <c r="E246" s="83" t="s">
        <v>21</v>
      </c>
      <c r="F246" s="83" t="s">
        <v>7</v>
      </c>
      <c r="G246" s="83" t="s">
        <v>55</v>
      </c>
      <c r="H246" s="83" t="s">
        <v>578</v>
      </c>
      <c r="I246" s="83"/>
      <c r="J246" s="15" t="str">
        <f>IF(E246="Invalid_Segment","Invalid",IFERROR(INDEX(Severity_Matrix!$C$3:$M$10,MATCH('Error Log'!$F246,Severity_Matrix!$B$3:$B$10,0),MATCH('Error Log'!$G246,Severity_Matrix!$C$2:$M$2,0)),"No errors"))</f>
        <v>Critical</v>
      </c>
    </row>
    <row r="247" spans="1:10">
      <c r="A247" s="79" t="s">
        <v>579</v>
      </c>
      <c r="B247" s="18">
        <v>3</v>
      </c>
      <c r="C247" s="78" t="s">
        <v>575</v>
      </c>
      <c r="D247" s="86" t="s">
        <v>576</v>
      </c>
      <c r="E247" s="83" t="s">
        <v>21</v>
      </c>
      <c r="F247" s="83" t="s">
        <v>7</v>
      </c>
      <c r="G247" s="83" t="s">
        <v>55</v>
      </c>
      <c r="H247" s="83" t="s">
        <v>580</v>
      </c>
      <c r="I247" s="83"/>
      <c r="J247" s="15" t="str">
        <f>IF(E247="Invalid_Segment","Invalid",IFERROR(INDEX(Severity_Matrix!$C$3:$M$10,MATCH('Error Log'!$F247,Severity_Matrix!$B$3:$B$10,0),MATCH('Error Log'!$G247,Severity_Matrix!$C$2:$M$2,0)),"No errors"))</f>
        <v>Critical</v>
      </c>
    </row>
    <row r="248" spans="1:10">
      <c r="A248" s="79" t="s">
        <v>581</v>
      </c>
      <c r="B248" s="18">
        <v>1</v>
      </c>
      <c r="C248" s="78" t="s">
        <v>582</v>
      </c>
      <c r="D248" s="86" t="s">
        <v>583</v>
      </c>
      <c r="E248" s="83" t="s">
        <v>21</v>
      </c>
      <c r="F248" s="83" t="s">
        <v>22</v>
      </c>
      <c r="G248" s="83" t="s">
        <v>55</v>
      </c>
      <c r="H248" s="83" t="s">
        <v>584</v>
      </c>
      <c r="I248" s="83"/>
      <c r="J248" s="15" t="str">
        <f>IF(E248="Invalid_Segment","Invalid",IFERROR(INDEX(Severity_Matrix!$C$3:$M$10,MATCH('Error Log'!$F248,Severity_Matrix!$B$3:$B$10,0),MATCH('Error Log'!$G248,Severity_Matrix!$C$2:$M$2,0)),"No errors"))</f>
        <v>Major</v>
      </c>
    </row>
    <row r="249" spans="1:10">
      <c r="A249" s="79" t="s">
        <v>581</v>
      </c>
      <c r="B249" s="18">
        <v>2</v>
      </c>
      <c r="C249" s="78" t="s">
        <v>582</v>
      </c>
      <c r="D249" s="86" t="s">
        <v>583</v>
      </c>
      <c r="E249" s="83" t="s">
        <v>21</v>
      </c>
      <c r="F249" s="83" t="s">
        <v>7</v>
      </c>
      <c r="G249" s="83" t="s">
        <v>55</v>
      </c>
      <c r="H249" s="83" t="s">
        <v>585</v>
      </c>
      <c r="I249" s="83"/>
      <c r="J249" s="15" t="str">
        <f>IF(E249="Invalid_Segment","Invalid",IFERROR(INDEX(Severity_Matrix!$C$3:$M$10,MATCH('Error Log'!$F249,Severity_Matrix!$B$3:$B$10,0),MATCH('Error Log'!$G249,Severity_Matrix!$C$2:$M$2,0)),"No errors"))</f>
        <v>Critical</v>
      </c>
    </row>
    <row r="250" spans="1:10">
      <c r="A250" s="79" t="s">
        <v>586</v>
      </c>
      <c r="B250" s="18">
        <v>1</v>
      </c>
      <c r="C250" s="78" t="s">
        <v>587</v>
      </c>
      <c r="D250" s="86" t="s">
        <v>588</v>
      </c>
      <c r="E250" s="83"/>
      <c r="F250" s="83"/>
      <c r="G250" s="83"/>
      <c r="H250" s="83"/>
      <c r="I250" s="83"/>
      <c r="J250" s="15" t="str">
        <f>IF(E250="Invalid_Segment","Invalid",IFERROR(INDEX(Severity_Matrix!$C$3:$M$10,MATCH('Error Log'!$F250,Severity_Matrix!$B$3:$B$10,0),MATCH('Error Log'!$G250,Severity_Matrix!$C$2:$M$2,0)),"No errors"))</f>
        <v>No errors</v>
      </c>
    </row>
    <row r="251" spans="1:10">
      <c r="A251" s="79" t="s">
        <v>589</v>
      </c>
      <c r="B251" s="18">
        <v>1</v>
      </c>
      <c r="C251" s="78" t="s">
        <v>590</v>
      </c>
      <c r="D251" s="86" t="s">
        <v>591</v>
      </c>
      <c r="E251" s="83" t="s">
        <v>21</v>
      </c>
      <c r="F251" s="83" t="s">
        <v>22</v>
      </c>
      <c r="G251" s="83" t="s">
        <v>55</v>
      </c>
      <c r="H251" s="83" t="s">
        <v>592</v>
      </c>
      <c r="I251" s="83"/>
      <c r="J251" s="15" t="str">
        <f>IF(E251="Invalid_Segment","Invalid",IFERROR(INDEX(Severity_Matrix!$C$3:$M$10,MATCH('Error Log'!$F251,Severity_Matrix!$B$3:$B$10,0),MATCH('Error Log'!$G251,Severity_Matrix!$C$2:$M$2,0)),"No errors"))</f>
        <v>Major</v>
      </c>
    </row>
    <row r="252" spans="1:10">
      <c r="A252" s="79" t="s">
        <v>589</v>
      </c>
      <c r="B252" s="18">
        <v>2</v>
      </c>
      <c r="C252" s="78" t="s">
        <v>879</v>
      </c>
      <c r="D252" s="86" t="s">
        <v>593</v>
      </c>
      <c r="E252" s="83" t="s">
        <v>21</v>
      </c>
      <c r="F252" s="83" t="s">
        <v>7</v>
      </c>
      <c r="G252" s="83" t="s">
        <v>55</v>
      </c>
      <c r="H252" s="83" t="s">
        <v>594</v>
      </c>
      <c r="I252" s="83"/>
      <c r="J252" s="15" t="str">
        <f>IF(E252="Invalid_Segment","Invalid",IFERROR(INDEX(Severity_Matrix!$C$3:$M$10,MATCH('Error Log'!$F252,Severity_Matrix!$B$3:$B$10,0),MATCH('Error Log'!$G252,Severity_Matrix!$C$2:$M$2,0)),"No errors"))</f>
        <v>Critical</v>
      </c>
    </row>
    <row r="253" spans="1:10">
      <c r="A253" s="79" t="s">
        <v>595</v>
      </c>
      <c r="B253" s="18">
        <v>3</v>
      </c>
      <c r="C253" s="78" t="s">
        <v>880</v>
      </c>
      <c r="D253" s="86" t="s">
        <v>596</v>
      </c>
      <c r="E253" s="83" t="s">
        <v>21</v>
      </c>
      <c r="F253" s="83" t="s">
        <v>7</v>
      </c>
      <c r="G253" s="83" t="s">
        <v>55</v>
      </c>
      <c r="H253" s="83" t="s">
        <v>597</v>
      </c>
      <c r="I253" s="83"/>
      <c r="J253" s="15" t="str">
        <f>IF(E253="Invalid_Segment","Invalid",IFERROR(INDEX(Severity_Matrix!$C$3:$M$10,MATCH('Error Log'!$F253,Severity_Matrix!$B$3:$B$10,0),MATCH('Error Log'!$G253,Severity_Matrix!$C$2:$M$2,0)),"No errors"))</f>
        <v>Critical</v>
      </c>
    </row>
    <row r="254" spans="1:10">
      <c r="A254" s="79" t="s">
        <v>598</v>
      </c>
      <c r="B254" s="18">
        <v>1</v>
      </c>
      <c r="C254" s="78" t="s">
        <v>599</v>
      </c>
      <c r="D254" s="86" t="s">
        <v>600</v>
      </c>
      <c r="E254" s="83" t="s">
        <v>21</v>
      </c>
      <c r="F254" s="83" t="s">
        <v>22</v>
      </c>
      <c r="G254" s="83" t="s">
        <v>55</v>
      </c>
      <c r="H254" s="83" t="s">
        <v>601</v>
      </c>
      <c r="I254" s="83"/>
      <c r="J254" s="15" t="str">
        <f>IF(E254="Invalid_Segment","Invalid",IFERROR(INDEX(Severity_Matrix!$C$3:$M$10,MATCH('Error Log'!$F254,Severity_Matrix!$B$3:$B$10,0),MATCH('Error Log'!$G254,Severity_Matrix!$C$2:$M$2,0)),"No errors"))</f>
        <v>Major</v>
      </c>
    </row>
    <row r="255" spans="1:10">
      <c r="A255" s="79" t="s">
        <v>598</v>
      </c>
      <c r="B255" s="18">
        <v>2</v>
      </c>
      <c r="C255" s="78" t="s">
        <v>881</v>
      </c>
      <c r="D255" s="86" t="s">
        <v>600</v>
      </c>
      <c r="E255" s="83" t="s">
        <v>21</v>
      </c>
      <c r="F255" s="83" t="s">
        <v>7</v>
      </c>
      <c r="G255" s="83" t="s">
        <v>55</v>
      </c>
      <c r="H255" s="83" t="s">
        <v>602</v>
      </c>
      <c r="I255" s="83"/>
      <c r="J255" s="15" t="str">
        <f>IF(E255="Invalid_Segment","Invalid",IFERROR(INDEX(Severity_Matrix!$C$3:$M$10,MATCH('Error Log'!$F255,Severity_Matrix!$B$3:$B$10,0),MATCH('Error Log'!$G255,Severity_Matrix!$C$2:$M$2,0)),"No errors"))</f>
        <v>Critical</v>
      </c>
    </row>
    <row r="256" spans="1:10">
      <c r="A256" s="79" t="s">
        <v>603</v>
      </c>
      <c r="B256" s="18">
        <v>3</v>
      </c>
      <c r="C256" s="78" t="s">
        <v>882</v>
      </c>
      <c r="D256" s="86" t="s">
        <v>600</v>
      </c>
      <c r="E256" s="83" t="s">
        <v>21</v>
      </c>
      <c r="F256" s="83" t="s">
        <v>7</v>
      </c>
      <c r="G256" s="83" t="s">
        <v>55</v>
      </c>
      <c r="H256" s="83" t="s">
        <v>604</v>
      </c>
      <c r="I256" s="83"/>
      <c r="J256" s="15" t="str">
        <f>IF(E256="Invalid_Segment","Invalid",IFERROR(INDEX(Severity_Matrix!$C$3:$M$10,MATCH('Error Log'!$F256,Severity_Matrix!$B$3:$B$10,0),MATCH('Error Log'!$G256,Severity_Matrix!$C$2:$M$2,0)),"No errors"))</f>
        <v>Critical</v>
      </c>
    </row>
    <row r="257" spans="1:10">
      <c r="A257" s="79" t="s">
        <v>605</v>
      </c>
      <c r="B257" s="18">
        <v>1</v>
      </c>
      <c r="C257" s="78" t="s">
        <v>606</v>
      </c>
      <c r="D257" s="86" t="s">
        <v>607</v>
      </c>
      <c r="E257" s="83" t="s">
        <v>21</v>
      </c>
      <c r="F257" s="83" t="s">
        <v>22</v>
      </c>
      <c r="G257" s="83" t="s">
        <v>55</v>
      </c>
      <c r="H257" s="83" t="s">
        <v>608</v>
      </c>
      <c r="I257" s="83"/>
      <c r="J257" s="15" t="str">
        <f>IF(E257="Invalid_Segment","Invalid",IFERROR(INDEX(Severity_Matrix!$C$3:$M$10,MATCH('Error Log'!$F257,Severity_Matrix!$B$3:$B$10,0),MATCH('Error Log'!$G257,Severity_Matrix!$C$2:$M$2,0)),"No errors"))</f>
        <v>Major</v>
      </c>
    </row>
    <row r="258" spans="1:10">
      <c r="A258" s="79" t="s">
        <v>605</v>
      </c>
      <c r="B258" s="18">
        <v>2</v>
      </c>
      <c r="C258" s="78" t="s">
        <v>606</v>
      </c>
      <c r="D258" s="86" t="s">
        <v>607</v>
      </c>
      <c r="E258" s="83" t="s">
        <v>21</v>
      </c>
      <c r="F258" s="83" t="s">
        <v>7</v>
      </c>
      <c r="G258" s="83" t="s">
        <v>55</v>
      </c>
      <c r="H258" s="83" t="s">
        <v>609</v>
      </c>
      <c r="I258" s="83"/>
      <c r="J258" s="15" t="str">
        <f>IF(E258="Invalid_Segment","Invalid",IFERROR(INDEX(Severity_Matrix!$C$3:$M$10,MATCH('Error Log'!$F258,Severity_Matrix!$B$3:$B$10,0),MATCH('Error Log'!$G258,Severity_Matrix!$C$2:$M$2,0)),"No errors"))</f>
        <v>Critical</v>
      </c>
    </row>
    <row r="259" spans="1:10">
      <c r="A259" s="79" t="s">
        <v>610</v>
      </c>
      <c r="B259" s="18">
        <v>1</v>
      </c>
      <c r="C259" s="78" t="s">
        <v>611</v>
      </c>
      <c r="D259" s="86" t="s">
        <v>612</v>
      </c>
      <c r="E259" s="83" t="s">
        <v>21</v>
      </c>
      <c r="F259" s="83" t="s">
        <v>7</v>
      </c>
      <c r="G259" s="83" t="s">
        <v>55</v>
      </c>
      <c r="H259" s="83" t="s">
        <v>613</v>
      </c>
      <c r="I259" s="83"/>
      <c r="J259" s="15" t="str">
        <f>IF(E259="Invalid_Segment","Invalid",IFERROR(INDEX(Severity_Matrix!$C$3:$M$10,MATCH('Error Log'!$F259,Severity_Matrix!$B$3:$B$10,0),MATCH('Error Log'!$G259,Severity_Matrix!$C$2:$M$2,0)),"No errors"))</f>
        <v>Critical</v>
      </c>
    </row>
    <row r="260" spans="1:10">
      <c r="A260" s="79" t="s">
        <v>614</v>
      </c>
      <c r="B260" s="18">
        <v>1</v>
      </c>
      <c r="C260" s="78" t="s">
        <v>615</v>
      </c>
      <c r="D260" s="86" t="s">
        <v>616</v>
      </c>
      <c r="E260" s="83" t="s">
        <v>21</v>
      </c>
      <c r="F260" s="83" t="s">
        <v>22</v>
      </c>
      <c r="G260" s="83" t="s">
        <v>55</v>
      </c>
      <c r="H260" s="83" t="s">
        <v>617</v>
      </c>
      <c r="I260" s="83"/>
      <c r="J260" s="15" t="str">
        <f>IF(E260="Invalid_Segment","Invalid",IFERROR(INDEX(Severity_Matrix!$C$3:$M$10,MATCH('Error Log'!$F260,Severity_Matrix!$B$3:$B$10,0),MATCH('Error Log'!$G260,Severity_Matrix!$C$2:$M$2,0)),"No errors"))</f>
        <v>Major</v>
      </c>
    </row>
    <row r="261" spans="1:10">
      <c r="A261" s="79" t="s">
        <v>614</v>
      </c>
      <c r="B261" s="18">
        <v>2</v>
      </c>
      <c r="C261" s="78" t="s">
        <v>883</v>
      </c>
      <c r="D261" s="86" t="s">
        <v>618</v>
      </c>
      <c r="E261" s="83" t="s">
        <v>21</v>
      </c>
      <c r="F261" s="83" t="s">
        <v>22</v>
      </c>
      <c r="G261" s="83" t="s">
        <v>55</v>
      </c>
      <c r="H261" s="83" t="s">
        <v>619</v>
      </c>
      <c r="I261" s="83"/>
      <c r="J261" s="15" t="str">
        <f>IF(E261="Invalid_Segment","Invalid",IFERROR(INDEX(Severity_Matrix!$C$3:$M$10,MATCH('Error Log'!$F261,Severity_Matrix!$B$3:$B$10,0),MATCH('Error Log'!$G261,Severity_Matrix!$C$2:$M$2,0)),"No errors"))</f>
        <v>Major</v>
      </c>
    </row>
    <row r="262" spans="1:10">
      <c r="A262" s="79" t="s">
        <v>620</v>
      </c>
      <c r="B262" s="18">
        <v>3</v>
      </c>
      <c r="C262" s="78" t="s">
        <v>884</v>
      </c>
      <c r="D262" s="86" t="s">
        <v>621</v>
      </c>
      <c r="E262" s="83" t="s">
        <v>21</v>
      </c>
      <c r="F262" s="83" t="s">
        <v>22</v>
      </c>
      <c r="G262" s="83" t="s">
        <v>55</v>
      </c>
      <c r="H262" s="83" t="s">
        <v>622</v>
      </c>
      <c r="I262" s="83"/>
      <c r="J262" s="15" t="str">
        <f>IF(E262="Invalid_Segment","Invalid",IFERROR(INDEX(Severity_Matrix!$C$3:$M$10,MATCH('Error Log'!$F262,Severity_Matrix!$B$3:$B$10,0),MATCH('Error Log'!$G262,Severity_Matrix!$C$2:$M$2,0)),"No errors"))</f>
        <v>Major</v>
      </c>
    </row>
    <row r="263" spans="1:10">
      <c r="A263" s="79" t="s">
        <v>620</v>
      </c>
      <c r="B263" s="18">
        <v>4</v>
      </c>
      <c r="C263" s="78" t="s">
        <v>885</v>
      </c>
      <c r="D263" s="86" t="s">
        <v>623</v>
      </c>
      <c r="E263" s="83" t="s">
        <v>21</v>
      </c>
      <c r="F263" s="83" t="s">
        <v>7</v>
      </c>
      <c r="G263" s="83" t="s">
        <v>55</v>
      </c>
      <c r="H263" s="83" t="s">
        <v>624</v>
      </c>
      <c r="I263" s="83"/>
      <c r="J263" s="15" t="str">
        <f>IF(E263="Invalid_Segment","Invalid",IFERROR(INDEX(Severity_Matrix!$C$3:$M$10,MATCH('Error Log'!$F263,Severity_Matrix!$B$3:$B$10,0),MATCH('Error Log'!$G263,Severity_Matrix!$C$2:$M$2,0)),"No errors"))</f>
        <v>Critical</v>
      </c>
    </row>
    <row r="264" spans="1:10">
      <c r="A264" s="79" t="s">
        <v>620</v>
      </c>
      <c r="B264" s="18">
        <v>5</v>
      </c>
      <c r="C264" s="78" t="s">
        <v>886</v>
      </c>
      <c r="D264" s="86" t="s">
        <v>625</v>
      </c>
      <c r="E264" s="83" t="s">
        <v>21</v>
      </c>
      <c r="F264" s="83" t="s">
        <v>7</v>
      </c>
      <c r="G264" s="83" t="s">
        <v>55</v>
      </c>
      <c r="H264" s="83" t="s">
        <v>626</v>
      </c>
      <c r="I264" s="83"/>
      <c r="J264" s="15" t="str">
        <f>IF(E264="Invalid_Segment","Invalid",IFERROR(INDEX(Severity_Matrix!$C$3:$M$10,MATCH('Error Log'!$F264,Severity_Matrix!$B$3:$B$10,0),MATCH('Error Log'!$G264,Severity_Matrix!$C$2:$M$2,0)),"No errors"))</f>
        <v>Critical</v>
      </c>
    </row>
    <row r="265" spans="1:10">
      <c r="A265" s="79" t="s">
        <v>620</v>
      </c>
      <c r="B265" s="18">
        <v>6</v>
      </c>
      <c r="C265" s="78" t="s">
        <v>887</v>
      </c>
      <c r="D265" s="86" t="s">
        <v>627</v>
      </c>
      <c r="E265" s="83" t="s">
        <v>21</v>
      </c>
      <c r="F265" s="83" t="s">
        <v>7</v>
      </c>
      <c r="G265" s="83" t="s">
        <v>55</v>
      </c>
      <c r="H265" s="83" t="s">
        <v>628</v>
      </c>
      <c r="I265" s="83"/>
      <c r="J265" s="15" t="str">
        <f>IF(E265="Invalid_Segment","Invalid",IFERROR(INDEX(Severity_Matrix!$C$3:$M$10,MATCH('Error Log'!$F265,Severity_Matrix!$B$3:$B$10,0),MATCH('Error Log'!$G265,Severity_Matrix!$C$2:$M$2,0)),"No errors"))</f>
        <v>Critical</v>
      </c>
    </row>
    <row r="266" spans="1:10">
      <c r="A266" s="78" t="s">
        <v>888</v>
      </c>
      <c r="B266" s="18">
        <v>1</v>
      </c>
      <c r="C266" s="78" t="s">
        <v>630</v>
      </c>
      <c r="D266" s="78" t="s">
        <v>631</v>
      </c>
      <c r="E266" s="83" t="s">
        <v>21</v>
      </c>
      <c r="F266" s="83" t="s">
        <v>22</v>
      </c>
      <c r="G266" s="83" t="s">
        <v>55</v>
      </c>
      <c r="H266" s="83" t="s">
        <v>769</v>
      </c>
      <c r="I266" s="83"/>
      <c r="J266" s="15" t="str">
        <f>IF(E266="Invalid_Segment","Invalid",IFERROR(INDEX(Severity_Matrix!$C$3:$M$10,MATCH('Error Log'!$F266,Severity_Matrix!$B$3:$B$10,0),MATCH('Error Log'!$G266,Severity_Matrix!$C$2:$M$2,0)),"No errors"))</f>
        <v>Major</v>
      </c>
    </row>
    <row r="267" spans="1:10">
      <c r="A267" s="78" t="s">
        <v>888</v>
      </c>
      <c r="B267" s="18">
        <v>2</v>
      </c>
      <c r="C267" s="78" t="s">
        <v>630</v>
      </c>
      <c r="D267" s="78" t="s">
        <v>631</v>
      </c>
      <c r="E267" s="83" t="s">
        <v>21</v>
      </c>
      <c r="F267" s="83" t="s">
        <v>22</v>
      </c>
      <c r="G267" s="83" t="s">
        <v>28</v>
      </c>
      <c r="H267" s="83" t="s">
        <v>770</v>
      </c>
      <c r="I267" s="83"/>
      <c r="J267" s="15" t="str">
        <f>IF(E267="Invalid_Segment","Invalid",IFERROR(INDEX(Severity_Matrix!$C$3:$M$10,MATCH('Error Log'!$F267,Severity_Matrix!$B$3:$B$10,0),MATCH('Error Log'!$G267,Severity_Matrix!$C$2:$M$2,0)),"No errors"))</f>
        <v>Major</v>
      </c>
    </row>
    <row r="268" spans="1:10">
      <c r="A268" s="78" t="s">
        <v>888</v>
      </c>
      <c r="B268" s="18">
        <v>3</v>
      </c>
      <c r="C268" s="78" t="s">
        <v>630</v>
      </c>
      <c r="D268" s="78" t="s">
        <v>631</v>
      </c>
      <c r="E268" s="83" t="s">
        <v>21</v>
      </c>
      <c r="F268" s="83" t="s">
        <v>7</v>
      </c>
      <c r="G268" s="83" t="s">
        <v>55</v>
      </c>
      <c r="H268" s="83" t="s">
        <v>632</v>
      </c>
      <c r="I268" s="83"/>
      <c r="J268" s="15" t="str">
        <f>IF(E268="Invalid_Segment","Invalid",IFERROR(INDEX(Severity_Matrix!$C$3:$M$10,MATCH('Error Log'!$F268,Severity_Matrix!$B$3:$B$10,0),MATCH('Error Log'!$G268,Severity_Matrix!$C$2:$M$2,0)),"No errors"))</f>
        <v>Critical</v>
      </c>
    </row>
    <row r="269" spans="1:10">
      <c r="A269" s="78" t="s">
        <v>889</v>
      </c>
      <c r="B269" s="18">
        <v>1</v>
      </c>
      <c r="C269" s="78" t="s">
        <v>633</v>
      </c>
      <c r="D269" s="78" t="s">
        <v>634</v>
      </c>
      <c r="E269" s="83" t="s">
        <v>2</v>
      </c>
      <c r="F269" s="83" t="s">
        <v>26</v>
      </c>
      <c r="G269" s="83" t="s">
        <v>55</v>
      </c>
      <c r="H269" s="83" t="s">
        <v>635</v>
      </c>
      <c r="I269" s="83"/>
      <c r="J269" s="15" t="str">
        <f>IF(E269="Invalid_Segment","Invalid",IFERROR(INDEX(Severity_Matrix!$C$3:$M$10,MATCH('Error Log'!$F269,Severity_Matrix!$B$3:$B$10,0),MATCH('Error Log'!$G269,Severity_Matrix!$C$2:$M$2,0)),"No errors"))</f>
        <v>Major</v>
      </c>
    </row>
    <row r="270" spans="1:10">
      <c r="A270" s="78" t="s">
        <v>889</v>
      </c>
      <c r="B270" s="18">
        <v>2</v>
      </c>
      <c r="C270" s="78" t="s">
        <v>633</v>
      </c>
      <c r="D270" s="78" t="s">
        <v>634</v>
      </c>
      <c r="E270" s="83" t="s">
        <v>21</v>
      </c>
      <c r="F270" s="83" t="s">
        <v>7</v>
      </c>
      <c r="G270" s="83" t="s">
        <v>55</v>
      </c>
      <c r="H270" s="83" t="s">
        <v>636</v>
      </c>
      <c r="I270" s="83"/>
      <c r="J270" s="15" t="str">
        <f>IF(E270="Invalid_Segment","Invalid",IFERROR(INDEX(Severity_Matrix!$C$3:$M$10,MATCH('Error Log'!$F270,Severity_Matrix!$B$3:$B$10,0),MATCH('Error Log'!$G270,Severity_Matrix!$C$2:$M$2,0)),"No errors"))</f>
        <v>Critical</v>
      </c>
    </row>
    <row r="271" spans="1:10">
      <c r="A271" s="78" t="s">
        <v>889</v>
      </c>
      <c r="B271" s="18">
        <v>3</v>
      </c>
      <c r="C271" s="78" t="s">
        <v>633</v>
      </c>
      <c r="D271" s="78" t="s">
        <v>634</v>
      </c>
      <c r="E271" s="83" t="s">
        <v>21</v>
      </c>
      <c r="F271" s="83" t="s">
        <v>7</v>
      </c>
      <c r="G271" s="83" t="s">
        <v>55</v>
      </c>
      <c r="H271" s="83" t="s">
        <v>637</v>
      </c>
      <c r="I271" s="83"/>
      <c r="J271" s="15" t="str">
        <f>IF(E271="Invalid_Segment","Invalid",IFERROR(INDEX(Severity_Matrix!$C$3:$M$10,MATCH('Error Log'!$F271,Severity_Matrix!$B$3:$B$10,0),MATCH('Error Log'!$G271,Severity_Matrix!$C$2:$M$2,0)),"No errors"))</f>
        <v>Critical</v>
      </c>
    </row>
    <row r="272" spans="1:10">
      <c r="A272" s="78" t="s">
        <v>890</v>
      </c>
      <c r="B272" s="18">
        <v>1</v>
      </c>
      <c r="C272" s="78" t="s">
        <v>638</v>
      </c>
      <c r="D272" s="78" t="s">
        <v>639</v>
      </c>
      <c r="E272" s="83" t="s">
        <v>21</v>
      </c>
      <c r="F272" s="83" t="s">
        <v>22</v>
      </c>
      <c r="G272" s="83" t="s">
        <v>55</v>
      </c>
      <c r="H272" s="83" t="s">
        <v>640</v>
      </c>
      <c r="I272" s="83"/>
      <c r="J272" s="15" t="str">
        <f>IF(E272="Invalid_Segment","Invalid",IFERROR(INDEX(Severity_Matrix!$C$3:$M$10,MATCH('Error Log'!$F272,Severity_Matrix!$B$3:$B$10,0),MATCH('Error Log'!$G272,Severity_Matrix!$C$2:$M$2,0)),"No errors"))</f>
        <v>Major</v>
      </c>
    </row>
    <row r="273" spans="1:10">
      <c r="A273" s="78" t="s">
        <v>890</v>
      </c>
      <c r="B273" s="18">
        <v>2</v>
      </c>
      <c r="C273" s="78" t="s">
        <v>638</v>
      </c>
      <c r="D273" s="78" t="s">
        <v>639</v>
      </c>
      <c r="E273" s="83" t="s">
        <v>21</v>
      </c>
      <c r="F273" s="83" t="s">
        <v>22</v>
      </c>
      <c r="G273" s="83" t="s">
        <v>55</v>
      </c>
      <c r="H273" s="83" t="s">
        <v>641</v>
      </c>
      <c r="I273" s="83"/>
      <c r="J273" s="15" t="str">
        <f>IF(E273="Invalid_Segment","Invalid",IFERROR(INDEX(Severity_Matrix!$C$3:$M$10,MATCH('Error Log'!$F273,Severity_Matrix!$B$3:$B$10,0),MATCH('Error Log'!$G273,Severity_Matrix!$C$2:$M$2,0)),"No errors"))</f>
        <v>Major</v>
      </c>
    </row>
    <row r="274" spans="1:10">
      <c r="A274" s="78" t="s">
        <v>891</v>
      </c>
      <c r="B274" s="18">
        <v>1</v>
      </c>
      <c r="C274" s="78" t="s">
        <v>642</v>
      </c>
      <c r="D274" s="78" t="s">
        <v>643</v>
      </c>
      <c r="E274" s="83" t="s">
        <v>2</v>
      </c>
      <c r="F274" s="83" t="s">
        <v>26</v>
      </c>
      <c r="G274" s="83" t="s">
        <v>55</v>
      </c>
      <c r="H274" s="83" t="s">
        <v>644</v>
      </c>
      <c r="I274" s="83"/>
      <c r="J274" s="15" t="str">
        <f>IF(E274="Invalid_Segment","Invalid",IFERROR(INDEX(Severity_Matrix!$C$3:$M$10,MATCH('Error Log'!$F274,Severity_Matrix!$B$3:$B$10,0),MATCH('Error Log'!$G274,Severity_Matrix!$C$2:$M$2,0)),"No errors"))</f>
        <v>Major</v>
      </c>
    </row>
    <row r="275" spans="1:10">
      <c r="A275" s="78" t="s">
        <v>891</v>
      </c>
      <c r="B275" s="18">
        <v>2</v>
      </c>
      <c r="C275" s="78" t="s">
        <v>642</v>
      </c>
      <c r="D275" s="78" t="s">
        <v>643</v>
      </c>
      <c r="E275" s="83" t="s">
        <v>21</v>
      </c>
      <c r="F275" s="83" t="s">
        <v>7</v>
      </c>
      <c r="G275" s="83" t="s">
        <v>55</v>
      </c>
      <c r="H275" s="83" t="s">
        <v>645</v>
      </c>
      <c r="I275" s="83"/>
      <c r="J275" s="15" t="str">
        <f>IF(E275="Invalid_Segment","Invalid",IFERROR(INDEX(Severity_Matrix!$C$3:$M$10,MATCH('Error Log'!$F275,Severity_Matrix!$B$3:$B$10,0),MATCH('Error Log'!$G275,Severity_Matrix!$C$2:$M$2,0)),"No errors"))</f>
        <v>Critical</v>
      </c>
    </row>
    <row r="276" spans="1:10">
      <c r="A276" s="78" t="s">
        <v>892</v>
      </c>
      <c r="B276" s="18">
        <v>1</v>
      </c>
      <c r="C276" s="78" t="s">
        <v>646</v>
      </c>
      <c r="D276" s="78" t="s">
        <v>647</v>
      </c>
      <c r="E276" s="83" t="s">
        <v>21</v>
      </c>
      <c r="F276" s="83" t="s">
        <v>22</v>
      </c>
      <c r="G276" s="83" t="s">
        <v>55</v>
      </c>
      <c r="H276" s="83" t="s">
        <v>648</v>
      </c>
      <c r="I276" s="83"/>
      <c r="J276" s="15" t="str">
        <f>IF(E276="Invalid_Segment","Invalid",IFERROR(INDEX(Severity_Matrix!$C$3:$M$10,MATCH('Error Log'!$F276,Severity_Matrix!$B$3:$B$10,0),MATCH('Error Log'!$G276,Severity_Matrix!$C$2:$M$2,0)),"No errors"))</f>
        <v>Major</v>
      </c>
    </row>
    <row r="277" spans="1:10">
      <c r="A277" s="78" t="s">
        <v>892</v>
      </c>
      <c r="B277" s="18">
        <v>2</v>
      </c>
      <c r="C277" s="78" t="s">
        <v>646</v>
      </c>
      <c r="D277" s="78" t="s">
        <v>647</v>
      </c>
      <c r="E277" s="83" t="s">
        <v>21</v>
      </c>
      <c r="F277" s="83" t="s">
        <v>22</v>
      </c>
      <c r="G277" s="83" t="s">
        <v>28</v>
      </c>
      <c r="H277" s="83" t="s">
        <v>649</v>
      </c>
      <c r="I277" s="83"/>
      <c r="J277" s="15" t="str">
        <f>IF(E277="Invalid_Segment","Invalid",IFERROR(INDEX(Severity_Matrix!$C$3:$M$10,MATCH('Error Log'!$F277,Severity_Matrix!$B$3:$B$10,0),MATCH('Error Log'!$G277,Severity_Matrix!$C$2:$M$2,0)),"No errors"))</f>
        <v>Major</v>
      </c>
    </row>
    <row r="278" spans="1:10">
      <c r="A278" s="78" t="s">
        <v>893</v>
      </c>
      <c r="B278" s="18">
        <v>1</v>
      </c>
      <c r="C278" s="78" t="s">
        <v>650</v>
      </c>
      <c r="D278" s="78" t="s">
        <v>651</v>
      </c>
      <c r="E278" s="83" t="s">
        <v>21</v>
      </c>
      <c r="F278" s="83" t="s">
        <v>22</v>
      </c>
      <c r="G278" s="83" t="s">
        <v>55</v>
      </c>
      <c r="H278" s="83" t="s">
        <v>652</v>
      </c>
      <c r="I278" s="83"/>
      <c r="J278" s="15" t="str">
        <f>IF(E278="Invalid_Segment","Invalid",IFERROR(INDEX(Severity_Matrix!$C$3:$M$10,MATCH('Error Log'!$F278,Severity_Matrix!$B$3:$B$10,0),MATCH('Error Log'!$G278,Severity_Matrix!$C$2:$M$2,0)),"No errors"))</f>
        <v>Major</v>
      </c>
    </row>
    <row r="279" spans="1:10">
      <c r="A279" s="78" t="s">
        <v>893</v>
      </c>
      <c r="B279" s="18">
        <v>2</v>
      </c>
      <c r="C279" s="78" t="s">
        <v>650</v>
      </c>
      <c r="D279" s="78" t="s">
        <v>651</v>
      </c>
      <c r="E279" s="83" t="s">
        <v>21</v>
      </c>
      <c r="F279" s="83" t="s">
        <v>22</v>
      </c>
      <c r="G279" s="83" t="s">
        <v>55</v>
      </c>
      <c r="H279" s="83" t="s">
        <v>653</v>
      </c>
      <c r="I279" s="83"/>
      <c r="J279" s="15" t="str">
        <f>IF(E279="Invalid_Segment","Invalid",IFERROR(INDEX(Severity_Matrix!$C$3:$M$10,MATCH('Error Log'!$F279,Severity_Matrix!$B$3:$B$10,0),MATCH('Error Log'!$G279,Severity_Matrix!$C$2:$M$2,0)),"No errors"))</f>
        <v>Major</v>
      </c>
    </row>
    <row r="280" spans="1:10">
      <c r="A280" s="78" t="s">
        <v>893</v>
      </c>
      <c r="B280" s="18">
        <v>3</v>
      </c>
      <c r="C280" s="78" t="s">
        <v>650</v>
      </c>
      <c r="D280" s="78" t="s">
        <v>651</v>
      </c>
      <c r="E280" s="83" t="s">
        <v>21</v>
      </c>
      <c r="F280" s="83" t="s">
        <v>7</v>
      </c>
      <c r="G280" s="83" t="s">
        <v>55</v>
      </c>
      <c r="H280" s="83" t="s">
        <v>654</v>
      </c>
      <c r="I280" s="83"/>
      <c r="J280" s="15" t="str">
        <f>IF(E280="Invalid_Segment","Invalid",IFERROR(INDEX(Severity_Matrix!$C$3:$M$10,MATCH('Error Log'!$F280,Severity_Matrix!$B$3:$B$10,0),MATCH('Error Log'!$G280,Severity_Matrix!$C$2:$M$2,0)),"No errors"))</f>
        <v>Critical</v>
      </c>
    </row>
    <row r="281" spans="1:10">
      <c r="A281" s="78" t="s">
        <v>894</v>
      </c>
      <c r="B281" s="18">
        <v>1</v>
      </c>
      <c r="C281" s="78" t="s">
        <v>655</v>
      </c>
      <c r="D281" s="78" t="s">
        <v>656</v>
      </c>
      <c r="E281" s="83" t="s">
        <v>2</v>
      </c>
      <c r="F281" s="83" t="s">
        <v>26</v>
      </c>
      <c r="G281" s="83" t="s">
        <v>55</v>
      </c>
      <c r="H281" s="83" t="s">
        <v>657</v>
      </c>
      <c r="I281" s="83"/>
      <c r="J281" s="15" t="str">
        <f>IF(E281="Invalid_Segment","Invalid",IFERROR(INDEX(Severity_Matrix!$C$3:$M$10,MATCH('Error Log'!$F281,Severity_Matrix!$B$3:$B$10,0),MATCH('Error Log'!$G281,Severity_Matrix!$C$2:$M$2,0)),"No errors"))</f>
        <v>Major</v>
      </c>
    </row>
    <row r="282" spans="1:10">
      <c r="A282" s="78" t="s">
        <v>895</v>
      </c>
      <c r="B282" s="18">
        <v>1</v>
      </c>
      <c r="C282" s="78" t="s">
        <v>658</v>
      </c>
      <c r="D282" s="78" t="s">
        <v>659</v>
      </c>
      <c r="E282" s="83" t="s">
        <v>21</v>
      </c>
      <c r="F282" s="83" t="s">
        <v>22</v>
      </c>
      <c r="G282" s="83" t="s">
        <v>55</v>
      </c>
      <c r="H282" s="83" t="s">
        <v>660</v>
      </c>
      <c r="I282" s="83"/>
      <c r="J282" s="15" t="str">
        <f>IF(E282="Invalid_Segment","Invalid",IFERROR(INDEX(Severity_Matrix!$C$3:$M$10,MATCH('Error Log'!$F282,Severity_Matrix!$B$3:$B$10,0),MATCH('Error Log'!$G282,Severity_Matrix!$C$2:$M$2,0)),"No errors"))</f>
        <v>Major</v>
      </c>
    </row>
    <row r="283" spans="1:10">
      <c r="A283" s="78" t="s">
        <v>895</v>
      </c>
      <c r="B283" s="18">
        <v>2</v>
      </c>
      <c r="C283" s="78" t="s">
        <v>658</v>
      </c>
      <c r="D283" s="78" t="s">
        <v>659</v>
      </c>
      <c r="E283" s="83" t="s">
        <v>21</v>
      </c>
      <c r="F283" s="83" t="s">
        <v>22</v>
      </c>
      <c r="G283" s="83" t="s">
        <v>55</v>
      </c>
      <c r="H283" s="83" t="s">
        <v>661</v>
      </c>
      <c r="I283" s="83"/>
      <c r="J283" s="15" t="str">
        <f>IF(E283="Invalid_Segment","Invalid",IFERROR(INDEX(Severity_Matrix!$C$3:$M$10,MATCH('Error Log'!$F283,Severity_Matrix!$B$3:$B$10,0),MATCH('Error Log'!$G283,Severity_Matrix!$C$2:$M$2,0)),"No errors"))</f>
        <v>Major</v>
      </c>
    </row>
    <row r="284" spans="1:10">
      <c r="A284" s="78" t="s">
        <v>895</v>
      </c>
      <c r="B284" s="18">
        <v>3</v>
      </c>
      <c r="C284" s="78" t="s">
        <v>658</v>
      </c>
      <c r="D284" s="78" t="s">
        <v>659</v>
      </c>
      <c r="E284" s="83" t="s">
        <v>21</v>
      </c>
      <c r="F284" s="83" t="s">
        <v>7</v>
      </c>
      <c r="G284" s="83" t="s">
        <v>55</v>
      </c>
      <c r="H284" s="83" t="s">
        <v>662</v>
      </c>
      <c r="I284" s="83"/>
      <c r="J284" s="15" t="str">
        <f>IF(E284="Invalid_Segment","Invalid",IFERROR(INDEX(Severity_Matrix!$C$3:$M$10,MATCH('Error Log'!$F284,Severity_Matrix!$B$3:$B$10,0),MATCH('Error Log'!$G284,Severity_Matrix!$C$2:$M$2,0)),"No errors"))</f>
        <v>Critical</v>
      </c>
    </row>
    <row r="285" spans="1:10">
      <c r="A285" s="78" t="s">
        <v>895</v>
      </c>
      <c r="B285" s="18">
        <v>4</v>
      </c>
      <c r="C285" s="78" t="s">
        <v>658</v>
      </c>
      <c r="D285" s="78" t="s">
        <v>659</v>
      </c>
      <c r="E285" s="83" t="s">
        <v>21</v>
      </c>
      <c r="F285" s="83" t="s">
        <v>7</v>
      </c>
      <c r="G285" s="83" t="s">
        <v>55</v>
      </c>
      <c r="H285" s="83" t="s">
        <v>663</v>
      </c>
      <c r="I285" s="83"/>
      <c r="J285" s="15" t="str">
        <f>IF(E285="Invalid_Segment","Invalid",IFERROR(INDEX(Severity_Matrix!$C$3:$M$10,MATCH('Error Log'!$F285,Severity_Matrix!$B$3:$B$10,0),MATCH('Error Log'!$G285,Severity_Matrix!$C$2:$M$2,0)),"No errors"))</f>
        <v>Critical</v>
      </c>
    </row>
    <row r="286" spans="1:10">
      <c r="A286" s="78" t="s">
        <v>896</v>
      </c>
      <c r="B286" s="18">
        <v>1</v>
      </c>
      <c r="C286" s="78" t="s">
        <v>664</v>
      </c>
      <c r="D286" s="78" t="s">
        <v>665</v>
      </c>
      <c r="E286" s="83" t="s">
        <v>21</v>
      </c>
      <c r="F286" s="83" t="s">
        <v>22</v>
      </c>
      <c r="G286" s="83" t="s">
        <v>55</v>
      </c>
      <c r="H286" s="83" t="s">
        <v>666</v>
      </c>
      <c r="I286" s="83"/>
      <c r="J286" s="15" t="str">
        <f>IF(E286="Invalid_Segment","Invalid",IFERROR(INDEX(Severity_Matrix!$C$3:$M$10,MATCH('Error Log'!$F286,Severity_Matrix!$B$3:$B$10,0),MATCH('Error Log'!$G286,Severity_Matrix!$C$2:$M$2,0)),"No errors"))</f>
        <v>Major</v>
      </c>
    </row>
    <row r="287" spans="1:10">
      <c r="A287" s="78" t="s">
        <v>896</v>
      </c>
      <c r="B287" s="18">
        <v>2</v>
      </c>
      <c r="C287" s="78" t="s">
        <v>664</v>
      </c>
      <c r="D287" s="78" t="s">
        <v>665</v>
      </c>
      <c r="E287" s="83" t="s">
        <v>21</v>
      </c>
      <c r="F287" s="83" t="s">
        <v>7</v>
      </c>
      <c r="G287" s="83" t="s">
        <v>55</v>
      </c>
      <c r="H287" s="83" t="s">
        <v>667</v>
      </c>
      <c r="I287" s="83"/>
      <c r="J287" s="15" t="str">
        <f>IF(E287="Invalid_Segment","Invalid",IFERROR(INDEX(Severity_Matrix!$C$3:$M$10,MATCH('Error Log'!$F287,Severity_Matrix!$B$3:$B$10,0),MATCH('Error Log'!$G287,Severity_Matrix!$C$2:$M$2,0)),"No errors"))</f>
        <v>Critical</v>
      </c>
    </row>
    <row r="288" spans="1:10">
      <c r="A288" s="78" t="s">
        <v>896</v>
      </c>
      <c r="B288" s="18">
        <v>3</v>
      </c>
      <c r="C288" s="78" t="s">
        <v>664</v>
      </c>
      <c r="D288" s="78" t="s">
        <v>665</v>
      </c>
      <c r="E288" s="83" t="s">
        <v>21</v>
      </c>
      <c r="F288" s="83" t="s">
        <v>22</v>
      </c>
      <c r="G288" s="83" t="s">
        <v>28</v>
      </c>
      <c r="H288" s="83" t="s">
        <v>629</v>
      </c>
      <c r="I288" s="83"/>
      <c r="J288" s="15" t="str">
        <f>IF(E288="Invalid_Segment","Invalid",IFERROR(INDEX(Severity_Matrix!$C$3:$M$10,MATCH('Error Log'!$F288,Severity_Matrix!$B$3:$B$10,0),MATCH('Error Log'!$G288,Severity_Matrix!$C$2:$M$2,0)),"No errors"))</f>
        <v>Major</v>
      </c>
    </row>
    <row r="289" spans="1:10">
      <c r="A289" s="78" t="s">
        <v>897</v>
      </c>
      <c r="B289" s="18">
        <v>1</v>
      </c>
      <c r="C289" s="78" t="s">
        <v>668</v>
      </c>
      <c r="D289" s="78" t="s">
        <v>669</v>
      </c>
      <c r="E289" s="83" t="s">
        <v>2</v>
      </c>
      <c r="F289" s="83" t="s">
        <v>26</v>
      </c>
      <c r="G289" s="83" t="s">
        <v>55</v>
      </c>
      <c r="H289" s="83" t="s">
        <v>670</v>
      </c>
      <c r="I289" s="83"/>
      <c r="J289" s="15" t="str">
        <f>IF(E289="Invalid_Segment","Invalid",IFERROR(INDEX(Severity_Matrix!$C$3:$M$10,MATCH('Error Log'!$F289,Severity_Matrix!$B$3:$B$10,0),MATCH('Error Log'!$G289,Severity_Matrix!$C$2:$M$2,0)),"No errors"))</f>
        <v>Major</v>
      </c>
    </row>
    <row r="290" spans="1:10">
      <c r="A290" s="78" t="s">
        <v>898</v>
      </c>
      <c r="B290" s="18">
        <v>1</v>
      </c>
      <c r="C290" s="78" t="s">
        <v>671</v>
      </c>
      <c r="D290" s="78" t="s">
        <v>672</v>
      </c>
      <c r="E290" s="83" t="s">
        <v>21</v>
      </c>
      <c r="F290" s="83" t="s">
        <v>22</v>
      </c>
      <c r="G290" s="83" t="s">
        <v>55</v>
      </c>
      <c r="H290" s="83" t="s">
        <v>673</v>
      </c>
      <c r="I290" s="83"/>
      <c r="J290" s="15" t="str">
        <f>IF(E290="Invalid_Segment","Invalid",IFERROR(INDEX(Severity_Matrix!$C$3:$M$10,MATCH('Error Log'!$F290,Severity_Matrix!$B$3:$B$10,0),MATCH('Error Log'!$G290,Severity_Matrix!$C$2:$M$2,0)),"No errors"))</f>
        <v>Major</v>
      </c>
    </row>
    <row r="291" spans="1:10">
      <c r="A291" s="78" t="s">
        <v>899</v>
      </c>
      <c r="B291" s="18">
        <v>1</v>
      </c>
      <c r="C291" s="78" t="s">
        <v>674</v>
      </c>
      <c r="D291" s="78" t="s">
        <v>675</v>
      </c>
      <c r="E291" s="83" t="s">
        <v>21</v>
      </c>
      <c r="F291" s="83" t="s">
        <v>22</v>
      </c>
      <c r="G291" s="83" t="s">
        <v>55</v>
      </c>
      <c r="H291" s="83" t="s">
        <v>676</v>
      </c>
      <c r="I291" s="83"/>
      <c r="J291" s="15" t="str">
        <f>IF(E291="Invalid_Segment","Invalid",IFERROR(INDEX(Severity_Matrix!$C$3:$M$10,MATCH('Error Log'!$F291,Severity_Matrix!$B$3:$B$10,0),MATCH('Error Log'!$G291,Severity_Matrix!$C$2:$M$2,0)),"No errors"))</f>
        <v>Major</v>
      </c>
    </row>
    <row r="292" spans="1:10">
      <c r="A292" s="78" t="s">
        <v>899</v>
      </c>
      <c r="B292" s="18">
        <v>2</v>
      </c>
      <c r="C292" s="78" t="s">
        <v>674</v>
      </c>
      <c r="D292" s="78" t="s">
        <v>675</v>
      </c>
      <c r="E292" s="83" t="s">
        <v>21</v>
      </c>
      <c r="F292" s="83" t="s">
        <v>7</v>
      </c>
      <c r="G292" s="83" t="s">
        <v>55</v>
      </c>
      <c r="H292" s="83" t="s">
        <v>677</v>
      </c>
      <c r="I292" s="83"/>
      <c r="J292" s="15" t="str">
        <f>IF(E292="Invalid_Segment","Invalid",IFERROR(INDEX(Severity_Matrix!$C$3:$M$10,MATCH('Error Log'!$F292,Severity_Matrix!$B$3:$B$10,0),MATCH('Error Log'!$G292,Severity_Matrix!$C$2:$M$2,0)),"No errors"))</f>
        <v>Critical</v>
      </c>
    </row>
    <row r="293" spans="1:10">
      <c r="A293" s="78" t="s">
        <v>900</v>
      </c>
      <c r="B293" s="18">
        <v>1</v>
      </c>
      <c r="C293" s="78" t="s">
        <v>678</v>
      </c>
      <c r="D293" s="78" t="s">
        <v>679</v>
      </c>
      <c r="E293" s="83" t="s">
        <v>21</v>
      </c>
      <c r="F293" s="83" t="s">
        <v>7</v>
      </c>
      <c r="G293" s="83" t="s">
        <v>55</v>
      </c>
      <c r="H293" s="83" t="s">
        <v>680</v>
      </c>
      <c r="I293" s="83"/>
      <c r="J293" s="15" t="str">
        <f>IF(E293="Invalid_Segment","Invalid",IFERROR(INDEX(Severity_Matrix!$C$3:$M$10,MATCH('Error Log'!$F293,Severity_Matrix!$B$3:$B$10,0),MATCH('Error Log'!$G293,Severity_Matrix!$C$2:$M$2,0)),"No errors"))</f>
        <v>Critical</v>
      </c>
    </row>
    <row r="294" spans="1:10">
      <c r="A294" s="78" t="s">
        <v>900</v>
      </c>
      <c r="B294" s="18">
        <v>2</v>
      </c>
      <c r="C294" s="78" t="s">
        <v>678</v>
      </c>
      <c r="D294" s="78" t="s">
        <v>679</v>
      </c>
      <c r="E294" s="83" t="s">
        <v>21</v>
      </c>
      <c r="F294" s="83" t="s">
        <v>22</v>
      </c>
      <c r="G294" s="83" t="s">
        <v>28</v>
      </c>
      <c r="H294" s="83" t="s">
        <v>681</v>
      </c>
      <c r="I294" s="83"/>
      <c r="J294" s="15" t="str">
        <f>IF(E294="Invalid_Segment","Invalid",IFERROR(INDEX(Severity_Matrix!$C$3:$M$10,MATCH('Error Log'!$F294,Severity_Matrix!$B$3:$B$10,0),MATCH('Error Log'!$G294,Severity_Matrix!$C$2:$M$2,0)),"No errors"))</f>
        <v>Major</v>
      </c>
    </row>
    <row r="295" spans="1:10">
      <c r="A295" s="78" t="s">
        <v>900</v>
      </c>
      <c r="B295" s="18">
        <v>3</v>
      </c>
      <c r="C295" s="78" t="s">
        <v>678</v>
      </c>
      <c r="D295" s="78" t="s">
        <v>679</v>
      </c>
      <c r="E295" s="83" t="s">
        <v>21</v>
      </c>
      <c r="F295" s="83" t="s">
        <v>22</v>
      </c>
      <c r="G295" s="83" t="s">
        <v>55</v>
      </c>
      <c r="H295" s="83" t="s">
        <v>682</v>
      </c>
      <c r="I295" s="83"/>
      <c r="J295" s="15" t="str">
        <f>IF(E295="Invalid_Segment","Invalid",IFERROR(INDEX(Severity_Matrix!$C$3:$M$10,MATCH('Error Log'!$F295,Severity_Matrix!$B$3:$B$10,0),MATCH('Error Log'!$G295,Severity_Matrix!$C$2:$M$2,0)),"No errors"))</f>
        <v>Major</v>
      </c>
    </row>
    <row r="296" spans="1:10">
      <c r="A296" s="78" t="s">
        <v>900</v>
      </c>
      <c r="B296" s="18">
        <v>4</v>
      </c>
      <c r="C296" s="78" t="s">
        <v>678</v>
      </c>
      <c r="D296" s="78" t="s">
        <v>679</v>
      </c>
      <c r="E296" s="83" t="s">
        <v>21</v>
      </c>
      <c r="F296" s="83" t="s">
        <v>22</v>
      </c>
      <c r="G296" s="83" t="s">
        <v>55</v>
      </c>
      <c r="H296" s="83" t="s">
        <v>683</v>
      </c>
      <c r="I296" s="83"/>
      <c r="J296" s="15" t="str">
        <f>IF(E296="Invalid_Segment","Invalid",IFERROR(INDEX(Severity_Matrix!$C$3:$M$10,MATCH('Error Log'!$F296,Severity_Matrix!$B$3:$B$10,0),MATCH('Error Log'!$G296,Severity_Matrix!$C$2:$M$2,0)),"No errors"))</f>
        <v>Major</v>
      </c>
    </row>
    <row r="297" spans="1:10">
      <c r="A297" s="79" t="s">
        <v>901</v>
      </c>
      <c r="B297" s="18">
        <v>1</v>
      </c>
      <c r="C297" s="78" t="s">
        <v>684</v>
      </c>
      <c r="D297" s="86" t="s">
        <v>685</v>
      </c>
      <c r="E297" s="83" t="s">
        <v>21</v>
      </c>
      <c r="F297" s="83" t="s">
        <v>22</v>
      </c>
      <c r="G297" s="83" t="s">
        <v>55</v>
      </c>
      <c r="H297" s="93" t="s">
        <v>686</v>
      </c>
      <c r="I297" s="83"/>
      <c r="J297" s="15" t="str">
        <f>IF(E297="Invalid_Segment","Invalid",IFERROR(INDEX(Severity_Matrix!$C$3:$M$10,MATCH('Error Log'!$F297,Severity_Matrix!$B$3:$B$10,0),MATCH('Error Log'!$G297,Severity_Matrix!$C$2:$M$2,0)),"No errors"))</f>
        <v>Major</v>
      </c>
    </row>
    <row r="298" spans="1:10">
      <c r="A298" s="79" t="s">
        <v>902</v>
      </c>
      <c r="B298" s="18">
        <v>1</v>
      </c>
      <c r="C298" s="78" t="s">
        <v>687</v>
      </c>
      <c r="D298" s="86" t="s">
        <v>688</v>
      </c>
      <c r="E298" s="83" t="s">
        <v>21</v>
      </c>
      <c r="F298" s="83" t="s">
        <v>22</v>
      </c>
      <c r="G298" s="83" t="s">
        <v>55</v>
      </c>
      <c r="H298" s="83" t="s">
        <v>689</v>
      </c>
      <c r="I298" s="83"/>
      <c r="J298" s="15" t="str">
        <f>IF(E298="Invalid_Segment","Invalid",IFERROR(INDEX(Severity_Matrix!$C$3:$M$10,MATCH('Error Log'!$F298,Severity_Matrix!$B$3:$B$10,0),MATCH('Error Log'!$G298,Severity_Matrix!$C$2:$M$2,0)),"No errors"))</f>
        <v>Major</v>
      </c>
    </row>
    <row r="299" spans="1:10">
      <c r="A299" s="79" t="s">
        <v>902</v>
      </c>
      <c r="B299" s="18">
        <v>2</v>
      </c>
      <c r="C299" s="78" t="s">
        <v>687</v>
      </c>
      <c r="D299" s="86" t="s">
        <v>688</v>
      </c>
      <c r="E299" s="83" t="s">
        <v>21</v>
      </c>
      <c r="F299" s="83" t="s">
        <v>7</v>
      </c>
      <c r="G299" s="83" t="s">
        <v>55</v>
      </c>
      <c r="H299" s="83" t="s">
        <v>690</v>
      </c>
      <c r="I299" s="83"/>
      <c r="J299" s="15" t="str">
        <f>IF(E299="Invalid_Segment","Invalid",IFERROR(INDEX(Severity_Matrix!$C$3:$M$10,MATCH('Error Log'!$F299,Severity_Matrix!$B$3:$B$10,0),MATCH('Error Log'!$G299,Severity_Matrix!$C$2:$M$2,0)),"No errors"))</f>
        <v>Critical</v>
      </c>
    </row>
    <row r="300" spans="1:10">
      <c r="A300" s="79" t="s">
        <v>903</v>
      </c>
      <c r="B300" s="18">
        <v>1</v>
      </c>
      <c r="C300" s="78" t="s">
        <v>691</v>
      </c>
      <c r="D300" s="86" t="s">
        <v>692</v>
      </c>
      <c r="E300" s="83"/>
      <c r="F300" s="83"/>
      <c r="G300" s="83"/>
      <c r="H300" s="94"/>
      <c r="I300" s="83"/>
      <c r="J300" s="15" t="str">
        <f>IF(E300="Invalid_Segment","Invalid",IFERROR(INDEX(Severity_Matrix!$C$3:$M$10,MATCH('Error Log'!$F300,Severity_Matrix!$B$3:$B$10,0),MATCH('Error Log'!$G300,Severity_Matrix!$C$2:$M$2,0)),"No errors"))</f>
        <v>No errors</v>
      </c>
    </row>
    <row r="301" spans="1:10">
      <c r="A301" s="79" t="s">
        <v>904</v>
      </c>
      <c r="B301" s="18">
        <v>1</v>
      </c>
      <c r="C301" s="78" t="s">
        <v>693</v>
      </c>
      <c r="D301" s="86" t="s">
        <v>694</v>
      </c>
      <c r="E301" s="83" t="s">
        <v>2</v>
      </c>
      <c r="F301" s="83" t="s">
        <v>26</v>
      </c>
      <c r="G301" s="83" t="s">
        <v>55</v>
      </c>
      <c r="H301" s="83" t="s">
        <v>695</v>
      </c>
      <c r="I301" s="83"/>
      <c r="J301" s="15" t="str">
        <f>IF(E301="Invalid_Segment","Invalid",IFERROR(INDEX(Severity_Matrix!$C$3:$M$10,MATCH('Error Log'!$F301,Severity_Matrix!$B$3:$B$10,0),MATCH('Error Log'!$G301,Severity_Matrix!$C$2:$M$2,0)),"No errors"))</f>
        <v>Major</v>
      </c>
    </row>
    <row r="302" spans="1:10">
      <c r="A302" s="79" t="s">
        <v>904</v>
      </c>
      <c r="B302" s="18">
        <v>2</v>
      </c>
      <c r="C302" s="78" t="s">
        <v>693</v>
      </c>
      <c r="D302" s="86" t="s">
        <v>694</v>
      </c>
      <c r="E302" s="83" t="s">
        <v>21</v>
      </c>
      <c r="F302" s="83" t="s">
        <v>7</v>
      </c>
      <c r="G302" s="83" t="s">
        <v>55</v>
      </c>
      <c r="H302" s="83" t="s">
        <v>696</v>
      </c>
      <c r="I302" s="83"/>
      <c r="J302" s="15" t="str">
        <f>IF(E302="Invalid_Segment","Invalid",IFERROR(INDEX(Severity_Matrix!$C$3:$M$10,MATCH('Error Log'!$F302,Severity_Matrix!$B$3:$B$10,0),MATCH('Error Log'!$G302,Severity_Matrix!$C$2:$M$2,0)),"No errors"))</f>
        <v>Critical</v>
      </c>
    </row>
    <row r="303" spans="1:10">
      <c r="A303" s="79" t="s">
        <v>905</v>
      </c>
      <c r="B303" s="18">
        <v>1</v>
      </c>
      <c r="C303" s="78" t="s">
        <v>697</v>
      </c>
      <c r="D303" s="86" t="s">
        <v>698</v>
      </c>
      <c r="E303" s="83" t="s">
        <v>21</v>
      </c>
      <c r="F303" s="83" t="s">
        <v>22</v>
      </c>
      <c r="G303" s="83" t="s">
        <v>55</v>
      </c>
      <c r="H303" s="83" t="s">
        <v>699</v>
      </c>
      <c r="I303" s="83"/>
      <c r="J303" s="15" t="str">
        <f>IF(E303="Invalid_Segment","Invalid",IFERROR(INDEX(Severity_Matrix!$C$3:$M$10,MATCH('Error Log'!$F303,Severity_Matrix!$B$3:$B$10,0),MATCH('Error Log'!$G303,Severity_Matrix!$C$2:$M$2,0)),"No errors"))</f>
        <v>Major</v>
      </c>
    </row>
    <row r="304" spans="1:10">
      <c r="A304" s="79" t="s">
        <v>905</v>
      </c>
      <c r="B304" s="18">
        <v>2</v>
      </c>
      <c r="C304" s="78" t="s">
        <v>697</v>
      </c>
      <c r="D304" s="86" t="s">
        <v>698</v>
      </c>
      <c r="E304" s="83" t="s">
        <v>21</v>
      </c>
      <c r="F304" s="83" t="s">
        <v>7</v>
      </c>
      <c r="G304" s="83" t="s">
        <v>55</v>
      </c>
      <c r="H304" s="83" t="s">
        <v>700</v>
      </c>
      <c r="I304" s="83"/>
      <c r="J304" s="15" t="str">
        <f>IF(E304="Invalid_Segment","Invalid",IFERROR(INDEX(Severity_Matrix!$C$3:$M$10,MATCH('Error Log'!$F304,Severity_Matrix!$B$3:$B$10,0),MATCH('Error Log'!$G304,Severity_Matrix!$C$2:$M$2,0)),"No errors"))</f>
        <v>Critical</v>
      </c>
    </row>
    <row r="305" spans="1:10">
      <c r="A305" s="79" t="s">
        <v>905</v>
      </c>
      <c r="B305" s="18">
        <v>3</v>
      </c>
      <c r="C305" s="78" t="s">
        <v>697</v>
      </c>
      <c r="D305" s="86" t="s">
        <v>698</v>
      </c>
      <c r="E305" s="83" t="s">
        <v>21</v>
      </c>
      <c r="F305" s="83" t="s">
        <v>7</v>
      </c>
      <c r="G305" s="83" t="s">
        <v>55</v>
      </c>
      <c r="H305" s="94" t="s">
        <v>701</v>
      </c>
      <c r="I305" s="83"/>
      <c r="J305" s="15" t="str">
        <f>IF(E305="Invalid_Segment","Invalid",IFERROR(INDEX(Severity_Matrix!$C$3:$M$10,MATCH('Error Log'!$F305,Severity_Matrix!$B$3:$B$10,0),MATCH('Error Log'!$G305,Severity_Matrix!$C$2:$M$2,0)),"No errors"))</f>
        <v>Critical</v>
      </c>
    </row>
    <row r="306" spans="1:10">
      <c r="A306" s="79" t="s">
        <v>906</v>
      </c>
      <c r="B306" s="18">
        <v>1</v>
      </c>
      <c r="C306" s="78" t="s">
        <v>702</v>
      </c>
      <c r="D306" s="86" t="s">
        <v>703</v>
      </c>
      <c r="E306" s="83"/>
      <c r="F306" s="83"/>
      <c r="G306" s="83"/>
      <c r="H306" s="83"/>
      <c r="I306" s="83"/>
      <c r="J306" s="15" t="str">
        <f>IF(E306="Invalid_Segment","Invalid",IFERROR(INDEX(Severity_Matrix!$C$3:$M$10,MATCH('Error Log'!$F306,Severity_Matrix!$B$3:$B$10,0),MATCH('Error Log'!$G306,Severity_Matrix!$C$2:$M$2,0)),"No errors"))</f>
        <v>No errors</v>
      </c>
    </row>
    <row r="307" spans="1:10">
      <c r="A307" s="79" t="s">
        <v>907</v>
      </c>
      <c r="B307" s="18">
        <v>1</v>
      </c>
      <c r="C307" s="78" t="s">
        <v>704</v>
      </c>
      <c r="D307" s="86" t="s">
        <v>705</v>
      </c>
      <c r="E307" s="83" t="s">
        <v>21</v>
      </c>
      <c r="F307" s="83" t="s">
        <v>22</v>
      </c>
      <c r="G307" s="83" t="s">
        <v>55</v>
      </c>
      <c r="H307" s="83" t="s">
        <v>706</v>
      </c>
      <c r="I307" s="83"/>
      <c r="J307" s="15" t="str">
        <f>IF(E307="Invalid_Segment","Invalid",IFERROR(INDEX(Severity_Matrix!$C$3:$M$10,MATCH('Error Log'!$F307,Severity_Matrix!$B$3:$B$10,0),MATCH('Error Log'!$G307,Severity_Matrix!$C$2:$M$2,0)),"No errors"))</f>
        <v>Major</v>
      </c>
    </row>
    <row r="308" spans="1:10">
      <c r="A308" s="79" t="s">
        <v>907</v>
      </c>
      <c r="B308" s="18">
        <v>2</v>
      </c>
      <c r="C308" s="78" t="s">
        <v>704</v>
      </c>
      <c r="D308" s="86" t="s">
        <v>705</v>
      </c>
      <c r="E308" s="83" t="s">
        <v>21</v>
      </c>
      <c r="F308" s="83" t="s">
        <v>22</v>
      </c>
      <c r="G308" s="83" t="s">
        <v>28</v>
      </c>
      <c r="H308" s="83" t="s">
        <v>707</v>
      </c>
      <c r="I308" s="83"/>
      <c r="J308" s="15" t="str">
        <f>IF(E308="Invalid_Segment","Invalid",IFERROR(INDEX(Severity_Matrix!$C$3:$M$10,MATCH('Error Log'!$F308,Severity_Matrix!$B$3:$B$10,0),MATCH('Error Log'!$G308,Severity_Matrix!$C$2:$M$2,0)),"No errors"))</f>
        <v>Major</v>
      </c>
    </row>
    <row r="309" spans="1:10">
      <c r="A309" s="79" t="s">
        <v>908</v>
      </c>
      <c r="B309" s="18">
        <v>1</v>
      </c>
      <c r="C309" s="78" t="s">
        <v>708</v>
      </c>
      <c r="D309" s="86" t="s">
        <v>709</v>
      </c>
      <c r="E309" s="83" t="s">
        <v>21</v>
      </c>
      <c r="F309" s="83" t="s">
        <v>22</v>
      </c>
      <c r="G309" s="83" t="s">
        <v>28</v>
      </c>
      <c r="H309" s="83" t="s">
        <v>649</v>
      </c>
      <c r="I309" s="83"/>
      <c r="J309" s="15" t="str">
        <f>IF(E309="Invalid_Segment","Invalid",IFERROR(INDEX(Severity_Matrix!$C$3:$M$10,MATCH('Error Log'!$F309,Severity_Matrix!$B$3:$B$10,0),MATCH('Error Log'!$G309,Severity_Matrix!$C$2:$M$2,0)),"No errors"))</f>
        <v>Major</v>
      </c>
    </row>
    <row r="310" spans="1:10">
      <c r="A310" s="79" t="s">
        <v>908</v>
      </c>
      <c r="B310" s="18">
        <v>2</v>
      </c>
      <c r="C310" s="78" t="s">
        <v>708</v>
      </c>
      <c r="D310" s="86" t="s">
        <v>709</v>
      </c>
      <c r="E310" s="83" t="s">
        <v>21</v>
      </c>
      <c r="F310" s="83" t="s">
        <v>22</v>
      </c>
      <c r="G310" s="83" t="s">
        <v>28</v>
      </c>
      <c r="H310" s="83" t="s">
        <v>841</v>
      </c>
      <c r="I310" s="83"/>
      <c r="J310" s="15" t="str">
        <f>IF(E310="Invalid_Segment","Invalid",IFERROR(INDEX(Severity_Matrix!$C$3:$M$10,MATCH('Error Log'!$F310,Severity_Matrix!$B$3:$B$10,0),MATCH('Error Log'!$G310,Severity_Matrix!$C$2:$M$2,0)),"No errors"))</f>
        <v>Major</v>
      </c>
    </row>
    <row r="311" spans="1:10">
      <c r="A311" s="79" t="s">
        <v>908</v>
      </c>
      <c r="B311" s="18">
        <v>3</v>
      </c>
      <c r="C311" s="78" t="s">
        <v>708</v>
      </c>
      <c r="D311" s="86" t="s">
        <v>709</v>
      </c>
      <c r="E311" s="83" t="s">
        <v>21</v>
      </c>
      <c r="F311" s="83" t="s">
        <v>22</v>
      </c>
      <c r="G311" s="83" t="s">
        <v>28</v>
      </c>
      <c r="H311" s="83" t="s">
        <v>842</v>
      </c>
      <c r="I311" s="83"/>
      <c r="J311" s="15" t="str">
        <f>IF(E311="Invalid_Segment","Invalid",IFERROR(INDEX(Severity_Matrix!$C$3:$M$10,MATCH('Error Log'!$F311,Severity_Matrix!$B$3:$B$10,0),MATCH('Error Log'!$G311,Severity_Matrix!$C$2:$M$2,0)),"No errors"))</f>
        <v>Major</v>
      </c>
    </row>
    <row r="312" spans="1:10">
      <c r="A312" s="79" t="s">
        <v>908</v>
      </c>
      <c r="B312" s="18">
        <v>4</v>
      </c>
      <c r="C312" s="78" t="s">
        <v>708</v>
      </c>
      <c r="D312" s="86" t="s">
        <v>709</v>
      </c>
      <c r="E312" s="83" t="s">
        <v>21</v>
      </c>
      <c r="F312" s="83" t="s">
        <v>22</v>
      </c>
      <c r="G312" s="83" t="s">
        <v>28</v>
      </c>
      <c r="H312" s="83" t="s">
        <v>843</v>
      </c>
      <c r="I312" s="83"/>
      <c r="J312" s="15" t="str">
        <f>IF(E312="Invalid_Segment","Invalid",IFERROR(INDEX(Severity_Matrix!$C$3:$M$10,MATCH('Error Log'!$F312,Severity_Matrix!$B$3:$B$10,0),MATCH('Error Log'!$G312,Severity_Matrix!$C$2:$M$2,0)),"No errors"))</f>
        <v>Major</v>
      </c>
    </row>
    <row r="313" spans="1:10">
      <c r="A313" s="79" t="s">
        <v>908</v>
      </c>
      <c r="B313" s="18">
        <v>5</v>
      </c>
      <c r="C313" s="78" t="s">
        <v>708</v>
      </c>
      <c r="D313" s="86" t="s">
        <v>709</v>
      </c>
      <c r="E313" s="83" t="s">
        <v>21</v>
      </c>
      <c r="F313" s="83" t="s">
        <v>22</v>
      </c>
      <c r="G313" s="83" t="s">
        <v>28</v>
      </c>
      <c r="H313" s="83" t="s">
        <v>844</v>
      </c>
      <c r="I313" s="83"/>
      <c r="J313" s="15" t="str">
        <f>IF(E313="Invalid_Segment","Invalid",IFERROR(INDEX(Severity_Matrix!$C$3:$M$10,MATCH('Error Log'!$F313,Severity_Matrix!$B$3:$B$10,0),MATCH('Error Log'!$G313,Severity_Matrix!$C$2:$M$2,0)),"No errors"))</f>
        <v>Major</v>
      </c>
    </row>
    <row r="314" spans="1:10">
      <c r="A314" s="79" t="s">
        <v>909</v>
      </c>
      <c r="B314" s="18">
        <v>1</v>
      </c>
      <c r="C314" s="78" t="s">
        <v>710</v>
      </c>
      <c r="D314" s="86" t="s">
        <v>711</v>
      </c>
      <c r="E314" s="83" t="s">
        <v>21</v>
      </c>
      <c r="F314" s="83" t="s">
        <v>22</v>
      </c>
      <c r="G314" s="83" t="s">
        <v>55</v>
      </c>
      <c r="H314" s="83" t="s">
        <v>712</v>
      </c>
      <c r="I314" s="83"/>
      <c r="J314" s="15" t="str">
        <f>IF(E314="Invalid_Segment","Invalid",IFERROR(INDEX(Severity_Matrix!$C$3:$M$10,MATCH('Error Log'!$F314,Severity_Matrix!$B$3:$B$10,0),MATCH('Error Log'!$G314,Severity_Matrix!$C$2:$M$2,0)),"No errors"))</f>
        <v>Major</v>
      </c>
    </row>
    <row r="315" spans="1:10">
      <c r="A315" s="79" t="s">
        <v>909</v>
      </c>
      <c r="B315" s="18">
        <v>2</v>
      </c>
      <c r="C315" s="78" t="s">
        <v>710</v>
      </c>
      <c r="D315" s="86" t="s">
        <v>711</v>
      </c>
      <c r="E315" s="83" t="s">
        <v>21</v>
      </c>
      <c r="F315" s="83" t="s">
        <v>7</v>
      </c>
      <c r="G315" s="83" t="s">
        <v>55</v>
      </c>
      <c r="H315" s="83" t="s">
        <v>713</v>
      </c>
      <c r="I315" s="83"/>
      <c r="J315" s="15" t="str">
        <f>IF(E315="Invalid_Segment","Invalid",IFERROR(INDEX(Severity_Matrix!$C$3:$M$10,MATCH('Error Log'!$F315,Severity_Matrix!$B$3:$B$10,0),MATCH('Error Log'!$G315,Severity_Matrix!$C$2:$M$2,0)),"No errors"))</f>
        <v>Critical</v>
      </c>
    </row>
    <row r="316" spans="1:10">
      <c r="A316" s="79" t="s">
        <v>910</v>
      </c>
      <c r="B316" s="18">
        <v>1</v>
      </c>
      <c r="C316" s="78" t="s">
        <v>714</v>
      </c>
      <c r="D316" s="86" t="s">
        <v>715</v>
      </c>
      <c r="E316" s="83" t="s">
        <v>2</v>
      </c>
      <c r="F316" s="83" t="s">
        <v>26</v>
      </c>
      <c r="G316" s="83" t="s">
        <v>55</v>
      </c>
      <c r="H316" s="83" t="s">
        <v>716</v>
      </c>
      <c r="I316" s="83"/>
      <c r="J316" s="15" t="str">
        <f>IF(E316="Invalid_Segment","Invalid",IFERROR(INDEX(Severity_Matrix!$C$3:$M$10,MATCH('Error Log'!$F316,Severity_Matrix!$B$3:$B$10,0),MATCH('Error Log'!$G316,Severity_Matrix!$C$2:$M$2,0)),"No errors"))</f>
        <v>Major</v>
      </c>
    </row>
    <row r="317" spans="1:10">
      <c r="A317" s="79" t="s">
        <v>910</v>
      </c>
      <c r="B317" s="18">
        <v>2</v>
      </c>
      <c r="C317" s="78" t="s">
        <v>714</v>
      </c>
      <c r="D317" s="86" t="s">
        <v>715</v>
      </c>
      <c r="E317" s="83" t="s">
        <v>2</v>
      </c>
      <c r="F317" s="83" t="s">
        <v>26</v>
      </c>
      <c r="G317" s="83" t="s">
        <v>55</v>
      </c>
      <c r="H317" s="83" t="s">
        <v>717</v>
      </c>
      <c r="I317" s="83"/>
      <c r="J317" s="15" t="str">
        <f>IF(E317="Invalid_Segment","Invalid",IFERROR(INDEX(Severity_Matrix!$C$3:$M$10,MATCH('Error Log'!$F317,Severity_Matrix!$B$3:$B$10,0),MATCH('Error Log'!$G317,Severity_Matrix!$C$2:$M$2,0)),"No errors"))</f>
        <v>Major</v>
      </c>
    </row>
    <row r="318" spans="1:10">
      <c r="A318" s="79" t="s">
        <v>910</v>
      </c>
      <c r="B318" s="18">
        <v>3</v>
      </c>
      <c r="C318" s="78" t="s">
        <v>714</v>
      </c>
      <c r="D318" s="86" t="s">
        <v>715</v>
      </c>
      <c r="E318" s="83" t="s">
        <v>21</v>
      </c>
      <c r="F318" s="83" t="s">
        <v>7</v>
      </c>
      <c r="G318" s="83" t="s">
        <v>55</v>
      </c>
      <c r="H318" s="83" t="s">
        <v>718</v>
      </c>
      <c r="I318" s="83"/>
      <c r="J318" s="15" t="str">
        <f>IF(E318="Invalid_Segment","Invalid",IFERROR(INDEX(Severity_Matrix!$C$3:$M$10,MATCH('Error Log'!$F318,Severity_Matrix!$B$3:$B$10,0),MATCH('Error Log'!$G318,Severity_Matrix!$C$2:$M$2,0)),"No errors"))</f>
        <v>Critical</v>
      </c>
    </row>
    <row r="319" spans="1:10">
      <c r="A319" s="79" t="s">
        <v>910</v>
      </c>
      <c r="B319" s="18">
        <v>4</v>
      </c>
      <c r="C319" s="78" t="s">
        <v>714</v>
      </c>
      <c r="D319" s="86" t="s">
        <v>715</v>
      </c>
      <c r="E319" s="83" t="s">
        <v>21</v>
      </c>
      <c r="F319" s="83" t="s">
        <v>7</v>
      </c>
      <c r="G319" s="83" t="s">
        <v>55</v>
      </c>
      <c r="H319" s="83" t="s">
        <v>719</v>
      </c>
      <c r="I319" s="83"/>
      <c r="J319" s="15" t="str">
        <f>IF(E319="Invalid_Segment","Invalid",IFERROR(INDEX(Severity_Matrix!$C$3:$M$10,MATCH('Error Log'!$F319,Severity_Matrix!$B$3:$B$10,0),MATCH('Error Log'!$G319,Severity_Matrix!$C$2:$M$2,0)),"No errors"))</f>
        <v>Critical</v>
      </c>
    </row>
    <row r="320" spans="1:10">
      <c r="A320" s="79" t="s">
        <v>911</v>
      </c>
      <c r="B320" s="18">
        <v>1</v>
      </c>
      <c r="C320" s="78" t="s">
        <v>720</v>
      </c>
      <c r="D320" s="86" t="s">
        <v>721</v>
      </c>
      <c r="E320" s="83" t="s">
        <v>21</v>
      </c>
      <c r="F320" s="83" t="s">
        <v>22</v>
      </c>
      <c r="G320" s="83" t="s">
        <v>55</v>
      </c>
      <c r="H320" s="83" t="s">
        <v>722</v>
      </c>
      <c r="I320" s="83"/>
      <c r="J320" s="15" t="str">
        <f>IF(E320="Invalid_Segment","Invalid",IFERROR(INDEX(Severity_Matrix!$C$3:$M$10,MATCH('Error Log'!$F320,Severity_Matrix!$B$3:$B$10,0),MATCH('Error Log'!$G320,Severity_Matrix!$C$2:$M$2,0)),"No errors"))</f>
        <v>Major</v>
      </c>
    </row>
    <row r="321" spans="1:10">
      <c r="A321" s="79" t="s">
        <v>911</v>
      </c>
      <c r="B321" s="18">
        <v>2</v>
      </c>
      <c r="C321" s="78" t="s">
        <v>720</v>
      </c>
      <c r="D321" s="86" t="s">
        <v>721</v>
      </c>
      <c r="E321" s="83" t="s">
        <v>21</v>
      </c>
      <c r="F321" s="83" t="s">
        <v>22</v>
      </c>
      <c r="G321" s="83" t="s">
        <v>55</v>
      </c>
      <c r="H321" s="83" t="s">
        <v>723</v>
      </c>
      <c r="I321" s="83"/>
      <c r="J321" s="15" t="str">
        <f>IF(E321="Invalid_Segment","Invalid",IFERROR(INDEX(Severity_Matrix!$C$3:$M$10,MATCH('Error Log'!$F321,Severity_Matrix!$B$3:$B$10,0),MATCH('Error Log'!$G321,Severity_Matrix!$C$2:$M$2,0)),"No errors"))</f>
        <v>Major</v>
      </c>
    </row>
    <row r="322" spans="1:10">
      <c r="A322" s="79" t="s">
        <v>912</v>
      </c>
      <c r="B322" s="18">
        <v>1</v>
      </c>
      <c r="C322" s="78" t="s">
        <v>724</v>
      </c>
      <c r="D322" s="86" t="s">
        <v>725</v>
      </c>
      <c r="E322" s="83" t="s">
        <v>21</v>
      </c>
      <c r="F322" s="83" t="s">
        <v>22</v>
      </c>
      <c r="G322" s="83" t="s">
        <v>55</v>
      </c>
      <c r="H322" s="83" t="s">
        <v>726</v>
      </c>
      <c r="I322" s="83"/>
      <c r="J322" s="15" t="str">
        <f>IF(E322="Invalid_Segment","Invalid",IFERROR(INDEX(Severity_Matrix!$C$3:$M$10,MATCH('Error Log'!$F322,Severity_Matrix!$B$3:$B$10,0),MATCH('Error Log'!$G322,Severity_Matrix!$C$2:$M$2,0)),"No errors"))</f>
        <v>Major</v>
      </c>
    </row>
    <row r="323" spans="1:10">
      <c r="A323" s="79" t="s">
        <v>912</v>
      </c>
      <c r="B323" s="18">
        <v>2</v>
      </c>
      <c r="C323" s="78" t="s">
        <v>724</v>
      </c>
      <c r="D323" s="86" t="s">
        <v>725</v>
      </c>
      <c r="E323" s="83" t="s">
        <v>2</v>
      </c>
      <c r="F323" s="83" t="s">
        <v>26</v>
      </c>
      <c r="G323" s="83" t="s">
        <v>55</v>
      </c>
      <c r="H323" s="83" t="s">
        <v>727</v>
      </c>
      <c r="I323" s="83"/>
      <c r="J323" s="15" t="str">
        <f>IF(E323="Invalid_Segment","Invalid",IFERROR(INDEX(Severity_Matrix!$C$3:$M$10,MATCH('Error Log'!$F323,Severity_Matrix!$B$3:$B$10,0),MATCH('Error Log'!$G323,Severity_Matrix!$C$2:$M$2,0)),"No errors"))</f>
        <v>Major</v>
      </c>
    </row>
    <row r="324" spans="1:10">
      <c r="A324" s="79" t="s">
        <v>912</v>
      </c>
      <c r="B324" s="18">
        <v>3</v>
      </c>
      <c r="C324" s="78" t="s">
        <v>724</v>
      </c>
      <c r="D324" s="86" t="s">
        <v>725</v>
      </c>
      <c r="E324" s="83" t="s">
        <v>21</v>
      </c>
      <c r="F324" s="83" t="s">
        <v>7</v>
      </c>
      <c r="G324" s="83" t="s">
        <v>55</v>
      </c>
      <c r="H324" s="83" t="s">
        <v>728</v>
      </c>
      <c r="I324" s="83"/>
      <c r="J324" s="15" t="str">
        <f>IF(E324="Invalid_Segment","Invalid",IFERROR(INDEX(Severity_Matrix!$C$3:$M$10,MATCH('Error Log'!$F324,Severity_Matrix!$B$3:$B$10,0),MATCH('Error Log'!$G324,Severity_Matrix!$C$2:$M$2,0)),"No errors"))</f>
        <v>Critical</v>
      </c>
    </row>
    <row r="325" spans="1:10">
      <c r="A325" s="79" t="s">
        <v>913</v>
      </c>
      <c r="B325" s="18">
        <v>1</v>
      </c>
      <c r="C325" s="78" t="s">
        <v>729</v>
      </c>
      <c r="D325" s="86" t="s">
        <v>730</v>
      </c>
      <c r="E325" s="83" t="s">
        <v>21</v>
      </c>
      <c r="F325" s="83" t="s">
        <v>22</v>
      </c>
      <c r="G325" s="83" t="s">
        <v>55</v>
      </c>
      <c r="H325" s="83" t="s">
        <v>731</v>
      </c>
      <c r="I325" s="83"/>
      <c r="J325" s="15" t="str">
        <f>IF(E325="Invalid_Segment","Invalid",IFERROR(INDEX(Severity_Matrix!$C$3:$M$10,MATCH('Error Log'!$F325,Severity_Matrix!$B$3:$B$10,0),MATCH('Error Log'!$G325,Severity_Matrix!$C$2:$M$2,0)),"No errors"))</f>
        <v>Major</v>
      </c>
    </row>
    <row r="326" spans="1:10">
      <c r="A326" s="79" t="s">
        <v>913</v>
      </c>
      <c r="B326" s="18">
        <v>2</v>
      </c>
      <c r="C326" s="78" t="s">
        <v>729</v>
      </c>
      <c r="D326" s="86" t="s">
        <v>730</v>
      </c>
      <c r="E326" s="83" t="s">
        <v>21</v>
      </c>
      <c r="F326" s="83" t="s">
        <v>22</v>
      </c>
      <c r="G326" s="83" t="s">
        <v>55</v>
      </c>
      <c r="H326" s="83" t="s">
        <v>732</v>
      </c>
      <c r="I326" s="83"/>
      <c r="J326" s="15" t="str">
        <f>IF(E326="Invalid_Segment","Invalid",IFERROR(INDEX(Severity_Matrix!$C$3:$M$10,MATCH('Error Log'!$F326,Severity_Matrix!$B$3:$B$10,0),MATCH('Error Log'!$G326,Severity_Matrix!$C$2:$M$2,0)),"No errors"))</f>
        <v>Major</v>
      </c>
    </row>
    <row r="327" spans="1:10">
      <c r="A327" s="79" t="s">
        <v>913</v>
      </c>
      <c r="B327" s="18">
        <v>3</v>
      </c>
      <c r="C327" s="78" t="s">
        <v>729</v>
      </c>
      <c r="D327" s="86" t="s">
        <v>730</v>
      </c>
      <c r="E327" s="83" t="s">
        <v>21</v>
      </c>
      <c r="F327" s="83" t="s">
        <v>7</v>
      </c>
      <c r="G327" s="83" t="s">
        <v>55</v>
      </c>
      <c r="H327" s="83" t="s">
        <v>733</v>
      </c>
      <c r="I327" s="83"/>
      <c r="J327" s="15" t="str">
        <f>IF(E327="Invalid_Segment","Invalid",IFERROR(INDEX(Severity_Matrix!$C$3:$M$10,MATCH('Error Log'!$F327,Severity_Matrix!$B$3:$B$10,0),MATCH('Error Log'!$G327,Severity_Matrix!$C$2:$M$2,0)),"No errors"))</f>
        <v>Critical</v>
      </c>
    </row>
    <row r="328" spans="1:10">
      <c r="A328" s="79" t="s">
        <v>913</v>
      </c>
      <c r="B328" s="18">
        <v>4</v>
      </c>
      <c r="C328" s="78" t="s">
        <v>729</v>
      </c>
      <c r="D328" s="86" t="s">
        <v>730</v>
      </c>
      <c r="E328" s="83" t="s">
        <v>21</v>
      </c>
      <c r="F328" s="83" t="s">
        <v>7</v>
      </c>
      <c r="G328" s="83" t="s">
        <v>55</v>
      </c>
      <c r="H328" s="83" t="s">
        <v>734</v>
      </c>
      <c r="I328" s="83"/>
      <c r="J328" s="15" t="str">
        <f>IF(E328="Invalid_Segment","Invalid",IFERROR(INDEX(Severity_Matrix!$C$3:$M$10,MATCH('Error Log'!$F328,Severity_Matrix!$B$3:$B$10,0),MATCH('Error Log'!$G328,Severity_Matrix!$C$2:$M$2,0)),"No errors"))</f>
        <v>Critical</v>
      </c>
    </row>
    <row r="329" spans="1:10">
      <c r="A329" s="79" t="s">
        <v>913</v>
      </c>
      <c r="B329" s="18">
        <v>5</v>
      </c>
      <c r="C329" s="78" t="s">
        <v>729</v>
      </c>
      <c r="D329" s="86" t="s">
        <v>730</v>
      </c>
      <c r="E329" s="83" t="s">
        <v>21</v>
      </c>
      <c r="F329" s="83" t="s">
        <v>7</v>
      </c>
      <c r="G329" s="83" t="s">
        <v>55</v>
      </c>
      <c r="H329" s="94" t="s">
        <v>735</v>
      </c>
      <c r="I329" s="83"/>
      <c r="J329" s="15" t="str">
        <f>IF(E329="Invalid_Segment","Invalid",IFERROR(INDEX(Severity_Matrix!$C$3:$M$10,MATCH('Error Log'!$F329,Severity_Matrix!$B$3:$B$10,0),MATCH('Error Log'!$G329,Severity_Matrix!$C$2:$M$2,0)),"No errors"))</f>
        <v>Critical</v>
      </c>
    </row>
    <row r="330" spans="1:10">
      <c r="A330" s="79" t="s">
        <v>914</v>
      </c>
      <c r="B330" s="18">
        <v>1</v>
      </c>
      <c r="C330" s="78" t="s">
        <v>736</v>
      </c>
      <c r="D330" s="86" t="s">
        <v>737</v>
      </c>
      <c r="E330" s="83" t="s">
        <v>21</v>
      </c>
      <c r="F330" s="83" t="s">
        <v>22</v>
      </c>
      <c r="G330" s="83" t="s">
        <v>55</v>
      </c>
      <c r="H330" s="83" t="s">
        <v>738</v>
      </c>
      <c r="I330" s="83"/>
      <c r="J330" s="15" t="str">
        <f>IF(E330="Invalid_Segment","Invalid",IFERROR(INDEX(Severity_Matrix!$C$3:$M$10,MATCH('Error Log'!$F330,Severity_Matrix!$B$3:$B$10,0),MATCH('Error Log'!$G330,Severity_Matrix!$C$2:$M$2,0)),"No errors"))</f>
        <v>Major</v>
      </c>
    </row>
    <row r="331" spans="1:10">
      <c r="A331" s="79" t="s">
        <v>914</v>
      </c>
      <c r="B331" s="18">
        <v>2</v>
      </c>
      <c r="C331" s="78" t="s">
        <v>736</v>
      </c>
      <c r="D331" s="86" t="s">
        <v>737</v>
      </c>
      <c r="E331" s="83" t="s">
        <v>2</v>
      </c>
      <c r="F331" s="83" t="s">
        <v>26</v>
      </c>
      <c r="G331" s="83" t="s">
        <v>55</v>
      </c>
      <c r="H331" s="83" t="s">
        <v>739</v>
      </c>
      <c r="I331" s="83"/>
      <c r="J331" s="15" t="str">
        <f>IF(E331="Invalid_Segment","Invalid",IFERROR(INDEX(Severity_Matrix!$C$3:$M$10,MATCH('Error Log'!$F331,Severity_Matrix!$B$3:$B$10,0),MATCH('Error Log'!$G331,Severity_Matrix!$C$2:$M$2,0)),"No errors"))</f>
        <v>Major</v>
      </c>
    </row>
    <row r="332" spans="1:10">
      <c r="A332" s="79" t="s">
        <v>914</v>
      </c>
      <c r="B332" s="18">
        <v>3</v>
      </c>
      <c r="C332" s="78" t="s">
        <v>736</v>
      </c>
      <c r="D332" s="86" t="s">
        <v>737</v>
      </c>
      <c r="E332" s="83" t="s">
        <v>21</v>
      </c>
      <c r="F332" s="83" t="s">
        <v>7</v>
      </c>
      <c r="G332" s="83" t="s">
        <v>55</v>
      </c>
      <c r="H332" s="83" t="s">
        <v>740</v>
      </c>
      <c r="I332" s="83"/>
      <c r="J332" s="15" t="str">
        <f>IF(E332="Invalid_Segment","Invalid",IFERROR(INDEX(Severity_Matrix!$C$3:$M$10,MATCH('Error Log'!$F332,Severity_Matrix!$B$3:$B$10,0),MATCH('Error Log'!$G332,Severity_Matrix!$C$2:$M$2,0)),"No errors"))</f>
        <v>Critical</v>
      </c>
    </row>
    <row r="333" spans="1:10">
      <c r="A333" s="79" t="s">
        <v>914</v>
      </c>
      <c r="B333" s="18">
        <v>4</v>
      </c>
      <c r="C333" s="78" t="s">
        <v>736</v>
      </c>
      <c r="D333" s="86" t="s">
        <v>737</v>
      </c>
      <c r="E333" s="83" t="s">
        <v>21</v>
      </c>
      <c r="F333" s="83" t="s">
        <v>7</v>
      </c>
      <c r="G333" s="83" t="s">
        <v>55</v>
      </c>
      <c r="H333" s="83" t="s">
        <v>741</v>
      </c>
      <c r="I333" s="83"/>
      <c r="J333" s="15" t="str">
        <f>IF(E333="Invalid_Segment","Invalid",IFERROR(INDEX(Severity_Matrix!$C$3:$M$10,MATCH('Error Log'!$F333,Severity_Matrix!$B$3:$B$10,0),MATCH('Error Log'!$G333,Severity_Matrix!$C$2:$M$2,0)),"No errors"))</f>
        <v>Critical</v>
      </c>
    </row>
    <row r="334" spans="1:10">
      <c r="A334" s="79" t="s">
        <v>915</v>
      </c>
      <c r="B334" s="18">
        <v>1</v>
      </c>
      <c r="C334" s="78" t="s">
        <v>742</v>
      </c>
      <c r="D334" s="86" t="s">
        <v>743</v>
      </c>
      <c r="E334" s="83" t="s">
        <v>21</v>
      </c>
      <c r="F334" s="83" t="s">
        <v>22</v>
      </c>
      <c r="G334" s="83" t="s">
        <v>55</v>
      </c>
      <c r="H334" s="83" t="s">
        <v>744</v>
      </c>
      <c r="I334" s="83"/>
      <c r="J334" s="15" t="str">
        <f>IF(E334="Invalid_Segment","Invalid",IFERROR(INDEX(Severity_Matrix!$C$3:$M$10,MATCH('Error Log'!$F334,Severity_Matrix!$B$3:$B$10,0),MATCH('Error Log'!$G334,Severity_Matrix!$C$2:$M$2,0)),"No errors"))</f>
        <v>Major</v>
      </c>
    </row>
    <row r="335" spans="1:10">
      <c r="A335" s="79" t="s">
        <v>915</v>
      </c>
      <c r="B335" s="18">
        <v>2</v>
      </c>
      <c r="C335" s="78" t="s">
        <v>742</v>
      </c>
      <c r="D335" s="86" t="s">
        <v>743</v>
      </c>
      <c r="E335" s="83" t="s">
        <v>21</v>
      </c>
      <c r="F335" s="83" t="s">
        <v>7</v>
      </c>
      <c r="G335" s="83" t="s">
        <v>55</v>
      </c>
      <c r="H335" s="83" t="s">
        <v>745</v>
      </c>
      <c r="I335" s="83"/>
      <c r="J335" s="15" t="str">
        <f>IF(E335="Invalid_Segment","Invalid",IFERROR(INDEX(Severity_Matrix!$C$3:$M$10,MATCH('Error Log'!$F335,Severity_Matrix!$B$3:$B$10,0),MATCH('Error Log'!$G335,Severity_Matrix!$C$2:$M$2,0)),"No errors"))</f>
        <v>Critical</v>
      </c>
    </row>
    <row r="336" spans="1:10">
      <c r="A336" s="79" t="s">
        <v>915</v>
      </c>
      <c r="B336" s="18">
        <v>3</v>
      </c>
      <c r="C336" s="78" t="s">
        <v>742</v>
      </c>
      <c r="D336" s="86" t="s">
        <v>743</v>
      </c>
      <c r="E336" s="83" t="s">
        <v>21</v>
      </c>
      <c r="F336" s="83" t="s">
        <v>7</v>
      </c>
      <c r="G336" s="83" t="s">
        <v>55</v>
      </c>
      <c r="H336" s="83" t="s">
        <v>746</v>
      </c>
      <c r="I336" s="83"/>
      <c r="J336" s="15" t="str">
        <f>IF(E336="Invalid_Segment","Invalid",IFERROR(INDEX(Severity_Matrix!$C$3:$M$10,MATCH('Error Log'!$F336,Severity_Matrix!$B$3:$B$10,0),MATCH('Error Log'!$G336,Severity_Matrix!$C$2:$M$2,0)),"No errors"))</f>
        <v>Critical</v>
      </c>
    </row>
    <row r="337" spans="1:10">
      <c r="A337" s="79" t="s">
        <v>916</v>
      </c>
      <c r="B337" s="18">
        <v>1</v>
      </c>
      <c r="C337" s="78" t="s">
        <v>747</v>
      </c>
      <c r="D337" s="86" t="s">
        <v>748</v>
      </c>
      <c r="E337" s="83"/>
      <c r="F337" s="83"/>
      <c r="G337" s="83"/>
      <c r="H337" s="83"/>
      <c r="I337" s="83"/>
      <c r="J337" s="15" t="str">
        <f>IF(E337="Invalid_Segment","Invalid",IFERROR(INDEX(Severity_Matrix!$C$3:$M$10,MATCH('Error Log'!$F337,Severity_Matrix!$B$3:$B$10,0),MATCH('Error Log'!$G337,Severity_Matrix!$C$2:$M$2,0)),"No errors"))</f>
        <v>No errors</v>
      </c>
    </row>
    <row r="338" spans="1:10">
      <c r="A338" s="79" t="s">
        <v>917</v>
      </c>
      <c r="B338" s="18">
        <v>1</v>
      </c>
      <c r="C338" s="78" t="s">
        <v>749</v>
      </c>
      <c r="D338" s="86" t="s">
        <v>750</v>
      </c>
      <c r="E338" s="83" t="s">
        <v>21</v>
      </c>
      <c r="F338" s="83" t="s">
        <v>22</v>
      </c>
      <c r="G338" s="83" t="s">
        <v>28</v>
      </c>
      <c r="H338" s="83" t="s">
        <v>751</v>
      </c>
      <c r="I338" s="83"/>
      <c r="J338" s="15" t="str">
        <f>IF(E338="Invalid_Segment","Invalid",IFERROR(INDEX(Severity_Matrix!$C$3:$M$10,MATCH('Error Log'!$F338,Severity_Matrix!$B$3:$B$10,0),MATCH('Error Log'!$G338,Severity_Matrix!$C$2:$M$2,0)),"No errors"))</f>
        <v>Major</v>
      </c>
    </row>
    <row r="339" spans="1:10">
      <c r="A339" s="79" t="s">
        <v>917</v>
      </c>
      <c r="B339" s="18">
        <v>2</v>
      </c>
      <c r="C339" s="78" t="s">
        <v>749</v>
      </c>
      <c r="D339" s="86" t="s">
        <v>750</v>
      </c>
      <c r="E339" s="83" t="s">
        <v>21</v>
      </c>
      <c r="F339" s="83" t="s">
        <v>7</v>
      </c>
      <c r="G339" s="83" t="s">
        <v>55</v>
      </c>
      <c r="H339" s="83" t="s">
        <v>752</v>
      </c>
      <c r="I339" s="83"/>
      <c r="J339" s="15" t="str">
        <f>IF(E339="Invalid_Segment","Invalid",IFERROR(INDEX(Severity_Matrix!$C$3:$M$10,MATCH('Error Log'!$F339,Severity_Matrix!$B$3:$B$10,0),MATCH('Error Log'!$G339,Severity_Matrix!$C$2:$M$2,0)),"No errors"))</f>
        <v>Critical</v>
      </c>
    </row>
    <row r="340" spans="1:10">
      <c r="A340" s="79" t="s">
        <v>917</v>
      </c>
      <c r="B340" s="18">
        <v>3</v>
      </c>
      <c r="C340" s="78" t="s">
        <v>749</v>
      </c>
      <c r="D340" s="86" t="s">
        <v>750</v>
      </c>
      <c r="E340" s="83" t="s">
        <v>21</v>
      </c>
      <c r="F340" s="83" t="s">
        <v>22</v>
      </c>
      <c r="G340" s="83" t="s">
        <v>55</v>
      </c>
      <c r="H340" s="83" t="s">
        <v>753</v>
      </c>
      <c r="I340" s="83"/>
      <c r="J340" s="15" t="str">
        <f>IF(E340="Invalid_Segment","Invalid",IFERROR(INDEX(Severity_Matrix!$C$3:$M$10,MATCH('Error Log'!$F340,Severity_Matrix!$B$3:$B$10,0),MATCH('Error Log'!$G340,Severity_Matrix!$C$2:$M$2,0)),"No errors"))</f>
        <v>Major</v>
      </c>
    </row>
    <row r="341" spans="1:10">
      <c r="A341" s="79" t="s">
        <v>918</v>
      </c>
      <c r="B341" s="18">
        <v>1</v>
      </c>
      <c r="C341" s="78" t="s">
        <v>754</v>
      </c>
      <c r="D341" s="86" t="s">
        <v>755</v>
      </c>
      <c r="E341" s="83" t="s">
        <v>21</v>
      </c>
      <c r="F341" s="83" t="s">
        <v>22</v>
      </c>
      <c r="G341" s="83" t="s">
        <v>28</v>
      </c>
      <c r="H341" s="83" t="s">
        <v>649</v>
      </c>
      <c r="I341" s="83"/>
      <c r="J341" s="15" t="str">
        <f>IF(E341="Invalid_Segment","Invalid",IFERROR(INDEX(Severity_Matrix!$C$3:$M$10,MATCH('Error Log'!$F341,Severity_Matrix!$B$3:$B$10,0),MATCH('Error Log'!$G341,Severity_Matrix!$C$2:$M$2,0)),"No errors"))</f>
        <v>Major</v>
      </c>
    </row>
    <row r="342" spans="1:10">
      <c r="A342" s="79" t="s">
        <v>918</v>
      </c>
      <c r="B342" s="18">
        <v>2</v>
      </c>
      <c r="C342" s="78" t="s">
        <v>754</v>
      </c>
      <c r="D342" s="86" t="s">
        <v>755</v>
      </c>
      <c r="E342" s="83" t="s">
        <v>21</v>
      </c>
      <c r="F342" s="83" t="s">
        <v>22</v>
      </c>
      <c r="G342" s="83" t="s">
        <v>55</v>
      </c>
      <c r="H342" s="83" t="s">
        <v>756</v>
      </c>
      <c r="I342" s="83"/>
      <c r="J342" s="15" t="str">
        <f>IF(E342="Invalid_Segment","Invalid",IFERROR(INDEX(Severity_Matrix!$C$3:$M$10,MATCH('Error Log'!$F342,Severity_Matrix!$B$3:$B$10,0),MATCH('Error Log'!$G342,Severity_Matrix!$C$2:$M$2,0)),"No errors"))</f>
        <v>Major</v>
      </c>
    </row>
    <row r="343" spans="1:10">
      <c r="A343" s="79" t="s">
        <v>919</v>
      </c>
      <c r="B343" s="18">
        <v>1</v>
      </c>
      <c r="C343" s="78" t="s">
        <v>757</v>
      </c>
      <c r="D343" s="86" t="s">
        <v>758</v>
      </c>
      <c r="E343" s="83" t="s">
        <v>2</v>
      </c>
      <c r="F343" s="83" t="s">
        <v>26</v>
      </c>
      <c r="G343" s="83" t="s">
        <v>55</v>
      </c>
      <c r="H343" s="83" t="s">
        <v>759</v>
      </c>
      <c r="I343" s="83"/>
      <c r="J343" s="15" t="str">
        <f>IF(E343="Invalid_Segment","Invalid",IFERROR(INDEX(Severity_Matrix!$C$3:$M$10,MATCH('Error Log'!$F343,Severity_Matrix!$B$3:$B$10,0),MATCH('Error Log'!$G343,Severity_Matrix!$C$2:$M$2,0)),"No errors"))</f>
        <v>Major</v>
      </c>
    </row>
    <row r="344" spans="1:10">
      <c r="A344" s="79" t="s">
        <v>919</v>
      </c>
      <c r="B344" s="18">
        <v>2</v>
      </c>
      <c r="C344" s="78" t="s">
        <v>757</v>
      </c>
      <c r="D344" s="86" t="s">
        <v>758</v>
      </c>
      <c r="E344" s="83" t="s">
        <v>21</v>
      </c>
      <c r="F344" s="83" t="s">
        <v>7</v>
      </c>
      <c r="G344" s="83" t="s">
        <v>55</v>
      </c>
      <c r="H344" s="83" t="s">
        <v>760</v>
      </c>
      <c r="I344" s="83"/>
      <c r="J344" s="15" t="str">
        <f>IF(E344="Invalid_Segment","Invalid",IFERROR(INDEX(Severity_Matrix!$C$3:$M$10,MATCH('Error Log'!$F344,Severity_Matrix!$B$3:$B$10,0),MATCH('Error Log'!$G344,Severity_Matrix!$C$2:$M$2,0)),"No errors"))</f>
        <v>Critical</v>
      </c>
    </row>
    <row r="345" spans="1:10">
      <c r="A345" s="79" t="s">
        <v>920</v>
      </c>
      <c r="B345" s="18">
        <v>1</v>
      </c>
      <c r="C345" s="78" t="s">
        <v>761</v>
      </c>
      <c r="D345" s="86" t="s">
        <v>762</v>
      </c>
      <c r="E345" s="83" t="s">
        <v>21</v>
      </c>
      <c r="F345" s="83" t="s">
        <v>22</v>
      </c>
      <c r="G345" s="95" t="s">
        <v>55</v>
      </c>
      <c r="H345" s="83" t="s">
        <v>763</v>
      </c>
      <c r="I345" s="83"/>
      <c r="J345" s="15" t="str">
        <f>IF(E345="Invalid_Segment","Invalid",IFERROR(INDEX(Severity_Matrix!$C$3:$M$10,MATCH('Error Log'!$F345,Severity_Matrix!$B$3:$B$10,0),MATCH('Error Log'!$G345,Severity_Matrix!$C$2:$M$2,0)),"No errors"))</f>
        <v>Major</v>
      </c>
    </row>
    <row r="346" spans="1:10">
      <c r="A346" s="79" t="s">
        <v>920</v>
      </c>
      <c r="B346" s="18">
        <v>2</v>
      </c>
      <c r="C346" s="78" t="s">
        <v>761</v>
      </c>
      <c r="D346" s="86" t="s">
        <v>762</v>
      </c>
      <c r="E346" s="83" t="s">
        <v>21</v>
      </c>
      <c r="F346" s="83" t="s">
        <v>7</v>
      </c>
      <c r="G346" s="83" t="s">
        <v>55</v>
      </c>
      <c r="H346" s="83" t="s">
        <v>764</v>
      </c>
      <c r="I346" s="83"/>
      <c r="J346" s="15" t="str">
        <f>IF(E346="Invalid_Segment","Invalid",IFERROR(INDEX(Severity_Matrix!$C$3:$M$10,MATCH('Error Log'!$F346,Severity_Matrix!$B$3:$B$10,0),MATCH('Error Log'!$G346,Severity_Matrix!$C$2:$M$2,0)),"No errors"))</f>
        <v>Critical</v>
      </c>
    </row>
    <row r="347" spans="1:10">
      <c r="A347" s="79" t="s">
        <v>921</v>
      </c>
      <c r="B347" s="18">
        <v>1</v>
      </c>
      <c r="C347" s="78" t="s">
        <v>765</v>
      </c>
      <c r="D347" s="86" t="s">
        <v>766</v>
      </c>
      <c r="E347" s="83" t="s">
        <v>21</v>
      </c>
      <c r="F347" s="83" t="s">
        <v>22</v>
      </c>
      <c r="G347" s="83" t="s">
        <v>55</v>
      </c>
      <c r="H347" s="94" t="s">
        <v>767</v>
      </c>
      <c r="I347" s="83"/>
      <c r="J347" s="15" t="str">
        <f>IF(E347="Invalid_Segment","Invalid",IFERROR(INDEX(Severity_Matrix!$C$3:$M$10,MATCH('Error Log'!$F347,Severity_Matrix!$B$3:$B$10,0),MATCH('Error Log'!$G347,Severity_Matrix!$C$2:$M$2,0)),"No errors"))</f>
        <v>Major</v>
      </c>
    </row>
    <row r="348" spans="1:10">
      <c r="A348" s="79" t="s">
        <v>921</v>
      </c>
      <c r="B348" s="18">
        <v>2</v>
      </c>
      <c r="C348" s="78" t="s">
        <v>765</v>
      </c>
      <c r="D348" s="86" t="s">
        <v>766</v>
      </c>
      <c r="E348" s="83" t="s">
        <v>2</v>
      </c>
      <c r="F348" s="83" t="s">
        <v>26</v>
      </c>
      <c r="G348" s="83" t="s">
        <v>55</v>
      </c>
      <c r="H348" s="94" t="s">
        <v>767</v>
      </c>
      <c r="I348" s="83"/>
      <c r="J348" s="15" t="str">
        <f>IF(E348="Invalid_Segment","Invalid",IFERROR(INDEX(Severity_Matrix!$C$3:$M$10,MATCH('Error Log'!$F348,Severity_Matrix!$B$3:$B$10,0),MATCH('Error Log'!$G348,Severity_Matrix!$C$2:$M$2,0)),"No errors"))</f>
        <v>Major</v>
      </c>
    </row>
    <row r="349" spans="1:10">
      <c r="A349" s="79" t="s">
        <v>921</v>
      </c>
      <c r="B349" s="18">
        <v>3</v>
      </c>
      <c r="C349" s="78" t="s">
        <v>765</v>
      </c>
      <c r="D349" s="86" t="s">
        <v>766</v>
      </c>
      <c r="E349" s="83" t="s">
        <v>21</v>
      </c>
      <c r="F349" s="83" t="s">
        <v>7</v>
      </c>
      <c r="G349" s="83" t="s">
        <v>55</v>
      </c>
      <c r="H349" s="83" t="s">
        <v>768</v>
      </c>
      <c r="I349" s="83"/>
      <c r="J349" s="15" t="str">
        <f>IF(E349="Invalid_Segment","Invalid",IFERROR(INDEX(Severity_Matrix!$C$3:$M$10,MATCH('Error Log'!$F349,Severity_Matrix!$B$3:$B$10,0),MATCH('Error Log'!$G349,Severity_Matrix!$C$2:$M$2,0)),"No errors"))</f>
        <v>Critical</v>
      </c>
    </row>
    <row r="350" spans="1:10">
      <c r="A350" s="96" t="s">
        <v>922</v>
      </c>
      <c r="B350" s="18">
        <v>1</v>
      </c>
      <c r="C350" s="78" t="s">
        <v>771</v>
      </c>
      <c r="D350" s="78" t="s">
        <v>772</v>
      </c>
      <c r="E350" s="83" t="s">
        <v>21</v>
      </c>
      <c r="F350" s="83" t="s">
        <v>22</v>
      </c>
      <c r="G350" s="83" t="s">
        <v>28</v>
      </c>
      <c r="H350" s="83" t="s">
        <v>649</v>
      </c>
      <c r="I350" s="83"/>
      <c r="J350" s="15" t="str">
        <f>IF(E350="Invalid_Segment","Invalid",IFERROR(INDEX(Severity_Matrix!$C$3:$M$10,MATCH('Error Log'!$F350,Severity_Matrix!$B$3:$B$10,0),MATCH('Error Log'!$G350,Severity_Matrix!$C$2:$M$2,0)),"No errors"))</f>
        <v>Major</v>
      </c>
    </row>
    <row r="351" spans="1:10">
      <c r="A351" s="96" t="s">
        <v>922</v>
      </c>
      <c r="B351" s="18">
        <v>2</v>
      </c>
      <c r="C351" s="78" t="s">
        <v>771</v>
      </c>
      <c r="D351" s="78" t="s">
        <v>772</v>
      </c>
      <c r="E351" s="83" t="s">
        <v>21</v>
      </c>
      <c r="F351" s="83" t="s">
        <v>22</v>
      </c>
      <c r="G351" s="83" t="s">
        <v>28</v>
      </c>
      <c r="H351" s="83" t="s">
        <v>773</v>
      </c>
      <c r="I351" s="83"/>
      <c r="J351" s="15" t="str">
        <f>IF(E351="Invalid_Segment","Invalid",IFERROR(INDEX(Severity_Matrix!$C$3:$M$10,MATCH('Error Log'!$F351,Severity_Matrix!$B$3:$B$10,0),MATCH('Error Log'!$G351,Severity_Matrix!$C$2:$M$2,0)),"No errors"))</f>
        <v>Major</v>
      </c>
    </row>
    <row r="352" spans="1:10">
      <c r="A352" s="96" t="s">
        <v>922</v>
      </c>
      <c r="B352" s="18">
        <v>3</v>
      </c>
      <c r="C352" s="78" t="s">
        <v>771</v>
      </c>
      <c r="D352" s="78" t="s">
        <v>772</v>
      </c>
      <c r="E352" s="83" t="s">
        <v>21</v>
      </c>
      <c r="F352" s="83" t="s">
        <v>22</v>
      </c>
      <c r="G352" s="83" t="s">
        <v>55</v>
      </c>
      <c r="H352" s="83" t="s">
        <v>774</v>
      </c>
      <c r="I352" s="83"/>
      <c r="J352" s="15" t="str">
        <f>IF(E352="Invalid_Segment","Invalid",IFERROR(INDEX(Severity_Matrix!$C$3:$M$10,MATCH('Error Log'!$F352,Severity_Matrix!$B$3:$B$10,0),MATCH('Error Log'!$G352,Severity_Matrix!$C$2:$M$2,0)),"No errors"))</f>
        <v>Major</v>
      </c>
    </row>
    <row r="353" spans="1:10">
      <c r="A353" s="96" t="s">
        <v>922</v>
      </c>
      <c r="B353" s="18">
        <v>4</v>
      </c>
      <c r="C353" s="78" t="s">
        <v>771</v>
      </c>
      <c r="D353" s="78" t="s">
        <v>772</v>
      </c>
      <c r="E353" s="83" t="s">
        <v>21</v>
      </c>
      <c r="F353" s="83" t="s">
        <v>22</v>
      </c>
      <c r="G353" s="83" t="s">
        <v>55</v>
      </c>
      <c r="H353" s="83" t="s">
        <v>775</v>
      </c>
      <c r="I353" s="83"/>
      <c r="J353" s="15" t="str">
        <f>IF(E353="Invalid_Segment","Invalid",IFERROR(INDEX(Severity_Matrix!$C$3:$M$10,MATCH('Error Log'!$F353,Severity_Matrix!$B$3:$B$10,0),MATCH('Error Log'!$G353,Severity_Matrix!$C$2:$M$2,0)),"No errors"))</f>
        <v>Major</v>
      </c>
    </row>
    <row r="354" spans="1:10">
      <c r="A354" s="96" t="s">
        <v>922</v>
      </c>
      <c r="B354" s="18">
        <v>5</v>
      </c>
      <c r="C354" s="78" t="s">
        <v>771</v>
      </c>
      <c r="D354" s="78" t="s">
        <v>772</v>
      </c>
      <c r="E354" s="83" t="s">
        <v>21</v>
      </c>
      <c r="F354" s="83" t="s">
        <v>7</v>
      </c>
      <c r="G354" s="83" t="s">
        <v>28</v>
      </c>
      <c r="H354" s="83" t="s">
        <v>776</v>
      </c>
      <c r="I354" s="83"/>
      <c r="J354" s="15" t="str">
        <f>IF(E354="Invalid_Segment","Invalid",IFERROR(INDEX(Severity_Matrix!$C$3:$M$10,MATCH('Error Log'!$F354,Severity_Matrix!$B$3:$B$10,0),MATCH('Error Log'!$G354,Severity_Matrix!$C$2:$M$2,0)),"No errors"))</f>
        <v>Major</v>
      </c>
    </row>
    <row r="355" spans="1:10">
      <c r="A355" s="96" t="s">
        <v>922</v>
      </c>
      <c r="B355" s="18">
        <v>6</v>
      </c>
      <c r="C355" s="78" t="s">
        <v>771</v>
      </c>
      <c r="D355" s="78" t="s">
        <v>772</v>
      </c>
      <c r="E355" s="83" t="s">
        <v>21</v>
      </c>
      <c r="F355" s="83" t="s">
        <v>7</v>
      </c>
      <c r="G355" s="83" t="s">
        <v>55</v>
      </c>
      <c r="H355" s="83" t="s">
        <v>777</v>
      </c>
      <c r="I355" s="83"/>
      <c r="J355" s="15" t="str">
        <f>IF(E355="Invalid_Segment","Invalid",IFERROR(INDEX(Severity_Matrix!$C$3:$M$10,MATCH('Error Log'!$F355,Severity_Matrix!$B$3:$B$10,0),MATCH('Error Log'!$G355,Severity_Matrix!$C$2:$M$2,0)),"No errors"))</f>
        <v>Critical</v>
      </c>
    </row>
    <row r="356" spans="1:10">
      <c r="A356" s="96" t="s">
        <v>923</v>
      </c>
      <c r="B356" s="18">
        <v>1</v>
      </c>
      <c r="C356" s="78" t="s">
        <v>778</v>
      </c>
      <c r="D356" s="78" t="s">
        <v>779</v>
      </c>
      <c r="E356" s="83" t="s">
        <v>2</v>
      </c>
      <c r="F356" s="83" t="s">
        <v>26</v>
      </c>
      <c r="G356" s="83" t="s">
        <v>55</v>
      </c>
      <c r="H356" s="83" t="s">
        <v>780</v>
      </c>
      <c r="I356" s="83"/>
      <c r="J356" s="15" t="str">
        <f>IF(E356="Invalid_Segment","Invalid",IFERROR(INDEX(Severity_Matrix!$C$3:$M$10,MATCH('Error Log'!$F356,Severity_Matrix!$B$3:$B$10,0),MATCH('Error Log'!$G356,Severity_Matrix!$C$2:$M$2,0)),"No errors"))</f>
        <v>Major</v>
      </c>
    </row>
    <row r="357" spans="1:10">
      <c r="A357" s="96" t="s">
        <v>923</v>
      </c>
      <c r="B357" s="18">
        <v>2</v>
      </c>
      <c r="C357" s="78" t="s">
        <v>778</v>
      </c>
      <c r="D357" s="78" t="s">
        <v>779</v>
      </c>
      <c r="E357" s="83" t="s">
        <v>21</v>
      </c>
      <c r="F357" s="83" t="s">
        <v>7</v>
      </c>
      <c r="G357" s="83" t="s">
        <v>55</v>
      </c>
      <c r="H357" s="83" t="s">
        <v>781</v>
      </c>
      <c r="I357" s="83"/>
      <c r="J357" s="15" t="str">
        <f>IF(E357="Invalid_Segment","Invalid",IFERROR(INDEX(Severity_Matrix!$C$3:$M$10,MATCH('Error Log'!$F357,Severity_Matrix!$B$3:$B$10,0),MATCH('Error Log'!$G357,Severity_Matrix!$C$2:$M$2,0)),"No errors"))</f>
        <v>Critical</v>
      </c>
    </row>
    <row r="358" spans="1:10">
      <c r="A358" s="96" t="s">
        <v>924</v>
      </c>
      <c r="B358" s="18">
        <v>1</v>
      </c>
      <c r="C358" s="78" t="s">
        <v>782</v>
      </c>
      <c r="D358" s="78" t="s">
        <v>783</v>
      </c>
      <c r="E358" s="83" t="s">
        <v>2</v>
      </c>
      <c r="F358" s="83" t="s">
        <v>26</v>
      </c>
      <c r="G358" s="83" t="s">
        <v>55</v>
      </c>
      <c r="H358" s="83" t="s">
        <v>784</v>
      </c>
      <c r="I358" s="83"/>
      <c r="J358" s="15" t="str">
        <f>IF(E358="Invalid_Segment","Invalid",IFERROR(INDEX(Severity_Matrix!$C$3:$M$10,MATCH('Error Log'!$F358,Severity_Matrix!$B$3:$B$10,0),MATCH('Error Log'!$G358,Severity_Matrix!$C$2:$M$2,0)),"No errors"))</f>
        <v>Major</v>
      </c>
    </row>
    <row r="359" spans="1:10">
      <c r="A359" s="96" t="s">
        <v>924</v>
      </c>
      <c r="B359" s="18">
        <v>2</v>
      </c>
      <c r="C359" s="78" t="s">
        <v>782</v>
      </c>
      <c r="D359" s="78" t="s">
        <v>783</v>
      </c>
      <c r="E359" s="83" t="s">
        <v>21</v>
      </c>
      <c r="F359" s="83" t="s">
        <v>7</v>
      </c>
      <c r="G359" s="83" t="s">
        <v>55</v>
      </c>
      <c r="H359" s="83" t="s">
        <v>785</v>
      </c>
      <c r="I359" s="83"/>
      <c r="J359" s="15" t="str">
        <f>IF(E359="Invalid_Segment","Invalid",IFERROR(INDEX(Severity_Matrix!$C$3:$M$10,MATCH('Error Log'!$F359,Severity_Matrix!$B$3:$B$10,0),MATCH('Error Log'!$G359,Severity_Matrix!$C$2:$M$2,0)),"No errors"))</f>
        <v>Critical</v>
      </c>
    </row>
    <row r="360" spans="1:10">
      <c r="A360" s="96" t="s">
        <v>925</v>
      </c>
      <c r="B360" s="18">
        <v>1</v>
      </c>
      <c r="C360" s="78" t="s">
        <v>786</v>
      </c>
      <c r="D360" s="78" t="s">
        <v>787</v>
      </c>
      <c r="E360" s="83" t="s">
        <v>21</v>
      </c>
      <c r="F360" s="83" t="s">
        <v>22</v>
      </c>
      <c r="G360" s="83" t="s">
        <v>28</v>
      </c>
      <c r="H360" s="83" t="s">
        <v>751</v>
      </c>
      <c r="I360" s="83"/>
      <c r="J360" s="15" t="str">
        <f>IF(E360="Invalid_Segment","Invalid",IFERROR(INDEX(Severity_Matrix!$C$3:$M$10,MATCH('Error Log'!$F360,Severity_Matrix!$B$3:$B$10,0),MATCH('Error Log'!$G360,Severity_Matrix!$C$2:$M$2,0)),"No errors"))</f>
        <v>Major</v>
      </c>
    </row>
    <row r="361" spans="1:10">
      <c r="A361" s="96" t="s">
        <v>925</v>
      </c>
      <c r="B361" s="18">
        <v>2</v>
      </c>
      <c r="C361" s="78" t="s">
        <v>786</v>
      </c>
      <c r="D361" s="78" t="s">
        <v>787</v>
      </c>
      <c r="E361" s="83" t="s">
        <v>21</v>
      </c>
      <c r="F361" s="83" t="s">
        <v>7</v>
      </c>
      <c r="G361" s="83" t="s">
        <v>55</v>
      </c>
      <c r="H361" s="83" t="s">
        <v>788</v>
      </c>
      <c r="I361" s="83"/>
      <c r="J361" s="15" t="str">
        <f>IF(E361="Invalid_Segment","Invalid",IFERROR(INDEX(Severity_Matrix!$C$3:$M$10,MATCH('Error Log'!$F361,Severity_Matrix!$B$3:$B$10,0),MATCH('Error Log'!$G361,Severity_Matrix!$C$2:$M$2,0)),"No errors"))</f>
        <v>Critical</v>
      </c>
    </row>
    <row r="362" spans="1:10">
      <c r="A362" s="96" t="s">
        <v>926</v>
      </c>
      <c r="B362" s="18">
        <v>1</v>
      </c>
      <c r="C362" s="78" t="s">
        <v>789</v>
      </c>
      <c r="D362" s="78" t="s">
        <v>790</v>
      </c>
      <c r="E362" s="83" t="s">
        <v>21</v>
      </c>
      <c r="F362" s="83" t="s">
        <v>22</v>
      </c>
      <c r="G362" s="83" t="s">
        <v>55</v>
      </c>
      <c r="H362" s="83" t="s">
        <v>791</v>
      </c>
      <c r="I362" s="83"/>
      <c r="J362" s="15" t="str">
        <f>IF(E362="Invalid_Segment","Invalid",IFERROR(INDEX(Severity_Matrix!$C$3:$M$10,MATCH('Error Log'!$F362,Severity_Matrix!$B$3:$B$10,0),MATCH('Error Log'!$G362,Severity_Matrix!$C$2:$M$2,0)),"No errors"))</f>
        <v>Major</v>
      </c>
    </row>
    <row r="363" spans="1:10">
      <c r="A363" s="96" t="s">
        <v>927</v>
      </c>
      <c r="B363" s="18">
        <v>1</v>
      </c>
      <c r="C363" s="78" t="s">
        <v>792</v>
      </c>
      <c r="D363" s="78" t="s">
        <v>793</v>
      </c>
      <c r="E363" s="83" t="s">
        <v>2</v>
      </c>
      <c r="F363" s="83" t="s">
        <v>26</v>
      </c>
      <c r="G363" s="83" t="s">
        <v>55</v>
      </c>
      <c r="H363" s="83" t="s">
        <v>794</v>
      </c>
      <c r="I363" s="83"/>
      <c r="J363" s="15" t="str">
        <f>IF(E363="Invalid_Segment","Invalid",IFERROR(INDEX(Severity_Matrix!$C$3:$M$10,MATCH('Error Log'!$F363,Severity_Matrix!$B$3:$B$10,0),MATCH('Error Log'!$G363,Severity_Matrix!$C$2:$M$2,0)),"No errors"))</f>
        <v>Major</v>
      </c>
    </row>
    <row r="364" spans="1:10">
      <c r="A364" s="96" t="s">
        <v>927</v>
      </c>
      <c r="B364" s="18">
        <v>2</v>
      </c>
      <c r="C364" s="78" t="s">
        <v>792</v>
      </c>
      <c r="D364" s="78" t="s">
        <v>793</v>
      </c>
      <c r="E364" s="83" t="s">
        <v>21</v>
      </c>
      <c r="F364" s="83" t="s">
        <v>7</v>
      </c>
      <c r="G364" s="83" t="s">
        <v>55</v>
      </c>
      <c r="H364" s="83" t="s">
        <v>795</v>
      </c>
      <c r="I364" s="83"/>
      <c r="J364" s="15" t="str">
        <f>IF(E364="Invalid_Segment","Invalid",IFERROR(INDEX(Severity_Matrix!$C$3:$M$10,MATCH('Error Log'!$F364,Severity_Matrix!$B$3:$B$10,0),MATCH('Error Log'!$G364,Severity_Matrix!$C$2:$M$2,0)),"No errors"))</f>
        <v>Critical</v>
      </c>
    </row>
    <row r="365" spans="1:10">
      <c r="A365" s="96" t="s">
        <v>928</v>
      </c>
      <c r="B365" s="18">
        <v>1</v>
      </c>
      <c r="C365" s="78" t="s">
        <v>796</v>
      </c>
      <c r="D365" s="78" t="s">
        <v>797</v>
      </c>
      <c r="E365" s="83"/>
      <c r="F365" s="83"/>
      <c r="G365" s="83"/>
      <c r="H365" s="83"/>
      <c r="I365" s="83"/>
      <c r="J365" s="15" t="str">
        <f>IF(E365="Invalid_Segment","Invalid",IFERROR(INDEX(Severity_Matrix!$C$3:$M$10,MATCH('Error Log'!$F365,Severity_Matrix!$B$3:$B$10,0),MATCH('Error Log'!$G365,Severity_Matrix!$C$2:$M$2,0)),"No errors"))</f>
        <v>No errors</v>
      </c>
    </row>
    <row r="366" spans="1:10">
      <c r="A366" s="96" t="s">
        <v>929</v>
      </c>
      <c r="B366" s="18">
        <v>1</v>
      </c>
      <c r="C366" s="78" t="s">
        <v>798</v>
      </c>
      <c r="D366" s="78" t="s">
        <v>799</v>
      </c>
      <c r="E366" s="83" t="s">
        <v>21</v>
      </c>
      <c r="F366" s="83" t="s">
        <v>7</v>
      </c>
      <c r="G366" s="83" t="s">
        <v>55</v>
      </c>
      <c r="H366" s="83" t="s">
        <v>800</v>
      </c>
      <c r="I366" s="83"/>
      <c r="J366" s="15" t="str">
        <f>IF(E366="Invalid_Segment","Invalid",IFERROR(INDEX(Severity_Matrix!$C$3:$M$10,MATCH('Error Log'!$F366,Severity_Matrix!$B$3:$B$10,0),MATCH('Error Log'!$G366,Severity_Matrix!$C$2:$M$2,0)),"No errors"))</f>
        <v>Critical</v>
      </c>
    </row>
    <row r="367" spans="1:10">
      <c r="A367" s="96" t="s">
        <v>930</v>
      </c>
      <c r="B367" s="18">
        <v>1</v>
      </c>
      <c r="C367" s="78" t="s">
        <v>801</v>
      </c>
      <c r="D367" s="78" t="s">
        <v>802</v>
      </c>
      <c r="E367" s="83" t="s">
        <v>2</v>
      </c>
      <c r="F367" s="83" t="s">
        <v>26</v>
      </c>
      <c r="G367" s="83" t="s">
        <v>55</v>
      </c>
      <c r="H367" s="83" t="s">
        <v>803</v>
      </c>
      <c r="I367" s="83"/>
      <c r="J367" s="15" t="str">
        <f>IF(E367="Invalid_Segment","Invalid",IFERROR(INDEX(Severity_Matrix!$C$3:$M$10,MATCH('Error Log'!$F367,Severity_Matrix!$B$3:$B$10,0),MATCH('Error Log'!$G367,Severity_Matrix!$C$2:$M$2,0)),"No errors"))</f>
        <v>Major</v>
      </c>
    </row>
    <row r="368" spans="1:10">
      <c r="A368" s="96" t="s">
        <v>930</v>
      </c>
      <c r="B368" s="18">
        <v>2</v>
      </c>
      <c r="C368" s="78" t="s">
        <v>801</v>
      </c>
      <c r="D368" s="78" t="s">
        <v>802</v>
      </c>
      <c r="E368" s="83" t="s">
        <v>21</v>
      </c>
      <c r="F368" s="83" t="s">
        <v>22</v>
      </c>
      <c r="G368" s="83" t="s">
        <v>28</v>
      </c>
      <c r="H368" s="83" t="s">
        <v>804</v>
      </c>
      <c r="I368" s="83"/>
      <c r="J368" s="15" t="str">
        <f>IF(E368="Invalid_Segment","Invalid",IFERROR(INDEX(Severity_Matrix!$C$3:$M$10,MATCH('Error Log'!$F368,Severity_Matrix!$B$3:$B$10,0),MATCH('Error Log'!$G368,Severity_Matrix!$C$2:$M$2,0)),"No errors"))</f>
        <v>Major</v>
      </c>
    </row>
    <row r="369" spans="1:10">
      <c r="A369" s="96" t="s">
        <v>930</v>
      </c>
      <c r="B369" s="18">
        <v>3</v>
      </c>
      <c r="C369" s="78" t="s">
        <v>801</v>
      </c>
      <c r="D369" s="78" t="s">
        <v>802</v>
      </c>
      <c r="E369" s="83" t="s">
        <v>21</v>
      </c>
      <c r="F369" s="83" t="s">
        <v>7</v>
      </c>
      <c r="G369" s="83" t="s">
        <v>55</v>
      </c>
      <c r="H369" s="83" t="s">
        <v>805</v>
      </c>
      <c r="I369" s="83"/>
      <c r="J369" s="15" t="str">
        <f>IF(E369="Invalid_Segment","Invalid",IFERROR(INDEX(Severity_Matrix!$C$3:$M$10,MATCH('Error Log'!$F369,Severity_Matrix!$B$3:$B$10,0),MATCH('Error Log'!$G369,Severity_Matrix!$C$2:$M$2,0)),"No errors"))</f>
        <v>Critical</v>
      </c>
    </row>
    <row r="370" spans="1:10">
      <c r="A370" s="96" t="s">
        <v>931</v>
      </c>
      <c r="B370" s="18">
        <v>1</v>
      </c>
      <c r="C370" s="78" t="s">
        <v>806</v>
      </c>
      <c r="D370" s="78" t="s">
        <v>807</v>
      </c>
      <c r="E370" s="83" t="s">
        <v>21</v>
      </c>
      <c r="F370" s="83" t="s">
        <v>22</v>
      </c>
      <c r="G370" s="83" t="s">
        <v>55</v>
      </c>
      <c r="H370" s="83" t="s">
        <v>808</v>
      </c>
      <c r="I370" s="83"/>
      <c r="J370" s="15" t="str">
        <f>IF(E370="Invalid_Segment","Invalid",IFERROR(INDEX(Severity_Matrix!$C$3:$M$10,MATCH('Error Log'!$F370,Severity_Matrix!$B$3:$B$10,0),MATCH('Error Log'!$G370,Severity_Matrix!$C$2:$M$2,0)),"No errors"))</f>
        <v>Major</v>
      </c>
    </row>
    <row r="371" spans="1:10">
      <c r="A371" s="96" t="s">
        <v>931</v>
      </c>
      <c r="B371" s="18">
        <v>2</v>
      </c>
      <c r="C371" s="78" t="s">
        <v>806</v>
      </c>
      <c r="D371" s="78" t="s">
        <v>807</v>
      </c>
      <c r="E371" s="83" t="s">
        <v>21</v>
      </c>
      <c r="F371" s="83" t="s">
        <v>7</v>
      </c>
      <c r="G371" s="83" t="s">
        <v>55</v>
      </c>
      <c r="H371" s="83" t="s">
        <v>809</v>
      </c>
      <c r="I371" s="83"/>
      <c r="J371" s="15" t="str">
        <f>IF(E371="Invalid_Segment","Invalid",IFERROR(INDEX(Severity_Matrix!$C$3:$M$10,MATCH('Error Log'!$F371,Severity_Matrix!$B$3:$B$10,0),MATCH('Error Log'!$G371,Severity_Matrix!$C$2:$M$2,0)),"No errors"))</f>
        <v>Critical</v>
      </c>
    </row>
    <row r="372" spans="1:10">
      <c r="A372" s="96" t="s">
        <v>932</v>
      </c>
      <c r="B372" s="18">
        <v>1</v>
      </c>
      <c r="C372" s="78" t="s">
        <v>810</v>
      </c>
      <c r="D372" s="78" t="s">
        <v>811</v>
      </c>
      <c r="E372" s="83" t="s">
        <v>2</v>
      </c>
      <c r="F372" s="83" t="s">
        <v>26</v>
      </c>
      <c r="G372" s="83" t="s">
        <v>55</v>
      </c>
      <c r="H372" s="83" t="s">
        <v>812</v>
      </c>
      <c r="I372" s="83"/>
      <c r="J372" s="15" t="str">
        <f>IF(E372="Invalid_Segment","Invalid",IFERROR(INDEX(Severity_Matrix!$C$3:$M$10,MATCH('Error Log'!$F372,Severity_Matrix!$B$3:$B$10,0),MATCH('Error Log'!$G372,Severity_Matrix!$C$2:$M$2,0)),"No errors"))</f>
        <v>Major</v>
      </c>
    </row>
    <row r="373" spans="1:10">
      <c r="A373" s="96" t="s">
        <v>932</v>
      </c>
      <c r="B373" s="18">
        <v>2</v>
      </c>
      <c r="C373" s="78" t="s">
        <v>810</v>
      </c>
      <c r="D373" s="78" t="s">
        <v>811</v>
      </c>
      <c r="E373" s="83" t="s">
        <v>21</v>
      </c>
      <c r="F373" s="83" t="s">
        <v>22</v>
      </c>
      <c r="G373" s="83" t="s">
        <v>55</v>
      </c>
      <c r="H373" s="83" t="s">
        <v>813</v>
      </c>
      <c r="I373" s="83"/>
      <c r="J373" s="15" t="str">
        <f>IF(E373="Invalid_Segment","Invalid",IFERROR(INDEX(Severity_Matrix!$C$3:$M$10,MATCH('Error Log'!$F373,Severity_Matrix!$B$3:$B$10,0),MATCH('Error Log'!$G373,Severity_Matrix!$C$2:$M$2,0)),"No errors"))</f>
        <v>Major</v>
      </c>
    </row>
    <row r="374" spans="1:10">
      <c r="A374" s="96" t="s">
        <v>932</v>
      </c>
      <c r="B374" s="18">
        <v>3</v>
      </c>
      <c r="C374" s="78" t="s">
        <v>810</v>
      </c>
      <c r="D374" s="78" t="s">
        <v>811</v>
      </c>
      <c r="E374" s="83" t="s">
        <v>21</v>
      </c>
      <c r="F374" s="83" t="s">
        <v>7</v>
      </c>
      <c r="G374" s="83" t="s">
        <v>55</v>
      </c>
      <c r="H374" s="84" t="s">
        <v>814</v>
      </c>
      <c r="I374" s="83"/>
      <c r="J374" s="15" t="str">
        <f>IF(E374="Invalid_Segment","Invalid",IFERROR(INDEX(Severity_Matrix!$C$3:$M$10,MATCH('Error Log'!$F374,Severity_Matrix!$B$3:$B$10,0),MATCH('Error Log'!$G374,Severity_Matrix!$C$2:$M$2,0)),"No errors"))</f>
        <v>Critical</v>
      </c>
    </row>
    <row r="375" spans="1:10">
      <c r="A375" s="96" t="s">
        <v>932</v>
      </c>
      <c r="B375" s="18">
        <v>4</v>
      </c>
      <c r="C375" s="78" t="s">
        <v>810</v>
      </c>
      <c r="D375" s="78" t="s">
        <v>811</v>
      </c>
      <c r="E375" s="83" t="s">
        <v>21</v>
      </c>
      <c r="F375" s="83" t="s">
        <v>7</v>
      </c>
      <c r="G375" s="83" t="s">
        <v>55</v>
      </c>
      <c r="H375" s="84" t="s">
        <v>815</v>
      </c>
      <c r="I375" s="83"/>
      <c r="J375" s="15" t="str">
        <f>IF(E375="Invalid_Segment","Invalid",IFERROR(INDEX(Severity_Matrix!$C$3:$M$10,MATCH('Error Log'!$F375,Severity_Matrix!$B$3:$B$10,0),MATCH('Error Log'!$G375,Severity_Matrix!$C$2:$M$2,0)),"No errors"))</f>
        <v>Critical</v>
      </c>
    </row>
    <row r="376" spans="1:10">
      <c r="A376" s="96" t="s">
        <v>933</v>
      </c>
      <c r="B376" s="18">
        <v>1</v>
      </c>
      <c r="C376" s="78" t="s">
        <v>816</v>
      </c>
      <c r="D376" s="78" t="s">
        <v>817</v>
      </c>
      <c r="E376" s="83" t="s">
        <v>2</v>
      </c>
      <c r="F376" s="83" t="s">
        <v>26</v>
      </c>
      <c r="G376" s="83" t="s">
        <v>55</v>
      </c>
      <c r="H376" s="83" t="s">
        <v>818</v>
      </c>
      <c r="I376" s="83"/>
      <c r="J376" s="15" t="str">
        <f>IF(E376="Invalid_Segment","Invalid",IFERROR(INDEX(Severity_Matrix!$C$3:$M$10,MATCH('Error Log'!$F376,Severity_Matrix!$B$3:$B$10,0),MATCH('Error Log'!$G376,Severity_Matrix!$C$2:$M$2,0)),"No errors"))</f>
        <v>Major</v>
      </c>
    </row>
    <row r="377" spans="1:10">
      <c r="A377" s="96" t="s">
        <v>933</v>
      </c>
      <c r="B377" s="18">
        <v>2</v>
      </c>
      <c r="C377" s="78" t="s">
        <v>816</v>
      </c>
      <c r="D377" s="78" t="s">
        <v>817</v>
      </c>
      <c r="E377" s="83" t="s">
        <v>21</v>
      </c>
      <c r="F377" s="83" t="s">
        <v>7</v>
      </c>
      <c r="G377" s="83" t="s">
        <v>55</v>
      </c>
      <c r="H377" s="83" t="s">
        <v>819</v>
      </c>
      <c r="I377" s="83"/>
      <c r="J377" s="15" t="str">
        <f>IF(E377="Invalid_Segment","Invalid",IFERROR(INDEX(Severity_Matrix!$C$3:$M$10,MATCH('Error Log'!$F377,Severity_Matrix!$B$3:$B$10,0),MATCH('Error Log'!$G377,Severity_Matrix!$C$2:$M$2,0)),"No errors"))</f>
        <v>Critical</v>
      </c>
    </row>
    <row r="378" spans="1:10">
      <c r="A378" s="96" t="s">
        <v>934</v>
      </c>
      <c r="B378" s="18">
        <v>1</v>
      </c>
      <c r="C378" s="78" t="s">
        <v>820</v>
      </c>
      <c r="D378" s="78" t="s">
        <v>821</v>
      </c>
      <c r="E378" s="83" t="s">
        <v>2</v>
      </c>
      <c r="F378" s="83" t="s">
        <v>26</v>
      </c>
      <c r="G378" s="83" t="s">
        <v>55</v>
      </c>
      <c r="H378" s="83" t="s">
        <v>822</v>
      </c>
      <c r="I378" s="83"/>
      <c r="J378" s="15" t="str">
        <f>IF(E378="Invalid_Segment","Invalid",IFERROR(INDEX(Severity_Matrix!$C$3:$M$10,MATCH('Error Log'!$F378,Severity_Matrix!$B$3:$B$10,0),MATCH('Error Log'!$G378,Severity_Matrix!$C$2:$M$2,0)),"No errors"))</f>
        <v>Major</v>
      </c>
    </row>
    <row r="379" spans="1:10">
      <c r="A379" s="96" t="s">
        <v>934</v>
      </c>
      <c r="B379" s="18">
        <v>2</v>
      </c>
      <c r="C379" s="78" t="s">
        <v>820</v>
      </c>
      <c r="D379" s="78" t="s">
        <v>821</v>
      </c>
      <c r="E379" s="83" t="s">
        <v>2</v>
      </c>
      <c r="F379" s="83" t="s">
        <v>26</v>
      </c>
      <c r="G379" s="83" t="s">
        <v>55</v>
      </c>
      <c r="H379" s="83" t="s">
        <v>823</v>
      </c>
      <c r="I379" s="83"/>
      <c r="J379" s="15" t="str">
        <f>IF(E379="Invalid_Segment","Invalid",IFERROR(INDEX(Severity_Matrix!$C$3:$M$10,MATCH('Error Log'!$F379,Severity_Matrix!$B$3:$B$10,0),MATCH('Error Log'!$G379,Severity_Matrix!$C$2:$M$2,0)),"No errors"))</f>
        <v>Major</v>
      </c>
    </row>
    <row r="380" spans="1:10">
      <c r="A380" s="96" t="s">
        <v>934</v>
      </c>
      <c r="B380" s="18">
        <v>3</v>
      </c>
      <c r="C380" s="78" t="s">
        <v>820</v>
      </c>
      <c r="D380" s="78" t="s">
        <v>821</v>
      </c>
      <c r="E380" s="83" t="s">
        <v>21</v>
      </c>
      <c r="F380" s="83" t="s">
        <v>7</v>
      </c>
      <c r="G380" s="83" t="s">
        <v>55</v>
      </c>
      <c r="H380" s="83" t="s">
        <v>824</v>
      </c>
      <c r="I380" s="83"/>
      <c r="J380" s="15" t="str">
        <f>IF(E380="Invalid_Segment","Invalid",IFERROR(INDEX(Severity_Matrix!$C$3:$M$10,MATCH('Error Log'!$F380,Severity_Matrix!$B$3:$B$10,0),MATCH('Error Log'!$G380,Severity_Matrix!$C$2:$M$2,0)),"No errors"))</f>
        <v>Critical</v>
      </c>
    </row>
    <row r="381" spans="1:10">
      <c r="A381" s="96" t="s">
        <v>934</v>
      </c>
      <c r="B381" s="18">
        <v>4</v>
      </c>
      <c r="C381" s="78" t="s">
        <v>820</v>
      </c>
      <c r="D381" s="78" t="s">
        <v>821</v>
      </c>
      <c r="E381" s="83" t="s">
        <v>21</v>
      </c>
      <c r="F381" s="83" t="s">
        <v>7</v>
      </c>
      <c r="G381" s="83" t="s">
        <v>55</v>
      </c>
      <c r="H381" s="83" t="s">
        <v>825</v>
      </c>
      <c r="I381" s="83"/>
      <c r="J381" s="15" t="str">
        <f>IF(E381="Invalid_Segment","Invalid",IFERROR(INDEX(Severity_Matrix!$C$3:$M$10,MATCH('Error Log'!$F381,Severity_Matrix!$B$3:$B$10,0),MATCH('Error Log'!$G381,Severity_Matrix!$C$2:$M$2,0)),"No errors"))</f>
        <v>Critical</v>
      </c>
    </row>
    <row r="382" spans="1:10">
      <c r="A382" s="96" t="s">
        <v>934</v>
      </c>
      <c r="B382" s="18">
        <v>5</v>
      </c>
      <c r="C382" s="78" t="s">
        <v>820</v>
      </c>
      <c r="D382" s="78" t="s">
        <v>821</v>
      </c>
      <c r="E382" s="83" t="s">
        <v>21</v>
      </c>
      <c r="F382" s="83" t="s">
        <v>7</v>
      </c>
      <c r="G382" s="83" t="s">
        <v>55</v>
      </c>
      <c r="H382" s="83" t="s">
        <v>826</v>
      </c>
      <c r="I382" s="83"/>
      <c r="J382" s="15" t="str">
        <f>IF(E382="Invalid_Segment","Invalid",IFERROR(INDEX(Severity_Matrix!$C$3:$M$10,MATCH('Error Log'!$F382,Severity_Matrix!$B$3:$B$10,0),MATCH('Error Log'!$G382,Severity_Matrix!$C$2:$M$2,0)),"No errors"))</f>
        <v>Critical</v>
      </c>
    </row>
    <row r="383" spans="1:10">
      <c r="A383" s="96" t="s">
        <v>935</v>
      </c>
      <c r="B383" s="18">
        <v>1</v>
      </c>
      <c r="C383" s="78" t="s">
        <v>827</v>
      </c>
      <c r="D383" s="78" t="s">
        <v>828</v>
      </c>
      <c r="E383" s="83" t="s">
        <v>21</v>
      </c>
      <c r="F383" s="83" t="s">
        <v>22</v>
      </c>
      <c r="G383" s="83" t="s">
        <v>28</v>
      </c>
      <c r="H383" s="83" t="s">
        <v>845</v>
      </c>
      <c r="I383" s="83"/>
      <c r="J383" s="15" t="str">
        <f>IF(E383="Invalid_Segment","Invalid",IFERROR(INDEX(Severity_Matrix!$C$3:$M$10,MATCH('Error Log'!$F383,Severity_Matrix!$B$3:$B$10,0),MATCH('Error Log'!$G383,Severity_Matrix!$C$2:$M$2,0)),"No errors"))</f>
        <v>Major</v>
      </c>
    </row>
    <row r="384" spans="1:10">
      <c r="A384" s="96" t="s">
        <v>935</v>
      </c>
      <c r="B384" s="18">
        <v>2</v>
      </c>
      <c r="C384" s="78" t="s">
        <v>827</v>
      </c>
      <c r="D384" s="78" t="s">
        <v>828</v>
      </c>
      <c r="E384" s="83" t="s">
        <v>21</v>
      </c>
      <c r="F384" s="83" t="s">
        <v>22</v>
      </c>
      <c r="G384" s="83" t="s">
        <v>28</v>
      </c>
      <c r="H384" s="83" t="s">
        <v>846</v>
      </c>
      <c r="I384" s="83"/>
      <c r="J384" s="15" t="str">
        <f>IF(E384="Invalid_Segment","Invalid",IFERROR(INDEX(Severity_Matrix!$C$3:$M$10,MATCH('Error Log'!$F384,Severity_Matrix!$B$3:$B$10,0),MATCH('Error Log'!$G384,Severity_Matrix!$C$2:$M$2,0)),"No errors"))</f>
        <v>Major</v>
      </c>
    </row>
    <row r="385" spans="1:10">
      <c r="A385" s="96" t="s">
        <v>935</v>
      </c>
      <c r="B385" s="18">
        <v>3</v>
      </c>
      <c r="C385" s="78" t="s">
        <v>827</v>
      </c>
      <c r="D385" s="78" t="s">
        <v>828</v>
      </c>
      <c r="E385" s="83" t="s">
        <v>21</v>
      </c>
      <c r="F385" s="83" t="s">
        <v>22</v>
      </c>
      <c r="G385" s="83" t="s">
        <v>28</v>
      </c>
      <c r="H385" s="83" t="s">
        <v>847</v>
      </c>
      <c r="I385" s="83"/>
      <c r="J385" s="15" t="str">
        <f>IF(E385="Invalid_Segment","Invalid",IFERROR(INDEX(Severity_Matrix!$C$3:$M$10,MATCH('Error Log'!$F385,Severity_Matrix!$B$3:$B$10,0),MATCH('Error Log'!$G385,Severity_Matrix!$C$2:$M$2,0)),"No errors"))</f>
        <v>Major</v>
      </c>
    </row>
    <row r="386" spans="1:10">
      <c r="A386" s="96" t="s">
        <v>935</v>
      </c>
      <c r="B386" s="18">
        <v>4</v>
      </c>
      <c r="C386" s="78" t="s">
        <v>827</v>
      </c>
      <c r="D386" s="78" t="s">
        <v>828</v>
      </c>
      <c r="E386" s="83" t="s">
        <v>21</v>
      </c>
      <c r="F386" s="83" t="s">
        <v>22</v>
      </c>
      <c r="G386" s="83" t="s">
        <v>55</v>
      </c>
      <c r="H386" s="83" t="s">
        <v>849</v>
      </c>
      <c r="I386" s="83"/>
      <c r="J386" s="15" t="str">
        <f>IF(E386="Invalid_Segment","Invalid",IFERROR(INDEX(Severity_Matrix!$C$3:$M$10,MATCH('Error Log'!$F386,Severity_Matrix!$B$3:$B$10,0),MATCH('Error Log'!$G386,Severity_Matrix!$C$2:$M$2,0)),"No errors"))</f>
        <v>Major</v>
      </c>
    </row>
    <row r="387" spans="1:10">
      <c r="A387" s="96" t="s">
        <v>935</v>
      </c>
      <c r="B387" s="18">
        <v>5</v>
      </c>
      <c r="C387" s="78" t="s">
        <v>827</v>
      </c>
      <c r="D387" s="78" t="s">
        <v>828</v>
      </c>
      <c r="E387" s="83" t="s">
        <v>21</v>
      </c>
      <c r="F387" s="83" t="s">
        <v>22</v>
      </c>
      <c r="G387" s="83" t="s">
        <v>55</v>
      </c>
      <c r="H387" s="83" t="s">
        <v>848</v>
      </c>
      <c r="I387" s="83"/>
      <c r="J387" s="15" t="str">
        <f>IF(E387="Invalid_Segment","Invalid",IFERROR(INDEX(Severity_Matrix!$C$3:$M$10,MATCH('Error Log'!$F387,Severity_Matrix!$B$3:$B$10,0),MATCH('Error Log'!$G387,Severity_Matrix!$C$2:$M$2,0)),"No errors"))</f>
        <v>Major</v>
      </c>
    </row>
    <row r="388" spans="1:10">
      <c r="A388" s="96" t="s">
        <v>935</v>
      </c>
      <c r="B388" s="18">
        <v>6</v>
      </c>
      <c r="C388" s="78" t="s">
        <v>827</v>
      </c>
      <c r="D388" s="78" t="s">
        <v>828</v>
      </c>
      <c r="E388" s="83" t="s">
        <v>21</v>
      </c>
      <c r="F388" s="83" t="s">
        <v>22</v>
      </c>
      <c r="G388" s="83" t="s">
        <v>28</v>
      </c>
      <c r="H388" s="83" t="s">
        <v>649</v>
      </c>
      <c r="I388" s="83"/>
      <c r="J388" s="15" t="str">
        <f>IF(E388="Invalid_Segment","Invalid",IFERROR(INDEX(Severity_Matrix!$C$3:$M$10,MATCH('Error Log'!$F388,Severity_Matrix!$B$3:$B$10,0),MATCH('Error Log'!$G388,Severity_Matrix!$C$2:$M$2,0)),"No errors"))</f>
        <v>Major</v>
      </c>
    </row>
    <row r="389" spans="1:10">
      <c r="A389" s="96" t="s">
        <v>936</v>
      </c>
      <c r="B389" s="18">
        <v>1</v>
      </c>
      <c r="C389" s="78" t="s">
        <v>829</v>
      </c>
      <c r="D389" s="86" t="s">
        <v>830</v>
      </c>
      <c r="E389" s="83" t="s">
        <v>21</v>
      </c>
      <c r="F389" s="83" t="s">
        <v>22</v>
      </c>
      <c r="G389" s="83" t="s">
        <v>55</v>
      </c>
      <c r="H389" s="83" t="s">
        <v>831</v>
      </c>
      <c r="I389" s="83"/>
      <c r="J389" s="15" t="str">
        <f>IF(E389="Invalid_Segment","Invalid",IFERROR(INDEX(Severity_Matrix!$C$3:$M$10,MATCH('Error Log'!$F389,Severity_Matrix!$B$3:$B$10,0),MATCH('Error Log'!$G389,Severity_Matrix!$C$2:$M$2,0)),"No errors"))</f>
        <v>Major</v>
      </c>
    </row>
    <row r="390" spans="1:10">
      <c r="A390" s="96" t="s">
        <v>936</v>
      </c>
      <c r="B390" s="18">
        <v>2</v>
      </c>
      <c r="C390" s="78" t="s">
        <v>829</v>
      </c>
      <c r="D390" s="86" t="s">
        <v>830</v>
      </c>
      <c r="E390" s="83" t="s">
        <v>21</v>
      </c>
      <c r="F390" s="83" t="s">
        <v>22</v>
      </c>
      <c r="G390" s="83" t="s">
        <v>55</v>
      </c>
      <c r="H390" s="93" t="s">
        <v>832</v>
      </c>
      <c r="I390" s="83"/>
      <c r="J390" s="15" t="str">
        <f>IF(E390="Invalid_Segment","Invalid",IFERROR(INDEX(Severity_Matrix!$C$3:$M$10,MATCH('Error Log'!$F390,Severity_Matrix!$B$3:$B$10,0),MATCH('Error Log'!$G390,Severity_Matrix!$C$2:$M$2,0)),"No errors"))</f>
        <v>Major</v>
      </c>
    </row>
    <row r="391" spans="1:10">
      <c r="A391" s="96" t="s">
        <v>936</v>
      </c>
      <c r="B391" s="18">
        <v>3</v>
      </c>
      <c r="C391" s="78" t="s">
        <v>829</v>
      </c>
      <c r="D391" s="86" t="s">
        <v>830</v>
      </c>
      <c r="E391" s="83" t="s">
        <v>21</v>
      </c>
      <c r="F391" s="83" t="s">
        <v>7</v>
      </c>
      <c r="G391" s="83" t="s">
        <v>55</v>
      </c>
      <c r="H391" s="83" t="s">
        <v>833</v>
      </c>
      <c r="I391" s="83"/>
      <c r="J391" s="15" t="str">
        <f>IF(E391="Invalid_Segment","Invalid",IFERROR(INDEX(Severity_Matrix!$C$3:$M$10,MATCH('Error Log'!$F391,Severity_Matrix!$B$3:$B$10,0),MATCH('Error Log'!$G391,Severity_Matrix!$C$2:$M$2,0)),"No errors"))</f>
        <v>Critical</v>
      </c>
    </row>
    <row r="392" spans="1:10">
      <c r="A392" s="96" t="s">
        <v>936</v>
      </c>
      <c r="B392" s="18">
        <v>4</v>
      </c>
      <c r="C392" s="78" t="s">
        <v>829</v>
      </c>
      <c r="D392" s="86" t="s">
        <v>830</v>
      </c>
      <c r="E392" s="83" t="s">
        <v>21</v>
      </c>
      <c r="F392" s="83" t="s">
        <v>7</v>
      </c>
      <c r="G392" s="83" t="s">
        <v>55</v>
      </c>
      <c r="H392" s="83" t="s">
        <v>834</v>
      </c>
      <c r="I392" s="83"/>
      <c r="J392" s="15" t="str">
        <f>IF(E392="Invalid_Segment","Invalid",IFERROR(INDEX(Severity_Matrix!$C$3:$M$10,MATCH('Error Log'!$F392,Severity_Matrix!$B$3:$B$10,0),MATCH('Error Log'!$G392,Severity_Matrix!$C$2:$M$2,0)),"No errors"))</f>
        <v>Critical</v>
      </c>
    </row>
    <row r="393" spans="1:10">
      <c r="A393" s="96" t="s">
        <v>937</v>
      </c>
      <c r="B393" s="18">
        <v>1</v>
      </c>
      <c r="C393" s="78" t="s">
        <v>835</v>
      </c>
      <c r="D393" s="86" t="s">
        <v>836</v>
      </c>
      <c r="E393" s="83" t="s">
        <v>2</v>
      </c>
      <c r="F393" s="83" t="s">
        <v>26</v>
      </c>
      <c r="G393" s="83" t="s">
        <v>55</v>
      </c>
      <c r="H393" s="83" t="s">
        <v>837</v>
      </c>
      <c r="I393" s="83"/>
      <c r="J393" s="15" t="str">
        <f>IF(E393="Invalid_Segment","Invalid",IFERROR(INDEX(Severity_Matrix!$C$3:$M$10,MATCH('Error Log'!$F393,Severity_Matrix!$B$3:$B$10,0),MATCH('Error Log'!$G393,Severity_Matrix!$C$2:$M$2,0)),"No errors"))</f>
        <v>Major</v>
      </c>
    </row>
    <row r="394" spans="1:10">
      <c r="A394" s="96" t="s">
        <v>937</v>
      </c>
      <c r="B394" s="18">
        <v>2</v>
      </c>
      <c r="C394" s="78" t="s">
        <v>835</v>
      </c>
      <c r="D394" s="86" t="s">
        <v>836</v>
      </c>
      <c r="E394" s="83" t="s">
        <v>21</v>
      </c>
      <c r="F394" s="83" t="s">
        <v>7</v>
      </c>
      <c r="G394" s="83" t="s">
        <v>55</v>
      </c>
      <c r="H394" s="94" t="s">
        <v>838</v>
      </c>
      <c r="I394" s="83"/>
      <c r="J394" s="15" t="str">
        <f>IF(E394="Invalid_Segment","Invalid",IFERROR(INDEX(Severity_Matrix!$C$3:$M$10,MATCH('Error Log'!$F394,Severity_Matrix!$B$3:$B$10,0),MATCH('Error Log'!$G394,Severity_Matrix!$C$2:$M$2,0)),"No errors"))</f>
        <v>Critical</v>
      </c>
    </row>
    <row r="395" spans="1:10">
      <c r="A395" s="96" t="s">
        <v>937</v>
      </c>
      <c r="B395" s="18">
        <v>3</v>
      </c>
      <c r="C395" s="78" t="s">
        <v>835</v>
      </c>
      <c r="D395" s="86" t="s">
        <v>836</v>
      </c>
      <c r="E395" s="83" t="s">
        <v>21</v>
      </c>
      <c r="F395" s="83" t="s">
        <v>7</v>
      </c>
      <c r="G395" s="83" t="s">
        <v>55</v>
      </c>
      <c r="H395" s="83" t="s">
        <v>839</v>
      </c>
      <c r="I395" s="83"/>
      <c r="J395" s="15" t="str">
        <f>IF(E395="Invalid_Segment","Invalid",IFERROR(INDEX(Severity_Matrix!$C$3:$M$10,MATCH('Error Log'!$F395,Severity_Matrix!$B$3:$B$10,0),MATCH('Error Log'!$G395,Severity_Matrix!$C$2:$M$2,0)),"No errors"))</f>
        <v>Critical</v>
      </c>
    </row>
    <row r="396" spans="1:10">
      <c r="A396" s="96" t="s">
        <v>937</v>
      </c>
      <c r="B396" s="18">
        <v>4</v>
      </c>
      <c r="C396" s="78" t="s">
        <v>835</v>
      </c>
      <c r="D396" s="86" t="s">
        <v>836</v>
      </c>
      <c r="E396" s="83" t="s">
        <v>21</v>
      </c>
      <c r="F396" s="83" t="s">
        <v>7</v>
      </c>
      <c r="G396" s="83" t="s">
        <v>55</v>
      </c>
      <c r="H396" s="83" t="s">
        <v>840</v>
      </c>
      <c r="I396" s="83"/>
      <c r="J396" s="15" t="str">
        <f>IF(E396="Invalid_Segment","Invalid",IFERROR(INDEX(Severity_Matrix!$C$3:$M$10,MATCH('Error Log'!$F396,Severity_Matrix!$B$3:$B$10,0),MATCH('Error Log'!$G396,Severity_Matrix!$C$2:$M$2,0)),"No errors"))</f>
        <v>Critical</v>
      </c>
    </row>
    <row r="397" spans="1:10">
      <c r="A397" s="79" t="s">
        <v>938</v>
      </c>
      <c r="B397" s="18">
        <v>1</v>
      </c>
      <c r="C397" s="103" t="s">
        <v>939</v>
      </c>
      <c r="D397" s="103" t="s">
        <v>940</v>
      </c>
      <c r="E397" s="83" t="s">
        <v>21</v>
      </c>
      <c r="F397" s="83" t="s">
        <v>22</v>
      </c>
      <c r="G397" s="83" t="s">
        <v>55</v>
      </c>
      <c r="H397" s="83" t="s">
        <v>941</v>
      </c>
      <c r="I397" s="83"/>
      <c r="J397" s="15" t="str">
        <f>IF(E397="Invalid_Segment","Invalid",IFERROR(INDEX(Severity_Matrix!$C$3:$M$10,MATCH('Error Log'!$F397,Severity_Matrix!$B$3:$B$10,0),MATCH('Error Log'!$G397,Severity_Matrix!$C$2:$M$2,0)),"No errors"))</f>
        <v>Major</v>
      </c>
    </row>
    <row r="398" spans="1:10">
      <c r="A398" s="79" t="s">
        <v>938</v>
      </c>
      <c r="B398" s="18">
        <v>2</v>
      </c>
      <c r="C398" s="103" t="s">
        <v>939</v>
      </c>
      <c r="D398" s="103" t="s">
        <v>940</v>
      </c>
      <c r="E398" s="83" t="s">
        <v>2</v>
      </c>
      <c r="F398" s="83" t="s">
        <v>26</v>
      </c>
      <c r="G398" s="83" t="s">
        <v>55</v>
      </c>
      <c r="H398" s="83" t="s">
        <v>942</v>
      </c>
      <c r="I398" s="83"/>
      <c r="J398" s="15" t="str">
        <f>IF(E398="Invalid_Segment","Invalid",IFERROR(INDEX(Severity_Matrix!$C$3:$M$10,MATCH('Error Log'!$F398,Severity_Matrix!$B$3:$B$10,0),MATCH('Error Log'!$G398,Severity_Matrix!$C$2:$M$2,0)),"No errors"))</f>
        <v>Major</v>
      </c>
    </row>
    <row r="399" spans="1:10">
      <c r="A399" s="79" t="s">
        <v>938</v>
      </c>
      <c r="B399" s="18">
        <v>3</v>
      </c>
      <c r="C399" s="103" t="s">
        <v>939</v>
      </c>
      <c r="D399" s="103" t="s">
        <v>940</v>
      </c>
      <c r="E399" s="83" t="s">
        <v>21</v>
      </c>
      <c r="F399" s="83" t="s">
        <v>7</v>
      </c>
      <c r="G399" s="83" t="s">
        <v>55</v>
      </c>
      <c r="H399" s="83" t="s">
        <v>943</v>
      </c>
      <c r="I399" s="83"/>
      <c r="J399" s="15" t="str">
        <f>IF(E399="Invalid_Segment","Invalid",IFERROR(INDEX(Severity_Matrix!$C$3:$M$10,MATCH('Error Log'!$F399,Severity_Matrix!$B$3:$B$10,0),MATCH('Error Log'!$G399,Severity_Matrix!$C$2:$M$2,0)),"No errors"))</f>
        <v>Critical</v>
      </c>
    </row>
    <row r="400" spans="1:10">
      <c r="A400" s="79" t="s">
        <v>938</v>
      </c>
      <c r="B400" s="18">
        <v>4</v>
      </c>
      <c r="C400" s="103" t="s">
        <v>939</v>
      </c>
      <c r="D400" s="103" t="s">
        <v>940</v>
      </c>
      <c r="E400" s="83" t="s">
        <v>21</v>
      </c>
      <c r="F400" s="83" t="s">
        <v>7</v>
      </c>
      <c r="G400" s="83" t="s">
        <v>55</v>
      </c>
      <c r="H400" s="83" t="s">
        <v>944</v>
      </c>
      <c r="I400" s="83"/>
      <c r="J400" s="15" t="str">
        <f>IF(E400="Invalid_Segment","Invalid",IFERROR(INDEX(Severity_Matrix!$C$3:$M$10,MATCH('Error Log'!$F400,Severity_Matrix!$B$3:$B$10,0),MATCH('Error Log'!$G400,Severity_Matrix!$C$2:$M$2,0)),"No errors"))</f>
        <v>Critical</v>
      </c>
    </row>
    <row r="401" spans="1:10" ht="15.6">
      <c r="A401" s="104" t="s">
        <v>945</v>
      </c>
      <c r="B401" s="18">
        <v>1</v>
      </c>
      <c r="C401" s="103" t="s">
        <v>946</v>
      </c>
      <c r="D401" s="103" t="s">
        <v>947</v>
      </c>
      <c r="E401" s="83" t="s">
        <v>21</v>
      </c>
      <c r="F401" s="83" t="s">
        <v>22</v>
      </c>
      <c r="G401" s="83" t="s">
        <v>55</v>
      </c>
      <c r="H401" s="83" t="s">
        <v>948</v>
      </c>
      <c r="I401" s="83"/>
      <c r="J401" s="15" t="str">
        <f>IF(E401="Invalid_Segment","Invalid",IFERROR(INDEX(Severity_Matrix!$C$3:$M$10,MATCH('Error Log'!$F401,Severity_Matrix!$B$3:$B$10,0),MATCH('Error Log'!$G401,Severity_Matrix!$C$2:$M$2,0)),"No errors"))</f>
        <v>Major</v>
      </c>
    </row>
    <row r="402" spans="1:10" ht="15.6">
      <c r="A402" s="104" t="s">
        <v>945</v>
      </c>
      <c r="B402" s="18">
        <v>2</v>
      </c>
      <c r="C402" s="103" t="s">
        <v>946</v>
      </c>
      <c r="D402" s="103" t="s">
        <v>947</v>
      </c>
      <c r="E402" s="83" t="s">
        <v>21</v>
      </c>
      <c r="F402" s="83" t="s">
        <v>22</v>
      </c>
      <c r="G402" s="83" t="s">
        <v>55</v>
      </c>
      <c r="H402" s="83" t="s">
        <v>949</v>
      </c>
      <c r="I402" s="83"/>
      <c r="J402" s="15" t="str">
        <f>IF(E402="Invalid_Segment","Invalid",IFERROR(INDEX(Severity_Matrix!$C$3:$M$10,MATCH('Error Log'!$F402,Severity_Matrix!$B$3:$B$10,0),MATCH('Error Log'!$G402,Severity_Matrix!$C$2:$M$2,0)),"No errors"))</f>
        <v>Major</v>
      </c>
    </row>
    <row r="403" spans="1:10" ht="15.6">
      <c r="A403" s="104" t="s">
        <v>945</v>
      </c>
      <c r="B403" s="18">
        <v>3</v>
      </c>
      <c r="C403" s="103" t="s">
        <v>946</v>
      </c>
      <c r="D403" s="103" t="s">
        <v>947</v>
      </c>
      <c r="E403" s="83" t="s">
        <v>21</v>
      </c>
      <c r="F403" s="83" t="s">
        <v>7</v>
      </c>
      <c r="G403" s="83" t="s">
        <v>55</v>
      </c>
      <c r="H403" s="83" t="s">
        <v>950</v>
      </c>
      <c r="I403" s="83"/>
      <c r="J403" s="15" t="str">
        <f>IF(E403="Invalid_Segment","Invalid",IFERROR(INDEX(Severity_Matrix!$C$3:$M$10,MATCH('Error Log'!$F403,Severity_Matrix!$B$3:$B$10,0),MATCH('Error Log'!$G403,Severity_Matrix!$C$2:$M$2,0)),"No errors"))</f>
        <v>Critical</v>
      </c>
    </row>
    <row r="404" spans="1:10">
      <c r="A404" s="96" t="s">
        <v>951</v>
      </c>
      <c r="B404" s="18">
        <v>1</v>
      </c>
      <c r="C404" s="103" t="s">
        <v>952</v>
      </c>
      <c r="D404" s="103" t="s">
        <v>953</v>
      </c>
      <c r="E404" s="83" t="s">
        <v>2</v>
      </c>
      <c r="F404" s="83" t="s">
        <v>26</v>
      </c>
      <c r="G404" s="83" t="s">
        <v>27</v>
      </c>
      <c r="H404" s="83" t="s">
        <v>954</v>
      </c>
      <c r="I404" s="83"/>
      <c r="J404" s="15" t="str">
        <f>IF(E404="Invalid_Segment","Invalid",IFERROR(INDEX(Severity_Matrix!$C$3:$M$10,MATCH('Error Log'!$F404,Severity_Matrix!$B$3:$B$10,0),MATCH('Error Log'!$G404,Severity_Matrix!$C$2:$M$2,0)),"No errors"))</f>
        <v>Major</v>
      </c>
    </row>
    <row r="405" spans="1:10">
      <c r="A405" s="96" t="s">
        <v>951</v>
      </c>
      <c r="B405" s="18">
        <v>2</v>
      </c>
      <c r="C405" s="103" t="s">
        <v>952</v>
      </c>
      <c r="D405" s="103" t="s">
        <v>953</v>
      </c>
      <c r="E405" s="83" t="s">
        <v>2</v>
      </c>
      <c r="F405" s="83" t="s">
        <v>26</v>
      </c>
      <c r="G405" s="83" t="s">
        <v>27</v>
      </c>
      <c r="H405" s="83" t="s">
        <v>955</v>
      </c>
      <c r="I405" s="83"/>
      <c r="J405" s="15" t="str">
        <f>IF(E405="Invalid_Segment","Invalid",IFERROR(INDEX(Severity_Matrix!$C$3:$M$10,MATCH('Error Log'!$F405,Severity_Matrix!$B$3:$B$10,0),MATCH('Error Log'!$G405,Severity_Matrix!$C$2:$M$2,0)),"No errors"))</f>
        <v>Major</v>
      </c>
    </row>
    <row r="406" spans="1:10">
      <c r="A406" s="105" t="s">
        <v>956</v>
      </c>
      <c r="B406" s="18">
        <v>1</v>
      </c>
      <c r="C406" s="106" t="s">
        <v>957</v>
      </c>
      <c r="D406" s="103" t="s">
        <v>958</v>
      </c>
      <c r="E406" s="83" t="s">
        <v>2</v>
      </c>
      <c r="F406" s="83" t="s">
        <v>26</v>
      </c>
      <c r="G406" s="83" t="s">
        <v>55</v>
      </c>
      <c r="H406" s="83" t="s">
        <v>959</v>
      </c>
      <c r="I406" s="83"/>
      <c r="J406" s="15" t="str">
        <f>IF(E406="Invalid_Segment","Invalid",IFERROR(INDEX(Severity_Matrix!$C$3:$M$10,MATCH('Error Log'!$F406,Severity_Matrix!$B$3:$B$10,0),MATCH('Error Log'!$G406,Severity_Matrix!$C$2:$M$2,0)),"No errors"))</f>
        <v>Major</v>
      </c>
    </row>
    <row r="407" spans="1:10">
      <c r="A407" s="105" t="s">
        <v>960</v>
      </c>
      <c r="B407" s="18">
        <v>1</v>
      </c>
      <c r="C407" s="106" t="s">
        <v>961</v>
      </c>
      <c r="D407" s="103" t="s">
        <v>962</v>
      </c>
      <c r="E407" s="83" t="s">
        <v>2</v>
      </c>
      <c r="F407" s="83" t="s">
        <v>26</v>
      </c>
      <c r="G407" s="83" t="s">
        <v>55</v>
      </c>
      <c r="H407" s="83" t="s">
        <v>963</v>
      </c>
      <c r="I407" s="83"/>
      <c r="J407" s="15" t="str">
        <f>IF(E407="Invalid_Segment","Invalid",IFERROR(INDEX(Severity_Matrix!$C$3:$M$10,MATCH('Error Log'!$F407,Severity_Matrix!$B$3:$B$10,0),MATCH('Error Log'!$G407,Severity_Matrix!$C$2:$M$2,0)),"No errors"))</f>
        <v>Major</v>
      </c>
    </row>
    <row r="408" spans="1:10">
      <c r="A408" s="105" t="s">
        <v>960</v>
      </c>
      <c r="B408" s="18">
        <v>2</v>
      </c>
      <c r="C408" s="106" t="s">
        <v>961</v>
      </c>
      <c r="D408" s="103" t="s">
        <v>962</v>
      </c>
      <c r="E408" s="83" t="s">
        <v>21</v>
      </c>
      <c r="F408" s="83" t="s">
        <v>22</v>
      </c>
      <c r="G408" s="83" t="s">
        <v>55</v>
      </c>
      <c r="H408" s="83" t="s">
        <v>964</v>
      </c>
      <c r="I408" s="94"/>
      <c r="J408" s="15" t="str">
        <f>IF(E408="Invalid_Segment","Invalid",IFERROR(INDEX(Severity_Matrix!$C$3:$M$10,MATCH('Error Log'!$F408,Severity_Matrix!$B$3:$B$10,0),MATCH('Error Log'!$G408,Severity_Matrix!$C$2:$M$2,0)),"No errors"))</f>
        <v>Major</v>
      </c>
    </row>
    <row r="409" spans="1:10">
      <c r="A409" s="107" t="s">
        <v>965</v>
      </c>
      <c r="B409" s="18">
        <v>1</v>
      </c>
      <c r="C409" s="103" t="s">
        <v>966</v>
      </c>
      <c r="D409" s="103" t="s">
        <v>967</v>
      </c>
      <c r="E409" s="83" t="s">
        <v>2</v>
      </c>
      <c r="F409" s="83" t="s">
        <v>26</v>
      </c>
      <c r="G409" s="83" t="s">
        <v>55</v>
      </c>
      <c r="H409" s="83" t="s">
        <v>968</v>
      </c>
      <c r="I409" s="83"/>
      <c r="J409" s="15" t="str">
        <f>IF(E409="Invalid_Segment","Invalid",IFERROR(INDEX(Severity_Matrix!$C$3:$M$10,MATCH('Error Log'!$F409,Severity_Matrix!$B$3:$B$10,0),MATCH('Error Log'!$G409,Severity_Matrix!$C$2:$M$2,0)),"No errors"))</f>
        <v>Major</v>
      </c>
    </row>
    <row r="410" spans="1:10">
      <c r="A410" s="107" t="s">
        <v>965</v>
      </c>
      <c r="B410" s="18">
        <v>2</v>
      </c>
      <c r="C410" s="103" t="s">
        <v>966</v>
      </c>
      <c r="D410" s="103" t="s">
        <v>967</v>
      </c>
      <c r="E410" s="83" t="s">
        <v>21</v>
      </c>
      <c r="F410" s="83" t="s">
        <v>7</v>
      </c>
      <c r="G410" s="83" t="s">
        <v>55</v>
      </c>
      <c r="H410" s="83" t="s">
        <v>969</v>
      </c>
      <c r="I410" s="83"/>
      <c r="J410" s="15" t="str">
        <f>IF(E410="Invalid_Segment","Invalid",IFERROR(INDEX(Severity_Matrix!$C$3:$M$10,MATCH('Error Log'!$F410,Severity_Matrix!$B$3:$B$10,0),MATCH('Error Log'!$G410,Severity_Matrix!$C$2:$M$2,0)),"No errors"))</f>
        <v>Critical</v>
      </c>
    </row>
    <row r="411" spans="1:10">
      <c r="A411" s="107" t="s">
        <v>970</v>
      </c>
      <c r="B411" s="18">
        <v>1</v>
      </c>
      <c r="C411" s="103" t="s">
        <v>971</v>
      </c>
      <c r="D411" s="103" t="s">
        <v>972</v>
      </c>
      <c r="E411" s="83" t="s">
        <v>21</v>
      </c>
      <c r="F411" s="83" t="s">
        <v>22</v>
      </c>
      <c r="G411" s="83" t="s">
        <v>28</v>
      </c>
      <c r="H411" s="83" t="s">
        <v>973</v>
      </c>
      <c r="I411" s="83"/>
      <c r="J411" s="15" t="str">
        <f>IF(E411="Invalid_Segment","Invalid",IFERROR(INDEX(Severity_Matrix!$C$3:$M$10,MATCH('Error Log'!$F411,Severity_Matrix!$B$3:$B$10,0),MATCH('Error Log'!$G411,Severity_Matrix!$C$2:$M$2,0)),"No errors"))</f>
        <v>Major</v>
      </c>
    </row>
    <row r="412" spans="1:10">
      <c r="A412" s="107" t="s">
        <v>970</v>
      </c>
      <c r="B412" s="18">
        <v>2</v>
      </c>
      <c r="C412" s="103" t="s">
        <v>971</v>
      </c>
      <c r="D412" s="103" t="s">
        <v>972</v>
      </c>
      <c r="E412" s="83" t="s">
        <v>21</v>
      </c>
      <c r="F412" s="83" t="s">
        <v>22</v>
      </c>
      <c r="G412" s="83" t="s">
        <v>55</v>
      </c>
      <c r="H412" s="83" t="s">
        <v>974</v>
      </c>
      <c r="I412" s="83"/>
      <c r="J412" s="15" t="str">
        <f>IF(E412="Invalid_Segment","Invalid",IFERROR(INDEX(Severity_Matrix!$C$3:$M$10,MATCH('Error Log'!$F412,Severity_Matrix!$B$3:$B$10,0),MATCH('Error Log'!$G412,Severity_Matrix!$C$2:$M$2,0)),"No errors"))</f>
        <v>Major</v>
      </c>
    </row>
    <row r="413" spans="1:10">
      <c r="A413" s="107" t="s">
        <v>970</v>
      </c>
      <c r="B413" s="18">
        <v>3</v>
      </c>
      <c r="C413" s="103" t="s">
        <v>971</v>
      </c>
      <c r="D413" s="103" t="s">
        <v>972</v>
      </c>
      <c r="E413" s="83" t="s">
        <v>21</v>
      </c>
      <c r="F413" s="83" t="s">
        <v>22</v>
      </c>
      <c r="G413" s="83" t="s">
        <v>28</v>
      </c>
      <c r="H413" s="83" t="s">
        <v>975</v>
      </c>
      <c r="I413" s="83"/>
      <c r="J413" s="15" t="str">
        <f>IF(E413="Invalid_Segment","Invalid",IFERROR(INDEX(Severity_Matrix!$C$3:$M$10,MATCH('Error Log'!$F413,Severity_Matrix!$B$3:$B$10,0),MATCH('Error Log'!$G413,Severity_Matrix!$C$2:$M$2,0)),"No errors"))</f>
        <v>Major</v>
      </c>
    </row>
    <row r="414" spans="1:10">
      <c r="A414" s="107" t="s">
        <v>970</v>
      </c>
      <c r="B414" s="18">
        <v>4</v>
      </c>
      <c r="C414" s="103" t="s">
        <v>971</v>
      </c>
      <c r="D414" s="103" t="s">
        <v>972</v>
      </c>
      <c r="E414" s="83" t="s">
        <v>21</v>
      </c>
      <c r="F414" s="83" t="s">
        <v>22</v>
      </c>
      <c r="G414" s="83" t="s">
        <v>55</v>
      </c>
      <c r="H414" s="83" t="s">
        <v>976</v>
      </c>
      <c r="I414" s="83"/>
      <c r="J414" s="15" t="str">
        <f>IF(E414="Invalid_Segment","Invalid",IFERROR(INDEX(Severity_Matrix!$C$3:$M$10,MATCH('Error Log'!$F414,Severity_Matrix!$B$3:$B$10,0),MATCH('Error Log'!$G414,Severity_Matrix!$C$2:$M$2,0)),"No errors"))</f>
        <v>Major</v>
      </c>
    </row>
    <row r="415" spans="1:10">
      <c r="A415" s="107" t="s">
        <v>970</v>
      </c>
      <c r="B415" s="18">
        <v>5</v>
      </c>
      <c r="C415" s="103" t="s">
        <v>971</v>
      </c>
      <c r="D415" s="103" t="s">
        <v>972</v>
      </c>
      <c r="E415" s="83" t="s">
        <v>21</v>
      </c>
      <c r="F415" s="83" t="s">
        <v>7</v>
      </c>
      <c r="G415" s="83" t="s">
        <v>55</v>
      </c>
      <c r="H415" s="83" t="s">
        <v>977</v>
      </c>
      <c r="I415" s="83"/>
      <c r="J415" s="15" t="str">
        <f>IF(E415="Invalid_Segment","Invalid",IFERROR(INDEX(Severity_Matrix!$C$3:$M$10,MATCH('Error Log'!$F415,Severity_Matrix!$B$3:$B$10,0),MATCH('Error Log'!$G415,Severity_Matrix!$C$2:$M$2,0)),"No errors"))</f>
        <v>Critical</v>
      </c>
    </row>
    <row r="416" spans="1:10">
      <c r="A416" s="107" t="s">
        <v>978</v>
      </c>
      <c r="B416" s="18">
        <v>1</v>
      </c>
      <c r="C416" s="103" t="s">
        <v>979</v>
      </c>
      <c r="D416" s="103" t="s">
        <v>980</v>
      </c>
      <c r="E416" s="83" t="s">
        <v>21</v>
      </c>
      <c r="F416" s="83" t="s">
        <v>22</v>
      </c>
      <c r="G416" s="83" t="s">
        <v>55</v>
      </c>
      <c r="H416" s="83" t="s">
        <v>981</v>
      </c>
      <c r="I416" s="83"/>
      <c r="J416" s="15" t="str">
        <f>IF(E416="Invalid_Segment","Invalid",IFERROR(INDEX(Severity_Matrix!$C$3:$M$10,MATCH('Error Log'!$F416,Severity_Matrix!$B$3:$B$10,0),MATCH('Error Log'!$G416,Severity_Matrix!$C$2:$M$2,0)),"No errors"))</f>
        <v>Major</v>
      </c>
    </row>
    <row r="417" spans="1:10">
      <c r="A417" s="107" t="s">
        <v>978</v>
      </c>
      <c r="B417" s="18">
        <v>2</v>
      </c>
      <c r="C417" s="103" t="s">
        <v>979</v>
      </c>
      <c r="D417" s="103" t="s">
        <v>980</v>
      </c>
      <c r="E417" s="83" t="s">
        <v>21</v>
      </c>
      <c r="F417" s="83" t="s">
        <v>7</v>
      </c>
      <c r="G417" s="83" t="s">
        <v>55</v>
      </c>
      <c r="H417" s="83" t="s">
        <v>982</v>
      </c>
      <c r="I417" s="83"/>
      <c r="J417" s="15" t="str">
        <f>IF(E417="Invalid_Segment","Invalid",IFERROR(INDEX(Severity_Matrix!$C$3:$M$10,MATCH('Error Log'!$F417,Severity_Matrix!$B$3:$B$10,0),MATCH('Error Log'!$G417,Severity_Matrix!$C$2:$M$2,0)),"No errors"))</f>
        <v>Critical</v>
      </c>
    </row>
    <row r="418" spans="1:10">
      <c r="A418" s="107" t="s">
        <v>983</v>
      </c>
      <c r="B418" s="18">
        <v>1</v>
      </c>
      <c r="C418" s="103" t="s">
        <v>984</v>
      </c>
      <c r="D418" s="103" t="s">
        <v>985</v>
      </c>
      <c r="E418" s="83" t="s">
        <v>21</v>
      </c>
      <c r="F418" s="83" t="s">
        <v>22</v>
      </c>
      <c r="G418" s="83" t="s">
        <v>55</v>
      </c>
      <c r="H418" s="83" t="s">
        <v>986</v>
      </c>
      <c r="I418" s="83"/>
      <c r="J418" s="15" t="str">
        <f>IF(E418="Invalid_Segment","Invalid",IFERROR(INDEX(Severity_Matrix!$C$3:$M$10,MATCH('Error Log'!$F418,Severity_Matrix!$B$3:$B$10,0),MATCH('Error Log'!$G418,Severity_Matrix!$C$2:$M$2,0)),"No errors"))</f>
        <v>Major</v>
      </c>
    </row>
    <row r="419" spans="1:10">
      <c r="A419" s="107" t="s">
        <v>983</v>
      </c>
      <c r="B419" s="18">
        <v>2</v>
      </c>
      <c r="C419" s="103" t="s">
        <v>984</v>
      </c>
      <c r="D419" s="103" t="s">
        <v>985</v>
      </c>
      <c r="E419" s="83" t="s">
        <v>21</v>
      </c>
      <c r="F419" s="83" t="s">
        <v>22</v>
      </c>
      <c r="G419" s="83" t="s">
        <v>55</v>
      </c>
      <c r="H419" s="83" t="s">
        <v>987</v>
      </c>
      <c r="I419" s="83"/>
      <c r="J419" s="15" t="str">
        <f>IF(E419="Invalid_Segment","Invalid",IFERROR(INDEX(Severity_Matrix!$C$3:$M$10,MATCH('Error Log'!$F419,Severity_Matrix!$B$3:$B$10,0),MATCH('Error Log'!$G419,Severity_Matrix!$C$2:$M$2,0)),"No errors"))</f>
        <v>Major</v>
      </c>
    </row>
    <row r="420" spans="1:10">
      <c r="A420" s="107" t="s">
        <v>983</v>
      </c>
      <c r="B420" s="18">
        <v>3</v>
      </c>
      <c r="C420" s="103" t="s">
        <v>984</v>
      </c>
      <c r="D420" s="103" t="s">
        <v>985</v>
      </c>
      <c r="E420" s="83" t="s">
        <v>21</v>
      </c>
      <c r="F420" s="83" t="s">
        <v>7</v>
      </c>
      <c r="G420" s="83" t="s">
        <v>55</v>
      </c>
      <c r="H420" s="83" t="s">
        <v>988</v>
      </c>
      <c r="I420" s="83"/>
      <c r="J420" s="15" t="str">
        <f>IF(E420="Invalid_Segment","Invalid",IFERROR(INDEX(Severity_Matrix!$C$3:$M$10,MATCH('Error Log'!$F420,Severity_Matrix!$B$3:$B$10,0),MATCH('Error Log'!$G420,Severity_Matrix!$C$2:$M$2,0)),"No errors"))</f>
        <v>Critical</v>
      </c>
    </row>
    <row r="421" spans="1:10">
      <c r="A421" s="107" t="s">
        <v>983</v>
      </c>
      <c r="B421" s="18">
        <v>4</v>
      </c>
      <c r="C421" s="103" t="s">
        <v>984</v>
      </c>
      <c r="D421" s="103" t="s">
        <v>985</v>
      </c>
      <c r="E421" s="83" t="s">
        <v>21</v>
      </c>
      <c r="F421" s="83" t="s">
        <v>7</v>
      </c>
      <c r="G421" s="83" t="s">
        <v>55</v>
      </c>
      <c r="H421" s="83" t="s">
        <v>989</v>
      </c>
      <c r="I421" s="83"/>
      <c r="J421" s="15" t="str">
        <f>IF(E421="Invalid_Segment","Invalid",IFERROR(INDEX(Severity_Matrix!$C$3:$M$10,MATCH('Error Log'!$F421,Severity_Matrix!$B$3:$B$10,0),MATCH('Error Log'!$G421,Severity_Matrix!$C$2:$M$2,0)),"No errors"))</f>
        <v>Critical</v>
      </c>
    </row>
    <row r="422" spans="1:10">
      <c r="A422" s="107" t="s">
        <v>983</v>
      </c>
      <c r="B422" s="18">
        <v>5</v>
      </c>
      <c r="C422" s="103" t="s">
        <v>984</v>
      </c>
      <c r="D422" s="103" t="s">
        <v>985</v>
      </c>
      <c r="E422" s="83" t="s">
        <v>21</v>
      </c>
      <c r="F422" s="83" t="s">
        <v>7</v>
      </c>
      <c r="G422" s="83" t="s">
        <v>55</v>
      </c>
      <c r="H422" s="83" t="s">
        <v>990</v>
      </c>
      <c r="I422" s="83"/>
      <c r="J422" s="15" t="str">
        <f>IF(E422="Invalid_Segment","Invalid",IFERROR(INDEX(Severity_Matrix!$C$3:$M$10,MATCH('Error Log'!$F422,Severity_Matrix!$B$3:$B$10,0),MATCH('Error Log'!$G422,Severity_Matrix!$C$2:$M$2,0)),"No errors"))</f>
        <v>Critical</v>
      </c>
    </row>
    <row r="423" spans="1:10">
      <c r="A423" s="105" t="s">
        <v>991</v>
      </c>
      <c r="B423" s="18">
        <v>1</v>
      </c>
      <c r="C423" s="106" t="s">
        <v>992</v>
      </c>
      <c r="D423" s="103" t="s">
        <v>993</v>
      </c>
      <c r="E423" s="83" t="s">
        <v>21</v>
      </c>
      <c r="F423" s="83" t="s">
        <v>7</v>
      </c>
      <c r="G423" s="83" t="s">
        <v>55</v>
      </c>
      <c r="H423" s="83" t="s">
        <v>994</v>
      </c>
      <c r="I423" s="83"/>
      <c r="J423" s="15" t="str">
        <f>IF(E423="Invalid_Segment","Invalid",IFERROR(INDEX(Severity_Matrix!$C$3:$M$10,MATCH('Error Log'!$F423,Severity_Matrix!$B$3:$B$10,0),MATCH('Error Log'!$G423,Severity_Matrix!$C$2:$M$2,0)),"No errors"))</f>
        <v>Critical</v>
      </c>
    </row>
    <row r="424" spans="1:10">
      <c r="A424" s="105" t="s">
        <v>991</v>
      </c>
      <c r="B424" s="18">
        <v>2</v>
      </c>
      <c r="C424" s="106" t="s">
        <v>992</v>
      </c>
      <c r="D424" s="103" t="s">
        <v>993</v>
      </c>
      <c r="E424" s="83" t="s">
        <v>2</v>
      </c>
      <c r="F424" s="83" t="s">
        <v>26</v>
      </c>
      <c r="G424" s="83" t="s">
        <v>55</v>
      </c>
      <c r="H424" s="83" t="s">
        <v>995</v>
      </c>
      <c r="I424" s="83"/>
      <c r="J424" s="15" t="str">
        <f>IF(E424="Invalid_Segment","Invalid",IFERROR(INDEX(Severity_Matrix!$C$3:$M$10,MATCH('Error Log'!$F424,Severity_Matrix!$B$3:$B$10,0),MATCH('Error Log'!$G424,Severity_Matrix!$C$2:$M$2,0)),"No errors"))</f>
        <v>Major</v>
      </c>
    </row>
    <row r="425" spans="1:10">
      <c r="A425" s="105" t="s">
        <v>996</v>
      </c>
      <c r="B425" s="18">
        <v>1</v>
      </c>
      <c r="C425" s="106" t="s">
        <v>997</v>
      </c>
      <c r="D425" s="103" t="s">
        <v>998</v>
      </c>
      <c r="E425" s="83" t="s">
        <v>21</v>
      </c>
      <c r="F425" s="83" t="s">
        <v>22</v>
      </c>
      <c r="G425" s="83" t="s">
        <v>55</v>
      </c>
      <c r="H425" s="83" t="s">
        <v>999</v>
      </c>
      <c r="I425" s="83"/>
      <c r="J425" s="15" t="str">
        <f>IF(E425="Invalid_Segment","Invalid",IFERROR(INDEX(Severity_Matrix!$C$3:$M$10,MATCH('Error Log'!$F425,Severity_Matrix!$B$3:$B$10,0),MATCH('Error Log'!$G425,Severity_Matrix!$C$2:$M$2,0)),"No errors"))</f>
        <v>Major</v>
      </c>
    </row>
    <row r="426" spans="1:10">
      <c r="A426" s="105" t="s">
        <v>996</v>
      </c>
      <c r="B426" s="18">
        <v>2</v>
      </c>
      <c r="C426" s="106" t="s">
        <v>997</v>
      </c>
      <c r="D426" s="103" t="s">
        <v>998</v>
      </c>
      <c r="E426" s="83" t="s">
        <v>21</v>
      </c>
      <c r="F426" s="83" t="s">
        <v>7</v>
      </c>
      <c r="G426" s="83" t="s">
        <v>55</v>
      </c>
      <c r="H426" s="83" t="s">
        <v>1000</v>
      </c>
      <c r="I426" s="83"/>
      <c r="J426" s="15" t="str">
        <f>IF(E426="Invalid_Segment","Invalid",IFERROR(INDEX(Severity_Matrix!$C$3:$M$10,MATCH('Error Log'!$F426,Severity_Matrix!$B$3:$B$10,0),MATCH('Error Log'!$G426,Severity_Matrix!$C$2:$M$2,0)),"No errors"))</f>
        <v>Critical</v>
      </c>
    </row>
    <row r="427" spans="1:10">
      <c r="A427" s="105" t="s">
        <v>1001</v>
      </c>
      <c r="B427" s="18">
        <v>1</v>
      </c>
      <c r="C427" s="106" t="s">
        <v>1002</v>
      </c>
      <c r="D427" s="103" t="s">
        <v>1003</v>
      </c>
      <c r="E427" s="83" t="s">
        <v>21</v>
      </c>
      <c r="F427" s="83" t="s">
        <v>7</v>
      </c>
      <c r="G427" s="83" t="s">
        <v>55</v>
      </c>
      <c r="H427" s="108" t="s">
        <v>1004</v>
      </c>
      <c r="I427" s="83"/>
      <c r="J427" s="15" t="str">
        <f>IF(E427="Invalid_Segment","Invalid",IFERROR(INDEX(Severity_Matrix!$C$3:$M$10,MATCH('Error Log'!$F427,Severity_Matrix!$B$3:$B$10,0),MATCH('Error Log'!$G427,Severity_Matrix!$C$2:$M$2,0)),"No errors"))</f>
        <v>Critical</v>
      </c>
    </row>
    <row r="428" spans="1:10">
      <c r="A428" s="105" t="s">
        <v>1001</v>
      </c>
      <c r="B428" s="18">
        <v>2</v>
      </c>
      <c r="C428" s="106" t="s">
        <v>1002</v>
      </c>
      <c r="D428" s="103" t="s">
        <v>1003</v>
      </c>
      <c r="E428" s="83" t="s">
        <v>21</v>
      </c>
      <c r="F428" s="83" t="s">
        <v>7</v>
      </c>
      <c r="G428" s="83" t="s">
        <v>55</v>
      </c>
      <c r="H428" s="108" t="s">
        <v>1005</v>
      </c>
      <c r="I428" s="83"/>
      <c r="J428" s="15" t="str">
        <f>IF(E428="Invalid_Segment","Invalid",IFERROR(INDEX(Severity_Matrix!$C$3:$M$10,MATCH('Error Log'!$F428,Severity_Matrix!$B$3:$B$10,0),MATCH('Error Log'!$G428,Severity_Matrix!$C$2:$M$2,0)),"No errors"))</f>
        <v>Critical</v>
      </c>
    </row>
    <row r="429" spans="1:10">
      <c r="A429" s="19"/>
      <c r="B429" s="18"/>
      <c r="D429" s="20"/>
      <c r="E429" s="14"/>
      <c r="F429" s="14"/>
      <c r="G429" s="14"/>
      <c r="H429" s="14"/>
      <c r="I429" s="14"/>
      <c r="J429" s="15"/>
    </row>
    <row r="430" spans="1:10">
      <c r="A430" s="19"/>
      <c r="B430" s="18"/>
      <c r="D430" s="20"/>
      <c r="E430" s="14"/>
      <c r="F430" s="14"/>
      <c r="G430" s="14"/>
      <c r="H430" s="14"/>
      <c r="I430" s="14"/>
      <c r="J430" s="15"/>
    </row>
    <row r="431" spans="1:10">
      <c r="A431" s="19"/>
      <c r="B431" s="18"/>
      <c r="D431" s="20"/>
      <c r="E431" s="14"/>
      <c r="F431" s="14"/>
      <c r="G431" s="14"/>
      <c r="H431" s="14"/>
      <c r="I431" s="14"/>
      <c r="J431" s="15"/>
    </row>
    <row r="432" spans="1:10">
      <c r="A432" s="19"/>
      <c r="B432" s="18"/>
      <c r="D432" s="20"/>
      <c r="E432" s="14"/>
      <c r="F432" s="14"/>
      <c r="G432" s="14"/>
      <c r="H432" s="14"/>
      <c r="I432" s="14"/>
      <c r="J432" s="15"/>
    </row>
    <row r="433" spans="1:10">
      <c r="A433" s="19"/>
      <c r="B433" s="18"/>
      <c r="D433" s="20"/>
      <c r="E433" s="14"/>
      <c r="F433" s="14"/>
      <c r="G433" s="14"/>
      <c r="H433" s="14"/>
      <c r="I433" s="14"/>
      <c r="J433" s="15"/>
    </row>
    <row r="434" spans="1:10">
      <c r="A434" s="19"/>
      <c r="B434" s="18"/>
      <c r="D434" s="20"/>
      <c r="E434" s="14"/>
      <c r="F434" s="14"/>
      <c r="G434" s="14"/>
      <c r="H434" s="14"/>
      <c r="I434" s="14"/>
      <c r="J434" s="15"/>
    </row>
    <row r="435" spans="1:10">
      <c r="A435" s="19"/>
      <c r="B435" s="18"/>
      <c r="D435" s="20"/>
      <c r="E435" s="14"/>
      <c r="F435" s="14"/>
      <c r="G435" s="14"/>
      <c r="H435" s="14"/>
      <c r="I435" s="14"/>
      <c r="J435" s="15"/>
    </row>
    <row r="436" spans="1:10">
      <c r="A436" s="19"/>
      <c r="B436" s="18"/>
      <c r="D436" s="20"/>
      <c r="E436" s="14"/>
      <c r="F436" s="14"/>
      <c r="G436" s="14"/>
      <c r="H436" s="14"/>
      <c r="I436" s="14"/>
      <c r="J436" s="15"/>
    </row>
    <row r="437" spans="1:10">
      <c r="A437" s="19"/>
      <c r="B437" s="18"/>
      <c r="D437" s="20"/>
      <c r="E437" s="14"/>
      <c r="F437" s="14"/>
      <c r="G437" s="14"/>
      <c r="H437" s="14"/>
      <c r="I437" s="14"/>
      <c r="J437" s="15"/>
    </row>
    <row r="438" spans="1:10">
      <c r="A438" s="19"/>
      <c r="B438" s="18"/>
      <c r="D438" s="20"/>
      <c r="E438" s="14"/>
      <c r="F438" s="14"/>
      <c r="G438" s="14"/>
      <c r="H438" s="14"/>
      <c r="I438" s="14"/>
      <c r="J438" s="15"/>
    </row>
    <row r="439" spans="1:10">
      <c r="A439" s="19"/>
      <c r="B439" s="18"/>
      <c r="D439" s="20"/>
      <c r="E439" s="14"/>
      <c r="F439" s="14"/>
      <c r="G439" s="14"/>
      <c r="H439" s="14"/>
      <c r="I439" s="14"/>
      <c r="J439" s="15"/>
    </row>
    <row r="440" spans="1:10">
      <c r="A440" s="19"/>
      <c r="B440" s="18"/>
      <c r="D440" s="20"/>
      <c r="E440" s="14"/>
      <c r="F440" s="14"/>
      <c r="G440" s="14"/>
      <c r="H440" s="14"/>
      <c r="I440" s="14"/>
      <c r="J440" s="15"/>
    </row>
    <row r="441" spans="1:10">
      <c r="A441" s="19"/>
      <c r="B441" s="18"/>
      <c r="D441" s="20"/>
      <c r="E441" s="14"/>
      <c r="F441" s="14"/>
      <c r="G441" s="14"/>
      <c r="H441" s="14"/>
      <c r="I441" s="14"/>
      <c r="J441" s="15"/>
    </row>
    <row r="442" spans="1:10">
      <c r="A442" s="19"/>
      <c r="B442" s="18"/>
      <c r="D442" s="20"/>
      <c r="E442" s="14"/>
      <c r="F442" s="14"/>
      <c r="G442" s="14"/>
      <c r="H442" s="14"/>
      <c r="I442" s="14"/>
      <c r="J442" s="15"/>
    </row>
    <row r="443" spans="1:10">
      <c r="A443" s="19"/>
      <c r="B443" s="18"/>
      <c r="D443" s="20"/>
      <c r="E443" s="14"/>
      <c r="F443" s="14"/>
      <c r="G443" s="14"/>
      <c r="H443" s="14"/>
      <c r="I443" s="14"/>
      <c r="J443" s="15"/>
    </row>
    <row r="444" spans="1:10">
      <c r="A444" s="19"/>
      <c r="B444" s="18"/>
      <c r="D444" s="20"/>
      <c r="E444" s="14"/>
      <c r="F444" s="14"/>
      <c r="G444" s="14"/>
      <c r="H444" s="14"/>
      <c r="I444" s="14"/>
      <c r="J444" s="15"/>
    </row>
    <row r="445" spans="1:10">
      <c r="A445" s="19"/>
      <c r="B445" s="18"/>
      <c r="D445" s="20"/>
      <c r="E445" s="14"/>
      <c r="F445" s="14"/>
      <c r="G445" s="14"/>
      <c r="H445" s="14"/>
      <c r="I445" s="14"/>
      <c r="J445" s="15"/>
    </row>
    <row r="446" spans="1:10">
      <c r="A446" s="19"/>
      <c r="B446" s="18"/>
      <c r="D446" s="20"/>
      <c r="E446" s="14"/>
      <c r="F446" s="14"/>
      <c r="G446" s="14"/>
      <c r="H446" s="14"/>
      <c r="I446" s="14"/>
      <c r="J446" s="15"/>
    </row>
    <row r="447" spans="1:10">
      <c r="A447" s="19"/>
      <c r="B447" s="18"/>
      <c r="D447" s="20"/>
      <c r="E447" s="14"/>
      <c r="F447" s="14"/>
      <c r="G447" s="14"/>
      <c r="H447" s="14"/>
      <c r="I447" s="14"/>
      <c r="J447" s="15"/>
    </row>
    <row r="448" spans="1:10">
      <c r="A448" s="19"/>
      <c r="B448" s="18"/>
      <c r="D448" s="20"/>
      <c r="E448" s="14"/>
      <c r="F448" s="14"/>
      <c r="G448" s="14"/>
      <c r="H448" s="14"/>
      <c r="I448" s="14"/>
      <c r="J448" s="15"/>
    </row>
    <row r="449" spans="1:10">
      <c r="A449" s="19"/>
      <c r="B449" s="18"/>
      <c r="D449" s="20"/>
      <c r="E449" s="14"/>
      <c r="F449" s="14"/>
      <c r="G449" s="14"/>
      <c r="H449" s="14"/>
      <c r="I449" s="14"/>
      <c r="J449" s="15"/>
    </row>
    <row r="450" spans="1:10">
      <c r="A450" s="19"/>
      <c r="B450" s="18"/>
      <c r="D450" s="20"/>
      <c r="E450" s="14"/>
      <c r="F450" s="14"/>
      <c r="G450" s="14"/>
      <c r="H450" s="14"/>
      <c r="I450" s="14"/>
      <c r="J450" s="15"/>
    </row>
    <row r="451" spans="1:10">
      <c r="A451" s="19"/>
      <c r="B451" s="18"/>
      <c r="D451" s="20"/>
      <c r="E451" s="14"/>
      <c r="F451" s="14"/>
      <c r="G451" s="14"/>
      <c r="H451" s="14"/>
      <c r="I451" s="14"/>
      <c r="J451" s="15"/>
    </row>
    <row r="452" spans="1:10">
      <c r="A452" s="19"/>
      <c r="B452" s="18"/>
      <c r="D452" s="20"/>
      <c r="E452" s="14"/>
      <c r="F452" s="14"/>
      <c r="G452" s="14"/>
      <c r="H452" s="14"/>
      <c r="I452" s="14"/>
      <c r="J452" s="15"/>
    </row>
    <row r="453" spans="1:10">
      <c r="A453" s="19"/>
      <c r="B453" s="18"/>
      <c r="D453" s="20"/>
      <c r="E453" s="14"/>
      <c r="F453" s="14"/>
      <c r="G453" s="14"/>
      <c r="H453" s="14"/>
      <c r="I453" s="14"/>
      <c r="J453" s="15"/>
    </row>
    <row r="454" spans="1:10">
      <c r="A454" s="19"/>
      <c r="B454" s="18"/>
      <c r="D454" s="20"/>
      <c r="E454" s="14"/>
      <c r="F454" s="14"/>
      <c r="G454" s="14"/>
      <c r="H454" s="14"/>
      <c r="I454" s="14"/>
      <c r="J454" s="15"/>
    </row>
    <row r="455" spans="1:10">
      <c r="A455" s="19"/>
      <c r="B455" s="18"/>
      <c r="D455" s="20"/>
      <c r="E455" s="14"/>
      <c r="F455" s="14"/>
      <c r="G455" s="14"/>
      <c r="H455" s="14"/>
      <c r="I455" s="14"/>
      <c r="J455" s="15"/>
    </row>
    <row r="456" spans="1:10">
      <c r="A456" s="19"/>
      <c r="B456" s="18"/>
      <c r="D456" s="20"/>
      <c r="E456" s="14"/>
      <c r="F456" s="14"/>
      <c r="G456" s="14"/>
      <c r="H456" s="14"/>
      <c r="I456" s="14"/>
      <c r="J456" s="15"/>
    </row>
    <row r="457" spans="1:10">
      <c r="A457" s="19"/>
      <c r="B457" s="18"/>
      <c r="D457" s="20"/>
      <c r="E457" s="14"/>
      <c r="F457" s="14"/>
      <c r="G457" s="14"/>
      <c r="H457" s="14"/>
      <c r="I457" s="14"/>
      <c r="J457" s="15"/>
    </row>
    <row r="458" spans="1:10">
      <c r="A458" s="19"/>
      <c r="B458" s="18"/>
      <c r="D458" s="20"/>
      <c r="E458" s="14"/>
      <c r="F458" s="14"/>
      <c r="G458" s="14"/>
      <c r="H458" s="14"/>
      <c r="I458" s="14"/>
      <c r="J458" s="15"/>
    </row>
    <row r="459" spans="1:10">
      <c r="A459" s="19"/>
      <c r="B459" s="18"/>
      <c r="D459" s="20"/>
      <c r="E459" s="14"/>
      <c r="F459" s="14"/>
      <c r="G459" s="14"/>
      <c r="H459" s="14"/>
      <c r="I459" s="14"/>
      <c r="J459" s="15"/>
    </row>
    <row r="460" spans="1:10">
      <c r="A460" s="19"/>
      <c r="B460" s="18"/>
      <c r="D460" s="20"/>
      <c r="E460" s="14"/>
      <c r="F460" s="14"/>
      <c r="G460" s="14"/>
      <c r="H460" s="14"/>
      <c r="I460" s="14"/>
      <c r="J460" s="15"/>
    </row>
    <row r="461" spans="1:10">
      <c r="A461" s="19"/>
      <c r="B461" s="18"/>
      <c r="D461" s="20"/>
      <c r="E461" s="14"/>
      <c r="F461" s="14"/>
      <c r="G461" s="14"/>
      <c r="H461" s="14"/>
      <c r="I461" s="14"/>
      <c r="J461" s="15"/>
    </row>
    <row r="462" spans="1:10">
      <c r="A462" s="19"/>
      <c r="B462" s="18"/>
      <c r="D462" s="20"/>
      <c r="E462" s="14"/>
      <c r="F462" s="14"/>
      <c r="G462" s="14"/>
      <c r="H462" s="14"/>
      <c r="I462" s="14"/>
      <c r="J462" s="15"/>
    </row>
    <row r="463" spans="1:10">
      <c r="A463" s="19"/>
      <c r="B463" s="18"/>
      <c r="D463" s="20"/>
      <c r="E463" s="14"/>
      <c r="F463" s="14"/>
      <c r="G463" s="14"/>
      <c r="H463" s="14"/>
      <c r="I463" s="14"/>
      <c r="J463" s="15"/>
    </row>
    <row r="464" spans="1:10">
      <c r="A464" s="19"/>
      <c r="B464" s="18"/>
      <c r="D464" s="20"/>
      <c r="E464" s="14"/>
      <c r="F464" s="14"/>
      <c r="G464" s="14"/>
      <c r="H464" s="14"/>
      <c r="I464" s="14"/>
      <c r="J464" s="15"/>
    </row>
    <row r="465" spans="1:10">
      <c r="A465" s="19"/>
      <c r="B465" s="18"/>
      <c r="D465" s="20"/>
      <c r="E465" s="14"/>
      <c r="F465" s="14"/>
      <c r="G465" s="14"/>
      <c r="H465" s="14"/>
      <c r="I465" s="14"/>
      <c r="J465" s="15"/>
    </row>
    <row r="466" spans="1:10">
      <c r="A466" s="19"/>
      <c r="B466" s="18"/>
      <c r="D466" s="20"/>
      <c r="E466" s="14"/>
      <c r="F466" s="14"/>
      <c r="G466" s="14"/>
      <c r="H466" s="14"/>
      <c r="I466" s="14"/>
      <c r="J466" s="15"/>
    </row>
    <row r="467" spans="1:10">
      <c r="A467" s="19"/>
      <c r="B467" s="18"/>
      <c r="D467" s="20"/>
      <c r="E467" s="14"/>
      <c r="F467" s="14"/>
      <c r="G467" s="14"/>
      <c r="H467" s="14"/>
      <c r="I467" s="14"/>
      <c r="J467" s="15"/>
    </row>
    <row r="468" spans="1:10">
      <c r="A468" s="19"/>
      <c r="B468" s="18"/>
      <c r="D468" s="20"/>
      <c r="E468" s="14"/>
      <c r="F468" s="14"/>
      <c r="G468" s="14"/>
      <c r="H468" s="14"/>
      <c r="I468" s="14"/>
      <c r="J468" s="15"/>
    </row>
    <row r="469" spans="1:10">
      <c r="A469" s="19"/>
      <c r="B469" s="18"/>
      <c r="D469" s="20"/>
      <c r="E469" s="14"/>
      <c r="F469" s="14"/>
      <c r="G469" s="14"/>
      <c r="H469" s="14"/>
      <c r="I469" s="14"/>
      <c r="J469" s="15"/>
    </row>
    <row r="470" spans="1:10">
      <c r="A470" s="19"/>
      <c r="B470" s="18"/>
      <c r="D470" s="20"/>
      <c r="E470" s="14"/>
      <c r="F470" s="14"/>
      <c r="G470" s="14"/>
      <c r="H470" s="14"/>
      <c r="I470" s="14"/>
      <c r="J470" s="15"/>
    </row>
    <row r="471" spans="1:10">
      <c r="A471" s="19"/>
      <c r="B471" s="18"/>
      <c r="D471" s="20"/>
      <c r="E471" s="14"/>
      <c r="F471" s="14"/>
      <c r="G471" s="14"/>
      <c r="H471" s="14"/>
      <c r="I471" s="14"/>
      <c r="J471" s="15"/>
    </row>
    <row r="472" spans="1:10">
      <c r="A472" s="19"/>
      <c r="B472" s="18"/>
      <c r="D472" s="20"/>
      <c r="E472" s="14"/>
      <c r="F472" s="14"/>
      <c r="G472" s="14"/>
      <c r="H472" s="14"/>
      <c r="I472" s="14"/>
      <c r="J472" s="15"/>
    </row>
    <row r="473" spans="1:10">
      <c r="A473" s="19"/>
      <c r="B473" s="18"/>
      <c r="D473" s="20"/>
      <c r="E473" s="14"/>
      <c r="F473" s="14"/>
      <c r="G473" s="14"/>
      <c r="H473" s="14"/>
      <c r="I473" s="14"/>
      <c r="J473" s="15"/>
    </row>
    <row r="474" spans="1:10">
      <c r="A474" s="19"/>
      <c r="B474" s="18"/>
      <c r="D474" s="20"/>
      <c r="E474" s="14"/>
      <c r="F474" s="14"/>
      <c r="G474" s="14"/>
      <c r="H474" s="14"/>
      <c r="I474" s="14"/>
      <c r="J474" s="15"/>
    </row>
    <row r="475" spans="1:10">
      <c r="A475" s="19"/>
      <c r="B475" s="18"/>
      <c r="D475" s="20"/>
      <c r="E475" s="14"/>
      <c r="F475" s="14"/>
      <c r="G475" s="14"/>
      <c r="H475" s="14"/>
      <c r="I475" s="14"/>
      <c r="J475" s="15"/>
    </row>
    <row r="476" spans="1:10">
      <c r="A476" s="19"/>
      <c r="B476" s="18"/>
      <c r="D476" s="20"/>
      <c r="E476" s="14"/>
      <c r="F476" s="14"/>
      <c r="G476" s="14"/>
      <c r="H476" s="14"/>
      <c r="I476" s="14"/>
      <c r="J476" s="15"/>
    </row>
    <row r="477" spans="1:10">
      <c r="A477" s="19"/>
      <c r="B477" s="18"/>
      <c r="D477" s="20"/>
      <c r="E477" s="14"/>
      <c r="F477" s="14"/>
      <c r="G477" s="14"/>
      <c r="H477" s="14"/>
      <c r="I477" s="14"/>
      <c r="J477" s="15"/>
    </row>
    <row r="478" spans="1:10">
      <c r="A478" s="19"/>
      <c r="B478" s="18"/>
      <c r="D478" s="20"/>
      <c r="E478" s="14"/>
      <c r="F478" s="14"/>
      <c r="G478" s="14"/>
      <c r="H478" s="14"/>
      <c r="I478" s="14"/>
      <c r="J478" s="15"/>
    </row>
    <row r="479" spans="1:10">
      <c r="A479" s="19"/>
      <c r="B479" s="18"/>
      <c r="D479" s="20"/>
      <c r="E479" s="14"/>
      <c r="F479" s="14"/>
      <c r="G479" s="14"/>
      <c r="H479" s="14"/>
      <c r="I479" s="14"/>
      <c r="J479" s="15"/>
    </row>
    <row r="480" spans="1:10">
      <c r="A480" s="19"/>
      <c r="B480" s="18"/>
      <c r="D480" s="20"/>
      <c r="E480" s="14"/>
      <c r="F480" s="14"/>
      <c r="G480" s="14"/>
      <c r="H480" s="14"/>
      <c r="I480" s="14"/>
      <c r="J480" s="15"/>
    </row>
    <row r="481" spans="1:10">
      <c r="A481" s="19"/>
      <c r="B481" s="18"/>
      <c r="D481" s="20"/>
      <c r="E481" s="14"/>
      <c r="F481" s="14"/>
      <c r="G481" s="14"/>
      <c r="H481" s="14"/>
      <c r="I481" s="14"/>
      <c r="J481" s="15"/>
    </row>
    <row r="482" spans="1:10">
      <c r="A482" s="19"/>
      <c r="B482" s="18"/>
      <c r="D482" s="20"/>
      <c r="E482" s="14"/>
      <c r="F482" s="14"/>
      <c r="G482" s="14"/>
      <c r="H482" s="14"/>
      <c r="I482" s="14"/>
      <c r="J482" s="15"/>
    </row>
    <row r="483" spans="1:10">
      <c r="A483" s="19"/>
      <c r="B483" s="18"/>
      <c r="D483" s="20"/>
      <c r="E483" s="14"/>
      <c r="F483" s="14"/>
      <c r="G483" s="14"/>
      <c r="H483" s="14"/>
      <c r="I483" s="14"/>
      <c r="J483" s="15"/>
    </row>
    <row r="484" spans="1:10">
      <c r="A484" s="19"/>
      <c r="B484" s="18"/>
      <c r="D484" s="20"/>
      <c r="E484" s="14"/>
      <c r="F484" s="14"/>
      <c r="G484" s="14"/>
      <c r="H484" s="14"/>
      <c r="I484" s="14"/>
      <c r="J484" s="15"/>
    </row>
    <row r="485" spans="1:10">
      <c r="A485" s="19"/>
      <c r="B485" s="18"/>
      <c r="D485" s="20"/>
      <c r="E485" s="14"/>
      <c r="F485" s="14"/>
      <c r="G485" s="14"/>
      <c r="H485" s="14"/>
      <c r="I485" s="14"/>
      <c r="J485" s="15"/>
    </row>
    <row r="486" spans="1:10">
      <c r="A486" s="19"/>
      <c r="B486" s="18"/>
      <c r="D486" s="20"/>
      <c r="E486" s="14"/>
      <c r="F486" s="14"/>
      <c r="G486" s="14"/>
      <c r="H486" s="14"/>
      <c r="I486" s="14"/>
      <c r="J486" s="15"/>
    </row>
    <row r="487" spans="1:10">
      <c r="A487" s="19"/>
      <c r="B487" s="18"/>
      <c r="D487" s="20"/>
      <c r="E487" s="14"/>
      <c r="F487" s="14"/>
      <c r="G487" s="14"/>
      <c r="H487" s="14"/>
      <c r="I487" s="14"/>
      <c r="J487" s="15"/>
    </row>
    <row r="488" spans="1:10">
      <c r="A488" s="19"/>
      <c r="B488" s="18"/>
      <c r="D488" s="20"/>
      <c r="E488" s="14"/>
      <c r="F488" s="14"/>
      <c r="G488" s="14"/>
      <c r="H488" s="14"/>
      <c r="I488" s="14"/>
      <c r="J488" s="15"/>
    </row>
    <row r="489" spans="1:10">
      <c r="A489" s="19"/>
      <c r="B489" s="18"/>
      <c r="D489" s="20"/>
      <c r="E489" s="14"/>
      <c r="F489" s="14"/>
      <c r="G489" s="14"/>
      <c r="H489" s="14"/>
      <c r="I489" s="14"/>
      <c r="J489" s="15"/>
    </row>
    <row r="490" spans="1:10">
      <c r="A490" s="19"/>
      <c r="B490" s="18"/>
      <c r="D490" s="20"/>
      <c r="E490" s="14"/>
      <c r="F490" s="14"/>
      <c r="G490" s="14"/>
      <c r="H490" s="14"/>
      <c r="I490" s="14"/>
      <c r="J490" s="15"/>
    </row>
    <row r="491" spans="1:10">
      <c r="A491" s="19"/>
      <c r="B491" s="18"/>
      <c r="D491" s="20"/>
      <c r="E491" s="14"/>
      <c r="F491" s="14"/>
      <c r="G491" s="14"/>
      <c r="H491" s="14"/>
      <c r="I491" s="14"/>
      <c r="J491" s="15"/>
    </row>
    <row r="492" spans="1:10">
      <c r="A492" s="19"/>
      <c r="B492" s="18"/>
      <c r="D492" s="20"/>
      <c r="E492" s="14"/>
      <c r="F492" s="14"/>
      <c r="G492" s="14"/>
      <c r="H492" s="14"/>
      <c r="I492" s="14"/>
      <c r="J492" s="15"/>
    </row>
    <row r="493" spans="1:10">
      <c r="A493" s="19"/>
      <c r="B493" s="18"/>
      <c r="D493" s="20"/>
      <c r="E493" s="14"/>
      <c r="F493" s="14"/>
      <c r="G493" s="14"/>
      <c r="H493" s="14"/>
      <c r="I493" s="14"/>
      <c r="J493" s="15"/>
    </row>
    <row r="494" spans="1:10">
      <c r="A494" s="19"/>
      <c r="B494" s="18"/>
      <c r="D494" s="20"/>
      <c r="E494" s="14"/>
      <c r="F494" s="14"/>
      <c r="G494" s="14"/>
      <c r="H494" s="14"/>
      <c r="I494" s="14"/>
      <c r="J494" s="15"/>
    </row>
    <row r="495" spans="1:10">
      <c r="A495" s="19"/>
      <c r="B495" s="18"/>
      <c r="D495" s="20"/>
      <c r="E495" s="14"/>
      <c r="F495" s="14"/>
      <c r="G495" s="14"/>
      <c r="H495" s="14"/>
      <c r="I495" s="14"/>
      <c r="J495" s="15"/>
    </row>
    <row r="496" spans="1:10">
      <c r="A496" s="19"/>
      <c r="B496" s="18"/>
      <c r="D496" s="20"/>
      <c r="E496" s="14"/>
      <c r="F496" s="14"/>
      <c r="G496" s="14"/>
      <c r="H496" s="14"/>
      <c r="I496" s="14"/>
      <c r="J496" s="15"/>
    </row>
    <row r="497" spans="1:10">
      <c r="A497" s="19"/>
      <c r="B497" s="18"/>
      <c r="D497" s="20"/>
      <c r="E497" s="14"/>
      <c r="F497" s="14"/>
      <c r="G497" s="14"/>
      <c r="H497" s="14"/>
      <c r="I497" s="14"/>
      <c r="J497" s="15"/>
    </row>
    <row r="498" spans="1:10">
      <c r="A498" s="19"/>
      <c r="B498" s="18"/>
      <c r="D498" s="20"/>
      <c r="E498" s="14"/>
      <c r="F498" s="14"/>
      <c r="G498" s="14"/>
      <c r="H498" s="14"/>
      <c r="I498" s="14"/>
      <c r="J498" s="15"/>
    </row>
    <row r="499" spans="1:10">
      <c r="A499" s="19"/>
      <c r="B499" s="18"/>
      <c r="D499" s="20"/>
      <c r="E499" s="14"/>
      <c r="F499" s="14"/>
      <c r="G499" s="14"/>
      <c r="H499" s="14"/>
      <c r="I499" s="14"/>
      <c r="J499" s="15"/>
    </row>
    <row r="500" spans="1:10">
      <c r="A500" s="19"/>
      <c r="B500" s="18"/>
      <c r="D500" s="20"/>
      <c r="E500" s="14"/>
      <c r="F500" s="14"/>
      <c r="G500" s="14"/>
      <c r="H500" s="14"/>
      <c r="I500" s="14"/>
      <c r="J500" s="15"/>
    </row>
    <row r="501" spans="1:10">
      <c r="A501" s="19"/>
      <c r="B501" s="18"/>
      <c r="D501" s="20"/>
      <c r="E501" s="14"/>
      <c r="F501" s="14"/>
      <c r="G501" s="14"/>
      <c r="H501" s="14"/>
      <c r="I501" s="14"/>
      <c r="J501" s="15"/>
    </row>
    <row r="502" spans="1:10">
      <c r="A502" s="19"/>
      <c r="B502" s="18"/>
      <c r="D502" s="20"/>
      <c r="E502" s="14"/>
      <c r="F502" s="14"/>
      <c r="G502" s="14"/>
      <c r="H502" s="14"/>
      <c r="I502" s="14"/>
      <c r="J502" s="15"/>
    </row>
    <row r="503" spans="1:10">
      <c r="A503" s="19"/>
      <c r="B503" s="18"/>
      <c r="D503" s="20"/>
      <c r="E503" s="14"/>
      <c r="F503" s="14"/>
      <c r="G503" s="14"/>
      <c r="H503" s="14"/>
      <c r="I503" s="14"/>
      <c r="J503" s="15"/>
    </row>
    <row r="504" spans="1:10">
      <c r="A504" s="19"/>
      <c r="B504" s="18"/>
      <c r="D504" s="20"/>
      <c r="E504" s="14"/>
      <c r="F504" s="14"/>
      <c r="G504" s="14"/>
      <c r="H504" s="14"/>
      <c r="I504" s="14"/>
      <c r="J504" s="15"/>
    </row>
    <row r="505" spans="1:10">
      <c r="A505" s="19"/>
      <c r="B505" s="18"/>
      <c r="D505" s="20"/>
      <c r="E505" s="14"/>
      <c r="F505" s="14"/>
      <c r="G505" s="14"/>
      <c r="H505" s="14"/>
      <c r="I505" s="14"/>
      <c r="J505" s="15"/>
    </row>
    <row r="506" spans="1:10">
      <c r="A506" s="19"/>
      <c r="B506" s="18"/>
      <c r="D506" s="20"/>
      <c r="E506" s="14"/>
      <c r="F506" s="14"/>
      <c r="G506" s="14"/>
      <c r="H506" s="14"/>
      <c r="I506" s="14"/>
      <c r="J506" s="15"/>
    </row>
    <row r="507" spans="1:10">
      <c r="A507" s="19"/>
      <c r="B507" s="18"/>
      <c r="D507" s="20"/>
      <c r="E507" s="14"/>
      <c r="F507" s="14"/>
      <c r="G507" s="14"/>
      <c r="H507" s="14"/>
      <c r="I507" s="14"/>
      <c r="J507" s="15"/>
    </row>
    <row r="508" spans="1:10">
      <c r="A508" s="19"/>
      <c r="B508" s="18"/>
      <c r="D508" s="20"/>
      <c r="E508" s="14"/>
      <c r="F508" s="14"/>
      <c r="G508" s="14"/>
      <c r="H508" s="14"/>
      <c r="I508" s="14"/>
      <c r="J508" s="15"/>
    </row>
    <row r="509" spans="1:10">
      <c r="A509" s="19"/>
      <c r="B509" s="18"/>
      <c r="D509" s="20"/>
      <c r="E509" s="14"/>
      <c r="F509" s="14"/>
      <c r="G509" s="14"/>
      <c r="H509" s="14"/>
      <c r="I509" s="14"/>
      <c r="J509" s="15"/>
    </row>
    <row r="510" spans="1:10">
      <c r="A510" s="19"/>
      <c r="B510" s="18"/>
      <c r="D510" s="20"/>
      <c r="E510" s="14"/>
      <c r="F510" s="14"/>
      <c r="G510" s="14"/>
      <c r="H510" s="14"/>
      <c r="I510" s="14"/>
      <c r="J510" s="15"/>
    </row>
    <row r="511" spans="1:10">
      <c r="A511" s="19"/>
      <c r="B511" s="18"/>
      <c r="D511" s="20"/>
      <c r="E511" s="14"/>
      <c r="F511" s="14"/>
      <c r="G511" s="14"/>
      <c r="H511" s="14"/>
      <c r="I511" s="14"/>
      <c r="J511" s="15"/>
    </row>
    <row r="512" spans="1:10">
      <c r="A512" s="19"/>
      <c r="B512" s="18"/>
      <c r="D512" s="20"/>
      <c r="E512" s="14"/>
      <c r="F512" s="14"/>
      <c r="G512" s="14"/>
      <c r="H512" s="14"/>
      <c r="I512" s="14"/>
      <c r="J512" s="15"/>
    </row>
    <row r="513" spans="1:10">
      <c r="A513" s="19"/>
      <c r="B513" s="18"/>
      <c r="D513" s="20"/>
      <c r="E513" s="14"/>
      <c r="F513" s="14"/>
      <c r="G513" s="14"/>
      <c r="H513" s="14"/>
      <c r="I513" s="14"/>
      <c r="J513" s="15"/>
    </row>
    <row r="514" spans="1:10">
      <c r="A514" s="19"/>
      <c r="B514" s="18"/>
      <c r="D514" s="20"/>
      <c r="E514" s="14"/>
      <c r="F514" s="14"/>
      <c r="G514" s="14"/>
      <c r="H514" s="14"/>
      <c r="I514" s="14"/>
      <c r="J514" s="15"/>
    </row>
    <row r="515" spans="1:10">
      <c r="A515" s="19"/>
      <c r="B515" s="18"/>
      <c r="D515" s="20"/>
      <c r="E515" s="14"/>
      <c r="F515" s="14"/>
      <c r="G515" s="14"/>
      <c r="H515" s="14"/>
      <c r="I515" s="14"/>
      <c r="J515" s="15"/>
    </row>
    <row r="516" spans="1:10">
      <c r="A516" s="19"/>
      <c r="B516" s="18"/>
      <c r="D516" s="20"/>
      <c r="E516" s="14"/>
      <c r="F516" s="14"/>
      <c r="G516" s="14"/>
      <c r="H516" s="14"/>
      <c r="I516" s="14"/>
      <c r="J516" s="15"/>
    </row>
    <row r="517" spans="1:10">
      <c r="A517" s="19"/>
      <c r="B517" s="18"/>
      <c r="D517" s="20"/>
      <c r="E517" s="14"/>
      <c r="F517" s="14"/>
      <c r="G517" s="14"/>
      <c r="H517" s="14"/>
      <c r="I517" s="14"/>
      <c r="J517" s="15"/>
    </row>
    <row r="518" spans="1:10">
      <c r="A518" s="19"/>
      <c r="B518" s="18"/>
      <c r="D518" s="20"/>
      <c r="E518" s="14"/>
      <c r="F518" s="14"/>
      <c r="G518" s="14"/>
      <c r="H518" s="14"/>
      <c r="I518" s="14"/>
      <c r="J518" s="15"/>
    </row>
    <row r="519" spans="1:10">
      <c r="A519" s="19"/>
      <c r="B519" s="18"/>
      <c r="D519" s="20"/>
      <c r="E519" s="14"/>
      <c r="F519" s="14"/>
      <c r="G519" s="14"/>
      <c r="H519" s="14"/>
      <c r="I519" s="14"/>
      <c r="J519" s="15"/>
    </row>
    <row r="520" spans="1:10">
      <c r="A520" s="19"/>
      <c r="B520" s="18"/>
      <c r="D520" s="20"/>
      <c r="E520" s="14"/>
      <c r="F520" s="14"/>
      <c r="G520" s="14"/>
      <c r="H520" s="14"/>
      <c r="I520" s="14"/>
      <c r="J520" s="15"/>
    </row>
    <row r="521" spans="1:10">
      <c r="A521" s="19"/>
      <c r="B521" s="18"/>
      <c r="D521" s="20"/>
      <c r="E521" s="14"/>
      <c r="F521" s="14"/>
      <c r="G521" s="14"/>
      <c r="H521" s="14"/>
      <c r="I521" s="14"/>
      <c r="J521" s="15"/>
    </row>
    <row r="522" spans="1:10">
      <c r="A522" s="19"/>
      <c r="B522" s="18"/>
      <c r="D522" s="20"/>
      <c r="E522" s="14"/>
      <c r="F522" s="14"/>
      <c r="G522" s="14"/>
      <c r="H522" s="14"/>
      <c r="I522" s="14"/>
      <c r="J522" s="15"/>
    </row>
    <row r="523" spans="1:10">
      <c r="A523" s="19"/>
      <c r="B523" s="18"/>
      <c r="D523" s="20"/>
      <c r="E523" s="14"/>
      <c r="F523" s="14"/>
      <c r="G523" s="14"/>
      <c r="H523" s="14"/>
      <c r="I523" s="14"/>
      <c r="J523" s="15"/>
    </row>
    <row r="524" spans="1:10">
      <c r="A524" s="19"/>
      <c r="B524" s="18"/>
      <c r="D524" s="20"/>
      <c r="E524" s="14"/>
      <c r="F524" s="14"/>
      <c r="G524" s="14"/>
      <c r="H524" s="14"/>
      <c r="I524" s="14"/>
      <c r="J524" s="15"/>
    </row>
    <row r="525" spans="1:10">
      <c r="A525" s="19"/>
      <c r="B525" s="18"/>
      <c r="D525" s="20"/>
      <c r="E525" s="14"/>
      <c r="F525" s="14"/>
      <c r="G525" s="14"/>
      <c r="H525" s="14"/>
      <c r="I525" s="14"/>
      <c r="J525" s="15"/>
    </row>
    <row r="526" spans="1:10">
      <c r="A526" s="19"/>
      <c r="B526" s="18"/>
      <c r="D526" s="20"/>
      <c r="E526" s="14"/>
      <c r="F526" s="14"/>
      <c r="G526" s="14"/>
      <c r="H526" s="14"/>
      <c r="I526" s="14"/>
      <c r="J526" s="15"/>
    </row>
    <row r="527" spans="1:10">
      <c r="A527" s="19"/>
      <c r="B527" s="18"/>
      <c r="D527" s="20"/>
      <c r="E527" s="14"/>
      <c r="F527" s="14"/>
      <c r="G527" s="14"/>
      <c r="H527" s="14"/>
      <c r="I527" s="14"/>
      <c r="J527" s="15"/>
    </row>
    <row r="528" spans="1:10">
      <c r="A528" s="19"/>
      <c r="B528" s="18"/>
      <c r="D528" s="20"/>
      <c r="E528" s="14"/>
      <c r="F528" s="14"/>
      <c r="G528" s="14"/>
      <c r="H528" s="14"/>
      <c r="I528" s="14"/>
      <c r="J528" s="15"/>
    </row>
    <row r="529" spans="1:10">
      <c r="A529" s="19"/>
      <c r="B529" s="18"/>
      <c r="D529" s="20"/>
      <c r="E529" s="14"/>
      <c r="F529" s="14"/>
      <c r="G529" s="14"/>
      <c r="H529" s="14"/>
      <c r="I529" s="14"/>
      <c r="J529" s="15"/>
    </row>
    <row r="530" spans="1:10">
      <c r="A530" s="19"/>
      <c r="B530" s="18"/>
      <c r="D530" s="20"/>
      <c r="E530" s="14"/>
      <c r="F530" s="14"/>
      <c r="G530" s="14"/>
      <c r="H530" s="14"/>
      <c r="I530" s="14"/>
      <c r="J530" s="15"/>
    </row>
    <row r="531" spans="1:10">
      <c r="A531" s="19"/>
      <c r="B531" s="18"/>
      <c r="D531" s="20"/>
      <c r="E531" s="14"/>
      <c r="F531" s="14"/>
      <c r="G531" s="14"/>
      <c r="H531" s="14"/>
      <c r="I531" s="14"/>
      <c r="J531" s="15"/>
    </row>
    <row r="532" spans="1:10">
      <c r="A532" s="19"/>
      <c r="B532" s="18"/>
      <c r="D532" s="20"/>
      <c r="E532" s="14"/>
      <c r="F532" s="14"/>
      <c r="G532" s="14"/>
      <c r="H532" s="14"/>
      <c r="I532" s="14"/>
      <c r="J532" s="15"/>
    </row>
    <row r="533" spans="1:10">
      <c r="A533" s="19"/>
      <c r="B533" s="18"/>
      <c r="D533" s="20"/>
      <c r="E533" s="14"/>
      <c r="F533" s="14"/>
      <c r="G533" s="14"/>
      <c r="H533" s="14"/>
      <c r="I533" s="14"/>
      <c r="J533" s="15"/>
    </row>
    <row r="534" spans="1:10">
      <c r="A534" s="19"/>
      <c r="B534" s="18"/>
      <c r="D534" s="20"/>
      <c r="E534" s="14"/>
      <c r="F534" s="14"/>
      <c r="G534" s="14"/>
      <c r="H534" s="14"/>
      <c r="I534" s="14"/>
      <c r="J534" s="15"/>
    </row>
    <row r="535" spans="1:10">
      <c r="A535" s="19"/>
      <c r="B535" s="18"/>
      <c r="D535" s="20"/>
      <c r="E535" s="14"/>
      <c r="F535" s="14"/>
      <c r="G535" s="14"/>
      <c r="H535" s="14"/>
      <c r="I535" s="14"/>
      <c r="J535" s="15"/>
    </row>
    <row r="536" spans="1:10">
      <c r="A536" s="19"/>
      <c r="B536" s="18"/>
      <c r="D536" s="20"/>
      <c r="E536" s="14"/>
      <c r="F536" s="14"/>
      <c r="G536" s="14"/>
      <c r="H536" s="14"/>
      <c r="I536" s="14"/>
      <c r="J536" s="15"/>
    </row>
    <row r="537" spans="1:10">
      <c r="A537" s="19"/>
      <c r="B537" s="18"/>
      <c r="D537" s="20"/>
      <c r="E537" s="14"/>
      <c r="F537" s="14"/>
      <c r="G537" s="14"/>
      <c r="H537" s="14"/>
      <c r="I537" s="14"/>
      <c r="J537" s="15"/>
    </row>
    <row r="538" spans="1:10">
      <c r="A538" s="19"/>
      <c r="B538" s="18"/>
      <c r="D538" s="20"/>
      <c r="E538" s="14"/>
      <c r="F538" s="14"/>
      <c r="G538" s="14"/>
      <c r="H538" s="14"/>
      <c r="I538" s="14"/>
      <c r="J538" s="15"/>
    </row>
    <row r="539" spans="1:10">
      <c r="A539" s="19"/>
      <c r="B539" s="18"/>
      <c r="D539" s="20"/>
      <c r="E539" s="14"/>
      <c r="F539" s="14"/>
      <c r="G539" s="14"/>
      <c r="H539" s="14"/>
      <c r="I539" s="14"/>
      <c r="J539" s="15"/>
    </row>
    <row r="540" spans="1:10">
      <c r="A540" s="19"/>
      <c r="B540" s="18"/>
      <c r="D540" s="20"/>
      <c r="E540" s="14"/>
      <c r="F540" s="14"/>
      <c r="G540" s="14"/>
      <c r="H540" s="14"/>
      <c r="I540" s="14"/>
      <c r="J540" s="15"/>
    </row>
    <row r="541" spans="1:10">
      <c r="A541" s="19"/>
      <c r="B541" s="18"/>
      <c r="D541" s="20"/>
      <c r="E541" s="14"/>
      <c r="F541" s="14"/>
      <c r="G541" s="14"/>
      <c r="H541" s="14"/>
      <c r="I541" s="14"/>
      <c r="J541" s="15"/>
    </row>
    <row r="542" spans="1:10">
      <c r="A542" s="19"/>
      <c r="B542" s="18"/>
      <c r="D542" s="20"/>
      <c r="E542" s="14"/>
      <c r="F542" s="14"/>
      <c r="G542" s="14"/>
      <c r="H542" s="14"/>
      <c r="I542" s="14"/>
      <c r="J542" s="15"/>
    </row>
    <row r="543" spans="1:10">
      <c r="A543" s="19"/>
      <c r="B543" s="18"/>
      <c r="D543" s="20"/>
      <c r="E543" s="14"/>
      <c r="F543" s="14"/>
      <c r="G543" s="14"/>
      <c r="H543" s="14"/>
      <c r="I543" s="14"/>
      <c r="J543" s="15"/>
    </row>
    <row r="544" spans="1:10">
      <c r="A544" s="19"/>
      <c r="B544" s="18"/>
      <c r="D544" s="20"/>
      <c r="E544" s="14"/>
      <c r="F544" s="14"/>
      <c r="G544" s="14"/>
      <c r="H544" s="14"/>
      <c r="I544" s="14"/>
      <c r="J544" s="15"/>
    </row>
    <row r="545" spans="1:10">
      <c r="A545" s="19"/>
      <c r="B545" s="18"/>
      <c r="D545" s="20"/>
      <c r="E545" s="14"/>
      <c r="F545" s="14"/>
      <c r="G545" s="14"/>
      <c r="H545" s="14"/>
      <c r="I545" s="14"/>
      <c r="J545" s="15"/>
    </row>
    <row r="546" spans="1:10">
      <c r="A546" s="19"/>
      <c r="B546" s="18"/>
      <c r="D546" s="20"/>
      <c r="E546" s="14"/>
      <c r="F546" s="14"/>
      <c r="G546" s="14"/>
      <c r="H546" s="14"/>
      <c r="I546" s="14"/>
      <c r="J546" s="15"/>
    </row>
    <row r="547" spans="1:10">
      <c r="A547" s="19"/>
      <c r="B547" s="18"/>
      <c r="D547" s="20"/>
      <c r="E547" s="14"/>
      <c r="F547" s="14"/>
      <c r="G547" s="14"/>
      <c r="H547" s="14"/>
      <c r="I547" s="14"/>
      <c r="J547" s="15"/>
    </row>
    <row r="548" spans="1:10">
      <c r="A548" s="19"/>
      <c r="B548" s="18"/>
      <c r="D548" s="20"/>
      <c r="E548" s="14"/>
      <c r="F548" s="14"/>
      <c r="G548" s="14"/>
      <c r="H548" s="14"/>
      <c r="I548" s="14"/>
      <c r="J548" s="15"/>
    </row>
    <row r="549" spans="1:10">
      <c r="A549" s="19"/>
      <c r="B549" s="18"/>
      <c r="D549" s="20"/>
      <c r="E549" s="14"/>
      <c r="F549" s="14"/>
      <c r="G549" s="14"/>
      <c r="H549" s="14"/>
      <c r="I549" s="14"/>
      <c r="J549" s="15"/>
    </row>
    <row r="550" spans="1:10">
      <c r="A550" s="19"/>
      <c r="B550" s="18"/>
      <c r="D550" s="20"/>
      <c r="E550" s="14"/>
      <c r="F550" s="14"/>
      <c r="G550" s="14"/>
      <c r="H550" s="14"/>
      <c r="I550" s="14"/>
      <c r="J550" s="15"/>
    </row>
    <row r="551" spans="1:10">
      <c r="A551" s="19"/>
      <c r="B551" s="18"/>
      <c r="D551" s="20"/>
      <c r="E551" s="14"/>
      <c r="F551" s="14"/>
      <c r="G551" s="14"/>
      <c r="H551" s="14"/>
      <c r="I551" s="14"/>
      <c r="J551" s="15"/>
    </row>
    <row r="552" spans="1:10">
      <c r="A552" s="19"/>
      <c r="B552" s="18"/>
      <c r="D552" s="20"/>
      <c r="E552" s="14"/>
      <c r="F552" s="14"/>
      <c r="G552" s="14"/>
      <c r="H552" s="14"/>
      <c r="I552" s="14"/>
      <c r="J552" s="15"/>
    </row>
    <row r="553" spans="1:10">
      <c r="A553" s="19"/>
      <c r="B553" s="18"/>
      <c r="D553" s="20"/>
      <c r="E553" s="14"/>
      <c r="F553" s="14"/>
      <c r="G553" s="14"/>
      <c r="H553" s="14"/>
      <c r="I553" s="14"/>
      <c r="J553" s="15"/>
    </row>
    <row r="554" spans="1:10">
      <c r="A554" s="19"/>
      <c r="B554" s="18"/>
      <c r="D554" s="20"/>
      <c r="E554" s="14"/>
      <c r="F554" s="14"/>
      <c r="G554" s="14"/>
      <c r="H554" s="14"/>
      <c r="I554" s="14"/>
      <c r="J554" s="15"/>
    </row>
    <row r="555" spans="1:10">
      <c r="A555" s="19"/>
      <c r="B555" s="18"/>
      <c r="D555" s="20"/>
      <c r="E555" s="14"/>
      <c r="F555" s="14"/>
      <c r="G555" s="14"/>
      <c r="H555" s="14"/>
      <c r="I555" s="14"/>
      <c r="J555" s="15"/>
    </row>
    <row r="556" spans="1:10">
      <c r="A556" s="19"/>
      <c r="B556" s="18"/>
      <c r="D556" s="20"/>
      <c r="E556" s="14"/>
      <c r="F556" s="14"/>
      <c r="G556" s="14"/>
      <c r="H556" s="14"/>
      <c r="I556" s="14"/>
      <c r="J556" s="15"/>
    </row>
    <row r="557" spans="1:10">
      <c r="A557" s="19"/>
      <c r="B557" s="18"/>
      <c r="D557" s="20"/>
      <c r="E557" s="14"/>
      <c r="F557" s="14"/>
      <c r="G557" s="14"/>
      <c r="H557" s="14"/>
      <c r="I557" s="14"/>
      <c r="J557" s="15"/>
    </row>
    <row r="558" spans="1:10">
      <c r="A558" s="19"/>
      <c r="B558" s="18"/>
      <c r="D558" s="20"/>
      <c r="E558" s="14"/>
      <c r="F558" s="14"/>
      <c r="G558" s="14"/>
      <c r="H558" s="14"/>
      <c r="I558" s="14"/>
      <c r="J558" s="15"/>
    </row>
    <row r="559" spans="1:10">
      <c r="A559" s="19"/>
      <c r="B559" s="18"/>
      <c r="D559" s="20"/>
      <c r="E559" s="14"/>
      <c r="F559" s="14"/>
      <c r="G559" s="14"/>
      <c r="H559" s="14"/>
      <c r="I559" s="14"/>
      <c r="J559" s="15"/>
    </row>
    <row r="560" spans="1:10">
      <c r="A560" s="19"/>
      <c r="B560" s="18"/>
      <c r="D560" s="20"/>
      <c r="E560" s="14"/>
      <c r="F560" s="14"/>
      <c r="G560" s="14"/>
      <c r="H560" s="14"/>
      <c r="I560" s="14"/>
      <c r="J560" s="15"/>
    </row>
    <row r="561" spans="1:10">
      <c r="A561" s="19"/>
      <c r="B561" s="18"/>
      <c r="D561" s="20"/>
      <c r="E561" s="14"/>
      <c r="F561" s="14"/>
      <c r="G561" s="14"/>
      <c r="H561" s="14"/>
      <c r="I561" s="14"/>
      <c r="J561" s="15"/>
    </row>
    <row r="562" spans="1:10">
      <c r="A562" s="19"/>
      <c r="B562" s="18"/>
      <c r="D562" s="20"/>
      <c r="E562" s="14"/>
      <c r="F562" s="14"/>
      <c r="G562" s="14"/>
      <c r="H562" s="14"/>
      <c r="I562" s="14"/>
      <c r="J562" s="15"/>
    </row>
    <row r="563" spans="1:10">
      <c r="A563" s="19"/>
      <c r="B563" s="18"/>
      <c r="D563" s="20"/>
      <c r="E563" s="14"/>
      <c r="F563" s="14"/>
      <c r="G563" s="14"/>
      <c r="H563" s="14"/>
      <c r="I563" s="14"/>
      <c r="J563" s="15"/>
    </row>
    <row r="564" spans="1:10">
      <c r="A564" s="19"/>
      <c r="B564" s="18"/>
      <c r="D564" s="20"/>
      <c r="E564" s="14"/>
      <c r="F564" s="14"/>
      <c r="G564" s="14"/>
      <c r="H564" s="14"/>
      <c r="I564" s="14"/>
      <c r="J564" s="15"/>
    </row>
    <row r="565" spans="1:10">
      <c r="A565" s="19"/>
      <c r="B565" s="18"/>
      <c r="D565" s="20"/>
      <c r="E565" s="14"/>
      <c r="F565" s="14"/>
      <c r="G565" s="14"/>
      <c r="H565" s="14"/>
      <c r="I565" s="14"/>
      <c r="J565" s="15"/>
    </row>
    <row r="566" spans="1:10">
      <c r="A566" s="19"/>
      <c r="B566" s="18"/>
      <c r="D566" s="20"/>
      <c r="E566" s="14"/>
      <c r="F566" s="14"/>
      <c r="G566" s="14"/>
      <c r="H566" s="14"/>
      <c r="I566" s="14"/>
      <c r="J566" s="15"/>
    </row>
    <row r="567" spans="1:10">
      <c r="A567" s="19"/>
      <c r="B567" s="18"/>
      <c r="D567" s="20"/>
      <c r="E567" s="14"/>
      <c r="F567" s="14"/>
      <c r="G567" s="14"/>
      <c r="H567" s="14"/>
      <c r="I567" s="14"/>
      <c r="J567" s="15"/>
    </row>
    <row r="568" spans="1:10">
      <c r="A568" s="19"/>
      <c r="B568" s="18"/>
      <c r="D568" s="20"/>
      <c r="E568" s="14"/>
      <c r="F568" s="14"/>
      <c r="G568" s="14"/>
      <c r="H568" s="14"/>
      <c r="I568" s="14"/>
      <c r="J568" s="15"/>
    </row>
    <row r="569" spans="1:10">
      <c r="A569" s="19"/>
      <c r="B569" s="18"/>
      <c r="D569" s="20"/>
      <c r="E569" s="14"/>
      <c r="F569" s="14"/>
      <c r="G569" s="14"/>
      <c r="H569" s="14"/>
      <c r="I569" s="14"/>
      <c r="J569" s="15"/>
    </row>
    <row r="570" spans="1:10">
      <c r="A570" s="19"/>
      <c r="B570" s="18"/>
      <c r="D570" s="20"/>
      <c r="E570" s="14"/>
      <c r="F570" s="14"/>
      <c r="G570" s="14"/>
      <c r="H570" s="14"/>
      <c r="I570" s="14"/>
      <c r="J570" s="15"/>
    </row>
    <row r="571" spans="1:10">
      <c r="A571" s="19"/>
      <c r="B571" s="18"/>
      <c r="D571" s="20"/>
      <c r="E571" s="14"/>
      <c r="F571" s="14"/>
      <c r="G571" s="14"/>
      <c r="H571" s="14"/>
      <c r="I571" s="14"/>
      <c r="J571" s="15"/>
    </row>
    <row r="572" spans="1:10">
      <c r="A572" s="19"/>
      <c r="B572" s="18"/>
      <c r="D572" s="20"/>
      <c r="E572" s="14"/>
      <c r="F572" s="14"/>
      <c r="G572" s="14"/>
      <c r="H572" s="14"/>
      <c r="I572" s="14"/>
      <c r="J572" s="15"/>
    </row>
    <row r="573" spans="1:10">
      <c r="A573" s="19"/>
      <c r="B573" s="18"/>
      <c r="D573" s="20"/>
      <c r="E573" s="14"/>
      <c r="F573" s="14"/>
      <c r="G573" s="14"/>
      <c r="H573" s="14"/>
      <c r="I573" s="14"/>
      <c r="J573" s="15"/>
    </row>
    <row r="574" spans="1:10">
      <c r="A574" s="19"/>
      <c r="B574" s="18"/>
      <c r="D574" s="20"/>
      <c r="E574" s="14"/>
      <c r="F574" s="14"/>
      <c r="G574" s="14"/>
      <c r="H574" s="14"/>
      <c r="I574" s="14"/>
      <c r="J574" s="15"/>
    </row>
    <row r="575" spans="1:10">
      <c r="A575" s="19"/>
      <c r="B575" s="18"/>
      <c r="D575" s="20"/>
      <c r="E575" s="14"/>
      <c r="F575" s="14"/>
      <c r="G575" s="14"/>
      <c r="H575" s="14"/>
      <c r="I575" s="14"/>
      <c r="J575" s="15"/>
    </row>
    <row r="576" spans="1:10">
      <c r="A576" s="19"/>
      <c r="B576" s="18"/>
      <c r="D576" s="20"/>
      <c r="E576" s="14"/>
      <c r="F576" s="14"/>
      <c r="G576" s="14"/>
      <c r="H576" s="14"/>
      <c r="I576" s="14"/>
      <c r="J576" s="15"/>
    </row>
    <row r="577" spans="1:10">
      <c r="A577" s="19"/>
      <c r="B577" s="18"/>
      <c r="D577" s="20"/>
      <c r="E577" s="14"/>
      <c r="F577" s="14"/>
      <c r="G577" s="14"/>
      <c r="H577" s="14"/>
      <c r="I577" s="14"/>
      <c r="J577" s="15"/>
    </row>
    <row r="578" spans="1:10">
      <c r="A578" s="19"/>
      <c r="B578" s="18"/>
      <c r="D578" s="20"/>
      <c r="E578" s="14"/>
      <c r="F578" s="14"/>
      <c r="G578" s="14"/>
      <c r="H578" s="14"/>
      <c r="I578" s="14"/>
      <c r="J578" s="15"/>
    </row>
    <row r="579" spans="1:10">
      <c r="A579" s="19"/>
      <c r="B579" s="18"/>
      <c r="D579" s="20"/>
      <c r="E579" s="14"/>
      <c r="F579" s="14"/>
      <c r="G579" s="14"/>
      <c r="H579" s="14"/>
      <c r="I579" s="14"/>
      <c r="J579" s="15"/>
    </row>
    <row r="580" spans="1:10">
      <c r="A580" s="19"/>
      <c r="B580" s="18"/>
      <c r="D580" s="20"/>
      <c r="E580" s="14"/>
      <c r="F580" s="14"/>
      <c r="G580" s="14"/>
      <c r="H580" s="14"/>
      <c r="I580" s="14"/>
      <c r="J580" s="15"/>
    </row>
    <row r="581" spans="1:10">
      <c r="A581" s="19"/>
      <c r="B581" s="18"/>
      <c r="D581" s="20"/>
      <c r="E581" s="14"/>
      <c r="F581" s="14"/>
      <c r="G581" s="14"/>
      <c r="H581" s="14"/>
      <c r="I581" s="14"/>
      <c r="J581" s="15"/>
    </row>
    <row r="582" spans="1:10">
      <c r="A582" s="19"/>
      <c r="B582" s="18"/>
      <c r="D582" s="20"/>
      <c r="E582" s="14"/>
      <c r="F582" s="14"/>
      <c r="G582" s="14"/>
      <c r="H582" s="14"/>
      <c r="I582" s="14"/>
      <c r="J582" s="15"/>
    </row>
    <row r="583" spans="1:10">
      <c r="A583" s="19"/>
      <c r="B583" s="18"/>
      <c r="D583" s="20"/>
      <c r="E583" s="14"/>
      <c r="F583" s="14"/>
      <c r="G583" s="14"/>
      <c r="H583" s="14"/>
      <c r="I583" s="14"/>
      <c r="J583" s="15"/>
    </row>
    <row r="584" spans="1:10">
      <c r="A584" s="19"/>
      <c r="B584" s="18"/>
      <c r="D584" s="20"/>
      <c r="E584" s="14"/>
      <c r="F584" s="14"/>
      <c r="G584" s="14"/>
      <c r="H584" s="14"/>
      <c r="I584" s="14"/>
      <c r="J584" s="15"/>
    </row>
    <row r="585" spans="1:10">
      <c r="A585" s="19"/>
      <c r="B585" s="18"/>
      <c r="D585" s="20"/>
      <c r="E585" s="14"/>
      <c r="F585" s="14"/>
      <c r="G585" s="14"/>
      <c r="H585" s="14"/>
      <c r="I585" s="14"/>
      <c r="J585" s="15"/>
    </row>
    <row r="586" spans="1:10">
      <c r="A586" s="19"/>
      <c r="B586" s="18"/>
      <c r="D586" s="20"/>
      <c r="E586" s="14"/>
      <c r="F586" s="14"/>
      <c r="G586" s="14"/>
      <c r="H586" s="14"/>
      <c r="I586" s="14"/>
      <c r="J586" s="15"/>
    </row>
    <row r="587" spans="1:10">
      <c r="A587" s="19"/>
      <c r="B587" s="18"/>
      <c r="D587" s="20"/>
      <c r="E587" s="14"/>
      <c r="F587" s="14"/>
      <c r="G587" s="14"/>
      <c r="H587" s="14"/>
      <c r="I587" s="14"/>
      <c r="J587" s="15"/>
    </row>
    <row r="588" spans="1:10">
      <c r="A588" s="19"/>
      <c r="B588" s="18"/>
      <c r="D588" s="20"/>
      <c r="E588" s="14"/>
      <c r="F588" s="14"/>
      <c r="G588" s="14"/>
      <c r="H588" s="14"/>
      <c r="I588" s="14"/>
      <c r="J588" s="15"/>
    </row>
    <row r="589" spans="1:10">
      <c r="A589" s="19"/>
      <c r="B589" s="18"/>
      <c r="D589" s="20"/>
      <c r="E589" s="14"/>
      <c r="F589" s="14"/>
      <c r="G589" s="14"/>
      <c r="H589" s="14"/>
      <c r="I589" s="14"/>
      <c r="J589" s="15"/>
    </row>
    <row r="590" spans="1:10">
      <c r="A590" s="19"/>
      <c r="B590" s="18"/>
      <c r="D590" s="20"/>
      <c r="E590" s="14"/>
      <c r="F590" s="14"/>
      <c r="G590" s="14"/>
      <c r="H590" s="14"/>
      <c r="I590" s="14"/>
      <c r="J590" s="15"/>
    </row>
    <row r="591" spans="1:10">
      <c r="A591" s="19"/>
      <c r="B591" s="18"/>
      <c r="D591" s="20"/>
      <c r="E591" s="14"/>
      <c r="F591" s="14"/>
      <c r="G591" s="14"/>
      <c r="H591" s="14"/>
      <c r="I591" s="14"/>
      <c r="J591" s="15"/>
    </row>
    <row r="592" spans="1:10">
      <c r="A592" s="19"/>
      <c r="B592" s="18"/>
      <c r="D592" s="20"/>
      <c r="E592" s="14"/>
      <c r="F592" s="14"/>
      <c r="G592" s="14"/>
      <c r="H592" s="14"/>
      <c r="I592" s="14"/>
      <c r="J592" s="15"/>
    </row>
    <row r="593" spans="1:10">
      <c r="A593" s="19"/>
      <c r="B593" s="18"/>
      <c r="D593" s="20"/>
      <c r="E593" s="14"/>
      <c r="F593" s="14"/>
      <c r="G593" s="14"/>
      <c r="H593" s="14"/>
      <c r="I593" s="14"/>
      <c r="J593" s="15"/>
    </row>
    <row r="594" spans="1:10">
      <c r="A594" s="19"/>
      <c r="B594" s="18"/>
      <c r="D594" s="20"/>
      <c r="E594" s="14"/>
      <c r="F594" s="14"/>
      <c r="G594" s="14"/>
      <c r="H594" s="14"/>
      <c r="I594" s="14"/>
      <c r="J594" s="15"/>
    </row>
    <row r="595" spans="1:10">
      <c r="A595" s="19"/>
      <c r="B595" s="18"/>
      <c r="D595" s="20"/>
      <c r="E595" s="14"/>
      <c r="F595" s="14"/>
      <c r="G595" s="14"/>
      <c r="H595" s="14"/>
      <c r="I595" s="14"/>
      <c r="J595" s="15"/>
    </row>
    <row r="596" spans="1:10">
      <c r="A596" s="19"/>
      <c r="B596" s="18"/>
      <c r="D596" s="20"/>
      <c r="E596" s="14"/>
      <c r="F596" s="14"/>
      <c r="G596" s="14"/>
      <c r="H596" s="14"/>
      <c r="I596" s="14"/>
      <c r="J596" s="15"/>
    </row>
    <row r="597" spans="1:10">
      <c r="A597" s="19"/>
      <c r="B597" s="18"/>
      <c r="D597" s="20"/>
      <c r="E597" s="14"/>
      <c r="F597" s="14"/>
      <c r="G597" s="14"/>
      <c r="H597" s="14"/>
      <c r="I597" s="14"/>
      <c r="J597" s="15"/>
    </row>
    <row r="598" spans="1:10">
      <c r="A598" s="19"/>
      <c r="B598" s="18"/>
      <c r="D598" s="20"/>
      <c r="E598" s="14"/>
      <c r="F598" s="14"/>
      <c r="G598" s="14"/>
      <c r="H598" s="14"/>
      <c r="I598" s="14"/>
      <c r="J598" s="15"/>
    </row>
    <row r="599" spans="1:10">
      <c r="A599" s="19"/>
      <c r="B599" s="18"/>
      <c r="D599" s="20"/>
      <c r="E599" s="14"/>
      <c r="F599" s="14"/>
      <c r="G599" s="14"/>
      <c r="H599" s="14"/>
      <c r="I599" s="14"/>
      <c r="J599" s="15"/>
    </row>
    <row r="600" spans="1:10">
      <c r="A600" s="19"/>
      <c r="B600" s="18"/>
      <c r="D600" s="20"/>
      <c r="E600" s="14"/>
      <c r="F600" s="14"/>
      <c r="G600" s="14"/>
      <c r="H600" s="14"/>
      <c r="I600" s="14"/>
      <c r="J600" s="15"/>
    </row>
    <row r="601" spans="1:10">
      <c r="A601" s="19"/>
      <c r="B601" s="18"/>
      <c r="D601" s="20"/>
      <c r="E601" s="14"/>
      <c r="F601" s="14"/>
      <c r="G601" s="14"/>
      <c r="H601" s="14"/>
      <c r="I601" s="14"/>
      <c r="J601" s="15"/>
    </row>
    <row r="602" spans="1:10">
      <c r="A602" s="19"/>
      <c r="B602" s="18"/>
      <c r="D602" s="20"/>
      <c r="E602" s="14"/>
      <c r="F602" s="14"/>
      <c r="G602" s="14"/>
      <c r="H602" s="14"/>
      <c r="I602" s="14"/>
      <c r="J602" s="15"/>
    </row>
    <row r="603" spans="1:10">
      <c r="A603" s="19"/>
      <c r="B603" s="18"/>
      <c r="D603" s="20"/>
      <c r="E603" s="14"/>
      <c r="F603" s="14"/>
      <c r="G603" s="14"/>
      <c r="H603" s="14"/>
      <c r="I603" s="14"/>
      <c r="J603" s="15"/>
    </row>
    <row r="604" spans="1:10">
      <c r="A604" s="19"/>
      <c r="B604" s="18"/>
      <c r="D604" s="20"/>
      <c r="E604" s="14"/>
      <c r="F604" s="14"/>
      <c r="G604" s="14"/>
      <c r="H604" s="14"/>
      <c r="I604" s="14"/>
      <c r="J604" s="15"/>
    </row>
    <row r="605" spans="1:10">
      <c r="A605" s="19"/>
      <c r="B605" s="18"/>
      <c r="D605" s="20"/>
      <c r="E605" s="14"/>
      <c r="F605" s="14"/>
      <c r="G605" s="14"/>
      <c r="H605" s="14"/>
      <c r="I605" s="14"/>
      <c r="J605" s="15"/>
    </row>
    <row r="606" spans="1:10">
      <c r="A606" s="19"/>
      <c r="B606" s="18"/>
      <c r="D606" s="20"/>
      <c r="E606" s="14"/>
      <c r="F606" s="14"/>
      <c r="G606" s="14"/>
      <c r="H606" s="14"/>
      <c r="I606" s="14"/>
      <c r="J606" s="15"/>
    </row>
    <row r="607" spans="1:10">
      <c r="A607" s="19"/>
      <c r="B607" s="18"/>
      <c r="D607" s="20"/>
      <c r="E607" s="14"/>
      <c r="F607" s="14"/>
      <c r="G607" s="14"/>
      <c r="H607" s="14"/>
      <c r="I607" s="14"/>
      <c r="J607" s="15"/>
    </row>
    <row r="608" spans="1:10">
      <c r="A608" s="19"/>
      <c r="B608" s="18"/>
      <c r="D608" s="20"/>
      <c r="E608" s="14"/>
      <c r="F608" s="14"/>
      <c r="G608" s="14"/>
      <c r="H608" s="14"/>
      <c r="I608" s="14"/>
      <c r="J608" s="15"/>
    </row>
    <row r="609" spans="1:10">
      <c r="A609" s="19"/>
      <c r="B609" s="18"/>
      <c r="D609" s="20"/>
      <c r="E609" s="14"/>
      <c r="F609" s="14"/>
      <c r="G609" s="14"/>
      <c r="H609" s="14"/>
      <c r="I609" s="14"/>
      <c r="J609" s="15"/>
    </row>
    <row r="610" spans="1:10">
      <c r="A610" s="19"/>
      <c r="B610" s="18"/>
      <c r="D610" s="20"/>
      <c r="E610" s="14"/>
      <c r="F610" s="14"/>
      <c r="G610" s="14"/>
      <c r="H610" s="14"/>
      <c r="I610" s="14"/>
      <c r="J610" s="15"/>
    </row>
    <row r="611" spans="1:10">
      <c r="A611" s="19"/>
      <c r="B611" s="18"/>
      <c r="D611" s="20"/>
      <c r="E611" s="14"/>
      <c r="F611" s="14"/>
      <c r="G611" s="14"/>
      <c r="H611" s="14"/>
      <c r="I611" s="14"/>
      <c r="J611" s="15"/>
    </row>
    <row r="612" spans="1:10">
      <c r="A612" s="19"/>
      <c r="B612" s="18"/>
      <c r="D612" s="20"/>
      <c r="E612" s="14"/>
      <c r="F612" s="14"/>
      <c r="G612" s="14"/>
      <c r="H612" s="14"/>
      <c r="I612" s="14"/>
      <c r="J612" s="15"/>
    </row>
    <row r="613" spans="1:10">
      <c r="A613" s="19"/>
      <c r="B613" s="18"/>
      <c r="D613" s="20"/>
      <c r="E613" s="14"/>
      <c r="F613" s="14"/>
      <c r="G613" s="14"/>
      <c r="H613" s="14"/>
      <c r="I613" s="14"/>
      <c r="J613" s="15"/>
    </row>
    <row r="614" spans="1:10">
      <c r="A614" s="19"/>
      <c r="B614" s="18"/>
      <c r="D614" s="20"/>
      <c r="E614" s="14"/>
      <c r="F614" s="14"/>
      <c r="G614" s="14"/>
      <c r="H614" s="14"/>
      <c r="I614" s="14"/>
      <c r="J614" s="15"/>
    </row>
    <row r="615" spans="1:10">
      <c r="A615" s="19"/>
      <c r="B615" s="18"/>
      <c r="D615" s="20"/>
      <c r="E615" s="14"/>
      <c r="F615" s="14"/>
      <c r="G615" s="14"/>
      <c r="H615" s="14"/>
      <c r="I615" s="14"/>
      <c r="J615" s="15"/>
    </row>
    <row r="616" spans="1:10">
      <c r="A616" s="19"/>
      <c r="B616" s="18"/>
      <c r="D616" s="20"/>
      <c r="E616" s="14"/>
      <c r="F616" s="14"/>
      <c r="G616" s="14"/>
      <c r="H616" s="14"/>
      <c r="I616" s="14"/>
      <c r="J616" s="15"/>
    </row>
    <row r="617" spans="1:10">
      <c r="A617" s="19"/>
      <c r="B617" s="18"/>
      <c r="D617" s="20"/>
      <c r="E617" s="14"/>
      <c r="F617" s="14"/>
      <c r="G617" s="14"/>
      <c r="H617" s="14"/>
      <c r="I617" s="14"/>
      <c r="J617" s="15"/>
    </row>
    <row r="618" spans="1:10">
      <c r="A618" s="19"/>
      <c r="B618" s="18"/>
      <c r="D618" s="20"/>
      <c r="E618" s="14"/>
      <c r="F618" s="14"/>
      <c r="G618" s="14"/>
      <c r="H618" s="14"/>
      <c r="I618" s="14"/>
      <c r="J618" s="15"/>
    </row>
    <row r="619" spans="1:10">
      <c r="A619" s="19"/>
      <c r="B619" s="18"/>
      <c r="D619" s="20"/>
      <c r="E619" s="14"/>
      <c r="F619" s="14"/>
      <c r="G619" s="14"/>
      <c r="H619" s="14"/>
      <c r="I619" s="14"/>
      <c r="J619" s="15"/>
    </row>
    <row r="620" spans="1:10">
      <c r="A620" s="19"/>
      <c r="B620" s="18"/>
      <c r="D620" s="20"/>
      <c r="E620" s="14"/>
      <c r="F620" s="14"/>
      <c r="G620" s="14"/>
      <c r="H620" s="14"/>
      <c r="I620" s="14"/>
      <c r="J620" s="15"/>
    </row>
    <row r="621" spans="1:10">
      <c r="A621" s="19"/>
      <c r="B621" s="18"/>
      <c r="D621" s="20"/>
      <c r="E621" s="14"/>
      <c r="F621" s="14"/>
      <c r="G621" s="14"/>
      <c r="H621" s="14"/>
      <c r="I621" s="14"/>
      <c r="J621" s="15"/>
    </row>
    <row r="622" spans="1:10">
      <c r="A622" s="19"/>
      <c r="B622" s="18"/>
      <c r="D622" s="20"/>
      <c r="E622" s="14"/>
      <c r="F622" s="14"/>
      <c r="G622" s="14"/>
      <c r="H622" s="14"/>
      <c r="I622" s="14"/>
      <c r="J622" s="15"/>
    </row>
    <row r="623" spans="1:10">
      <c r="A623" s="19"/>
      <c r="B623" s="18"/>
      <c r="D623" s="20"/>
      <c r="E623" s="14"/>
      <c r="F623" s="14"/>
      <c r="G623" s="14"/>
      <c r="H623" s="14"/>
      <c r="I623" s="14"/>
      <c r="J623" s="15"/>
    </row>
    <row r="624" spans="1:10">
      <c r="A624" s="19"/>
      <c r="B624" s="18"/>
      <c r="D624" s="20"/>
      <c r="E624" s="14"/>
      <c r="F624" s="14"/>
      <c r="G624" s="14"/>
      <c r="H624" s="14"/>
      <c r="I624" s="14"/>
      <c r="J624" s="15"/>
    </row>
    <row r="625" spans="1:10">
      <c r="A625" s="19"/>
      <c r="B625" s="18"/>
      <c r="D625" s="20"/>
      <c r="E625" s="14"/>
      <c r="F625" s="14"/>
      <c r="G625" s="14"/>
      <c r="H625" s="14"/>
      <c r="I625" s="14"/>
      <c r="J625" s="15"/>
    </row>
    <row r="626" spans="1:10">
      <c r="A626" s="19"/>
      <c r="B626" s="18"/>
      <c r="D626" s="20"/>
      <c r="E626" s="14"/>
      <c r="F626" s="14"/>
      <c r="G626" s="14"/>
      <c r="H626" s="14"/>
      <c r="I626" s="14"/>
      <c r="J626" s="15"/>
    </row>
    <row r="627" spans="1:10">
      <c r="A627" s="19"/>
      <c r="B627" s="18"/>
      <c r="D627" s="20"/>
      <c r="E627" s="14"/>
      <c r="F627" s="14"/>
      <c r="G627" s="14"/>
      <c r="H627" s="14"/>
      <c r="I627" s="14"/>
      <c r="J627" s="15"/>
    </row>
    <row r="628" spans="1:10">
      <c r="A628" s="19"/>
      <c r="B628" s="18"/>
      <c r="D628" s="20"/>
      <c r="E628" s="14"/>
      <c r="F628" s="14"/>
      <c r="G628" s="14"/>
      <c r="H628" s="14"/>
      <c r="I628" s="14"/>
      <c r="J628" s="15"/>
    </row>
    <row r="629" spans="1:10">
      <c r="A629" s="19"/>
      <c r="B629" s="18"/>
      <c r="D629" s="20"/>
      <c r="E629" s="14"/>
      <c r="F629" s="14"/>
      <c r="G629" s="14"/>
      <c r="H629" s="14"/>
      <c r="I629" s="14"/>
      <c r="J629" s="15"/>
    </row>
    <row r="630" spans="1:10">
      <c r="A630" s="19"/>
      <c r="B630" s="18"/>
      <c r="D630" s="20"/>
      <c r="E630" s="14"/>
      <c r="F630" s="14"/>
      <c r="G630" s="14"/>
      <c r="H630" s="14"/>
      <c r="I630" s="14"/>
      <c r="J630" s="15"/>
    </row>
    <row r="631" spans="1:10">
      <c r="A631" s="19"/>
      <c r="B631" s="18"/>
      <c r="D631" s="20"/>
      <c r="E631" s="14"/>
      <c r="F631" s="14"/>
      <c r="G631" s="14"/>
      <c r="H631" s="14"/>
      <c r="I631" s="14"/>
      <c r="J631" s="15"/>
    </row>
    <row r="632" spans="1:10">
      <c r="A632" s="19"/>
      <c r="B632" s="18"/>
      <c r="D632" s="20"/>
      <c r="E632" s="14"/>
      <c r="F632" s="14"/>
      <c r="G632" s="14"/>
      <c r="H632" s="14"/>
      <c r="I632" s="14"/>
      <c r="J632" s="15"/>
    </row>
    <row r="633" spans="1:10">
      <c r="A633" s="19"/>
      <c r="B633" s="18"/>
      <c r="D633" s="20"/>
      <c r="E633" s="14"/>
      <c r="F633" s="14"/>
      <c r="G633" s="14"/>
      <c r="H633" s="14"/>
      <c r="I633" s="14"/>
      <c r="J633" s="15"/>
    </row>
    <row r="634" spans="1:10">
      <c r="A634" s="19"/>
      <c r="B634" s="18"/>
      <c r="D634" s="20"/>
      <c r="E634" s="14"/>
      <c r="F634" s="14"/>
      <c r="G634" s="14"/>
      <c r="H634" s="14"/>
      <c r="I634" s="14"/>
      <c r="J634" s="15"/>
    </row>
    <row r="635" spans="1:10">
      <c r="A635" s="19"/>
      <c r="B635" s="18"/>
      <c r="D635" s="20"/>
      <c r="E635" s="14"/>
      <c r="F635" s="14"/>
      <c r="G635" s="14"/>
      <c r="H635" s="14"/>
      <c r="I635" s="14"/>
      <c r="J635" s="15"/>
    </row>
    <row r="636" spans="1:10">
      <c r="A636" s="19"/>
      <c r="B636" s="18"/>
      <c r="D636" s="20"/>
      <c r="E636" s="14"/>
      <c r="F636" s="14"/>
      <c r="G636" s="14"/>
      <c r="H636" s="14"/>
      <c r="I636" s="14"/>
      <c r="J636" s="15"/>
    </row>
    <row r="637" spans="1:10">
      <c r="A637" s="19"/>
      <c r="B637" s="18"/>
      <c r="D637" s="20"/>
      <c r="E637" s="14"/>
      <c r="F637" s="14"/>
      <c r="G637" s="14"/>
      <c r="H637" s="14"/>
      <c r="I637" s="14"/>
      <c r="J637" s="15"/>
    </row>
    <row r="638" spans="1:10">
      <c r="A638" s="19"/>
      <c r="B638" s="18"/>
      <c r="D638" s="20"/>
      <c r="E638" s="14"/>
      <c r="F638" s="14"/>
      <c r="G638" s="14"/>
      <c r="H638" s="14"/>
      <c r="I638" s="14"/>
      <c r="J638" s="15"/>
    </row>
    <row r="639" spans="1:10">
      <c r="A639" s="19"/>
      <c r="B639" s="18"/>
      <c r="D639" s="20"/>
      <c r="E639" s="14"/>
      <c r="F639" s="14"/>
      <c r="G639" s="14"/>
      <c r="H639" s="14"/>
      <c r="I639" s="14"/>
      <c r="J639" s="15"/>
    </row>
    <row r="640" spans="1:10">
      <c r="A640" s="19"/>
      <c r="B640" s="18"/>
      <c r="D640" s="20"/>
      <c r="E640" s="14"/>
      <c r="F640" s="14"/>
      <c r="G640" s="14"/>
      <c r="H640" s="14"/>
      <c r="I640" s="14"/>
      <c r="J640" s="15"/>
    </row>
    <row r="641" spans="1:10">
      <c r="A641" s="19"/>
      <c r="B641" s="18"/>
      <c r="D641" s="20"/>
      <c r="E641" s="14"/>
      <c r="F641" s="14"/>
      <c r="G641" s="14"/>
      <c r="H641" s="14"/>
      <c r="I641" s="14"/>
      <c r="J641" s="15"/>
    </row>
    <row r="642" spans="1:10">
      <c r="A642" s="19"/>
      <c r="B642" s="18"/>
      <c r="D642" s="20"/>
      <c r="E642" s="14"/>
      <c r="F642" s="14"/>
      <c r="G642" s="14"/>
      <c r="H642" s="14"/>
      <c r="I642" s="14"/>
      <c r="J642" s="15"/>
    </row>
    <row r="643" spans="1:10">
      <c r="A643" s="19"/>
      <c r="B643" s="18"/>
      <c r="D643" s="20"/>
      <c r="E643" s="14"/>
      <c r="F643" s="14"/>
      <c r="G643" s="14"/>
      <c r="H643" s="14"/>
      <c r="I643" s="14"/>
      <c r="J643" s="15"/>
    </row>
    <row r="644" spans="1:10">
      <c r="A644" s="19"/>
      <c r="B644" s="18"/>
      <c r="D644" s="20"/>
      <c r="E644" s="14"/>
      <c r="F644" s="14"/>
      <c r="G644" s="14"/>
      <c r="H644" s="14"/>
      <c r="I644" s="14"/>
      <c r="J644" s="15"/>
    </row>
    <row r="645" spans="1:10">
      <c r="A645" s="19"/>
      <c r="B645" s="18"/>
      <c r="D645" s="20"/>
      <c r="E645" s="14"/>
      <c r="F645" s="14"/>
      <c r="G645" s="14"/>
      <c r="H645" s="14"/>
      <c r="I645" s="14"/>
      <c r="J645" s="15"/>
    </row>
    <row r="646" spans="1:10">
      <c r="A646" s="19"/>
      <c r="B646" s="18"/>
      <c r="D646" s="20"/>
      <c r="E646" s="14"/>
      <c r="F646" s="14"/>
      <c r="G646" s="14"/>
      <c r="H646" s="14"/>
      <c r="I646" s="14"/>
      <c r="J646" s="15"/>
    </row>
    <row r="647" spans="1:10">
      <c r="A647" s="19"/>
      <c r="B647" s="18"/>
      <c r="D647" s="20"/>
      <c r="E647" s="14"/>
      <c r="F647" s="14"/>
      <c r="G647" s="14"/>
      <c r="H647" s="14"/>
      <c r="I647" s="14"/>
      <c r="J647" s="15"/>
    </row>
    <row r="648" spans="1:10">
      <c r="A648" s="19"/>
      <c r="B648" s="18"/>
      <c r="D648" s="20"/>
      <c r="E648" s="14"/>
      <c r="F648" s="14"/>
      <c r="G648" s="14"/>
      <c r="H648" s="14"/>
      <c r="I648" s="14"/>
      <c r="J648" s="15"/>
    </row>
    <row r="649" spans="1:10">
      <c r="A649" s="19"/>
      <c r="B649" s="18"/>
      <c r="D649" s="20"/>
      <c r="E649" s="14"/>
      <c r="F649" s="14"/>
      <c r="G649" s="14"/>
      <c r="H649" s="14"/>
      <c r="I649" s="14"/>
      <c r="J649" s="15"/>
    </row>
    <row r="650" spans="1:10">
      <c r="A650" s="19"/>
      <c r="B650" s="18"/>
      <c r="D650" s="20"/>
      <c r="E650" s="14"/>
      <c r="F650" s="14"/>
      <c r="G650" s="14"/>
      <c r="H650" s="14"/>
      <c r="I650" s="14"/>
      <c r="J650" s="15"/>
    </row>
    <row r="651" spans="1:10">
      <c r="A651" s="19"/>
      <c r="B651" s="18"/>
      <c r="D651" s="20"/>
      <c r="E651" s="14"/>
      <c r="F651" s="14"/>
      <c r="G651" s="14"/>
      <c r="H651" s="14"/>
      <c r="I651" s="14"/>
      <c r="J651" s="15"/>
    </row>
    <row r="652" spans="1:10">
      <c r="A652" s="19"/>
      <c r="B652" s="18"/>
      <c r="D652" s="20"/>
      <c r="E652" s="14"/>
      <c r="F652" s="14"/>
      <c r="G652" s="14"/>
      <c r="H652" s="14"/>
      <c r="I652" s="14"/>
      <c r="J652" s="15"/>
    </row>
    <row r="653" spans="1:10">
      <c r="A653" s="19"/>
      <c r="B653" s="18"/>
      <c r="D653" s="20"/>
      <c r="E653" s="14"/>
      <c r="F653" s="14"/>
      <c r="G653" s="14"/>
      <c r="H653" s="14"/>
      <c r="I653" s="14"/>
      <c r="J653" s="15"/>
    </row>
    <row r="654" spans="1:10">
      <c r="A654" s="19"/>
      <c r="B654" s="18"/>
      <c r="D654" s="20"/>
      <c r="E654" s="14"/>
      <c r="F654" s="14"/>
      <c r="G654" s="14"/>
      <c r="H654" s="14"/>
      <c r="I654" s="14"/>
      <c r="J654" s="15"/>
    </row>
    <row r="655" spans="1:10">
      <c r="A655" s="19"/>
      <c r="B655" s="18"/>
      <c r="D655" s="20"/>
      <c r="E655" s="14"/>
      <c r="F655" s="14"/>
      <c r="G655" s="14"/>
      <c r="H655" s="14"/>
      <c r="I655" s="14"/>
      <c r="J655" s="15"/>
    </row>
    <row r="656" spans="1:10">
      <c r="A656" s="19"/>
      <c r="B656" s="18"/>
      <c r="D656" s="20"/>
      <c r="E656" s="14"/>
      <c r="F656" s="14"/>
      <c r="G656" s="14"/>
      <c r="H656" s="14"/>
      <c r="I656" s="14"/>
      <c r="J656" s="15"/>
    </row>
    <row r="657" spans="1:10">
      <c r="A657" s="19"/>
      <c r="B657" s="18"/>
      <c r="D657" s="20"/>
      <c r="E657" s="14"/>
      <c r="F657" s="14"/>
      <c r="G657" s="14"/>
      <c r="H657" s="14"/>
      <c r="I657" s="14"/>
      <c r="J657" s="15"/>
    </row>
    <row r="658" spans="1:10">
      <c r="A658" s="19"/>
      <c r="B658" s="18"/>
      <c r="D658" s="20"/>
      <c r="E658" s="14"/>
      <c r="F658" s="14"/>
      <c r="G658" s="14"/>
      <c r="H658" s="14"/>
      <c r="I658" s="14"/>
      <c r="J658" s="15"/>
    </row>
    <row r="659" spans="1:10">
      <c r="A659" s="19"/>
      <c r="B659" s="18"/>
      <c r="D659" s="20"/>
      <c r="E659" s="14"/>
      <c r="F659" s="14"/>
      <c r="G659" s="14"/>
      <c r="H659" s="14"/>
      <c r="I659" s="14"/>
      <c r="J659" s="15"/>
    </row>
    <row r="660" spans="1:10">
      <c r="A660" s="19"/>
      <c r="B660" s="18"/>
      <c r="D660" s="20"/>
      <c r="E660" s="14"/>
      <c r="F660" s="14"/>
      <c r="G660" s="14"/>
      <c r="H660" s="14"/>
      <c r="I660" s="14"/>
      <c r="J660" s="15"/>
    </row>
    <row r="661" spans="1:10">
      <c r="A661" s="19"/>
      <c r="B661" s="18"/>
      <c r="D661" s="20"/>
      <c r="E661" s="14"/>
      <c r="F661" s="14"/>
      <c r="G661" s="14"/>
      <c r="H661" s="14"/>
      <c r="I661" s="14"/>
      <c r="J661" s="15"/>
    </row>
    <row r="662" spans="1:10">
      <c r="A662" s="19"/>
      <c r="B662" s="18"/>
      <c r="D662" s="20"/>
      <c r="E662" s="14"/>
      <c r="F662" s="14"/>
      <c r="G662" s="14"/>
      <c r="H662" s="14"/>
      <c r="I662" s="14"/>
      <c r="J662" s="15"/>
    </row>
    <row r="663" spans="1:10">
      <c r="A663" s="19"/>
      <c r="B663" s="18"/>
      <c r="D663" s="20"/>
      <c r="E663" s="14"/>
      <c r="F663" s="14"/>
      <c r="G663" s="14"/>
      <c r="H663" s="14"/>
      <c r="I663" s="14"/>
      <c r="J663" s="15"/>
    </row>
    <row r="664" spans="1:10">
      <c r="A664" s="19"/>
      <c r="B664" s="18"/>
      <c r="D664" s="20"/>
      <c r="E664" s="14"/>
      <c r="F664" s="14"/>
      <c r="G664" s="14"/>
      <c r="H664" s="14"/>
      <c r="I664" s="14"/>
      <c r="J664" s="15"/>
    </row>
    <row r="665" spans="1:10">
      <c r="A665" s="19"/>
      <c r="B665" s="18"/>
      <c r="D665" s="20"/>
      <c r="E665" s="14"/>
      <c r="F665" s="14"/>
      <c r="G665" s="14"/>
      <c r="H665" s="14"/>
      <c r="I665" s="14"/>
      <c r="J665" s="15"/>
    </row>
    <row r="666" spans="1:10">
      <c r="A666" s="19"/>
      <c r="B666" s="18"/>
      <c r="D666" s="20"/>
      <c r="E666" s="14"/>
      <c r="F666" s="14"/>
      <c r="G666" s="14"/>
      <c r="H666" s="14"/>
      <c r="I666" s="14"/>
      <c r="J666" s="15"/>
    </row>
    <row r="667" spans="1:10">
      <c r="A667" s="19"/>
      <c r="B667" s="18"/>
      <c r="D667" s="20"/>
      <c r="E667" s="14"/>
      <c r="F667" s="14"/>
      <c r="G667" s="14"/>
      <c r="H667" s="14"/>
      <c r="I667" s="14"/>
      <c r="J667" s="15"/>
    </row>
    <row r="668" spans="1:10">
      <c r="A668" s="19"/>
      <c r="B668" s="18"/>
      <c r="D668" s="20"/>
      <c r="E668" s="14"/>
      <c r="F668" s="14"/>
      <c r="G668" s="14"/>
      <c r="H668" s="14"/>
      <c r="I668" s="14"/>
      <c r="J668" s="15"/>
    </row>
    <row r="669" spans="1:10">
      <c r="A669" s="19"/>
      <c r="B669" s="18"/>
      <c r="D669" s="20"/>
      <c r="E669" s="14"/>
      <c r="F669" s="14"/>
      <c r="G669" s="14"/>
      <c r="H669" s="14"/>
      <c r="I669" s="14"/>
      <c r="J669" s="15"/>
    </row>
    <row r="670" spans="1:10">
      <c r="A670" s="19"/>
      <c r="B670" s="18"/>
      <c r="D670" s="20"/>
      <c r="E670" s="14"/>
      <c r="F670" s="14"/>
      <c r="G670" s="14"/>
      <c r="H670" s="14"/>
      <c r="I670" s="14"/>
      <c r="J670" s="15"/>
    </row>
    <row r="671" spans="1:10">
      <c r="A671" s="19"/>
      <c r="B671" s="18"/>
      <c r="D671" s="20"/>
      <c r="E671" s="14"/>
      <c r="F671" s="14"/>
      <c r="G671" s="14"/>
      <c r="H671" s="14"/>
      <c r="I671" s="14"/>
      <c r="J671" s="15"/>
    </row>
    <row r="672" spans="1:10">
      <c r="A672" s="19"/>
      <c r="B672" s="18"/>
      <c r="D672" s="20"/>
      <c r="E672" s="14"/>
      <c r="F672" s="14"/>
      <c r="G672" s="14"/>
      <c r="H672" s="14"/>
      <c r="I672" s="14"/>
      <c r="J672" s="15"/>
    </row>
    <row r="673" spans="1:10">
      <c r="A673" s="19"/>
      <c r="B673" s="18"/>
      <c r="D673" s="20"/>
      <c r="E673" s="14"/>
      <c r="F673" s="14"/>
      <c r="G673" s="14"/>
      <c r="H673" s="14"/>
      <c r="I673" s="14"/>
      <c r="J673" s="15"/>
    </row>
    <row r="674" spans="1:10">
      <c r="A674" s="19"/>
      <c r="B674" s="18"/>
      <c r="D674" s="20"/>
      <c r="E674" s="14"/>
      <c r="F674" s="14"/>
      <c r="G674" s="14"/>
      <c r="H674" s="14"/>
      <c r="I674" s="14"/>
      <c r="J674" s="15"/>
    </row>
    <row r="675" spans="1:10">
      <c r="A675" s="19"/>
      <c r="B675" s="18"/>
      <c r="D675" s="20"/>
      <c r="E675" s="14"/>
      <c r="F675" s="14"/>
      <c r="G675" s="14"/>
      <c r="H675" s="14"/>
      <c r="I675" s="14"/>
      <c r="J675" s="15"/>
    </row>
    <row r="676" spans="1:10">
      <c r="A676" s="19"/>
      <c r="B676" s="18"/>
      <c r="D676" s="20"/>
      <c r="E676" s="14"/>
      <c r="F676" s="14"/>
      <c r="G676" s="14"/>
      <c r="H676" s="14"/>
      <c r="I676" s="14"/>
      <c r="J676" s="15"/>
    </row>
    <row r="677" spans="1:10">
      <c r="A677" s="19"/>
      <c r="B677" s="18"/>
      <c r="D677" s="20"/>
      <c r="E677" s="14"/>
      <c r="F677" s="14"/>
      <c r="G677" s="14"/>
      <c r="H677" s="14"/>
      <c r="I677" s="14"/>
      <c r="J677" s="15"/>
    </row>
    <row r="678" spans="1:10">
      <c r="A678" s="19"/>
      <c r="B678" s="18"/>
      <c r="D678" s="20"/>
      <c r="E678" s="14"/>
      <c r="F678" s="14"/>
      <c r="G678" s="14"/>
      <c r="H678" s="14"/>
      <c r="I678" s="14"/>
      <c r="J678" s="15"/>
    </row>
    <row r="679" spans="1:10">
      <c r="A679" s="19"/>
      <c r="B679" s="18"/>
      <c r="D679" s="20"/>
      <c r="E679" s="14"/>
      <c r="F679" s="14"/>
      <c r="G679" s="14"/>
      <c r="H679" s="14"/>
      <c r="I679" s="14"/>
      <c r="J679" s="15"/>
    </row>
    <row r="680" spans="1:10">
      <c r="A680" s="19"/>
      <c r="B680" s="18"/>
      <c r="D680" s="20"/>
      <c r="E680" s="14"/>
      <c r="F680" s="14"/>
      <c r="G680" s="14"/>
      <c r="H680" s="14"/>
      <c r="I680" s="14"/>
      <c r="J680" s="15"/>
    </row>
    <row r="681" spans="1:10">
      <c r="A681" s="19"/>
      <c r="B681" s="18"/>
      <c r="D681" s="20"/>
      <c r="E681" s="14"/>
      <c r="F681" s="14"/>
      <c r="G681" s="14"/>
      <c r="H681" s="14"/>
      <c r="I681" s="14"/>
      <c r="J681" s="15"/>
    </row>
    <row r="682" spans="1:10">
      <c r="A682" s="19"/>
      <c r="B682" s="18"/>
      <c r="D682" s="20"/>
      <c r="E682" s="14"/>
      <c r="F682" s="14"/>
      <c r="G682" s="14"/>
      <c r="H682" s="14"/>
      <c r="I682" s="14"/>
      <c r="J682" s="15"/>
    </row>
    <row r="683" spans="1:10">
      <c r="A683" s="19"/>
      <c r="B683" s="18"/>
      <c r="D683" s="20"/>
      <c r="E683" s="14"/>
      <c r="F683" s="14"/>
      <c r="G683" s="14"/>
      <c r="H683" s="14"/>
      <c r="I683" s="14"/>
      <c r="J683" s="15"/>
    </row>
    <row r="684" spans="1:10">
      <c r="A684" s="19"/>
      <c r="B684" s="18"/>
      <c r="D684" s="20"/>
      <c r="E684" s="14"/>
      <c r="F684" s="14"/>
      <c r="G684" s="14"/>
      <c r="H684" s="14"/>
      <c r="I684" s="14"/>
      <c r="J684" s="15"/>
    </row>
    <row r="685" spans="1:10">
      <c r="A685" s="19"/>
      <c r="B685" s="18"/>
      <c r="D685" s="20"/>
      <c r="E685" s="14"/>
      <c r="F685" s="14"/>
      <c r="G685" s="14"/>
      <c r="H685" s="14"/>
      <c r="I685" s="14"/>
      <c r="J685" s="15"/>
    </row>
    <row r="686" spans="1:10">
      <c r="A686" s="19"/>
      <c r="B686" s="18"/>
      <c r="D686" s="20"/>
      <c r="E686" s="14"/>
      <c r="F686" s="14"/>
      <c r="G686" s="14"/>
      <c r="H686" s="14"/>
      <c r="I686" s="14"/>
      <c r="J686" s="15"/>
    </row>
    <row r="687" spans="1:10">
      <c r="A687" s="19"/>
      <c r="B687" s="18"/>
      <c r="D687" s="20"/>
      <c r="E687" s="14"/>
      <c r="F687" s="14"/>
      <c r="G687" s="14"/>
      <c r="H687" s="14"/>
      <c r="I687" s="14"/>
      <c r="J687" s="15"/>
    </row>
    <row r="688" spans="1:10">
      <c r="A688" s="19"/>
      <c r="B688" s="18"/>
      <c r="D688" s="20"/>
      <c r="E688" s="14"/>
      <c r="F688" s="14"/>
      <c r="G688" s="14"/>
      <c r="H688" s="14"/>
      <c r="I688" s="14"/>
      <c r="J688" s="15"/>
    </row>
    <row r="689" spans="1:10">
      <c r="A689" s="19"/>
      <c r="B689" s="18"/>
      <c r="D689" s="20"/>
      <c r="E689" s="14"/>
      <c r="F689" s="14"/>
      <c r="G689" s="14"/>
      <c r="H689" s="14"/>
      <c r="I689" s="14"/>
      <c r="J689" s="15"/>
    </row>
    <row r="690" spans="1:10">
      <c r="A690" s="19"/>
      <c r="B690" s="18"/>
      <c r="D690" s="20"/>
      <c r="E690" s="14"/>
      <c r="F690" s="14"/>
      <c r="G690" s="14"/>
      <c r="H690" s="14"/>
      <c r="I690" s="14"/>
      <c r="J690" s="15"/>
    </row>
    <row r="691" spans="1:10">
      <c r="A691" s="19"/>
      <c r="B691" s="18"/>
      <c r="D691" s="20"/>
      <c r="E691" s="14"/>
      <c r="F691" s="14"/>
      <c r="G691" s="14"/>
      <c r="H691" s="14"/>
      <c r="I691" s="14"/>
      <c r="J691" s="15"/>
    </row>
    <row r="692" spans="1:10">
      <c r="A692" s="19"/>
      <c r="B692" s="18"/>
      <c r="D692" s="20"/>
      <c r="E692" s="14"/>
      <c r="F692" s="14"/>
      <c r="G692" s="14"/>
      <c r="H692" s="14"/>
      <c r="I692" s="14"/>
      <c r="J692" s="15"/>
    </row>
    <row r="693" spans="1:10">
      <c r="A693" s="19"/>
      <c r="B693" s="18"/>
      <c r="D693" s="20"/>
      <c r="E693" s="14"/>
      <c r="F693" s="14"/>
      <c r="G693" s="14"/>
      <c r="H693" s="14"/>
      <c r="I693" s="14"/>
      <c r="J693" s="15"/>
    </row>
    <row r="694" spans="1:10">
      <c r="A694" s="19"/>
      <c r="B694" s="18"/>
      <c r="D694" s="20"/>
      <c r="E694" s="14"/>
      <c r="F694" s="14"/>
      <c r="G694" s="14"/>
      <c r="H694" s="14"/>
      <c r="I694" s="14"/>
      <c r="J694" s="15"/>
    </row>
    <row r="695" spans="1:10">
      <c r="A695" s="19"/>
      <c r="B695" s="18"/>
      <c r="D695" s="20"/>
      <c r="E695" s="14"/>
      <c r="F695" s="14"/>
      <c r="G695" s="14"/>
      <c r="H695" s="14"/>
      <c r="I695" s="14"/>
      <c r="J695" s="15"/>
    </row>
    <row r="696" spans="1:10">
      <c r="A696" s="19"/>
      <c r="B696" s="18"/>
      <c r="D696" s="20"/>
      <c r="E696" s="14"/>
      <c r="F696" s="14"/>
      <c r="G696" s="14"/>
      <c r="H696" s="14"/>
      <c r="I696" s="14"/>
      <c r="J696" s="15"/>
    </row>
    <row r="697" spans="1:10">
      <c r="A697" s="19"/>
      <c r="B697" s="18"/>
      <c r="D697" s="20"/>
      <c r="E697" s="14"/>
      <c r="F697" s="14"/>
      <c r="G697" s="14"/>
      <c r="H697" s="14"/>
      <c r="I697" s="14"/>
      <c r="J697" s="15"/>
    </row>
    <row r="698" spans="1:10">
      <c r="A698" s="19"/>
      <c r="B698" s="18"/>
      <c r="D698" s="20"/>
      <c r="E698" s="14"/>
      <c r="F698" s="14"/>
      <c r="G698" s="14"/>
      <c r="H698" s="14"/>
      <c r="I698" s="14"/>
      <c r="J698" s="15"/>
    </row>
    <row r="699" spans="1:10">
      <c r="A699" s="19"/>
      <c r="B699" s="18"/>
      <c r="D699" s="20"/>
      <c r="E699" s="14"/>
      <c r="F699" s="14"/>
      <c r="G699" s="14"/>
      <c r="H699" s="14"/>
      <c r="I699" s="14"/>
      <c r="J699" s="15"/>
    </row>
    <row r="700" spans="1:10">
      <c r="A700" s="19"/>
      <c r="B700" s="18"/>
      <c r="D700" s="20"/>
      <c r="E700" s="14"/>
      <c r="F700" s="14"/>
      <c r="G700" s="14"/>
      <c r="H700" s="14"/>
      <c r="I700" s="14"/>
      <c r="J700" s="15"/>
    </row>
    <row r="701" spans="1:10">
      <c r="A701" s="19"/>
      <c r="B701" s="18"/>
      <c r="D701" s="20"/>
      <c r="E701" s="14"/>
      <c r="F701" s="14"/>
      <c r="G701" s="14"/>
      <c r="H701" s="14"/>
      <c r="I701" s="14"/>
      <c r="J701" s="15"/>
    </row>
    <row r="702" spans="1:10">
      <c r="A702" s="19"/>
      <c r="B702" s="18"/>
      <c r="D702" s="20"/>
      <c r="E702" s="14"/>
      <c r="F702" s="14"/>
      <c r="G702" s="14"/>
      <c r="H702" s="14"/>
      <c r="I702" s="14"/>
      <c r="J702" s="15"/>
    </row>
    <row r="703" spans="1:10">
      <c r="A703" s="19"/>
      <c r="B703" s="18"/>
      <c r="D703" s="20"/>
      <c r="E703" s="14"/>
      <c r="F703" s="14"/>
      <c r="G703" s="14"/>
      <c r="H703" s="14"/>
      <c r="I703" s="14"/>
      <c r="J703" s="15"/>
    </row>
    <row r="704" spans="1:10">
      <c r="A704" s="19"/>
      <c r="B704" s="18"/>
      <c r="D704" s="20"/>
      <c r="E704" s="14"/>
      <c r="F704" s="14"/>
      <c r="G704" s="14"/>
      <c r="H704" s="14"/>
      <c r="I704" s="14"/>
      <c r="J704" s="15"/>
    </row>
    <row r="705" spans="1:10">
      <c r="A705" s="19"/>
      <c r="B705" s="18"/>
      <c r="D705" s="20"/>
      <c r="E705" s="14"/>
      <c r="F705" s="14"/>
      <c r="G705" s="14"/>
      <c r="H705" s="14"/>
      <c r="I705" s="14"/>
      <c r="J705" s="15"/>
    </row>
    <row r="706" spans="1:10">
      <c r="A706" s="19"/>
      <c r="B706" s="18"/>
      <c r="D706" s="20"/>
      <c r="E706" s="14"/>
      <c r="F706" s="14"/>
      <c r="G706" s="14"/>
      <c r="H706" s="14"/>
      <c r="I706" s="14"/>
      <c r="J706" s="15"/>
    </row>
    <row r="707" spans="1:10">
      <c r="A707" s="19"/>
      <c r="B707" s="18"/>
      <c r="D707" s="20"/>
      <c r="E707" s="14"/>
      <c r="F707" s="14"/>
      <c r="G707" s="14"/>
      <c r="H707" s="14"/>
      <c r="I707" s="14"/>
      <c r="J707" s="15"/>
    </row>
    <row r="708" spans="1:10">
      <c r="A708" s="19"/>
      <c r="B708" s="18"/>
      <c r="D708" s="20"/>
      <c r="E708" s="14"/>
      <c r="F708" s="14"/>
      <c r="G708" s="14"/>
      <c r="H708" s="14"/>
      <c r="I708" s="14"/>
      <c r="J708" s="15"/>
    </row>
    <row r="709" spans="1:10">
      <c r="A709" s="19"/>
      <c r="B709" s="18"/>
      <c r="D709" s="20"/>
      <c r="E709" s="14"/>
      <c r="F709" s="14"/>
      <c r="G709" s="14"/>
      <c r="H709" s="14"/>
      <c r="I709" s="14"/>
      <c r="J709" s="15"/>
    </row>
    <row r="710" spans="1:10">
      <c r="A710" s="19"/>
      <c r="B710" s="18"/>
      <c r="D710" s="20"/>
      <c r="E710" s="14"/>
      <c r="F710" s="14"/>
      <c r="G710" s="14"/>
      <c r="H710" s="14"/>
      <c r="I710" s="14"/>
      <c r="J710" s="15"/>
    </row>
    <row r="711" spans="1:10">
      <c r="A711" s="19"/>
      <c r="B711" s="18"/>
      <c r="D711" s="20"/>
      <c r="E711" s="14"/>
      <c r="F711" s="14"/>
      <c r="G711" s="14"/>
      <c r="H711" s="14"/>
      <c r="I711" s="14"/>
      <c r="J711" s="15"/>
    </row>
    <row r="712" spans="1:10">
      <c r="A712" s="19"/>
      <c r="B712" s="18"/>
      <c r="D712" s="20"/>
      <c r="E712" s="14"/>
      <c r="F712" s="14"/>
      <c r="G712" s="14"/>
      <c r="H712" s="14"/>
      <c r="I712" s="14"/>
      <c r="J712" s="15"/>
    </row>
    <row r="713" spans="1:10">
      <c r="A713" s="19"/>
      <c r="B713" s="18"/>
      <c r="D713" s="20"/>
      <c r="E713" s="14"/>
      <c r="F713" s="14"/>
      <c r="G713" s="14"/>
      <c r="H713" s="14"/>
      <c r="I713" s="14"/>
      <c r="J713" s="15"/>
    </row>
    <row r="714" spans="1:10">
      <c r="A714" s="19"/>
      <c r="B714" s="18"/>
      <c r="D714" s="20"/>
      <c r="E714" s="14"/>
      <c r="F714" s="14"/>
      <c r="G714" s="14"/>
      <c r="H714" s="14"/>
      <c r="I714" s="14"/>
      <c r="J714" s="15"/>
    </row>
    <row r="715" spans="1:10">
      <c r="A715" s="19"/>
      <c r="B715" s="18"/>
      <c r="D715" s="20"/>
      <c r="E715" s="14"/>
      <c r="F715" s="14"/>
      <c r="G715" s="14"/>
      <c r="H715" s="14"/>
      <c r="I715" s="14"/>
      <c r="J715" s="15"/>
    </row>
    <row r="716" spans="1:10">
      <c r="A716" s="19"/>
      <c r="B716" s="18"/>
      <c r="D716" s="20"/>
      <c r="E716" s="14"/>
      <c r="F716" s="14"/>
      <c r="G716" s="14"/>
      <c r="H716" s="14"/>
      <c r="I716" s="14"/>
      <c r="J716" s="15"/>
    </row>
    <row r="717" spans="1:10">
      <c r="A717" s="19"/>
      <c r="B717" s="18"/>
      <c r="D717" s="20"/>
      <c r="E717" s="14"/>
      <c r="F717" s="14"/>
      <c r="G717" s="14"/>
      <c r="H717" s="14"/>
      <c r="I717" s="14"/>
      <c r="J717" s="15"/>
    </row>
    <row r="718" spans="1:10">
      <c r="A718" s="19"/>
      <c r="B718" s="18"/>
      <c r="D718" s="20"/>
      <c r="E718" s="14"/>
      <c r="F718" s="14"/>
      <c r="G718" s="14"/>
      <c r="H718" s="14"/>
      <c r="I718" s="14"/>
      <c r="J718" s="15"/>
    </row>
    <row r="719" spans="1:10">
      <c r="A719" s="19"/>
      <c r="B719" s="18"/>
      <c r="D719" s="20"/>
      <c r="E719" s="14"/>
      <c r="F719" s="14"/>
      <c r="G719" s="14"/>
      <c r="H719" s="14"/>
      <c r="I719" s="14"/>
      <c r="J719" s="15"/>
    </row>
    <row r="720" spans="1:10">
      <c r="A720" s="19"/>
      <c r="B720" s="18"/>
      <c r="D720" s="20"/>
      <c r="E720" s="14"/>
      <c r="F720" s="14"/>
      <c r="G720" s="14"/>
      <c r="H720" s="14"/>
      <c r="I720" s="14"/>
      <c r="J720" s="15"/>
    </row>
    <row r="721" spans="1:10">
      <c r="A721" s="19"/>
      <c r="B721" s="18"/>
      <c r="D721" s="20"/>
      <c r="E721" s="14"/>
      <c r="F721" s="14"/>
      <c r="G721" s="14"/>
      <c r="H721" s="14"/>
      <c r="I721" s="14"/>
      <c r="J721" s="15"/>
    </row>
    <row r="722" spans="1:10">
      <c r="A722" s="19"/>
      <c r="B722" s="18"/>
      <c r="D722" s="20"/>
      <c r="E722" s="14"/>
      <c r="F722" s="14"/>
      <c r="G722" s="14"/>
      <c r="H722" s="14"/>
      <c r="I722" s="14"/>
      <c r="J722" s="15"/>
    </row>
    <row r="723" spans="1:10">
      <c r="A723" s="19"/>
      <c r="B723" s="18"/>
      <c r="D723" s="20"/>
      <c r="E723" s="14"/>
      <c r="F723" s="14"/>
      <c r="G723" s="14"/>
      <c r="H723" s="14"/>
      <c r="I723" s="14"/>
      <c r="J723" s="15"/>
    </row>
    <row r="724" spans="1:10">
      <c r="A724" s="19"/>
      <c r="B724" s="18"/>
      <c r="D724" s="20"/>
      <c r="E724" s="14"/>
      <c r="F724" s="14"/>
      <c r="G724" s="14"/>
      <c r="H724" s="14"/>
      <c r="I724" s="14"/>
      <c r="J724" s="15"/>
    </row>
    <row r="725" spans="1:10">
      <c r="A725" s="19"/>
      <c r="B725" s="18"/>
      <c r="D725" s="20"/>
      <c r="E725" s="14"/>
      <c r="F725" s="14"/>
      <c r="G725" s="14"/>
      <c r="H725" s="14"/>
      <c r="I725" s="14"/>
      <c r="J725" s="15"/>
    </row>
    <row r="726" spans="1:10">
      <c r="A726" s="19"/>
      <c r="B726" s="18"/>
      <c r="D726" s="20"/>
      <c r="E726" s="14"/>
      <c r="F726" s="14"/>
      <c r="G726" s="14"/>
      <c r="H726" s="14"/>
      <c r="I726" s="14"/>
      <c r="J726" s="15"/>
    </row>
    <row r="727" spans="1:10">
      <c r="A727" s="19"/>
      <c r="B727" s="18"/>
      <c r="D727" s="20"/>
      <c r="E727" s="14"/>
      <c r="F727" s="14"/>
      <c r="G727" s="14"/>
      <c r="H727" s="14"/>
      <c r="I727" s="14"/>
      <c r="J727" s="15"/>
    </row>
    <row r="728" spans="1:10">
      <c r="A728" s="19"/>
      <c r="B728" s="18"/>
      <c r="D728" s="20"/>
      <c r="E728" s="14"/>
      <c r="F728" s="14"/>
      <c r="G728" s="14"/>
      <c r="H728" s="14"/>
      <c r="I728" s="14"/>
      <c r="J728" s="15"/>
    </row>
    <row r="729" spans="1:10">
      <c r="A729" s="19"/>
      <c r="B729" s="18"/>
      <c r="D729" s="20"/>
      <c r="E729" s="14"/>
      <c r="F729" s="14"/>
      <c r="G729" s="14"/>
      <c r="H729" s="14"/>
      <c r="I729" s="14"/>
      <c r="J729" s="15"/>
    </row>
    <row r="730" spans="1:10">
      <c r="A730" s="19"/>
      <c r="B730" s="18"/>
      <c r="D730" s="20"/>
      <c r="E730" s="14"/>
      <c r="F730" s="14"/>
      <c r="G730" s="14"/>
      <c r="H730" s="14"/>
      <c r="I730" s="14"/>
      <c r="J730" s="15"/>
    </row>
    <row r="731" spans="1:10">
      <c r="A731" s="19"/>
      <c r="B731" s="18"/>
      <c r="D731" s="20"/>
      <c r="E731" s="14"/>
      <c r="F731" s="14"/>
      <c r="G731" s="14"/>
      <c r="H731" s="14"/>
      <c r="I731" s="14"/>
      <c r="J731" s="15"/>
    </row>
    <row r="732" spans="1:10">
      <c r="A732" s="19"/>
      <c r="B732" s="18"/>
      <c r="D732" s="20"/>
      <c r="E732" s="14"/>
      <c r="F732" s="14"/>
      <c r="G732" s="14"/>
      <c r="H732" s="14"/>
      <c r="I732" s="14"/>
      <c r="J732" s="15"/>
    </row>
    <row r="733" spans="1:10">
      <c r="A733" s="19"/>
      <c r="B733" s="18"/>
      <c r="D733" s="20"/>
      <c r="E733" s="14"/>
      <c r="F733" s="14"/>
      <c r="G733" s="14"/>
      <c r="H733" s="14"/>
      <c r="I733" s="14"/>
      <c r="J733" s="15"/>
    </row>
    <row r="734" spans="1:10">
      <c r="A734" s="19"/>
      <c r="B734" s="18"/>
      <c r="D734" s="20"/>
      <c r="E734" s="14"/>
      <c r="F734" s="14"/>
      <c r="G734" s="14"/>
      <c r="H734" s="14"/>
      <c r="I734" s="14"/>
      <c r="J734" s="15"/>
    </row>
    <row r="735" spans="1:10">
      <c r="A735" s="19"/>
      <c r="B735" s="18"/>
      <c r="D735" s="20"/>
      <c r="E735" s="14"/>
      <c r="F735" s="14"/>
      <c r="G735" s="14"/>
      <c r="H735" s="14"/>
      <c r="I735" s="14"/>
      <c r="J735" s="15"/>
    </row>
    <row r="736" spans="1:10">
      <c r="A736" s="19"/>
      <c r="B736" s="18"/>
      <c r="D736" s="20"/>
      <c r="E736" s="14"/>
      <c r="F736" s="14"/>
      <c r="G736" s="14"/>
      <c r="H736" s="14"/>
      <c r="I736" s="14"/>
      <c r="J736" s="15"/>
    </row>
    <row r="737" spans="1:10">
      <c r="A737" s="19"/>
      <c r="B737" s="18"/>
      <c r="D737" s="20"/>
      <c r="E737" s="14"/>
      <c r="F737" s="14"/>
      <c r="G737" s="14"/>
      <c r="H737" s="14"/>
      <c r="I737" s="14"/>
      <c r="J737" s="15"/>
    </row>
    <row r="738" spans="1:10">
      <c r="A738" s="19"/>
      <c r="B738" s="18"/>
      <c r="D738" s="20"/>
      <c r="E738" s="14"/>
      <c r="F738" s="14"/>
      <c r="G738" s="14"/>
      <c r="H738" s="14"/>
      <c r="I738" s="14"/>
      <c r="J738" s="15"/>
    </row>
    <row r="739" spans="1:10">
      <c r="A739" s="19"/>
      <c r="B739" s="18"/>
      <c r="D739" s="20"/>
      <c r="E739" s="14"/>
      <c r="F739" s="14"/>
      <c r="G739" s="14"/>
      <c r="H739" s="14"/>
      <c r="I739" s="14"/>
      <c r="J739" s="15"/>
    </row>
    <row r="740" spans="1:10">
      <c r="A740" s="19"/>
      <c r="B740" s="18"/>
      <c r="D740" s="20"/>
      <c r="E740" s="14"/>
      <c r="F740" s="14"/>
      <c r="G740" s="14"/>
      <c r="H740" s="14"/>
      <c r="I740" s="14"/>
      <c r="J740" s="15"/>
    </row>
    <row r="741" spans="1:10">
      <c r="A741" s="19"/>
      <c r="B741" s="18"/>
      <c r="D741" s="20"/>
      <c r="E741" s="14"/>
      <c r="F741" s="14"/>
      <c r="G741" s="14"/>
      <c r="H741" s="14"/>
      <c r="I741" s="14"/>
      <c r="J741" s="15"/>
    </row>
    <row r="742" spans="1:10">
      <c r="A742" s="19"/>
      <c r="B742" s="18"/>
      <c r="D742" s="20"/>
      <c r="E742" s="14"/>
      <c r="F742" s="14"/>
      <c r="G742" s="14"/>
      <c r="H742" s="14"/>
      <c r="I742" s="14"/>
      <c r="J742" s="15"/>
    </row>
    <row r="743" spans="1:10">
      <c r="A743" s="19"/>
      <c r="B743" s="18"/>
      <c r="D743" s="20"/>
      <c r="E743" s="14"/>
      <c r="F743" s="14"/>
      <c r="G743" s="14"/>
      <c r="H743" s="14"/>
      <c r="I743" s="14"/>
      <c r="J743" s="15"/>
    </row>
    <row r="744" spans="1:10">
      <c r="A744" s="19"/>
      <c r="B744" s="18"/>
      <c r="D744" s="20"/>
      <c r="E744" s="14"/>
      <c r="F744" s="14"/>
      <c r="G744" s="14"/>
      <c r="H744" s="14"/>
      <c r="I744" s="14"/>
      <c r="J744" s="15"/>
    </row>
    <row r="745" spans="1:10">
      <c r="A745" s="19"/>
      <c r="B745" s="18"/>
      <c r="D745" s="20"/>
      <c r="E745" s="14"/>
      <c r="F745" s="14"/>
      <c r="G745" s="14"/>
      <c r="H745" s="14"/>
      <c r="I745" s="14"/>
      <c r="J745" s="15"/>
    </row>
    <row r="746" spans="1:10">
      <c r="A746" s="19"/>
      <c r="B746" s="18"/>
      <c r="D746" s="20"/>
      <c r="E746" s="14"/>
      <c r="F746" s="14"/>
      <c r="G746" s="14"/>
      <c r="H746" s="14"/>
      <c r="I746" s="14"/>
      <c r="J746" s="15"/>
    </row>
    <row r="747" spans="1:10">
      <c r="A747" s="19"/>
      <c r="B747" s="18"/>
      <c r="D747" s="20"/>
      <c r="E747" s="14"/>
      <c r="F747" s="14"/>
      <c r="G747" s="14"/>
      <c r="H747" s="14"/>
      <c r="I747" s="14"/>
      <c r="J747" s="15"/>
    </row>
    <row r="748" spans="1:10">
      <c r="A748" s="19"/>
      <c r="B748" s="18"/>
      <c r="D748" s="20"/>
      <c r="E748" s="14"/>
      <c r="F748" s="14"/>
      <c r="G748" s="14"/>
      <c r="H748" s="14"/>
      <c r="I748" s="14"/>
      <c r="J748" s="15"/>
    </row>
    <row r="749" spans="1:10">
      <c r="A749" s="19"/>
      <c r="B749" s="18"/>
      <c r="D749" s="20"/>
      <c r="E749" s="14"/>
      <c r="F749" s="14"/>
      <c r="G749" s="14"/>
      <c r="H749" s="14"/>
      <c r="I749" s="14"/>
      <c r="J749" s="15"/>
    </row>
    <row r="750" spans="1:10">
      <c r="A750" s="19"/>
      <c r="B750" s="18"/>
      <c r="D750" s="20"/>
      <c r="E750" s="14"/>
      <c r="F750" s="14"/>
      <c r="G750" s="14"/>
      <c r="H750" s="14"/>
      <c r="I750" s="14"/>
      <c r="J750" s="15"/>
    </row>
    <row r="751" spans="1:10">
      <c r="A751" s="19"/>
      <c r="B751" s="18"/>
      <c r="D751" s="20"/>
      <c r="E751" s="14"/>
      <c r="F751" s="14"/>
      <c r="G751" s="14"/>
      <c r="H751" s="14"/>
      <c r="I751" s="14"/>
      <c r="J751" s="15"/>
    </row>
    <row r="752" spans="1:10">
      <c r="A752" s="19"/>
      <c r="B752" s="18"/>
      <c r="D752" s="20"/>
      <c r="E752" s="14"/>
      <c r="F752" s="14"/>
      <c r="G752" s="14"/>
      <c r="H752" s="14"/>
      <c r="I752" s="14"/>
      <c r="J752" s="15"/>
    </row>
    <row r="753" spans="1:10">
      <c r="A753" s="19"/>
      <c r="B753" s="18"/>
      <c r="D753" s="20"/>
      <c r="E753" s="14"/>
      <c r="F753" s="14"/>
      <c r="G753" s="14"/>
      <c r="H753" s="14"/>
      <c r="I753" s="14"/>
      <c r="J753" s="15"/>
    </row>
    <row r="754" spans="1:10">
      <c r="A754" s="19"/>
      <c r="B754" s="18"/>
      <c r="D754" s="20"/>
      <c r="E754" s="14"/>
      <c r="F754" s="14"/>
      <c r="G754" s="14"/>
      <c r="H754" s="14"/>
      <c r="I754" s="14"/>
      <c r="J754" s="15"/>
    </row>
    <row r="755" spans="1:10">
      <c r="A755" s="19"/>
      <c r="B755" s="18"/>
      <c r="D755" s="20"/>
      <c r="E755" s="14"/>
      <c r="F755" s="14"/>
      <c r="G755" s="14"/>
      <c r="H755" s="14"/>
      <c r="I755" s="14"/>
      <c r="J755" s="15"/>
    </row>
    <row r="756" spans="1:10">
      <c r="A756" s="19"/>
      <c r="B756" s="18"/>
      <c r="D756" s="20"/>
      <c r="E756" s="14"/>
      <c r="F756" s="14"/>
      <c r="G756" s="14"/>
      <c r="H756" s="14"/>
      <c r="I756" s="14"/>
      <c r="J756" s="15"/>
    </row>
    <row r="757" spans="1:10">
      <c r="A757" s="19"/>
      <c r="B757" s="18"/>
      <c r="D757" s="20"/>
      <c r="E757" s="14"/>
      <c r="F757" s="14"/>
      <c r="G757" s="14"/>
      <c r="H757" s="14"/>
      <c r="I757" s="14"/>
      <c r="J757" s="15"/>
    </row>
    <row r="758" spans="1:10">
      <c r="A758" s="19"/>
      <c r="B758" s="18"/>
      <c r="D758" s="20"/>
      <c r="E758" s="14"/>
      <c r="F758" s="14"/>
      <c r="G758" s="14"/>
      <c r="H758" s="14"/>
      <c r="I758" s="14"/>
      <c r="J758" s="15"/>
    </row>
    <row r="759" spans="1:10">
      <c r="A759" s="19"/>
      <c r="B759" s="18"/>
      <c r="D759" s="20"/>
      <c r="E759" s="14"/>
      <c r="F759" s="14"/>
      <c r="G759" s="14"/>
      <c r="H759" s="14"/>
      <c r="I759" s="14"/>
      <c r="J759" s="15"/>
    </row>
    <row r="760" spans="1:10">
      <c r="A760" s="19"/>
      <c r="B760" s="18"/>
      <c r="D760" s="20"/>
      <c r="E760" s="14"/>
      <c r="F760" s="14"/>
      <c r="G760" s="14"/>
      <c r="H760" s="14"/>
      <c r="I760" s="14"/>
      <c r="J760" s="15"/>
    </row>
    <row r="761" spans="1:10">
      <c r="A761" s="19"/>
      <c r="B761" s="18"/>
      <c r="D761" s="20"/>
      <c r="E761" s="14"/>
      <c r="F761" s="14"/>
      <c r="G761" s="14"/>
      <c r="H761" s="14"/>
      <c r="I761" s="14"/>
      <c r="J761" s="15"/>
    </row>
    <row r="762" spans="1:10">
      <c r="A762" s="19"/>
      <c r="B762" s="18"/>
      <c r="D762" s="20"/>
      <c r="E762" s="14"/>
      <c r="F762" s="14"/>
      <c r="G762" s="14"/>
      <c r="H762" s="14"/>
      <c r="I762" s="14"/>
      <c r="J762" s="15"/>
    </row>
    <row r="763" spans="1:10">
      <c r="A763" s="19"/>
      <c r="B763" s="18"/>
      <c r="D763" s="20"/>
      <c r="E763" s="14"/>
      <c r="F763" s="14"/>
      <c r="G763" s="14"/>
      <c r="H763" s="14"/>
      <c r="I763" s="14"/>
      <c r="J763" s="15"/>
    </row>
    <row r="764" spans="1:10">
      <c r="A764" s="19"/>
      <c r="B764" s="18"/>
      <c r="D764" s="20"/>
      <c r="E764" s="14"/>
      <c r="F764" s="14"/>
      <c r="G764" s="14"/>
      <c r="H764" s="14"/>
      <c r="I764" s="14"/>
      <c r="J764" s="15"/>
    </row>
    <row r="765" spans="1:10">
      <c r="A765" s="19"/>
      <c r="B765" s="18"/>
      <c r="D765" s="20"/>
      <c r="E765" s="14"/>
      <c r="F765" s="14"/>
      <c r="G765" s="14"/>
      <c r="H765" s="14"/>
      <c r="I765" s="14"/>
      <c r="J765" s="15"/>
    </row>
    <row r="766" spans="1:10">
      <c r="A766" s="19"/>
      <c r="B766" s="18"/>
      <c r="D766" s="20"/>
      <c r="E766" s="14"/>
      <c r="F766" s="14"/>
      <c r="G766" s="14"/>
      <c r="H766" s="14"/>
      <c r="I766" s="14"/>
      <c r="J766" s="15"/>
    </row>
    <row r="767" spans="1:10">
      <c r="A767" s="19"/>
      <c r="B767" s="18"/>
      <c r="D767" s="20"/>
      <c r="E767" s="14"/>
      <c r="F767" s="14"/>
      <c r="G767" s="14"/>
      <c r="H767" s="14"/>
      <c r="I767" s="14"/>
      <c r="J767" s="15"/>
    </row>
    <row r="768" spans="1:10">
      <c r="A768" s="19"/>
      <c r="B768" s="18"/>
      <c r="D768" s="20"/>
      <c r="E768" s="14"/>
      <c r="F768" s="14"/>
      <c r="G768" s="14"/>
      <c r="H768" s="14"/>
      <c r="I768" s="14"/>
      <c r="J768" s="15"/>
    </row>
    <row r="769" spans="1:10">
      <c r="A769" s="19"/>
      <c r="B769" s="18"/>
      <c r="D769" s="20"/>
      <c r="E769" s="14"/>
      <c r="F769" s="14"/>
      <c r="G769" s="14"/>
      <c r="H769" s="14"/>
      <c r="I769" s="14"/>
      <c r="J769" s="15"/>
    </row>
    <row r="770" spans="1:10">
      <c r="A770" s="19"/>
      <c r="B770" s="18"/>
      <c r="D770" s="20"/>
      <c r="E770" s="14"/>
      <c r="F770" s="14"/>
      <c r="G770" s="14"/>
      <c r="H770" s="14"/>
      <c r="I770" s="14"/>
      <c r="J770" s="15"/>
    </row>
    <row r="771" spans="1:10">
      <c r="A771" s="19"/>
      <c r="B771" s="18"/>
      <c r="D771" s="20"/>
      <c r="E771" s="14"/>
      <c r="F771" s="14"/>
      <c r="G771" s="14"/>
      <c r="H771" s="14"/>
      <c r="I771" s="14"/>
      <c r="J771" s="15"/>
    </row>
    <row r="772" spans="1:10">
      <c r="A772" s="19"/>
      <c r="B772" s="18"/>
      <c r="D772" s="20"/>
      <c r="E772" s="14"/>
      <c r="F772" s="14"/>
      <c r="G772" s="14"/>
      <c r="H772" s="14"/>
      <c r="I772" s="14"/>
      <c r="J772" s="15"/>
    </row>
    <row r="773" spans="1:10">
      <c r="A773" s="19"/>
      <c r="B773" s="18"/>
      <c r="D773" s="20"/>
      <c r="E773" s="14"/>
      <c r="F773" s="14"/>
      <c r="G773" s="14"/>
      <c r="H773" s="14"/>
      <c r="I773" s="14"/>
      <c r="J773" s="15"/>
    </row>
    <row r="774" spans="1:10">
      <c r="A774" s="19"/>
      <c r="B774" s="18"/>
      <c r="D774" s="20"/>
      <c r="E774" s="14"/>
      <c r="F774" s="14"/>
      <c r="G774" s="14"/>
      <c r="H774" s="14"/>
      <c r="I774" s="14"/>
      <c r="J774" s="15"/>
    </row>
    <row r="775" spans="1:10">
      <c r="A775" s="19"/>
      <c r="B775" s="18"/>
      <c r="D775" s="20"/>
      <c r="E775" s="14"/>
      <c r="F775" s="14"/>
      <c r="G775" s="14"/>
      <c r="H775" s="14"/>
      <c r="I775" s="14"/>
      <c r="J775" s="15"/>
    </row>
    <row r="776" spans="1:10">
      <c r="A776" s="19"/>
      <c r="B776" s="18"/>
      <c r="D776" s="20"/>
      <c r="E776" s="14"/>
      <c r="F776" s="14"/>
      <c r="G776" s="14"/>
      <c r="H776" s="14"/>
      <c r="I776" s="14"/>
      <c r="J776" s="15"/>
    </row>
    <row r="777" spans="1:10">
      <c r="A777" s="19"/>
      <c r="B777" s="18"/>
      <c r="D777" s="20"/>
      <c r="E777" s="14"/>
      <c r="F777" s="14"/>
      <c r="G777" s="14"/>
      <c r="H777" s="14"/>
      <c r="I777" s="14"/>
      <c r="J777" s="15"/>
    </row>
    <row r="778" spans="1:10">
      <c r="A778" s="19"/>
      <c r="B778" s="18"/>
      <c r="D778" s="20"/>
      <c r="E778" s="14"/>
      <c r="F778" s="14"/>
      <c r="G778" s="14"/>
      <c r="H778" s="14"/>
      <c r="I778" s="14"/>
      <c r="J778" s="15"/>
    </row>
    <row r="779" spans="1:10">
      <c r="A779" s="19"/>
      <c r="B779" s="18"/>
      <c r="D779" s="20"/>
      <c r="E779" s="14"/>
      <c r="F779" s="14"/>
      <c r="G779" s="14"/>
      <c r="H779" s="14"/>
      <c r="I779" s="14"/>
      <c r="J779" s="15"/>
    </row>
    <row r="780" spans="1:10">
      <c r="A780" s="19"/>
      <c r="B780" s="18"/>
      <c r="D780" s="20"/>
      <c r="E780" s="14"/>
      <c r="F780" s="14"/>
      <c r="G780" s="14"/>
      <c r="H780" s="14"/>
      <c r="I780" s="14"/>
      <c r="J780" s="15"/>
    </row>
    <row r="781" spans="1:10">
      <c r="A781" s="19"/>
      <c r="B781" s="18"/>
      <c r="D781" s="20"/>
      <c r="E781" s="14"/>
      <c r="F781" s="14"/>
      <c r="G781" s="14"/>
      <c r="H781" s="14"/>
      <c r="I781" s="14"/>
      <c r="J781" s="15"/>
    </row>
    <row r="782" spans="1:10">
      <c r="A782" s="19"/>
      <c r="B782" s="18"/>
      <c r="D782" s="20"/>
      <c r="E782" s="14"/>
      <c r="F782" s="14"/>
      <c r="G782" s="14"/>
      <c r="H782" s="14"/>
      <c r="I782" s="14"/>
      <c r="J782" s="15"/>
    </row>
    <row r="783" spans="1:10">
      <c r="A783" s="19"/>
      <c r="B783" s="18"/>
      <c r="D783" s="20"/>
      <c r="E783" s="14"/>
      <c r="F783" s="14"/>
      <c r="G783" s="14"/>
      <c r="H783" s="14"/>
      <c r="I783" s="14"/>
      <c r="J783" s="15"/>
    </row>
    <row r="784" spans="1:10">
      <c r="A784" s="19"/>
      <c r="B784" s="18"/>
      <c r="D784" s="20"/>
      <c r="E784" s="14"/>
      <c r="F784" s="14"/>
      <c r="G784" s="14"/>
      <c r="H784" s="14"/>
      <c r="I784" s="14"/>
      <c r="J784" s="15"/>
    </row>
    <row r="785" spans="1:10">
      <c r="A785" s="19"/>
      <c r="B785" s="18"/>
      <c r="D785" s="20"/>
      <c r="E785" s="14"/>
      <c r="F785" s="14"/>
      <c r="G785" s="14"/>
      <c r="H785" s="14"/>
      <c r="I785" s="14"/>
      <c r="J785" s="15"/>
    </row>
    <row r="786" spans="1:10">
      <c r="A786" s="19"/>
      <c r="B786" s="18"/>
      <c r="D786" s="20"/>
      <c r="E786" s="14"/>
      <c r="F786" s="14"/>
      <c r="G786" s="14"/>
      <c r="H786" s="14"/>
      <c r="I786" s="14"/>
      <c r="J786" s="15"/>
    </row>
    <row r="787" spans="1:10">
      <c r="A787" s="19"/>
      <c r="B787" s="18"/>
      <c r="D787" s="20"/>
      <c r="E787" s="14"/>
      <c r="F787" s="14"/>
      <c r="G787" s="14"/>
      <c r="H787" s="14"/>
      <c r="I787" s="14"/>
      <c r="J787" s="15"/>
    </row>
    <row r="788" spans="1:10">
      <c r="A788" s="19"/>
      <c r="B788" s="18"/>
      <c r="D788" s="20"/>
      <c r="E788" s="14"/>
      <c r="F788" s="14"/>
      <c r="G788" s="14"/>
      <c r="H788" s="14"/>
      <c r="I788" s="14"/>
      <c r="J788" s="15"/>
    </row>
    <row r="789" spans="1:10">
      <c r="A789" s="19"/>
      <c r="B789" s="18"/>
      <c r="D789" s="20"/>
      <c r="E789" s="14"/>
      <c r="F789" s="14"/>
      <c r="G789" s="14"/>
      <c r="H789" s="14"/>
      <c r="I789" s="14"/>
      <c r="J789" s="15"/>
    </row>
    <row r="790" spans="1:10">
      <c r="A790" s="19"/>
      <c r="B790" s="18"/>
      <c r="D790" s="20"/>
      <c r="E790" s="14"/>
      <c r="F790" s="14"/>
      <c r="G790" s="14"/>
      <c r="H790" s="14"/>
      <c r="I790" s="14"/>
      <c r="J790" s="15"/>
    </row>
    <row r="791" spans="1:10">
      <c r="A791" s="19"/>
      <c r="B791" s="18"/>
      <c r="D791" s="20"/>
      <c r="E791" s="14"/>
      <c r="F791" s="14"/>
      <c r="G791" s="14"/>
      <c r="H791" s="14"/>
      <c r="I791" s="14"/>
      <c r="J791" s="15"/>
    </row>
    <row r="792" spans="1:10">
      <c r="A792" s="19"/>
      <c r="B792" s="18"/>
      <c r="D792" s="20"/>
      <c r="E792" s="14"/>
      <c r="F792" s="14"/>
      <c r="G792" s="14"/>
      <c r="H792" s="14"/>
      <c r="I792" s="14"/>
      <c r="J792" s="15"/>
    </row>
    <row r="793" spans="1:10">
      <c r="A793" s="19"/>
      <c r="B793" s="18"/>
      <c r="D793" s="20"/>
      <c r="E793" s="14"/>
      <c r="F793" s="14"/>
      <c r="G793" s="14"/>
      <c r="H793" s="14"/>
      <c r="I793" s="14"/>
      <c r="J793" s="15"/>
    </row>
    <row r="794" spans="1:10">
      <c r="A794" s="19"/>
      <c r="B794" s="18"/>
      <c r="D794" s="20"/>
      <c r="E794" s="14"/>
      <c r="F794" s="14"/>
      <c r="G794" s="14"/>
      <c r="H794" s="14"/>
      <c r="I794" s="14"/>
      <c r="J794" s="15"/>
    </row>
    <row r="795" spans="1:10">
      <c r="A795" s="19"/>
      <c r="B795" s="18"/>
      <c r="D795" s="20"/>
      <c r="E795" s="14"/>
      <c r="F795" s="14"/>
      <c r="G795" s="14"/>
      <c r="H795" s="14"/>
      <c r="I795" s="14"/>
      <c r="J795" s="15"/>
    </row>
    <row r="796" spans="1:10">
      <c r="A796" s="19"/>
      <c r="B796" s="18"/>
      <c r="D796" s="20"/>
      <c r="E796" s="14"/>
      <c r="F796" s="14"/>
      <c r="G796" s="14"/>
      <c r="H796" s="14"/>
      <c r="I796" s="14"/>
      <c r="J796" s="15"/>
    </row>
    <row r="797" spans="1:10">
      <c r="A797" s="19"/>
      <c r="B797" s="18"/>
      <c r="D797" s="20"/>
      <c r="E797" s="14"/>
      <c r="F797" s="14"/>
      <c r="G797" s="14"/>
      <c r="H797" s="14"/>
      <c r="I797" s="14"/>
      <c r="J797" s="15"/>
    </row>
    <row r="798" spans="1:10">
      <c r="A798" s="19"/>
      <c r="B798" s="18"/>
      <c r="D798" s="20"/>
      <c r="E798" s="14"/>
      <c r="F798" s="14"/>
      <c r="G798" s="14"/>
      <c r="H798" s="14"/>
      <c r="I798" s="14"/>
      <c r="J798" s="15"/>
    </row>
    <row r="799" spans="1:10">
      <c r="A799" s="19"/>
      <c r="B799" s="18"/>
      <c r="D799" s="20"/>
      <c r="E799" s="14"/>
      <c r="F799" s="14"/>
      <c r="G799" s="14"/>
      <c r="H799" s="14"/>
      <c r="I799" s="14"/>
      <c r="J799" s="15"/>
    </row>
    <row r="800" spans="1:10">
      <c r="A800" s="19"/>
      <c r="B800" s="18"/>
      <c r="D800" s="20"/>
      <c r="E800" s="14"/>
      <c r="F800" s="14"/>
      <c r="G800" s="14"/>
      <c r="H800" s="14"/>
      <c r="I800" s="14"/>
      <c r="J800" s="15"/>
    </row>
    <row r="801" spans="1:10">
      <c r="A801" s="19"/>
      <c r="B801" s="18"/>
      <c r="D801" s="20"/>
      <c r="E801" s="14"/>
      <c r="F801" s="14"/>
      <c r="G801" s="14"/>
      <c r="H801" s="14"/>
      <c r="I801" s="14"/>
      <c r="J801" s="15"/>
    </row>
    <row r="802" spans="1:10">
      <c r="A802" s="19"/>
      <c r="B802" s="18"/>
      <c r="D802" s="20"/>
      <c r="E802" s="14"/>
      <c r="F802" s="14"/>
      <c r="G802" s="14"/>
      <c r="H802" s="14"/>
      <c r="I802" s="14"/>
      <c r="J802" s="15"/>
    </row>
    <row r="803" spans="1:10">
      <c r="A803" s="19"/>
      <c r="B803" s="18"/>
      <c r="D803" s="20"/>
      <c r="E803" s="14"/>
      <c r="F803" s="14"/>
      <c r="G803" s="14"/>
      <c r="H803" s="14"/>
      <c r="I803" s="14"/>
      <c r="J803" s="15"/>
    </row>
    <row r="804" spans="1:10">
      <c r="A804" s="19"/>
      <c r="B804" s="18"/>
      <c r="D804" s="20"/>
      <c r="E804" s="14"/>
      <c r="F804" s="14"/>
      <c r="G804" s="14"/>
      <c r="H804" s="14"/>
      <c r="I804" s="14"/>
      <c r="J804" s="15"/>
    </row>
    <row r="805" spans="1:10">
      <c r="A805" s="19"/>
      <c r="B805" s="18"/>
      <c r="D805" s="20"/>
      <c r="E805" s="14"/>
      <c r="F805" s="14"/>
      <c r="G805" s="14"/>
      <c r="H805" s="14"/>
      <c r="I805" s="14"/>
      <c r="J805" s="15"/>
    </row>
    <row r="806" spans="1:10">
      <c r="A806" s="19"/>
      <c r="B806" s="18"/>
      <c r="D806" s="20"/>
      <c r="E806" s="14"/>
      <c r="F806" s="14"/>
      <c r="G806" s="14"/>
      <c r="H806" s="14"/>
      <c r="I806" s="14"/>
      <c r="J806" s="15"/>
    </row>
    <row r="807" spans="1:10">
      <c r="A807" s="19"/>
      <c r="B807" s="18"/>
      <c r="D807" s="20"/>
      <c r="E807" s="14"/>
      <c r="F807" s="14"/>
      <c r="G807" s="14"/>
      <c r="H807" s="14"/>
      <c r="I807" s="14"/>
      <c r="J807" s="15"/>
    </row>
    <row r="808" spans="1:10">
      <c r="A808" s="19"/>
      <c r="B808" s="18"/>
      <c r="D808" s="20"/>
      <c r="E808" s="14"/>
      <c r="F808" s="14"/>
      <c r="G808" s="14"/>
      <c r="H808" s="14"/>
      <c r="I808" s="14"/>
      <c r="J808" s="15"/>
    </row>
    <row r="809" spans="1:10">
      <c r="A809" s="19"/>
      <c r="B809" s="18"/>
      <c r="D809" s="20"/>
      <c r="E809" s="14"/>
      <c r="F809" s="14"/>
      <c r="G809" s="14"/>
      <c r="H809" s="14"/>
      <c r="I809" s="14"/>
      <c r="J809" s="15"/>
    </row>
    <row r="810" spans="1:10">
      <c r="A810" s="19"/>
      <c r="B810" s="18"/>
      <c r="D810" s="20"/>
      <c r="E810" s="14"/>
      <c r="F810" s="14"/>
      <c r="G810" s="14"/>
      <c r="H810" s="14"/>
      <c r="I810" s="14"/>
      <c r="J810" s="15"/>
    </row>
    <row r="811" spans="1:10">
      <c r="A811" s="19"/>
      <c r="B811" s="18"/>
      <c r="D811" s="20"/>
      <c r="E811" s="14"/>
      <c r="F811" s="14"/>
      <c r="G811" s="14"/>
      <c r="H811" s="14"/>
      <c r="I811" s="14"/>
      <c r="J811" s="15"/>
    </row>
    <row r="812" spans="1:10">
      <c r="A812" s="19"/>
      <c r="B812" s="18"/>
      <c r="D812" s="20"/>
      <c r="E812" s="14"/>
      <c r="F812" s="14"/>
      <c r="G812" s="14"/>
      <c r="H812" s="14"/>
      <c r="I812" s="14"/>
      <c r="J812" s="15"/>
    </row>
    <row r="813" spans="1:10">
      <c r="A813" s="19"/>
      <c r="B813" s="18"/>
      <c r="D813" s="20"/>
      <c r="E813" s="14"/>
      <c r="F813" s="14"/>
      <c r="G813" s="14"/>
      <c r="H813" s="14"/>
      <c r="I813" s="14"/>
      <c r="J813" s="15"/>
    </row>
    <row r="814" spans="1:10">
      <c r="A814" s="19"/>
      <c r="B814" s="18"/>
      <c r="D814" s="20"/>
      <c r="E814" s="14"/>
      <c r="F814" s="14"/>
      <c r="G814" s="14"/>
      <c r="H814" s="14"/>
      <c r="I814" s="14"/>
      <c r="J814" s="15"/>
    </row>
    <row r="815" spans="1:10">
      <c r="A815" s="19"/>
      <c r="B815" s="18"/>
      <c r="D815" s="20"/>
      <c r="E815" s="14"/>
      <c r="F815" s="14"/>
      <c r="G815" s="14"/>
      <c r="H815" s="14"/>
      <c r="I815" s="14"/>
      <c r="J815" s="15"/>
    </row>
    <row r="816" spans="1:10">
      <c r="A816" s="19"/>
      <c r="B816" s="18"/>
      <c r="D816" s="20"/>
      <c r="E816" s="14"/>
      <c r="F816" s="14"/>
      <c r="G816" s="14"/>
      <c r="H816" s="14"/>
      <c r="I816" s="14"/>
      <c r="J816" s="15"/>
    </row>
    <row r="817" spans="1:10">
      <c r="A817" s="19"/>
      <c r="B817" s="18"/>
      <c r="D817" s="20"/>
      <c r="E817" s="14"/>
      <c r="F817" s="14"/>
      <c r="G817" s="14"/>
      <c r="H817" s="14"/>
      <c r="I817" s="14"/>
      <c r="J817" s="15"/>
    </row>
    <row r="818" spans="1:10">
      <c r="A818" s="19"/>
      <c r="B818" s="18"/>
      <c r="D818" s="20"/>
      <c r="E818" s="14"/>
      <c r="F818" s="14"/>
      <c r="G818" s="14"/>
      <c r="H818" s="14"/>
      <c r="I818" s="14"/>
      <c r="J818" s="15"/>
    </row>
    <row r="819" spans="1:10">
      <c r="A819" s="19"/>
      <c r="B819" s="18"/>
      <c r="D819" s="20"/>
      <c r="E819" s="14"/>
      <c r="F819" s="14"/>
      <c r="G819" s="14"/>
      <c r="H819" s="14"/>
      <c r="I819" s="14"/>
      <c r="J819" s="15"/>
    </row>
    <row r="820" spans="1:10">
      <c r="A820" s="19"/>
      <c r="B820" s="18"/>
      <c r="D820" s="20"/>
      <c r="E820" s="14"/>
      <c r="F820" s="14"/>
      <c r="G820" s="14"/>
      <c r="H820" s="14"/>
      <c r="I820" s="14"/>
      <c r="J820" s="15"/>
    </row>
    <row r="821" spans="1:10">
      <c r="A821" s="19"/>
      <c r="B821" s="18"/>
      <c r="D821" s="20"/>
      <c r="E821" s="14"/>
      <c r="F821" s="14"/>
      <c r="G821" s="14"/>
      <c r="H821" s="14"/>
      <c r="I821" s="14"/>
      <c r="J821" s="15"/>
    </row>
    <row r="822" spans="1:10">
      <c r="A822" s="19"/>
      <c r="B822" s="18"/>
      <c r="D822" s="20"/>
      <c r="E822" s="14"/>
      <c r="F822" s="14"/>
      <c r="G822" s="14"/>
      <c r="H822" s="14"/>
      <c r="I822" s="14"/>
      <c r="J822" s="15"/>
    </row>
    <row r="823" spans="1:10">
      <c r="A823" s="19"/>
      <c r="B823" s="18"/>
      <c r="D823" s="20"/>
      <c r="E823" s="14"/>
      <c r="F823" s="14"/>
      <c r="G823" s="14"/>
      <c r="H823" s="14"/>
      <c r="I823" s="14"/>
      <c r="J823" s="15"/>
    </row>
    <row r="824" spans="1:10">
      <c r="A824" s="19"/>
      <c r="B824" s="18"/>
      <c r="D824" s="20"/>
      <c r="E824" s="14"/>
      <c r="F824" s="14"/>
      <c r="G824" s="14"/>
      <c r="H824" s="14"/>
      <c r="I824" s="14"/>
      <c r="J824" s="15"/>
    </row>
    <row r="825" spans="1:10">
      <c r="A825" s="19"/>
      <c r="B825" s="18"/>
      <c r="D825" s="20"/>
      <c r="E825" s="14"/>
      <c r="F825" s="14"/>
      <c r="G825" s="14"/>
      <c r="H825" s="14"/>
      <c r="I825" s="14"/>
      <c r="J825" s="15"/>
    </row>
    <row r="826" spans="1:10">
      <c r="A826" s="19"/>
      <c r="B826" s="18"/>
      <c r="D826" s="20"/>
      <c r="E826" s="14"/>
      <c r="F826" s="14"/>
      <c r="G826" s="14"/>
      <c r="H826" s="14"/>
      <c r="I826" s="14"/>
      <c r="J826" s="15"/>
    </row>
    <row r="827" spans="1:10">
      <c r="A827" s="19"/>
      <c r="B827" s="18"/>
      <c r="D827" s="20"/>
      <c r="E827" s="14"/>
      <c r="F827" s="14"/>
      <c r="G827" s="14"/>
      <c r="H827" s="14"/>
      <c r="I827" s="14"/>
      <c r="J827" s="15"/>
    </row>
    <row r="828" spans="1:10">
      <c r="A828" s="19"/>
      <c r="B828" s="18"/>
      <c r="D828" s="20"/>
      <c r="E828" s="14"/>
      <c r="F828" s="14"/>
      <c r="G828" s="14"/>
      <c r="H828" s="14"/>
      <c r="I828" s="14"/>
      <c r="J828" s="15"/>
    </row>
    <row r="829" spans="1:10">
      <c r="A829" s="19"/>
      <c r="B829" s="18"/>
      <c r="D829" s="20"/>
      <c r="E829" s="14"/>
      <c r="F829" s="14"/>
      <c r="G829" s="14"/>
      <c r="H829" s="14"/>
      <c r="I829" s="14"/>
      <c r="J829" s="15"/>
    </row>
    <row r="830" spans="1:10">
      <c r="A830" s="19"/>
      <c r="B830" s="18"/>
      <c r="D830" s="20"/>
      <c r="E830" s="14"/>
      <c r="F830" s="14"/>
      <c r="G830" s="14"/>
      <c r="H830" s="14"/>
      <c r="I830" s="14"/>
      <c r="J830" s="15"/>
    </row>
    <row r="831" spans="1:10">
      <c r="A831" s="19"/>
      <c r="B831" s="18"/>
      <c r="D831" s="20"/>
      <c r="E831" s="14"/>
      <c r="F831" s="14"/>
      <c r="G831" s="14"/>
      <c r="H831" s="14"/>
      <c r="I831" s="14"/>
      <c r="J831" s="15"/>
    </row>
    <row r="832" spans="1:10">
      <c r="A832" s="19"/>
      <c r="B832" s="18"/>
      <c r="D832" s="20"/>
      <c r="E832" s="14"/>
      <c r="F832" s="14"/>
      <c r="G832" s="14"/>
      <c r="H832" s="14"/>
      <c r="I832" s="14"/>
      <c r="J832" s="15"/>
    </row>
    <row r="833" spans="1:10">
      <c r="A833" s="19"/>
      <c r="B833" s="18"/>
      <c r="D833" s="20"/>
      <c r="E833" s="14"/>
      <c r="F833" s="14"/>
      <c r="G833" s="14"/>
      <c r="H833" s="14"/>
      <c r="I833" s="14"/>
      <c r="J833" s="15"/>
    </row>
    <row r="834" spans="1:10">
      <c r="A834" s="19"/>
      <c r="B834" s="18"/>
      <c r="D834" s="20"/>
      <c r="E834" s="14"/>
      <c r="F834" s="14"/>
      <c r="G834" s="14"/>
      <c r="H834" s="14"/>
      <c r="I834" s="14"/>
      <c r="J834" s="15"/>
    </row>
    <row r="835" spans="1:10">
      <c r="A835" s="19"/>
      <c r="B835" s="18"/>
      <c r="D835" s="20"/>
      <c r="E835" s="14"/>
      <c r="F835" s="14"/>
      <c r="G835" s="14"/>
      <c r="H835" s="14"/>
      <c r="I835" s="14"/>
      <c r="J835" s="15"/>
    </row>
    <row r="836" spans="1:10">
      <c r="A836" s="19"/>
      <c r="B836" s="18"/>
      <c r="D836" s="20"/>
      <c r="E836" s="14"/>
      <c r="F836" s="14"/>
      <c r="G836" s="14"/>
      <c r="H836" s="14"/>
      <c r="I836" s="14"/>
      <c r="J836" s="15"/>
    </row>
    <row r="837" spans="1:10">
      <c r="A837" s="19"/>
      <c r="B837" s="18"/>
      <c r="D837" s="20"/>
      <c r="E837" s="14"/>
      <c r="F837" s="14"/>
      <c r="G837" s="14"/>
      <c r="H837" s="14"/>
      <c r="I837" s="14"/>
      <c r="J837" s="15"/>
    </row>
    <row r="838" spans="1:10">
      <c r="A838" s="19"/>
      <c r="B838" s="18"/>
      <c r="D838" s="20"/>
      <c r="E838" s="14"/>
      <c r="F838" s="14"/>
      <c r="G838" s="14"/>
      <c r="H838" s="14"/>
      <c r="I838" s="14"/>
      <c r="J838" s="15"/>
    </row>
    <row r="839" spans="1:10">
      <c r="A839" s="19"/>
      <c r="B839" s="18"/>
      <c r="D839" s="20"/>
      <c r="E839" s="14"/>
      <c r="F839" s="14"/>
      <c r="G839" s="14"/>
      <c r="H839" s="14"/>
      <c r="I839" s="14"/>
      <c r="J839" s="15"/>
    </row>
    <row r="840" spans="1:10">
      <c r="A840" s="19"/>
      <c r="B840" s="18"/>
      <c r="D840" s="20"/>
      <c r="E840" s="14"/>
      <c r="F840" s="14"/>
      <c r="G840" s="14"/>
      <c r="H840" s="14"/>
      <c r="I840" s="14"/>
      <c r="J840" s="15"/>
    </row>
    <row r="841" spans="1:10">
      <c r="A841" s="19"/>
      <c r="B841" s="18"/>
      <c r="D841" s="20"/>
      <c r="E841" s="14"/>
      <c r="F841" s="14"/>
      <c r="G841" s="14"/>
      <c r="H841" s="14"/>
      <c r="I841" s="14"/>
      <c r="J841" s="15"/>
    </row>
  </sheetData>
  <sheetProtection formatCells="0" formatColumns="0" formatRows="0" insertRows="0" deleteRows="0" autoFilter="0"/>
  <phoneticPr fontId="4" type="noConversion"/>
  <conditionalFormatting sqref="E429:G841 E1 G17 E17 E38:G40 E429:E1048576 E18:G21 E23:G25 F22:G22 E27:G29 F26:G26 E31:G31 F30:G30 F36:G37">
    <cfRule type="expression" dxfId="593" priority="2970">
      <formula>IF(OR(AND(E1="",F1="",OR(G1="Critical",G1="Major",G1="Minor"))),1,0)</formula>
    </cfRule>
  </conditionalFormatting>
  <conditionalFormatting sqref="F429:F1048576 F1:F15 F17:F31 F36:F44 F47 F51 F54:F55 F58:F59 F67 F75:F76 F78:F81 F84 F86 F92 F97:F98 F101 F103 F108:F110 F112 F116:F118 F124:F126 F128:F129 F136:F138 F142:F143 F146 F152:F153 F157:F158 F161 F168:F169 F171 F174:F177 F180 F183 F186 F188 F192:F193 F196 F200:F205 F210:F211 F213:F214 F216 F220:F221 F225 F228 F232 F234:F236 F239:F242 F245 F248 F251 F254 F257 F260:F262 F266:F267 F272:F273 F276:F279 F282:F283 F286 F288 F290:F291 F294:F298 F303 F307:F314 F320:F322 F325:F326 F330 F334 F338 F340:F342 F345 F347 F350:F353 F360 F362 F368 F370 F373 F383:F390">
    <cfRule type="expression" dxfId="592" priority="2969">
      <formula>IF(AND(F1="",OR(E1="Accuracy",E1="Fluency",E1="Segment",E1="Other")),1,0)</formula>
    </cfRule>
  </conditionalFormatting>
  <conditionalFormatting sqref="G1 G17 G429:G1048576">
    <cfRule type="expression" dxfId="591" priority="2968">
      <formula>IF(AND(OR(G1="",E1="Segment"),OR(E1="Accuracy",E1="Fluency",E1="Other")),1,0)</formula>
    </cfRule>
  </conditionalFormatting>
  <conditionalFormatting sqref="E127:G127 E122:G122 G124:G125 E119:G119 E113:G115 G97 E99:G99 G80 E75 E68:G68 E70:G70 E56:G56 E42:G44 E41 E2:G12 E77:G77 E64:E67 E80:E81 G116 E200:E202 E204 E234 E241:E242 E266 E276 E278 E295:E298 E307 E312:E314 E340 E342 E352:E353 E384:E387 E389:E390 E13:F15 E22:F22 E26:F26 E30:F30 E36:F37 E46:G53 E54 G54 F54:F55 E58:G63 F67:G67 G75 F75:F76 E78 G78 F78:F81 E84:G87 E92:G93 E97:F98 E101:F101 E103:G110 E112:F112 E116:F118 E124:F126 E128:F129 E136:F138 E142:F143 E146:F146 E152:F153 E157:F158 E161:F161 F168:F169 E171:F171 E174:F177 E180:F180 E183:F183 F186 E188:F188 E192:F193 E196:F196 F200:F205 E210:F211 E213:F214 E216:F216 E220:F221 E225:F225 E228:F228 E232:F232 F234:F236 F239:F242 E245:F245 E248:F248 E251:F251 E254:F254 E257:F257 E260:F262 F266:F267 E272:F273 F276:F279 E282:F283 E286:F286 F288 E290:F291 F294:F298 E303:F303 F307:F314 E320:F322 E325:F326 E330:F330 E334:F334 F338 F340:F342 E345:F345 E347:F347 F350:F353 F360 E362:F362 F368 E370:F370 E373:F373 F383:F390">
    <cfRule type="expression" dxfId="590" priority="771">
      <formula>IF(OR(AND(E2="",F2="",OR(G2="Critical",G2="Major",G2="Minor"))),1,0)</formula>
    </cfRule>
  </conditionalFormatting>
  <conditionalFormatting sqref="F122 F70 F46:F56 F58:F63 F67:F68 F75:F81 F84:F87 F92:F93 F97:F99 F101 F103:F110 F112:F119 F124:F129 F136:F138 F142:F143 F146 F152:F153 F157:F158 F161 F168:F169 F171 F174:F177 F180 F183 F186 F188 F192:F193 F196 F200:F205 F210:F211 F213:F214 F216 F220:F221 F225 F228 F232 F234:F236 F239:F242 F245 F248 F251 F254 F257 F260:F262 F266:F267 F272:F273 F276:F279 F282:F283 F286 F288 F290:F291 F294:F298 F303 F307:F314 F320:F322 F325:F326 F330 F334 F338 F340:F342 F345 F347 F350:F353 F360 F362 F368 F370 F373 F383:F390">
    <cfRule type="expression" dxfId="589" priority="770">
      <formula>IF(AND(F46="",OR(E46="Accuracy",E46="Fluency",E46="Segment",E46="Other")),1,0)</formula>
    </cfRule>
  </conditionalFormatting>
  <conditionalFormatting sqref="G2:G12">
    <cfRule type="expression" dxfId="588" priority="769">
      <formula>IF(AND(OR(G2="",E2="Segment"),OR(E2="Accuracy",E2="Fluency",E2="Other")),1,0)</formula>
    </cfRule>
  </conditionalFormatting>
  <conditionalFormatting sqref="G13:G15">
    <cfRule type="expression" dxfId="587" priority="768">
      <formula>IF(OR(AND(G13="",H13="",OR(I13="Critical",I13="Major",I13="Minor"))),1,0)</formula>
    </cfRule>
  </conditionalFormatting>
  <conditionalFormatting sqref="G13:G15">
    <cfRule type="expression" dxfId="586" priority="767">
      <formula>IF(AND(OR(G13="",E13="Segment"),OR(E13="Accuracy",E13="Fluency",E13="Other")),1,0)</formula>
    </cfRule>
  </conditionalFormatting>
  <conditionalFormatting sqref="H18:H19">
    <cfRule type="expression" dxfId="585" priority="762">
      <formula>IF(OR(AND(H18="",J18="",OR(#REF!="Critical",#REF!="Major",#REF!="Minor"))),1,0)</formula>
    </cfRule>
  </conditionalFormatting>
  <conditionalFormatting sqref="G127 G122 G124:G125 G119 G113:G116 G103:G110 G101 G97 G99 G92:G93 G84:G87 G80 G75 G70 G67:G68 G56 G46:G54 G36:G44 G58:G63 G77:G78 G18:G31">
    <cfRule type="expression" dxfId="584" priority="763">
      <formula>IF(AND(OR(G18="",#REF!="Segment"),OR(#REF!="Accuracy",#REF!="Fluency",#REF!="Other")),1,0)</formula>
    </cfRule>
  </conditionalFormatting>
  <conditionalFormatting sqref="E34:G35">
    <cfRule type="expression" dxfId="583" priority="754">
      <formula>IF(OR(AND(E34="",F34="",OR(G34="Critical",G34="Major",G34="Minor"))),1,0)</formula>
    </cfRule>
  </conditionalFormatting>
  <conditionalFormatting sqref="F34:F35">
    <cfRule type="expression" dxfId="582" priority="753">
      <formula>IF(AND(F34="",OR(E34="Accuracy",E34="Fluency",E34="Segment",E34="Other")),1,0)</formula>
    </cfRule>
  </conditionalFormatting>
  <conditionalFormatting sqref="G34:G35">
    <cfRule type="expression" dxfId="581" priority="755">
      <formula>IF(AND(OR(G34="",#REF!="Segment"),OR(#REF!="Accuracy",#REF!="Fluency",#REF!="Other")),1,0)</formula>
    </cfRule>
  </conditionalFormatting>
  <conditionalFormatting sqref="E32:G32">
    <cfRule type="expression" dxfId="580" priority="760">
      <formula>IF(OR(AND(E32="",F32="",OR(G32="Critical",G32="Major",G32="Minor"))),1,0)</formula>
    </cfRule>
  </conditionalFormatting>
  <conditionalFormatting sqref="F32">
    <cfRule type="expression" dxfId="579" priority="759">
      <formula>IF(AND(F32="",OR(E32="Accuracy",E32="Fluency",E32="Segment",E32="Other")),1,0)</formula>
    </cfRule>
  </conditionalFormatting>
  <conditionalFormatting sqref="G32">
    <cfRule type="expression" dxfId="578" priority="761">
      <formula>IF(AND(OR(G32="",#REF!="Segment"),OR(#REF!="Accuracy",#REF!="Fluency",#REF!="Other")),1,0)</formula>
    </cfRule>
  </conditionalFormatting>
  <conditionalFormatting sqref="E33:G33">
    <cfRule type="expression" dxfId="577" priority="757">
      <formula>IF(OR(AND(E33="",F33="",OR(G33="Critical",G33="Major",G33="Minor"))),1,0)</formula>
    </cfRule>
  </conditionalFormatting>
  <conditionalFormatting sqref="F33">
    <cfRule type="expression" dxfId="576" priority="756">
      <formula>IF(AND(F33="",OR(E33="Accuracy",E33="Fluency",E33="Segment",E33="Other")),1,0)</formula>
    </cfRule>
  </conditionalFormatting>
  <conditionalFormatting sqref="G33">
    <cfRule type="expression" dxfId="575" priority="758">
      <formula>IF(AND(OR(G33="",#REF!="Segment"),OR(#REF!="Accuracy",#REF!="Fluency",#REF!="Other")),1,0)</formula>
    </cfRule>
  </conditionalFormatting>
  <conditionalFormatting sqref="G41">
    <cfRule type="expression" dxfId="574" priority="751">
      <formula>IF(OR(AND(G41="",H40="",OR(I41="Critical",I41="Major",I41="Minor"))),1,0)</formula>
    </cfRule>
  </conditionalFormatting>
  <conditionalFormatting sqref="F101 F41">
    <cfRule type="expression" dxfId="573" priority="752">
      <formula>IF(OR(AND(F41="",G41="",OR(H40="Critical",H40="Major",H40="Minor"))),1,0)</formula>
    </cfRule>
  </conditionalFormatting>
  <conditionalFormatting sqref="E45:G45">
    <cfRule type="expression" dxfId="572" priority="749">
      <formula>IF(OR(AND(E45="",F45="",OR(G45="Critical",G45="Major",G45="Minor"))),1,0)</formula>
    </cfRule>
  </conditionalFormatting>
  <conditionalFormatting sqref="F45">
    <cfRule type="expression" dxfId="571" priority="748">
      <formula>IF(AND(F45="",OR(E45="Accuracy",E45="Fluency",E45="Segment",E45="Other")),1,0)</formula>
    </cfRule>
  </conditionalFormatting>
  <conditionalFormatting sqref="G45">
    <cfRule type="expression" dxfId="570" priority="750">
      <formula>IF(AND(OR(G45="",#REF!="Segment"),OR(#REF!="Accuracy",#REF!="Fluency",#REF!="Other")),1,0)</formula>
    </cfRule>
  </conditionalFormatting>
  <conditionalFormatting sqref="E55 G55">
    <cfRule type="expression" dxfId="569" priority="746">
      <formula>IF(OR(AND(E55="",F55="",OR(G55="Critical",G55="Major",G55="Minor"))),1,0)</formula>
    </cfRule>
  </conditionalFormatting>
  <conditionalFormatting sqref="G55">
    <cfRule type="expression" dxfId="568" priority="747">
      <formula>IF(AND(OR(G55="",#REF!="Segment"),OR(#REF!="Accuracy",#REF!="Fluency",#REF!="Other")),1,0)</formula>
    </cfRule>
  </conditionalFormatting>
  <conditionalFormatting sqref="E57:G57">
    <cfRule type="expression" dxfId="567" priority="743">
      <formula>IF(OR(AND(E57="",F57="",OR(G57="Critical",G57="Major",G57="Minor"))),1,0)</formula>
    </cfRule>
  </conditionalFormatting>
  <conditionalFormatting sqref="F57">
    <cfRule type="expression" dxfId="566" priority="742">
      <formula>IF(AND(F57="",OR(E57="Accuracy",E57="Fluency",E57="Segment",E57="Other")),1,0)</formula>
    </cfRule>
  </conditionalFormatting>
  <conditionalFormatting sqref="G57">
    <cfRule type="expression" dxfId="565" priority="744">
      <formula>IF(AND(OR(G57="",#REF!="Segment"),OR(#REF!="Accuracy",#REF!="Fluency",#REF!="Other")),1,0)</formula>
    </cfRule>
  </conditionalFormatting>
  <conditionalFormatting sqref="F64:G66">
    <cfRule type="expression" dxfId="564" priority="740">
      <formula>IF(OR(AND(F64="",G64="",OR(H64="Critical",H64="Major",H64="Minor"))),1,0)</formula>
    </cfRule>
  </conditionalFormatting>
  <conditionalFormatting sqref="F64:F66">
    <cfRule type="expression" dxfId="563" priority="739">
      <formula>IF(AND(F64="",OR(E64="Accuracy",E64="Fluency",E64="Segment",E64="Other")),1,0)</formula>
    </cfRule>
  </conditionalFormatting>
  <conditionalFormatting sqref="G64:G66">
    <cfRule type="expression" dxfId="562" priority="741">
      <formula>IF(AND(OR(G64="",#REF!="Segment"),OR(#REF!="Accuracy",#REF!="Fluency",#REF!="Other")),1,0)</formula>
    </cfRule>
  </conditionalFormatting>
  <conditionalFormatting sqref="E69:G69">
    <cfRule type="expression" dxfId="561" priority="737">
      <formula>IF(OR(AND(E69="",F69="",OR(G69="Critical",G69="Major",G69="Minor"))),1,0)</formula>
    </cfRule>
  </conditionalFormatting>
  <conditionalFormatting sqref="F69">
    <cfRule type="expression" dxfId="560" priority="736">
      <formula>IF(AND(F69="",OR(E69="Accuracy",E69="Fluency",E69="Segment",E69="Other")),1,0)</formula>
    </cfRule>
  </conditionalFormatting>
  <conditionalFormatting sqref="G69">
    <cfRule type="expression" dxfId="559" priority="738">
      <formula>IF(AND(OR(G69="",#REF!="Segment"),OR(#REF!="Accuracy",#REF!="Fluency",#REF!="Other")),1,0)</formula>
    </cfRule>
  </conditionalFormatting>
  <conditionalFormatting sqref="E71:G71">
    <cfRule type="expression" dxfId="558" priority="734">
      <formula>IF(OR(AND(E71="",F71="",OR(G71="Critical",G71="Major",G71="Minor"))),1,0)</formula>
    </cfRule>
  </conditionalFormatting>
  <conditionalFormatting sqref="F71">
    <cfRule type="expression" dxfId="557" priority="733">
      <formula>IF(AND(F71="",OR(E71="Accuracy",E71="Fluency",E71="Segment",E71="Other")),1,0)</formula>
    </cfRule>
  </conditionalFormatting>
  <conditionalFormatting sqref="G71">
    <cfRule type="expression" dxfId="556" priority="735">
      <formula>IF(AND(OR(G71="",#REF!="Segment"),OR(#REF!="Accuracy",#REF!="Fluency",#REF!="Other")),1,0)</formula>
    </cfRule>
  </conditionalFormatting>
  <conditionalFormatting sqref="E72:G72">
    <cfRule type="expression" dxfId="555" priority="731">
      <formula>IF(OR(AND(E72="",F72="",OR(G72="Critical",G72="Major",G72="Minor"))),1,0)</formula>
    </cfRule>
  </conditionalFormatting>
  <conditionalFormatting sqref="F72">
    <cfRule type="expression" dxfId="554" priority="730">
      <formula>IF(AND(F72="",OR(E72="Accuracy",E72="Fluency",E72="Segment",E72="Other")),1,0)</formula>
    </cfRule>
  </conditionalFormatting>
  <conditionalFormatting sqref="G72">
    <cfRule type="expression" dxfId="553" priority="732">
      <formula>IF(AND(OR(G72="",#REF!="Segment"),OR(#REF!="Accuracy",#REF!="Fluency",#REF!="Other")),1,0)</formula>
    </cfRule>
  </conditionalFormatting>
  <conditionalFormatting sqref="E73:G73">
    <cfRule type="expression" dxfId="552" priority="728">
      <formula>IF(OR(AND(E73="",F73="",OR(G73="Critical",G73="Major",G73="Minor"))),1,0)</formula>
    </cfRule>
  </conditionalFormatting>
  <conditionalFormatting sqref="F73">
    <cfRule type="expression" dxfId="551" priority="727">
      <formula>IF(AND(F73="",OR(E73="Accuracy",E73="Fluency",E73="Segment",E73="Other")),1,0)</formula>
    </cfRule>
  </conditionalFormatting>
  <conditionalFormatting sqref="G73">
    <cfRule type="expression" dxfId="550" priority="729">
      <formula>IF(AND(OR(G73="",#REF!="Segment"),OR(#REF!="Accuracy",#REF!="Fluency",#REF!="Other")),1,0)</formula>
    </cfRule>
  </conditionalFormatting>
  <conditionalFormatting sqref="E74:G74">
    <cfRule type="expression" dxfId="549" priority="725">
      <formula>IF(OR(AND(E74="",F74="",OR(G74="Critical",G74="Major",G74="Minor"))),1,0)</formula>
    </cfRule>
  </conditionalFormatting>
  <conditionalFormatting sqref="F74">
    <cfRule type="expression" dxfId="548" priority="724">
      <formula>IF(AND(F74="",OR(E74="Accuracy",E74="Fluency",E74="Segment",E74="Other")),1,0)</formula>
    </cfRule>
  </conditionalFormatting>
  <conditionalFormatting sqref="G74">
    <cfRule type="expression" dxfId="547" priority="726">
      <formula>IF(AND(OR(G74="",#REF!="Segment"),OR(#REF!="Accuracy",#REF!="Fluency",#REF!="Other")),1,0)</formula>
    </cfRule>
  </conditionalFormatting>
  <conditionalFormatting sqref="E79 G79">
    <cfRule type="expression" dxfId="546" priority="722">
      <formula>IF(OR(AND(E79="",F79="",OR(G79="Critical",G79="Major",G79="Minor"))),1,0)</formula>
    </cfRule>
  </conditionalFormatting>
  <conditionalFormatting sqref="G79">
    <cfRule type="expression" dxfId="545" priority="723">
      <formula>IF(AND(OR(G79="",#REF!="Segment"),OR(#REF!="Accuracy",#REF!="Fluency",#REF!="Other")),1,0)</formula>
    </cfRule>
  </conditionalFormatting>
  <conditionalFormatting sqref="E83:G83">
    <cfRule type="expression" dxfId="544" priority="719">
      <formula>IF(OR(AND(E83="",F83="",OR(G83="Critical",G83="Major",G83="Minor"))),1,0)</formula>
    </cfRule>
  </conditionalFormatting>
  <conditionalFormatting sqref="F83">
    <cfRule type="expression" dxfId="543" priority="718">
      <formula>IF(AND(F83="",OR(E83="Accuracy",E83="Fluency",E83="Segment",E83="Other")),1,0)</formula>
    </cfRule>
  </conditionalFormatting>
  <conditionalFormatting sqref="G83">
    <cfRule type="expression" dxfId="542" priority="720">
      <formula>IF(AND(OR(G83="",#REF!="Segment"),OR(#REF!="Accuracy",#REF!="Fluency",#REF!="Other")),1,0)</formula>
    </cfRule>
  </conditionalFormatting>
  <conditionalFormatting sqref="G81">
    <cfRule type="expression" dxfId="541" priority="716">
      <formula>IF(OR(AND(G81="",H81="",OR(I81="Critical",I81="Major",I81="Minor"))),1,0)</formula>
    </cfRule>
  </conditionalFormatting>
  <conditionalFormatting sqref="G81">
    <cfRule type="expression" dxfId="540" priority="717">
      <formula>IF(AND(OR(G81="",#REF!="Segment"),OR(#REF!="Accuracy",#REF!="Fluency",#REF!="Other")),1,0)</formula>
    </cfRule>
  </conditionalFormatting>
  <conditionalFormatting sqref="E82:G82">
    <cfRule type="expression" dxfId="539" priority="713">
      <formula>IF(OR(AND(E82="",F82="",OR(G82="Critical",G82="Major",G82="Minor"))),1,0)</formula>
    </cfRule>
  </conditionalFormatting>
  <conditionalFormatting sqref="F82">
    <cfRule type="expression" dxfId="538" priority="712">
      <formula>IF(AND(F82="",OR(E82="Accuracy",E82="Fluency",E82="Segment",E82="Other")),1,0)</formula>
    </cfRule>
  </conditionalFormatting>
  <conditionalFormatting sqref="G82">
    <cfRule type="expression" dxfId="537" priority="714">
      <formula>IF(AND(OR(G82="",#REF!="Segment"),OR(#REF!="Accuracy",#REF!="Fluency",#REF!="Other")),1,0)</formula>
    </cfRule>
  </conditionalFormatting>
  <conditionalFormatting sqref="E88:G88">
    <cfRule type="expression" dxfId="536" priority="710">
      <formula>IF(OR(AND(E88="",F88="",OR(G88="Critical",G88="Major",G88="Minor"))),1,0)</formula>
    </cfRule>
  </conditionalFormatting>
  <conditionalFormatting sqref="F88">
    <cfRule type="expression" dxfId="535" priority="709">
      <formula>IF(AND(F88="",OR(E88="Accuracy",E88="Fluency",E88="Segment",E88="Other")),1,0)</formula>
    </cfRule>
  </conditionalFormatting>
  <conditionalFormatting sqref="G88">
    <cfRule type="expression" dxfId="534" priority="711">
      <formula>IF(AND(OR(G88="",#REF!="Segment"),OR(#REF!="Accuracy",#REF!="Fluency",#REF!="Other")),1,0)</formula>
    </cfRule>
  </conditionalFormatting>
  <conditionalFormatting sqref="E89:G89">
    <cfRule type="expression" dxfId="533" priority="707">
      <formula>IF(OR(AND(E89="",F89="",OR(G89="Critical",G89="Major",G89="Minor"))),1,0)</formula>
    </cfRule>
  </conditionalFormatting>
  <conditionalFormatting sqref="F89">
    <cfRule type="expression" dxfId="532" priority="706">
      <formula>IF(AND(F89="",OR(E89="Accuracy",E89="Fluency",E89="Segment",E89="Other")),1,0)</formula>
    </cfRule>
  </conditionalFormatting>
  <conditionalFormatting sqref="G89">
    <cfRule type="expression" dxfId="531" priority="708">
      <formula>IF(AND(OR(G89="",#REF!="Segment"),OR(#REF!="Accuracy",#REF!="Fluency",#REF!="Other")),1,0)</formula>
    </cfRule>
  </conditionalFormatting>
  <conditionalFormatting sqref="E90:G90">
    <cfRule type="expression" dxfId="530" priority="704">
      <formula>IF(OR(AND(E90="",F90="",OR(G90="Critical",G90="Major",G90="Minor"))),1,0)</formula>
    </cfRule>
  </conditionalFormatting>
  <conditionalFormatting sqref="F90">
    <cfRule type="expression" dxfId="529" priority="703">
      <formula>IF(AND(F90="",OR(E90="Accuracy",E90="Fluency",E90="Segment",E90="Other")),1,0)</formula>
    </cfRule>
  </conditionalFormatting>
  <conditionalFormatting sqref="G90">
    <cfRule type="expression" dxfId="528" priority="705">
      <formula>IF(AND(OR(G90="",#REF!="Segment"),OR(#REF!="Accuracy",#REF!="Fluency",#REF!="Other")),1,0)</formula>
    </cfRule>
  </conditionalFormatting>
  <conditionalFormatting sqref="E91:G91">
    <cfRule type="expression" dxfId="527" priority="701">
      <formula>IF(OR(AND(E91="",F91="",OR(G91="Critical",G91="Major",G91="Minor"))),1,0)</formula>
    </cfRule>
  </conditionalFormatting>
  <conditionalFormatting sqref="F91">
    <cfRule type="expression" dxfId="526" priority="700">
      <formula>IF(AND(F91="",OR(E91="Accuracy",E91="Fluency",E91="Segment",E91="Other")),1,0)</formula>
    </cfRule>
  </conditionalFormatting>
  <conditionalFormatting sqref="G91">
    <cfRule type="expression" dxfId="525" priority="702">
      <formula>IF(AND(OR(G91="",#REF!="Segment"),OR(#REF!="Accuracy",#REF!="Fluency",#REF!="Other")),1,0)</formula>
    </cfRule>
  </conditionalFormatting>
  <conditionalFormatting sqref="E94:G94">
    <cfRule type="expression" dxfId="524" priority="698">
      <formula>IF(OR(AND(E94="",F94="",OR(G94="Critical",G94="Major",G94="Minor"))),1,0)</formula>
    </cfRule>
  </conditionalFormatting>
  <conditionalFormatting sqref="F94">
    <cfRule type="expression" dxfId="523" priority="697">
      <formula>IF(AND(F94="",OR(E94="Accuracy",E94="Fluency",E94="Segment",E94="Other")),1,0)</formula>
    </cfRule>
  </conditionalFormatting>
  <conditionalFormatting sqref="G94">
    <cfRule type="expression" dxfId="522" priority="699">
      <formula>IF(AND(OR(G94="",#REF!="Segment"),OR(#REF!="Accuracy",#REF!="Fluency",#REF!="Other")),1,0)</formula>
    </cfRule>
  </conditionalFormatting>
  <conditionalFormatting sqref="E95:G95">
    <cfRule type="expression" dxfId="521" priority="695">
      <formula>IF(OR(AND(E95="",F95="",OR(G95="Critical",G95="Major",G95="Minor"))),1,0)</formula>
    </cfRule>
  </conditionalFormatting>
  <conditionalFormatting sqref="F95">
    <cfRule type="expression" dxfId="520" priority="694">
      <formula>IF(AND(F95="",OR(E95="Accuracy",E95="Fluency",E95="Segment",E95="Other")),1,0)</formula>
    </cfRule>
  </conditionalFormatting>
  <conditionalFormatting sqref="G95">
    <cfRule type="expression" dxfId="519" priority="696">
      <formula>IF(AND(OR(G95="",#REF!="Segment"),OR(#REF!="Accuracy",#REF!="Fluency",#REF!="Other")),1,0)</formula>
    </cfRule>
  </conditionalFormatting>
  <conditionalFormatting sqref="E96:G96">
    <cfRule type="expression" dxfId="518" priority="692">
      <formula>IF(OR(AND(E96="",F96="",OR(G96="Critical",G96="Major",G96="Minor"))),1,0)</formula>
    </cfRule>
  </conditionalFormatting>
  <conditionalFormatting sqref="F96">
    <cfRule type="expression" dxfId="517" priority="691">
      <formula>IF(AND(F96="",OR(E96="Accuracy",E96="Fluency",E96="Segment",E96="Other")),1,0)</formula>
    </cfRule>
  </conditionalFormatting>
  <conditionalFormatting sqref="G96">
    <cfRule type="expression" dxfId="516" priority="693">
      <formula>IF(AND(OR(G96="",#REF!="Segment"),OR(#REF!="Accuracy",#REF!="Fluency",#REF!="Other")),1,0)</formula>
    </cfRule>
  </conditionalFormatting>
  <conditionalFormatting sqref="G98">
    <cfRule type="expression" dxfId="515" priority="689">
      <formula>IF(OR(AND(G98="",H98="",OR(I98="Critical",I98="Major",I98="Minor"))),1,0)</formula>
    </cfRule>
  </conditionalFormatting>
  <conditionalFormatting sqref="G98">
    <cfRule type="expression" dxfId="514" priority="690">
      <formula>IF(AND(OR(G98="",#REF!="Segment"),OR(#REF!="Accuracy",#REF!="Fluency",#REF!="Other")),1,0)</formula>
    </cfRule>
  </conditionalFormatting>
  <conditionalFormatting sqref="G101">
    <cfRule type="expression" dxfId="513" priority="687">
      <formula>IF(OR(AND(G101="",H100="",OR(I100="Critical",I100="Major",I100="Minor"))),1,0)</formula>
    </cfRule>
  </conditionalFormatting>
  <conditionalFormatting sqref="E100:G100">
    <cfRule type="expression" dxfId="512" priority="685">
      <formula>IF(OR(AND(E100="",F100="",OR(G100="Critical",G100="Major",G100="Minor"))),1,0)</formula>
    </cfRule>
  </conditionalFormatting>
  <conditionalFormatting sqref="F100">
    <cfRule type="expression" dxfId="511" priority="684">
      <formula>IF(AND(F100="",OR(E100="Accuracy",E100="Fluency",E100="Segment",E100="Other")),1,0)</formula>
    </cfRule>
  </conditionalFormatting>
  <conditionalFormatting sqref="G100">
    <cfRule type="expression" dxfId="510" priority="686">
      <formula>IF(AND(OR(G100="",#REF!="Segment"),OR(#REF!="Accuracy",#REF!="Fluency",#REF!="Other")),1,0)</formula>
    </cfRule>
  </conditionalFormatting>
  <conditionalFormatting sqref="E102:G102">
    <cfRule type="expression" dxfId="509" priority="682">
      <formula>IF(OR(AND(E102="",F102="",OR(G102="Critical",G102="Major",G102="Minor"))),1,0)</formula>
    </cfRule>
  </conditionalFormatting>
  <conditionalFormatting sqref="F102">
    <cfRule type="expression" dxfId="508" priority="681">
      <formula>IF(AND(F102="",OR(E102="Accuracy",E102="Fluency",E102="Segment",E102="Other")),1,0)</formula>
    </cfRule>
  </conditionalFormatting>
  <conditionalFormatting sqref="G102">
    <cfRule type="expression" dxfId="507" priority="683">
      <formula>IF(AND(OR(G102="",#REF!="Segment"),OR(#REF!="Accuracy",#REF!="Fluency",#REF!="Other")),1,0)</formula>
    </cfRule>
  </conditionalFormatting>
  <conditionalFormatting sqref="E111:G111">
    <cfRule type="expression" dxfId="506" priority="679">
      <formula>IF(OR(AND(E111="",F111="",OR(G111="Critical",G111="Major",G111="Minor"))),1,0)</formula>
    </cfRule>
  </conditionalFormatting>
  <conditionalFormatting sqref="F111">
    <cfRule type="expression" dxfId="505" priority="678">
      <formula>IF(AND(F111="",OR(E111="Accuracy",E111="Fluency",E111="Segment",E111="Other")),1,0)</formula>
    </cfRule>
  </conditionalFormatting>
  <conditionalFormatting sqref="G111">
    <cfRule type="expression" dxfId="504" priority="680">
      <formula>IF(AND(OR(G111="",#REF!="Segment"),OR(#REF!="Accuracy",#REF!="Fluency",#REF!="Other")),1,0)</formula>
    </cfRule>
  </conditionalFormatting>
  <conditionalFormatting sqref="G112">
    <cfRule type="expression" dxfId="503" priority="677">
      <formula>IF(OR(AND(G112="",H112="",OR(I113="Critical",I113="Major",I113="Minor"))),1,0)</formula>
    </cfRule>
  </conditionalFormatting>
  <conditionalFormatting sqref="G112">
    <cfRule type="expression" dxfId="502" priority="675">
      <formula>IF(AND(OR(G112="",#REF!="Segment"),OR(#REF!="Accuracy",#REF!="Fluency",#REF!="Other")),1,0)</formula>
    </cfRule>
  </conditionalFormatting>
  <conditionalFormatting sqref="G117">
    <cfRule type="expression" dxfId="501" priority="672">
      <formula>IF(OR(AND(G117="",H117="",OR(I117="Critical",I117="Major",I117="Minor"))),1,0)</formula>
    </cfRule>
  </conditionalFormatting>
  <conditionalFormatting sqref="G117">
    <cfRule type="expression" dxfId="500" priority="673">
      <formula>IF(AND(OR(G117="",#REF!="Segment"),OR(#REF!="Accuracy",#REF!="Fluency",#REF!="Other")),1,0)</formula>
    </cfRule>
  </conditionalFormatting>
  <conditionalFormatting sqref="G118">
    <cfRule type="expression" dxfId="499" priority="669">
      <formula>IF(OR(AND(G118="",H118="",OR(I118="Critical",I118="Major",I118="Minor"))),1,0)</formula>
    </cfRule>
  </conditionalFormatting>
  <conditionalFormatting sqref="G118">
    <cfRule type="expression" dxfId="498" priority="670">
      <formula>IF(AND(OR(G118="",#REF!="Segment"),OR(#REF!="Accuracy",#REF!="Fluency",#REF!="Other")),1,0)</formula>
    </cfRule>
  </conditionalFormatting>
  <conditionalFormatting sqref="E120:G120">
    <cfRule type="expression" dxfId="497" priority="666">
      <formula>IF(OR(AND(E120="",F120="",OR(G120="Critical",G120="Major",G120="Minor"))),1,0)</formula>
    </cfRule>
  </conditionalFormatting>
  <conditionalFormatting sqref="F120">
    <cfRule type="expression" dxfId="496" priority="665">
      <formula>IF(AND(F120="",OR(E120="Accuracy",E120="Fluency",E120="Segment",E120="Other")),1,0)</formula>
    </cfRule>
  </conditionalFormatting>
  <conditionalFormatting sqref="G120">
    <cfRule type="expression" dxfId="495" priority="667">
      <formula>IF(AND(OR(G120="",#REF!="Segment"),OR(#REF!="Accuracy",#REF!="Fluency",#REF!="Other")),1,0)</formula>
    </cfRule>
  </conditionalFormatting>
  <conditionalFormatting sqref="E121:G121">
    <cfRule type="expression" dxfId="494" priority="663">
      <formula>IF(OR(AND(E121="",F121="",OR(G121="Critical",G121="Major",G121="Minor"))),1,0)</formula>
    </cfRule>
  </conditionalFormatting>
  <conditionalFormatting sqref="F121">
    <cfRule type="expression" dxfId="493" priority="662">
      <formula>IF(AND(F121="",OR(E121="Accuracy",E121="Fluency",E121="Segment",E121="Other")),1,0)</formula>
    </cfRule>
  </conditionalFormatting>
  <conditionalFormatting sqref="G121">
    <cfRule type="expression" dxfId="492" priority="664">
      <formula>IF(AND(OR(G121="",#REF!="Segment"),OR(#REF!="Accuracy",#REF!="Fluency",#REF!="Other")),1,0)</formula>
    </cfRule>
  </conditionalFormatting>
  <conditionalFormatting sqref="E123:G123">
    <cfRule type="expression" dxfId="491" priority="660">
      <formula>IF(OR(AND(E123="",F123="",OR(G123="Critical",G123="Major",G123="Minor"))),1,0)</formula>
    </cfRule>
  </conditionalFormatting>
  <conditionalFormatting sqref="F123">
    <cfRule type="expression" dxfId="490" priority="659">
      <formula>IF(AND(F123="",OR(E123="Accuracy",E123="Fluency",E123="Segment",E123="Other")),1,0)</formula>
    </cfRule>
  </conditionalFormatting>
  <conditionalFormatting sqref="G123">
    <cfRule type="expression" dxfId="489" priority="661">
      <formula>IF(AND(OR(G123="",#REF!="Segment"),OR(#REF!="Accuracy",#REF!="Fluency",#REF!="Other")),1,0)</formula>
    </cfRule>
  </conditionalFormatting>
  <conditionalFormatting sqref="G126">
    <cfRule type="expression" dxfId="488" priority="657">
      <formula>IF(OR(AND(G126="",H126="",OR(I126="Critical",I126="Major",I126="Minor"))),1,0)</formula>
    </cfRule>
  </conditionalFormatting>
  <conditionalFormatting sqref="G126">
    <cfRule type="expression" dxfId="487" priority="658">
      <formula>IF(AND(OR(G126="",#REF!="Segment"),OR(#REF!="Accuracy",#REF!="Fluency",#REF!="Other")),1,0)</formula>
    </cfRule>
  </conditionalFormatting>
  <conditionalFormatting sqref="G128:G129">
    <cfRule type="expression" dxfId="486" priority="654">
      <formula>IF(OR(AND(G128="",H128="",OR(I128="Critical",I128="Major",I128="Minor"))),1,0)</formula>
    </cfRule>
  </conditionalFormatting>
  <conditionalFormatting sqref="G128:G129">
    <cfRule type="expression" dxfId="485" priority="655">
      <formula>IF(AND(OR(G128="",#REF!="Segment"),OR(#REF!="Accuracy",#REF!="Fluency",#REF!="Other")),1,0)</formula>
    </cfRule>
  </conditionalFormatting>
  <conditionalFormatting sqref="E130:G130">
    <cfRule type="expression" dxfId="484" priority="651">
      <formula>IF(OR(AND(E130="",F130="",OR(G130="Critical",G130="Major",G130="Minor"))),1,0)</formula>
    </cfRule>
  </conditionalFormatting>
  <conditionalFormatting sqref="F130">
    <cfRule type="expression" dxfId="483" priority="650">
      <formula>IF(AND(F130="",OR(E130="Accuracy",E130="Fluency",E130="Segment",E130="Other")),1,0)</formula>
    </cfRule>
  </conditionalFormatting>
  <conditionalFormatting sqref="G130">
    <cfRule type="expression" dxfId="482" priority="652">
      <formula>IF(AND(OR(G130="",#REF!="Segment"),OR(#REF!="Accuracy",#REF!="Fluency",#REF!="Other")),1,0)</formula>
    </cfRule>
  </conditionalFormatting>
  <conditionalFormatting sqref="E131:G131">
    <cfRule type="expression" dxfId="481" priority="648">
      <formula>IF(OR(AND(E131="",F131="",OR(G131="Critical",G131="Major",G131="Minor"))),1,0)</formula>
    </cfRule>
  </conditionalFormatting>
  <conditionalFormatting sqref="F131">
    <cfRule type="expression" dxfId="480" priority="647">
      <formula>IF(AND(F131="",OR(E131="Accuracy",E131="Fluency",E131="Segment",E131="Other")),1,0)</formula>
    </cfRule>
  </conditionalFormatting>
  <conditionalFormatting sqref="G131">
    <cfRule type="expression" dxfId="479" priority="649">
      <formula>IF(AND(OR(G131="",#REF!="Segment"),OR(#REF!="Accuracy",#REF!="Fluency",#REF!="Other")),1,0)</formula>
    </cfRule>
  </conditionalFormatting>
  <conditionalFormatting sqref="E187:G187 E181:G181 E178:G178 G174:G175 E170:G170 E165:G166 E162:G162 E156:G156 G152:G153 E147:G148 G136:G138 E132:G134 G146 E159:G159 G157:G158 G161 E172:G172 G171 G180 E189:G190 G188 E168:E169 G168:G169 E186 G186">
    <cfRule type="expression" dxfId="478" priority="646">
      <formula>IF(OR(AND(E132="",F132="",OR(G132="Critical",G132="Major",G132="Minor"))),1,0)</formula>
    </cfRule>
  </conditionalFormatting>
  <conditionalFormatting sqref="F187 F181 F178 F170 F165:F166 F162 F156 F147:F148 F132:F134 F159 F172 F189:F190">
    <cfRule type="expression" dxfId="477" priority="645">
      <formula>IF(AND(F132="",OR(E132="Accuracy",E132="Fluency",E132="Segment",E132="Other")),1,0)</formula>
    </cfRule>
  </conditionalFormatting>
  <conditionalFormatting sqref="G136:G138 G132:G134">
    <cfRule type="expression" dxfId="476" priority="644">
      <formula>IF(AND(OR(G132="",E132="Segment"),OR(E132="Accuracy",E132="Fluency",E132="Other")),1,0)</formula>
    </cfRule>
  </conditionalFormatting>
  <conditionalFormatting sqref="F135:G135">
    <cfRule type="expression" dxfId="475" priority="643">
      <formula>IF(OR(AND(F135="",G135="",OR(H135="Critical",H135="Major",H135="Minor"))),1,0)</formula>
    </cfRule>
  </conditionalFormatting>
  <conditionalFormatting sqref="F135">
    <cfRule type="expression" dxfId="474" priority="642">
      <formula>IF(AND(F135="",OR(E135="Accuracy",E135="Fluency",E135="Segment",E135="Other")),1,0)</formula>
    </cfRule>
  </conditionalFormatting>
  <conditionalFormatting sqref="G135">
    <cfRule type="expression" dxfId="473" priority="641">
      <formula>IF(AND(OR(G135="",E135="Segment"),OR(E135="Accuracy",E135="Fluency",E135="Other")),1,0)</formula>
    </cfRule>
  </conditionalFormatting>
  <conditionalFormatting sqref="E135">
    <cfRule type="expression" dxfId="472" priority="640">
      <formula>IF(OR(AND(E135="",F135="",OR(G135="Critical",G135="Major",G135="Minor"))),1,0)</formula>
    </cfRule>
  </conditionalFormatting>
  <conditionalFormatting sqref="E139:G141">
    <cfRule type="expression" dxfId="471" priority="639">
      <formula>IF(OR(AND(E139="",F139="",OR(G139="Critical",G139="Major",G139="Minor"))),1,0)</formula>
    </cfRule>
  </conditionalFormatting>
  <conditionalFormatting sqref="F139:F141">
    <cfRule type="expression" dxfId="470" priority="638">
      <formula>IF(AND(F139="",OR(E139="Accuracy",E139="Fluency",E139="Segment",E139="Other")),1,0)</formula>
    </cfRule>
  </conditionalFormatting>
  <conditionalFormatting sqref="G139:G141">
    <cfRule type="expression" dxfId="469" priority="637">
      <formula>IF(AND(OR(G139="",E139="Segment"),OR(E139="Accuracy",E139="Fluency",E139="Other")),1,0)</formula>
    </cfRule>
  </conditionalFormatting>
  <conditionalFormatting sqref="H146:H148 H142:H144">
    <cfRule type="expression" dxfId="468" priority="635">
      <formula>IF(OR(AND(H142="",J142="",OR(#REF!="Critical",#REF!="Major",#REF!="Minor"))),1,0)</formula>
    </cfRule>
  </conditionalFormatting>
  <conditionalFormatting sqref="G142:G143">
    <cfRule type="expression" dxfId="467" priority="634">
      <formula>IF(OR(AND(G142="",H142="",OR(I142="Critical",I142="Major",I142="Minor"))),1,0)</formula>
    </cfRule>
  </conditionalFormatting>
  <conditionalFormatting sqref="G142:G143">
    <cfRule type="expression" dxfId="466" priority="633">
      <formula>IF(AND(OR(G142="",E142="Segment"),OR(E142="Accuracy",E142="Fluency",E142="Other")),1,0)</formula>
    </cfRule>
  </conditionalFormatting>
  <conditionalFormatting sqref="H145">
    <cfRule type="expression" dxfId="465" priority="632">
      <formula>IF(OR(AND(H145="",J145="",OR(#REF!="Critical",#REF!="Major",#REF!="Minor"))),1,0)</formula>
    </cfRule>
  </conditionalFormatting>
  <conditionalFormatting sqref="F17">
    <cfRule type="expression" dxfId="464" priority="636">
      <formula>IF(OR(AND(F17="",G17="",OR(H40="Critical",H40="Major",H40="Minor"))),1,0)</formula>
    </cfRule>
  </conditionalFormatting>
  <conditionalFormatting sqref="E144">
    <cfRule type="expression" dxfId="463" priority="630">
      <formula>IF(OR(AND(E144="",F144="",OR(G144="Critical",G144="Major",G144="Minor"))),1,0)</formula>
    </cfRule>
  </conditionalFormatting>
  <conditionalFormatting sqref="F144">
    <cfRule type="expression" dxfId="462" priority="629">
      <formula>IF(AND(F144="",OR(E144="Accuracy",E144="Fluency",E144="Segment",E144="Other")),1,0)</formula>
    </cfRule>
  </conditionalFormatting>
  <conditionalFormatting sqref="G144">
    <cfRule type="expression" dxfId="461" priority="628">
      <formula>IF(OR(AND(G144="",H144="",OR(I144="Critical",I144="Major",I144="Minor"))),1,0)</formula>
    </cfRule>
  </conditionalFormatting>
  <conditionalFormatting sqref="G144">
    <cfRule type="expression" dxfId="460" priority="627">
      <formula>IF(AND(OR(G144="",E144="Segment"),OR(E144="Accuracy",E144="Fluency",E144="Other")),1,0)</formula>
    </cfRule>
  </conditionalFormatting>
  <conditionalFormatting sqref="F144">
    <cfRule type="expression" dxfId="459" priority="631">
      <formula>IF(OR(AND(F144="",G144="",OR(H167="Critical",H167="Major",H167="Minor"))),1,0)</formula>
    </cfRule>
  </conditionalFormatting>
  <conditionalFormatting sqref="E145">
    <cfRule type="expression" dxfId="458" priority="625">
      <formula>IF(OR(AND(E145="",F145="",OR(G145="Critical",G145="Major",G145="Minor"))),1,0)</formula>
    </cfRule>
  </conditionalFormatting>
  <conditionalFormatting sqref="F145">
    <cfRule type="expression" dxfId="457" priority="624">
      <formula>IF(AND(F145="",OR(E145="Accuracy",E145="Fluency",E145="Segment",E145="Other")),1,0)</formula>
    </cfRule>
  </conditionalFormatting>
  <conditionalFormatting sqref="G145">
    <cfRule type="expression" dxfId="456" priority="623">
      <formula>IF(OR(AND(G145="",H145="",OR(I145="Critical",I145="Major",I145="Minor"))),1,0)</formula>
    </cfRule>
  </conditionalFormatting>
  <conditionalFormatting sqref="G145">
    <cfRule type="expression" dxfId="455" priority="622">
      <formula>IF(AND(OR(G145="",E145="Segment"),OR(E145="Accuracy",E145="Fluency",E145="Other")),1,0)</formula>
    </cfRule>
  </conditionalFormatting>
  <conditionalFormatting sqref="F145">
    <cfRule type="expression" dxfId="454" priority="626">
      <formula>IF(OR(AND(F145="",G145="",OR(H168="Critical",H168="Major",H168="Minor"))),1,0)</formula>
    </cfRule>
  </conditionalFormatting>
  <conditionalFormatting sqref="G186:G190 G180:G181 G178 G174:G175 G168:G172 G165:G166 G161:G162 G156:G159 G152:G153 G146:G148">
    <cfRule type="expression" dxfId="453" priority="621">
      <formula>IF(AND(OR(G146="",#REF!="Segment"),OR(#REF!="Accuracy",#REF!="Fluency",#REF!="Other")),1,0)</formula>
    </cfRule>
  </conditionalFormatting>
  <conditionalFormatting sqref="E149:G149">
    <cfRule type="expression" dxfId="452" priority="618">
      <formula>IF(OR(AND(E149="",F149="",OR(G149="Critical",G149="Major",G149="Minor"))),1,0)</formula>
    </cfRule>
  </conditionalFormatting>
  <conditionalFormatting sqref="F149">
    <cfRule type="expression" dxfId="451" priority="617">
      <formula>IF(AND(F149="",OR(E149="Accuracy",E149="Fluency",E149="Segment",E149="Other")),1,0)</formula>
    </cfRule>
  </conditionalFormatting>
  <conditionalFormatting sqref="H149">
    <cfRule type="expression" dxfId="450" priority="619">
      <formula>IF(OR(AND(H149="",J149="",OR(#REF!="Critical",#REF!="Major",#REF!="Minor"))),1,0)</formula>
    </cfRule>
  </conditionalFormatting>
  <conditionalFormatting sqref="G149">
    <cfRule type="expression" dxfId="449" priority="620">
      <formula>IF(AND(OR(G149="",#REF!="Segment"),OR(#REF!="Accuracy",#REF!="Fluency",#REF!="Other")),1,0)</formula>
    </cfRule>
  </conditionalFormatting>
  <conditionalFormatting sqref="E150:G151">
    <cfRule type="expression" dxfId="448" priority="615">
      <formula>IF(OR(AND(E150="",F150="",OR(G150="Critical",G150="Major",G150="Minor"))),1,0)</formula>
    </cfRule>
  </conditionalFormatting>
  <conditionalFormatting sqref="F150:F151">
    <cfRule type="expression" dxfId="447" priority="614">
      <formula>IF(AND(F150="",OR(E150="Accuracy",E150="Fluency",E150="Segment",E150="Other")),1,0)</formula>
    </cfRule>
  </conditionalFormatting>
  <conditionalFormatting sqref="G150:G151">
    <cfRule type="expression" dxfId="446" priority="616">
      <formula>IF(AND(OR(G150="",#REF!="Segment"),OR(#REF!="Accuracy",#REF!="Fluency",#REF!="Other")),1,0)</formula>
    </cfRule>
  </conditionalFormatting>
  <conditionalFormatting sqref="E154:G154">
    <cfRule type="expression" dxfId="445" priority="612">
      <formula>IF(OR(AND(E154="",F154="",OR(G154="Critical",G154="Major",G154="Minor"))),1,0)</formula>
    </cfRule>
  </conditionalFormatting>
  <conditionalFormatting sqref="F154">
    <cfRule type="expression" dxfId="444" priority="611">
      <formula>IF(AND(F154="",OR(E154="Accuracy",E154="Fluency",E154="Segment",E154="Other")),1,0)</formula>
    </cfRule>
  </conditionalFormatting>
  <conditionalFormatting sqref="G154">
    <cfRule type="expression" dxfId="443" priority="613">
      <formula>IF(AND(OR(G154="",#REF!="Segment"),OR(#REF!="Accuracy",#REF!="Fluency",#REF!="Other")),1,0)</formula>
    </cfRule>
  </conditionalFormatting>
  <conditionalFormatting sqref="E155:G155">
    <cfRule type="expression" dxfId="442" priority="609">
      <formula>IF(OR(AND(E155="",F155="",OR(G155="Critical",G155="Major",G155="Minor"))),1,0)</formula>
    </cfRule>
  </conditionalFormatting>
  <conditionalFormatting sqref="F155">
    <cfRule type="expression" dxfId="441" priority="608">
      <formula>IF(AND(F155="",OR(E155="Accuracy",E155="Fluency",E155="Segment",E155="Other")),1,0)</formula>
    </cfRule>
  </conditionalFormatting>
  <conditionalFormatting sqref="G155">
    <cfRule type="expression" dxfId="440" priority="610">
      <formula>IF(AND(OR(G155="",#REF!="Segment"),OR(#REF!="Accuracy",#REF!="Fluency",#REF!="Other")),1,0)</formula>
    </cfRule>
  </conditionalFormatting>
  <conditionalFormatting sqref="E160:G160">
    <cfRule type="expression" dxfId="439" priority="606">
      <formula>IF(OR(AND(E160="",F160="",OR(G160="Critical",G160="Major",G160="Minor"))),1,0)</formula>
    </cfRule>
  </conditionalFormatting>
  <conditionalFormatting sqref="F160">
    <cfRule type="expression" dxfId="438" priority="605">
      <formula>IF(AND(F160="",OR(E160="Accuracy",E160="Fluency",E160="Segment",E160="Other")),1,0)</formula>
    </cfRule>
  </conditionalFormatting>
  <conditionalFormatting sqref="G160">
    <cfRule type="expression" dxfId="437" priority="607">
      <formula>IF(AND(OR(G160="",#REF!="Segment"),OR(#REF!="Accuracy",#REF!="Fluency",#REF!="Other")),1,0)</formula>
    </cfRule>
  </conditionalFormatting>
  <conditionalFormatting sqref="E163:G163">
    <cfRule type="expression" dxfId="436" priority="603">
      <formula>IF(OR(AND(E163="",F163="",OR(G163="Critical",G163="Major",G163="Minor"))),1,0)</formula>
    </cfRule>
  </conditionalFormatting>
  <conditionalFormatting sqref="F163">
    <cfRule type="expression" dxfId="435" priority="602">
      <formula>IF(AND(F163="",OR(E163="Accuracy",E163="Fluency",E163="Segment",E163="Other")),1,0)</formula>
    </cfRule>
  </conditionalFormatting>
  <conditionalFormatting sqref="G163">
    <cfRule type="expression" dxfId="434" priority="604">
      <formula>IF(AND(OR(G163="",#REF!="Segment"),OR(#REF!="Accuracy",#REF!="Fluency",#REF!="Other")),1,0)</formula>
    </cfRule>
  </conditionalFormatting>
  <conditionalFormatting sqref="E164:G164">
    <cfRule type="expression" dxfId="433" priority="600">
      <formula>IF(OR(AND(E164="",F164="",OR(G164="Critical",G164="Major",G164="Minor"))),1,0)</formula>
    </cfRule>
  </conditionalFormatting>
  <conditionalFormatting sqref="F164">
    <cfRule type="expression" dxfId="432" priority="599">
      <formula>IF(AND(F164="",OR(E164="Accuracy",E164="Fluency",E164="Segment",E164="Other")),1,0)</formula>
    </cfRule>
  </conditionalFormatting>
  <conditionalFormatting sqref="G164">
    <cfRule type="expression" dxfId="431" priority="601">
      <formula>IF(AND(OR(G164="",#REF!="Segment"),OR(#REF!="Accuracy",#REF!="Fluency",#REF!="Other")),1,0)</formula>
    </cfRule>
  </conditionalFormatting>
  <conditionalFormatting sqref="E167:G167">
    <cfRule type="expression" dxfId="430" priority="597">
      <formula>IF(OR(AND(E167="",F167="",OR(G167="Critical",G167="Major",G167="Minor"))),1,0)</formula>
    </cfRule>
  </conditionalFormatting>
  <conditionalFormatting sqref="F167">
    <cfRule type="expression" dxfId="429" priority="596">
      <formula>IF(AND(F167="",OR(E167="Accuracy",E167="Fluency",E167="Segment",E167="Other")),1,0)</formula>
    </cfRule>
  </conditionalFormatting>
  <conditionalFormatting sqref="G167">
    <cfRule type="expression" dxfId="428" priority="598">
      <formula>IF(AND(OR(G167="",#REF!="Segment"),OR(#REF!="Accuracy",#REF!="Fluency",#REF!="Other")),1,0)</formula>
    </cfRule>
  </conditionalFormatting>
  <conditionalFormatting sqref="E173:G173">
    <cfRule type="expression" dxfId="427" priority="594">
      <formula>IF(OR(AND(E173="",F173="",OR(G173="Critical",G173="Major",G173="Minor"))),1,0)</formula>
    </cfRule>
  </conditionalFormatting>
  <conditionalFormatting sqref="F173">
    <cfRule type="expression" dxfId="426" priority="593">
      <formula>IF(AND(F173="",OR(E173="Accuracy",E173="Fluency",E173="Segment",E173="Other")),1,0)</formula>
    </cfRule>
  </conditionalFormatting>
  <conditionalFormatting sqref="G173">
    <cfRule type="expression" dxfId="425" priority="595">
      <formula>IF(AND(OR(G173="",#REF!="Segment"),OR(#REF!="Accuracy",#REF!="Fluency",#REF!="Other")),1,0)</formula>
    </cfRule>
  </conditionalFormatting>
  <conditionalFormatting sqref="G176">
    <cfRule type="expression" dxfId="424" priority="591">
      <formula>IF(OR(AND(G176="",H176="",OR(I176="Critical",I176="Major",I176="Minor"))),1,0)</formula>
    </cfRule>
  </conditionalFormatting>
  <conditionalFormatting sqref="G176">
    <cfRule type="expression" dxfId="423" priority="592">
      <formula>IF(AND(OR(G176="",#REF!="Segment"),OR(#REF!="Accuracy",#REF!="Fluency",#REF!="Other")),1,0)</formula>
    </cfRule>
  </conditionalFormatting>
  <conditionalFormatting sqref="G177">
    <cfRule type="expression" dxfId="422" priority="588">
      <formula>IF(OR(AND(G177="",H177="",OR(I177="Critical",I177="Major",I177="Minor"))),1,0)</formula>
    </cfRule>
  </conditionalFormatting>
  <conditionalFormatting sqref="G177">
    <cfRule type="expression" dxfId="421" priority="589">
      <formula>IF(AND(OR(G177="",#REF!="Segment"),OR(#REF!="Accuracy",#REF!="Fluency",#REF!="Other")),1,0)</formula>
    </cfRule>
  </conditionalFormatting>
  <conditionalFormatting sqref="E179:G179">
    <cfRule type="expression" dxfId="420" priority="585">
      <formula>IF(OR(AND(E179="",F179="",OR(G179="Critical",G179="Major",G179="Minor"))),1,0)</formula>
    </cfRule>
  </conditionalFormatting>
  <conditionalFormatting sqref="F179">
    <cfRule type="expression" dxfId="419" priority="584">
      <formula>IF(AND(F179="",OR(E179="Accuracy",E179="Fluency",E179="Segment",E179="Other")),1,0)</formula>
    </cfRule>
  </conditionalFormatting>
  <conditionalFormatting sqref="G179">
    <cfRule type="expression" dxfId="418" priority="586">
      <formula>IF(AND(OR(G179="",#REF!="Segment"),OR(#REF!="Accuracy",#REF!="Fluency",#REF!="Other")),1,0)</formula>
    </cfRule>
  </conditionalFormatting>
  <conditionalFormatting sqref="E182:G182">
    <cfRule type="expression" dxfId="417" priority="582">
      <formula>IF(OR(AND(E182="",F182="",OR(G182="Critical",G182="Major",G182="Minor"))),1,0)</formula>
    </cfRule>
  </conditionalFormatting>
  <conditionalFormatting sqref="F182">
    <cfRule type="expression" dxfId="416" priority="581">
      <formula>IF(AND(F182="",OR(E182="Accuracy",E182="Fluency",E182="Segment",E182="Other")),1,0)</formula>
    </cfRule>
  </conditionalFormatting>
  <conditionalFormatting sqref="G182">
    <cfRule type="expression" dxfId="415" priority="583">
      <formula>IF(AND(OR(G182="",#REF!="Segment"),OR(#REF!="Accuracy",#REF!="Fluency",#REF!="Other")),1,0)</formula>
    </cfRule>
  </conditionalFormatting>
  <conditionalFormatting sqref="G183">
    <cfRule type="expression" dxfId="414" priority="579">
      <formula>IF(OR(AND(G183="",H183="",OR(I183="Critical",I183="Major",I183="Minor"))),1,0)</formula>
    </cfRule>
  </conditionalFormatting>
  <conditionalFormatting sqref="G183">
    <cfRule type="expression" dxfId="413" priority="580">
      <formula>IF(AND(OR(G183="",#REF!="Segment"),OR(#REF!="Accuracy",#REF!="Fluency",#REF!="Other")),1,0)</formula>
    </cfRule>
  </conditionalFormatting>
  <conditionalFormatting sqref="E184:G184">
    <cfRule type="expression" dxfId="412" priority="576">
      <formula>IF(OR(AND(E184="",F184="",OR(G184="Critical",G184="Major",G184="Minor"))),1,0)</formula>
    </cfRule>
  </conditionalFormatting>
  <conditionalFormatting sqref="F184">
    <cfRule type="expression" dxfId="411" priority="575">
      <formula>IF(AND(F184="",OR(E184="Accuracy",E184="Fluency",E184="Segment",E184="Other")),1,0)</formula>
    </cfRule>
  </conditionalFormatting>
  <conditionalFormatting sqref="G184">
    <cfRule type="expression" dxfId="410" priority="577">
      <formula>IF(AND(OR(G184="",#REF!="Segment"),OR(#REF!="Accuracy",#REF!="Fluency",#REF!="Other")),1,0)</formula>
    </cfRule>
  </conditionalFormatting>
  <conditionalFormatting sqref="E185:G185">
    <cfRule type="expression" dxfId="409" priority="573">
      <formula>IF(OR(AND(E185="",F185="",OR(G185="Critical",G185="Major",G185="Minor"))),1,0)</formula>
    </cfRule>
  </conditionalFormatting>
  <conditionalFormatting sqref="F185">
    <cfRule type="expression" dxfId="408" priority="572">
      <formula>IF(AND(F185="",OR(E185="Accuracy",E185="Fluency",E185="Segment",E185="Other")),1,0)</formula>
    </cfRule>
  </conditionalFormatting>
  <conditionalFormatting sqref="G185">
    <cfRule type="expression" dxfId="407" priority="574">
      <formula>IF(AND(OR(G185="",#REF!="Segment"),OR(#REF!="Accuracy",#REF!="Fluency",#REF!="Other")),1,0)</formula>
    </cfRule>
  </conditionalFormatting>
  <conditionalFormatting sqref="E191:G191">
    <cfRule type="expression" dxfId="406" priority="570">
      <formula>IF(OR(AND(E191="",F191="",OR(G191="Critical",G191="Major",G191="Minor"))),1,0)</formula>
    </cfRule>
  </conditionalFormatting>
  <conditionalFormatting sqref="F191">
    <cfRule type="expression" dxfId="405" priority="569">
      <formula>IF(AND(F191="",OR(E191="Accuracy",E191="Fluency",E191="Segment",E191="Other")),1,0)</formula>
    </cfRule>
  </conditionalFormatting>
  <conditionalFormatting sqref="G191">
    <cfRule type="expression" dxfId="404" priority="571">
      <formula>IF(AND(OR(G191="",#REF!="Segment"),OR(#REF!="Accuracy",#REF!="Fluency",#REF!="Other")),1,0)</formula>
    </cfRule>
  </conditionalFormatting>
  <conditionalFormatting sqref="G260:G262 G254 G251 E239:E240 E231:G231 E222:G222 G216 E203 G200:G201 E194:G195 G192:G193 E206:G208 E205 G203:G205 G239:G242">
    <cfRule type="expression" dxfId="403" priority="566">
      <formula>IF(OR(AND(E192="",F192="",OR(G192="Critical",G192="Major",G192="Minor"))),1,0)</formula>
    </cfRule>
  </conditionalFormatting>
  <conditionalFormatting sqref="F231 F222 F206:F208 F194:F195">
    <cfRule type="expression" dxfId="402" priority="565">
      <formula>IF(AND(F194="",OR(E194="Accuracy",E194="Fluency",E194="Segment",E194="Other")),1,0)</formula>
    </cfRule>
  </conditionalFormatting>
  <conditionalFormatting sqref="H192:H195">
    <cfRule type="expression" dxfId="401" priority="567">
      <formula>IF(OR(AND(H192="",J192="",OR(#REF!="Critical",#REF!="Major",#REF!="Minor"))),1,0)</formula>
    </cfRule>
  </conditionalFormatting>
  <conditionalFormatting sqref="G260:G262 G254 G251 G239:G242 G231 G222 G216 G203:G205 G207:G208 G200:G201 G192:G195">
    <cfRule type="expression" dxfId="400" priority="568">
      <formula>IF(AND(OR(G192="",#REF!="Segment"),OR(#REF!="Accuracy",#REF!="Fluency",#REF!="Other")),1,0)</formula>
    </cfRule>
  </conditionalFormatting>
  <conditionalFormatting sqref="G196">
    <cfRule type="expression" dxfId="399" priority="562">
      <formula>IF(OR(AND(G196="",H196="",OR(I196="Critical",I196="Major",I196="Minor"))),1,0)</formula>
    </cfRule>
  </conditionalFormatting>
  <conditionalFormatting sqref="H196">
    <cfRule type="expression" dxfId="398" priority="563">
      <formula>IF(OR(AND(H196="",J196="",OR(#REF!="Critical",#REF!="Major",#REF!="Minor"))),1,0)</formula>
    </cfRule>
  </conditionalFormatting>
  <conditionalFormatting sqref="G196">
    <cfRule type="expression" dxfId="397" priority="564">
      <formula>IF(AND(OR(G196="",#REF!="Segment"),OR(#REF!="Accuracy",#REF!="Fluency",#REF!="Other")),1,0)</formula>
    </cfRule>
  </conditionalFormatting>
  <conditionalFormatting sqref="E197:G199">
    <cfRule type="expression" dxfId="396" priority="559">
      <formula>IF(OR(AND(E197="",F197="",OR(G197="Critical",G197="Major",G197="Minor"))),1,0)</formula>
    </cfRule>
  </conditionalFormatting>
  <conditionalFormatting sqref="F197:F199">
    <cfRule type="expression" dxfId="395" priority="558">
      <formula>IF(AND(F197="",OR(E197="Accuracy",E197="Fluency",E197="Segment",E197="Other")),1,0)</formula>
    </cfRule>
  </conditionalFormatting>
  <conditionalFormatting sqref="G197:G199">
    <cfRule type="expression" dxfId="394" priority="560">
      <formula>IF(AND(OR(G197="",#REF!="Segment"),OR(#REF!="Accuracy",#REF!="Fluency",#REF!="Other")),1,0)</formula>
    </cfRule>
  </conditionalFormatting>
  <conditionalFormatting sqref="G202">
    <cfRule type="expression" dxfId="393" priority="556">
      <formula>IF(OR(AND(G202="",H202="",OR(I202="Critical",I202="Major",I202="Minor"))),1,0)</formula>
    </cfRule>
  </conditionalFormatting>
  <conditionalFormatting sqref="G202">
    <cfRule type="expression" dxfId="392" priority="557">
      <formula>IF(AND(OR(G202="",#REF!="Segment"),OR(#REF!="Accuracy",#REF!="Fluency",#REF!="Other")),1,0)</formula>
    </cfRule>
  </conditionalFormatting>
  <conditionalFormatting sqref="G206:G208">
    <cfRule type="expression" dxfId="391" priority="554">
      <formula>IF(AND(OR(G206="",#REF!="Segment"),OR(#REF!="Accuracy",#REF!="Fluency",#REF!="Other")),1,0)</formula>
    </cfRule>
  </conditionalFormatting>
  <conditionalFormatting sqref="G206:G208">
    <cfRule type="expression" dxfId="390" priority="553">
      <formula>IF(AND(OR(G206="",#REF!="Segment"),OR(#REF!="Accuracy",#REF!="Fluency",#REF!="Other")),1,0)</formula>
    </cfRule>
  </conditionalFormatting>
  <conditionalFormatting sqref="E209:G209">
    <cfRule type="expression" dxfId="389" priority="551">
      <formula>IF(OR(AND(E209="",F209="",OR(G209="Critical",G209="Major",G209="Minor"))),1,0)</formula>
    </cfRule>
  </conditionalFormatting>
  <conditionalFormatting sqref="F209">
    <cfRule type="expression" dxfId="388" priority="550">
      <formula>IF(AND(F209="",OR(E209="Accuracy",E209="Fluency",E209="Segment",E209="Other")),1,0)</formula>
    </cfRule>
  </conditionalFormatting>
  <conditionalFormatting sqref="G209">
    <cfRule type="expression" dxfId="387" priority="552">
      <formula>IF(AND(OR(G209="",#REF!="Segment"),OR(#REF!="Accuracy",#REF!="Fluency",#REF!="Other")),1,0)</formula>
    </cfRule>
  </conditionalFormatting>
  <conditionalFormatting sqref="G210">
    <cfRule type="expression" dxfId="386" priority="548">
      <formula>IF(OR(AND(G210="",H210="",OR(I210="Critical",I210="Major",I210="Minor"))),1,0)</formula>
    </cfRule>
  </conditionalFormatting>
  <conditionalFormatting sqref="G210">
    <cfRule type="expression" dxfId="385" priority="549">
      <formula>IF(AND(OR(G210="",#REF!="Segment"),OR(#REF!="Accuracy",#REF!="Fluency",#REF!="Other")),1,0)</formula>
    </cfRule>
  </conditionalFormatting>
  <conditionalFormatting sqref="E212:G212">
    <cfRule type="expression" dxfId="384" priority="545">
      <formula>IF(OR(AND(E212="",F212="",OR(G212="Critical",G212="Major",G212="Minor"))),1,0)</formula>
    </cfRule>
  </conditionalFormatting>
  <conditionalFormatting sqref="F212">
    <cfRule type="expression" dxfId="383" priority="544">
      <formula>IF(AND(F212="",OR(E212="Accuracy",E212="Fluency",E212="Segment",E212="Other")),1,0)</formula>
    </cfRule>
  </conditionalFormatting>
  <conditionalFormatting sqref="G212">
    <cfRule type="expression" dxfId="382" priority="546">
      <formula>IF(AND(OR(G212="",#REF!="Segment"),OR(#REF!="Accuracy",#REF!="Fluency",#REF!="Other")),1,0)</formula>
    </cfRule>
  </conditionalFormatting>
  <conditionalFormatting sqref="G211">
    <cfRule type="expression" dxfId="381" priority="542">
      <formula>IF(OR(AND(G211="",H211="",OR(I211="Critical",I211="Major",I211="Minor"))),1,0)</formula>
    </cfRule>
  </conditionalFormatting>
  <conditionalFormatting sqref="G211">
    <cfRule type="expression" dxfId="380" priority="543">
      <formula>IF(AND(OR(G211="",#REF!="Segment"),OR(#REF!="Accuracy",#REF!="Fluency",#REF!="Other")),1,0)</formula>
    </cfRule>
  </conditionalFormatting>
  <conditionalFormatting sqref="E215:F215">
    <cfRule type="expression" dxfId="379" priority="540">
      <formula>IF(OR(AND(E215="",F215="",OR(G215="Critical",G215="Major",G215="Minor"))),1,0)</formula>
    </cfRule>
  </conditionalFormatting>
  <conditionalFormatting sqref="F215">
    <cfRule type="expression" dxfId="378" priority="539">
      <formula>IF(AND(F215="",OR(E215="Accuracy",E215="Fluency",E215="Segment",E215="Other")),1,0)</formula>
    </cfRule>
  </conditionalFormatting>
  <conditionalFormatting sqref="G213">
    <cfRule type="expression" dxfId="377" priority="537">
      <formula>IF(OR(AND(G213="",H213="",OR(I213="Critical",I213="Major",I213="Minor"))),1,0)</formula>
    </cfRule>
  </conditionalFormatting>
  <conditionalFormatting sqref="G213">
    <cfRule type="expression" dxfId="376" priority="538">
      <formula>IF(AND(OR(G213="",#REF!="Segment"),OR(#REF!="Accuracy",#REF!="Fluency",#REF!="Other")),1,0)</formula>
    </cfRule>
  </conditionalFormatting>
  <conditionalFormatting sqref="G215">
    <cfRule type="expression" dxfId="375" priority="535">
      <formula>IF(OR(AND(G215="",H215="",OR(I215="Critical",I215="Major",I215="Minor"))),1,0)</formula>
    </cfRule>
  </conditionalFormatting>
  <conditionalFormatting sqref="G215">
    <cfRule type="expression" dxfId="374" priority="536">
      <formula>IF(AND(OR(G215="",#REF!="Segment"),OR(#REF!="Accuracy",#REF!="Fluency",#REF!="Other")),1,0)</formula>
    </cfRule>
  </conditionalFormatting>
  <conditionalFormatting sqref="G214">
    <cfRule type="expression" dxfId="373" priority="531">
      <formula>IF(OR(AND(G214="",H214="",OR(I214="Critical",I214="Major",I214="Minor"))),1,0)</formula>
    </cfRule>
  </conditionalFormatting>
  <conditionalFormatting sqref="G214">
    <cfRule type="expression" dxfId="372" priority="532">
      <formula>IF(AND(OR(G214="",#REF!="Segment"),OR(#REF!="Accuracy",#REF!="Fluency",#REF!="Other")),1,0)</formula>
    </cfRule>
  </conditionalFormatting>
  <conditionalFormatting sqref="E217:G217">
    <cfRule type="expression" dxfId="371" priority="529">
      <formula>IF(OR(AND(E217="",F217="",OR(G217="Critical",G217="Major",G217="Minor"))),1,0)</formula>
    </cfRule>
  </conditionalFormatting>
  <conditionalFormatting sqref="F217">
    <cfRule type="expression" dxfId="370" priority="528">
      <formula>IF(AND(F217="",OR(E217="Accuracy",E217="Fluency",E217="Segment",E217="Other")),1,0)</formula>
    </cfRule>
  </conditionalFormatting>
  <conditionalFormatting sqref="G217">
    <cfRule type="expression" dxfId="369" priority="530">
      <formula>IF(AND(OR(G217="",#REF!="Segment"),OR(#REF!="Accuracy",#REF!="Fluency",#REF!="Other")),1,0)</formula>
    </cfRule>
  </conditionalFormatting>
  <conditionalFormatting sqref="E218:G218">
    <cfRule type="expression" dxfId="368" priority="526">
      <formula>IF(OR(AND(E218="",F218="",OR(G218="Critical",G218="Major",G218="Minor"))),1,0)</formula>
    </cfRule>
  </conditionalFormatting>
  <conditionalFormatting sqref="F218">
    <cfRule type="expression" dxfId="367" priority="525">
      <formula>IF(AND(F218="",OR(E218="Accuracy",E218="Fluency",E218="Segment",E218="Other")),1,0)</formula>
    </cfRule>
  </conditionalFormatting>
  <conditionalFormatting sqref="G218">
    <cfRule type="expression" dxfId="366" priority="527">
      <formula>IF(AND(OR(G218="",#REF!="Segment"),OR(#REF!="Accuracy",#REF!="Fluency",#REF!="Other")),1,0)</formula>
    </cfRule>
  </conditionalFormatting>
  <conditionalFormatting sqref="E219:G219">
    <cfRule type="expression" dxfId="365" priority="523">
      <formula>IF(OR(AND(E219="",F219="",OR(G219="Critical",G219="Major",G219="Minor"))),1,0)</formula>
    </cfRule>
  </conditionalFormatting>
  <conditionalFormatting sqref="F219">
    <cfRule type="expression" dxfId="364" priority="522">
      <formula>IF(AND(F219="",OR(E219="Accuracy",E219="Fluency",E219="Segment",E219="Other")),1,0)</formula>
    </cfRule>
  </conditionalFormatting>
  <conditionalFormatting sqref="G219">
    <cfRule type="expression" dxfId="363" priority="524">
      <formula>IF(AND(OR(G219="",#REF!="Segment"),OR(#REF!="Accuracy",#REF!="Fluency",#REF!="Other")),1,0)</formula>
    </cfRule>
  </conditionalFormatting>
  <conditionalFormatting sqref="G220">
    <cfRule type="expression" dxfId="362" priority="520">
      <formula>IF(OR(AND(G220="",H220="",OR(I220="Critical",I220="Major",I220="Minor"))),1,0)</formula>
    </cfRule>
  </conditionalFormatting>
  <conditionalFormatting sqref="G220">
    <cfRule type="expression" dxfId="361" priority="521">
      <formula>IF(AND(OR(G220="",#REF!="Segment"),OR(#REF!="Accuracy",#REF!="Fluency",#REF!="Other")),1,0)</formula>
    </cfRule>
  </conditionalFormatting>
  <conditionalFormatting sqref="G221">
    <cfRule type="expression" dxfId="360" priority="517">
      <formula>IF(OR(AND(G221="",H221="",OR(I221="Critical",I221="Major",I221="Minor"))),1,0)</formula>
    </cfRule>
  </conditionalFormatting>
  <conditionalFormatting sqref="G221">
    <cfRule type="expression" dxfId="359" priority="518">
      <formula>IF(AND(OR(G221="",#REF!="Segment"),OR(#REF!="Accuracy",#REF!="Fluency",#REF!="Other")),1,0)</formula>
    </cfRule>
  </conditionalFormatting>
  <conditionalFormatting sqref="E223:G223">
    <cfRule type="expression" dxfId="358" priority="514">
      <formula>IF(OR(AND(E223="",F223="",OR(G223="Critical",G223="Major",G223="Minor"))),1,0)</formula>
    </cfRule>
  </conditionalFormatting>
  <conditionalFormatting sqref="F223">
    <cfRule type="expression" dxfId="357" priority="513">
      <formula>IF(AND(F223="",OR(E223="Accuracy",E223="Fluency",E223="Segment",E223="Other")),1,0)</formula>
    </cfRule>
  </conditionalFormatting>
  <conditionalFormatting sqref="G223">
    <cfRule type="expression" dxfId="356" priority="515">
      <formula>IF(AND(OR(G223="",#REF!="Segment"),OR(#REF!="Accuracy",#REF!="Fluency",#REF!="Other")),1,0)</formula>
    </cfRule>
  </conditionalFormatting>
  <conditionalFormatting sqref="E224:G224">
    <cfRule type="expression" dxfId="355" priority="511">
      <formula>IF(OR(AND(E224="",F224="",OR(G224="Critical",G224="Major",G224="Minor"))),1,0)</formula>
    </cfRule>
  </conditionalFormatting>
  <conditionalFormatting sqref="F224">
    <cfRule type="expression" dxfId="354" priority="510">
      <formula>IF(AND(F224="",OR(E224="Accuracy",E224="Fluency",E224="Segment",E224="Other")),1,0)</formula>
    </cfRule>
  </conditionalFormatting>
  <conditionalFormatting sqref="G224">
    <cfRule type="expression" dxfId="353" priority="512">
      <formula>IF(AND(OR(G224="",#REF!="Segment"),OR(#REF!="Accuracy",#REF!="Fluency",#REF!="Other")),1,0)</formula>
    </cfRule>
  </conditionalFormatting>
  <conditionalFormatting sqref="G225">
    <cfRule type="expression" dxfId="352" priority="508">
      <formula>IF(OR(AND(G225="",H225="",OR(I225="Critical",I225="Major",I225="Minor"))),1,0)</formula>
    </cfRule>
  </conditionalFormatting>
  <conditionalFormatting sqref="G225">
    <cfRule type="expression" dxfId="351" priority="509">
      <formula>IF(AND(OR(G225="",#REF!="Segment"),OR(#REF!="Accuracy",#REF!="Fluency",#REF!="Other")),1,0)</formula>
    </cfRule>
  </conditionalFormatting>
  <conditionalFormatting sqref="E226:G226">
    <cfRule type="expression" dxfId="350" priority="505">
      <formula>IF(OR(AND(E226="",F226="",OR(G226="Critical",G226="Major",G226="Minor"))),1,0)</formula>
    </cfRule>
  </conditionalFormatting>
  <conditionalFormatting sqref="F226">
    <cfRule type="expression" dxfId="349" priority="504">
      <formula>IF(AND(F226="",OR(E226="Accuracy",E226="Fluency",E226="Segment",E226="Other")),1,0)</formula>
    </cfRule>
  </conditionalFormatting>
  <conditionalFormatting sqref="G226">
    <cfRule type="expression" dxfId="348" priority="506">
      <formula>IF(AND(OR(G226="",#REF!="Segment"),OR(#REF!="Accuracy",#REF!="Fluency",#REF!="Other")),1,0)</formula>
    </cfRule>
  </conditionalFormatting>
  <conditionalFormatting sqref="E227:G227">
    <cfRule type="expression" dxfId="347" priority="502">
      <formula>IF(OR(AND(E227="",F227="",OR(G227="Critical",G227="Major",G227="Minor"))),1,0)</formula>
    </cfRule>
  </conditionalFormatting>
  <conditionalFormatting sqref="F227">
    <cfRule type="expression" dxfId="346" priority="501">
      <formula>IF(AND(F227="",OR(E227="Accuracy",E227="Fluency",E227="Segment",E227="Other")),1,0)</formula>
    </cfRule>
  </conditionalFormatting>
  <conditionalFormatting sqref="G227">
    <cfRule type="expression" dxfId="345" priority="503">
      <formula>IF(AND(OR(G227="",#REF!="Segment"),OR(#REF!="Accuracy",#REF!="Fluency",#REF!="Other")),1,0)</formula>
    </cfRule>
  </conditionalFormatting>
  <conditionalFormatting sqref="E229">
    <cfRule type="expression" dxfId="344" priority="499">
      <formula>IF(OR(AND(E229="",F229="",OR(G229="Critical",G229="Major",G229="Minor"))),1,0)</formula>
    </cfRule>
  </conditionalFormatting>
  <conditionalFormatting sqref="G228">
    <cfRule type="expression" dxfId="343" priority="497">
      <formula>IF(OR(AND(G228="",H228="",OR(I228="Critical",I228="Major",I228="Minor"))),1,0)</formula>
    </cfRule>
  </conditionalFormatting>
  <conditionalFormatting sqref="G228">
    <cfRule type="expression" dxfId="342" priority="498">
      <formula>IF(AND(OR(G228="",#REF!="Segment"),OR(#REF!="Accuracy",#REF!="Fluency",#REF!="Other")),1,0)</formula>
    </cfRule>
  </conditionalFormatting>
  <conditionalFormatting sqref="F229:G229">
    <cfRule type="expression" dxfId="341" priority="494">
      <formula>IF(OR(AND(F229="",G229="",OR(H229="Critical",H229="Major",H229="Minor"))),1,0)</formula>
    </cfRule>
  </conditionalFormatting>
  <conditionalFormatting sqref="F229">
    <cfRule type="expression" dxfId="340" priority="493">
      <formula>IF(AND(F229="",OR(E229="Accuracy",E229="Fluency",E229="Segment",E229="Other")),1,0)</formula>
    </cfRule>
  </conditionalFormatting>
  <conditionalFormatting sqref="G229">
    <cfRule type="expression" dxfId="339" priority="495">
      <formula>IF(AND(OR(G229="",#REF!="Segment"),OR(#REF!="Accuracy",#REF!="Fluency",#REF!="Other")),1,0)</formula>
    </cfRule>
  </conditionalFormatting>
  <conditionalFormatting sqref="E230">
    <cfRule type="expression" dxfId="338" priority="492">
      <formula>IF(OR(AND(E230="",F230="",OR(G230="Critical",G230="Major",G230="Minor"))),1,0)</formula>
    </cfRule>
  </conditionalFormatting>
  <conditionalFormatting sqref="F230:G230">
    <cfRule type="expression" dxfId="337" priority="490">
      <formula>IF(OR(AND(F230="",G230="",OR(H230="Critical",H230="Major",H230="Minor"))),1,0)</formula>
    </cfRule>
  </conditionalFormatting>
  <conditionalFormatting sqref="F230">
    <cfRule type="expression" dxfId="336" priority="489">
      <formula>IF(AND(F230="",OR(E230="Accuracy",E230="Fluency",E230="Segment",E230="Other")),1,0)</formula>
    </cfRule>
  </conditionalFormatting>
  <conditionalFormatting sqref="G230">
    <cfRule type="expression" dxfId="335" priority="491">
      <formula>IF(AND(OR(G230="",#REF!="Segment"),OR(#REF!="Accuracy",#REF!="Fluency",#REF!="Other")),1,0)</formula>
    </cfRule>
  </conditionalFormatting>
  <conditionalFormatting sqref="E233:G233">
    <cfRule type="expression" dxfId="334" priority="487">
      <formula>IF(OR(AND(E233="",F233="",OR(G233="Critical",G233="Major",G233="Minor"))),1,0)</formula>
    </cfRule>
  </conditionalFormatting>
  <conditionalFormatting sqref="F233">
    <cfRule type="expression" dxfId="333" priority="486">
      <formula>IF(AND(F233="",OR(E233="Accuracy",E233="Fluency",E233="Segment",E233="Other")),1,0)</formula>
    </cfRule>
  </conditionalFormatting>
  <conditionalFormatting sqref="G233">
    <cfRule type="expression" dxfId="332" priority="488">
      <formula>IF(AND(OR(G233="",#REF!="Segment"),OR(#REF!="Accuracy",#REF!="Fluency",#REF!="Other")),1,0)</formula>
    </cfRule>
  </conditionalFormatting>
  <conditionalFormatting sqref="G232">
    <cfRule type="expression" dxfId="331" priority="483">
      <formula>IF(AND(OR(G232="",#REF!="Segment"),OR(#REF!="Accuracy",#REF!="Fluency",#REF!="Other")),1,0)</formula>
    </cfRule>
  </conditionalFormatting>
  <conditionalFormatting sqref="G232">
    <cfRule type="expression" dxfId="330" priority="484">
      <formula>IF(OR(AND(G232="",#REF!="",OR(I232="Critical",I232="Major",I232="Minor"))),1,0)</formula>
    </cfRule>
  </conditionalFormatting>
  <conditionalFormatting sqref="E235:E236 G235:G236">
    <cfRule type="expression" dxfId="329" priority="479">
      <formula>IF(OR(AND(E235="",F235="",OR(G235="Critical",G235="Major",G235="Minor"))),1,0)</formula>
    </cfRule>
  </conditionalFormatting>
  <conditionalFormatting sqref="G235:G236">
    <cfRule type="expression" dxfId="328" priority="480">
      <formula>IF(AND(OR(G235="",#REF!="Segment"),OR(#REF!="Accuracy",#REF!="Fluency",#REF!="Other")),1,0)</formula>
    </cfRule>
  </conditionalFormatting>
  <conditionalFormatting sqref="G234">
    <cfRule type="expression" dxfId="327" priority="476">
      <formula>IF(OR(AND(G234="",H233="",OR(I234="Critical",I234="Major",I234="Minor"))),1,0)</formula>
    </cfRule>
  </conditionalFormatting>
  <conditionalFormatting sqref="G234">
    <cfRule type="expression" dxfId="326" priority="474">
      <formula>IF(AND(OR(G234="",#REF!="Segment"),OR(#REF!="Accuracy",#REF!="Fluency",#REF!="Other")),1,0)</formula>
    </cfRule>
  </conditionalFormatting>
  <conditionalFormatting sqref="E237">
    <cfRule type="expression" dxfId="325" priority="470">
      <formula>IF(OR(AND(E237="",F237="",OR(G237="Critical",G237="Major",G237="Minor"))),1,0)</formula>
    </cfRule>
  </conditionalFormatting>
  <conditionalFormatting sqref="G237">
    <cfRule type="expression" dxfId="324" priority="471">
      <formula>IF(OR(AND(G237="",H236="",OR(I237="Critical",I237="Major",I237="Minor"))),1,0)</formula>
    </cfRule>
  </conditionalFormatting>
  <conditionalFormatting sqref="F237">
    <cfRule type="expression" dxfId="323" priority="472">
      <formula>IF(OR(AND(F237="",G237="",OR(H236="Critical",H236="Major",H236="Minor"))),1,0)</formula>
    </cfRule>
  </conditionalFormatting>
  <conditionalFormatting sqref="F237">
    <cfRule type="expression" dxfId="322" priority="468">
      <formula>IF(AND(F237="",OR(E237="Accuracy",E237="Fluency",E237="Segment",E237="Other")),1,0)</formula>
    </cfRule>
  </conditionalFormatting>
  <conditionalFormatting sqref="G237">
    <cfRule type="expression" dxfId="321" priority="469">
      <formula>IF(AND(OR(G237="",#REF!="Segment"),OR(#REF!="Accuracy",#REF!="Fluency",#REF!="Other")),1,0)</formula>
    </cfRule>
  </conditionalFormatting>
  <conditionalFormatting sqref="E238">
    <cfRule type="expression" dxfId="320" priority="465">
      <formula>IF(OR(AND(E238="",F238="",OR(G238="Critical",G238="Major",G238="Minor"))),1,0)</formula>
    </cfRule>
  </conditionalFormatting>
  <conditionalFormatting sqref="G238">
    <cfRule type="expression" dxfId="319" priority="466">
      <formula>IF(OR(AND(G238="",H237="",OR(I238="Critical",I238="Major",I238="Minor"))),1,0)</formula>
    </cfRule>
  </conditionalFormatting>
  <conditionalFormatting sqref="F238">
    <cfRule type="expression" dxfId="318" priority="467">
      <formula>IF(OR(AND(F238="",G238="",OR(H237="Critical",H237="Major",H237="Minor"))),1,0)</formula>
    </cfRule>
  </conditionalFormatting>
  <conditionalFormatting sqref="F238">
    <cfRule type="expression" dxfId="317" priority="463">
      <formula>IF(AND(F238="",OR(E238="Accuracy",E238="Fluency",E238="Segment",E238="Other")),1,0)</formula>
    </cfRule>
  </conditionalFormatting>
  <conditionalFormatting sqref="G238">
    <cfRule type="expression" dxfId="316" priority="464">
      <formula>IF(AND(OR(G238="",#REF!="Segment"),OR(#REF!="Accuracy",#REF!="Fluency",#REF!="Other")),1,0)</formula>
    </cfRule>
  </conditionalFormatting>
  <conditionalFormatting sqref="E243:G243">
    <cfRule type="expression" dxfId="315" priority="461">
      <formula>IF(OR(AND(E243="",F243="",OR(G243="Critical",G243="Major",G243="Minor"))),1,0)</formula>
    </cfRule>
  </conditionalFormatting>
  <conditionalFormatting sqref="F243">
    <cfRule type="expression" dxfId="314" priority="460">
      <formula>IF(AND(F243="",OR(E243="Accuracy",E243="Fluency",E243="Segment",E243="Other")),1,0)</formula>
    </cfRule>
  </conditionalFormatting>
  <conditionalFormatting sqref="G243">
    <cfRule type="expression" dxfId="313" priority="462">
      <formula>IF(AND(OR(G243="",#REF!="Segment"),OR(#REF!="Accuracy",#REF!="Fluency",#REF!="Other")),1,0)</formula>
    </cfRule>
  </conditionalFormatting>
  <conditionalFormatting sqref="E244:G244">
    <cfRule type="expression" dxfId="312" priority="458">
      <formula>IF(OR(AND(E244="",F244="",OR(G244="Critical",G244="Major",G244="Minor"))),1,0)</formula>
    </cfRule>
  </conditionalFormatting>
  <conditionalFormatting sqref="F244">
    <cfRule type="expression" dxfId="311" priority="457">
      <formula>IF(AND(F244="",OR(E244="Accuracy",E244="Fluency",E244="Segment",E244="Other")),1,0)</formula>
    </cfRule>
  </conditionalFormatting>
  <conditionalFormatting sqref="G244">
    <cfRule type="expression" dxfId="310" priority="459">
      <formula>IF(AND(OR(G244="",#REF!="Segment"),OR(#REF!="Accuracy",#REF!="Fluency",#REF!="Other")),1,0)</formula>
    </cfRule>
  </conditionalFormatting>
  <conditionalFormatting sqref="G245">
    <cfRule type="expression" dxfId="309" priority="455">
      <formula>IF(OR(AND(G245="",H245="",OR(I245="Critical",I245="Major",I245="Minor"))),1,0)</formula>
    </cfRule>
  </conditionalFormatting>
  <conditionalFormatting sqref="G245">
    <cfRule type="expression" dxfId="308" priority="456">
      <formula>IF(AND(OR(G245="",#REF!="Segment"),OR(#REF!="Accuracy",#REF!="Fluency",#REF!="Other")),1,0)</formula>
    </cfRule>
  </conditionalFormatting>
  <conditionalFormatting sqref="E246:G246">
    <cfRule type="expression" dxfId="307" priority="452">
      <formula>IF(OR(AND(E246="",F246="",OR(G246="Critical",G246="Major",G246="Minor"))),1,0)</formula>
    </cfRule>
  </conditionalFormatting>
  <conditionalFormatting sqref="F246">
    <cfRule type="expression" dxfId="306" priority="451">
      <formula>IF(AND(F246="",OR(E246="Accuracy",E246="Fluency",E246="Segment",E246="Other")),1,0)</formula>
    </cfRule>
  </conditionalFormatting>
  <conditionalFormatting sqref="G246">
    <cfRule type="expression" dxfId="305" priority="453">
      <formula>IF(AND(OR(G246="",#REF!="Segment"),OR(#REF!="Accuracy",#REF!="Fluency",#REF!="Other")),1,0)</formula>
    </cfRule>
  </conditionalFormatting>
  <conditionalFormatting sqref="E247:G247">
    <cfRule type="expression" dxfId="304" priority="449">
      <formula>IF(OR(AND(E247="",F247="",OR(G247="Critical",G247="Major",G247="Minor"))),1,0)</formula>
    </cfRule>
  </conditionalFormatting>
  <conditionalFormatting sqref="F247">
    <cfRule type="expression" dxfId="303" priority="448">
      <formula>IF(AND(F247="",OR(E247="Accuracy",E247="Fluency",E247="Segment",E247="Other")),1,0)</formula>
    </cfRule>
  </conditionalFormatting>
  <conditionalFormatting sqref="G247">
    <cfRule type="expression" dxfId="302" priority="450">
      <formula>IF(AND(OR(G247="",#REF!="Segment"),OR(#REF!="Accuracy",#REF!="Fluency",#REF!="Other")),1,0)</formula>
    </cfRule>
  </conditionalFormatting>
  <conditionalFormatting sqref="G248">
    <cfRule type="expression" dxfId="301" priority="446">
      <formula>IF(OR(AND(G248="",H248="",OR(I248="Critical",I248="Major",I248="Minor"))),1,0)</formula>
    </cfRule>
  </conditionalFormatting>
  <conditionalFormatting sqref="G248">
    <cfRule type="expression" dxfId="300" priority="447">
      <formula>IF(AND(OR(G248="",#REF!="Segment"),OR(#REF!="Accuracy",#REF!="Fluency",#REF!="Other")),1,0)</formula>
    </cfRule>
  </conditionalFormatting>
  <conditionalFormatting sqref="E249:G249">
    <cfRule type="expression" dxfId="299" priority="443">
      <formula>IF(OR(AND(E249="",F249="",OR(G249="Critical",G249="Major",G249="Minor"))),1,0)</formula>
    </cfRule>
  </conditionalFormatting>
  <conditionalFormatting sqref="F249">
    <cfRule type="expression" dxfId="298" priority="442">
      <formula>IF(AND(F249="",OR(E249="Accuracy",E249="Fluency",E249="Segment",E249="Other")),1,0)</formula>
    </cfRule>
  </conditionalFormatting>
  <conditionalFormatting sqref="G249">
    <cfRule type="expression" dxfId="297" priority="444">
      <formula>IF(AND(OR(G249="",#REF!="Segment"),OR(#REF!="Accuracy",#REF!="Fluency",#REF!="Other")),1,0)</formula>
    </cfRule>
  </conditionalFormatting>
  <conditionalFormatting sqref="E250:G250">
    <cfRule type="expression" dxfId="296" priority="440">
      <formula>IF(OR(AND(E250="",F250="",OR(G250="Critical",G250="Major",G250="Minor"))),1,0)</formula>
    </cfRule>
  </conditionalFormatting>
  <conditionalFormatting sqref="F250">
    <cfRule type="expression" dxfId="295" priority="439">
      <formula>IF(AND(F250="",OR(E250="Accuracy",E250="Fluency",E250="Segment",E250="Other")),1,0)</formula>
    </cfRule>
  </conditionalFormatting>
  <conditionalFormatting sqref="G250">
    <cfRule type="expression" dxfId="294" priority="441">
      <formula>IF(AND(OR(G250="",#REF!="Segment"),OR(#REF!="Accuracy",#REF!="Fluency",#REF!="Other")),1,0)</formula>
    </cfRule>
  </conditionalFormatting>
  <conditionalFormatting sqref="E252:G252">
    <cfRule type="expression" dxfId="293" priority="437">
      <formula>IF(OR(AND(E252="",F252="",OR(G252="Critical",G252="Major",G252="Minor"))),1,0)</formula>
    </cfRule>
  </conditionalFormatting>
  <conditionalFormatting sqref="F252">
    <cfRule type="expression" dxfId="292" priority="436">
      <formula>IF(AND(F252="",OR(E252="Accuracy",E252="Fluency",E252="Segment",E252="Other")),1,0)</formula>
    </cfRule>
  </conditionalFormatting>
  <conditionalFormatting sqref="G252">
    <cfRule type="expression" dxfId="291" priority="438">
      <formula>IF(AND(OR(G252="",#REF!="Segment"),OR(#REF!="Accuracy",#REF!="Fluency",#REF!="Other")),1,0)</formula>
    </cfRule>
  </conditionalFormatting>
  <conditionalFormatting sqref="E253:G253">
    <cfRule type="expression" dxfId="290" priority="434">
      <formula>IF(OR(AND(E253="",F253="",OR(G253="Critical",G253="Major",G253="Minor"))),1,0)</formula>
    </cfRule>
  </conditionalFormatting>
  <conditionalFormatting sqref="F253">
    <cfRule type="expression" dxfId="289" priority="433">
      <formula>IF(AND(F253="",OR(E253="Accuracy",E253="Fluency",E253="Segment",E253="Other")),1,0)</formula>
    </cfRule>
  </conditionalFormatting>
  <conditionalFormatting sqref="G253">
    <cfRule type="expression" dxfId="288" priority="435">
      <formula>IF(AND(OR(G253="",#REF!="Segment"),OR(#REF!="Accuracy",#REF!="Fluency",#REF!="Other")),1,0)</formula>
    </cfRule>
  </conditionalFormatting>
  <conditionalFormatting sqref="E255">
    <cfRule type="expression" dxfId="287" priority="429">
      <formula>IF(OR(AND(E255="",F255="",OR(G255="Critical",G255="Major",G255="Minor"))),1,0)</formula>
    </cfRule>
  </conditionalFormatting>
  <conditionalFormatting sqref="F255">
    <cfRule type="expression" dxfId="286" priority="428">
      <formula>IF(AND(F255="",OR(E255="Accuracy",E255="Fluency",E255="Segment",E255="Other")),1,0)</formula>
    </cfRule>
  </conditionalFormatting>
  <conditionalFormatting sqref="G255">
    <cfRule type="expression" dxfId="285" priority="430">
      <formula>IF(AND(OR(G255="",#REF!="Segment"),OR(#REF!="Accuracy",#REF!="Fluency",#REF!="Other")),1,0)</formula>
    </cfRule>
  </conditionalFormatting>
  <conditionalFormatting sqref="G255">
    <cfRule type="expression" dxfId="284" priority="431">
      <formula>IF(OR(AND(G255="",H254="",OR(I255="Critical",I255="Major",I255="Minor"))),1,0)</formula>
    </cfRule>
  </conditionalFormatting>
  <conditionalFormatting sqref="F255">
    <cfRule type="expression" dxfId="283" priority="432">
      <formula>IF(OR(AND(F255="",G255="",OR(H254="Critical",H254="Major",H254="Minor"))),1,0)</formula>
    </cfRule>
  </conditionalFormatting>
  <conditionalFormatting sqref="E256">
    <cfRule type="expression" dxfId="282" priority="424">
      <formula>IF(OR(AND(E256="",F256="",OR(G256="Critical",G256="Major",G256="Minor"))),1,0)</formula>
    </cfRule>
  </conditionalFormatting>
  <conditionalFormatting sqref="F256">
    <cfRule type="expression" dxfId="281" priority="423">
      <formula>IF(AND(F256="",OR(E256="Accuracy",E256="Fluency",E256="Segment",E256="Other")),1,0)</formula>
    </cfRule>
  </conditionalFormatting>
  <conditionalFormatting sqref="G256">
    <cfRule type="expression" dxfId="280" priority="425">
      <formula>IF(AND(OR(G256="",#REF!="Segment"),OR(#REF!="Accuracy",#REF!="Fluency",#REF!="Other")),1,0)</formula>
    </cfRule>
  </conditionalFormatting>
  <conditionalFormatting sqref="G256">
    <cfRule type="expression" dxfId="279" priority="426">
      <formula>IF(OR(AND(G256="",H255="",OR(I256="Critical",I256="Major",I256="Minor"))),1,0)</formula>
    </cfRule>
  </conditionalFormatting>
  <conditionalFormatting sqref="F256">
    <cfRule type="expression" dxfId="278" priority="427">
      <formula>IF(OR(AND(F256="",G256="",OR(H255="Critical",H255="Major",H255="Minor"))),1,0)</formula>
    </cfRule>
  </conditionalFormatting>
  <conditionalFormatting sqref="G257">
    <cfRule type="expression" dxfId="277" priority="421">
      <formula>IF(OR(AND(G257="",H257="",OR(I257="Critical",I257="Major",I257="Minor"))),1,0)</formula>
    </cfRule>
  </conditionalFormatting>
  <conditionalFormatting sqref="G257">
    <cfRule type="expression" dxfId="276" priority="422">
      <formula>IF(AND(OR(G257="",#REF!="Segment"),OR(#REF!="Accuracy",#REF!="Fluency",#REF!="Other")),1,0)</formula>
    </cfRule>
  </conditionalFormatting>
  <conditionalFormatting sqref="E258">
    <cfRule type="expression" dxfId="275" priority="416">
      <formula>IF(OR(AND(E258="",F258="",OR(G258="Critical",G258="Major",G258="Minor"))),1,0)</formula>
    </cfRule>
  </conditionalFormatting>
  <conditionalFormatting sqref="F258">
    <cfRule type="expression" dxfId="274" priority="415">
      <formula>IF(AND(F258="",OR(E258="Accuracy",E258="Fluency",E258="Segment",E258="Other")),1,0)</formula>
    </cfRule>
  </conditionalFormatting>
  <conditionalFormatting sqref="G258">
    <cfRule type="expression" dxfId="273" priority="417">
      <formula>IF(AND(OR(G258="",#REF!="Segment"),OR(#REF!="Accuracy",#REF!="Fluency",#REF!="Other")),1,0)</formula>
    </cfRule>
  </conditionalFormatting>
  <conditionalFormatting sqref="G258">
    <cfRule type="expression" dxfId="272" priority="418">
      <formula>IF(OR(AND(G258="",H257="",OR(I258="Critical",I258="Major",I258="Minor"))),1,0)</formula>
    </cfRule>
  </conditionalFormatting>
  <conditionalFormatting sqref="F258">
    <cfRule type="expression" dxfId="271" priority="419">
      <formula>IF(OR(AND(F258="",G258="",OR(H257="Critical",H257="Major",H257="Minor"))),1,0)</formula>
    </cfRule>
  </conditionalFormatting>
  <conditionalFormatting sqref="E259">
    <cfRule type="expression" dxfId="270" priority="411">
      <formula>IF(OR(AND(E259="",F259="",OR(G259="Critical",G259="Major",G259="Minor"))),1,0)</formula>
    </cfRule>
  </conditionalFormatting>
  <conditionalFormatting sqref="F259">
    <cfRule type="expression" dxfId="269" priority="410">
      <formula>IF(AND(F259="",OR(E259="Accuracy",E259="Fluency",E259="Segment",E259="Other")),1,0)</formula>
    </cfRule>
  </conditionalFormatting>
  <conditionalFormatting sqref="G259">
    <cfRule type="expression" dxfId="268" priority="412">
      <formula>IF(AND(OR(G259="",#REF!="Segment"),OR(#REF!="Accuracy",#REF!="Fluency",#REF!="Other")),1,0)</formula>
    </cfRule>
  </conditionalFormatting>
  <conditionalFormatting sqref="G259">
    <cfRule type="expression" dxfId="267" priority="413">
      <formula>IF(OR(AND(G259="",H258="",OR(I259="Critical",I259="Major",I259="Minor"))),1,0)</formula>
    </cfRule>
  </conditionalFormatting>
  <conditionalFormatting sqref="F259">
    <cfRule type="expression" dxfId="266" priority="414">
      <formula>IF(OR(AND(F259="",G259="",OR(H258="Critical",H258="Major",H258="Minor"))),1,0)</formula>
    </cfRule>
  </conditionalFormatting>
  <conditionalFormatting sqref="E263:G263">
    <cfRule type="expression" dxfId="265" priority="408">
      <formula>IF(OR(AND(E263="",F263="",OR(G263="Critical",G263="Major",G263="Minor"))),1,0)</formula>
    </cfRule>
  </conditionalFormatting>
  <conditionalFormatting sqref="F263">
    <cfRule type="expression" dxfId="264" priority="407">
      <formula>IF(AND(F263="",OR(E263="Accuracy",E263="Fluency",E263="Segment",E263="Other")),1,0)</formula>
    </cfRule>
  </conditionalFormatting>
  <conditionalFormatting sqref="G263">
    <cfRule type="expression" dxfId="263" priority="409">
      <formula>IF(AND(OR(G263="",#REF!="Segment"),OR(#REF!="Accuracy",#REF!="Fluency",#REF!="Other")),1,0)</formula>
    </cfRule>
  </conditionalFormatting>
  <conditionalFormatting sqref="E264:G264">
    <cfRule type="expression" dxfId="262" priority="405">
      <formula>IF(OR(AND(E264="",F264="",OR(G264="Critical",G264="Major",G264="Minor"))),1,0)</formula>
    </cfRule>
  </conditionalFormatting>
  <conditionalFormatting sqref="F264">
    <cfRule type="expression" dxfId="261" priority="404">
      <formula>IF(AND(F264="",OR(E264="Accuracy",E264="Fluency",E264="Segment",E264="Other")),1,0)</formula>
    </cfRule>
  </conditionalFormatting>
  <conditionalFormatting sqref="G264">
    <cfRule type="expression" dxfId="260" priority="406">
      <formula>IF(AND(OR(G264="",#REF!="Segment"),OR(#REF!="Accuracy",#REF!="Fluency",#REF!="Other")),1,0)</formula>
    </cfRule>
  </conditionalFormatting>
  <conditionalFormatting sqref="E265:G265">
    <cfRule type="expression" dxfId="259" priority="402">
      <formula>IF(OR(AND(E265="",F265="",OR(G265="Critical",G265="Major",G265="Minor"))),1,0)</formula>
    </cfRule>
  </conditionalFormatting>
  <conditionalFormatting sqref="F265">
    <cfRule type="expression" dxfId="258" priority="401">
      <formula>IF(AND(F265="",OR(E265="Accuracy",E265="Fluency",E265="Segment",E265="Other")),1,0)</formula>
    </cfRule>
  </conditionalFormatting>
  <conditionalFormatting sqref="G265">
    <cfRule type="expression" dxfId="257" priority="403">
      <formula>IF(AND(OR(G265="",#REF!="Segment"),OR(#REF!="Accuracy",#REF!="Fluency",#REF!="Other")),1,0)</formula>
    </cfRule>
  </conditionalFormatting>
  <conditionalFormatting sqref="E348:G349 E315:G319 E301:G302 E299:E300 E294 G295:G298 E292:G293 E280:G281 E277 E268:G271 E274:G275 G272:G273 E284:G285 G282:G283 E287:G287 G286 G291 E304:G306 G303 E308:E309 E323:G324 G320:G322 E327:G329 G325:G326 E331:G333 G330 E267 G266:G267 E279 G276:G279 E288:E289 G288 G307:G308">
    <cfRule type="expression" dxfId="256" priority="295">
      <formula>IF(OR(AND(E266="",F266="",OR(G266="Critical",G266="Major",G266="Minor"))),1,0)</formula>
    </cfRule>
  </conditionalFormatting>
  <conditionalFormatting sqref="F348:F349 F268:F271 F315:F319 F274:F275 F280:F281 F284:F285 F287 F289 F292:F293 F299:F302 F304:F306 F323:F324 F327:F329 F331:F333">
    <cfRule type="expression" dxfId="255" priority="294">
      <formula>IF(AND(F268="",OR(E268="Accuracy",E268="Fluency",E268="Segment",E268="Other")),1,0)</formula>
    </cfRule>
  </conditionalFormatting>
  <conditionalFormatting sqref="H266:H268">
    <cfRule type="expression" dxfId="254" priority="296">
      <formula>IF(OR(AND(H266="",J266="",OR(#REF!="Critical",#REF!="Major",#REF!="Minor"))),1,0)</formula>
    </cfRule>
  </conditionalFormatting>
  <conditionalFormatting sqref="G347:G349 G323 G316:G317 G301 G292 G280:G283 G276:G277 G272:G274 G266:G269">
    <cfRule type="expression" dxfId="253" priority="297">
      <formula>IF(AND(OR(G266="",#REF!="Segment"),OR(#REF!="Accuracy",#REF!="Fluency",#REF!="Other")),1,0)</formula>
    </cfRule>
  </conditionalFormatting>
  <conditionalFormatting sqref="G270">
    <cfRule type="expression" dxfId="252" priority="293">
      <formula>IF(AND(OR(G270="",#REF!="Segment"),OR(#REF!="Accuracy",#REF!="Fluency",#REF!="Other")),1,0)</formula>
    </cfRule>
  </conditionalFormatting>
  <conditionalFormatting sqref="G271">
    <cfRule type="expression" dxfId="251" priority="292">
      <formula>IF(AND(OR(G271="",#REF!="Segment"),OR(#REF!="Accuracy",#REF!="Fluency",#REF!="Other")),1,0)</formula>
    </cfRule>
  </conditionalFormatting>
  <conditionalFormatting sqref="G275">
    <cfRule type="expression" dxfId="250" priority="291">
      <formula>IF(AND(OR(G275="",#REF!="Segment"),OR(#REF!="Accuracy",#REF!="Fluency",#REF!="Other")),1,0)</formula>
    </cfRule>
  </conditionalFormatting>
  <conditionalFormatting sqref="G279">
    <cfRule type="expression" dxfId="249" priority="289">
      <formula>IF(AND(OR(G279="",#REF!="Segment"),OR(#REF!="Accuracy",#REF!="Fluency",#REF!="Other")),1,0)</formula>
    </cfRule>
  </conditionalFormatting>
  <conditionalFormatting sqref="H279">
    <cfRule type="expression" dxfId="248" priority="290">
      <formula>IF(OR(AND(H279="",F279="",OR(G279="Critical",G279="Major",G279="Minor"))),1,0)</formula>
    </cfRule>
  </conditionalFormatting>
  <conditionalFormatting sqref="G278">
    <cfRule type="expression" dxfId="247" priority="288">
      <formula>IF(AND(OR(G278="",#REF!="Segment"),OR(#REF!="Accuracy",#REF!="Fluency",#REF!="Other")),1,0)</formula>
    </cfRule>
  </conditionalFormatting>
  <conditionalFormatting sqref="G284">
    <cfRule type="expression" dxfId="246" priority="287">
      <formula>IF(AND(OR(G284="",#REF!="Segment"),OR(#REF!="Accuracy",#REF!="Fluency",#REF!="Other")),1,0)</formula>
    </cfRule>
  </conditionalFormatting>
  <conditionalFormatting sqref="G285">
    <cfRule type="expression" dxfId="245" priority="286">
      <formula>IF(AND(OR(G285="",#REF!="Segment"),OR(#REF!="Accuracy",#REF!="Fluency",#REF!="Other")),1,0)</formula>
    </cfRule>
  </conditionalFormatting>
  <conditionalFormatting sqref="G286">
    <cfRule type="expression" dxfId="244" priority="285">
      <formula>IF(AND(OR(G286="",#REF!="Segment"),OR(#REF!="Accuracy",#REF!="Fluency",#REF!="Other")),1,0)</formula>
    </cfRule>
  </conditionalFormatting>
  <conditionalFormatting sqref="G287:G288">
    <cfRule type="expression" dxfId="243" priority="284">
      <formula>IF(AND(OR(G287="",#REF!="Segment"),OR(#REF!="Accuracy",#REF!="Fluency",#REF!="Other")),1,0)</formula>
    </cfRule>
  </conditionalFormatting>
  <conditionalFormatting sqref="G309 G289:G290 G313:G314">
    <cfRule type="expression" dxfId="242" priority="282">
      <formula>IF(OR(AND(G289="",#REF!="",OR(I289="Critical",I289="Major",I289="Minor"))),1,0)</formula>
    </cfRule>
  </conditionalFormatting>
  <conditionalFormatting sqref="F289">
    <cfRule type="expression" dxfId="241" priority="283">
      <formula>IF(OR(AND(F289="",G289="",OR(#REF!="Critical",#REF!="Major",#REF!="Minor"))),1,0)</formula>
    </cfRule>
  </conditionalFormatting>
  <conditionalFormatting sqref="G289">
    <cfRule type="expression" dxfId="240" priority="281">
      <formula>IF(AND(OR(G289="",#REF!="Segment"),OR(#REF!="Accuracy",#REF!="Fluency",#REF!="Other")),1,0)</formula>
    </cfRule>
  </conditionalFormatting>
  <conditionalFormatting sqref="G290">
    <cfRule type="expression" dxfId="239" priority="280">
      <formula>IF(AND(OR(G290="",#REF!="Segment"),OR(#REF!="Accuracy",#REF!="Fluency",#REF!="Other")),1,0)</formula>
    </cfRule>
  </conditionalFormatting>
  <conditionalFormatting sqref="G291">
    <cfRule type="expression" dxfId="238" priority="279">
      <formula>IF(AND(OR(G291="",#REF!="Segment"),OR(#REF!="Accuracy",#REF!="Fluency",#REF!="Other")),1,0)</formula>
    </cfRule>
  </conditionalFormatting>
  <conditionalFormatting sqref="G294">
    <cfRule type="expression" dxfId="237" priority="276">
      <formula>IF(AND(OR(G294="",#REF!="Segment"),OR(#REF!="Accuracy",#REF!="Fluency",#REF!="Other")),1,0)</formula>
    </cfRule>
  </conditionalFormatting>
  <conditionalFormatting sqref="G295:G296">
    <cfRule type="expression" dxfId="236" priority="275">
      <formula>IF(AND(OR(G295="",#REF!="Segment"),OR(#REF!="Accuracy",#REF!="Fluency",#REF!="Other")),1,0)</formula>
    </cfRule>
  </conditionalFormatting>
  <conditionalFormatting sqref="F299:F300">
    <cfRule type="expression" dxfId="235" priority="277">
      <formula>IF(OR(AND(F299="",G299="",OR(H298="Critical",H298="Major",H298="Minor"))),1,0)</formula>
    </cfRule>
  </conditionalFormatting>
  <conditionalFormatting sqref="G294">
    <cfRule type="expression" dxfId="234" priority="278">
      <formula>IF(OR(AND(G294="",H293="",OR(I293="Critical",I293="Major",I293="Minor"))),1,0)</formula>
    </cfRule>
  </conditionalFormatting>
  <conditionalFormatting sqref="G293">
    <cfRule type="expression" dxfId="233" priority="274">
      <formula>IF(AND(OR(G293="",#REF!="Segment"),OR(#REF!="Accuracy",#REF!="Fluency",#REF!="Other")),1,0)</formula>
    </cfRule>
  </conditionalFormatting>
  <conditionalFormatting sqref="G297">
    <cfRule type="expression" dxfId="232" priority="273">
      <formula>IF(AND(OR(G297="",#REF!="Segment"),OR(#REF!="Accuracy",#REF!="Fluency",#REF!="Other")),1,0)</formula>
    </cfRule>
  </conditionalFormatting>
  <conditionalFormatting sqref="G347 G299:G300">
    <cfRule type="expression" dxfId="231" priority="272">
      <formula>IF(OR(AND(G299="",H298="",OR(I299="Critical",I299="Major",I299="Minor"))),1,0)</formula>
    </cfRule>
  </conditionalFormatting>
  <conditionalFormatting sqref="G298">
    <cfRule type="expression" dxfId="230" priority="271">
      <formula>IF(AND(OR(G298="",#REF!="Segment"),OR(#REF!="Accuracy",#REF!="Fluency",#REF!="Other")),1,0)</formula>
    </cfRule>
  </conditionalFormatting>
  <conditionalFormatting sqref="G299">
    <cfRule type="expression" dxfId="229" priority="270">
      <formula>IF(AND(OR(G299="",#REF!="Segment"),OR(#REF!="Accuracy",#REF!="Fluency",#REF!="Other")),1,0)</formula>
    </cfRule>
  </conditionalFormatting>
  <conditionalFormatting sqref="G300">
    <cfRule type="expression" dxfId="228" priority="269">
      <formula>IF(AND(OR(G300="",#REF!="Segment"),OR(#REF!="Accuracy",#REF!="Fluency",#REF!="Other")),1,0)</formula>
    </cfRule>
  </conditionalFormatting>
  <conditionalFormatting sqref="G302">
    <cfRule type="expression" dxfId="227" priority="268">
      <formula>IF(AND(OR(G302="",#REF!="Segment"),OR(#REF!="Accuracy",#REF!="Fluency",#REF!="Other")),1,0)</formula>
    </cfRule>
  </conditionalFormatting>
  <conditionalFormatting sqref="G303">
    <cfRule type="expression" dxfId="226" priority="267">
      <formula>IF(AND(OR(G303="",#REF!="Segment"),OR(#REF!="Accuracy",#REF!="Fluency",#REF!="Other")),1,0)</formula>
    </cfRule>
  </conditionalFormatting>
  <conditionalFormatting sqref="G304:G305">
    <cfRule type="expression" dxfId="225" priority="266">
      <formula>IF(AND(OR(G304="",#REF!="Segment"),OR(#REF!="Accuracy",#REF!="Fluency",#REF!="Other")),1,0)</formula>
    </cfRule>
  </conditionalFormatting>
  <conditionalFormatting sqref="G306">
    <cfRule type="expression" dxfId="224" priority="265">
      <formula>IF(AND(OR(G306="",#REF!="Segment"),OR(#REF!="Accuracy",#REF!="Fluency",#REF!="Other")),1,0)</formula>
    </cfRule>
  </conditionalFormatting>
  <conditionalFormatting sqref="G308">
    <cfRule type="expression" dxfId="223" priority="264">
      <formula>IF(AND(OR(G308="",#REF!="Segment"),OR(#REF!="Accuracy",#REF!="Fluency",#REF!="Other")),1,0)</formula>
    </cfRule>
  </conditionalFormatting>
  <conditionalFormatting sqref="G307">
    <cfRule type="expression" dxfId="222" priority="263">
      <formula>IF(AND(OR(G307="",#REF!="Segment"),OR(#REF!="Accuracy",#REF!="Fluency",#REF!="Other")),1,0)</formula>
    </cfRule>
  </conditionalFormatting>
  <conditionalFormatting sqref="G309">
    <cfRule type="expression" dxfId="221" priority="262">
      <formula>IF(AND(OR(G309="",#REF!="Segment"),OR(#REF!="Accuracy",#REF!="Fluency",#REF!="Other")),1,0)</formula>
    </cfRule>
  </conditionalFormatting>
  <conditionalFormatting sqref="G314">
    <cfRule type="expression" dxfId="220" priority="261">
      <formula>IF(AND(OR(G314="",#REF!="Segment"),OR(#REF!="Accuracy",#REF!="Fluency",#REF!="Other")),1,0)</formula>
    </cfRule>
  </conditionalFormatting>
  <conditionalFormatting sqref="G315">
    <cfRule type="expression" dxfId="219" priority="260">
      <formula>IF(AND(OR(G315="",#REF!="Segment"),OR(#REF!="Accuracy",#REF!="Fluency",#REF!="Other")),1,0)</formula>
    </cfRule>
  </conditionalFormatting>
  <conditionalFormatting sqref="G318">
    <cfRule type="expression" dxfId="218" priority="259">
      <formula>IF(AND(OR(G318="",#REF!="Segment"),OR(#REF!="Accuracy",#REF!="Fluency",#REF!="Other")),1,0)</formula>
    </cfRule>
  </conditionalFormatting>
  <conditionalFormatting sqref="G319">
    <cfRule type="expression" dxfId="217" priority="258">
      <formula>IF(AND(OR(G319="",#REF!="Segment"),OR(#REF!="Accuracy",#REF!="Fluency",#REF!="Other")),1,0)</formula>
    </cfRule>
  </conditionalFormatting>
  <conditionalFormatting sqref="G320">
    <cfRule type="expression" dxfId="216" priority="257">
      <formula>IF(AND(OR(G320="",#REF!="Segment"),OR(#REF!="Accuracy",#REF!="Fluency",#REF!="Other")),1,0)</formula>
    </cfRule>
  </conditionalFormatting>
  <conditionalFormatting sqref="G321">
    <cfRule type="expression" dxfId="215" priority="256">
      <formula>IF(AND(OR(G321="",#REF!="Segment"),OR(#REF!="Accuracy",#REF!="Fluency",#REF!="Other")),1,0)</formula>
    </cfRule>
  </conditionalFormatting>
  <conditionalFormatting sqref="G324">
    <cfRule type="expression" dxfId="214" priority="255">
      <formula>IF(AND(OR(G324="",#REF!="Segment"),OR(#REF!="Accuracy",#REF!="Fluency",#REF!="Other")),1,0)</formula>
    </cfRule>
  </conditionalFormatting>
  <conditionalFormatting sqref="G322">
    <cfRule type="expression" dxfId="213" priority="254">
      <formula>IF(AND(OR(G322="",#REF!="Segment"),OR(#REF!="Accuracy",#REF!="Fluency",#REF!="Other")),1,0)</formula>
    </cfRule>
  </conditionalFormatting>
  <conditionalFormatting sqref="G325:G326">
    <cfRule type="expression" dxfId="212" priority="253">
      <formula>IF(AND(OR(G325="",#REF!="Segment"),OR(#REF!="Accuracy",#REF!="Fluency",#REF!="Other")),1,0)</formula>
    </cfRule>
  </conditionalFormatting>
  <conditionalFormatting sqref="G327">
    <cfRule type="expression" dxfId="211" priority="252">
      <formula>IF(AND(OR(G327="",#REF!="Segment"),OR(#REF!="Accuracy",#REF!="Fluency",#REF!="Other")),1,0)</formula>
    </cfRule>
  </conditionalFormatting>
  <conditionalFormatting sqref="G328">
    <cfRule type="expression" dxfId="210" priority="251">
      <formula>IF(AND(OR(G328="",#REF!="Segment"),OR(#REF!="Accuracy",#REF!="Fluency",#REF!="Other")),1,0)</formula>
    </cfRule>
  </conditionalFormatting>
  <conditionalFormatting sqref="G329">
    <cfRule type="expression" dxfId="209" priority="250">
      <formula>IF(AND(OR(G329="",#REF!="Segment"),OR(#REF!="Accuracy",#REF!="Fluency",#REF!="Other")),1,0)</formula>
    </cfRule>
  </conditionalFormatting>
  <conditionalFormatting sqref="G331">
    <cfRule type="expression" dxfId="208" priority="249">
      <formula>IF(AND(OR(G331="",#REF!="Segment"),OR(#REF!="Accuracy",#REF!="Fluency",#REF!="Other")),1,0)</formula>
    </cfRule>
  </conditionalFormatting>
  <conditionalFormatting sqref="G330">
    <cfRule type="expression" dxfId="207" priority="248">
      <formula>IF(AND(OR(G330="",#REF!="Segment"),OR(#REF!="Accuracy",#REF!="Fluency",#REF!="Other")),1,0)</formula>
    </cfRule>
  </conditionalFormatting>
  <conditionalFormatting sqref="G332">
    <cfRule type="expression" dxfId="206" priority="247">
      <formula>IF(AND(OR(G332="",#REF!="Segment"),OR(#REF!="Accuracy",#REF!="Fluency",#REF!="Other")),1,0)</formula>
    </cfRule>
  </conditionalFormatting>
  <conditionalFormatting sqref="G333">
    <cfRule type="expression" dxfId="205" priority="246">
      <formula>IF(AND(OR(G333="",#REF!="Segment"),OR(#REF!="Accuracy",#REF!="Fluency",#REF!="Other")),1,0)</formula>
    </cfRule>
  </conditionalFormatting>
  <conditionalFormatting sqref="G334">
    <cfRule type="expression" dxfId="204" priority="243">
      <formula>IF(AND(OR(G334="",#REF!="Segment"),OR(#REF!="Accuracy",#REF!="Fluency",#REF!="Other")),1,0)</formula>
    </cfRule>
  </conditionalFormatting>
  <conditionalFormatting sqref="E335">
    <cfRule type="expression" dxfId="203" priority="237">
      <formula>IF(OR(AND(E335="",F335="",OR(G335="Critical",G335="Major",G335="Minor"))),1,0)</formula>
    </cfRule>
  </conditionalFormatting>
  <conditionalFormatting sqref="F335">
    <cfRule type="expression" dxfId="202" priority="236">
      <formula>IF(AND(F335="",OR(E335="Accuracy",E335="Fluency",E335="Segment",E335="Other")),1,0)</formula>
    </cfRule>
  </conditionalFormatting>
  <conditionalFormatting sqref="G335">
    <cfRule type="expression" dxfId="201" priority="238">
      <formula>IF(AND(OR(G335="",#REF!="Segment"),OR(#REF!="Accuracy",#REF!="Fluency",#REF!="Other")),1,0)</formula>
    </cfRule>
  </conditionalFormatting>
  <conditionalFormatting sqref="G335">
    <cfRule type="expression" dxfId="200" priority="239">
      <formula>IF(OR(AND(G335="",H334="",OR(I335="Critical",I335="Major",I335="Minor"))),1,0)</formula>
    </cfRule>
  </conditionalFormatting>
  <conditionalFormatting sqref="F335">
    <cfRule type="expression" dxfId="199" priority="240">
      <formula>IF(OR(AND(F335="",G335="",OR(H334="Critical",H334="Major",H334="Minor"))),1,0)</formula>
    </cfRule>
  </conditionalFormatting>
  <conditionalFormatting sqref="E336">
    <cfRule type="expression" dxfId="198" priority="232">
      <formula>IF(OR(AND(E336="",F336="",OR(G336="Critical",G336="Major",G336="Minor"))),1,0)</formula>
    </cfRule>
  </conditionalFormatting>
  <conditionalFormatting sqref="F336">
    <cfRule type="expression" dxfId="197" priority="231">
      <formula>IF(AND(F336="",OR(E336="Accuracy",E336="Fluency",E336="Segment",E336="Other")),1,0)</formula>
    </cfRule>
  </conditionalFormatting>
  <conditionalFormatting sqref="G336">
    <cfRule type="expression" dxfId="196" priority="233">
      <formula>IF(AND(OR(G336="",#REF!="Segment"),OR(#REF!="Accuracy",#REF!="Fluency",#REF!="Other")),1,0)</formula>
    </cfRule>
  </conditionalFormatting>
  <conditionalFormatting sqref="G336">
    <cfRule type="expression" dxfId="195" priority="234">
      <formula>IF(OR(AND(G336="",H335="",OR(I336="Critical",I336="Major",I336="Minor"))),1,0)</formula>
    </cfRule>
  </conditionalFormatting>
  <conditionalFormatting sqref="F336">
    <cfRule type="expression" dxfId="194" priority="235">
      <formula>IF(OR(AND(F336="",G336="",OR(H335="Critical",H335="Major",H335="Minor"))),1,0)</formula>
    </cfRule>
  </conditionalFormatting>
  <conditionalFormatting sqref="E337">
    <cfRule type="expression" dxfId="193" priority="227">
      <formula>IF(OR(AND(E337="",F337="",OR(G337="Critical",G337="Major",G337="Minor"))),1,0)</formula>
    </cfRule>
  </conditionalFormatting>
  <conditionalFormatting sqref="F337">
    <cfRule type="expression" dxfId="192" priority="226">
      <formula>IF(AND(F337="",OR(E337="Accuracy",E337="Fluency",E337="Segment",E337="Other")),1,0)</formula>
    </cfRule>
  </conditionalFormatting>
  <conditionalFormatting sqref="G337">
    <cfRule type="expression" dxfId="191" priority="228">
      <formula>IF(AND(OR(G337="",#REF!="Segment"),OR(#REF!="Accuracy",#REF!="Fluency",#REF!="Other")),1,0)</formula>
    </cfRule>
  </conditionalFormatting>
  <conditionalFormatting sqref="G337">
    <cfRule type="expression" dxfId="190" priority="229">
      <formula>IF(OR(AND(G337="",H336="",OR(I337="Critical",I337="Major",I337="Minor"))),1,0)</formula>
    </cfRule>
  </conditionalFormatting>
  <conditionalFormatting sqref="F337">
    <cfRule type="expression" dxfId="189" priority="230">
      <formula>IF(OR(AND(F337="",G337="",OR(H336="Critical",H336="Major",H336="Minor"))),1,0)</formula>
    </cfRule>
  </conditionalFormatting>
  <conditionalFormatting sqref="E338 G338">
    <cfRule type="expression" dxfId="188" priority="224">
      <formula>IF(OR(AND(E338="",F338="",OR(G338="Critical",G338="Major",G338="Minor"))),1,0)</formula>
    </cfRule>
  </conditionalFormatting>
  <conditionalFormatting sqref="G338">
    <cfRule type="expression" dxfId="187" priority="225">
      <formula>IF(AND(OR(G338="",#REF!="Segment"),OR(#REF!="Accuracy",#REF!="Fluency",#REF!="Other")),1,0)</formula>
    </cfRule>
  </conditionalFormatting>
  <conditionalFormatting sqref="E339:G339">
    <cfRule type="expression" dxfId="186" priority="221">
      <formula>IF(OR(AND(E339="",F339="",OR(G339="Critical",G339="Major",G339="Minor"))),1,0)</formula>
    </cfRule>
  </conditionalFormatting>
  <conditionalFormatting sqref="F339">
    <cfRule type="expression" dxfId="185" priority="220">
      <formula>IF(AND(F339="",OR(E339="Accuracy",E339="Fluency",E339="Segment",E339="Other")),1,0)</formula>
    </cfRule>
  </conditionalFormatting>
  <conditionalFormatting sqref="G339">
    <cfRule type="expression" dxfId="184" priority="222">
      <formula>IF(AND(OR(G339="",#REF!="Segment"),OR(#REF!="Accuracy",#REF!="Fluency",#REF!="Other")),1,0)</formula>
    </cfRule>
  </conditionalFormatting>
  <conditionalFormatting sqref="G340">
    <cfRule type="expression" dxfId="183" priority="217">
      <formula>IF(AND(OR(G340="",#REF!="Segment"),OR(#REF!="Accuracy",#REF!="Fluency",#REF!="Other")),1,0)</formula>
    </cfRule>
  </conditionalFormatting>
  <conditionalFormatting sqref="G340">
    <cfRule type="expression" dxfId="182" priority="218">
      <formula>IF(OR(AND(G340="",H339="",OR(I340="Critical",I340="Major",I340="Minor"))),1,0)</formula>
    </cfRule>
  </conditionalFormatting>
  <conditionalFormatting sqref="E341 G341">
    <cfRule type="expression" dxfId="181" priority="213">
      <formula>IF(OR(AND(E341="",F341="",OR(G341="Critical",G341="Major",G341="Minor"))),1,0)</formula>
    </cfRule>
  </conditionalFormatting>
  <conditionalFormatting sqref="G341">
    <cfRule type="expression" dxfId="180" priority="214">
      <formula>IF(AND(OR(G341="",#REF!="Segment"),OR(#REF!="Accuracy",#REF!="Fluency",#REF!="Other")),1,0)</formula>
    </cfRule>
  </conditionalFormatting>
  <conditionalFormatting sqref="G342">
    <cfRule type="expression" dxfId="179" priority="210">
      <formula>IF(OR(AND(G342="",H342="",OR(I342="Critical",I342="Major",I342="Minor"))),1,0)</formula>
    </cfRule>
  </conditionalFormatting>
  <conditionalFormatting sqref="G342">
    <cfRule type="expression" dxfId="178" priority="211">
      <formula>IF(AND(OR(G342="",#REF!="Segment"),OR(#REF!="Accuracy",#REF!="Fluency",#REF!="Other")),1,0)</formula>
    </cfRule>
  </conditionalFormatting>
  <conditionalFormatting sqref="E343:G343">
    <cfRule type="expression" dxfId="177" priority="207">
      <formula>IF(OR(AND(E343="",F343="",OR(G343="Critical",G343="Major",G343="Minor"))),1,0)</formula>
    </cfRule>
  </conditionalFormatting>
  <conditionalFormatting sqref="F343">
    <cfRule type="expression" dxfId="176" priority="206">
      <formula>IF(AND(F343="",OR(E343="Accuracy",E343="Fluency",E343="Segment",E343="Other")),1,0)</formula>
    </cfRule>
  </conditionalFormatting>
  <conditionalFormatting sqref="G343">
    <cfRule type="expression" dxfId="175" priority="208">
      <formula>IF(AND(OR(G343="",#REF!="Segment"),OR(#REF!="Accuracy",#REF!="Fluency",#REF!="Other")),1,0)</formula>
    </cfRule>
  </conditionalFormatting>
  <conditionalFormatting sqref="E344:G344">
    <cfRule type="expression" dxfId="174" priority="204">
      <formula>IF(OR(AND(E344="",F344="",OR(G344="Critical",G344="Major",G344="Minor"))),1,0)</formula>
    </cfRule>
  </conditionalFormatting>
  <conditionalFormatting sqref="F344">
    <cfRule type="expression" dxfId="173" priority="203">
      <formula>IF(AND(F344="",OR(E344="Accuracy",E344="Fluency",E344="Segment",E344="Other")),1,0)</formula>
    </cfRule>
  </conditionalFormatting>
  <conditionalFormatting sqref="G344">
    <cfRule type="expression" dxfId="172" priority="205">
      <formula>IF(AND(OR(G344="",#REF!="Segment"),OR(#REF!="Accuracy",#REF!="Fluency",#REF!="Other")),1,0)</formula>
    </cfRule>
  </conditionalFormatting>
  <conditionalFormatting sqref="G345">
    <cfRule type="expression" dxfId="171" priority="199">
      <formula>IF(AND(OR(G345="",#REF!="Segment"),OR(#REF!="Accuracy",#REF!="Fluency",#REF!="Other")),1,0)</formula>
    </cfRule>
  </conditionalFormatting>
  <conditionalFormatting sqref="G345">
    <cfRule type="expression" dxfId="170" priority="201">
      <formula>IF(OR(AND(G345="",H343="",OR(I343="Critical",I343="Major",I343="Minor"))),1,0)</formula>
    </cfRule>
  </conditionalFormatting>
  <conditionalFormatting sqref="E346:G346">
    <cfRule type="expression" dxfId="169" priority="196">
      <formula>IF(OR(AND(E346="",F346="",OR(G346="Critical",G346="Major",G346="Minor"))),1,0)</formula>
    </cfRule>
  </conditionalFormatting>
  <conditionalFormatting sqref="F346">
    <cfRule type="expression" dxfId="168" priority="195">
      <formula>IF(AND(F346="",OR(E346="Accuracy",E346="Fluency",E346="Segment",E346="Other")),1,0)</formula>
    </cfRule>
  </conditionalFormatting>
  <conditionalFormatting sqref="G346">
    <cfRule type="expression" dxfId="167" priority="197">
      <formula>IF(AND(OR(G346="",#REF!="Segment"),OR(#REF!="Accuracy",#REF!="Fluency",#REF!="Other")),1,0)</formula>
    </cfRule>
  </conditionalFormatting>
  <conditionalFormatting sqref="E393 E371:G371 E363:G364 E361:G361 E350:E351 E354:G355 G350:G353 E360 G360">
    <cfRule type="expression" dxfId="166" priority="192">
      <formula>IF(OR(AND(E350="",F350="",OR(G350="Critical",G350="Major",G350="Minor"))),1,0)</formula>
    </cfRule>
  </conditionalFormatting>
  <conditionalFormatting sqref="F393 F371 F363:F364 F361 F354:F355">
    <cfRule type="expression" dxfId="165" priority="191">
      <formula>IF(AND(F354="",OR(E354="Accuracy",E354="Fluency",E354="Segment",E354="Other")),1,0)</formula>
    </cfRule>
  </conditionalFormatting>
  <conditionalFormatting sqref="H350:H355">
    <cfRule type="expression" dxfId="164" priority="193">
      <formula>IF(OR(AND(H350="",J350="",OR(#REF!="Critical",#REF!="Major",#REF!="Minor"))),1,0)</formula>
    </cfRule>
  </conditionalFormatting>
  <conditionalFormatting sqref="G371 G363:G364 G360:G361 G350:G355">
    <cfRule type="expression" dxfId="163" priority="194">
      <formula>IF(AND(OR(G350="",#REF!="Segment"),OR(#REF!="Accuracy",#REF!="Fluency",#REF!="Other")),1,0)</formula>
    </cfRule>
  </conditionalFormatting>
  <conditionalFormatting sqref="E356:G356">
    <cfRule type="expression" dxfId="162" priority="188">
      <formula>IF(OR(AND(E356="",F356="",OR(G356="Critical",G356="Major",G356="Minor"))),1,0)</formula>
    </cfRule>
  </conditionalFormatting>
  <conditionalFormatting sqref="F356">
    <cfRule type="expression" dxfId="161" priority="187">
      <formula>IF(AND(F356="",OR(E356="Accuracy",E356="Fluency",E356="Segment",E356="Other")),1,0)</formula>
    </cfRule>
  </conditionalFormatting>
  <conditionalFormatting sqref="H356">
    <cfRule type="expression" dxfId="160" priority="189">
      <formula>IF(OR(AND(H356="",J356="",OR(#REF!="Critical",#REF!="Major",#REF!="Minor"))),1,0)</formula>
    </cfRule>
  </conditionalFormatting>
  <conditionalFormatting sqref="G356">
    <cfRule type="expression" dxfId="159" priority="190">
      <formula>IF(AND(OR(G356="",#REF!="Segment"),OR(#REF!="Accuracy",#REF!="Fluency",#REF!="Other")),1,0)</formula>
    </cfRule>
  </conditionalFormatting>
  <conditionalFormatting sqref="E357:G357">
    <cfRule type="expression" dxfId="158" priority="185">
      <formula>IF(OR(AND(E357="",F357="",OR(G357="Critical",G357="Major",G357="Minor"))),1,0)</formula>
    </cfRule>
  </conditionalFormatting>
  <conditionalFormatting sqref="F357">
    <cfRule type="expression" dxfId="157" priority="184">
      <formula>IF(AND(F357="",OR(E357="Accuracy",E357="Fluency",E357="Segment",E357="Other")),1,0)</formula>
    </cfRule>
  </conditionalFormatting>
  <conditionalFormatting sqref="G357">
    <cfRule type="expression" dxfId="156" priority="186">
      <formula>IF(AND(OR(G357="",#REF!="Segment"),OR(#REF!="Accuracy",#REF!="Fluency",#REF!="Other")),1,0)</formula>
    </cfRule>
  </conditionalFormatting>
  <conditionalFormatting sqref="E358:G358">
    <cfRule type="expression" dxfId="155" priority="182">
      <formula>IF(OR(AND(E358="",F358="",OR(G358="Critical",G358="Major",G358="Minor"))),1,0)</formula>
    </cfRule>
  </conditionalFormatting>
  <conditionalFormatting sqref="F358">
    <cfRule type="expression" dxfId="154" priority="181">
      <formula>IF(AND(F358="",OR(E358="Accuracy",E358="Fluency",E358="Segment",E358="Other")),1,0)</formula>
    </cfRule>
  </conditionalFormatting>
  <conditionalFormatting sqref="G358">
    <cfRule type="expression" dxfId="153" priority="183">
      <formula>IF(AND(OR(G358="",#REF!="Segment"),OR(#REF!="Accuracy",#REF!="Fluency",#REF!="Other")),1,0)</formula>
    </cfRule>
  </conditionalFormatting>
  <conditionalFormatting sqref="E359:G359">
    <cfRule type="expression" dxfId="152" priority="179">
      <formula>IF(OR(AND(E359="",F359="",OR(G359="Critical",G359="Major",G359="Minor"))),1,0)</formula>
    </cfRule>
  </conditionalFormatting>
  <conditionalFormatting sqref="F359">
    <cfRule type="expression" dxfId="151" priority="178">
      <formula>IF(AND(F359="",OR(E359="Accuracy",E359="Fluency",E359="Segment",E359="Other")),1,0)</formula>
    </cfRule>
  </conditionalFormatting>
  <conditionalFormatting sqref="G359">
    <cfRule type="expression" dxfId="150" priority="180">
      <formula>IF(AND(OR(G359="",#REF!="Segment"),OR(#REF!="Accuracy",#REF!="Fluency",#REF!="Other")),1,0)</formula>
    </cfRule>
  </conditionalFormatting>
  <conditionalFormatting sqref="G362">
    <cfRule type="expression" dxfId="149" priority="176">
      <formula>IF(OR(AND(G362="",H362="",OR(I362="Critical",I362="Major",I362="Minor"))),1,0)</formula>
    </cfRule>
  </conditionalFormatting>
  <conditionalFormatting sqref="G362">
    <cfRule type="expression" dxfId="148" priority="177">
      <formula>IF(AND(OR(G362="",#REF!="Segment"),OR(#REF!="Accuracy",#REF!="Fluency",#REF!="Other")),1,0)</formula>
    </cfRule>
  </conditionalFormatting>
  <conditionalFormatting sqref="E365:G365">
    <cfRule type="expression" dxfId="147" priority="173">
      <formula>IF(OR(AND(E365="",F365="",OR(G365="Critical",G365="Major",G365="Minor"))),1,0)</formula>
    </cfRule>
  </conditionalFormatting>
  <conditionalFormatting sqref="F365">
    <cfRule type="expression" dxfId="146" priority="172">
      <formula>IF(AND(F365="",OR(E365="Accuracy",E365="Fluency",E365="Segment",E365="Other")),1,0)</formula>
    </cfRule>
  </conditionalFormatting>
  <conditionalFormatting sqref="G365">
    <cfRule type="expression" dxfId="145" priority="174">
      <formula>IF(AND(OR(G365="",#REF!="Segment"),OR(#REF!="Accuracy",#REF!="Fluency",#REF!="Other")),1,0)</formula>
    </cfRule>
  </conditionalFormatting>
  <conditionalFormatting sqref="E366:G366">
    <cfRule type="expression" dxfId="144" priority="170">
      <formula>IF(OR(AND(E366="",F366="",OR(G366="Critical",G366="Major",G366="Minor"))),1,0)</formula>
    </cfRule>
  </conditionalFormatting>
  <conditionalFormatting sqref="F366">
    <cfRule type="expression" dxfId="143" priority="169">
      <formula>IF(AND(F366="",OR(E366="Accuracy",E366="Fluency",E366="Segment",E366="Other")),1,0)</formula>
    </cfRule>
  </conditionalFormatting>
  <conditionalFormatting sqref="G366">
    <cfRule type="expression" dxfId="142" priority="171">
      <formula>IF(AND(OR(G366="",#REF!="Segment"),OR(#REF!="Accuracy",#REF!="Fluency",#REF!="Other")),1,0)</formula>
    </cfRule>
  </conditionalFormatting>
  <conditionalFormatting sqref="G367">
    <cfRule type="expression" dxfId="141" priority="167">
      <formula>IF(OR(AND(G367="",H367="",OR(I367="Critical",I367="Major",I367="Minor"))),1,0)</formula>
    </cfRule>
  </conditionalFormatting>
  <conditionalFormatting sqref="G367">
    <cfRule type="expression" dxfId="140" priority="168">
      <formula>IF(AND(OR(G367="",#REF!="Segment"),OR(#REF!="Accuracy",#REF!="Fluency",#REF!="Other")),1,0)</formula>
    </cfRule>
  </conditionalFormatting>
  <conditionalFormatting sqref="E367:F367">
    <cfRule type="expression" dxfId="139" priority="166">
      <formula>IF(OR(AND(E367="",F367="",OR(G367="Critical",G367="Major",G367="Minor"))),1,0)</formula>
    </cfRule>
  </conditionalFormatting>
  <conditionalFormatting sqref="F367">
    <cfRule type="expression" dxfId="138" priority="165">
      <formula>IF(AND(F367="",OR(E367="Accuracy",E367="Fluency",E367="Segment",E367="Other")),1,0)</formula>
    </cfRule>
  </conditionalFormatting>
  <conditionalFormatting sqref="G369">
    <cfRule type="expression" dxfId="137" priority="163">
      <formula>IF(OR(AND(G369="",H369="",OR(I369="Critical",I369="Major",I369="Minor"))),1,0)</formula>
    </cfRule>
  </conditionalFormatting>
  <conditionalFormatting sqref="G369">
    <cfRule type="expression" dxfId="136" priority="164">
      <formula>IF(AND(OR(G369="",#REF!="Segment"),OR(#REF!="Accuracy",#REF!="Fluency",#REF!="Other")),1,0)</formula>
    </cfRule>
  </conditionalFormatting>
  <conditionalFormatting sqref="E369:F369">
    <cfRule type="expression" dxfId="135" priority="162">
      <formula>IF(OR(AND(E369="",F369="",OR(G369="Critical",G369="Major",G369="Minor"))),1,0)</formula>
    </cfRule>
  </conditionalFormatting>
  <conditionalFormatting sqref="F369">
    <cfRule type="expression" dxfId="134" priority="161">
      <formula>IF(AND(F369="",OR(E369="Accuracy",E369="Fluency",E369="Segment",E369="Other")),1,0)</formula>
    </cfRule>
  </conditionalFormatting>
  <conditionalFormatting sqref="E368 G368">
    <cfRule type="expression" dxfId="133" priority="159">
      <formula>IF(OR(AND(E368="",F368="",OR(G368="Critical",G368="Major",G368="Minor"))),1,0)</formula>
    </cfRule>
  </conditionalFormatting>
  <conditionalFormatting sqref="G368">
    <cfRule type="expression" dxfId="132" priority="160">
      <formula>IF(AND(OR(G368="",#REF!="Segment"),OR(#REF!="Accuracy",#REF!="Fluency",#REF!="Other")),1,0)</formula>
    </cfRule>
  </conditionalFormatting>
  <conditionalFormatting sqref="G370">
    <cfRule type="expression" dxfId="131" priority="156">
      <formula>IF(OR(AND(G370="",H370="",OR(I370="Critical",I370="Major",I370="Minor"))),1,0)</formula>
    </cfRule>
  </conditionalFormatting>
  <conditionalFormatting sqref="G370">
    <cfRule type="expression" dxfId="130" priority="157">
      <formula>IF(AND(OR(G370="",#REF!="Segment"),OR(#REF!="Accuracy",#REF!="Fluency",#REF!="Other")),1,0)</formula>
    </cfRule>
  </conditionalFormatting>
  <conditionalFormatting sqref="E372">
    <cfRule type="expression" dxfId="129" priority="152">
      <formula>IF(OR(AND(E372="",F372="",OR(G372="Critical",G372="Major",G372="Minor"))),1,0)</formula>
    </cfRule>
  </conditionalFormatting>
  <conditionalFormatting sqref="F372">
    <cfRule type="expression" dxfId="128" priority="150">
      <formula>IF(AND(F372="",OR(E372="Accuracy",E372="Fluency",E372="Segment",E372="Other")),1,0)</formula>
    </cfRule>
  </conditionalFormatting>
  <conditionalFormatting sqref="G372">
    <cfRule type="expression" dxfId="127" priority="151">
      <formula>IF(AND(OR(G372="",#REF!="Segment"),OR(#REF!="Accuracy",#REF!="Fluency",#REF!="Other")),1,0)</formula>
    </cfRule>
  </conditionalFormatting>
  <conditionalFormatting sqref="G372">
    <cfRule type="expression" dxfId="126" priority="153">
      <formula>IF(OR(AND(G372="",#REF!="",OR(I372="Critical",I372="Major",I372="Minor"))),1,0)</formula>
    </cfRule>
  </conditionalFormatting>
  <conditionalFormatting sqref="F372">
    <cfRule type="expression" dxfId="125" priority="154">
      <formula>IF(OR(AND(F372="",G372="",OR(#REF!="Critical",#REF!="Major",#REF!="Minor"))),1,0)</formula>
    </cfRule>
  </conditionalFormatting>
  <conditionalFormatting sqref="G373">
    <cfRule type="expression" dxfId="124" priority="148">
      <formula>IF(OR(AND(G373="",H373="",OR(I373="Critical",I373="Major",I373="Minor"))),1,0)</formula>
    </cfRule>
  </conditionalFormatting>
  <conditionalFormatting sqref="G373">
    <cfRule type="expression" dxfId="123" priority="149">
      <formula>IF(AND(OR(G373="",#REF!="Segment"),OR(#REF!="Accuracy",#REF!="Fluency",#REF!="Other")),1,0)</formula>
    </cfRule>
  </conditionalFormatting>
  <conditionalFormatting sqref="E374:G375">
    <cfRule type="expression" dxfId="122" priority="145">
      <formula>IF(OR(AND(E374="",F374="",OR(G374="Critical",G374="Major",G374="Minor"))),1,0)</formula>
    </cfRule>
  </conditionalFormatting>
  <conditionalFormatting sqref="F374:F375">
    <cfRule type="expression" dxfId="121" priority="144">
      <formula>IF(AND(F374="",OR(E374="Accuracy",E374="Fluency",E374="Segment",E374="Other")),1,0)</formula>
    </cfRule>
  </conditionalFormatting>
  <conditionalFormatting sqref="G374:G375">
    <cfRule type="expression" dxfId="120" priority="146">
      <formula>IF(AND(OR(G374="",#REF!="Segment"),OR(#REF!="Accuracy",#REF!="Fluency",#REF!="Other")),1,0)</formula>
    </cfRule>
  </conditionalFormatting>
  <conditionalFormatting sqref="E376:G376">
    <cfRule type="expression" dxfId="119" priority="142">
      <formula>IF(OR(AND(E376="",F376="",OR(G376="Critical",G376="Major",G376="Minor"))),1,0)</formula>
    </cfRule>
  </conditionalFormatting>
  <conditionalFormatting sqref="F376">
    <cfRule type="expression" dxfId="118" priority="141">
      <formula>IF(AND(F376="",OR(E376="Accuracy",E376="Fluency",E376="Segment",E376="Other")),1,0)</formula>
    </cfRule>
  </conditionalFormatting>
  <conditionalFormatting sqref="G376">
    <cfRule type="expression" dxfId="117" priority="143">
      <formula>IF(AND(OR(G376="",#REF!="Segment"),OR(#REF!="Accuracy",#REF!="Fluency",#REF!="Other")),1,0)</formula>
    </cfRule>
  </conditionalFormatting>
  <conditionalFormatting sqref="E377:G377">
    <cfRule type="expression" dxfId="116" priority="139">
      <formula>IF(OR(AND(E377="",F377="",OR(G377="Critical",G377="Major",G377="Minor"))),1,0)</formula>
    </cfRule>
  </conditionalFormatting>
  <conditionalFormatting sqref="F377">
    <cfRule type="expression" dxfId="115" priority="138">
      <formula>IF(AND(F377="",OR(E377="Accuracy",E377="Fluency",E377="Segment",E377="Other")),1,0)</formula>
    </cfRule>
  </conditionalFormatting>
  <conditionalFormatting sqref="G377">
    <cfRule type="expression" dxfId="114" priority="140">
      <formula>IF(AND(OR(G377="",#REF!="Segment"),OR(#REF!="Accuracy",#REF!="Fluency",#REF!="Other")),1,0)</formula>
    </cfRule>
  </conditionalFormatting>
  <conditionalFormatting sqref="E378:G378">
    <cfRule type="expression" dxfId="113" priority="136">
      <formula>IF(OR(AND(E378="",F378="",OR(G378="Critical",G378="Major",G378="Minor"))),1,0)</formula>
    </cfRule>
  </conditionalFormatting>
  <conditionalFormatting sqref="F378">
    <cfRule type="expression" dxfId="112" priority="135">
      <formula>IF(AND(F378="",OR(E378="Accuracy",E378="Fluency",E378="Segment",E378="Other")),1,0)</formula>
    </cfRule>
  </conditionalFormatting>
  <conditionalFormatting sqref="G378">
    <cfRule type="expression" dxfId="111" priority="137">
      <formula>IF(AND(OR(G378="",#REF!="Segment"),OR(#REF!="Accuracy",#REF!="Fluency",#REF!="Other")),1,0)</formula>
    </cfRule>
  </conditionalFormatting>
  <conditionalFormatting sqref="E379:G379">
    <cfRule type="expression" dxfId="110" priority="133">
      <formula>IF(OR(AND(E379="",F379="",OR(G379="Critical",G379="Major",G379="Minor"))),1,0)</formula>
    </cfRule>
  </conditionalFormatting>
  <conditionalFormatting sqref="F379">
    <cfRule type="expression" dxfId="109" priority="132">
      <formula>IF(AND(F379="",OR(E379="Accuracy",E379="Fluency",E379="Segment",E379="Other")),1,0)</formula>
    </cfRule>
  </conditionalFormatting>
  <conditionalFormatting sqref="G379">
    <cfRule type="expression" dxfId="108" priority="134">
      <formula>IF(AND(OR(G379="",#REF!="Segment"),OR(#REF!="Accuracy",#REF!="Fluency",#REF!="Other")),1,0)</formula>
    </cfRule>
  </conditionalFormatting>
  <conditionalFormatting sqref="E380:G380">
    <cfRule type="expression" dxfId="107" priority="130">
      <formula>IF(OR(AND(E380="",F380="",OR(G380="Critical",G380="Major",G380="Minor"))),1,0)</formula>
    </cfRule>
  </conditionalFormatting>
  <conditionalFormatting sqref="F380">
    <cfRule type="expression" dxfId="106" priority="129">
      <formula>IF(AND(F380="",OR(E380="Accuracy",E380="Fluency",E380="Segment",E380="Other")),1,0)</formula>
    </cfRule>
  </conditionalFormatting>
  <conditionalFormatting sqref="G380">
    <cfRule type="expression" dxfId="105" priority="131">
      <formula>IF(AND(OR(G380="",#REF!="Segment"),OR(#REF!="Accuracy",#REF!="Fluency",#REF!="Other")),1,0)</formula>
    </cfRule>
  </conditionalFormatting>
  <conditionalFormatting sqref="E381:G381">
    <cfRule type="expression" dxfId="104" priority="127">
      <formula>IF(OR(AND(E381="",F381="",OR(G381="Critical",G381="Major",G381="Minor"))),1,0)</formula>
    </cfRule>
  </conditionalFormatting>
  <conditionalFormatting sqref="F381">
    <cfRule type="expression" dxfId="103" priority="126">
      <formula>IF(AND(F381="",OR(E381="Accuracy",E381="Fluency",E381="Segment",E381="Other")),1,0)</formula>
    </cfRule>
  </conditionalFormatting>
  <conditionalFormatting sqref="G381">
    <cfRule type="expression" dxfId="102" priority="128">
      <formula>IF(AND(OR(G381="",#REF!="Segment"),OR(#REF!="Accuracy",#REF!="Fluency",#REF!="Other")),1,0)</formula>
    </cfRule>
  </conditionalFormatting>
  <conditionalFormatting sqref="E382:G382">
    <cfRule type="expression" dxfId="101" priority="124">
      <formula>IF(OR(AND(E382="",F382="",OR(G382="Critical",G382="Major",G382="Minor"))),1,0)</formula>
    </cfRule>
  </conditionalFormatting>
  <conditionalFormatting sqref="F382">
    <cfRule type="expression" dxfId="100" priority="123">
      <formula>IF(AND(F382="",OR(E382="Accuracy",E382="Fluency",E382="Segment",E382="Other")),1,0)</formula>
    </cfRule>
  </conditionalFormatting>
  <conditionalFormatting sqref="G382">
    <cfRule type="expression" dxfId="99" priority="125">
      <formula>IF(AND(OR(G382="",#REF!="Segment"),OR(#REF!="Accuracy",#REF!="Fluency",#REF!="Other")),1,0)</formula>
    </cfRule>
  </conditionalFormatting>
  <conditionalFormatting sqref="E388 G388">
    <cfRule type="expression" dxfId="98" priority="121">
      <formula>IF(OR(AND(E388="",F388="",OR(G388="Critical",G388="Major",G388="Minor"))),1,0)</formula>
    </cfRule>
  </conditionalFormatting>
  <conditionalFormatting sqref="G388">
    <cfRule type="expression" dxfId="97" priority="122">
      <formula>IF(AND(OR(G388="",#REF!="Segment"),OR(#REF!="Accuracy",#REF!="Fluency",#REF!="Other")),1,0)</formula>
    </cfRule>
  </conditionalFormatting>
  <conditionalFormatting sqref="G389">
    <cfRule type="expression" dxfId="96" priority="118">
      <formula>IF(OR(AND(G389="",H389="",OR(I389="Critical",I389="Major",I389="Minor"))),1,0)</formula>
    </cfRule>
  </conditionalFormatting>
  <conditionalFormatting sqref="G389">
    <cfRule type="expression" dxfId="95" priority="119">
      <formula>IF(AND(OR(G389="",#REF!="Segment"),OR(#REF!="Accuracy",#REF!="Fluency",#REF!="Other")),1,0)</formula>
    </cfRule>
  </conditionalFormatting>
  <conditionalFormatting sqref="G390">
    <cfRule type="expression" dxfId="94" priority="115">
      <formula>IF(OR(AND(G390="",H390="",OR(I390="Critical",I390="Major",I390="Minor"))),1,0)</formula>
    </cfRule>
  </conditionalFormatting>
  <conditionalFormatting sqref="G390">
    <cfRule type="expression" dxfId="93" priority="116">
      <formula>IF(AND(OR(G390="",#REF!="Segment"),OR(#REF!="Accuracy",#REF!="Fluency",#REF!="Other")),1,0)</formula>
    </cfRule>
  </conditionalFormatting>
  <conditionalFormatting sqref="E391:G392">
    <cfRule type="expression" dxfId="92" priority="112">
      <formula>IF(OR(AND(E391="",F391="",OR(G391="Critical",G391="Major",G391="Minor"))),1,0)</formula>
    </cfRule>
  </conditionalFormatting>
  <conditionalFormatting sqref="F391:F392">
    <cfRule type="expression" dxfId="91" priority="111">
      <formula>IF(AND(F391="",OR(E391="Accuracy",E391="Fluency",E391="Segment",E391="Other")),1,0)</formula>
    </cfRule>
  </conditionalFormatting>
  <conditionalFormatting sqref="G391:G392">
    <cfRule type="expression" dxfId="90" priority="113">
      <formula>IF(AND(OR(G391="",#REF!="Segment"),OR(#REF!="Accuracy",#REF!="Fluency",#REF!="Other")),1,0)</formula>
    </cfRule>
  </conditionalFormatting>
  <conditionalFormatting sqref="F393">
    <cfRule type="expression" dxfId="89" priority="110">
      <formula>IF(OR(AND(F393="",G393="",OR(H392="Critical",H392="Major",H392="Minor"))),1,0)</formula>
    </cfRule>
  </conditionalFormatting>
  <conditionalFormatting sqref="G393">
    <cfRule type="expression" dxfId="88" priority="108">
      <formula>IF(AND(OR(G393="",#REF!="Segment"),OR(#REF!="Accuracy",#REF!="Fluency",#REF!="Other")),1,0)</formula>
    </cfRule>
  </conditionalFormatting>
  <conditionalFormatting sqref="G393">
    <cfRule type="expression" dxfId="87" priority="109">
      <formula>IF(OR(AND(G393="",H392="",OR(I393="Critical",I393="Major",I393="Minor"))),1,0)</formula>
    </cfRule>
  </conditionalFormatting>
  <conditionalFormatting sqref="E394:E395">
    <cfRule type="expression" dxfId="86" priority="107">
      <formula>IF(OR(AND(E394="",F394="",OR(G394="Critical",G394="Major",G394="Minor"))),1,0)</formula>
    </cfRule>
  </conditionalFormatting>
  <conditionalFormatting sqref="F394:F395">
    <cfRule type="expression" dxfId="85" priority="105">
      <formula>IF(OR(AND(F394="",G394="",OR(H392="Critical",H392="Major",H392="Minor"))),1,0)</formula>
    </cfRule>
  </conditionalFormatting>
  <conditionalFormatting sqref="G394:G395">
    <cfRule type="expression" dxfId="84" priority="106">
      <formula>IF(OR(AND(G394="",H392="",OR(I392="Critical",I392="Major",I392="Minor"))),1,0)</formula>
    </cfRule>
  </conditionalFormatting>
  <conditionalFormatting sqref="F394:F395">
    <cfRule type="expression" dxfId="83" priority="103">
      <formula>IF(AND(F394="",OR(E394="Accuracy",E394="Fluency",E394="Segment",E394="Other")),1,0)</formula>
    </cfRule>
  </conditionalFormatting>
  <conditionalFormatting sqref="G394:G395">
    <cfRule type="expression" dxfId="82" priority="104">
      <formula>IF(AND(OR(G394="",#REF!="Segment"),OR(#REF!="Accuracy",#REF!="Fluency",#REF!="Other")),1,0)</formula>
    </cfRule>
  </conditionalFormatting>
  <conditionalFormatting sqref="E396">
    <cfRule type="expression" dxfId="81" priority="102">
      <formula>IF(OR(AND(E396="",F396="",OR(G396="Critical",G396="Major",G396="Minor"))),1,0)</formula>
    </cfRule>
  </conditionalFormatting>
  <conditionalFormatting sqref="F396">
    <cfRule type="expression" dxfId="80" priority="100">
      <formula>IF(OR(AND(F396="",G396="",OR(H394="Critical",H394="Major",H394="Minor"))),1,0)</formula>
    </cfRule>
  </conditionalFormatting>
  <conditionalFormatting sqref="G396">
    <cfRule type="expression" dxfId="79" priority="101">
      <formula>IF(OR(AND(G396="",H394="",OR(I394="Critical",I394="Major",I394="Minor"))),1,0)</formula>
    </cfRule>
  </conditionalFormatting>
  <conditionalFormatting sqref="F396">
    <cfRule type="expression" dxfId="78" priority="98">
      <formula>IF(AND(F396="",OR(E396="Accuracy",E396="Fluency",E396="Segment",E396="Other")),1,0)</formula>
    </cfRule>
  </conditionalFormatting>
  <conditionalFormatting sqref="G396">
    <cfRule type="expression" dxfId="77" priority="99">
      <formula>IF(AND(OR(G396="",#REF!="Segment"),OR(#REF!="Accuracy",#REF!="Fluency",#REF!="Other")),1,0)</formula>
    </cfRule>
  </conditionalFormatting>
  <conditionalFormatting sqref="E310">
    <cfRule type="expression" dxfId="76" priority="97">
      <formula>IF(OR(AND(E310="",F310="",OR(G310="Critical",G310="Major",G310="Minor"))),1,0)</formula>
    </cfRule>
  </conditionalFormatting>
  <conditionalFormatting sqref="G310">
    <cfRule type="expression" dxfId="75" priority="94">
      <formula>IF(OR(AND(G310="",#REF!="",OR(I310="Critical",I310="Major",I310="Minor"))),1,0)</formula>
    </cfRule>
  </conditionalFormatting>
  <conditionalFormatting sqref="G310">
    <cfRule type="expression" dxfId="74" priority="93">
      <formula>IF(AND(OR(G310="",#REF!="Segment"),OR(#REF!="Accuracy",#REF!="Fluency",#REF!="Other")),1,0)</formula>
    </cfRule>
  </conditionalFormatting>
  <conditionalFormatting sqref="E311">
    <cfRule type="expression" dxfId="73" priority="92">
      <formula>IF(OR(AND(E311="",F311="",OR(G311="Critical",G311="Major",G311="Minor"))),1,0)</formula>
    </cfRule>
  </conditionalFormatting>
  <conditionalFormatting sqref="G311:G312">
    <cfRule type="expression" dxfId="72" priority="89">
      <formula>IF(OR(AND(G311="",#REF!="",OR(I311="Critical",I311="Major",I311="Minor"))),1,0)</formula>
    </cfRule>
  </conditionalFormatting>
  <conditionalFormatting sqref="G311:G312">
    <cfRule type="expression" dxfId="71" priority="88">
      <formula>IF(AND(OR(G311="",#REF!="Segment"),OR(#REF!="Accuracy",#REF!="Fluency",#REF!="Other")),1,0)</formula>
    </cfRule>
  </conditionalFormatting>
  <conditionalFormatting sqref="G313">
    <cfRule type="expression" dxfId="70" priority="83">
      <formula>IF(AND(OR(G313="",#REF!="Segment"),OR(#REF!="Accuracy",#REF!="Fluency",#REF!="Other")),1,0)</formula>
    </cfRule>
  </conditionalFormatting>
  <conditionalFormatting sqref="E383 G383">
    <cfRule type="expression" dxfId="69" priority="78">
      <formula>IF(OR(AND(E383="",F383="",OR(G383="Critical",G383="Major",G383="Minor"))),1,0)</formula>
    </cfRule>
  </conditionalFormatting>
  <conditionalFormatting sqref="G383">
    <cfRule type="expression" dxfId="68" priority="79">
      <formula>IF(AND(OR(G383="",#REF!="Segment"),OR(#REF!="Accuracy",#REF!="Fluency",#REF!="Other")),1,0)</formula>
    </cfRule>
  </conditionalFormatting>
  <conditionalFormatting sqref="G387">
    <cfRule type="expression" dxfId="67" priority="75">
      <formula>IF(OR(AND(G387="",H387="",OR(I387="Critical",I387="Major",I387="Minor"))),1,0)</formula>
    </cfRule>
  </conditionalFormatting>
  <conditionalFormatting sqref="G387">
    <cfRule type="expression" dxfId="66" priority="76">
      <formula>IF(AND(OR(G387="",#REF!="Segment"),OR(#REF!="Accuracy",#REF!="Fluency",#REF!="Other")),1,0)</formula>
    </cfRule>
  </conditionalFormatting>
  <conditionalFormatting sqref="G384">
    <cfRule type="expression" dxfId="65" priority="66">
      <formula>IF(OR(AND(G384="",H384="",OR(I384="Critical",I384="Major",I384="Minor"))),1,0)</formula>
    </cfRule>
  </conditionalFormatting>
  <conditionalFormatting sqref="G384">
    <cfRule type="expression" dxfId="64" priority="67">
      <formula>IF(AND(OR(G384="",#REF!="Segment"),OR(#REF!="Accuracy",#REF!="Fluency",#REF!="Other")),1,0)</formula>
    </cfRule>
  </conditionalFormatting>
  <conditionalFormatting sqref="G385">
    <cfRule type="expression" dxfId="63" priority="64">
      <formula>IF(OR(AND(G385="",H385="",OR(I385="Critical",I385="Major",I385="Minor"))),1,0)</formula>
    </cfRule>
  </conditionalFormatting>
  <conditionalFormatting sqref="G385">
    <cfRule type="expression" dxfId="62" priority="65">
      <formula>IF(AND(OR(G385="",#REF!="Segment"),OR(#REF!="Accuracy",#REF!="Fluency",#REF!="Other")),1,0)</formula>
    </cfRule>
  </conditionalFormatting>
  <conditionalFormatting sqref="G386">
    <cfRule type="expression" dxfId="61" priority="62">
      <formula>IF(OR(AND(G386="",H386="",OR(I386="Critical",I386="Major",I386="Minor"))),1,0)</formula>
    </cfRule>
  </conditionalFormatting>
  <conditionalFormatting sqref="G386">
    <cfRule type="expression" dxfId="60" priority="63">
      <formula>IF(AND(OR(G386="",#REF!="Segment"),OR(#REF!="Accuracy",#REF!="Fluency",#REF!="Other")),1,0)</formula>
    </cfRule>
  </conditionalFormatting>
  <conditionalFormatting sqref="E76 G76">
    <cfRule type="expression" dxfId="59" priority="60">
      <formula>IF(OR(AND(E76="",F76="",OR(G76="Critical",G76="Major",G76="Minor"))),1,0)</formula>
    </cfRule>
  </conditionalFormatting>
  <conditionalFormatting sqref="G76">
    <cfRule type="expression" dxfId="58" priority="58">
      <formula>IF(AND(OR(G76="",#REF!="Segment"),OR(#REF!="Accuracy",#REF!="Fluency",#REF!="Other")),1,0)</formula>
    </cfRule>
  </conditionalFormatting>
  <conditionalFormatting sqref="G16 E16">
    <cfRule type="expression" dxfId="57" priority="56">
      <formula>IF(OR(AND(E16="",F16="",OR(G16="Critical",G16="Major",G16="Minor"))),1,0)</formula>
    </cfRule>
  </conditionalFormatting>
  <conditionalFormatting sqref="F16">
    <cfRule type="expression" dxfId="56" priority="55">
      <formula>IF(AND(F16="",OR(E16="Accuracy",E16="Fluency",E16="Segment",E16="Other")),1,0)</formula>
    </cfRule>
  </conditionalFormatting>
  <conditionalFormatting sqref="G16">
    <cfRule type="expression" dxfId="55" priority="54">
      <formula>IF(AND(OR(G16="",E16="Segment"),OR(E16="Accuracy",E16="Fluency",E16="Other")),1,0)</formula>
    </cfRule>
  </conditionalFormatting>
  <conditionalFormatting sqref="F16">
    <cfRule type="expression" dxfId="54" priority="3019">
      <formula>IF(OR(AND(F16="",G16="",OR(H38="Critical",H38="Major",H38="Minor"))),1,0)</formula>
    </cfRule>
  </conditionalFormatting>
  <conditionalFormatting sqref="E397:G400">
    <cfRule type="expression" dxfId="53" priority="51">
      <formula>IF(OR(AND(E397="",F397="",OR(G397="Critical",G397="Major",G397="Minor"))),1,0)</formula>
    </cfRule>
  </conditionalFormatting>
  <conditionalFormatting sqref="F397:F400">
    <cfRule type="expression" dxfId="52" priority="50">
      <formula>IF(AND(F397="",OR(E397="Accuracy",E397="Fluency",E397="Segment",E397="Other")),1,0)</formula>
    </cfRule>
  </conditionalFormatting>
  <conditionalFormatting sqref="H397:H400">
    <cfRule type="expression" dxfId="51" priority="52">
      <formula>IF(OR(AND(H397="",J397="",OR(#REF!="Critical",#REF!="Major",#REF!="Minor"))),1,0)</formula>
    </cfRule>
  </conditionalFormatting>
  <conditionalFormatting sqref="G397:G400">
    <cfRule type="expression" dxfId="50" priority="53">
      <formula>IF(AND(OR(G397="",#REF!="Segment"),OR(#REF!="Accuracy",#REF!="Fluency",#REF!="Other")),1,0)</formula>
    </cfRule>
  </conditionalFormatting>
  <conditionalFormatting sqref="E416:F417 E403:G403">
    <cfRule type="expression" dxfId="49" priority="49">
      <formula>IF(OR(AND(E403="",F403="",OR(G403="Critical",G403="Major",G403="Minor"))),1,0)</formula>
    </cfRule>
  </conditionalFormatting>
  <conditionalFormatting sqref="F416:F417 F403">
    <cfRule type="expression" dxfId="48" priority="48">
      <formula>IF(AND(F403="",OR(E403="Accuracy",E403="Fluency",E403="Segment",E403="Other")),1,0)</formula>
    </cfRule>
  </conditionalFormatting>
  <conditionalFormatting sqref="E401:F402">
    <cfRule type="expression" dxfId="47" priority="47">
      <formula>IF(OR(AND(E401="",F401="",OR(G401="Critical",G401="Major",G401="Minor"))),1,0)</formula>
    </cfRule>
  </conditionalFormatting>
  <conditionalFormatting sqref="F401:F402">
    <cfRule type="expression" dxfId="46" priority="46">
      <formula>IF(AND(F401="",OR(E401="Accuracy",E401="Fluency",E401="Segment",E401="Other")),1,0)</formula>
    </cfRule>
  </conditionalFormatting>
  <conditionalFormatting sqref="G401:G402">
    <cfRule type="expression" dxfId="45" priority="44">
      <formula>IF(OR(AND(G401="",H401="",OR(I401="Critical",I401="Major",I401="Minor"))),1,0)</formula>
    </cfRule>
  </conditionalFormatting>
  <conditionalFormatting sqref="G401:G402">
    <cfRule type="expression" dxfId="44" priority="45">
      <formula>IF(AND(OR(G401="",#REF!="Segment"),OR(#REF!="Accuracy",#REF!="Fluency",#REF!="Other")),1,0)</formula>
    </cfRule>
  </conditionalFormatting>
  <conditionalFormatting sqref="G403">
    <cfRule type="expression" dxfId="43" priority="43">
      <formula>IF(AND(OR(G403="",#REF!="Segment"),OR(#REF!="Accuracy",#REF!="Fluency",#REF!="Other")),1,0)</formula>
    </cfRule>
  </conditionalFormatting>
  <conditionalFormatting sqref="E404:G405">
    <cfRule type="expression" dxfId="42" priority="41">
      <formula>IF(OR(AND(E404="",F404="",OR(G404="Critical",G404="Major",G404="Minor"))),1,0)</formula>
    </cfRule>
  </conditionalFormatting>
  <conditionalFormatting sqref="F404:F405">
    <cfRule type="expression" dxfId="41" priority="40">
      <formula>IF(AND(F404="",OR(E404="Accuracy",E404="Fluency",E404="Segment",E404="Other")),1,0)</formula>
    </cfRule>
  </conditionalFormatting>
  <conditionalFormatting sqref="G404:G405">
    <cfRule type="expression" dxfId="40" priority="42">
      <formula>IF(AND(OR(G404="",#REF!="Segment"),OR(#REF!="Accuracy",#REF!="Fluency",#REF!="Other")),1,0)</formula>
    </cfRule>
  </conditionalFormatting>
  <conditionalFormatting sqref="E406:F406">
    <cfRule type="expression" dxfId="39" priority="37">
      <formula>IF(OR(AND(E406="",F406="",OR(G406="Critical",G406="Major",G406="Minor"))),1,0)</formula>
    </cfRule>
  </conditionalFormatting>
  <conditionalFormatting sqref="F406">
    <cfRule type="expression" dxfId="38" priority="36">
      <formula>IF(AND(F406="",OR(E406="Accuracy",E406="Fluency",E406="Segment",E406="Other")),1,0)</formula>
    </cfRule>
  </conditionalFormatting>
  <conditionalFormatting sqref="G406">
    <cfRule type="expression" dxfId="37" priority="38">
      <formula>IF(AND(OR(G406="",#REF!="Segment"),OR(#REF!="Accuracy",#REF!="Fluency",#REF!="Other")),1,0)</formula>
    </cfRule>
  </conditionalFormatting>
  <conditionalFormatting sqref="G406">
    <cfRule type="expression" dxfId="36" priority="39">
      <formula>IF(OR(AND(G406="",#REF!="",OR(I406="Critical",I406="Major",I406="Minor"))),1,0)</formula>
    </cfRule>
  </conditionalFormatting>
  <conditionalFormatting sqref="E407:F408">
    <cfRule type="expression" dxfId="35" priority="32">
      <formula>IF(OR(AND(E407="",F407="",OR(G407="Critical",G407="Major",G407="Minor"))),1,0)</formula>
    </cfRule>
  </conditionalFormatting>
  <conditionalFormatting sqref="F407:F408">
    <cfRule type="expression" dxfId="34" priority="31">
      <formula>IF(AND(F407="",OR(E407="Accuracy",E407="Fluency",E407="Segment",E407="Other")),1,0)</formula>
    </cfRule>
  </conditionalFormatting>
  <conditionalFormatting sqref="H407:H408">
    <cfRule type="expression" dxfId="33" priority="35">
      <formula>IF(OR(AND(H407="",J407="",OR(#REF!="Critical",#REF!="Major",#REF!="Minor"))),1,0)</formula>
    </cfRule>
  </conditionalFormatting>
  <conditionalFormatting sqref="G407:G408">
    <cfRule type="expression" dxfId="32" priority="33">
      <formula>IF(OR(AND(G407="",H407="",OR(I407="Critical",I407="Major",I407="Minor"))),1,0)</formula>
    </cfRule>
  </conditionalFormatting>
  <conditionalFormatting sqref="G407:G408">
    <cfRule type="expression" dxfId="31" priority="34">
      <formula>IF(AND(OR(G407="",#REF!="Segment"),OR(#REF!="Accuracy",#REF!="Fluency",#REF!="Other")),1,0)</formula>
    </cfRule>
  </conditionalFormatting>
  <conditionalFormatting sqref="F409:F410">
    <cfRule type="expression" dxfId="30" priority="30">
      <formula>IF(AND(F409="",OR(E409="Accuracy",E409="Fluency",E409="Segment",E409="Other")),1,0)</formula>
    </cfRule>
  </conditionalFormatting>
  <conditionalFormatting sqref="E409:G410">
    <cfRule type="expression" dxfId="29" priority="29">
      <formula>IF(OR(AND(E409="",F409="",OR(G409="Critical",G409="Major",G409="Minor"))),1,0)</formula>
    </cfRule>
  </conditionalFormatting>
  <conditionalFormatting sqref="G409:G410">
    <cfRule type="expression" dxfId="28" priority="28">
      <formula>IF(AND(OR(G409="",#REF!="Segment"),OR(#REF!="Accuracy",#REF!="Fluency",#REF!="Other")),1,0)</formula>
    </cfRule>
  </conditionalFormatting>
  <conditionalFormatting sqref="E411:F415">
    <cfRule type="expression" dxfId="27" priority="27">
      <formula>IF(OR(AND(E411="",F411="",OR(G411="Critical",G411="Major",G411="Minor"))),1,0)</formula>
    </cfRule>
  </conditionalFormatting>
  <conditionalFormatting sqref="F411:F415">
    <cfRule type="expression" dxfId="26" priority="26">
      <formula>IF(AND(F411="",OR(E411="Accuracy",E411="Fluency",E411="Segment",E411="Other")),1,0)</formula>
    </cfRule>
  </conditionalFormatting>
  <conditionalFormatting sqref="G411:G415">
    <cfRule type="expression" dxfId="25" priority="25">
      <formula>IF(OR(AND(G411="",H411="",OR(I411="Critical",I411="Major",I411="Minor"))),1,0)</formula>
    </cfRule>
  </conditionalFormatting>
  <conditionalFormatting sqref="G411:G415">
    <cfRule type="expression" dxfId="24" priority="24">
      <formula>IF(AND(OR(G411="",#REF!="Segment"),OR(#REF!="Accuracy",#REF!="Fluency",#REF!="Other")),1,0)</formula>
    </cfRule>
  </conditionalFormatting>
  <conditionalFormatting sqref="G416:G417">
    <cfRule type="expression" dxfId="23" priority="22">
      <formula>IF(AND(OR(G416="",#REF!="Segment"),OR(#REF!="Accuracy",#REF!="Fluency",#REF!="Other")),1,0)</formula>
    </cfRule>
  </conditionalFormatting>
  <conditionalFormatting sqref="G416:G417">
    <cfRule type="expression" dxfId="22" priority="23">
      <formula>IF(OR(AND(G416="",H401="",OR(I416="Critical",I416="Major",I416="Minor"))),1,0)</formula>
    </cfRule>
  </conditionalFormatting>
  <conditionalFormatting sqref="E418:F422">
    <cfRule type="expression" dxfId="21" priority="19">
      <formula>IF(OR(AND(E418="",F418="",OR(G418="Critical",G418="Major",G418="Minor"))),1,0)</formula>
    </cfRule>
  </conditionalFormatting>
  <conditionalFormatting sqref="F418:F422">
    <cfRule type="expression" dxfId="20" priority="18">
      <formula>IF(AND(F418="",OR(E418="Accuracy",E418="Fluency",E418="Segment",E418="Other")),1,0)</formula>
    </cfRule>
  </conditionalFormatting>
  <conditionalFormatting sqref="G418:G422">
    <cfRule type="expression" dxfId="19" priority="20">
      <formula>IF(OR(AND(G418="",H418="",OR(I418="Critical",I418="Major",I418="Minor"))),1,0)</formula>
    </cfRule>
  </conditionalFormatting>
  <conditionalFormatting sqref="G418:G422">
    <cfRule type="expression" dxfId="18" priority="21">
      <formula>IF(AND(OR(G418="",#REF!="Segment"),OR(#REF!="Accuracy",#REF!="Fluency",#REF!="Other")),1,0)</formula>
    </cfRule>
  </conditionalFormatting>
  <conditionalFormatting sqref="G424">
    <cfRule type="expression" dxfId="17" priority="16">
      <formula>IF(OR(AND(G424="",H423="",OR(I424="Critical",I424="Major",I424="Minor"))),1,0)</formula>
    </cfRule>
  </conditionalFormatting>
  <conditionalFormatting sqref="F424">
    <cfRule type="expression" dxfId="16" priority="17">
      <formula>IF(OR(AND(F424="",G424="",OR(H423="Critical",H423="Major",H423="Minor"))),1,0)</formula>
    </cfRule>
  </conditionalFormatting>
  <conditionalFormatting sqref="E424">
    <cfRule type="expression" dxfId="15" priority="15">
      <formula>IF(OR(AND(E424="",F424="",OR(G424="Critical",G424="Major",G424="Minor"))),1,0)</formula>
    </cfRule>
  </conditionalFormatting>
  <conditionalFormatting sqref="F424">
    <cfRule type="expression" dxfId="14" priority="14">
      <formula>IF(AND(F424="",OR(E424="Accuracy",E424="Fluency",E424="Segment",E424="Other")),1,0)</formula>
    </cfRule>
  </conditionalFormatting>
  <conditionalFormatting sqref="G424">
    <cfRule type="expression" dxfId="13" priority="13">
      <formula>IF(AND(OR(G424="",#REF!="Segment"),OR(#REF!="Accuracy",#REF!="Fluency",#REF!="Other")),1,0)</formula>
    </cfRule>
  </conditionalFormatting>
  <conditionalFormatting sqref="G423">
    <cfRule type="expression" dxfId="12" priority="11">
      <formula>IF(OR(AND(G423="",H423="",OR(I423="Critical",I423="Major",I423="Minor"))),1,0)</formula>
    </cfRule>
  </conditionalFormatting>
  <conditionalFormatting sqref="G423">
    <cfRule type="expression" dxfId="11" priority="12">
      <formula>IF(AND(OR(G423="",#REF!="Segment"),OR(#REF!="Accuracy",#REF!="Fluency",#REF!="Other")),1,0)</formula>
    </cfRule>
  </conditionalFormatting>
  <conditionalFormatting sqref="E423:F423">
    <cfRule type="expression" dxfId="10" priority="10">
      <formula>IF(OR(AND(E423="",F423="",OR(G423="Critical",G423="Major",G423="Minor"))),1,0)</formula>
    </cfRule>
  </conditionalFormatting>
  <conditionalFormatting sqref="F423">
    <cfRule type="expression" dxfId="9" priority="9">
      <formula>IF(AND(F423="",OR(E423="Accuracy",E423="Fluency",E423="Segment",E423="Other")),1,0)</formula>
    </cfRule>
  </conditionalFormatting>
  <conditionalFormatting sqref="E425:G426">
    <cfRule type="expression" dxfId="8" priority="7">
      <formula>IF(OR(AND(E425="",F425="",OR(G425="Critical",G425="Major",G425="Minor"))),1,0)</formula>
    </cfRule>
  </conditionalFormatting>
  <conditionalFormatting sqref="F425:F426">
    <cfRule type="expression" dxfId="7" priority="6">
      <formula>IF(AND(F425="",OR(E425="Accuracy",E425="Fluency",E425="Segment",E425="Other")),1,0)</formula>
    </cfRule>
  </conditionalFormatting>
  <conditionalFormatting sqref="G425:G426">
    <cfRule type="expression" dxfId="6" priority="8">
      <formula>IF(AND(OR(G425="",#REF!="Segment"),OR(#REF!="Accuracy",#REF!="Fluency",#REF!="Other")),1,0)</formula>
    </cfRule>
  </conditionalFormatting>
  <conditionalFormatting sqref="F427:F428">
    <cfRule type="expression" dxfId="5" priority="5">
      <formula>IF(OR(AND(F427="",G427="",OR(H422="Critical",H422="Major",H422="Minor"))),1,0)</formula>
    </cfRule>
  </conditionalFormatting>
  <conditionalFormatting sqref="G427:G428">
    <cfRule type="expression" dxfId="4" priority="4">
      <formula>IF(OR(AND(G427="",H422="",OR(I427="Critical",I427="Major",I427="Minor"))),1,0)</formula>
    </cfRule>
  </conditionalFormatting>
  <conditionalFormatting sqref="F427:F428">
    <cfRule type="expression" dxfId="3" priority="3">
      <formula>IF(AND(F427="",OR(E427="Accuracy",E427="Fluency",E427="Segment",E427="Other")),1,0)</formula>
    </cfRule>
  </conditionalFormatting>
  <conditionalFormatting sqref="G427:G428">
    <cfRule type="expression" dxfId="2" priority="2">
      <formula>IF(AND(OR(G427="",#REF!="Segment"),OR(#REF!="Accuracy",#REF!="Fluency",#REF!="Other")),1,0)</formula>
    </cfRule>
  </conditionalFormatting>
  <conditionalFormatting sqref="E427:E428">
    <cfRule type="expression" dxfId="1" priority="1">
      <formula>IF(OR(AND(E427="",F427="",OR(G427="Critical",G427="Major",G427="Minor"))),1,0)</formula>
    </cfRule>
  </conditionalFormatting>
  <dataValidations count="3">
    <dataValidation allowBlank="1" showDropDown="1" showInputMessage="1" showErrorMessage="1" sqref="E1:G1 H42:H111 H113:H182 H184:H227 H301:H304 H229:H299 H330:H346 H349:H393 H306:H328 H1:H40 H429:H841 H395:H426 I1:I841" xr:uid="{00000000-0002-0000-0100-000000000000}"/>
    <dataValidation type="list" allowBlank="1" showInputMessage="1" showErrorMessage="1" sqref="H279 E2:E841" xr:uid="{00000000-0002-0000-0100-000001000000}">
      <formula1>Issue_Type</formula1>
    </dataValidation>
    <dataValidation type="list" allowBlank="1" showInputMessage="1" showErrorMessage="1" sqref="F2:G841" xr:uid="{00000000-0002-0000-0100-000002000000}">
      <formula1>INDIRECT(E2)</formula1>
    </dataValidation>
  </dataValidations>
  <pageMargins left="0.75" right="0.75" top="1" bottom="1" header="0.5" footer="0.5"/>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plicateRows">
                <anchor moveWithCells="1" sizeWithCells="1">
                  <from>
                    <xdr:col>10</xdr:col>
                    <xdr:colOff>152400</xdr:colOff>
                    <xdr:row>0</xdr:row>
                    <xdr:rowOff>22860</xdr:rowOff>
                  </from>
                  <to>
                    <xdr:col>10</xdr:col>
                    <xdr:colOff>1013460</xdr:colOff>
                    <xdr:row>0</xdr:row>
                    <xdr:rowOff>365760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44" id="{999EB9CF-38D7-43BD-8F7A-06D45B2BD3BB}">
            <xm:f>IF(OR(AND(G334="",'\Users\hdd\Desktop\selected_450\[Template_Summarization_withoutscoreboard_0424.xlsm]Sheet2'!#REF!="",OR(I334="Critical",I334="Major",I334="Minor"))),1,0)</xm:f>
            <x14:dxf>
              <font>
                <color auto="1"/>
              </font>
              <fill>
                <patternFill>
                  <bgColor rgb="FFFFFF00"/>
                </patternFill>
              </fill>
            </x14:dxf>
          </x14:cfRule>
          <xm:sqref>G334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J501"/>
  <sheetViews>
    <sheetView zoomScale="90" zoomScaleNormal="90" workbookViewId="0">
      <pane ySplit="1" topLeftCell="A2" activePane="bottomLeft" state="frozen"/>
      <selection pane="bottomLeft" sqref="A1:XFD1"/>
    </sheetView>
  </sheetViews>
  <sheetFormatPr defaultColWidth="9" defaultRowHeight="15"/>
  <cols>
    <col min="1" max="1" width="7.59765625" style="82" customWidth="1"/>
    <col min="2" max="2" width="31.296875" style="32" customWidth="1"/>
    <col min="3" max="3" width="44.59765625" style="32" customWidth="1"/>
    <col min="4" max="4" width="10.69921875" style="32" customWidth="1"/>
    <col min="5" max="5" width="8.19921875" style="32" customWidth="1"/>
    <col min="6" max="6" width="7.69921875" style="32" customWidth="1"/>
    <col min="7" max="7" width="7.59765625" style="32" customWidth="1"/>
    <col min="8" max="9" width="9" style="32"/>
    <col min="10" max="10" width="12" style="32" customWidth="1"/>
    <col min="11" max="16384" width="9" style="32"/>
  </cols>
  <sheetData>
    <row r="1" spans="1:10" ht="27.6">
      <c r="A1" s="80" t="s">
        <v>20</v>
      </c>
      <c r="B1" s="13" t="s">
        <v>4</v>
      </c>
      <c r="C1" s="13" t="s">
        <v>5</v>
      </c>
      <c r="D1" s="16" t="s">
        <v>43</v>
      </c>
      <c r="E1" s="12" t="s">
        <v>25</v>
      </c>
      <c r="F1" s="12" t="s">
        <v>23</v>
      </c>
      <c r="G1" s="12" t="s">
        <v>1</v>
      </c>
      <c r="H1" s="12" t="s">
        <v>45</v>
      </c>
      <c r="I1" s="12" t="s">
        <v>46</v>
      </c>
      <c r="J1" s="12" t="s">
        <v>51</v>
      </c>
    </row>
    <row r="2" spans="1:10" s="102" customFormat="1">
      <c r="A2" s="78" t="s">
        <v>71</v>
      </c>
      <c r="B2" s="100" t="str">
        <f>IF(ISBLANK(A2),"",INDEX('Error Log'!$A:$J,MATCH('Scores per segment'!$A2,'Error Log'!$A:$A,0),MATCH('Scores per segment'!B$1,'Error Log'!$A$1:$J$1,0)))</f>
        <v>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v>
      </c>
      <c r="C2" s="100" t="str">
        <f>IF(ISBLANK(A2),"",INDEX('Error Log'!$A:$J,MATCH('Scores per segment'!$A2,'Error Log'!$A:$A,0),MATCH('Scores per segment'!C$1,'Error Log'!$A$1:$J$1,0)))</f>
        <v>a philadelphia court heard thursday that corry ` corey ' campbell , 21 , was the ringleader of the gang , who have become known as the ` tattoo terrorists ' .
torture chamber : corry ` corey ' campbell , 21 ( left ) , the ringleader of a gang dubbed the ` tattoo terrorists ' was jailed for 20 years thursday for the abuse in march/april 21 .
accomplices : sandra ng , 19 ( left ) , campbell 's girlfriend , was sentenced to 23 months in state prison for her role in the shocking assault last year , while another defendant jennifer pratt , 40 , is awaiting trial</v>
      </c>
      <c r="D2" s="100">
        <f>IF(H2=0,wdct(TRIM(C2)),0)</f>
        <v>87</v>
      </c>
      <c r="E2" s="100">
        <f>COUNTIFS('Error Log'!$A:$A,$A2,'Error Log'!$J:$J,E$1)</f>
        <v>4</v>
      </c>
      <c r="F2" s="100">
        <f>COUNTIFS('Error Log'!$A:$A,$A2,'Error Log'!$J:$J,F$1)</f>
        <v>2</v>
      </c>
      <c r="G2" s="100">
        <f>COUNTIFS('Error Log'!$A:$A,$A2,'Error Log'!$J:$J,G$1)</f>
        <v>0</v>
      </c>
      <c r="H2" s="100">
        <f>COUNTIFS('Error Log'!$A:$A,$A2,'Error Log'!$F:$F,"Source")</f>
        <v>0</v>
      </c>
      <c r="I2" s="100">
        <f>COUNTIFS('Error Log'!$A:$A,$A2,'Error Log'!$F:$F,"Target")</f>
        <v>0</v>
      </c>
      <c r="J2" s="101">
        <f t="shared" ref="J2:J65" si="0">IF(I2=0,IFERROR((((1-((E2*10+F2*5+G2*1)/D2))*100)+100)/2,0),-150)</f>
        <v>71.264367816091948</v>
      </c>
    </row>
    <row r="3" spans="1:10" s="102" customFormat="1">
      <c r="A3" s="78" t="s">
        <v>78</v>
      </c>
      <c r="B3" s="100" t="str">
        <f>IF(ISBLANK(A3),"",INDEX('Error Log'!$A:$J,MATCH('Scores per segment'!$A3,'Error Log'!$A:$A,0),MATCH('Scores per segment'!B$1,'Error Log'!$A$1:$J$1,0)))</f>
        <v>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v>
      </c>
      <c r="C3" s="100" t="str">
        <f>IF(ISBLANK(A3),"",INDEX('Error Log'!$A:$J,MATCH('Scores per segment'!$A3,'Error Log'!$A:$A,0),MATCH('Scores per segment'!C$1,'Error Log'!$A$1:$J$1,0)))</f>
        <v>the golden bear added another magic moment to his storied career at augusta national in the par-3 contest .
jack nicklaus gave the crowd something to cheer with a hole in one on the fourth during the par-3 contest
nicklaus was playing alongside gary player and ben crenshaw as the first roar of masters week filled the skies in a sunswept georgia .</v>
      </c>
      <c r="D3" s="100">
        <f>IF(H3=0,wdct(TRIM(C3)),0)</f>
        <v>61</v>
      </c>
      <c r="E3" s="100">
        <f>COUNTIFS('Error Log'!$A:$A,$A3,'Error Log'!$J:$J,E$1)</f>
        <v>3</v>
      </c>
      <c r="F3" s="100">
        <f>COUNTIFS('Error Log'!$A:$A,$A3,'Error Log'!$J:$J,F$1)</f>
        <v>0</v>
      </c>
      <c r="G3" s="100">
        <f>COUNTIFS('Error Log'!$A:$A,$A3,'Error Log'!$J:$J,G$1)</f>
        <v>0</v>
      </c>
      <c r="H3" s="100">
        <f>COUNTIFS('Error Log'!$A:$A,$A3,'Error Log'!$F:$F,"Source")</f>
        <v>0</v>
      </c>
      <c r="I3" s="100">
        <f>COUNTIFS('Error Log'!$A:$A,$A3,'Error Log'!$F:$F,"Target")</f>
        <v>0</v>
      </c>
      <c r="J3" s="101">
        <f t="shared" si="0"/>
        <v>75.409836065573771</v>
      </c>
    </row>
    <row r="4" spans="1:10" s="102" customFormat="1">
      <c r="A4" s="78" t="s">
        <v>83</v>
      </c>
      <c r="B4" s="100" t="str">
        <f>IF(ISBLANK(A4),"",INDEX('Error Log'!$A:$J,MATCH('Scores per segment'!$A4,'Error Log'!$A:$A,0),MATCH('Scores per segment'!B$1,'Error Log'!$A$1:$J$1,0)))</f>
        <v>(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v>
      </c>
      <c r="C4" s="100" t="str">
        <f>IF(ISBLANK(A4),"",INDEX('Error Log'!$A:$J,MATCH('Scores per segment'!$A4,'Error Log'!$A:$A,0),MATCH('Scores per segment'!C$1,'Error Log'!$A$1:$J$1,0)))</f>
        <v>(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v>
      </c>
      <c r="D4" s="100">
        <f>IF(H4=0,wdct(TRIM(C4)),0)</f>
        <v>65</v>
      </c>
      <c r="E4" s="100">
        <f>COUNTIFS('Error Log'!$A:$A,$A4,'Error Log'!$J:$J,E$1)</f>
        <v>1</v>
      </c>
      <c r="F4" s="100">
        <f>COUNTIFS('Error Log'!$A:$A,$A4,'Error Log'!$J:$J,F$1)</f>
        <v>1</v>
      </c>
      <c r="G4" s="100">
        <f>COUNTIFS('Error Log'!$A:$A,$A4,'Error Log'!$J:$J,G$1)</f>
        <v>0</v>
      </c>
      <c r="H4" s="100">
        <f>COUNTIFS('Error Log'!$A:$A,$A4,'Error Log'!$F:$F,"Source")</f>
        <v>0</v>
      </c>
      <c r="I4" s="100">
        <f>COUNTIFS('Error Log'!$A:$A,$A4,'Error Log'!$F:$F,"Target")</f>
        <v>0</v>
      </c>
      <c r="J4" s="101">
        <f t="shared" si="0"/>
        <v>88.461538461538453</v>
      </c>
    </row>
    <row r="5" spans="1:10" s="102" customFormat="1">
      <c r="A5" s="78" t="s">
        <v>86</v>
      </c>
      <c r="B5" s="100" t="str">
        <f>IF(ISBLANK(A5),"",INDEX('Error Log'!$A:$J,MATCH('Scores per segment'!$A5,'Error Log'!$A:$A,0),MATCH('Scores per segment'!B$1,'Error Log'!$A$1:$J$1,0)))</f>
        <v>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v>
      </c>
      <c r="C5" s="100" t="str">
        <f>IF(ISBLANK(A5),"",INDEX('Error Log'!$A:$J,MATCH('Scores per segment'!$A5,'Error Log'!$A:$A,0),MATCH('Scores per segment'!C$1,'Error Log'!$A$1:$J$1,0)))</f>
        <v>stephen curry eclipsed his own nba record for most 3-pointers in a season , scoring 45 points to rally the golden state warriors to a 116-105 victory over the portland trail blazers on thursday night .
stephen curry broke his own nba three-point record as golden state warriors beat portland trail blazers
curry ( centre ) hit eight three-pointers to to eclipse his previous nba best of 272 made in a single season</v>
      </c>
      <c r="D5" s="100">
        <f>IF(H5=0,wdct(TRIM(C5)),0)</f>
        <v>69</v>
      </c>
      <c r="E5" s="100">
        <f>COUNTIFS('Error Log'!$A:$A,$A5,'Error Log'!$J:$J,E$1)</f>
        <v>2</v>
      </c>
      <c r="F5" s="100">
        <f>COUNTIFS('Error Log'!$A:$A,$A5,'Error Log'!$J:$J,F$1)</f>
        <v>2</v>
      </c>
      <c r="G5" s="100">
        <f>COUNTIFS('Error Log'!$A:$A,$A5,'Error Log'!$J:$J,G$1)</f>
        <v>0</v>
      </c>
      <c r="H5" s="100">
        <f>COUNTIFS('Error Log'!$A:$A,$A5,'Error Log'!$F:$F,"Source")</f>
        <v>0</v>
      </c>
      <c r="I5" s="100">
        <f>COUNTIFS('Error Log'!$A:$A,$A5,'Error Log'!$F:$F,"Target")</f>
        <v>0</v>
      </c>
      <c r="J5" s="101">
        <f t="shared" si="0"/>
        <v>78.260869565217391</v>
      </c>
    </row>
    <row r="6" spans="1:10" s="102" customFormat="1">
      <c r="A6" s="78" t="s">
        <v>90</v>
      </c>
      <c r="B6" s="100" t="str">
        <f>IF(ISBLANK(A6),"",INDEX('Error Log'!$A:$J,MATCH('Scores per segment'!$A6,'Error Log'!$A:$A,0),MATCH('Scores per segment'!B$1,'Error Log'!$A$1:$J$1,0)))</f>
        <v>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v>
      </c>
      <c r="C6" s="100" t="str">
        <f>IF(ISBLANK(A6),"",INDEX('Error Log'!$A:$J,MATCH('Scores per segment'!$A6,'Error Log'!$A:$A,0),MATCH('Scores per segment'!C$1,'Error Log'!$A$1:$J$1,0)))</f>
        <v>conor mcgregor is gearing up for a featherweight title challenge against jose aldo on july 11 and has unveiled a fearsome new tattoo ahead of the encounter .
conor mcgregor reveals his new tattoo of a tiger on his stomach to his instagram followers
mcgregor claims he has greater motivation to win the title than aldo has to defend it for the eighth time</v>
      </c>
      <c r="D6" s="100">
        <f>IF(H6=0,wdct(TRIM(C6)),0)</f>
        <v>63</v>
      </c>
      <c r="E6" s="100">
        <f>COUNTIFS('Error Log'!$A:$A,$A6,'Error Log'!$J:$J,E$1)</f>
        <v>1</v>
      </c>
      <c r="F6" s="100">
        <f>COUNTIFS('Error Log'!$A:$A,$A6,'Error Log'!$J:$J,F$1)</f>
        <v>0</v>
      </c>
      <c r="G6" s="100">
        <f>COUNTIFS('Error Log'!$A:$A,$A6,'Error Log'!$J:$J,G$1)</f>
        <v>0</v>
      </c>
      <c r="H6" s="100">
        <f>COUNTIFS('Error Log'!$A:$A,$A6,'Error Log'!$F:$F,"Source")</f>
        <v>0</v>
      </c>
      <c r="I6" s="100">
        <f>COUNTIFS('Error Log'!$A:$A,$A6,'Error Log'!$F:$F,"Target")</f>
        <v>0</v>
      </c>
      <c r="J6" s="101">
        <f t="shared" si="0"/>
        <v>92.063492063492063</v>
      </c>
    </row>
    <row r="7" spans="1:10" s="102" customFormat="1">
      <c r="A7" s="78" t="s">
        <v>93</v>
      </c>
      <c r="B7" s="100" t="str">
        <f>IF(ISBLANK(A7),"",INDEX('Error Log'!$A:$J,MATCH('Scores per segment'!$A7,'Error Log'!$A:$A,0),MATCH('Scores per segment'!B$1,'Error Log'!$A$1:$J$1,0)))</f>
        <v>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v>
      </c>
      <c r="C7" s="100" t="str">
        <f>IF(ISBLANK(A7),"",INDEX('Error Log'!$A:$J,MATCH('Scores per segment'!$A7,'Error Log'!$A:$A,0),MATCH('Scores per segment'!C$1,'Error Log'!$A$1:$J$1,0)))</f>
        <v>liverpool players mario balotelli , fabio borini , rickie lambert and lazar markovic got more than they bargained for when youtube star bas van velzen arrived at melwood .
van velzen lines up his first free-kick of the day as the liverpool stars watch on
balotelli wore his famous t-shirt during manchester city 's 6-1 win over united in october 2011</v>
      </c>
      <c r="D7" s="100">
        <f>IF(H7=0,wdct(TRIM(C7)),0)</f>
        <v>58</v>
      </c>
      <c r="E7" s="100">
        <f>COUNTIFS('Error Log'!$A:$A,$A7,'Error Log'!$J:$J,E$1)</f>
        <v>2</v>
      </c>
      <c r="F7" s="100">
        <f>COUNTIFS('Error Log'!$A:$A,$A7,'Error Log'!$J:$J,F$1)</f>
        <v>0</v>
      </c>
      <c r="G7" s="100">
        <f>COUNTIFS('Error Log'!$A:$A,$A7,'Error Log'!$J:$J,G$1)</f>
        <v>0</v>
      </c>
      <c r="H7" s="100">
        <f>COUNTIFS('Error Log'!$A:$A,$A7,'Error Log'!$F:$F,"Source")</f>
        <v>0</v>
      </c>
      <c r="I7" s="100">
        <f>COUNTIFS('Error Log'!$A:$A,$A7,'Error Log'!$F:$F,"Target")</f>
        <v>0</v>
      </c>
      <c r="J7" s="101">
        <f t="shared" si="0"/>
        <v>82.758620689655174</v>
      </c>
    </row>
    <row r="8" spans="1:10" s="102" customFormat="1">
      <c r="A8" s="78" t="s">
        <v>97</v>
      </c>
      <c r="B8" s="100" t="str">
        <f>IF(ISBLANK(A8),"",INDEX('Error Log'!$A:$J,MATCH('Scores per segment'!$A8,'Error Log'!$A:$A,0),MATCH('Scores per segment'!B$1,'Error Log'!$A$1:$J$1,0)))</f>
        <v>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v>
      </c>
      <c r="C8" s="100" t="str">
        <f>IF(ISBLANK(A8),"",INDEX('Error Log'!$A:$J,MATCH('Scores per segment'!$A8,'Error Log'!$A:$A,0),MATCH('Scores per segment'!C$1,'Error Log'!$A$1:$J$1,0)))</f>
        <v>julie robert , a cultural studies professor at the university of technology sydney , said it was ` problematic ' that the prime minister , who she believes should be advocating against binge drinking , thought it acceptable to ` showcase his masculinity ' by skolling a beer .
australian prime minister tony abbott was cheered on by a crowd of about 50 as he skolled a schooner of beer
mr abbott came under fire after the incident as anti-drinking campaigners said he was glorifying binge drinking</v>
      </c>
      <c r="D8" s="100">
        <f>IF(H8=0,wdct(TRIM(C8)),0)</f>
        <v>78</v>
      </c>
      <c r="E8" s="100">
        <f>COUNTIFS('Error Log'!$A:$A,$A8,'Error Log'!$J:$J,E$1)</f>
        <v>2</v>
      </c>
      <c r="F8" s="100">
        <f>COUNTIFS('Error Log'!$A:$A,$A8,'Error Log'!$J:$J,F$1)</f>
        <v>1</v>
      </c>
      <c r="G8" s="100">
        <f>COUNTIFS('Error Log'!$A:$A,$A8,'Error Log'!$J:$J,G$1)</f>
        <v>0</v>
      </c>
      <c r="H8" s="100">
        <f>COUNTIFS('Error Log'!$A:$A,$A8,'Error Log'!$F:$F,"Source")</f>
        <v>0</v>
      </c>
      <c r="I8" s="100">
        <f>COUNTIFS('Error Log'!$A:$A,$A8,'Error Log'!$F:$F,"Target")</f>
        <v>0</v>
      </c>
      <c r="J8" s="101">
        <f t="shared" si="0"/>
        <v>83.974358974358978</v>
      </c>
    </row>
    <row r="9" spans="1:10" s="102" customFormat="1">
      <c r="A9" s="78" t="s">
        <v>102</v>
      </c>
      <c r="B9" s="100" t="str">
        <f>IF(ISBLANK(A9),"",INDEX('Error Log'!$A:$J,MATCH('Scores per segment'!$A9,'Error Log'!$A:$A,0),MATCH('Scores per segment'!B$1,'Error Log'!$A$1:$J$1,0)))</f>
        <v>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v>
      </c>
      <c r="C9" s="100" t="str">
        <f>IF(ISBLANK(A9),"",INDEX('Error Log'!$A:$J,MATCH('Scores per segment'!$A9,'Error Log'!$A:$A,0),MATCH('Scores per segment'!C$1,'Error Log'!$A$1:$J$1,0)))</f>
        <v>carriers of the brca1 gene , like hollywood star angelina jolie , can reduce their risk of death once they have been diagnosed with breast cancer by having their ovaries removed
a study indicates that following the example of the hollywood star cuts their risk of dying from breast cancer by more than 60 per cent .
miss jolie , 39 , had the procedure , known as an oophorectomy , in march .</v>
      </c>
      <c r="D9" s="100">
        <f>IF(H9=0,wdct(TRIM(C9)),0)</f>
        <v>66</v>
      </c>
      <c r="E9" s="100">
        <f>COUNTIFS('Error Log'!$A:$A,$A9,'Error Log'!$J:$J,E$1)</f>
        <v>3</v>
      </c>
      <c r="F9" s="100">
        <f>COUNTIFS('Error Log'!$A:$A,$A9,'Error Log'!$J:$J,F$1)</f>
        <v>1</v>
      </c>
      <c r="G9" s="100">
        <f>COUNTIFS('Error Log'!$A:$A,$A9,'Error Log'!$J:$J,G$1)</f>
        <v>0</v>
      </c>
      <c r="H9" s="100">
        <f>COUNTIFS('Error Log'!$A:$A,$A9,'Error Log'!$F:$F,"Source")</f>
        <v>0</v>
      </c>
      <c r="I9" s="100">
        <f>COUNTIFS('Error Log'!$A:$A,$A9,'Error Log'!$F:$F,"Target")</f>
        <v>0</v>
      </c>
      <c r="J9" s="101">
        <f t="shared" si="0"/>
        <v>73.484848484848484</v>
      </c>
    </row>
    <row r="10" spans="1:10" s="102" customFormat="1">
      <c r="A10" s="78" t="s">
        <v>109</v>
      </c>
      <c r="B10" s="100" t="str">
        <f>IF(ISBLANK(A10),"",INDEX('Error Log'!$A:$J,MATCH('Scores per segment'!$A10,'Error Log'!$A:$A,0),MATCH('Scores per segment'!B$1,'Error Log'!$A$1:$J$1,0)))</f>
        <v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v>
      </c>
      <c r="C10" s="100" t="str">
        <f>IF(ISBLANK(A10),"",INDEX('Error Log'!$A:$J,MATCH('Scores per segment'!$A10,'Error Log'!$A:$A,0),MATCH('Scores per segment'!C$1,'Error Log'!$A$1:$J$1,0)))</f>
        <v xml:space="preserve">
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more than two weeks into a short-term needle exchange program approved by gov. mike pence , there are now 120 confirmed hiv cases and 10 preliminary positive cases tied to scott county , about 30 miles north of louisville , kentucky
</v>
      </c>
      <c r="D10" s="100">
        <f>IF(H10=0,wdct(TRIM(C10)),0)</f>
        <v>95</v>
      </c>
      <c r="E10" s="100">
        <f>COUNTIFS('Error Log'!$A:$A,$A10,'Error Log'!$J:$J,E$1)</f>
        <v>2</v>
      </c>
      <c r="F10" s="100">
        <f>COUNTIFS('Error Log'!$A:$A,$A10,'Error Log'!$J:$J,F$1)</f>
        <v>2</v>
      </c>
      <c r="G10" s="100">
        <f>COUNTIFS('Error Log'!$A:$A,$A10,'Error Log'!$J:$J,G$1)</f>
        <v>0</v>
      </c>
      <c r="H10" s="100">
        <f>COUNTIFS('Error Log'!$A:$A,$A10,'Error Log'!$F:$F,"Source")</f>
        <v>0</v>
      </c>
      <c r="I10" s="100">
        <f>COUNTIFS('Error Log'!$A:$A,$A10,'Error Log'!$F:$F,"Target")</f>
        <v>0</v>
      </c>
      <c r="J10" s="101">
        <f t="shared" si="0"/>
        <v>84.21052631578948</v>
      </c>
    </row>
    <row r="11" spans="1:10">
      <c r="A11" s="78" t="s">
        <v>115</v>
      </c>
      <c r="B11" s="70" t="str">
        <f>IF(ISBLANK(A11),"",INDEX('Error Log'!$A:$J,MATCH('Scores per segment'!$A11,'Error Log'!$A:$A,0),MATCH('Scores per segment'!B$1,'Error Log'!$A$1:$J$1,0)))</f>
        <v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v>
      </c>
      <c r="C11" s="70" t="str">
        <f>IF(ISBLANK(A11),"",INDEX('Error Log'!$A:$J,MATCH('Scores per segment'!$A11,'Error Log'!$A:$A,0),MATCH('Scores per segment'!C$1,'Error Log'!$A$1:$J$1,0)))</f>
        <v xml:space="preserve">police in north carolina say a married couple is dead after an amtrak train hit them on easter morning as they lingered on the tracks .
derek lowe , 38 , and tina lowe , 33 , were hit shortly before 10 am on sunday in durham by a train heading north .
derek lowe , 38 , and tina lowe , 33 , were struck and killed by an amtrak train shortly before 10 am on easter sunday in durham , north carolina
</v>
      </c>
      <c r="D11" s="70">
        <f>IF(H11=0,wdct(TRIM(C11)),0)</f>
        <v>73</v>
      </c>
      <c r="E11" s="70">
        <f>COUNTIFS('Error Log'!$A:$A,$A11,'Error Log'!$J:$J,E$1)</f>
        <v>4</v>
      </c>
      <c r="F11" s="70">
        <f>COUNTIFS('Error Log'!$A:$A,$A11,'Error Log'!$J:$J,F$1)</f>
        <v>1</v>
      </c>
      <c r="G11" s="70">
        <f>COUNTIFS('Error Log'!$A:$A,$A11,'Error Log'!$J:$J,G$1)</f>
        <v>0</v>
      </c>
      <c r="H11" s="70">
        <f>COUNTIFS('Error Log'!$A:$A,$A11,'Error Log'!$F:$F,"Source")</f>
        <v>0</v>
      </c>
      <c r="I11" s="70">
        <f>COUNTIFS('Error Log'!$A:$A,$A11,'Error Log'!$F:$F,"Target")</f>
        <v>0</v>
      </c>
      <c r="J11" s="71">
        <f t="shared" si="0"/>
        <v>69.178082191780817</v>
      </c>
    </row>
    <row r="12" spans="1:10">
      <c r="A12" s="78" t="s">
        <v>123</v>
      </c>
      <c r="B12" s="70" t="str">
        <f>IF(ISBLANK(A12),"",INDEX('Error Log'!$A:$J,MATCH('Scores per segment'!$A12,'Error Log'!$A:$A,0),MATCH('Scores per segment'!B$1,'Error Log'!$A$1:$J$1,0)))</f>
        <v>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v>
      </c>
      <c r="C12" s="70" t="str">
        <f>IF(ISBLANK(A12),"",INDEX('Error Log'!$A:$J,MATCH('Scores per segment'!$A12,'Error Log'!$A:$A,0),MATCH('Scores per segment'!C$1,'Error Log'!$A$1:$J$1,0)))</f>
        <v>saskia posted snaps of the test to her twitter account , @saskiaisabxlla , commenting ` boyfriend made me take an @arsenal exam ! '
saskia 's football fan boyfriend made her take an arsenal test and did n't dump her thanks to her a grade
saskia scored an impressive 87 per cent , but according to her unnamed boyfriend 's feedback she ` could have performed better on q17 ' , needs to ` learn all player positions ' and should understand that ` tottenham are scum ' .</v>
      </c>
      <c r="D12" s="70">
        <f>IF(H12=0,wdct(TRIM(C12)),0)</f>
        <v>75</v>
      </c>
      <c r="E12" s="70">
        <f>COUNTIFS('Error Log'!$A:$A,$A12,'Error Log'!$J:$J,E$1)</f>
        <v>0</v>
      </c>
      <c r="F12" s="70">
        <f>COUNTIFS('Error Log'!$A:$A,$A12,'Error Log'!$J:$J,F$1)</f>
        <v>1</v>
      </c>
      <c r="G12" s="70">
        <f>COUNTIFS('Error Log'!$A:$A,$A12,'Error Log'!$J:$J,G$1)</f>
        <v>0</v>
      </c>
      <c r="H12" s="70">
        <f>COUNTIFS('Error Log'!$A:$A,$A12,'Error Log'!$F:$F,"Source")</f>
        <v>0</v>
      </c>
      <c r="I12" s="70">
        <f>COUNTIFS('Error Log'!$A:$A,$A12,'Error Log'!$F:$F,"Target")</f>
        <v>0</v>
      </c>
      <c r="J12" s="71">
        <f t="shared" si="0"/>
        <v>96.666666666666657</v>
      </c>
    </row>
    <row r="13" spans="1:10">
      <c r="A13" s="78" t="s">
        <v>126</v>
      </c>
      <c r="B13" s="70" t="str">
        <f>IF(ISBLANK(A13),"",INDEX('Error Log'!$A:$J,MATCH('Scores per segment'!$A13,'Error Log'!$A:$A,0),MATCH('Scores per segment'!B$1,'Error Log'!$A$1:$J$1,0)))</f>
        <v>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v>
      </c>
      <c r="C13" s="70" t="str">
        <f>IF(ISBLANK(A13),"",INDEX('Error Log'!$A:$J,MATCH('Scores per segment'!$A13,'Error Log'!$A:$A,0),MATCH('Scores per segment'!C$1,'Error Log'!$A$1:$J$1,0)))</f>
        <v xml:space="preserve"> 
carlos toro , 66 , worked as a mid-level member of the medellin cartel in the 1980s when a confrontation with his boss caused him to flee from colombia fearing for his life .
carlos toro , seen in 1982 , is facing deportation from the united states after working for the dea for 27 years
carlos lehder rivas of colombia was taken down thanks in part to former medellin cartel member toro</v>
      </c>
      <c r="D13" s="70">
        <f>IF(H13=0,wdct(TRIM(C13)),0)</f>
        <v>68</v>
      </c>
      <c r="E13" s="70">
        <f>COUNTIFS('Error Log'!$A:$A,$A13,'Error Log'!$J:$J,E$1)</f>
        <v>3</v>
      </c>
      <c r="F13" s="70">
        <f>COUNTIFS('Error Log'!$A:$A,$A13,'Error Log'!$J:$J,F$1)</f>
        <v>1</v>
      </c>
      <c r="G13" s="70">
        <f>COUNTIFS('Error Log'!$A:$A,$A13,'Error Log'!$J:$J,G$1)</f>
        <v>0</v>
      </c>
      <c r="H13" s="70">
        <f>COUNTIFS('Error Log'!$A:$A,$A13,'Error Log'!$F:$F,"Source")</f>
        <v>0</v>
      </c>
      <c r="I13" s="70">
        <f>COUNTIFS('Error Log'!$A:$A,$A13,'Error Log'!$F:$F,"Target")</f>
        <v>0</v>
      </c>
      <c r="J13" s="71">
        <f t="shared" si="0"/>
        <v>74.264705882352942</v>
      </c>
    </row>
    <row r="14" spans="1:10">
      <c r="A14" s="78" t="s">
        <v>133</v>
      </c>
      <c r="B14" s="70" t="str">
        <f>IF(ISBLANK(A14),"",INDEX('Error Log'!$A:$J,MATCH('Scores per segment'!$A14,'Error Log'!$A:$A,0),MATCH('Scores per segment'!B$1,'Error Log'!$A$1:$J$1,0)))</f>
        <v>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v>
      </c>
      <c r="C14" s="70" t="str">
        <f>IF(ISBLANK(A14),"",INDEX('Error Log'!$A:$J,MATCH('Scores per segment'!$A14,'Error Log'!$A:$A,0),MATCH('Scores per segment'!C$1,'Error Log'!$A$1:$J$1,0)))</f>
        <v xml:space="preserve">
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v>
      </c>
      <c r="D14" s="70">
        <f>IF(H14=0,wdct(TRIM(C14)),0)</f>
        <v>64</v>
      </c>
      <c r="E14" s="70">
        <f>COUNTIFS('Error Log'!$A:$A,$A14,'Error Log'!$J:$J,E$1)</f>
        <v>1</v>
      </c>
      <c r="F14" s="70">
        <f>COUNTIFS('Error Log'!$A:$A,$A14,'Error Log'!$J:$J,F$1)</f>
        <v>0</v>
      </c>
      <c r="G14" s="70">
        <f>COUNTIFS('Error Log'!$A:$A,$A14,'Error Log'!$J:$J,G$1)</f>
        <v>0</v>
      </c>
      <c r="H14" s="70">
        <f>COUNTIFS('Error Log'!$A:$A,$A14,'Error Log'!$F:$F,"Source")</f>
        <v>0</v>
      </c>
      <c r="I14" s="70">
        <f>COUNTIFS('Error Log'!$A:$A,$A14,'Error Log'!$F:$F,"Target")</f>
        <v>0</v>
      </c>
      <c r="J14" s="71">
        <f t="shared" si="0"/>
        <v>92.1875</v>
      </c>
    </row>
    <row r="15" spans="1:10">
      <c r="A15" s="78" t="s">
        <v>137</v>
      </c>
      <c r="B15" s="70" t="str">
        <f>IF(ISBLANK(A15),"",INDEX('Error Log'!$A:$J,MATCH('Scores per segment'!$A15,'Error Log'!$A:$A,0),MATCH('Scores per segment'!B$1,'Error Log'!$A$1:$J$1,0)))</f>
        <v>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v>
      </c>
      <c r="C15" s="70" t="str">
        <f>IF(ISBLANK(A15),"",INDEX('Error Log'!$A:$J,MATCH('Scores per segment'!$A15,'Error Log'!$A:$A,0),MATCH('Scores per segment'!C$1,'Error Log'!$A$1:$J$1,0)))</f>
        <v>the us body that regulates internet addresses is looking to crack down on a canadian company using the new ' .
kevin spacey has reportedly paid have his his ' .
kevin spacey is reportedly among celebrities paying out to have their name removed from one of the ' .</v>
      </c>
      <c r="D15" s="70">
        <f>IF(H15=0,wdct(TRIM(C15)),0)</f>
        <v>44</v>
      </c>
      <c r="E15" s="70">
        <f>COUNTIFS('Error Log'!$A:$A,$A15,'Error Log'!$J:$J,E$1)</f>
        <v>2</v>
      </c>
      <c r="F15" s="70">
        <f>COUNTIFS('Error Log'!$A:$A,$A15,'Error Log'!$J:$J,F$1)</f>
        <v>2</v>
      </c>
      <c r="G15" s="70">
        <f>COUNTIFS('Error Log'!$A:$A,$A15,'Error Log'!$J:$J,G$1)</f>
        <v>0</v>
      </c>
      <c r="H15" s="70">
        <f>COUNTIFS('Error Log'!$A:$A,$A15,'Error Log'!$F:$F,"Source")</f>
        <v>0</v>
      </c>
      <c r="I15" s="70">
        <f>COUNTIFS('Error Log'!$A:$A,$A15,'Error Log'!$F:$F,"Target")</f>
        <v>0</v>
      </c>
      <c r="J15" s="71">
        <f t="shared" si="0"/>
        <v>65.909090909090907</v>
      </c>
    </row>
    <row r="16" spans="1:10">
      <c r="A16" s="78" t="s">
        <v>144</v>
      </c>
      <c r="B16" s="70" t="str">
        <f>IF(ISBLANK(A16),"",INDEX('Error Log'!$A:$J,MATCH('Scores per segment'!$A16,'Error Log'!$A:$A,0),MATCH('Scores per segment'!B$1,'Error Log'!$A$1:$J$1,0)))</f>
        <v>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v>
      </c>
      <c r="C16" s="70" t="str">
        <f>IF(ISBLANK(A16),"",INDEX('Error Log'!$A:$J,MATCH('Scores per segment'!$A16,'Error Log'!$A:$A,0),MATCH('Scores per segment'!C$1,'Error Log'!$A$1:$J$1,0)))</f>
        <v>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v>
      </c>
      <c r="D16" s="70">
        <f>IF(H16=0,wdct(TRIM(C16)),0)</f>
        <v>60</v>
      </c>
      <c r="E16" s="70">
        <f>COUNTIFS('Error Log'!$A:$A,$A16,'Error Log'!$J:$J,E$1)</f>
        <v>1</v>
      </c>
      <c r="F16" s="70">
        <f>COUNTIFS('Error Log'!$A:$A,$A16,'Error Log'!$J:$J,F$1)</f>
        <v>0</v>
      </c>
      <c r="G16" s="70">
        <f>COUNTIFS('Error Log'!$A:$A,$A16,'Error Log'!$J:$J,G$1)</f>
        <v>0</v>
      </c>
      <c r="H16" s="70">
        <f>COUNTIFS('Error Log'!$A:$A,$A16,'Error Log'!$F:$F,"Source")</f>
        <v>0</v>
      </c>
      <c r="I16" s="70">
        <f>COUNTIFS('Error Log'!$A:$A,$A16,'Error Log'!$F:$F,"Target")</f>
        <v>0</v>
      </c>
      <c r="J16" s="71">
        <f t="shared" si="0"/>
        <v>91.666666666666671</v>
      </c>
    </row>
    <row r="17" spans="1:10">
      <c r="A17" s="78" t="s">
        <v>148</v>
      </c>
      <c r="B17" s="70" t="str">
        <f>IF(ISBLANK(A17),"",INDEX('Error Log'!$A:$J,MATCH('Scores per segment'!$A17,'Error Log'!$A:$A,0),MATCH('Scores per segment'!B$1,'Error Log'!$A$1:$J$1,0)))</f>
        <v>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v>
      </c>
      <c r="C17" s="70" t="str">
        <f>IF(ISBLANK(A17),"",INDEX('Error Log'!$A:$J,MATCH('Scores per segment'!$A17,'Error Log'!$A:$A,0),MATCH('Scores per segment'!C$1,'Error Log'!$A$1:$J$1,0)))</f>
        <v>police exhumed the boy 's body from his grave in norfolk last year after the case came up for periodical review .
the woman , who has not been named , was arrested on suspicion of infanticide but the charge was dropped after she explained how the baby had been stillborn and that she had concealed the pregnancy from her family and friends .
he has now been reburied at weasenham st peter church , norfolk</v>
      </c>
      <c r="D17" s="70">
        <f>IF(H17=0,wdct(TRIM(C17)),0)</f>
        <v>71</v>
      </c>
      <c r="E17" s="70">
        <f>COUNTIFS('Error Log'!$A:$A,$A17,'Error Log'!$J:$J,E$1)</f>
        <v>1</v>
      </c>
      <c r="F17" s="70">
        <f>COUNTIFS('Error Log'!$A:$A,$A17,'Error Log'!$J:$J,F$1)</f>
        <v>1</v>
      </c>
      <c r="G17" s="70">
        <f>COUNTIFS('Error Log'!$A:$A,$A17,'Error Log'!$J:$J,G$1)</f>
        <v>0</v>
      </c>
      <c r="H17" s="70">
        <f>COUNTIFS('Error Log'!$A:$A,$A17,'Error Log'!$F:$F,"Source")</f>
        <v>0</v>
      </c>
      <c r="I17" s="70">
        <f>COUNTIFS('Error Log'!$A:$A,$A17,'Error Log'!$F:$F,"Target")</f>
        <v>0</v>
      </c>
      <c r="J17" s="71">
        <f t="shared" si="0"/>
        <v>89.436619718309856</v>
      </c>
    </row>
    <row r="18" spans="1:10">
      <c r="A18" s="78" t="s">
        <v>153</v>
      </c>
      <c r="B18" s="70" t="str">
        <f>IF(ISBLANK(A18),"",INDEX('Error Log'!$A:$J,MATCH('Scores per segment'!$A18,'Error Log'!$A:$A,0),MATCH('Scores per segment'!B$1,'Error Log'!$A$1:$J$1,0)))</f>
        <v>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v>
      </c>
      <c r="C18" s="70" t="str">
        <f>IF(ISBLANK(A18),"",INDEX('Error Log'!$A:$J,MATCH('Scores per segment'!$A18,'Error Log'!$A:$A,0),MATCH('Scores per segment'!C$1,'Error Log'!$A$1:$J$1,0)))</f>
        <v>manchester united manager louis van gaal says he has been dreaming of beating rivals city in sunday 's derby at old trafford but will have to do so without robin van persie .
robin van persie will not return to the fray for manchester united against manchester city on sunday
louis van gaal explained at his press conference on friday that van persie is not yet fit enough to play</v>
      </c>
      <c r="D18" s="70">
        <f>IF(H18=0,wdct(TRIM(C18)),0)</f>
        <v>69</v>
      </c>
      <c r="E18" s="70">
        <f>COUNTIFS('Error Log'!$A:$A,$A18,'Error Log'!$J:$J,E$1)</f>
        <v>0</v>
      </c>
      <c r="F18" s="70">
        <f>COUNTIFS('Error Log'!$A:$A,$A18,'Error Log'!$J:$J,F$1)</f>
        <v>0</v>
      </c>
      <c r="G18" s="70">
        <f>COUNTIFS('Error Log'!$A:$A,$A18,'Error Log'!$J:$J,G$1)</f>
        <v>0</v>
      </c>
      <c r="H18" s="70">
        <f>COUNTIFS('Error Log'!$A:$A,$A18,'Error Log'!$F:$F,"Source")</f>
        <v>0</v>
      </c>
      <c r="I18" s="70">
        <f>COUNTIFS('Error Log'!$A:$A,$A18,'Error Log'!$F:$F,"Target")</f>
        <v>0</v>
      </c>
      <c r="J18" s="71">
        <f t="shared" si="0"/>
        <v>100</v>
      </c>
    </row>
    <row r="19" spans="1:10">
      <c r="A19" s="78" t="s">
        <v>156</v>
      </c>
      <c r="B19" s="70" t="str">
        <f>IF(ISBLANK(A19),"",INDEX('Error Log'!$A:$J,MATCH('Scores per segment'!$A19,'Error Log'!$A:$A,0),MATCH('Scores per segment'!B$1,'Error Log'!$A$1:$J$1,0)))</f>
        <v>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v>
      </c>
      <c r="C19" s="70" t="str">
        <f>IF(ISBLANK(A19),"",INDEX('Error Log'!$A:$J,MATCH('Scores per segment'!$A19,'Error Log'!$A:$A,0),MATCH('Scores per segment'!C$1,'Error Log'!$A$1:$J$1,0)))</f>
        <v>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mr hicks ' family , from bath , took driver mr young to the high court ( pictured ) , where a judge ruled he had unlawfully imprisoned his passenger</v>
      </c>
      <c r="D19" s="70">
        <f>IF(H19=0,wdct(TRIM(C19)),0)</f>
        <v>87</v>
      </c>
      <c r="E19" s="70">
        <f>COUNTIFS('Error Log'!$A:$A,$A19,'Error Log'!$J:$J,E$1)</f>
        <v>1</v>
      </c>
      <c r="F19" s="70">
        <f>COUNTIFS('Error Log'!$A:$A,$A19,'Error Log'!$J:$J,F$1)</f>
        <v>0</v>
      </c>
      <c r="G19" s="70">
        <f>COUNTIFS('Error Log'!$A:$A,$A19,'Error Log'!$J:$J,G$1)</f>
        <v>0</v>
      </c>
      <c r="H19" s="70">
        <f>COUNTIFS('Error Log'!$A:$A,$A19,'Error Log'!$F:$F,"Source")</f>
        <v>0</v>
      </c>
      <c r="I19" s="70">
        <f>COUNTIFS('Error Log'!$A:$A,$A19,'Error Log'!$F:$F,"Target")</f>
        <v>0</v>
      </c>
      <c r="J19" s="71">
        <f t="shared" si="0"/>
        <v>94.252873563218401</v>
      </c>
    </row>
    <row r="20" spans="1:10">
      <c r="A20" s="78" t="s">
        <v>160</v>
      </c>
      <c r="B20" s="70" t="str">
        <f>IF(ISBLANK(A20),"",INDEX('Error Log'!$A:$J,MATCH('Scores per segment'!$A20,'Error Log'!$A:$A,0),MATCH('Scores per segment'!B$1,'Error Log'!$A$1:$J$1,0)))</f>
        <v>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v>
      </c>
      <c r="C20" s="70" t="str">
        <f>IF(ISBLANK(A20),"",INDEX('Error Log'!$A:$J,MATCH('Scores per segment'!$A20,'Error Log'!$A:$A,0),MATCH('Scores per segment'!C$1,'Error Log'!$A$1:$J$1,0)))</f>
        <v>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the cheapest tickets for the lunchtime kick-off were £ 64 , some of the highest prices in the premier league</v>
      </c>
      <c r="D20" s="70">
        <f>IF(H20=0,wdct(TRIM(C20)),0)</f>
        <v>95</v>
      </c>
      <c r="E20" s="70">
        <f>COUNTIFS('Error Log'!$A:$A,$A20,'Error Log'!$J:$J,E$1)</f>
        <v>1</v>
      </c>
      <c r="F20" s="70">
        <f>COUNTIFS('Error Log'!$A:$A,$A20,'Error Log'!$J:$J,F$1)</f>
        <v>1</v>
      </c>
      <c r="G20" s="70">
        <f>COUNTIFS('Error Log'!$A:$A,$A20,'Error Log'!$J:$J,G$1)</f>
        <v>0</v>
      </c>
      <c r="H20" s="70">
        <f>COUNTIFS('Error Log'!$A:$A,$A20,'Error Log'!$F:$F,"Source")</f>
        <v>0</v>
      </c>
      <c r="I20" s="70">
        <f>COUNTIFS('Error Log'!$A:$A,$A20,'Error Log'!$F:$F,"Target")</f>
        <v>0</v>
      </c>
      <c r="J20" s="71">
        <f t="shared" si="0"/>
        <v>92.10526315789474</v>
      </c>
    </row>
    <row r="21" spans="1:10">
      <c r="A21" s="78" t="s">
        <v>165</v>
      </c>
      <c r="B21" s="70" t="str">
        <f>IF(ISBLANK(A21),"",INDEX('Error Log'!$A:$J,MATCH('Scores per segment'!$A21,'Error Log'!$A:$A,0),MATCH('Scores per segment'!B$1,'Error Log'!$A$1:$J$1,0)))</f>
        <v>(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v>
      </c>
      <c r="C21" s="70" t="str">
        <f>IF(ISBLANK(A21),"",INDEX('Error Log'!$A:$J,MATCH('Scores per segment'!$A21,'Error Log'!$A:$A,0),MATCH('Scores per segment'!C$1,'Error Log'!$A$1:$J$1,0)))</f>
        <v>spotters reported a tornado about 6 miles northwest of goddard , which is less than 15 miles west of wichita .
three of the sightings were near aetna , 125 miles southwest of wichita .
the national weather service indicated a tornado may have touched down in the small town of potosi , missouri , about 70 miles from st. louis .</v>
      </c>
      <c r="D21" s="70">
        <f>IF(H21=0,wdct(TRIM(C21)),0)</f>
        <v>55</v>
      </c>
      <c r="E21" s="70">
        <f>COUNTIFS('Error Log'!$A:$A,$A21,'Error Log'!$J:$J,E$1)</f>
        <v>1</v>
      </c>
      <c r="F21" s="70">
        <f>COUNTIFS('Error Log'!$A:$A,$A21,'Error Log'!$J:$J,F$1)</f>
        <v>0</v>
      </c>
      <c r="G21" s="70">
        <f>COUNTIFS('Error Log'!$A:$A,$A21,'Error Log'!$J:$J,G$1)</f>
        <v>0</v>
      </c>
      <c r="H21" s="70">
        <f>COUNTIFS('Error Log'!$A:$A,$A21,'Error Log'!$F:$F,"Source")</f>
        <v>0</v>
      </c>
      <c r="I21" s="70">
        <f>COUNTIFS('Error Log'!$A:$A,$A21,'Error Log'!$F:$F,"Target")</f>
        <v>0</v>
      </c>
      <c r="J21" s="71">
        <f t="shared" si="0"/>
        <v>90.909090909090907</v>
      </c>
    </row>
    <row r="22" spans="1:10">
      <c r="A22" s="79" t="s">
        <v>169</v>
      </c>
      <c r="B22" s="70" t="str">
        <f>IF(ISBLANK(A22),"",INDEX('Error Log'!$A:$J,MATCH('Scores per segment'!$A22,'Error Log'!$A:$A,0),MATCH('Scores per segment'!B$1,'Error Log'!$A$1:$J$1,0)))</f>
        <v>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v>
      </c>
      <c r="C22" s="70" t="str">
        <f>IF(ISBLANK(A22),"",INDEX('Error Log'!$A:$J,MATCH('Scores per segment'!$A22,'Error Log'!$A:$A,0),MATCH('Scores per segment'!C$1,'Error Log'!$A$1:$J$1,0)))</f>
        <v>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v>
      </c>
      <c r="D22" s="70">
        <f>IF(H22=0,wdct(TRIM(C22)),0)</f>
        <v>71</v>
      </c>
      <c r="E22" s="70">
        <f>COUNTIFS('Error Log'!$A:$A,$A22,'Error Log'!$J:$J,E$1)</f>
        <v>2</v>
      </c>
      <c r="F22" s="70">
        <f>COUNTIFS('Error Log'!$A:$A,$A22,'Error Log'!$J:$J,F$1)</f>
        <v>2</v>
      </c>
      <c r="G22" s="70">
        <f>COUNTIFS('Error Log'!$A:$A,$A22,'Error Log'!$J:$J,G$1)</f>
        <v>0</v>
      </c>
      <c r="H22" s="70">
        <f>COUNTIFS('Error Log'!$A:$A,$A22,'Error Log'!$F:$F,"Source")</f>
        <v>0</v>
      </c>
      <c r="I22" s="70">
        <f>COUNTIFS('Error Log'!$A:$A,$A22,'Error Log'!$F:$F,"Target")</f>
        <v>0</v>
      </c>
      <c r="J22" s="71">
        <f t="shared" si="0"/>
        <v>78.873239436619713</v>
      </c>
    </row>
    <row r="23" spans="1:10">
      <c r="A23" s="79" t="s">
        <v>176</v>
      </c>
      <c r="B23" s="70" t="str">
        <f>IF(ISBLANK(A23),"",INDEX('Error Log'!$A:$J,MATCH('Scores per segment'!$A23,'Error Log'!$A:$A,0),MATCH('Scores per segment'!B$1,'Error Log'!$A$1:$J$1,0)))</f>
        <v>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v>
      </c>
      <c r="C23" s="70" t="str">
        <f>IF(ISBLANK(A23),"",INDEX('Error Log'!$A:$J,MATCH('Scores per segment'!$A23,'Error Log'!$A:$A,0),MATCH('Scores per segment'!C$1,'Error Log'!$A$1:$J$1,0)))</f>
        <v>luke rockhold is ready to be the bull to lyoto machida 's matador when the middleweights collide in new jersey on saturday .
the californian is bidding for his fourth consecutive victory since losing to vitor belfort two years ago and has a title shot in his sights .
lyoto machida ( left ) and luke rockhold face off ahead of their middleweight clash this weekend</v>
      </c>
      <c r="D23" s="70">
        <f>IF(H23=0,wdct(TRIM(C23)),0)</f>
        <v>62</v>
      </c>
      <c r="E23" s="70">
        <f>COUNTIFS('Error Log'!$A:$A,$A23,'Error Log'!$J:$J,E$1)</f>
        <v>0</v>
      </c>
      <c r="F23" s="70">
        <f>COUNTIFS('Error Log'!$A:$A,$A23,'Error Log'!$J:$J,F$1)</f>
        <v>1</v>
      </c>
      <c r="G23" s="70">
        <f>COUNTIFS('Error Log'!$A:$A,$A23,'Error Log'!$J:$J,G$1)</f>
        <v>0</v>
      </c>
      <c r="H23" s="70">
        <f>COUNTIFS('Error Log'!$A:$A,$A23,'Error Log'!$F:$F,"Source")</f>
        <v>0</v>
      </c>
      <c r="I23" s="70">
        <f>COUNTIFS('Error Log'!$A:$A,$A23,'Error Log'!$F:$F,"Target")</f>
        <v>0</v>
      </c>
      <c r="J23" s="71">
        <f t="shared" si="0"/>
        <v>95.967741935483872</v>
      </c>
    </row>
    <row r="24" spans="1:10">
      <c r="A24" s="79" t="s">
        <v>179</v>
      </c>
      <c r="B24" s="70" t="str">
        <f>IF(ISBLANK(A24),"",INDEX('Error Log'!$A:$J,MATCH('Scores per segment'!$A24,'Error Log'!$A:$A,0),MATCH('Scores per segment'!B$1,'Error Log'!$A$1:$J$1,0)))</f>
        <v>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v>
      </c>
      <c r="C24" s="70" t="str">
        <f>IF(ISBLANK(A24),"",INDEX('Error Log'!$A:$J,MATCH('Scores per segment'!$A24,'Error Log'!$A:$A,0),MATCH('Scores per segment'!C$1,'Error Log'!$A$1:$J$1,0)))</f>
        <v>taking part in audi 's football challenge , hazard and nathan ake paired up to take on loic remy and willian in a head-to-head challenge for the car manufacturers .
one of the challenges the chelsea players were set was to sink balls into convertible audi 's from long range
17-goal man eden hazard and youngster nathan ake took on blues ' team-mates loic remy and willian</v>
      </c>
      <c r="D24" s="70">
        <f>IF(H24=0,wdct(TRIM(C24)),0)</f>
        <v>64</v>
      </c>
      <c r="E24" s="70">
        <f>COUNTIFS('Error Log'!$A:$A,$A24,'Error Log'!$J:$J,E$1)</f>
        <v>2</v>
      </c>
      <c r="F24" s="70">
        <f>COUNTIFS('Error Log'!$A:$A,$A24,'Error Log'!$J:$J,F$1)</f>
        <v>2</v>
      </c>
      <c r="G24" s="70">
        <f>COUNTIFS('Error Log'!$A:$A,$A24,'Error Log'!$J:$J,G$1)</f>
        <v>0</v>
      </c>
      <c r="H24" s="70">
        <f>COUNTIFS('Error Log'!$A:$A,$A24,'Error Log'!$F:$F,"Source")</f>
        <v>0</v>
      </c>
      <c r="I24" s="70">
        <f>COUNTIFS('Error Log'!$A:$A,$A24,'Error Log'!$F:$F,"Target")</f>
        <v>0</v>
      </c>
      <c r="J24" s="71">
        <f t="shared" si="0"/>
        <v>76.5625</v>
      </c>
    </row>
    <row r="25" spans="1:10">
      <c r="A25" s="79" t="s">
        <v>186</v>
      </c>
      <c r="B25" s="70" t="str">
        <f>IF(ISBLANK(A25),"",INDEX('Error Log'!$A:$J,MATCH('Scores per segment'!$A25,'Error Log'!$A:$A,0),MATCH('Scores per segment'!B$1,'Error Log'!$A$1:$J$1,0)))</f>
        <v>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v>
      </c>
      <c r="C25" s="70" t="str">
        <f>IF(ISBLANK(A25),"",INDEX('Error Log'!$A:$J,MATCH('Scores per segment'!$A25,'Error Log'!$A:$A,0),MATCH('Scores per segment'!C$1,'Error Log'!$A$1:$J$1,0)))</f>
        <v>captured in fort pierce , florida , the shocking footage shows the light general aviation aircraft approaching the aero acres residential airpark .
the light general aviation aircraft approaches the aero acres residential airpark and touches down without its landing gear deployed
the plane 's propellers can be heard ricocheting off the ground as the wings bounce up and down from the impact</v>
      </c>
      <c r="D25" s="70">
        <f>IF(H25=0,wdct(TRIM(C25)),0)</f>
        <v>60</v>
      </c>
      <c r="E25" s="70">
        <f>COUNTIFS('Error Log'!$A:$A,$A25,'Error Log'!$J:$J,E$1)</f>
        <v>1</v>
      </c>
      <c r="F25" s="70">
        <f>COUNTIFS('Error Log'!$A:$A,$A25,'Error Log'!$J:$J,F$1)</f>
        <v>0</v>
      </c>
      <c r="G25" s="70">
        <f>COUNTIFS('Error Log'!$A:$A,$A25,'Error Log'!$J:$J,G$1)</f>
        <v>0</v>
      </c>
      <c r="H25" s="70">
        <f>COUNTIFS('Error Log'!$A:$A,$A25,'Error Log'!$F:$F,"Source")</f>
        <v>0</v>
      </c>
      <c r="I25" s="70">
        <f>COUNTIFS('Error Log'!$A:$A,$A25,'Error Log'!$F:$F,"Target")</f>
        <v>0</v>
      </c>
      <c r="J25" s="71">
        <f t="shared" si="0"/>
        <v>91.666666666666671</v>
      </c>
    </row>
    <row r="26" spans="1:10">
      <c r="A26" s="89" t="s">
        <v>190</v>
      </c>
      <c r="B26" s="70" t="str">
        <f>IF(ISBLANK(A26),"",INDEX('Error Log'!$A:$J,MATCH('Scores per segment'!$A26,'Error Log'!$A:$A,0),MATCH('Scores per segment'!B$1,'Error Log'!$A$1:$J$1,0)))</f>
        <v>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v>
      </c>
      <c r="C26" s="70" t="str">
        <f>IF(ISBLANK(A26),"",INDEX('Error Log'!$A:$J,MATCH('Scores per segment'!$A26,'Error Log'!$A:$A,0),MATCH('Scores per segment'!C$1,'Error Log'!$A$1:$J$1,0)))</f>
        <v>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tragic : john timmons , 29 , and amanda murphy , 24 , were killed instantly in the crash on december 7 , 2013</v>
      </c>
      <c r="D26" s="70">
        <f>IF(H26=0,wdct(TRIM(C26)),0)</f>
        <v>72</v>
      </c>
      <c r="E26" s="70">
        <f>COUNTIFS('Error Log'!$A:$A,$A26,'Error Log'!$J:$J,E$1)</f>
        <v>3</v>
      </c>
      <c r="F26" s="70">
        <f>COUNTIFS('Error Log'!$A:$A,$A26,'Error Log'!$J:$J,F$1)</f>
        <v>1</v>
      </c>
      <c r="G26" s="70">
        <f>COUNTIFS('Error Log'!$A:$A,$A26,'Error Log'!$J:$J,G$1)</f>
        <v>0</v>
      </c>
      <c r="H26" s="70">
        <f>COUNTIFS('Error Log'!$A:$A,$A26,'Error Log'!$F:$F,"Source")</f>
        <v>0</v>
      </c>
      <c r="I26" s="70">
        <f>COUNTIFS('Error Log'!$A:$A,$A26,'Error Log'!$F:$F,"Target")</f>
        <v>0</v>
      </c>
      <c r="J26" s="71">
        <f t="shared" si="0"/>
        <v>75.694444444444443</v>
      </c>
    </row>
    <row r="27" spans="1:10">
      <c r="A27" s="79" t="s">
        <v>198</v>
      </c>
      <c r="B27" s="70" t="str">
        <f>IF(ISBLANK(A27),"",INDEX('Error Log'!$A:$J,MATCH('Scores per segment'!$A27,'Error Log'!$A:$A,0),MATCH('Scores per segment'!B$1,'Error Log'!$A$1:$J$1,0)))</f>
        <v>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v>
      </c>
      <c r="C27" s="70" t="str">
        <f>IF(ISBLANK(A27),"",INDEX('Error Log'!$A:$J,MATCH('Scores per segment'!$A27,'Error Log'!$A:$A,0),MATCH('Scores per segment'!C$1,'Error Log'!$A$1:$J$1,0)))</f>
        <v>manuel pellegrini has admitted he is disappointed in yaya toure but vowed to back the manchester city midfielder -- at least until the end of the season .
manuel pellegrini has admitted he has been disappointed by the ivory coast midfielder 's level
city boss pellegrini has vowed to support toure until at least the end of the season</v>
      </c>
      <c r="D27" s="70">
        <f>IF(H27=0,wdct(TRIM(C27)),0)</f>
        <v>57</v>
      </c>
      <c r="E27" s="70">
        <f>COUNTIFS('Error Log'!$A:$A,$A27,'Error Log'!$J:$J,E$1)</f>
        <v>3</v>
      </c>
      <c r="F27" s="70">
        <f>COUNTIFS('Error Log'!$A:$A,$A27,'Error Log'!$J:$J,F$1)</f>
        <v>2</v>
      </c>
      <c r="G27" s="70">
        <f>COUNTIFS('Error Log'!$A:$A,$A27,'Error Log'!$J:$J,G$1)</f>
        <v>0</v>
      </c>
      <c r="H27" s="70">
        <f>COUNTIFS('Error Log'!$A:$A,$A27,'Error Log'!$F:$F,"Source")</f>
        <v>0</v>
      </c>
      <c r="I27" s="70">
        <f>COUNTIFS('Error Log'!$A:$A,$A27,'Error Log'!$F:$F,"Target")</f>
        <v>0</v>
      </c>
      <c r="J27" s="71">
        <f t="shared" si="0"/>
        <v>64.912280701754383</v>
      </c>
    </row>
    <row r="28" spans="1:10">
      <c r="A28" s="79" t="s">
        <v>207</v>
      </c>
      <c r="B28" s="70" t="str">
        <f>IF(ISBLANK(A28),"",INDEX('Error Log'!$A:$J,MATCH('Scores per segment'!$A28,'Error Log'!$A:$A,0),MATCH('Scores per segment'!B$1,'Error Log'!$A$1:$J$1,0)))</f>
        <v>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v>
      </c>
      <c r="C28" s="70" t="str">
        <f>IF(ISBLANK(A28),"",INDEX('Error Log'!$A:$J,MATCH('Scores per segment'!$A28,'Error Log'!$A:$A,0),MATCH('Scores per segment'!C$1,'Error Log'!$A$1:$J$1,0)))</f>
        <v>lacey spears of scottsville , kentucky , who was spared the maximum 25 years to life , appeared emotionless as the verdict was read in the death of her son garnett-paul spears .
lacey spears of scottsville , kentucky , was found guilty last month of second-degree murder in the death of her son at a suburban new york hospital ( pictured wednesday )
the new york judge who sentenced spears on wednesday said she suffers from a mental illness and said the crime was still ` unfathomable in its cruelty . '</v>
      </c>
      <c r="D28" s="70">
        <f>IF(H28=0,wdct(TRIM(C28)),0)</f>
        <v>82</v>
      </c>
      <c r="E28" s="70">
        <f>COUNTIFS('Error Log'!$A:$A,$A28,'Error Log'!$J:$J,E$1)</f>
        <v>2</v>
      </c>
      <c r="F28" s="70">
        <f>COUNTIFS('Error Log'!$A:$A,$A28,'Error Log'!$J:$J,F$1)</f>
        <v>0</v>
      </c>
      <c r="G28" s="70">
        <f>COUNTIFS('Error Log'!$A:$A,$A28,'Error Log'!$J:$J,G$1)</f>
        <v>0</v>
      </c>
      <c r="H28" s="70">
        <f>COUNTIFS('Error Log'!$A:$A,$A28,'Error Log'!$F:$F,"Source")</f>
        <v>0</v>
      </c>
      <c r="I28" s="70">
        <f>COUNTIFS('Error Log'!$A:$A,$A28,'Error Log'!$F:$F,"Target")</f>
        <v>0</v>
      </c>
      <c r="J28" s="71">
        <f t="shared" si="0"/>
        <v>87.804878048780495</v>
      </c>
    </row>
    <row r="29" spans="1:10">
      <c r="A29" s="79" t="s">
        <v>212</v>
      </c>
      <c r="B29" s="70" t="str">
        <f>IF(ISBLANK(A29),"",INDEX('Error Log'!$A:$J,MATCH('Scores per segment'!$A29,'Error Log'!$A:$A,0),MATCH('Scores per segment'!B$1,'Error Log'!$A$1:$J$1,0)))</f>
        <v>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v>
      </c>
      <c r="C29" s="70" t="str">
        <f>IF(ISBLANK(A29),"",INDEX('Error Log'!$A:$J,MATCH('Scores per segment'!$A29,'Error Log'!$A:$A,0),MATCH('Scores per segment'!C$1,'Error Log'!$A$1:$J$1,0)))</f>
        <v>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sentence dropped : domenico rancadore ( right and left ) fled to britain in the 1990s and was convicted in his absence in italy for his role as a ` man of honour '</v>
      </c>
      <c r="D29" s="70">
        <f>IF(H29=0,wdct(TRIM(C29)),0)</f>
        <v>81</v>
      </c>
      <c r="E29" s="70">
        <f>COUNTIFS('Error Log'!$A:$A,$A29,'Error Log'!$J:$J,E$1)</f>
        <v>1</v>
      </c>
      <c r="F29" s="70">
        <f>COUNTIFS('Error Log'!$A:$A,$A29,'Error Log'!$J:$J,F$1)</f>
        <v>4</v>
      </c>
      <c r="G29" s="70">
        <f>COUNTIFS('Error Log'!$A:$A,$A29,'Error Log'!$J:$J,G$1)</f>
        <v>0</v>
      </c>
      <c r="H29" s="70">
        <f>COUNTIFS('Error Log'!$A:$A,$A29,'Error Log'!$F:$F,"Source")</f>
        <v>0</v>
      </c>
      <c r="I29" s="70">
        <f>COUNTIFS('Error Log'!$A:$A,$A29,'Error Log'!$F:$F,"Target")</f>
        <v>0</v>
      </c>
      <c r="J29" s="71">
        <f t="shared" si="0"/>
        <v>81.481481481481481</v>
      </c>
    </row>
    <row r="30" spans="1:10">
      <c r="A30" s="79" t="s">
        <v>218</v>
      </c>
      <c r="B30" s="70" t="str">
        <f>IF(ISBLANK(A30),"",INDEX('Error Log'!$A:$J,MATCH('Scores per segment'!$A30,'Error Log'!$A:$A,0),MATCH('Scores per segment'!B$1,'Error Log'!$A$1:$J$1,0)))</f>
        <v>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v>
      </c>
      <c r="C30" s="70" t="str">
        <f>IF(ISBLANK(A30),"",INDEX('Error Log'!$A:$J,MATCH('Scores per segment'!$A30,'Error Log'!$A:$A,0),MATCH('Scores per segment'!C$1,'Error Log'!$A$1:$J$1,0)))</f>
        <v>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experts say the modified version of the vaccination is worth waiting for .</v>
      </c>
      <c r="D30" s="70">
        <f>IF(H30=0,wdct(TRIM(C30)),0)</f>
        <v>73</v>
      </c>
      <c r="E30" s="70">
        <f>COUNTIFS('Error Log'!$A:$A,$A30,'Error Log'!$J:$J,E$1)</f>
        <v>2</v>
      </c>
      <c r="F30" s="70">
        <f>COUNTIFS('Error Log'!$A:$A,$A30,'Error Log'!$J:$J,F$1)</f>
        <v>2</v>
      </c>
      <c r="G30" s="70">
        <f>COUNTIFS('Error Log'!$A:$A,$A30,'Error Log'!$J:$J,G$1)</f>
        <v>0</v>
      </c>
      <c r="H30" s="70">
        <f>COUNTIFS('Error Log'!$A:$A,$A30,'Error Log'!$F:$F,"Source")</f>
        <v>0</v>
      </c>
      <c r="I30" s="70">
        <f>COUNTIFS('Error Log'!$A:$A,$A30,'Error Log'!$F:$F,"Target")</f>
        <v>0</v>
      </c>
      <c r="J30" s="71">
        <f t="shared" si="0"/>
        <v>79.452054794520549</v>
      </c>
    </row>
    <row r="31" spans="1:10">
      <c r="A31" s="79" t="s">
        <v>226</v>
      </c>
      <c r="B31" s="70" t="str">
        <f>IF(ISBLANK(A31),"",INDEX('Error Log'!$A:$J,MATCH('Scores per segment'!$A31,'Error Log'!$A:$A,0),MATCH('Scores per segment'!B$1,'Error Log'!$A$1:$J$1,0)))</f>
        <v>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v>
      </c>
      <c r="C31" s="70" t="str">
        <f>IF(ISBLANK(A31),"",INDEX('Error Log'!$A:$J,MATCH('Scores per segment'!$A31,'Error Log'!$A:$A,0),MATCH('Scores per segment'!C$1,'Error Log'!$A$1:$J$1,0)))</f>
        <v>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v>
      </c>
      <c r="D31" s="70">
        <f>IF(H31=0,wdct(TRIM(C31)),0)</f>
        <v>68</v>
      </c>
      <c r="E31" s="70">
        <f>COUNTIFS('Error Log'!$A:$A,$A31,'Error Log'!$J:$J,E$1)</f>
        <v>1</v>
      </c>
      <c r="F31" s="70">
        <f>COUNTIFS('Error Log'!$A:$A,$A31,'Error Log'!$J:$J,F$1)</f>
        <v>1</v>
      </c>
      <c r="G31" s="70">
        <f>COUNTIFS('Error Log'!$A:$A,$A31,'Error Log'!$J:$J,G$1)</f>
        <v>0</v>
      </c>
      <c r="H31" s="70">
        <f>COUNTIFS('Error Log'!$A:$A,$A31,'Error Log'!$F:$F,"Source")</f>
        <v>0</v>
      </c>
      <c r="I31" s="70">
        <f>COUNTIFS('Error Log'!$A:$A,$A31,'Error Log'!$F:$F,"Target")</f>
        <v>0</v>
      </c>
      <c r="J31" s="71">
        <f t="shared" si="0"/>
        <v>88.970588235294116</v>
      </c>
    </row>
    <row r="32" spans="1:10">
      <c r="A32" s="79" t="s">
        <v>231</v>
      </c>
      <c r="B32" s="70" t="str">
        <f>IF(ISBLANK(A32),"",INDEX('Error Log'!$A:$J,MATCH('Scores per segment'!$A32,'Error Log'!$A:$A,0),MATCH('Scores per segment'!B$1,'Error Log'!$A$1:$J$1,0)))</f>
        <v>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v>
      </c>
      <c r="C32" s="70" t="str">
        <f>IF(ISBLANK(A32),"",INDEX('Error Log'!$A:$J,MATCH('Scores per segment'!$A32,'Error Log'!$A:$A,0),MATCH('Scores per segment'!C$1,'Error Log'!$A$1:$J$1,0)))</f>
        <v>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killing : president lincoln was assassinated by john wilkes booth at a performance of the play ` our american cousin ' in april 1865</v>
      </c>
      <c r="D32" s="70">
        <f>IF(H32=0,wdct(TRIM(C32)),0)</f>
        <v>119</v>
      </c>
      <c r="E32" s="70">
        <f>COUNTIFS('Error Log'!$A:$A,$A32,'Error Log'!$J:$J,E$1)</f>
        <v>5</v>
      </c>
      <c r="F32" s="70">
        <f>COUNTIFS('Error Log'!$A:$A,$A32,'Error Log'!$J:$J,F$1)</f>
        <v>1</v>
      </c>
      <c r="G32" s="70">
        <f>COUNTIFS('Error Log'!$A:$A,$A32,'Error Log'!$J:$J,G$1)</f>
        <v>0</v>
      </c>
      <c r="H32" s="70">
        <f>COUNTIFS('Error Log'!$A:$A,$A32,'Error Log'!$F:$F,"Source")</f>
        <v>0</v>
      </c>
      <c r="I32" s="70">
        <f>COUNTIFS('Error Log'!$A:$A,$A32,'Error Log'!$F:$F,"Target")</f>
        <v>0</v>
      </c>
      <c r="J32" s="71">
        <f t="shared" si="0"/>
        <v>76.890756302521012</v>
      </c>
    </row>
    <row r="33" spans="1:10">
      <c r="A33" s="79" t="s">
        <v>241</v>
      </c>
      <c r="B33" s="70" t="str">
        <f>IF(ISBLANK(A33),"",INDEX('Error Log'!$A:$J,MATCH('Scores per segment'!$A33,'Error Log'!$A:$A,0),MATCH('Scores per segment'!B$1,'Error Log'!$A$1:$J$1,0)))</f>
        <v>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v>
      </c>
      <c r="C33" s="70" t="str">
        <f>IF(ISBLANK(A33),"",INDEX('Error Log'!$A:$J,MATCH('Scores per segment'!$A33,'Error Log'!$A:$A,0),MATCH('Scores per segment'!C$1,'Error Log'!$A$1:$J$1,0)))</f>
        <v>virginia trimble ritter 's daughter , marcia , was raped and choked to death by jerome sydney barrett in 1975 .
marcia 's body was found 33 days after she disappeared and ritter 's then-husband advised her against seeing the body and the crime scene photos .
virginia trimble ritter 's daughter , marcia , was raped and choked to death by jerome sydney barrett in 1975</v>
      </c>
      <c r="D33" s="70">
        <f>IF(H33=0,wdct(TRIM(C33)),0)</f>
        <v>61</v>
      </c>
      <c r="E33" s="70">
        <f>COUNTIFS('Error Log'!$A:$A,$A33,'Error Log'!$J:$J,E$1)</f>
        <v>3</v>
      </c>
      <c r="F33" s="70">
        <f>COUNTIFS('Error Log'!$A:$A,$A33,'Error Log'!$J:$J,F$1)</f>
        <v>2</v>
      </c>
      <c r="G33" s="70">
        <f>COUNTIFS('Error Log'!$A:$A,$A33,'Error Log'!$J:$J,G$1)</f>
        <v>0</v>
      </c>
      <c r="H33" s="70">
        <f>COUNTIFS('Error Log'!$A:$A,$A33,'Error Log'!$F:$F,"Source")</f>
        <v>0</v>
      </c>
      <c r="I33" s="70">
        <f>COUNTIFS('Error Log'!$A:$A,$A33,'Error Log'!$F:$F,"Target")</f>
        <v>0</v>
      </c>
      <c r="J33" s="71">
        <f t="shared" si="0"/>
        <v>67.21311475409837</v>
      </c>
    </row>
    <row r="34" spans="1:10">
      <c r="A34" s="79" t="s">
        <v>250</v>
      </c>
      <c r="B34" s="70" t="str">
        <f>IF(ISBLANK(A34),"",INDEX('Error Log'!$A:$J,MATCH('Scores per segment'!$A34,'Error Log'!$A:$A,0),MATCH('Scores per segment'!B$1,'Error Log'!$A$1:$J$1,0)))</f>
        <v>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v>
      </c>
      <c r="C34" s="70" t="str">
        <f>IF(ISBLANK(A34),"",INDEX('Error Log'!$A:$J,MATCH('Scores per segment'!$A34,'Error Log'!$A:$A,0),MATCH('Scores per segment'!C$1,'Error Log'!$A$1:$J$1,0)))</f>
        <v>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femail rounds up the worst offenders ...</v>
      </c>
      <c r="D34" s="70">
        <f>IF(H34=0,wdct(TRIM(C34)),0)</f>
        <v>61</v>
      </c>
      <c r="E34" s="70">
        <f>COUNTIFS('Error Log'!$A:$A,$A34,'Error Log'!$J:$J,E$1)</f>
        <v>1</v>
      </c>
      <c r="F34" s="70">
        <f>COUNTIFS('Error Log'!$A:$A,$A34,'Error Log'!$J:$J,F$1)</f>
        <v>2</v>
      </c>
      <c r="G34" s="70">
        <f>COUNTIFS('Error Log'!$A:$A,$A34,'Error Log'!$J:$J,G$1)</f>
        <v>0</v>
      </c>
      <c r="H34" s="70">
        <f>COUNTIFS('Error Log'!$A:$A,$A34,'Error Log'!$F:$F,"Source")</f>
        <v>0</v>
      </c>
      <c r="I34" s="70">
        <f>COUNTIFS('Error Log'!$A:$A,$A34,'Error Log'!$F:$F,"Target")</f>
        <v>0</v>
      </c>
      <c r="J34" s="71">
        <f t="shared" si="0"/>
        <v>83.606557377049185</v>
      </c>
    </row>
    <row r="35" spans="1:10">
      <c r="A35" s="79" t="s">
        <v>257</v>
      </c>
      <c r="B35" s="70" t="str">
        <f>IF(ISBLANK(A35),"",INDEX('Error Log'!$A:$J,MATCH('Scores per segment'!$A35,'Error Log'!$A:$A,0),MATCH('Scores per segment'!B$1,'Error Log'!$A$1:$J$1,0)))</f>
        <v>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v>
      </c>
      <c r="C35" s="70" t="str">
        <f>IF(ISBLANK(A35),"",INDEX('Error Log'!$A:$J,MATCH('Scores per segment'!$A35,'Error Log'!$A:$A,0),MATCH('Scores per segment'!C$1,'Error Log'!$A$1:$J$1,0)))</f>
        <v>rory mcilroy believes it is ` unthinkable ' that he will not win the masters at some point to complete the career grand slam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v>
      </c>
      <c r="D35" s="70">
        <f>IF(H35=0,wdct(TRIM(C35)),0)</f>
        <v>71</v>
      </c>
      <c r="E35" s="70">
        <f>COUNTIFS('Error Log'!$A:$A,$A35,'Error Log'!$J:$J,E$1)</f>
        <v>2</v>
      </c>
      <c r="F35" s="70">
        <f>COUNTIFS('Error Log'!$A:$A,$A35,'Error Log'!$J:$J,F$1)</f>
        <v>1</v>
      </c>
      <c r="G35" s="70">
        <f>COUNTIFS('Error Log'!$A:$A,$A35,'Error Log'!$J:$J,G$1)</f>
        <v>0</v>
      </c>
      <c r="H35" s="70">
        <f>COUNTIFS('Error Log'!$A:$A,$A35,'Error Log'!$F:$F,"Source")</f>
        <v>0</v>
      </c>
      <c r="I35" s="70">
        <f>COUNTIFS('Error Log'!$A:$A,$A35,'Error Log'!$F:$F,"Target")</f>
        <v>0</v>
      </c>
      <c r="J35" s="71">
        <f t="shared" si="0"/>
        <v>82.394366197183103</v>
      </c>
    </row>
    <row r="36" spans="1:10">
      <c r="A36" s="79" t="s">
        <v>263</v>
      </c>
      <c r="B36" s="70" t="str">
        <f>IF(ISBLANK(A36),"",INDEX('Error Log'!$A:$J,MATCH('Scores per segment'!$A36,'Error Log'!$A:$A,0),MATCH('Scores per segment'!B$1,'Error Log'!$A$1:$J$1,0)))</f>
        <v>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v>
      </c>
      <c r="C36" s="70" t="str">
        <f>IF(ISBLANK(A36),"",INDEX('Error Log'!$A:$J,MATCH('Scores per segment'!$A36,'Error Log'!$A:$A,0),MATCH('Scores per segment'!C$1,'Error Log'!$A$1:$J$1,0)))</f>
        <v>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jurgen klopp confirmed in a press conference he is to leave borussia dortmund this summer</v>
      </c>
      <c r="D36" s="70">
        <f>IF(H36=0,wdct(TRIM(C36)),0)</f>
        <v>78</v>
      </c>
      <c r="E36" s="70">
        <f>COUNTIFS('Error Log'!$A:$A,$A36,'Error Log'!$J:$J,E$1)</f>
        <v>4</v>
      </c>
      <c r="F36" s="70">
        <f>COUNTIFS('Error Log'!$A:$A,$A36,'Error Log'!$J:$J,F$1)</f>
        <v>1</v>
      </c>
      <c r="G36" s="70">
        <f>COUNTIFS('Error Log'!$A:$A,$A36,'Error Log'!$J:$J,G$1)</f>
        <v>0</v>
      </c>
      <c r="H36" s="70">
        <f>COUNTIFS('Error Log'!$A:$A,$A36,'Error Log'!$F:$F,"Source")</f>
        <v>0</v>
      </c>
      <c r="I36" s="70">
        <f>COUNTIFS('Error Log'!$A:$A,$A36,'Error Log'!$F:$F,"Target")</f>
        <v>0</v>
      </c>
      <c r="J36" s="71">
        <f t="shared" si="0"/>
        <v>71.15384615384616</v>
      </c>
    </row>
    <row r="37" spans="1:10">
      <c r="A37" s="79" t="s">
        <v>271</v>
      </c>
      <c r="B37" s="70" t="str">
        <f>IF(ISBLANK(A37),"",INDEX('Error Log'!$A:$J,MATCH('Scores per segment'!$A37,'Error Log'!$A:$A,0),MATCH('Scores per segment'!B$1,'Error Log'!$A$1:$J$1,0)))</f>
        <v>(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v>
      </c>
      <c r="C37" s="70" t="str">
        <f>IF(ISBLANK(A37),"",INDEX('Error Log'!$A:$J,MATCH('Scores per segment'!$A37,'Error Log'!$A:$A,0),MATCH('Scores per segment'!C$1,'Error Log'!$A$1:$J$1,0)))</f>
        <v>amanda curtis , ceo of a fashion company , snapped the lucky shot .
families will have to find a new way to cheer up mourners , because the strippers are the latest focus of the country 's crackdown on vice .
johnny depp is nearly unrecognizable in the ` black mass ' trailer</v>
      </c>
      <c r="D37" s="70">
        <f>IF(H37=0,wdct(TRIM(C37)),0)</f>
        <v>47</v>
      </c>
      <c r="E37" s="70">
        <f>COUNTIFS('Error Log'!$A:$A,$A37,'Error Log'!$J:$J,E$1)</f>
        <v>1</v>
      </c>
      <c r="F37" s="70">
        <f>COUNTIFS('Error Log'!$A:$A,$A37,'Error Log'!$J:$J,F$1)</f>
        <v>3</v>
      </c>
      <c r="G37" s="70">
        <f>COUNTIFS('Error Log'!$A:$A,$A37,'Error Log'!$J:$J,G$1)</f>
        <v>0</v>
      </c>
      <c r="H37" s="70">
        <f>COUNTIFS('Error Log'!$A:$A,$A37,'Error Log'!$F:$F,"Source")</f>
        <v>0</v>
      </c>
      <c r="I37" s="70">
        <f>COUNTIFS('Error Log'!$A:$A,$A37,'Error Log'!$F:$F,"Target")</f>
        <v>0</v>
      </c>
      <c r="J37" s="71">
        <f t="shared" si="0"/>
        <v>73.404255319148945</v>
      </c>
    </row>
    <row r="38" spans="1:10">
      <c r="A38" s="79" t="s">
        <v>279</v>
      </c>
      <c r="B38" s="70" t="str">
        <f>IF(ISBLANK(A38),"",INDEX('Error Log'!$A:$J,MATCH('Scores per segment'!$A38,'Error Log'!$A:$A,0),MATCH('Scores per segment'!B$1,'Error Log'!$A$1:$J$1,0)))</f>
        <v>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v>
      </c>
      <c r="C38" s="70" t="str">
        <f>IF(ISBLANK(A38),"",INDEX('Error Log'!$A:$J,MATCH('Scores per segment'!$A38,'Error Log'!$A:$A,0),MATCH('Scores per segment'!C$1,'Error Log'!$A$1:$J$1,0)))</f>
        <v>the day following andy murray 's 500th win another huge cake was wheeled out to mark williams reaching the semi-final with a 7-6 , 1-6 , 6-3 progression over germany 's sabine lisicki .
williams beat sabine lisicki in three sets on wednesday to progress to the semi-finals of the miami open
williams will face romania 's simona halep for a place in the final after the third-seed beat sloane stephens 6-1 , 7-5 .</v>
      </c>
      <c r="D38" s="70">
        <f>IF(H38=0,wdct(TRIM(C38)),0)</f>
        <v>70</v>
      </c>
      <c r="E38" s="70">
        <f>COUNTIFS('Error Log'!$A:$A,$A38,'Error Log'!$J:$J,E$1)</f>
        <v>1</v>
      </c>
      <c r="F38" s="70">
        <f>COUNTIFS('Error Log'!$A:$A,$A38,'Error Log'!$J:$J,F$1)</f>
        <v>1</v>
      </c>
      <c r="G38" s="70">
        <f>COUNTIFS('Error Log'!$A:$A,$A38,'Error Log'!$J:$J,G$1)</f>
        <v>0</v>
      </c>
      <c r="H38" s="70">
        <f>COUNTIFS('Error Log'!$A:$A,$A38,'Error Log'!$F:$F,"Source")</f>
        <v>0</v>
      </c>
      <c r="I38" s="70">
        <f>COUNTIFS('Error Log'!$A:$A,$A38,'Error Log'!$F:$F,"Target")</f>
        <v>0</v>
      </c>
      <c r="J38" s="71">
        <f t="shared" si="0"/>
        <v>89.285714285714278</v>
      </c>
    </row>
    <row r="39" spans="1:10">
      <c r="A39" s="79" t="s">
        <v>284</v>
      </c>
      <c r="B39" s="70" t="str">
        <f>IF(ISBLANK(A39),"",INDEX('Error Log'!$A:$J,MATCH('Scores per segment'!$A39,'Error Log'!$A:$A,0),MATCH('Scores per segment'!B$1,'Error Log'!$A$1:$J$1,0)))</f>
        <v>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v>
      </c>
      <c r="C39" s="70" t="str">
        <f>IF(ISBLANK(A39),"",INDEX('Error Log'!$A:$J,MATCH('Scores per segment'!$A39,'Error Log'!$A:$A,0),MATCH('Scores per segment'!C$1,'Error Log'!$A$1:$J$1,0)))</f>
        <v>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v>
      </c>
      <c r="D39" s="70">
        <f>IF(H39=0,wdct(TRIM(C39)),0)</f>
        <v>80</v>
      </c>
      <c r="E39" s="70">
        <f>COUNTIFS('Error Log'!$A:$A,$A39,'Error Log'!$J:$J,E$1)</f>
        <v>1</v>
      </c>
      <c r="F39" s="70">
        <f>COUNTIFS('Error Log'!$A:$A,$A39,'Error Log'!$J:$J,F$1)</f>
        <v>1</v>
      </c>
      <c r="G39" s="70">
        <f>COUNTIFS('Error Log'!$A:$A,$A39,'Error Log'!$J:$J,G$1)</f>
        <v>0</v>
      </c>
      <c r="H39" s="70">
        <f>COUNTIFS('Error Log'!$A:$A,$A39,'Error Log'!$F:$F,"Source")</f>
        <v>0</v>
      </c>
      <c r="I39" s="70">
        <f>COUNTIFS('Error Log'!$A:$A,$A39,'Error Log'!$F:$F,"Target")</f>
        <v>0</v>
      </c>
      <c r="J39" s="71">
        <f t="shared" si="0"/>
        <v>90.625</v>
      </c>
    </row>
    <row r="40" spans="1:10">
      <c r="A40" s="79" t="s">
        <v>289</v>
      </c>
      <c r="B40" s="70" t="str">
        <f>IF(ISBLANK(A40),"",INDEX('Error Log'!$A:$J,MATCH('Scores per segment'!$A40,'Error Log'!$A:$A,0),MATCH('Scores per segment'!B$1,'Error Log'!$A$1:$J$1,0)))</f>
        <v>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v>
      </c>
      <c r="C40" s="70" t="str">
        <f>IF(ISBLANK(A40),"",INDEX('Error Log'!$A:$J,MATCH('Scores per segment'!$A40,'Error Log'!$A:$A,0),MATCH('Scores per segment'!C$1,'Error Log'!$A$1:$J$1,0)))</f>
        <v>two gunman shot her dead at point-blank range late friday after she locked up the second floor cafe in karachi for the night , police said .
mahmud died from five bullet wounds .
she is in a hospital but is expected to be released on time for her daughter 's funeral .</v>
      </c>
      <c r="D40" s="70">
        <f>IF(H40=0,wdct(TRIM(C40)),0)</f>
        <v>49</v>
      </c>
      <c r="E40" s="70">
        <f>COUNTIFS('Error Log'!$A:$A,$A40,'Error Log'!$J:$J,E$1)</f>
        <v>3</v>
      </c>
      <c r="F40" s="70">
        <f>COUNTIFS('Error Log'!$A:$A,$A40,'Error Log'!$J:$J,F$1)</f>
        <v>3</v>
      </c>
      <c r="G40" s="70">
        <f>COUNTIFS('Error Log'!$A:$A,$A40,'Error Log'!$J:$J,G$1)</f>
        <v>0</v>
      </c>
      <c r="H40" s="70">
        <f>COUNTIFS('Error Log'!$A:$A,$A40,'Error Log'!$F:$F,"Source")</f>
        <v>0</v>
      </c>
      <c r="I40" s="70">
        <f>COUNTIFS('Error Log'!$A:$A,$A40,'Error Log'!$F:$F,"Target")</f>
        <v>0</v>
      </c>
      <c r="J40" s="71">
        <f t="shared" si="0"/>
        <v>54.08163265306122</v>
      </c>
    </row>
    <row r="41" spans="1:10">
      <c r="A41" s="79" t="s">
        <v>299</v>
      </c>
      <c r="B41" s="70" t="str">
        <f>IF(ISBLANK(A41),"",INDEX('Error Log'!$A:$J,MATCH('Scores per segment'!$A41,'Error Log'!$A:$A,0),MATCH('Scores per segment'!B$1,'Error Log'!$A$1:$J$1,0)))</f>
        <v>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v>
      </c>
      <c r="C41" s="70" t="str">
        <f>IF(ISBLANK(A41),"",INDEX('Error Log'!$A:$J,MATCH('Scores per segment'!$A41,'Error Log'!$A:$A,0),MATCH('Scores per segment'!C$1,'Error Log'!$A$1:$J$1,0)))</f>
        <v>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he previously pleaded guilty at durham crown court to attempted robbery and court officials confirmed he had been jailed for six years after the hearing today .</v>
      </c>
      <c r="D41" s="70">
        <f>IF(H41=0,wdct(TRIM(C41)),0)</f>
        <v>93</v>
      </c>
      <c r="E41" s="70">
        <f>COUNTIFS('Error Log'!$A:$A,$A41,'Error Log'!$J:$J,E$1)</f>
        <v>2</v>
      </c>
      <c r="F41" s="70">
        <f>COUNTIFS('Error Log'!$A:$A,$A41,'Error Log'!$J:$J,F$1)</f>
        <v>1</v>
      </c>
      <c r="G41" s="70">
        <f>COUNTIFS('Error Log'!$A:$A,$A41,'Error Log'!$J:$J,G$1)</f>
        <v>0</v>
      </c>
      <c r="H41" s="70">
        <f>COUNTIFS('Error Log'!$A:$A,$A41,'Error Log'!$F:$F,"Source")</f>
        <v>0</v>
      </c>
      <c r="I41" s="70">
        <f>COUNTIFS('Error Log'!$A:$A,$A41,'Error Log'!$F:$F,"Target")</f>
        <v>0</v>
      </c>
      <c r="J41" s="71">
        <f t="shared" si="0"/>
        <v>86.55913978494624</v>
      </c>
    </row>
    <row r="42" spans="1:10">
      <c r="A42" s="79" t="s">
        <v>305</v>
      </c>
      <c r="B42" s="70" t="str">
        <f>IF(ISBLANK(A42),"",INDEX('Error Log'!$A:$J,MATCH('Scores per segment'!$A42,'Error Log'!$A:$A,0),MATCH('Scores per segment'!B$1,'Error Log'!$A$1:$J$1,0)))</f>
        <v>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v>
      </c>
      <c r="C42" s="70" t="str">
        <f>IF(ISBLANK(A42),"",INDEX('Error Log'!$A:$J,MATCH('Scores per segment'!$A42,'Error Log'!$A:$A,0),MATCH('Scores per segment'!C$1,'Error Log'!$A$1:$J$1,0)))</f>
        <v>it is almost 70 years since he fled the violence that followed the partition of india , and he is still regarded as a second class citizen in indian kashmir -- unable to own property or vote in state elections .
mangu ram was 14 when he fled to kashmir as a refugee - now an old man , for the past 70 years he has been denied citizenship rights
its rulers have refused to give the west pakistan refugees ( wprs ) the right to own property or vote in state elections - meaning three generations are caught in abject poverty</v>
      </c>
      <c r="D42" s="70">
        <f>IF(H42=0,wdct(TRIM(C42)),0)</f>
        <v>94</v>
      </c>
      <c r="E42" s="70">
        <f>COUNTIFS('Error Log'!$A:$A,$A42,'Error Log'!$J:$J,E$1)</f>
        <v>1</v>
      </c>
      <c r="F42" s="70">
        <f>COUNTIFS('Error Log'!$A:$A,$A42,'Error Log'!$J:$J,F$1)</f>
        <v>2</v>
      </c>
      <c r="G42" s="70">
        <f>COUNTIFS('Error Log'!$A:$A,$A42,'Error Log'!$J:$J,G$1)</f>
        <v>0</v>
      </c>
      <c r="H42" s="70">
        <f>COUNTIFS('Error Log'!$A:$A,$A42,'Error Log'!$F:$F,"Source")</f>
        <v>0</v>
      </c>
      <c r="I42" s="70">
        <f>COUNTIFS('Error Log'!$A:$A,$A42,'Error Log'!$F:$F,"Target")</f>
        <v>0</v>
      </c>
      <c r="J42" s="71">
        <f t="shared" si="0"/>
        <v>89.361702127659584</v>
      </c>
    </row>
    <row r="43" spans="1:10">
      <c r="A43" s="79" t="s">
        <v>312</v>
      </c>
      <c r="B43" s="70" t="str">
        <f>IF(ISBLANK(A43),"",INDEX('Error Log'!$A:$J,MATCH('Scores per segment'!$A43,'Error Log'!$A:$A,0),MATCH('Scores per segment'!B$1,'Error Log'!$A$1:$J$1,0)))</f>
        <v>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v>
      </c>
      <c r="C43" s="70" t="str">
        <f>IF(ISBLANK(A43),"",INDEX('Error Log'!$A:$J,MATCH('Scores per segment'!$A43,'Error Log'!$A:$A,0),MATCH('Scores per segment'!C$1,'Error Log'!$A$1:$J$1,0)))</f>
        <v>the four men appeared in turn in a courtroom in dartmouth , near halifax , where they were given identical but unusual bail conditions that could see them having to live on a canadian naval base for the next few years .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v>
      </c>
      <c r="D43" s="70">
        <f>IF(H43=0,wdct(TRIM(C43)),0)</f>
        <v>92</v>
      </c>
      <c r="E43" s="70">
        <f>COUNTIFS('Error Log'!$A:$A,$A43,'Error Log'!$J:$J,E$1)</f>
        <v>2</v>
      </c>
      <c r="F43" s="70">
        <f>COUNTIFS('Error Log'!$A:$A,$A43,'Error Log'!$J:$J,F$1)</f>
        <v>2</v>
      </c>
      <c r="G43" s="70">
        <f>COUNTIFS('Error Log'!$A:$A,$A43,'Error Log'!$J:$J,G$1)</f>
        <v>0</v>
      </c>
      <c r="H43" s="70">
        <f>COUNTIFS('Error Log'!$A:$A,$A43,'Error Log'!$F:$F,"Source")</f>
        <v>0</v>
      </c>
      <c r="I43" s="70">
        <f>COUNTIFS('Error Log'!$A:$A,$A43,'Error Log'!$F:$F,"Target")</f>
        <v>0</v>
      </c>
      <c r="J43" s="71">
        <f t="shared" si="0"/>
        <v>83.695652173913047</v>
      </c>
    </row>
    <row r="44" spans="1:10">
      <c r="A44" s="78" t="s">
        <v>320</v>
      </c>
      <c r="B44" s="70" t="str">
        <f>IF(ISBLANK(A44),"",INDEX('Error Log'!$A:$J,MATCH('Scores per segment'!$A44,'Error Log'!$A:$A,0),MATCH('Scores per segment'!B$1,'Error Log'!$A$1:$J$1,0)))</f>
        <v>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v>
      </c>
      <c r="C44" s="70" t="str">
        <f>IF(ISBLANK(A44),"",INDEX('Error Log'!$A:$J,MATCH('Scores per segment'!$A44,'Error Log'!$A:$A,0),MATCH('Scores per segment'!C$1,'Error Log'!$A$1:$J$1,0)))</f>
        <v>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muto says he is still considering a move to chelsea as he wants to join a club where he will ` play and develop '</v>
      </c>
      <c r="D44" s="70">
        <f>IF(H44=0,wdct(TRIM(C44)),0)</f>
        <v>68</v>
      </c>
      <c r="E44" s="70">
        <f>COUNTIFS('Error Log'!$A:$A,$A44,'Error Log'!$J:$J,E$1)</f>
        <v>2</v>
      </c>
      <c r="F44" s="70">
        <f>COUNTIFS('Error Log'!$A:$A,$A44,'Error Log'!$J:$J,F$1)</f>
        <v>1</v>
      </c>
      <c r="G44" s="70">
        <f>COUNTIFS('Error Log'!$A:$A,$A44,'Error Log'!$J:$J,G$1)</f>
        <v>0</v>
      </c>
      <c r="H44" s="70">
        <f>COUNTIFS('Error Log'!$A:$A,$A44,'Error Log'!$F:$F,"Source")</f>
        <v>0</v>
      </c>
      <c r="I44" s="70">
        <f>COUNTIFS('Error Log'!$A:$A,$A44,'Error Log'!$F:$F,"Target")</f>
        <v>0</v>
      </c>
      <c r="J44" s="71">
        <f t="shared" si="0"/>
        <v>81.617647058823536</v>
      </c>
    </row>
    <row r="45" spans="1:10">
      <c r="A45" s="78" t="s">
        <v>327</v>
      </c>
      <c r="B45" s="70" t="str">
        <f>IF(ISBLANK(A45),"",INDEX('Error Log'!$A:$J,MATCH('Scores per segment'!$A45,'Error Log'!$A:$A,0),MATCH('Scores per segment'!B$1,'Error Log'!$A$1:$J$1,0)))</f>
        <v>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v>
      </c>
      <c r="C45" s="70" t="str">
        <f>IF(ISBLANK(A45),"",INDEX('Error Log'!$A:$J,MATCH('Scores per segment'!$A45,'Error Log'!$A:$A,0),MATCH('Scores per segment'!C$1,'Error Log'!$A$1:$J$1,0)))</f>
        <v>four-year-old rj jackson is one of just 70 people in the world who suffers netherton 's syndrome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v>
      </c>
      <c r="D45" s="70">
        <f>IF(H45=0,wdct(TRIM(C45)),0)</f>
        <v>74</v>
      </c>
      <c r="E45" s="70">
        <f>COUNTIFS('Error Log'!$A:$A,$A45,'Error Log'!$J:$J,E$1)</f>
        <v>1</v>
      </c>
      <c r="F45" s="70">
        <f>COUNTIFS('Error Log'!$A:$A,$A45,'Error Log'!$J:$J,F$1)</f>
        <v>0</v>
      </c>
      <c r="G45" s="70">
        <f>COUNTIFS('Error Log'!$A:$A,$A45,'Error Log'!$J:$J,G$1)</f>
        <v>0</v>
      </c>
      <c r="H45" s="70">
        <f>COUNTIFS('Error Log'!$A:$A,$A45,'Error Log'!$F:$F,"Source")</f>
        <v>0</v>
      </c>
      <c r="I45" s="70">
        <f>COUNTIFS('Error Log'!$A:$A,$A45,'Error Log'!$F:$F,"Target")</f>
        <v>0</v>
      </c>
      <c r="J45" s="71">
        <f t="shared" si="0"/>
        <v>93.243243243243242</v>
      </c>
    </row>
    <row r="46" spans="1:10">
      <c r="A46" s="78" t="s">
        <v>331</v>
      </c>
      <c r="B46" s="70" t="str">
        <f>IF(ISBLANK(A46),"",INDEX('Error Log'!$A:$J,MATCH('Scores per segment'!$A46,'Error Log'!$A:$A,0),MATCH('Scores per segment'!B$1,'Error Log'!$A$1:$J$1,0)))</f>
        <v>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v>
      </c>
      <c r="C46" s="70" t="str">
        <f>IF(ISBLANK(A46),"",INDEX('Error Log'!$A:$J,MATCH('Scores per segment'!$A46,'Error Log'!$A:$A,0),MATCH('Scores per segment'!C$1,'Error Log'!$A$1:$J$1,0)))</f>
        <v>matt giteau 's stellar displays for toulon have put him back on the wallabies radar ahead of the world cup
toulon 's steffon armitage came off the bench against leinster on sunday and turned the game on its head .
england head coach stuart lancaster has remained steadfast in his policy not to select overseas players</v>
      </c>
      <c r="D46" s="70">
        <f>IF(H46=0,wdct(TRIM(C46)),0)</f>
        <v>55</v>
      </c>
      <c r="E46" s="70">
        <f>COUNTIFS('Error Log'!$A:$A,$A46,'Error Log'!$J:$J,E$1)</f>
        <v>3</v>
      </c>
      <c r="F46" s="70">
        <f>COUNTIFS('Error Log'!$A:$A,$A46,'Error Log'!$J:$J,F$1)</f>
        <v>3</v>
      </c>
      <c r="G46" s="70">
        <f>COUNTIFS('Error Log'!$A:$A,$A46,'Error Log'!$J:$J,G$1)</f>
        <v>0</v>
      </c>
      <c r="H46" s="70">
        <f>COUNTIFS('Error Log'!$A:$A,$A46,'Error Log'!$F:$F,"Source")</f>
        <v>0</v>
      </c>
      <c r="I46" s="70">
        <f>COUNTIFS('Error Log'!$A:$A,$A46,'Error Log'!$F:$F,"Target")</f>
        <v>0</v>
      </c>
      <c r="J46" s="71">
        <f t="shared" si="0"/>
        <v>59.090909090909086</v>
      </c>
    </row>
    <row r="47" spans="1:10">
      <c r="A47" s="78" t="s">
        <v>341</v>
      </c>
      <c r="B47" s="70" t="str">
        <f>IF(ISBLANK(A47),"",INDEX('Error Log'!$A:$J,MATCH('Scores per segment'!$A47,'Error Log'!$A:$A,0),MATCH('Scores per segment'!B$1,'Error Log'!$A$1:$J$1,0)))</f>
        <v>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v>
      </c>
      <c r="C47" s="70" t="str">
        <f>IF(ISBLANK(A47),"",INDEX('Error Log'!$A:$J,MATCH('Scores per segment'!$A47,'Error Log'!$A:$A,0),MATCH('Scores per segment'!C$1,'Error Log'!$A$1:$J$1,0)))</f>
        <v>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weighing in on the debate : susanna reid revealed she found the controversial protein world advert ` anxiety inducing ' on good morning britain on monday</v>
      </c>
      <c r="D47" s="70">
        <f>IF(H47=0,wdct(TRIM(C47)),0)</f>
        <v>87</v>
      </c>
      <c r="E47" s="70">
        <f>COUNTIFS('Error Log'!$A:$A,$A47,'Error Log'!$J:$J,E$1)</f>
        <v>2</v>
      </c>
      <c r="F47" s="70">
        <f>COUNTIFS('Error Log'!$A:$A,$A47,'Error Log'!$J:$J,F$1)</f>
        <v>2</v>
      </c>
      <c r="G47" s="70">
        <f>COUNTIFS('Error Log'!$A:$A,$A47,'Error Log'!$J:$J,G$1)</f>
        <v>0</v>
      </c>
      <c r="H47" s="70">
        <f>COUNTIFS('Error Log'!$A:$A,$A47,'Error Log'!$F:$F,"Source")</f>
        <v>0</v>
      </c>
      <c r="I47" s="70">
        <f>COUNTIFS('Error Log'!$A:$A,$A47,'Error Log'!$F:$F,"Target")</f>
        <v>0</v>
      </c>
      <c r="J47" s="71">
        <f t="shared" si="0"/>
        <v>82.758620689655174</v>
      </c>
    </row>
    <row r="48" spans="1:10">
      <c r="A48" s="78" t="s">
        <v>349</v>
      </c>
      <c r="B48" s="70" t="str">
        <f>IF(ISBLANK(A48),"",INDEX('Error Log'!$A:$J,MATCH('Scores per segment'!$A48,'Error Log'!$A:$A,0),MATCH('Scores per segment'!B$1,'Error Log'!$A$1:$J$1,0)))</f>
        <v>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v>
      </c>
      <c r="C48" s="70" t="str">
        <f>IF(ISBLANK(A48),"",INDEX('Error Log'!$A:$J,MATCH('Scores per segment'!$A48,'Error Log'!$A:$A,0),MATCH('Scores per segment'!C$1,'Error Log'!$A$1:$J$1,0)))</f>
        <v>called greenstone , the egg-shaped gadget acts like a beacon , or booster , to help messages move around these so-called wireless mesh networks more easily .
firechat launched last year and has been downloaded more than five million times .
it takes advantage of a feature that launched in apple 's ios 7 called multipeer connectivity framework ( mcf ) .</v>
      </c>
      <c r="D48" s="70">
        <f>IF(H48=0,wdct(TRIM(C48)),0)</f>
        <v>54</v>
      </c>
      <c r="E48" s="70">
        <f>COUNTIFS('Error Log'!$A:$A,$A48,'Error Log'!$J:$J,E$1)</f>
        <v>2</v>
      </c>
      <c r="F48" s="70">
        <f>COUNTIFS('Error Log'!$A:$A,$A48,'Error Log'!$J:$J,F$1)</f>
        <v>1</v>
      </c>
      <c r="G48" s="70">
        <f>COUNTIFS('Error Log'!$A:$A,$A48,'Error Log'!$J:$J,G$1)</f>
        <v>0</v>
      </c>
      <c r="H48" s="70">
        <f>COUNTIFS('Error Log'!$A:$A,$A48,'Error Log'!$F:$F,"Source")</f>
        <v>0</v>
      </c>
      <c r="I48" s="70">
        <f>COUNTIFS('Error Log'!$A:$A,$A48,'Error Log'!$F:$F,"Target")</f>
        <v>0</v>
      </c>
      <c r="J48" s="71">
        <f t="shared" si="0"/>
        <v>76.851851851851848</v>
      </c>
    </row>
    <row r="49" spans="1:10">
      <c r="A49" s="78" t="s">
        <v>357</v>
      </c>
      <c r="B49" s="70" t="str">
        <f>IF(ISBLANK(A49),"",INDEX('Error Log'!$A:$J,MATCH('Scores per segment'!$A49,'Error Log'!$A:$A,0),MATCH('Scores per segment'!B$1,'Error Log'!$A$1:$J$1,0)))</f>
        <v>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v>
      </c>
      <c r="C49" s="70" t="str">
        <f>IF(ISBLANK(A49),"",INDEX('Error Log'!$A:$J,MATCH('Scores per segment'!$A49,'Error Log'!$A:$A,0),MATCH('Scores per segment'!C$1,'Error Log'!$A$1:$J$1,0)))</f>
        <v>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v>
      </c>
      <c r="D49" s="70">
        <f>IF(H49=0,wdct(TRIM(C49)),0)</f>
        <v>90</v>
      </c>
      <c r="E49" s="70">
        <f>COUNTIFS('Error Log'!$A:$A,$A49,'Error Log'!$J:$J,E$1)</f>
        <v>2</v>
      </c>
      <c r="F49" s="70">
        <f>COUNTIFS('Error Log'!$A:$A,$A49,'Error Log'!$J:$J,F$1)</f>
        <v>1</v>
      </c>
      <c r="G49" s="70">
        <f>COUNTIFS('Error Log'!$A:$A,$A49,'Error Log'!$J:$J,G$1)</f>
        <v>0</v>
      </c>
      <c r="H49" s="70">
        <f>COUNTIFS('Error Log'!$A:$A,$A49,'Error Log'!$F:$F,"Source")</f>
        <v>0</v>
      </c>
      <c r="I49" s="70">
        <f>COUNTIFS('Error Log'!$A:$A,$A49,'Error Log'!$F:$F,"Target")</f>
        <v>0</v>
      </c>
      <c r="J49" s="71">
        <f t="shared" si="0"/>
        <v>86.111111111111114</v>
      </c>
    </row>
    <row r="50" spans="1:10">
      <c r="A50" s="78" t="s">
        <v>364</v>
      </c>
      <c r="B50" s="70" t="str">
        <f>IF(ISBLANK(A50),"",INDEX('Error Log'!$A:$J,MATCH('Scores per segment'!$A50,'Error Log'!$A:$A,0),MATCH('Scores per segment'!B$1,'Error Log'!$A$1:$J$1,0)))</f>
        <v>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v>
      </c>
      <c r="C50" s="70" t="str">
        <f>IF(ISBLANK(A50),"",INDEX('Error Log'!$A:$J,MATCH('Scores per segment'!$A50,'Error Log'!$A:$A,0),MATCH('Scores per segment'!C$1,'Error Log'!$A$1:$J$1,0)))</f>
        <v>during a recent ted talk , lillian bustle , from new jersey , revealed that she also calls herself ` short ' , because she is 5 ' 3 " , and ` wife ' , because she is married , noting that each of these words is just an honest description of what she is .
not-so-tiny dancer : burlesque performer lillian bustle explained in her ted talk that ` fat ' is just another word - and using it does n't have to be an insult
unfortunately , lillian added , her worldview is n't held by everyone , and she pointed to a statistic that shows that size discrimination in the workplace has risen 66 per cent in the past 30 years .</v>
      </c>
      <c r="D50" s="70">
        <f>IF(H50=0,wdct(TRIM(C50)),0)</f>
        <v>104</v>
      </c>
      <c r="E50" s="70">
        <f>COUNTIFS('Error Log'!$A:$A,$A50,'Error Log'!$J:$J,E$1)</f>
        <v>2</v>
      </c>
      <c r="F50" s="70">
        <f>COUNTIFS('Error Log'!$A:$A,$A50,'Error Log'!$J:$J,F$1)</f>
        <v>2</v>
      </c>
      <c r="G50" s="70">
        <f>COUNTIFS('Error Log'!$A:$A,$A50,'Error Log'!$J:$J,G$1)</f>
        <v>0</v>
      </c>
      <c r="H50" s="70">
        <f>COUNTIFS('Error Log'!$A:$A,$A50,'Error Log'!$F:$F,"Source")</f>
        <v>0</v>
      </c>
      <c r="I50" s="70">
        <f>COUNTIFS('Error Log'!$A:$A,$A50,'Error Log'!$F:$F,"Target")</f>
        <v>0</v>
      </c>
      <c r="J50" s="71">
        <f t="shared" si="0"/>
        <v>85.57692307692308</v>
      </c>
    </row>
    <row r="51" spans="1:10">
      <c r="A51" s="78" t="s">
        <v>372</v>
      </c>
      <c r="B51" s="70" t="str">
        <f>IF(ISBLANK(A51),"",INDEX('Error Log'!$A:$J,MATCH('Scores per segment'!$A51,'Error Log'!$A:$A,0),MATCH('Scores per segment'!B$1,'Error Log'!$A$1:$J$1,0)))</f>
        <v>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v>
      </c>
      <c r="C51" s="70" t="str">
        <f>IF(ISBLANK(A51),"",INDEX('Error Log'!$A:$J,MATCH('Scores per segment'!$A51,'Error Log'!$A:$A,0),MATCH('Scores per segment'!C$1,'Error Log'!$A$1:$J$1,0)))</f>
        <v>former soldier john young , 66 , has been left blinded in one eye after thugs through a brick at him through his front door when he confronted them about throwing stones at his property in oldham
former soldier john young , 66 , and his new wife elaine , 54 , were sat in the front room of their home in oldham , greater manchester , when thugs began pelting his front window with stones .
however , despite undergoing emergency surgery , doctors were unable to save his eyesight meaning he is now blind in one eye .</v>
      </c>
      <c r="D51" s="70">
        <f>IF(H51=0,wdct(TRIM(C51)),0)</f>
        <v>88</v>
      </c>
      <c r="E51" s="70">
        <f>COUNTIFS('Error Log'!$A:$A,$A51,'Error Log'!$J:$J,E$1)</f>
        <v>0</v>
      </c>
      <c r="F51" s="70">
        <f>COUNTIFS('Error Log'!$A:$A,$A51,'Error Log'!$J:$J,F$1)</f>
        <v>0</v>
      </c>
      <c r="G51" s="70">
        <f>COUNTIFS('Error Log'!$A:$A,$A51,'Error Log'!$J:$J,G$1)</f>
        <v>0</v>
      </c>
      <c r="H51" s="70">
        <f>COUNTIFS('Error Log'!$A:$A,$A51,'Error Log'!$F:$F,"Source")</f>
        <v>0</v>
      </c>
      <c r="I51" s="70">
        <f>COUNTIFS('Error Log'!$A:$A,$A51,'Error Log'!$F:$F,"Target")</f>
        <v>0</v>
      </c>
      <c r="J51" s="71">
        <f t="shared" si="0"/>
        <v>100</v>
      </c>
    </row>
    <row r="52" spans="1:10">
      <c r="A52" s="78" t="s">
        <v>375</v>
      </c>
      <c r="B52" s="70" t="str">
        <f>IF(ISBLANK(A52),"",INDEX('Error Log'!$A:$J,MATCH('Scores per segment'!$A52,'Error Log'!$A:$A,0),MATCH('Scores per segment'!B$1,'Error Log'!$A$1:$J$1,0)))</f>
        <v>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v>
      </c>
      <c r="C52" s="70" t="str">
        <f>IF(ISBLANK(A52),"",INDEX('Error Log'!$A:$J,MATCH('Scores per segment'!$A52,'Error Log'!$A:$A,0),MATCH('Scores per segment'!C$1,'Error Log'!$A$1:$J$1,0)))</f>
        <v>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arsenal 's first team stars will be dressed in similar attire when arsene wenger 's side make their way to wembley stadium for their fa cup final encounter against aston villa on may 30 .</v>
      </c>
      <c r="D52" s="70">
        <f>IF(H52=0,wdct(TRIM(C52)),0)</f>
        <v>98</v>
      </c>
      <c r="E52" s="70">
        <f>COUNTIFS('Error Log'!$A:$A,$A52,'Error Log'!$J:$J,E$1)</f>
        <v>1</v>
      </c>
      <c r="F52" s="70">
        <f>COUNTIFS('Error Log'!$A:$A,$A52,'Error Log'!$J:$J,F$1)</f>
        <v>2</v>
      </c>
      <c r="G52" s="70">
        <f>COUNTIFS('Error Log'!$A:$A,$A52,'Error Log'!$J:$J,G$1)</f>
        <v>0</v>
      </c>
      <c r="H52" s="70">
        <f>COUNTIFS('Error Log'!$A:$A,$A52,'Error Log'!$F:$F,"Source")</f>
        <v>0</v>
      </c>
      <c r="I52" s="70">
        <f>COUNTIFS('Error Log'!$A:$A,$A52,'Error Log'!$F:$F,"Target")</f>
        <v>0</v>
      </c>
      <c r="J52" s="71">
        <f t="shared" si="0"/>
        <v>89.795918367346928</v>
      </c>
    </row>
    <row r="53" spans="1:10">
      <c r="A53" s="78" t="s">
        <v>381</v>
      </c>
      <c r="B53" s="70" t="str">
        <f>IF(ISBLANK(A53),"",INDEX('Error Log'!$A:$J,MATCH('Scores per segment'!$A53,'Error Log'!$A:$A,0),MATCH('Scores per segment'!B$1,'Error Log'!$A$1:$J$1,0)))</f>
        <v>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v>
      </c>
      <c r="C53" s="70" t="str">
        <f>IF(ISBLANK(A53),"",INDEX('Error Log'!$A:$J,MATCH('Scores per segment'!$A53,'Error Log'!$A:$A,0),MATCH('Scores per segment'!C$1,'Error Log'!$A$1:$J$1,0)))</f>
        <v>derbyshire wicketkeeper tom poynton has been rewarded for his successful return from injury by signing a new one-year contract extension .
poynton , 25 , missed the entire 2014 campaign due to leg injuries sustained in a road accident in which his father keith died last april .
derbyshire wicketkeeper tom poynton has been rewarded for his successful return from injury</v>
      </c>
      <c r="D53" s="70">
        <f>IF(H53=0,wdct(TRIM(C53)),0)</f>
        <v>57</v>
      </c>
      <c r="E53" s="70">
        <f>COUNTIFS('Error Log'!$A:$A,$A53,'Error Log'!$J:$J,E$1)</f>
        <v>0</v>
      </c>
      <c r="F53" s="70">
        <f>COUNTIFS('Error Log'!$A:$A,$A53,'Error Log'!$J:$J,F$1)</f>
        <v>1</v>
      </c>
      <c r="G53" s="70">
        <f>COUNTIFS('Error Log'!$A:$A,$A53,'Error Log'!$J:$J,G$1)</f>
        <v>0</v>
      </c>
      <c r="H53" s="70">
        <f>COUNTIFS('Error Log'!$A:$A,$A53,'Error Log'!$F:$F,"Source")</f>
        <v>0</v>
      </c>
      <c r="I53" s="70">
        <f>COUNTIFS('Error Log'!$A:$A,$A53,'Error Log'!$F:$F,"Target")</f>
        <v>0</v>
      </c>
      <c r="J53" s="71">
        <f t="shared" si="0"/>
        <v>95.614035087719287</v>
      </c>
    </row>
    <row r="54" spans="1:10">
      <c r="A54" s="79" t="s">
        <v>385</v>
      </c>
      <c r="B54" s="70" t="str">
        <f>IF(ISBLANK(A54),"",INDEX('Error Log'!$A:$J,MATCH('Scores per segment'!$A54,'Error Log'!$A:$A,0),MATCH('Scores per segment'!B$1,'Error Log'!$A$1:$J$1,0)))</f>
        <v>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v>
      </c>
      <c r="C54" s="70" t="str">
        <f>IF(ISBLANK(A54),"",INDEX('Error Log'!$A:$J,MATCH('Scores per segment'!$A54,'Error Log'!$A:$A,0),MATCH('Scores per segment'!C$1,'Error Log'!$A$1:$J$1,0)))</f>
        <v>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v>
      </c>
      <c r="D54" s="70">
        <f>IF(H54=0,wdct(TRIM(C54)),0)</f>
        <v>89</v>
      </c>
      <c r="E54" s="70">
        <f>COUNTIFS('Error Log'!$A:$A,$A54,'Error Log'!$J:$J,E$1)</f>
        <v>3</v>
      </c>
      <c r="F54" s="70">
        <f>COUNTIFS('Error Log'!$A:$A,$A54,'Error Log'!$J:$J,F$1)</f>
        <v>1</v>
      </c>
      <c r="G54" s="70">
        <f>COUNTIFS('Error Log'!$A:$A,$A54,'Error Log'!$J:$J,G$1)</f>
        <v>0</v>
      </c>
      <c r="H54" s="70">
        <f>COUNTIFS('Error Log'!$A:$A,$A54,'Error Log'!$F:$F,"Source")</f>
        <v>0</v>
      </c>
      <c r="I54" s="70">
        <f>COUNTIFS('Error Log'!$A:$A,$A54,'Error Log'!$F:$F,"Target")</f>
        <v>0</v>
      </c>
      <c r="J54" s="71">
        <f t="shared" si="0"/>
        <v>80.337078651685388</v>
      </c>
    </row>
    <row r="55" spans="1:10">
      <c r="A55" s="79" t="s">
        <v>393</v>
      </c>
      <c r="B55" s="70" t="str">
        <f>IF(ISBLANK(A55),"",INDEX('Error Log'!$A:$J,MATCH('Scores per segment'!$A55,'Error Log'!$A:$A,0),MATCH('Scores per segment'!B$1,'Error Log'!$A$1:$J$1,0)))</f>
        <v>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v>
      </c>
      <c r="C55" s="70" t="str">
        <f>IF(ISBLANK(A55),"",INDEX('Error Log'!$A:$J,MATCH('Scores per segment'!$A55,'Error Log'!$A:$A,0),MATCH('Scores per segment'!C$1,'Error Log'!$A$1:$J$1,0)))</f>
        <v>harley renshaw was diagnosed with cancer in his kidney , neck , lungs and bones .
harley renshaw has been told he is cancer-free after battling an aggressive form of the disease for a year .
harley was diagnosed with cancer in his kidney , lung , bones and neck after mother stacey took him to a doctor with a stomach pain</v>
      </c>
      <c r="D55" s="70">
        <f>IF(H55=0,wdct(TRIM(C55)),0)</f>
        <v>56</v>
      </c>
      <c r="E55" s="70">
        <f>COUNTIFS('Error Log'!$A:$A,$A55,'Error Log'!$J:$J,E$1)</f>
        <v>2</v>
      </c>
      <c r="F55" s="70">
        <f>COUNTIFS('Error Log'!$A:$A,$A55,'Error Log'!$J:$J,F$1)</f>
        <v>1</v>
      </c>
      <c r="G55" s="70">
        <f>COUNTIFS('Error Log'!$A:$A,$A55,'Error Log'!$J:$J,G$1)</f>
        <v>0</v>
      </c>
      <c r="H55" s="70">
        <f>COUNTIFS('Error Log'!$A:$A,$A55,'Error Log'!$F:$F,"Source")</f>
        <v>0</v>
      </c>
      <c r="I55" s="70">
        <f>COUNTIFS('Error Log'!$A:$A,$A55,'Error Log'!$F:$F,"Target")</f>
        <v>0</v>
      </c>
      <c r="J55" s="71">
        <f t="shared" si="0"/>
        <v>77.678571428571431</v>
      </c>
    </row>
    <row r="56" spans="1:10">
      <c r="A56" s="79" t="s">
        <v>400</v>
      </c>
      <c r="B56" s="70" t="str">
        <f>IF(ISBLANK(A56),"",INDEX('Error Log'!$A:$J,MATCH('Scores per segment'!$A56,'Error Log'!$A:$A,0),MATCH('Scores per segment'!B$1,'Error Log'!$A$1:$J$1,0)))</f>
        <v>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v>
      </c>
      <c r="C56" s="70" t="str">
        <f>IF(ISBLANK(A56),"",INDEX('Error Log'!$A:$J,MATCH('Scores per segment'!$A56,'Error Log'!$A:$A,0),MATCH('Scores per segment'!C$1,'Error Log'!$A$1:$J$1,0)))</f>
        <v>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v>
      </c>
      <c r="D56" s="70">
        <f>IF(H56=0,wdct(TRIM(C56)),0)</f>
        <v>70</v>
      </c>
      <c r="E56" s="70">
        <f>COUNTIFS('Error Log'!$A:$A,$A56,'Error Log'!$J:$J,E$1)</f>
        <v>1</v>
      </c>
      <c r="F56" s="70">
        <f>COUNTIFS('Error Log'!$A:$A,$A56,'Error Log'!$J:$J,F$1)</f>
        <v>2</v>
      </c>
      <c r="G56" s="70">
        <f>COUNTIFS('Error Log'!$A:$A,$A56,'Error Log'!$J:$J,G$1)</f>
        <v>0</v>
      </c>
      <c r="H56" s="70">
        <f>COUNTIFS('Error Log'!$A:$A,$A56,'Error Log'!$F:$F,"Source")</f>
        <v>0</v>
      </c>
      <c r="I56" s="70">
        <f>COUNTIFS('Error Log'!$A:$A,$A56,'Error Log'!$F:$F,"Target")</f>
        <v>0</v>
      </c>
      <c r="J56" s="71">
        <f t="shared" si="0"/>
        <v>85.714285714285722</v>
      </c>
    </row>
    <row r="57" spans="1:10">
      <c r="A57" s="79" t="s">
        <v>407</v>
      </c>
      <c r="B57" s="70" t="str">
        <f>IF(ISBLANK(A57),"",INDEX('Error Log'!$A:$J,MATCH('Scores per segment'!$A57,'Error Log'!$A:$A,0),MATCH('Scores per segment'!B$1,'Error Log'!$A$1:$J$1,0)))</f>
        <v>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v>
      </c>
      <c r="C57" s="70" t="str">
        <f>IF(ISBLANK(A57),"",INDEX('Error Log'!$A:$J,MATCH('Scores per segment'!$A57,'Error Log'!$A:$A,0),MATCH('Scores per segment'!C$1,'Error Log'!$A$1:$J$1,0)))</f>
        <v>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jack grealish takes on liverpool 's emre can at wembley during aston villa 's 2-1 victory at wembley</v>
      </c>
      <c r="D57" s="70">
        <f>IF(H57=0,wdct(TRIM(C57)),0)</f>
        <v>75</v>
      </c>
      <c r="E57" s="70">
        <f>COUNTIFS('Error Log'!$A:$A,$A57,'Error Log'!$J:$J,E$1)</f>
        <v>1</v>
      </c>
      <c r="F57" s="70">
        <f>COUNTIFS('Error Log'!$A:$A,$A57,'Error Log'!$J:$J,F$1)</f>
        <v>1</v>
      </c>
      <c r="G57" s="70">
        <f>COUNTIFS('Error Log'!$A:$A,$A57,'Error Log'!$J:$J,G$1)</f>
        <v>0</v>
      </c>
      <c r="H57" s="70">
        <f>COUNTIFS('Error Log'!$A:$A,$A57,'Error Log'!$F:$F,"Source")</f>
        <v>0</v>
      </c>
      <c r="I57" s="70">
        <f>COUNTIFS('Error Log'!$A:$A,$A57,'Error Log'!$F:$F,"Target")</f>
        <v>0</v>
      </c>
      <c r="J57" s="71">
        <f t="shared" si="0"/>
        <v>90</v>
      </c>
    </row>
    <row r="58" spans="1:10">
      <c r="A58" s="79" t="s">
        <v>412</v>
      </c>
      <c r="B58" s="70" t="str">
        <f>IF(ISBLANK(A58),"",INDEX('Error Log'!$A:$J,MATCH('Scores per segment'!$A58,'Error Log'!$A:$A,0),MATCH('Scores per segment'!B$1,'Error Log'!$A$1:$J$1,0)))</f>
        <v>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v>
      </c>
      <c r="C58" s="70" t="str">
        <f>IF(ISBLANK(A58),"",INDEX('Error Log'!$A:$J,MATCH('Scores per segment'!$A58,'Error Log'!$A:$A,0),MATCH('Scores per segment'!C$1,'Error Log'!$A$1:$J$1,0)))</f>
        <v>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scurr , 15 , has spoken out about the pressures on young girls to be a size zero after , having becoming obsessed with her own weight , she developed anorexia</v>
      </c>
      <c r="D58" s="70">
        <f>IF(H58=0,wdct(TRIM(C58)),0)</f>
        <v>87</v>
      </c>
      <c r="E58" s="70">
        <f>COUNTIFS('Error Log'!$A:$A,$A58,'Error Log'!$J:$J,E$1)</f>
        <v>1</v>
      </c>
      <c r="F58" s="70">
        <f>COUNTIFS('Error Log'!$A:$A,$A58,'Error Log'!$J:$J,F$1)</f>
        <v>1</v>
      </c>
      <c r="G58" s="70">
        <f>COUNTIFS('Error Log'!$A:$A,$A58,'Error Log'!$J:$J,G$1)</f>
        <v>0</v>
      </c>
      <c r="H58" s="70">
        <f>COUNTIFS('Error Log'!$A:$A,$A58,'Error Log'!$F:$F,"Source")</f>
        <v>0</v>
      </c>
      <c r="I58" s="70">
        <f>COUNTIFS('Error Log'!$A:$A,$A58,'Error Log'!$F:$F,"Target")</f>
        <v>0</v>
      </c>
      <c r="J58" s="71">
        <f t="shared" si="0"/>
        <v>91.379310344827587</v>
      </c>
    </row>
    <row r="59" spans="1:10">
      <c r="A59" s="79" t="s">
        <v>417</v>
      </c>
      <c r="B59" s="70" t="str">
        <f>IF(ISBLANK(A59),"",INDEX('Error Log'!$A:$J,MATCH('Scores per segment'!$A59,'Error Log'!$A:$A,0),MATCH('Scores per segment'!B$1,'Error Log'!$A$1:$J$1,0)))</f>
        <v>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v>
      </c>
      <c r="C59" s="70" t="str">
        <f>IF(ISBLANK(A59),"",INDEX('Error Log'!$A:$J,MATCH('Scores per segment'!$A59,'Error Log'!$A:$A,0),MATCH('Scores per segment'!C$1,'Error Log'!$A$1:$J$1,0)))</f>
        <v>the high landings fees give an insight into some of the most unexpectedly popular transport hubs for the rich and famous , from salzburg , in austria , to darwin , in australia .
travelling by private jet is a growing trend , with 2.5 million private flights recorded in the us in 2013 ( the latest statistics ) and 705,000 in europe .
it a huge industry for the rich and famous , with its market worth $ 16.7 trillion in the us and $ 15.8 trillion in europe .</v>
      </c>
      <c r="D59" s="70">
        <f>IF(H59=0,wdct(TRIM(C59)),0)</f>
        <v>78</v>
      </c>
      <c r="E59" s="70">
        <f>COUNTIFS('Error Log'!$A:$A,$A59,'Error Log'!$J:$J,E$1)</f>
        <v>2</v>
      </c>
      <c r="F59" s="70">
        <f>COUNTIFS('Error Log'!$A:$A,$A59,'Error Log'!$J:$J,F$1)</f>
        <v>3</v>
      </c>
      <c r="G59" s="70">
        <f>COUNTIFS('Error Log'!$A:$A,$A59,'Error Log'!$J:$J,G$1)</f>
        <v>0</v>
      </c>
      <c r="H59" s="70">
        <f>COUNTIFS('Error Log'!$A:$A,$A59,'Error Log'!$F:$F,"Source")</f>
        <v>0</v>
      </c>
      <c r="I59" s="70">
        <f>COUNTIFS('Error Log'!$A:$A,$A59,'Error Log'!$F:$F,"Target")</f>
        <v>0</v>
      </c>
      <c r="J59" s="71">
        <f t="shared" si="0"/>
        <v>77.564102564102569</v>
      </c>
    </row>
    <row r="60" spans="1:10">
      <c r="A60" s="79" t="s">
        <v>426</v>
      </c>
      <c r="B60" s="70" t="str">
        <f>IF(ISBLANK(A60),"",INDEX('Error Log'!$A:$J,MATCH('Scores per segment'!$A60,'Error Log'!$A:$A,0),MATCH('Scores per segment'!B$1,'Error Log'!$A$1:$J$1,0)))</f>
        <v>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v>
      </c>
      <c r="C60" s="70" t="str">
        <f>IF(ISBLANK(A60),"",INDEX('Error Log'!$A:$J,MATCH('Scores per segment'!$A60,'Error Log'!$A:$A,0),MATCH('Scores per segment'!C$1,'Error Log'!$A$1:$J$1,0)))</f>
        <v>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v>
      </c>
      <c r="D60" s="70">
        <f>IF(H60=0,wdct(TRIM(C60)),0)</f>
        <v>103</v>
      </c>
      <c r="E60" s="70">
        <f>COUNTIFS('Error Log'!$A:$A,$A60,'Error Log'!$J:$J,E$1)</f>
        <v>2</v>
      </c>
      <c r="F60" s="70">
        <f>COUNTIFS('Error Log'!$A:$A,$A60,'Error Log'!$J:$J,F$1)</f>
        <v>1</v>
      </c>
      <c r="G60" s="70">
        <f>COUNTIFS('Error Log'!$A:$A,$A60,'Error Log'!$J:$J,G$1)</f>
        <v>0</v>
      </c>
      <c r="H60" s="70">
        <f>COUNTIFS('Error Log'!$A:$A,$A60,'Error Log'!$F:$F,"Source")</f>
        <v>0</v>
      </c>
      <c r="I60" s="70">
        <f>COUNTIFS('Error Log'!$A:$A,$A60,'Error Log'!$F:$F,"Target")</f>
        <v>0</v>
      </c>
      <c r="J60" s="71">
        <f t="shared" si="0"/>
        <v>87.864077669902912</v>
      </c>
    </row>
    <row r="61" spans="1:10">
      <c r="A61" s="79" t="s">
        <v>433</v>
      </c>
      <c r="B61" s="70" t="str">
        <f>IF(ISBLANK(A61),"",INDEX('Error Log'!$A:$J,MATCH('Scores per segment'!$A61,'Error Log'!$A:$A,0),MATCH('Scores per segment'!B$1,'Error Log'!$A$1:$J$1,0)))</f>
        <v>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1989 by a points landslide , thereby retaining the world super-middleweight title .
but sugar ray took most pride from the trilogy from forcing duran to say no mas .
he said : ` to me , making roberto duran to quit was better than knocking him out . '</v>
      </c>
      <c r="C61" s="70" t="str">
        <f>IF(ISBLANK(A61),"",INDEX('Error Log'!$A:$J,MATCH('Scores per segment'!$A61,'Error Log'!$A:$A,0),MATCH('Scores per segment'!C$1,'Error Log'!$A$1:$J$1,0)))</f>
        <v>floyd mayweather v manny pacquiao will be the biggest fight of all time financially and the most significant this century .
sugar ray leonard v roberto duran
sugar ray leonard celebrates after roberto duran quit in their fight in louisiana in november 1980</v>
      </c>
      <c r="D61" s="70">
        <f>IF(H61=0,wdct(TRIM(C61)),0)</f>
        <v>42</v>
      </c>
      <c r="E61" s="70">
        <f>COUNTIFS('Error Log'!$A:$A,$A61,'Error Log'!$J:$J,E$1)</f>
        <v>2</v>
      </c>
      <c r="F61" s="70">
        <f>COUNTIFS('Error Log'!$A:$A,$A61,'Error Log'!$J:$J,F$1)</f>
        <v>1</v>
      </c>
      <c r="G61" s="70">
        <f>COUNTIFS('Error Log'!$A:$A,$A61,'Error Log'!$J:$J,G$1)</f>
        <v>0</v>
      </c>
      <c r="H61" s="70">
        <f>COUNTIFS('Error Log'!$A:$A,$A61,'Error Log'!$F:$F,"Source")</f>
        <v>0</v>
      </c>
      <c r="I61" s="70">
        <f>COUNTIFS('Error Log'!$A:$A,$A61,'Error Log'!$F:$F,"Target")</f>
        <v>0</v>
      </c>
      <c r="J61" s="71">
        <f t="shared" si="0"/>
        <v>70.238095238095241</v>
      </c>
    </row>
    <row r="62" spans="1:10">
      <c r="A62" s="79" t="s">
        <v>440</v>
      </c>
      <c r="B62" s="70" t="str">
        <f>IF(ISBLANK(A62),"",INDEX('Error Log'!$A:$J,MATCH('Scores per segment'!$A62,'Error Log'!$A:$A,0),MATCH('Scores per segment'!B$1,'Error Log'!$A$1:$J$1,0)))</f>
        <v>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v>
      </c>
      <c r="C62" s="70" t="str">
        <f>IF(ISBLANK(A62),"",INDEX('Error Log'!$A:$J,MATCH('Scores per segment'!$A62,'Error Log'!$A:$A,0),MATCH('Scores per segment'!C$1,'Error Log'!$A$1:$J$1,0)))</f>
        <v>university of manchester researchers have revealed an hd dark matter map ( shown ) .
it shows clumps of mystery particles across 0.4 per cent of the sky .
the goal is to eventually map 12.5 per cent over five years .</v>
      </c>
      <c r="D62" s="70">
        <f>IF(H62=0,wdct(TRIM(C62)),0)</f>
        <v>37</v>
      </c>
      <c r="E62" s="70">
        <f>COUNTIFS('Error Log'!$A:$A,$A62,'Error Log'!$J:$J,E$1)</f>
        <v>1</v>
      </c>
      <c r="F62" s="70">
        <f>COUNTIFS('Error Log'!$A:$A,$A62,'Error Log'!$J:$J,F$1)</f>
        <v>1</v>
      </c>
      <c r="G62" s="70">
        <f>COUNTIFS('Error Log'!$A:$A,$A62,'Error Log'!$J:$J,G$1)</f>
        <v>0</v>
      </c>
      <c r="H62" s="70">
        <f>COUNTIFS('Error Log'!$A:$A,$A62,'Error Log'!$F:$F,"Source")</f>
        <v>0</v>
      </c>
      <c r="I62" s="70">
        <f>COUNTIFS('Error Log'!$A:$A,$A62,'Error Log'!$F:$F,"Target")</f>
        <v>0</v>
      </c>
      <c r="J62" s="71">
        <f t="shared" si="0"/>
        <v>79.729729729729726</v>
      </c>
    </row>
    <row r="63" spans="1:10">
      <c r="A63" s="79" t="s">
        <v>445</v>
      </c>
      <c r="B63" s="70" t="str">
        <f>IF(ISBLANK(A63),"",INDEX('Error Log'!$A:$J,MATCH('Scores per segment'!$A63,'Error Log'!$A:$A,0),MATCH('Scores per segment'!B$1,'Error Log'!$A$1:$J$1,0)))</f>
        <v>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v>
      </c>
      <c r="C63" s="70" t="str">
        <f>IF(ISBLANK(A63),"",INDEX('Error Log'!$A:$J,MATCH('Scores per segment'!$A63,'Error Log'!$A:$A,0),MATCH('Scores per segment'!C$1,'Error Log'!$A$1:$J$1,0)))</f>
        <v>katie gallegos from clackamas county , oregon , decided to take the pooch to a mcdonald 's drive-thru for an ice cream with his pal daisy .
to date the video of cooper 's ice cream outing has been watched more than seven million times .
fan club : to date the video of cooper 's ice cream outing has been watched more than seven million times</v>
      </c>
      <c r="D63" s="70">
        <f>IF(H63=0,wdct(TRIM(C63)),0)</f>
        <v>62</v>
      </c>
      <c r="E63" s="70">
        <f>COUNTIFS('Error Log'!$A:$A,$A63,'Error Log'!$J:$J,E$1)</f>
        <v>2</v>
      </c>
      <c r="F63" s="70">
        <f>COUNTIFS('Error Log'!$A:$A,$A63,'Error Log'!$J:$J,F$1)</f>
        <v>2</v>
      </c>
      <c r="G63" s="70">
        <f>COUNTIFS('Error Log'!$A:$A,$A63,'Error Log'!$J:$J,G$1)</f>
        <v>0</v>
      </c>
      <c r="H63" s="70">
        <f>COUNTIFS('Error Log'!$A:$A,$A63,'Error Log'!$F:$F,"Source")</f>
        <v>0</v>
      </c>
      <c r="I63" s="70">
        <f>COUNTIFS('Error Log'!$A:$A,$A63,'Error Log'!$F:$F,"Target")</f>
        <v>0</v>
      </c>
      <c r="J63" s="71">
        <f t="shared" si="0"/>
        <v>75.806451612903231</v>
      </c>
    </row>
    <row r="64" spans="1:10">
      <c r="A64" s="78" t="s">
        <v>453</v>
      </c>
      <c r="B64" s="70" t="str">
        <f>IF(ISBLANK(A64),"",INDEX('Error Log'!$A:$J,MATCH('Scores per segment'!$A64,'Error Log'!$A:$A,0),MATCH('Scores per segment'!B$1,'Error Log'!$A$1:$J$1,0)))</f>
        <v>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13th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v>
      </c>
      <c r="C64" s="70" t="str">
        <f>IF(ISBLANK(A64),"",INDEX('Error Log'!$A:$J,MATCH('Scores per segment'!$A64,'Error Log'!$A:$A,0),MATCH('Scores per segment'!C$1,'Error Log'!$A$1:$J$1,0)))</f>
        <v>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bertrand traore is one of three players currently on loan at vitesse arnhem from chelsea this season</v>
      </c>
      <c r="D64" s="70">
        <f>IF(H64=0,wdct(TRIM(C64)),0)</f>
        <v>75</v>
      </c>
      <c r="E64" s="70">
        <f>COUNTIFS('Error Log'!$A:$A,$A64,'Error Log'!$J:$J,E$1)</f>
        <v>2</v>
      </c>
      <c r="F64" s="70">
        <f>COUNTIFS('Error Log'!$A:$A,$A64,'Error Log'!$J:$J,F$1)</f>
        <v>2</v>
      </c>
      <c r="G64" s="70">
        <f>COUNTIFS('Error Log'!$A:$A,$A64,'Error Log'!$J:$J,G$1)</f>
        <v>0</v>
      </c>
      <c r="H64" s="70">
        <f>COUNTIFS('Error Log'!$A:$A,$A64,'Error Log'!$F:$F,"Source")</f>
        <v>0</v>
      </c>
      <c r="I64" s="70">
        <f>COUNTIFS('Error Log'!$A:$A,$A64,'Error Log'!$F:$F,"Target")</f>
        <v>0</v>
      </c>
      <c r="J64" s="71">
        <f t="shared" si="0"/>
        <v>80</v>
      </c>
    </row>
    <row r="65" spans="1:10">
      <c r="A65" s="78" t="s">
        <v>461</v>
      </c>
      <c r="B65" s="70" t="str">
        <f>IF(ISBLANK(A65),"",INDEX('Error Log'!$A:$J,MATCH('Scores per segment'!$A65,'Error Log'!$A:$A,0),MATCH('Scores per segment'!B$1,'Error Log'!$A$1:$J$1,0)))</f>
        <v>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$ 4.6 billion</v>
      </c>
      <c r="C65" s="70" t="str">
        <f>IF(ISBLANK(A65),"",INDEX('Error Log'!$A:$J,MATCH('Scores per segment'!$A65,'Error Log'!$A:$A,0),MATCH('Scores per segment'!C$1,'Error Log'!$A$1:$J$1,0)))</f>
        <v>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starbucks says a sales register computer glitch has disrupted sales at company-operated stores in the us and canada</v>
      </c>
      <c r="D65" s="70">
        <f>IF(H65=0,wdct(TRIM(C65)),0)</f>
        <v>71</v>
      </c>
      <c r="E65" s="70">
        <f>COUNTIFS('Error Log'!$A:$A,$A65,'Error Log'!$J:$J,E$1)</f>
        <v>3</v>
      </c>
      <c r="F65" s="70">
        <f>COUNTIFS('Error Log'!$A:$A,$A65,'Error Log'!$J:$J,F$1)</f>
        <v>1</v>
      </c>
      <c r="G65" s="70">
        <f>COUNTIFS('Error Log'!$A:$A,$A65,'Error Log'!$J:$J,G$1)</f>
        <v>0</v>
      </c>
      <c r="H65" s="70">
        <f>COUNTIFS('Error Log'!$A:$A,$A65,'Error Log'!$F:$F,"Source")</f>
        <v>0</v>
      </c>
      <c r="I65" s="70">
        <f>COUNTIFS('Error Log'!$A:$A,$A65,'Error Log'!$F:$F,"Target")</f>
        <v>0</v>
      </c>
      <c r="J65" s="71">
        <f t="shared" si="0"/>
        <v>75.352112676056336</v>
      </c>
    </row>
    <row r="66" spans="1:10">
      <c r="A66" s="78" t="s">
        <v>469</v>
      </c>
      <c r="B66" s="70" t="str">
        <f>IF(ISBLANK(A66),"",INDEX('Error Log'!$A:$J,MATCH('Scores per segment'!$A66,'Error Log'!$A:$A,0),MATCH('Scores per segment'!B$1,'Error Log'!$A$1:$J$1,0)))</f>
        <v>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2001 .
pacquiao is promoted by bob arum 's top rank company .
actor mark wahlberg is a big fan of pacquiao .</v>
      </c>
      <c r="C66" s="70" t="str">
        <f>IF(ISBLANK(A66),"",INDEX('Error Log'!$A:$J,MATCH('Scores per segment'!$A66,'Error Log'!$A:$A,0),MATCH('Scores per segment'!C$1,'Error Log'!$A$1:$J$1,0)))</f>
        <v>floyd mayweather and manny pacquiao are less than two weeks away from playing their part in the richest fight in boxing history .
since leaving top rank in 2006 , mayweather has looked after his own interests and negotiated a 60-40 split in his favour for his fight against pacquiao .
it is predicted he will retire with as much as $ 100m ( £ 67m ) in the bank .</v>
      </c>
      <c r="D66" s="70">
        <f>IF(H66=0,wdct(TRIM(C66)),0)</f>
        <v>63</v>
      </c>
      <c r="E66" s="70">
        <f>COUNTIFS('Error Log'!$A:$A,$A66,'Error Log'!$J:$J,E$1)</f>
        <v>0</v>
      </c>
      <c r="F66" s="70">
        <f>COUNTIFS('Error Log'!$A:$A,$A66,'Error Log'!$J:$J,F$1)</f>
        <v>1</v>
      </c>
      <c r="G66" s="70">
        <f>COUNTIFS('Error Log'!$A:$A,$A66,'Error Log'!$J:$J,G$1)</f>
        <v>0</v>
      </c>
      <c r="H66" s="70">
        <f>COUNTIFS('Error Log'!$A:$A,$A66,'Error Log'!$F:$F,"Source")</f>
        <v>0</v>
      </c>
      <c r="I66" s="70">
        <f>COUNTIFS('Error Log'!$A:$A,$A66,'Error Log'!$F:$F,"Target")</f>
        <v>0</v>
      </c>
      <c r="J66" s="71">
        <f t="shared" ref="J66:J129" si="1">IF(I66=0,IFERROR((((1-((E66*10+F66*5+G66*1)/D66))*100)+100)/2,0),-150)</f>
        <v>96.031746031746025</v>
      </c>
    </row>
    <row r="67" spans="1:10">
      <c r="A67" s="78" t="s">
        <v>473</v>
      </c>
      <c r="B67" s="70" t="str">
        <f>IF(ISBLANK(A67),"",INDEX('Error Log'!$A:$J,MATCH('Scores per segment'!$A67,'Error Log'!$A:$A,0),MATCH('Scores per segment'!B$1,'Error Log'!$A$1:$J$1,0)))</f>
        <v>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25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v>
      </c>
      <c r="C67" s="70" t="str">
        <f>IF(ISBLANK(A67),"",INDEX('Error Log'!$A:$J,MATCH('Scores per segment'!$A67,'Error Log'!$A:$A,0),MATCH('Scores per segment'!C$1,'Error Log'!$A$1:$J$1,0)))</f>
        <v>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incidents of islamic extremist activity in wales can be traced back to 1998 , when it is claimed hate preacher abu hamza sent a group of 10 extremists to train in the brecon beacons , in powys .</v>
      </c>
      <c r="D67" s="70">
        <f>IF(H67=0,wdct(TRIM(C67)),0)</f>
        <v>84</v>
      </c>
      <c r="E67" s="70">
        <f>COUNTIFS('Error Log'!$A:$A,$A67,'Error Log'!$J:$J,E$1)</f>
        <v>0</v>
      </c>
      <c r="F67" s="70">
        <f>COUNTIFS('Error Log'!$A:$A,$A67,'Error Log'!$J:$J,F$1)</f>
        <v>1</v>
      </c>
      <c r="G67" s="70">
        <f>COUNTIFS('Error Log'!$A:$A,$A67,'Error Log'!$J:$J,G$1)</f>
        <v>0</v>
      </c>
      <c r="H67" s="70">
        <f>COUNTIFS('Error Log'!$A:$A,$A67,'Error Log'!$F:$F,"Source")</f>
        <v>0</v>
      </c>
      <c r="I67" s="70">
        <f>COUNTIFS('Error Log'!$A:$A,$A67,'Error Log'!$F:$F,"Target")</f>
        <v>0</v>
      </c>
      <c r="J67" s="71">
        <f t="shared" si="1"/>
        <v>97.023809523809518</v>
      </c>
    </row>
    <row r="68" spans="1:10">
      <c r="A68" s="78" t="s">
        <v>477</v>
      </c>
      <c r="B68" s="70" t="str">
        <f>IF(ISBLANK(A68),"",INDEX('Error Log'!$A:$J,MATCH('Scores per segment'!$A68,'Error Log'!$A:$A,0),MATCH('Scores per segment'!B$1,'Error Log'!$A$1:$J$1,0)))</f>
        <v>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v>
      </c>
      <c r="C68" s="70" t="str">
        <f>IF(ISBLANK(A68),"",INDEX('Error Log'!$A:$J,MATCH('Scores per segment'!$A68,'Error Log'!$A:$A,0),MATCH('Scores per segment'!C$1,'Error Log'!$A$1:$J$1,0)))</f>
        <v>the eredivisie champions have confirmed that the red devils have made a move over the holland international - with united manager louis van gaal keen to make him one of his first signings this summer .
manchester united have made an official approach for memphis depay ( right ) , says psv 's technical director
united boss louis van gaal ( right ) is keen to make the winger of his first signings this summer</v>
      </c>
      <c r="D68" s="70">
        <f>IF(H68=0,wdct(TRIM(C68)),0)</f>
        <v>68</v>
      </c>
      <c r="E68" s="70">
        <f>COUNTIFS('Error Log'!$A:$A,$A68,'Error Log'!$J:$J,E$1)</f>
        <v>3</v>
      </c>
      <c r="F68" s="70">
        <f>COUNTIFS('Error Log'!$A:$A,$A68,'Error Log'!$J:$J,F$1)</f>
        <v>4</v>
      </c>
      <c r="G68" s="70">
        <f>COUNTIFS('Error Log'!$A:$A,$A68,'Error Log'!$J:$J,G$1)</f>
        <v>0</v>
      </c>
      <c r="H68" s="70">
        <f>COUNTIFS('Error Log'!$A:$A,$A68,'Error Log'!$F:$F,"Source")</f>
        <v>0</v>
      </c>
      <c r="I68" s="70">
        <f>COUNTIFS('Error Log'!$A:$A,$A68,'Error Log'!$F:$F,"Target")</f>
        <v>0</v>
      </c>
      <c r="J68" s="71">
        <f t="shared" si="1"/>
        <v>63.235294117647058</v>
      </c>
    </row>
    <row r="69" spans="1:10">
      <c r="A69" s="78" t="s">
        <v>488</v>
      </c>
      <c r="B69" s="70" t="str">
        <f>IF(ISBLANK(A69),"",INDEX('Error Log'!$A:$J,MATCH('Scores per segment'!$A69,'Error Log'!$A:$A,0),MATCH('Scores per segment'!B$1,'Error Log'!$A$1:$J$1,0)))</f>
        <v>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53 vertebrae</v>
      </c>
      <c r="C69" s="70" t="str">
        <f>IF(ISBLANK(A69),"",INDEX('Error Log'!$A:$J,MATCH('Scores per segment'!$A69,'Error Log'!$A:$A,0),MATCH('Scores per segment'!C$1,'Error Log'!$A$1:$J$1,0)))</f>
        <v>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v>
      </c>
      <c r="D69" s="70">
        <f>IF(H69=0,wdct(TRIM(C69)),0)</f>
        <v>76</v>
      </c>
      <c r="E69" s="70">
        <f>COUNTIFS('Error Log'!$A:$A,$A69,'Error Log'!$J:$J,E$1)</f>
        <v>0</v>
      </c>
      <c r="F69" s="70">
        <f>COUNTIFS('Error Log'!$A:$A,$A69,'Error Log'!$J:$J,F$1)</f>
        <v>0</v>
      </c>
      <c r="G69" s="70">
        <f>COUNTIFS('Error Log'!$A:$A,$A69,'Error Log'!$J:$J,G$1)</f>
        <v>0</v>
      </c>
      <c r="H69" s="70">
        <f>COUNTIFS('Error Log'!$A:$A,$A69,'Error Log'!$F:$F,"Source")</f>
        <v>0</v>
      </c>
      <c r="I69" s="70">
        <f>COUNTIFS('Error Log'!$A:$A,$A69,'Error Log'!$F:$F,"Target")</f>
        <v>0</v>
      </c>
      <c r="J69" s="71">
        <f t="shared" si="1"/>
        <v>100</v>
      </c>
    </row>
    <row r="70" spans="1:10">
      <c r="A70" s="78" t="s">
        <v>491</v>
      </c>
      <c r="B70" s="70" t="str">
        <f>IF(ISBLANK(A70),"",INDEX('Error Log'!$A:$J,MATCH('Scores per segment'!$A70,'Error Log'!$A:$A,0),MATCH('Scores per segment'!B$1,'Error Log'!$A$1:$J$1,0)))</f>
        <v>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6 ) : on for abraham and showed explosive pace straight away but was let down by a hurried attempt at a finish which flew over the bar .
isaiah brown holds off a tackle from fikayo tomori , during another impressive display for the young forward</v>
      </c>
      <c r="C70" s="70" t="str">
        <f>IF(ISBLANK(A70),"",INDEX('Error Log'!$A:$J,MATCH('Scores per segment'!$A70,'Error Log'!$A:$A,0),MATCH('Scores per segment'!C$1,'Error Log'!$A$1:$J$1,0)))</f>
        <v>chelsea took a commanding 3-1 lead back to west london after a strong showing in manchester to see off city 's young side .
dominic solanke scored late on to put a gloss on the scoreline after a tammy abraham double had seen chelsea take a first half lead .
manchester city midfielder kean bryan tracks the run of dominic solanke as city looked to stem the tide</v>
      </c>
      <c r="D70" s="70">
        <f>IF(H70=0,wdct(TRIM(C70)),0)</f>
        <v>66</v>
      </c>
      <c r="E70" s="70">
        <f>COUNTIFS('Error Log'!$A:$A,$A70,'Error Log'!$J:$J,E$1)</f>
        <v>1</v>
      </c>
      <c r="F70" s="70">
        <f>COUNTIFS('Error Log'!$A:$A,$A70,'Error Log'!$J:$J,F$1)</f>
        <v>2</v>
      </c>
      <c r="G70" s="70">
        <f>COUNTIFS('Error Log'!$A:$A,$A70,'Error Log'!$J:$J,G$1)</f>
        <v>0</v>
      </c>
      <c r="H70" s="70">
        <f>COUNTIFS('Error Log'!$A:$A,$A70,'Error Log'!$F:$F,"Source")</f>
        <v>0</v>
      </c>
      <c r="I70" s="70">
        <f>COUNTIFS('Error Log'!$A:$A,$A70,'Error Log'!$F:$F,"Target")</f>
        <v>0</v>
      </c>
      <c r="J70" s="71">
        <f t="shared" si="1"/>
        <v>84.848484848484844</v>
      </c>
    </row>
    <row r="71" spans="1:10">
      <c r="A71" s="78" t="s">
        <v>498</v>
      </c>
      <c r="B71" s="70" t="str">
        <f>IF(ISBLANK(A71),"",INDEX('Error Log'!$A:$J,MATCH('Scores per segment'!$A71,'Error Log'!$A:$A,0),MATCH('Scores per segment'!B$1,'Error Log'!$A$1:$J$1,0)))</f>
        <v>(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1993 .
correction : an earlier version of this article incorrectly stated that canadians elected their first female prime minister , kim campbell .</v>
      </c>
      <c r="C71" s="70" t="str">
        <f>IF(ISBLANK(A71),"",INDEX('Error Log'!$A:$J,MATCH('Scores per segment'!$A71,'Error Log'!$A:$A,0),MATCH('Scores per segment'!C$1,'Error Log'!$A$1:$J$1,0)))</f>
        <v>according to one female businesswoman in texas , hillary clinton should n't be president because her hormones might make her so irrational she 'll start an unnecessary war .
time magazine declared hillary clinton the " perfect " age to be president , because she 's a postmenopausal woman who is " biologically primed " to lead .
unfortunately , cheryl rios ' view of women is not unique .</v>
      </c>
      <c r="D71" s="70">
        <f>IF(H71=0,wdct(TRIM(C71)),0)</f>
        <v>59</v>
      </c>
      <c r="E71" s="70">
        <f>COUNTIFS('Error Log'!$A:$A,$A71,'Error Log'!$J:$J,E$1)</f>
        <v>1</v>
      </c>
      <c r="F71" s="70">
        <f>COUNTIFS('Error Log'!$A:$A,$A71,'Error Log'!$J:$J,F$1)</f>
        <v>2</v>
      </c>
      <c r="G71" s="70">
        <f>COUNTIFS('Error Log'!$A:$A,$A71,'Error Log'!$J:$J,G$1)</f>
        <v>0</v>
      </c>
      <c r="H71" s="70">
        <f>COUNTIFS('Error Log'!$A:$A,$A71,'Error Log'!$F:$F,"Source")</f>
        <v>0</v>
      </c>
      <c r="I71" s="70">
        <f>COUNTIFS('Error Log'!$A:$A,$A71,'Error Log'!$F:$F,"Target")</f>
        <v>0</v>
      </c>
      <c r="J71" s="71">
        <f t="shared" si="1"/>
        <v>83.050847457627128</v>
      </c>
    </row>
    <row r="72" spans="1:10">
      <c r="A72" s="78" t="s">
        <v>505</v>
      </c>
      <c r="B72" s="70" t="str">
        <f>IF(ISBLANK(A72),"",INDEX('Error Log'!$A:$J,MATCH('Scores per segment'!$A72,'Error Log'!$A:$A,0),MATCH('Scores per segment'!B$1,'Error Log'!$A$1:$J$1,0)))</f>
        <v>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$ 40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v>
      </c>
      <c r="C72" s="70" t="str">
        <f>IF(ISBLANK(A72),"",INDEX('Error Log'!$A:$J,MATCH('Scores per segment'!$A72,'Error Log'!$A:$A,0),MATCH('Scores per segment'!C$1,'Error Log'!$A$1:$J$1,0)))</f>
        <v>marco rubio has claimed people are ` born with a sexual preference ' while insisting state legislators should decide whether or not to allow gay marriage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v>
      </c>
      <c r="D72" s="70">
        <f>IF(H72=0,wdct(TRIM(C72)),0)</f>
        <v>79</v>
      </c>
      <c r="E72" s="70">
        <f>COUNTIFS('Error Log'!$A:$A,$A72,'Error Log'!$J:$J,E$1)</f>
        <v>1</v>
      </c>
      <c r="F72" s="70">
        <f>COUNTIFS('Error Log'!$A:$A,$A72,'Error Log'!$J:$J,F$1)</f>
        <v>2</v>
      </c>
      <c r="G72" s="70">
        <f>COUNTIFS('Error Log'!$A:$A,$A72,'Error Log'!$J:$J,G$1)</f>
        <v>0</v>
      </c>
      <c r="H72" s="70">
        <f>COUNTIFS('Error Log'!$A:$A,$A72,'Error Log'!$F:$F,"Source")</f>
        <v>0</v>
      </c>
      <c r="I72" s="70">
        <f>COUNTIFS('Error Log'!$A:$A,$A72,'Error Log'!$F:$F,"Target")</f>
        <v>0</v>
      </c>
      <c r="J72" s="71">
        <f t="shared" si="1"/>
        <v>87.341772151898738</v>
      </c>
    </row>
    <row r="73" spans="1:10">
      <c r="A73" s="78" t="s">
        <v>512</v>
      </c>
      <c r="B73" s="70" t="str">
        <f>IF(ISBLANK(A73),"",INDEX('Error Log'!$A:$J,MATCH('Scores per segment'!$A73,'Error Log'!$A:$A,0),MATCH('Scores per segment'!B$1,'Error Log'!$A$1:$J$1,0)))</f>
        <v>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1990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v>
      </c>
      <c r="C73" s="70" t="str">
        <f>IF(ISBLANK(A73),"",INDEX('Error Log'!$A:$J,MATCH('Scores per segment'!$A73,'Error Log'!$A:$A,0),MATCH('Scores per segment'!C$1,'Error Log'!$A$1:$J$1,0)))</f>
        <v>veteran actor robert hardy is selling his enormous collection of antiques in a £ 100,000 auction after deciding to downsize his home .
mr hardy , 89 , is a keen military historian who studied english with j.r.r. tolkien and is now an expert on the medieval longbow .
sale : actor robert hardy is selling off his collection of antiques including a diorama of the battle of agincourt</v>
      </c>
      <c r="D73" s="70">
        <f>IF(H73=0,wdct(TRIM(C73)),0)</f>
        <v>65</v>
      </c>
      <c r="E73" s="70">
        <f>COUNTIFS('Error Log'!$A:$A,$A73,'Error Log'!$J:$J,E$1)</f>
        <v>0</v>
      </c>
      <c r="F73" s="70">
        <f>COUNTIFS('Error Log'!$A:$A,$A73,'Error Log'!$J:$J,F$1)</f>
        <v>0</v>
      </c>
      <c r="G73" s="70">
        <f>COUNTIFS('Error Log'!$A:$A,$A73,'Error Log'!$J:$J,G$1)</f>
        <v>0</v>
      </c>
      <c r="H73" s="70">
        <f>COUNTIFS('Error Log'!$A:$A,$A73,'Error Log'!$F:$F,"Source")</f>
        <v>0</v>
      </c>
      <c r="I73" s="70">
        <f>COUNTIFS('Error Log'!$A:$A,$A73,'Error Log'!$F:$F,"Target")</f>
        <v>0</v>
      </c>
      <c r="J73" s="71">
        <f t="shared" si="1"/>
        <v>100</v>
      </c>
    </row>
    <row r="74" spans="1:10">
      <c r="A74" s="79" t="s">
        <v>515</v>
      </c>
      <c r="B74" s="70" t="str">
        <f>IF(ISBLANK(A74),"",INDEX('Error Log'!$A:$J,MATCH('Scores per segment'!$A74,'Error Log'!$A:$A,0),MATCH('Scores per segment'!B$1,'Error Log'!$A$1:$J$1,0)))</f>
        <v>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200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v>
      </c>
      <c r="C74" s="70" t="str">
        <f>IF(ISBLANK(A74),"",INDEX('Error Log'!$A:$J,MATCH('Scores per segment'!$A74,'Error Log'!$A:$A,0),MATCH('Scores per segment'!C$1,'Error Log'!$A$1:$J$1,0)))</f>
        <v>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pablo , 27 , and ilze , 31 , stop for a picture in bosnia , one of the 16 countries they 've been through since leaving london last year</v>
      </c>
      <c r="D74" s="70">
        <f>IF(H74=0,wdct(TRIM(C74)),0)</f>
        <v>77</v>
      </c>
      <c r="E74" s="70">
        <f>COUNTIFS('Error Log'!$A:$A,$A74,'Error Log'!$J:$J,E$1)</f>
        <v>2</v>
      </c>
      <c r="F74" s="70">
        <f>COUNTIFS('Error Log'!$A:$A,$A74,'Error Log'!$J:$J,F$1)</f>
        <v>2</v>
      </c>
      <c r="G74" s="70">
        <f>COUNTIFS('Error Log'!$A:$A,$A74,'Error Log'!$J:$J,G$1)</f>
        <v>0</v>
      </c>
      <c r="H74" s="70">
        <f>COUNTIFS('Error Log'!$A:$A,$A74,'Error Log'!$F:$F,"Source")</f>
        <v>0</v>
      </c>
      <c r="I74" s="70">
        <f>COUNTIFS('Error Log'!$A:$A,$A74,'Error Log'!$F:$F,"Target")</f>
        <v>0</v>
      </c>
      <c r="J74" s="71">
        <f t="shared" si="1"/>
        <v>80.51948051948051</v>
      </c>
    </row>
    <row r="75" spans="1:10">
      <c r="A75" s="79" t="s">
        <v>523</v>
      </c>
      <c r="B75" s="70" t="str">
        <f>IF(ISBLANK(A75),"",INDEX('Error Log'!$A:$J,MATCH('Scores per segment'!$A75,'Error Log'!$A:$A,0),MATCH('Scores per segment'!B$1,'Error Log'!$A$1:$J$1,0)))</f>
        <v>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407-656-3636 .</v>
      </c>
      <c r="C75" s="70" t="str">
        <f>IF(ISBLANK(A75),"",INDEX('Error Log'!$A:$J,MATCH('Scores per segment'!$A75,'Error Log'!$A:$A,0),MATCH('Scores per segment'!C$1,'Error Log'!$A$1:$J$1,0)))</f>
        <v>michael scott shemansky is on the run after authorities named him as a suspect in the murder of his mother
police say michael scott shemansky came to their attention after he failed to appear for a supervised visit with his son on the same day mother sandra shemansky , 57 , was found dead at the home they shared in winter garden .
he is already on parole for battery on law enforcement , has a history of bipolar mental illness , and was involuntarily committed to a psychiatric ward for an attempted suicide .</v>
      </c>
      <c r="D75" s="70">
        <f>IF(H75=0,wdct(TRIM(C75)),0)</f>
        <v>89</v>
      </c>
      <c r="E75" s="70">
        <f>COUNTIFS('Error Log'!$A:$A,$A75,'Error Log'!$J:$J,E$1)</f>
        <v>0</v>
      </c>
      <c r="F75" s="70">
        <f>COUNTIFS('Error Log'!$A:$A,$A75,'Error Log'!$J:$J,F$1)</f>
        <v>0</v>
      </c>
      <c r="G75" s="70">
        <f>COUNTIFS('Error Log'!$A:$A,$A75,'Error Log'!$J:$J,G$1)</f>
        <v>0</v>
      </c>
      <c r="H75" s="70">
        <f>COUNTIFS('Error Log'!$A:$A,$A75,'Error Log'!$F:$F,"Source")</f>
        <v>0</v>
      </c>
      <c r="I75" s="70">
        <f>COUNTIFS('Error Log'!$A:$A,$A75,'Error Log'!$F:$F,"Target")</f>
        <v>0</v>
      </c>
      <c r="J75" s="71">
        <f t="shared" si="1"/>
        <v>100</v>
      </c>
    </row>
    <row r="76" spans="1:10">
      <c r="A76" s="79" t="s">
        <v>526</v>
      </c>
      <c r="B76" s="70" t="str">
        <f>IF(ISBLANK(A76),"",INDEX('Error Log'!$A:$J,MATCH('Scores per segment'!$A76,'Error Log'!$A:$A,0),MATCH('Scores per segment'!B$1,'Error Log'!$A$1:$J$1,0)))</f>
        <v>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100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v>
      </c>
      <c r="C76" s="70" t="str">
        <f>IF(ISBLANK(A76),"",INDEX('Error Log'!$A:$J,MATCH('Scores per segment'!$A76,'Error Log'!$A:$A,0),MATCH('Scores per segment'!C$1,'Error Log'!$A$1:$J$1,0)))</f>
        <v>the couple , who does not wish to be identified , hired attorney cathy hale to sue james evans the owner of premiere photos for allegedly providing a photo booth that printed , ` poor n ***** party ' on the bottom of the pictures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v>
      </c>
      <c r="D76" s="70">
        <f>IF(H76=0,wdct(TRIM(C76)),0)</f>
        <v>87</v>
      </c>
      <c r="E76" s="70">
        <f>COUNTIFS('Error Log'!$A:$A,$A76,'Error Log'!$J:$J,E$1)</f>
        <v>1</v>
      </c>
      <c r="F76" s="70">
        <f>COUNTIFS('Error Log'!$A:$A,$A76,'Error Log'!$J:$J,F$1)</f>
        <v>1</v>
      </c>
      <c r="G76" s="70">
        <f>COUNTIFS('Error Log'!$A:$A,$A76,'Error Log'!$J:$J,G$1)</f>
        <v>0</v>
      </c>
      <c r="H76" s="70">
        <f>COUNTIFS('Error Log'!$A:$A,$A76,'Error Log'!$F:$F,"Source")</f>
        <v>0</v>
      </c>
      <c r="I76" s="70">
        <f>COUNTIFS('Error Log'!$A:$A,$A76,'Error Log'!$F:$F,"Target")</f>
        <v>0</v>
      </c>
      <c r="J76" s="71">
        <f t="shared" si="1"/>
        <v>91.379310344827587</v>
      </c>
    </row>
    <row r="77" spans="1:10">
      <c r="A77" s="79" t="s">
        <v>531</v>
      </c>
      <c r="B77" s="70" t="str">
        <f>IF(ISBLANK(A77),"",INDEX('Error Log'!$A:$J,MATCH('Scores per segment'!$A77,'Error Log'!$A:$A,0),MATCH('Scores per segment'!B$1,'Error Log'!$A$1:$J$1,0)))</f>
        <v>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2013 iaaf world athletics championships in moscow</v>
      </c>
      <c r="C77" s="70" t="str">
        <f>IF(ISBLANK(A77),"",INDEX('Error Log'!$A:$J,MATCH('Scores per segment'!$A77,'Error Log'!$A:$A,0),MATCH('Scores per segment'!C$1,'Error Log'!$A$1:$J$1,0)))</f>
        <v>the city of eugene in the united states has been awarded the rights to host the 2021 iaaf world championships .
eugene in the united states has been awarded the rights to host the 2021 iaaf world championships
mo farah won gold in the men 's 10000 metres during the 2013 iaaf world athletics championships in moscow</v>
      </c>
      <c r="D77" s="70">
        <f>IF(H77=0,wdct(TRIM(C77)),0)</f>
        <v>56</v>
      </c>
      <c r="E77" s="70">
        <f>COUNTIFS('Error Log'!$A:$A,$A77,'Error Log'!$J:$J,E$1)</f>
        <v>2</v>
      </c>
      <c r="F77" s="70">
        <f>COUNTIFS('Error Log'!$A:$A,$A77,'Error Log'!$J:$J,F$1)</f>
        <v>2</v>
      </c>
      <c r="G77" s="70">
        <f>COUNTIFS('Error Log'!$A:$A,$A77,'Error Log'!$J:$J,G$1)</f>
        <v>0</v>
      </c>
      <c r="H77" s="70">
        <f>COUNTIFS('Error Log'!$A:$A,$A77,'Error Log'!$F:$F,"Source")</f>
        <v>0</v>
      </c>
      <c r="I77" s="70">
        <f>COUNTIFS('Error Log'!$A:$A,$A77,'Error Log'!$F:$F,"Target")</f>
        <v>0</v>
      </c>
      <c r="J77" s="71">
        <f t="shared" si="1"/>
        <v>73.214285714285722</v>
      </c>
    </row>
    <row r="78" spans="1:10">
      <c r="A78" s="79" t="s">
        <v>539</v>
      </c>
      <c r="B78" s="70" t="str">
        <f>IF(ISBLANK(A78),"",INDEX('Error Log'!$A:$J,MATCH('Scores per segment'!$A78,'Error Log'!$A:$A,0),MATCH('Scores per segment'!B$1,'Error Log'!$A$1:$J$1,0)))</f>
        <v>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2015 campaign that champions people at the heart and soul of the game by putting grassroots clubs on the global stage .</v>
      </c>
      <c r="C78" s="70" t="str">
        <f>IF(ISBLANK(A78),"",INDEX('Error Log'!$A:$J,MATCH('Scores per segment'!$A78,'Error Log'!$A:$A,0),MATCH('Scores per segment'!C$1,'Error Log'!$A$1:$J$1,0)))</f>
        <v>the england full-back remains unsure when he will return after pulling out of harlequins ' aviva premiership clash with saracens at wembley last weekend .
england full back mike brown admits he is unsure when he will return to action for club side harlequins
george north will not play against clermont auvergne on saturday and will see a neurosurgeon</v>
      </c>
      <c r="D78" s="70">
        <f>IF(H78=0,wdct(TRIM(C78)),0)</f>
        <v>57</v>
      </c>
      <c r="E78" s="70">
        <f>COUNTIFS('Error Log'!$A:$A,$A78,'Error Log'!$J:$J,E$1)</f>
        <v>1</v>
      </c>
      <c r="F78" s="70">
        <f>COUNTIFS('Error Log'!$A:$A,$A78,'Error Log'!$J:$J,F$1)</f>
        <v>2</v>
      </c>
      <c r="G78" s="70">
        <f>COUNTIFS('Error Log'!$A:$A,$A78,'Error Log'!$J:$J,G$1)</f>
        <v>0</v>
      </c>
      <c r="H78" s="70">
        <f>COUNTIFS('Error Log'!$A:$A,$A78,'Error Log'!$F:$F,"Source")</f>
        <v>0</v>
      </c>
      <c r="I78" s="70">
        <f>COUNTIFS('Error Log'!$A:$A,$A78,'Error Log'!$F:$F,"Target")</f>
        <v>0</v>
      </c>
      <c r="J78" s="71">
        <f t="shared" si="1"/>
        <v>82.456140350877192</v>
      </c>
    </row>
    <row r="79" spans="1:10">
      <c r="A79" s="79" t="s">
        <v>546</v>
      </c>
      <c r="B79" s="70" t="str">
        <f>IF(ISBLANK(A79),"",INDEX('Error Log'!$A:$J,MATCH('Scores per segment'!$A79,'Error Log'!$A:$A,0),MATCH('Scores per segment'!B$1,'Error Log'!$A$1:$J$1,0)))</f>
        <v>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£ 50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v>
      </c>
      <c r="C79" s="70" t="str">
        <f>IF(ISBLANK(A79),"",INDEX('Error Log'!$A:$J,MATCH('Scores per segment'!$A79,'Error Log'!$A:$A,0),MATCH('Scores per segment'!C$1,'Error Log'!$A$1:$J$1,0)))</f>
        <v>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v>
      </c>
      <c r="D79" s="70">
        <f>IF(H79=0,wdct(TRIM(C79)),0)</f>
        <v>87</v>
      </c>
      <c r="E79" s="70">
        <f>COUNTIFS('Error Log'!$A:$A,$A79,'Error Log'!$J:$J,E$1)</f>
        <v>2</v>
      </c>
      <c r="F79" s="70">
        <f>COUNTIFS('Error Log'!$A:$A,$A79,'Error Log'!$J:$J,F$1)</f>
        <v>3</v>
      </c>
      <c r="G79" s="70">
        <f>COUNTIFS('Error Log'!$A:$A,$A79,'Error Log'!$J:$J,G$1)</f>
        <v>0</v>
      </c>
      <c r="H79" s="70">
        <f>COUNTIFS('Error Log'!$A:$A,$A79,'Error Log'!$F:$F,"Source")</f>
        <v>0</v>
      </c>
      <c r="I79" s="70">
        <f>COUNTIFS('Error Log'!$A:$A,$A79,'Error Log'!$F:$F,"Target")</f>
        <v>0</v>
      </c>
      <c r="J79" s="71">
        <f t="shared" si="1"/>
        <v>79.885057471264361</v>
      </c>
    </row>
    <row r="80" spans="1:10">
      <c r="A80" s="79" t="s">
        <v>558</v>
      </c>
      <c r="B80" s="70" t="str">
        <f>IF(ISBLANK(A80),"",INDEX('Error Log'!$A:$J,MATCH('Scores per segment'!$A80,'Error Log'!$A:$A,0),MATCH('Scores per segment'!B$1,'Error Log'!$A$1:$J$1,0)))</f>
        <v>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4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v>
      </c>
      <c r="C80" s="70" t="str">
        <f>IF(ISBLANK(A80),"",INDEX('Error Log'!$A:$J,MATCH('Scores per segment'!$A80,'Error Log'!$A:$A,0),MATCH('Scores per segment'!C$1,'Error Log'!$A$1:$J$1,0)))</f>
        <v>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v>
      </c>
      <c r="D80" s="70">
        <f>IF(H80=0,wdct(TRIM(C80)),0)</f>
        <v>82</v>
      </c>
      <c r="E80" s="70">
        <f>COUNTIFS('Error Log'!$A:$A,$A80,'Error Log'!$J:$J,E$1)</f>
        <v>0</v>
      </c>
      <c r="F80" s="70">
        <f>COUNTIFS('Error Log'!$A:$A,$A80,'Error Log'!$J:$J,F$1)</f>
        <v>1</v>
      </c>
      <c r="G80" s="70">
        <f>COUNTIFS('Error Log'!$A:$A,$A80,'Error Log'!$J:$J,G$1)</f>
        <v>0</v>
      </c>
      <c r="H80" s="70">
        <f>COUNTIFS('Error Log'!$A:$A,$A80,'Error Log'!$F:$F,"Source")</f>
        <v>0</v>
      </c>
      <c r="I80" s="70">
        <f>COUNTIFS('Error Log'!$A:$A,$A80,'Error Log'!$F:$F,"Target")</f>
        <v>0</v>
      </c>
      <c r="J80" s="71">
        <f t="shared" si="1"/>
        <v>96.951219512195109</v>
      </c>
    </row>
    <row r="81" spans="1:10">
      <c r="A81" s="79" t="s">
        <v>562</v>
      </c>
      <c r="B81" s="70" t="str">
        <f>IF(ISBLANK(A81),"",INDEX('Error Log'!$A:$J,MATCH('Scores per segment'!$A81,'Error Log'!$A:$A,0),MATCH('Scores per segment'!B$1,'Error Log'!$A$1:$J$1,0)))</f>
        <v>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3-2 win over hull city , but that was his first in five games
mourinho is looking to guide his team over the line in the premier league title race , with fabregas a key cog</v>
      </c>
      <c r="C81" s="70" t="str">
        <f>IF(ISBLANK(A81),"",INDEX('Error Log'!$A:$J,MATCH('Scores per segment'!$A81,'Error Log'!$A:$A,0),MATCH('Scores per segment'!C$1,'Error Log'!$A$1:$J$1,0)))</f>
        <v>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jose mourinho will be demanding more from his deep-lying playmaker in the premier league run-in</v>
      </c>
      <c r="D81" s="70">
        <f>IF(H81=0,wdct(TRIM(C81)),0)</f>
        <v>79</v>
      </c>
      <c r="E81" s="70">
        <f>COUNTIFS('Error Log'!$A:$A,$A81,'Error Log'!$J:$J,E$1)</f>
        <v>2</v>
      </c>
      <c r="F81" s="70">
        <f>COUNTIFS('Error Log'!$A:$A,$A81,'Error Log'!$J:$J,F$1)</f>
        <v>3</v>
      </c>
      <c r="G81" s="70">
        <f>COUNTIFS('Error Log'!$A:$A,$A81,'Error Log'!$J:$J,G$1)</f>
        <v>0</v>
      </c>
      <c r="H81" s="70">
        <f>COUNTIFS('Error Log'!$A:$A,$A81,'Error Log'!$F:$F,"Source")</f>
        <v>0</v>
      </c>
      <c r="I81" s="70">
        <f>COUNTIFS('Error Log'!$A:$A,$A81,'Error Log'!$F:$F,"Target")</f>
        <v>0</v>
      </c>
      <c r="J81" s="71">
        <f t="shared" si="1"/>
        <v>77.848101265822791</v>
      </c>
    </row>
    <row r="82" spans="1:10">
      <c r="A82" s="79" t="s">
        <v>574</v>
      </c>
      <c r="B82" s="70" t="str">
        <f>IF(ISBLANK(A82),"",INDEX('Error Log'!$A:$J,MATCH('Scores per segment'!$A82,'Error Log'!$A:$A,0),MATCH('Scores per segment'!B$1,'Error Log'!$A$1:$J$1,0)))</f>
        <v>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£ 600,000 .
the dogs are seen with a model</v>
      </c>
      <c r="C82" s="70" t="str">
        <f>IF(ISBLANK(A82),"",INDEX('Error Log'!$A:$J,MATCH('Scores per segment'!$A82,'Error Log'!$A:$A,0),MATCH('Scores per segment'!C$1,'Error Log'!$A$1:$J$1,0)))</f>
        <v>big beauty : tibetan mastiffs can weigh 80 kg
but tibetan mastiffs are now so unpopular in china they are being sent to slaughterhouses -- and their meat put into cheap hotpots .
the dogs ' dramatic decline in fortune is being partly blamed on the chinese government 's wide-reaching anti-corruption crackdown .</v>
      </c>
      <c r="D82" s="70">
        <f>IF(H82=0,wdct(TRIM(C82)),0)</f>
        <v>48</v>
      </c>
      <c r="E82" s="70">
        <f>COUNTIFS('Error Log'!$A:$A,$A82,'Error Log'!$J:$J,E$1)</f>
        <v>2</v>
      </c>
      <c r="F82" s="70">
        <f>COUNTIFS('Error Log'!$A:$A,$A82,'Error Log'!$J:$J,F$1)</f>
        <v>1</v>
      </c>
      <c r="G82" s="70">
        <f>COUNTIFS('Error Log'!$A:$A,$A82,'Error Log'!$J:$J,G$1)</f>
        <v>0</v>
      </c>
      <c r="H82" s="70">
        <f>COUNTIFS('Error Log'!$A:$A,$A82,'Error Log'!$F:$F,"Source")</f>
        <v>0</v>
      </c>
      <c r="I82" s="70">
        <f>COUNTIFS('Error Log'!$A:$A,$A82,'Error Log'!$F:$F,"Target")</f>
        <v>0</v>
      </c>
      <c r="J82" s="71">
        <f t="shared" si="1"/>
        <v>73.958333333333329</v>
      </c>
    </row>
    <row r="83" spans="1:10">
      <c r="A83" s="79" t="s">
        <v>581</v>
      </c>
      <c r="B83" s="70" t="str">
        <f>IF(ISBLANK(A83),"",INDEX('Error Log'!$A:$J,MATCH('Scores per segment'!$A83,'Error Log'!$A:$A,0),MATCH('Scores per segment'!B$1,'Error Log'!$A$1:$J$1,0)))</f>
        <v>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2016-17 season .</v>
      </c>
      <c r="C83" s="70" t="str">
        <f>IF(ISBLANK(A83),"",INDEX('Error Log'!$A:$J,MATCH('Scores per segment'!$A83,'Error Log'!$A:$A,0),MATCH('Scores per segment'!C$1,'Error Log'!$A$1:$J$1,0)))</f>
        <v>the skilful 17-year-old forward from montego bay united was invited to train with west ham 's academy earlier this month and has impressed coaches after spending two weeks with the club .
premier league outfit west ham are closing in on the signature of jamaican starlet deshane beckford
meanwhile , west ham have revealed season tickets at the olympic stadium will cost as little as £ 289 .</v>
      </c>
      <c r="D83" s="70">
        <f>IF(H83=0,wdct(TRIM(C83)),0)</f>
        <v>64</v>
      </c>
      <c r="E83" s="70">
        <f>COUNTIFS('Error Log'!$A:$A,$A83,'Error Log'!$J:$J,E$1)</f>
        <v>1</v>
      </c>
      <c r="F83" s="70">
        <f>COUNTIFS('Error Log'!$A:$A,$A83,'Error Log'!$J:$J,F$1)</f>
        <v>1</v>
      </c>
      <c r="G83" s="70">
        <f>COUNTIFS('Error Log'!$A:$A,$A83,'Error Log'!$J:$J,G$1)</f>
        <v>0</v>
      </c>
      <c r="H83" s="70">
        <f>COUNTIFS('Error Log'!$A:$A,$A83,'Error Log'!$F:$F,"Source")</f>
        <v>0</v>
      </c>
      <c r="I83" s="70">
        <f>COUNTIFS('Error Log'!$A:$A,$A83,'Error Log'!$F:$F,"Target")</f>
        <v>0</v>
      </c>
      <c r="J83" s="71">
        <f t="shared" si="1"/>
        <v>88.28125</v>
      </c>
    </row>
    <row r="84" spans="1:10">
      <c r="A84" s="79" t="s">
        <v>586</v>
      </c>
      <c r="B84" s="70" t="str">
        <f>IF(ISBLANK(A84),"",INDEX('Error Log'!$A:$J,MATCH('Scores per segment'!$A84,'Error Log'!$A:$A,0),MATCH('Scores per segment'!B$1,'Error Log'!$A$1:$J$1,0)))</f>
        <v>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v>
      </c>
      <c r="C84" s="70" t="str">
        <f>IF(ISBLANK(A84),"",INDEX('Error Log'!$A:$J,MATCH('Scores per segment'!$A84,'Error Log'!$A:$A,0),MATCH('Scores per segment'!C$1,'Error Log'!$A$1:$J$1,0)))</f>
        <v>half of them were assaulted before they were 18 years old .
the poll led to calls for a campaign to stem sexist or threatening behaviour on buses and trains .
every woman surveyed in paris claimed to have been a victim of some kind of sexual harassment on the city 's public transport</v>
      </c>
      <c r="D84" s="70">
        <f>IF(H84=0,wdct(TRIM(C84)),0)</f>
        <v>52</v>
      </c>
      <c r="E84" s="70">
        <f>COUNTIFS('Error Log'!$A:$A,$A84,'Error Log'!$J:$J,E$1)</f>
        <v>0</v>
      </c>
      <c r="F84" s="70">
        <f>COUNTIFS('Error Log'!$A:$A,$A84,'Error Log'!$J:$J,F$1)</f>
        <v>0</v>
      </c>
      <c r="G84" s="70">
        <f>COUNTIFS('Error Log'!$A:$A,$A84,'Error Log'!$J:$J,G$1)</f>
        <v>0</v>
      </c>
      <c r="H84" s="70">
        <f>COUNTIFS('Error Log'!$A:$A,$A84,'Error Log'!$F:$F,"Source")</f>
        <v>0</v>
      </c>
      <c r="I84" s="70">
        <f>COUNTIFS('Error Log'!$A:$A,$A84,'Error Log'!$F:$F,"Target")</f>
        <v>0</v>
      </c>
      <c r="J84" s="71">
        <f t="shared" si="1"/>
        <v>100</v>
      </c>
    </row>
    <row r="85" spans="1:10">
      <c r="A85" s="79" t="s">
        <v>589</v>
      </c>
      <c r="B85" s="70" t="str">
        <f>IF(ISBLANK(A85),"",INDEX('Error Log'!$A:$J,MATCH('Scores per segment'!$A85,'Error Log'!$A:$A,0),MATCH('Scores per segment'!B$1,'Error Log'!$A$1:$J$1,0)))</f>
        <v>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53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v>
      </c>
      <c r="C85" s="70" t="str">
        <f>IF(ISBLANK(A85),"",INDEX('Error Log'!$A:$J,MATCH('Scores per segment'!$A85,'Error Log'!$A:$A,0),MATCH('Scores per segment'!C$1,'Error Log'!$A$1:$J$1,0)))</f>
        <v>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attack : mike lane ,40 , who is joint master of the tedworth hunt , on the ground during the confrontation with hunt saboteurs</v>
      </c>
      <c r="D85" s="70">
        <f>IF(H85=0,wdct(TRIM(C85)),0)</f>
        <v>79</v>
      </c>
      <c r="E85" s="70">
        <f>COUNTIFS('Error Log'!$A:$A,$A85,'Error Log'!$J:$J,E$1)</f>
        <v>2</v>
      </c>
      <c r="F85" s="70">
        <f>COUNTIFS('Error Log'!$A:$A,$A85,'Error Log'!$J:$J,F$1)</f>
        <v>1</v>
      </c>
      <c r="G85" s="70">
        <f>COUNTIFS('Error Log'!$A:$A,$A85,'Error Log'!$J:$J,G$1)</f>
        <v>0</v>
      </c>
      <c r="H85" s="70">
        <f>COUNTIFS('Error Log'!$A:$A,$A85,'Error Log'!$F:$F,"Source")</f>
        <v>0</v>
      </c>
      <c r="I85" s="70">
        <f>COUNTIFS('Error Log'!$A:$A,$A85,'Error Log'!$F:$F,"Target")</f>
        <v>0</v>
      </c>
      <c r="J85" s="71">
        <f t="shared" si="1"/>
        <v>84.177215189873408</v>
      </c>
    </row>
    <row r="86" spans="1:10">
      <c r="A86" s="79" t="s">
        <v>598</v>
      </c>
      <c r="B86" s="70" t="str">
        <f>IF(ISBLANK(A86),"",INDEX('Error Log'!$A:$J,MATCH('Scores per segment'!$A86,'Error Log'!$A:$A,0),MATCH('Scores per segment'!B$1,'Error Log'!$A$1:$J$1,0)))</f>
        <v>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23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v>
      </c>
      <c r="C86" s="70" t="str">
        <f>IF(ISBLANK(A86),"",INDEX('Error Log'!$A:$J,MATCH('Scores per segment'!$A86,'Error Log'!$A:$A,0),MATCH('Scores per segment'!C$1,'Error Log'!$A$1:$J$1,0)))</f>
        <v>leeds-based direct line is running a competition called #everydayfix .
they asked groups to design products to deal with common problems .
the products were designed as part of the direct line everyday fix design makeathon .</v>
      </c>
      <c r="D86" s="70">
        <f>IF(H86=0,wdct(TRIM(C86)),0)</f>
        <v>34</v>
      </c>
      <c r="E86" s="70">
        <f>COUNTIFS('Error Log'!$A:$A,$A86,'Error Log'!$J:$J,E$1)</f>
        <v>2</v>
      </c>
      <c r="F86" s="70">
        <f>COUNTIFS('Error Log'!$A:$A,$A86,'Error Log'!$J:$J,F$1)</f>
        <v>1</v>
      </c>
      <c r="G86" s="70">
        <f>COUNTIFS('Error Log'!$A:$A,$A86,'Error Log'!$J:$J,G$1)</f>
        <v>0</v>
      </c>
      <c r="H86" s="70">
        <f>COUNTIFS('Error Log'!$A:$A,$A86,'Error Log'!$F:$F,"Source")</f>
        <v>0</v>
      </c>
      <c r="I86" s="70">
        <f>COUNTIFS('Error Log'!$A:$A,$A86,'Error Log'!$F:$F,"Target")</f>
        <v>0</v>
      </c>
      <c r="J86" s="71">
        <f t="shared" si="1"/>
        <v>63.235294117647058</v>
      </c>
    </row>
    <row r="87" spans="1:10">
      <c r="A87" s="79" t="s">
        <v>605</v>
      </c>
      <c r="B87" s="70" t="str">
        <f>IF(ISBLANK(A87),"",INDEX('Error Log'!$A:$J,MATCH('Scores per segment'!$A87,'Error Log'!$A:$A,0),MATCH('Scores per segment'!B$1,'Error Log'!$A$1:$J$1,0)))</f>
        <v>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39-year-old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v>
      </c>
      <c r="C87" s="70" t="str">
        <f>IF(ISBLANK(A87),"",INDEX('Error Log'!$A:$J,MATCH('Scores per segment'!$A87,'Error Log'!$A:$A,0),MATCH('Scores per segment'!C$1,'Error Log'!$A$1:$J$1,0)))</f>
        <v>kilmarnock interim manager gary locke has been given the role on a permanent basis after signing a three-year deal .
the 39-year-old - who will speak at a press conference on friday morning - has lost just once in seven games since taking over at rugby park .
gary locke has been given the job at kilmarnock on a permanent basis after a successful interim spell</v>
      </c>
      <c r="D87" s="70">
        <f>IF(H87=0,wdct(TRIM(C87)),0)</f>
        <v>62</v>
      </c>
      <c r="E87" s="70">
        <f>COUNTIFS('Error Log'!$A:$A,$A87,'Error Log'!$J:$J,E$1)</f>
        <v>1</v>
      </c>
      <c r="F87" s="70">
        <f>COUNTIFS('Error Log'!$A:$A,$A87,'Error Log'!$J:$J,F$1)</f>
        <v>1</v>
      </c>
      <c r="G87" s="70">
        <f>COUNTIFS('Error Log'!$A:$A,$A87,'Error Log'!$J:$J,G$1)</f>
        <v>0</v>
      </c>
      <c r="H87" s="70">
        <f>COUNTIFS('Error Log'!$A:$A,$A87,'Error Log'!$F:$F,"Source")</f>
        <v>0</v>
      </c>
      <c r="I87" s="70">
        <f>COUNTIFS('Error Log'!$A:$A,$A87,'Error Log'!$F:$F,"Target")</f>
        <v>0</v>
      </c>
      <c r="J87" s="71">
        <f t="shared" si="1"/>
        <v>87.903225806451616</v>
      </c>
    </row>
    <row r="88" spans="1:10">
      <c r="A88" s="79" t="s">
        <v>610</v>
      </c>
      <c r="B88" s="70" t="str">
        <f>IF(ISBLANK(A88),"",INDEX('Error Log'!$A:$J,MATCH('Scores per segment'!$A88,'Error Log'!$A:$A,0),MATCH('Scores per segment'!B$1,'Error Log'!$A$1:$J$1,0)))</f>
        <v>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2010 , said she was stepping down to spend more time with her family .
ms baird praised her ` passion and enthusiasm ' , adding : ` sue and i have worked well together over the two-and-a-half years since i became police and crime commissioner . '</v>
      </c>
      <c r="C88" s="70" t="str">
        <f>IF(ISBLANK(A88),"",INDEX('Error Log'!$A:$J,MATCH('Scores per segment'!$A88,'Error Log'!$A:$A,0),MATCH('Scores per segment'!C$1,'Error Log'!$A$1:$J$1,0)))</f>
        <v>vera baird donated £ 500,000 to victims first northumbria , a charity which supports crime victims in her area and of which she is a director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v>
      </c>
      <c r="D88" s="70">
        <f>IF(H88=0,wdct(TRIM(C88)),0)</f>
        <v>77</v>
      </c>
      <c r="E88" s="70">
        <f>COUNTIFS('Error Log'!$A:$A,$A88,'Error Log'!$J:$J,E$1)</f>
        <v>1</v>
      </c>
      <c r="F88" s="70">
        <f>COUNTIFS('Error Log'!$A:$A,$A88,'Error Log'!$J:$J,F$1)</f>
        <v>0</v>
      </c>
      <c r="G88" s="70">
        <f>COUNTIFS('Error Log'!$A:$A,$A88,'Error Log'!$J:$J,G$1)</f>
        <v>0</v>
      </c>
      <c r="H88" s="70">
        <f>COUNTIFS('Error Log'!$A:$A,$A88,'Error Log'!$F:$F,"Source")</f>
        <v>0</v>
      </c>
      <c r="I88" s="70">
        <f>COUNTIFS('Error Log'!$A:$A,$A88,'Error Log'!$F:$F,"Target")</f>
        <v>0</v>
      </c>
      <c r="J88" s="71">
        <f t="shared" si="1"/>
        <v>93.506493506493513</v>
      </c>
    </row>
    <row r="89" spans="1:10">
      <c r="A89" s="79" t="s">
        <v>614</v>
      </c>
      <c r="B89" s="70" t="str">
        <f>IF(ISBLANK(A89),"",INDEX('Error Log'!$A:$J,MATCH('Scores per segment'!$A89,'Error Log'!$A:$A,0),MATCH('Scores per segment'!B$1,'Error Log'!$A$1:$J$1,0)))</f>
        <v>(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2011 letter from gadahn making recommendations for al qaeda 's media strategy .
gadahn was married to a muslim woman from afghanistan and reportedly had at least one child .
cnn 's steve almasy contributed to this report .</v>
      </c>
      <c r="C89" s="70" t="str">
        <f>IF(ISBLANK(A89),"",INDEX('Error Log'!$A:$J,MATCH('Scores per segment'!$A89,'Error Log'!$A:$A,0),MATCH('Scores per segment'!C$1,'Error Log'!$A$1:$J$1,0)))</f>
        <v>(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warren weinstein , a u.s. citizen who was abducted by al qaeda in pakistan in 2011 , died along with another hostage , italian giovanni lo porto , in the attack that killed farouq , according to the white house .</v>
      </c>
      <c r="D89" s="70">
        <f>IF(H89=0,wdct(TRIM(C89)),0)</f>
        <v>87</v>
      </c>
      <c r="E89" s="70">
        <f>COUNTIFS('Error Log'!$A:$A,$A89,'Error Log'!$J:$J,E$1)</f>
        <v>3</v>
      </c>
      <c r="F89" s="70">
        <f>COUNTIFS('Error Log'!$A:$A,$A89,'Error Log'!$J:$J,F$1)</f>
        <v>3</v>
      </c>
      <c r="G89" s="70">
        <f>COUNTIFS('Error Log'!$A:$A,$A89,'Error Log'!$J:$J,G$1)</f>
        <v>0</v>
      </c>
      <c r="H89" s="70">
        <f>COUNTIFS('Error Log'!$A:$A,$A89,'Error Log'!$F:$F,"Source")</f>
        <v>0</v>
      </c>
      <c r="I89" s="70">
        <f>COUNTIFS('Error Log'!$A:$A,$A89,'Error Log'!$F:$F,"Target")</f>
        <v>0</v>
      </c>
      <c r="J89" s="71">
        <f t="shared" si="1"/>
        <v>74.137931034482762</v>
      </c>
    </row>
    <row r="90" spans="1:10">
      <c r="A90" s="78" t="s">
        <v>888</v>
      </c>
      <c r="B90" s="70" t="str">
        <f>IF(ISBLANK(A90),"",INDEX('Error Log'!$A:$J,MATCH('Scores per segment'!$A90,'Error Log'!$A:$A,0),MATCH('Scores per segment'!B$1,'Error Log'!$A$1:$J$1,0)))</f>
        <v>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v>
      </c>
      <c r="C90" s="70" t="str">
        <f>IF(ISBLANK(A90),"",INDEX('Error Log'!$A:$J,MATCH('Scores per segment'!$A90,'Error Log'!$A:$A,0),MATCH('Scores per segment'!C$1,'Error Log'!$A$1:$J$1,0)))</f>
        <v>reds captain gerrard is set to feature for liverpool in the fa cup semi-final against aston villa at wembley on sunday , looking to lead his hometown side into the final against arsenal .
martin skrtel ( left ) says departing liverpool captain steven gerrard is still one of the best players in the world
gerrard is aiming to end his liverpool career by making the fa cup final and beating arsenal</v>
      </c>
      <c r="D90" s="70">
        <f>IF(H90=0,wdct(TRIM(C90)),0)</f>
        <v>68</v>
      </c>
      <c r="E90" s="70">
        <f>COUNTIFS('Error Log'!$A:$A,$A90,'Error Log'!$J:$J,E$1)</f>
        <v>1</v>
      </c>
      <c r="F90" s="70">
        <f>COUNTIFS('Error Log'!$A:$A,$A90,'Error Log'!$J:$J,F$1)</f>
        <v>2</v>
      </c>
      <c r="G90" s="70">
        <f>COUNTIFS('Error Log'!$A:$A,$A90,'Error Log'!$J:$J,G$1)</f>
        <v>0</v>
      </c>
      <c r="H90" s="70">
        <f>COUNTIFS('Error Log'!$A:$A,$A90,'Error Log'!$F:$F,"Source")</f>
        <v>0</v>
      </c>
      <c r="I90" s="70">
        <f>COUNTIFS('Error Log'!$A:$A,$A90,'Error Log'!$F:$F,"Target")</f>
        <v>0</v>
      </c>
      <c r="J90" s="71">
        <f t="shared" si="1"/>
        <v>85.294117647058812</v>
      </c>
    </row>
    <row r="91" spans="1:10">
      <c r="A91" s="78" t="s">
        <v>889</v>
      </c>
      <c r="B91" s="70" t="str">
        <f>IF(ISBLANK(A91),"",INDEX('Error Log'!$A:$J,MATCH('Scores per segment'!$A91,'Error Log'!$A:$A,0),MATCH('Scores per segment'!B$1,'Error Log'!$A$1:$J$1,0)))</f>
        <v>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v>
      </c>
      <c r="C91" s="70" t="str">
        <f>IF(ISBLANK(A91),"",INDEX('Error Log'!$A:$J,MATCH('Scores per segment'!$A91,'Error Log'!$A:$A,0),MATCH('Scores per segment'!C$1,'Error Log'!$A$1:$J$1,0)))</f>
        <v>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v>
      </c>
      <c r="D91" s="70">
        <f>IF(H91=0,wdct(TRIM(C91)),0)</f>
        <v>82</v>
      </c>
      <c r="E91" s="70">
        <f>COUNTIFS('Error Log'!$A:$A,$A91,'Error Log'!$J:$J,E$1)</f>
        <v>2</v>
      </c>
      <c r="F91" s="70">
        <f>COUNTIFS('Error Log'!$A:$A,$A91,'Error Log'!$J:$J,F$1)</f>
        <v>1</v>
      </c>
      <c r="G91" s="70">
        <f>COUNTIFS('Error Log'!$A:$A,$A91,'Error Log'!$J:$J,G$1)</f>
        <v>0</v>
      </c>
      <c r="H91" s="70">
        <f>COUNTIFS('Error Log'!$A:$A,$A91,'Error Log'!$F:$F,"Source")</f>
        <v>0</v>
      </c>
      <c r="I91" s="70">
        <f>COUNTIFS('Error Log'!$A:$A,$A91,'Error Log'!$F:$F,"Target")</f>
        <v>0</v>
      </c>
      <c r="J91" s="71">
        <f t="shared" si="1"/>
        <v>84.756097560975604</v>
      </c>
    </row>
    <row r="92" spans="1:10">
      <c r="A92" s="78" t="s">
        <v>890</v>
      </c>
      <c r="B92" s="70" t="str">
        <f>IF(ISBLANK(A92),"",INDEX('Error Log'!$A:$J,MATCH('Scores per segment'!$A92,'Error Log'!$A:$A,0),MATCH('Scores per segment'!B$1,'Error Log'!$A$1:$J$1,0)))</f>
        <v>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v>
      </c>
      <c r="C92" s="70" t="str">
        <f>IF(ISBLANK(A92),"",INDEX('Error Log'!$A:$J,MATCH('Scores per segment'!$A92,'Error Log'!$A:$A,0),MATCH('Scores per segment'!C$1,'Error Log'!$A$1:$J$1,0)))</f>
        <v>the study also reveals that three-quarters of women never wash their own car with drivers more likely to take it to a car wash on a local forecourt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v>
      </c>
      <c r="D92" s="70">
        <f>IF(H92=0,wdct(TRIM(C92)),0)</f>
        <v>94</v>
      </c>
      <c r="E92" s="70">
        <f>COUNTIFS('Error Log'!$A:$A,$A92,'Error Log'!$J:$J,E$1)</f>
        <v>0</v>
      </c>
      <c r="F92" s="70">
        <f>COUNTIFS('Error Log'!$A:$A,$A92,'Error Log'!$J:$J,F$1)</f>
        <v>2</v>
      </c>
      <c r="G92" s="70">
        <f>COUNTIFS('Error Log'!$A:$A,$A92,'Error Log'!$J:$J,G$1)</f>
        <v>0</v>
      </c>
      <c r="H92" s="70">
        <f>COUNTIFS('Error Log'!$A:$A,$A92,'Error Log'!$F:$F,"Source")</f>
        <v>0</v>
      </c>
      <c r="I92" s="70">
        <f>COUNTIFS('Error Log'!$A:$A,$A92,'Error Log'!$F:$F,"Target")</f>
        <v>0</v>
      </c>
      <c r="J92" s="71">
        <f t="shared" si="1"/>
        <v>94.680851063829778</v>
      </c>
    </row>
    <row r="93" spans="1:10">
      <c r="A93" s="78" t="s">
        <v>891</v>
      </c>
      <c r="B93" s="70" t="str">
        <f>IF(ISBLANK(A93),"",INDEX('Error Log'!$A:$J,MATCH('Scores per segment'!$A93,'Error Log'!$A:$A,0),MATCH('Scores per segment'!B$1,'Error Log'!$A$1:$J$1,0)))</f>
        <v>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v>
      </c>
      <c r="C93" s="70" t="str">
        <f>IF(ISBLANK(A93),"",INDEX('Error Log'!$A:$J,MATCH('Scores per segment'!$A93,'Error Log'!$A:$A,0),MATCH('Scores per segment'!C$1,'Error Log'!$A$1:$J$1,0)))</f>
        <v>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v>
      </c>
      <c r="D93" s="70">
        <f>IF(H93=0,wdct(TRIM(C93)),0)</f>
        <v>56</v>
      </c>
      <c r="E93" s="70">
        <f>COUNTIFS('Error Log'!$A:$A,$A93,'Error Log'!$J:$J,E$1)</f>
        <v>1</v>
      </c>
      <c r="F93" s="70">
        <f>COUNTIFS('Error Log'!$A:$A,$A93,'Error Log'!$J:$J,F$1)</f>
        <v>1</v>
      </c>
      <c r="G93" s="70">
        <f>COUNTIFS('Error Log'!$A:$A,$A93,'Error Log'!$J:$J,G$1)</f>
        <v>0</v>
      </c>
      <c r="H93" s="70">
        <f>COUNTIFS('Error Log'!$A:$A,$A93,'Error Log'!$F:$F,"Source")</f>
        <v>0</v>
      </c>
      <c r="I93" s="70">
        <f>COUNTIFS('Error Log'!$A:$A,$A93,'Error Log'!$F:$F,"Target")</f>
        <v>0</v>
      </c>
      <c r="J93" s="71">
        <f t="shared" si="1"/>
        <v>86.607142857142861</v>
      </c>
    </row>
    <row r="94" spans="1:10">
      <c r="A94" s="78" t="s">
        <v>892</v>
      </c>
      <c r="B94" s="70" t="str">
        <f>IF(ISBLANK(A94),"",INDEX('Error Log'!$A:$J,MATCH('Scores per segment'!$A94,'Error Log'!$A:$A,0),MATCH('Scores per segment'!B$1,'Error Log'!$A$1:$J$1,0)))</f>
        <v>(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v>
      </c>
      <c r="C94" s="70" t="str">
        <f>IF(ISBLANK(A94),"",INDEX('Error Log'!$A:$J,MATCH('Scores per segment'!$A94,'Error Log'!$A:$A,0),MATCH('Scores per segment'!C$1,'Error Log'!$A$1:$J$1,0)))</f>
        <v>(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mark cantor of jazz-on-film.com and some volunteers put together a video of " soundies " -- early music videos -- and showed them to barker at the nursing home where she lives .</v>
      </c>
      <c r="D94" s="70">
        <f>IF(H94=0,wdct(TRIM(C94)),0)</f>
        <v>79</v>
      </c>
      <c r="E94" s="70">
        <f>COUNTIFS('Error Log'!$A:$A,$A94,'Error Log'!$J:$J,E$1)</f>
        <v>0</v>
      </c>
      <c r="F94" s="70">
        <f>COUNTIFS('Error Log'!$A:$A,$A94,'Error Log'!$J:$J,F$1)</f>
        <v>2</v>
      </c>
      <c r="G94" s="70">
        <f>COUNTIFS('Error Log'!$A:$A,$A94,'Error Log'!$J:$J,G$1)</f>
        <v>0</v>
      </c>
      <c r="H94" s="70">
        <f>COUNTIFS('Error Log'!$A:$A,$A94,'Error Log'!$F:$F,"Source")</f>
        <v>0</v>
      </c>
      <c r="I94" s="70">
        <f>COUNTIFS('Error Log'!$A:$A,$A94,'Error Log'!$F:$F,"Target")</f>
        <v>0</v>
      </c>
      <c r="J94" s="71">
        <f t="shared" si="1"/>
        <v>93.670886075949369</v>
      </c>
    </row>
    <row r="95" spans="1:10">
      <c r="A95" s="78" t="s">
        <v>893</v>
      </c>
      <c r="B95" s="70" t="str">
        <f>IF(ISBLANK(A95),"",INDEX('Error Log'!$A:$J,MATCH('Scores per segment'!$A95,'Error Log'!$A:$A,0),MATCH('Scores per segment'!B$1,'Error Log'!$A$1:$J$1,0)))</f>
        <v>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v>
      </c>
      <c r="C95" s="70" t="str">
        <f>IF(ISBLANK(A95),"",INDEX('Error Log'!$A:$J,MATCH('Scores per segment'!$A95,'Error Log'!$A:$A,0),MATCH('Scores per segment'!C$1,'Error Log'!$A$1:$J$1,0)))</f>
        <v>the monarch , 88 , was spotted trotting through windsor great park aboard her faithful black fell pony , carltonlima emma .
her majesty is famous for her love of horses and first found herself in the saddle at the age of four after being presented with a shetland pony , named peggy , aged four .
first love : the queen 's first pony was a tiny shetland named peggy who was given to her at the age of four</v>
      </c>
      <c r="D95" s="70">
        <f>IF(H95=0,wdct(TRIM(C95)),0)</f>
        <v>73</v>
      </c>
      <c r="E95" s="70">
        <f>COUNTIFS('Error Log'!$A:$A,$A95,'Error Log'!$J:$J,E$1)</f>
        <v>1</v>
      </c>
      <c r="F95" s="70">
        <f>COUNTIFS('Error Log'!$A:$A,$A95,'Error Log'!$J:$J,F$1)</f>
        <v>2</v>
      </c>
      <c r="G95" s="70">
        <f>COUNTIFS('Error Log'!$A:$A,$A95,'Error Log'!$J:$J,G$1)</f>
        <v>0</v>
      </c>
      <c r="H95" s="70">
        <f>COUNTIFS('Error Log'!$A:$A,$A95,'Error Log'!$F:$F,"Source")</f>
        <v>0</v>
      </c>
      <c r="I95" s="70">
        <f>COUNTIFS('Error Log'!$A:$A,$A95,'Error Log'!$F:$F,"Target")</f>
        <v>0</v>
      </c>
      <c r="J95" s="71">
        <f t="shared" si="1"/>
        <v>86.30136986301369</v>
      </c>
    </row>
    <row r="96" spans="1:10">
      <c r="A96" s="78" t="s">
        <v>894</v>
      </c>
      <c r="B96" s="70" t="str">
        <f>IF(ISBLANK(A96),"",INDEX('Error Log'!$A:$J,MATCH('Scores per segment'!$A96,'Error Log'!$A:$A,0),MATCH('Scores per segment'!B$1,'Error Log'!$A$1:$J$1,0)))</f>
        <v>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v>
      </c>
      <c r="C96" s="70" t="str">
        <f>IF(ISBLANK(A96),"",INDEX('Error Log'!$A:$J,MATCH('Scores per segment'!$A96,'Error Log'!$A:$A,0),MATCH('Scores per segment'!C$1,'Error Log'!$A$1:$J$1,0)))</f>
        <v>the two men allegedly ignited an aerosol spray with a lighter causing a large flame to make contact with a quokka on rottnest island off perth in western australia on april 3 .
two french male tourists allegedly ignited an aerosol spray with a lighter causing a large flame to make contact with a quokka on rottnest island off perth in western australia on april 3
they have each been charged with animal cruelty and will appear in fremantle magistrates court on april 17 .</v>
      </c>
      <c r="D96" s="70">
        <f>IF(H96=0,wdct(TRIM(C96)),0)</f>
        <v>83</v>
      </c>
      <c r="E96" s="70">
        <f>COUNTIFS('Error Log'!$A:$A,$A96,'Error Log'!$J:$J,E$1)</f>
        <v>0</v>
      </c>
      <c r="F96" s="70">
        <f>COUNTIFS('Error Log'!$A:$A,$A96,'Error Log'!$J:$J,F$1)</f>
        <v>1</v>
      </c>
      <c r="G96" s="70">
        <f>COUNTIFS('Error Log'!$A:$A,$A96,'Error Log'!$J:$J,G$1)</f>
        <v>0</v>
      </c>
      <c r="H96" s="70">
        <f>COUNTIFS('Error Log'!$A:$A,$A96,'Error Log'!$F:$F,"Source")</f>
        <v>0</v>
      </c>
      <c r="I96" s="70">
        <f>COUNTIFS('Error Log'!$A:$A,$A96,'Error Log'!$F:$F,"Target")</f>
        <v>0</v>
      </c>
      <c r="J96" s="71">
        <f t="shared" si="1"/>
        <v>96.98795180722891</v>
      </c>
    </row>
    <row r="97" spans="1:10">
      <c r="A97" s="78" t="s">
        <v>895</v>
      </c>
      <c r="B97" s="70" t="str">
        <f>IF(ISBLANK(A97),"",INDEX('Error Log'!$A:$J,MATCH('Scores per segment'!$A97,'Error Log'!$A:$A,0),MATCH('Scores per segment'!B$1,'Error Log'!$A$1:$J$1,0)))</f>
        <v>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v>
      </c>
      <c r="C97" s="70" t="str">
        <f>IF(ISBLANK(A97),"",INDEX('Error Log'!$A:$J,MATCH('Scores per segment'!$A97,'Error Log'!$A:$A,0),MATCH('Scores per segment'!C$1,'Error Log'!$A$1:$J$1,0)))</f>
        <v>leon yeaman , 55 , was allegedly killed by a single punch in the head from 28-year-old shift worker phillip pama , 28 , during a row in front of their north brisbane homes .
phillip pama covered his face as he left brisbane magistrate courts where he was granted conditional bail on friday
the father of three allegedly killed his 55-year-old neighbour with one punch after he refused to turn his music down</v>
      </c>
      <c r="D97" s="70">
        <f>IF(H97=0,wdct(TRIM(C97)),0)</f>
        <v>69</v>
      </c>
      <c r="E97" s="70">
        <f>COUNTIFS('Error Log'!$A:$A,$A97,'Error Log'!$J:$J,E$1)</f>
        <v>2</v>
      </c>
      <c r="F97" s="70">
        <f>COUNTIFS('Error Log'!$A:$A,$A97,'Error Log'!$J:$J,F$1)</f>
        <v>2</v>
      </c>
      <c r="G97" s="70">
        <f>COUNTIFS('Error Log'!$A:$A,$A97,'Error Log'!$J:$J,G$1)</f>
        <v>0</v>
      </c>
      <c r="H97" s="70">
        <f>COUNTIFS('Error Log'!$A:$A,$A97,'Error Log'!$F:$F,"Source")</f>
        <v>0</v>
      </c>
      <c r="I97" s="70">
        <f>COUNTIFS('Error Log'!$A:$A,$A97,'Error Log'!$F:$F,"Target")</f>
        <v>0</v>
      </c>
      <c r="J97" s="71">
        <f t="shared" si="1"/>
        <v>78.260869565217391</v>
      </c>
    </row>
    <row r="98" spans="1:10">
      <c r="A98" s="78" t="s">
        <v>896</v>
      </c>
      <c r="B98" s="70" t="str">
        <f>IF(ISBLANK(A98),"",INDEX('Error Log'!$A:$J,MATCH('Scores per segment'!$A98,'Error Log'!$A:$A,0),MATCH('Scores per segment'!B$1,'Error Log'!$A$1:$J$1,0)))</f>
        <v>(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v>
      </c>
      <c r="C98" s="70" t="str">
        <f>IF(ISBLANK(A98),"",INDEX('Error Log'!$A:$J,MATCH('Scores per segment'!$A98,'Error Log'!$A:$A,0),MATCH('Scores per segment'!C$1,'Error Log'!$A$1:$J$1,0)))</f>
        <v>(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v>
      </c>
      <c r="D98" s="70">
        <f>IF(H98=0,wdct(TRIM(C98)),0)</f>
        <v>77</v>
      </c>
      <c r="E98" s="70">
        <f>COUNTIFS('Error Log'!$A:$A,$A98,'Error Log'!$J:$J,E$1)</f>
        <v>1</v>
      </c>
      <c r="F98" s="70">
        <f>COUNTIFS('Error Log'!$A:$A,$A98,'Error Log'!$J:$J,F$1)</f>
        <v>2</v>
      </c>
      <c r="G98" s="70">
        <f>COUNTIFS('Error Log'!$A:$A,$A98,'Error Log'!$J:$J,G$1)</f>
        <v>0</v>
      </c>
      <c r="H98" s="70">
        <f>COUNTIFS('Error Log'!$A:$A,$A98,'Error Log'!$F:$F,"Source")</f>
        <v>0</v>
      </c>
      <c r="I98" s="70">
        <f>COUNTIFS('Error Log'!$A:$A,$A98,'Error Log'!$F:$F,"Target")</f>
        <v>0</v>
      </c>
      <c r="J98" s="71">
        <f t="shared" si="1"/>
        <v>87.012987012987011</v>
      </c>
    </row>
    <row r="99" spans="1:10">
      <c r="A99" s="78" t="s">
        <v>897</v>
      </c>
      <c r="B99" s="70" t="str">
        <f>IF(ISBLANK(A99),"",INDEX('Error Log'!$A:$J,MATCH('Scores per segment'!$A99,'Error Log'!$A:$A,0),MATCH('Scores per segment'!B$1,'Error Log'!$A$1:$J$1,0)))</f>
        <v>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v>
      </c>
      <c r="C99" s="70" t="str">
        <f>IF(ISBLANK(A99),"",INDEX('Error Log'!$A:$J,MATCH('Scores per segment'!$A99,'Error Log'!$A:$A,0),MATCH('Scores per segment'!C$1,'Error Log'!$A$1:$J$1,0)))</f>
        <v>jilted music teacher yulia simonova , 52 , wanted to hire a hitman to torture and murder 15-year-old damian vanya after he ended their relationship
yulia simonova faces 15 years behind bars after she asked a friend to find someone willing to torture and kill damian vanya in exchange for 100,000 rubles ( £ 1,400 ) , after he dumped her for a classmate .
the russian music teacher now faces 15 years in prison after being charged with attempted murder</v>
      </c>
      <c r="D99" s="70">
        <f>IF(H99=0,wdct(TRIM(C99)),0)</f>
        <v>74</v>
      </c>
      <c r="E99" s="70">
        <f>COUNTIFS('Error Log'!$A:$A,$A99,'Error Log'!$J:$J,E$1)</f>
        <v>0</v>
      </c>
      <c r="F99" s="70">
        <f>COUNTIFS('Error Log'!$A:$A,$A99,'Error Log'!$J:$J,F$1)</f>
        <v>1</v>
      </c>
      <c r="G99" s="70">
        <f>COUNTIFS('Error Log'!$A:$A,$A99,'Error Log'!$J:$J,G$1)</f>
        <v>0</v>
      </c>
      <c r="H99" s="70">
        <f>COUNTIFS('Error Log'!$A:$A,$A99,'Error Log'!$F:$F,"Source")</f>
        <v>0</v>
      </c>
      <c r="I99" s="70">
        <f>COUNTIFS('Error Log'!$A:$A,$A99,'Error Log'!$F:$F,"Target")</f>
        <v>0</v>
      </c>
      <c r="J99" s="71">
        <f t="shared" si="1"/>
        <v>96.621621621621614</v>
      </c>
    </row>
    <row r="100" spans="1:10">
      <c r="A100" s="78" t="s">
        <v>898</v>
      </c>
      <c r="B100" s="70" t="str">
        <f>IF(ISBLANK(A100),"",INDEX('Error Log'!$A:$J,MATCH('Scores per segment'!$A100,'Error Log'!$A:$A,0),MATCH('Scores per segment'!B$1,'Error Log'!$A$1:$J$1,0)))</f>
        <v>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v>
      </c>
      <c r="C100" s="70" t="str">
        <f>IF(ISBLANK(A100),"",INDEX('Error Log'!$A:$J,MATCH('Scores per segment'!$A100,'Error Log'!$A:$A,0),MATCH('Scores per segment'!C$1,'Error Log'!$A$1:$J$1,0)))</f>
        <v>louise redknapp says that a wide-leg trouser can come as a welcome relief from the skinny jean
louise and emma say to avoid being drowned by too much fabric try a high heeled shoe
poppy delevingne channeled the trend at the aw15 chloe show in paris</v>
      </c>
      <c r="D100" s="70">
        <f>IF(H100=0,wdct(TRIM(C100)),0)</f>
        <v>46</v>
      </c>
      <c r="E100" s="70">
        <f>COUNTIFS('Error Log'!$A:$A,$A100,'Error Log'!$J:$J,E$1)</f>
        <v>0</v>
      </c>
      <c r="F100" s="70">
        <f>COUNTIFS('Error Log'!$A:$A,$A100,'Error Log'!$J:$J,F$1)</f>
        <v>1</v>
      </c>
      <c r="G100" s="70">
        <f>COUNTIFS('Error Log'!$A:$A,$A100,'Error Log'!$J:$J,G$1)</f>
        <v>0</v>
      </c>
      <c r="H100" s="70">
        <f>COUNTIFS('Error Log'!$A:$A,$A100,'Error Log'!$F:$F,"Source")</f>
        <v>0</v>
      </c>
      <c r="I100" s="70">
        <f>COUNTIFS('Error Log'!$A:$A,$A100,'Error Log'!$F:$F,"Target")</f>
        <v>0</v>
      </c>
      <c r="J100" s="71">
        <f t="shared" si="1"/>
        <v>94.565217391304344</v>
      </c>
    </row>
    <row r="101" spans="1:10">
      <c r="A101" s="78" t="s">
        <v>899</v>
      </c>
      <c r="B101" s="70" t="str">
        <f>IF(ISBLANK(A101),"",INDEX('Error Log'!$A:$J,MATCH('Scores per segment'!$A101,'Error Log'!$A:$A,0),MATCH('Scores per segment'!B$1,'Error Log'!$A$1:$J$1,0)))</f>
        <v>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v>
      </c>
      <c r="C101" s="70" t="str">
        <f>IF(ISBLANK(A101),"",INDEX('Error Log'!$A:$J,MATCH('Scores per segment'!$A101,'Error Log'!$A:$A,0),MATCH('Scores per segment'!C$1,'Error Log'!$A$1:$J$1,0)))</f>
        <v>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v>
      </c>
      <c r="D101" s="70">
        <f>IF(H101=0,wdct(TRIM(C101)),0)</f>
        <v>70</v>
      </c>
      <c r="E101" s="70">
        <f>COUNTIFS('Error Log'!$A:$A,$A101,'Error Log'!$J:$J,E$1)</f>
        <v>1</v>
      </c>
      <c r="F101" s="70">
        <f>COUNTIFS('Error Log'!$A:$A,$A101,'Error Log'!$J:$J,F$1)</f>
        <v>1</v>
      </c>
      <c r="G101" s="70">
        <f>COUNTIFS('Error Log'!$A:$A,$A101,'Error Log'!$J:$J,G$1)</f>
        <v>0</v>
      </c>
      <c r="H101" s="70">
        <f>COUNTIFS('Error Log'!$A:$A,$A101,'Error Log'!$F:$F,"Source")</f>
        <v>0</v>
      </c>
      <c r="I101" s="70">
        <f>COUNTIFS('Error Log'!$A:$A,$A101,'Error Log'!$F:$F,"Target")</f>
        <v>0</v>
      </c>
      <c r="J101" s="71">
        <f t="shared" si="1"/>
        <v>89.285714285714278</v>
      </c>
    </row>
    <row r="102" spans="1:10">
      <c r="A102" s="78" t="s">
        <v>900</v>
      </c>
      <c r="B102" s="70" t="str">
        <f>IF(ISBLANK(A102),"",INDEX('Error Log'!$A:$J,MATCH('Scores per segment'!$A102,'Error Log'!$A:$A,0),MATCH('Scores per segment'!B$1,'Error Log'!$A$1:$J$1,0)))</f>
        <v>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v>
      </c>
      <c r="C102" s="70" t="str">
        <f>IF(ISBLANK(A102),"",INDEX('Error Log'!$A:$J,MATCH('Scores per segment'!$A102,'Error Log'!$A:$A,0),MATCH('Scores per segment'!C$1,'Error Log'!$A$1:$J$1,0)))</f>
        <v>the highly-anticipated movie premiered at westfield london shopping centre on tuesday evening with fans queuing up to see the a-list cast which includes robert downey jr. , chris hemsworth and scarlett johansson .
the london wasps captain ( middle ) returned to the club where he started his career for the 2012 season
the flanker returned to wasps for the 2012 season after spells with stade francais , ricoh black rams and highlanders in new zealand .</v>
      </c>
      <c r="D102" s="70">
        <f>IF(H102=0,wdct(TRIM(C102)),0)</f>
        <v>71</v>
      </c>
      <c r="E102" s="70">
        <f>COUNTIFS('Error Log'!$A:$A,$A102,'Error Log'!$J:$J,E$1)</f>
        <v>1</v>
      </c>
      <c r="F102" s="70">
        <f>COUNTIFS('Error Log'!$A:$A,$A102,'Error Log'!$J:$J,F$1)</f>
        <v>3</v>
      </c>
      <c r="G102" s="70">
        <f>COUNTIFS('Error Log'!$A:$A,$A102,'Error Log'!$J:$J,G$1)</f>
        <v>0</v>
      </c>
      <c r="H102" s="70">
        <f>COUNTIFS('Error Log'!$A:$A,$A102,'Error Log'!$F:$F,"Source")</f>
        <v>0</v>
      </c>
      <c r="I102" s="70">
        <f>COUNTIFS('Error Log'!$A:$A,$A102,'Error Log'!$F:$F,"Target")</f>
        <v>0</v>
      </c>
      <c r="J102" s="71">
        <f t="shared" si="1"/>
        <v>82.394366197183103</v>
      </c>
    </row>
    <row r="103" spans="1:10">
      <c r="A103" s="79" t="s">
        <v>901</v>
      </c>
      <c r="B103" s="70" t="str">
        <f>IF(ISBLANK(A103),"",INDEX('Error Log'!$A:$J,MATCH('Scores per segment'!$A103,'Error Log'!$A:$A,0),MATCH('Scores per segment'!B$1,'Error Log'!$A$1:$J$1,0)))</f>
        <v>(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v>
      </c>
      <c r="C103" s="70" t="str">
        <f>IF(ISBLANK(A103),"",INDEX('Error Log'!$A:$J,MATCH('Scores per segment'!$A103,'Error Log'!$A:$A,0),MATCH('Scores per segment'!C$1,'Error Log'!$A$1:$J$1,0)))</f>
        <v>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v>
      </c>
      <c r="D103" s="70">
        <f>IF(H103=0,wdct(TRIM(C103)),0)</f>
        <v>70</v>
      </c>
      <c r="E103" s="70">
        <f>COUNTIFS('Error Log'!$A:$A,$A103,'Error Log'!$J:$J,E$1)</f>
        <v>0</v>
      </c>
      <c r="F103" s="70">
        <f>COUNTIFS('Error Log'!$A:$A,$A103,'Error Log'!$J:$J,F$1)</f>
        <v>1</v>
      </c>
      <c r="G103" s="70">
        <f>COUNTIFS('Error Log'!$A:$A,$A103,'Error Log'!$J:$J,G$1)</f>
        <v>0</v>
      </c>
      <c r="H103" s="70">
        <f>COUNTIFS('Error Log'!$A:$A,$A103,'Error Log'!$F:$F,"Source")</f>
        <v>0</v>
      </c>
      <c r="I103" s="70">
        <f>COUNTIFS('Error Log'!$A:$A,$A103,'Error Log'!$F:$F,"Target")</f>
        <v>0</v>
      </c>
      <c r="J103" s="71">
        <f t="shared" si="1"/>
        <v>96.428571428571431</v>
      </c>
    </row>
    <row r="104" spans="1:10">
      <c r="A104" s="79" t="s">
        <v>902</v>
      </c>
      <c r="B104" s="70" t="str">
        <f>IF(ISBLANK(A104),"",INDEX('Error Log'!$A:$J,MATCH('Scores per segment'!$A104,'Error Log'!$A:$A,0),MATCH('Scores per segment'!B$1,'Error Log'!$A$1:$J$1,0)))</f>
        <v>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v>
      </c>
      <c r="C104" s="70" t="str">
        <f>IF(ISBLANK(A104),"",INDEX('Error Log'!$A:$J,MATCH('Scores per segment'!$A104,'Error Log'!$A:$A,0),MATCH('Scores per segment'!C$1,'Error Log'!$A$1:$J$1,0)))</f>
        <v>there was no special treatment for lewis ferguson at paul nicholls 's yard on thursday morning .
amateur jockey lee lewis ferguson has just a cut on his nose to show for his ordeal
teenager ferguson was flung from his horse in spectacular fashion at wincanton</v>
      </c>
      <c r="D104" s="70">
        <f>IF(H104=0,wdct(TRIM(C104)),0)</f>
        <v>45</v>
      </c>
      <c r="E104" s="70">
        <f>COUNTIFS('Error Log'!$A:$A,$A104,'Error Log'!$J:$J,E$1)</f>
        <v>1</v>
      </c>
      <c r="F104" s="70">
        <f>COUNTIFS('Error Log'!$A:$A,$A104,'Error Log'!$J:$J,F$1)</f>
        <v>1</v>
      </c>
      <c r="G104" s="70">
        <f>COUNTIFS('Error Log'!$A:$A,$A104,'Error Log'!$J:$J,G$1)</f>
        <v>0</v>
      </c>
      <c r="H104" s="70">
        <f>COUNTIFS('Error Log'!$A:$A,$A104,'Error Log'!$F:$F,"Source")</f>
        <v>0</v>
      </c>
      <c r="I104" s="70">
        <f>COUNTIFS('Error Log'!$A:$A,$A104,'Error Log'!$F:$F,"Target")</f>
        <v>0</v>
      </c>
      <c r="J104" s="71">
        <f t="shared" si="1"/>
        <v>83.333333333333343</v>
      </c>
    </row>
    <row r="105" spans="1:10">
      <c r="A105" s="79" t="s">
        <v>903</v>
      </c>
      <c r="B105" s="70" t="str">
        <f>IF(ISBLANK(A105),"",INDEX('Error Log'!$A:$J,MATCH('Scores per segment'!$A105,'Error Log'!$A:$A,0),MATCH('Scores per segment'!B$1,'Error Log'!$A$1:$J$1,0)))</f>
        <v>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v>
      </c>
      <c r="C105" s="70" t="str">
        <f>IF(ISBLANK(A105),"",INDEX('Error Log'!$A:$J,MATCH('Scores per segment'!$A105,'Error Log'!$A:$A,0),MATCH('Scores per segment'!C$1,'Error Log'!$A$1:$J$1,0)))</f>
        <v>agent arthur baldwin was taken into custody at 12:30 am on friday on a residential street in south-eastern d.c. by the metropolitan police .
he has been hit with a felony charge of attempted burglary and another of destruction of property .
the agency revoked baldwin 's security clearance and put him on leave in light of the arrest .</v>
      </c>
      <c r="D105" s="70">
        <f>IF(H105=0,wdct(TRIM(C105)),0)</f>
        <v>59</v>
      </c>
      <c r="E105" s="70">
        <f>COUNTIFS('Error Log'!$A:$A,$A105,'Error Log'!$J:$J,E$1)</f>
        <v>0</v>
      </c>
      <c r="F105" s="70">
        <f>COUNTIFS('Error Log'!$A:$A,$A105,'Error Log'!$J:$J,F$1)</f>
        <v>0</v>
      </c>
      <c r="G105" s="70">
        <f>COUNTIFS('Error Log'!$A:$A,$A105,'Error Log'!$J:$J,G$1)</f>
        <v>0</v>
      </c>
      <c r="H105" s="70">
        <f>COUNTIFS('Error Log'!$A:$A,$A105,'Error Log'!$F:$F,"Source")</f>
        <v>0</v>
      </c>
      <c r="I105" s="70">
        <f>COUNTIFS('Error Log'!$A:$A,$A105,'Error Log'!$F:$F,"Target")</f>
        <v>0</v>
      </c>
      <c r="J105" s="71">
        <f t="shared" si="1"/>
        <v>100</v>
      </c>
    </row>
    <row r="106" spans="1:10">
      <c r="A106" s="79" t="s">
        <v>904</v>
      </c>
      <c r="B106" s="70" t="str">
        <f>IF(ISBLANK(A106),"",INDEX('Error Log'!$A:$J,MATCH('Scores per segment'!$A106,'Error Log'!$A:$A,0),MATCH('Scores per segment'!B$1,'Error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v>
      </c>
      <c r="C106" s="70" t="str">
        <f>IF(ISBLANK(A106),"",INDEX('Error Log'!$A:$J,MATCH('Scores per segment'!$A106,'Error Log'!$A:$A,0),MATCH('Scores per segment'!C$1,'Error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pablo osvaldo thinks that his former team-mates andrea pirlo and francesco totti should move to boca</v>
      </c>
      <c r="D106" s="70">
        <f>IF(H106=0,wdct(TRIM(C106)),0)</f>
        <v>63</v>
      </c>
      <c r="E106" s="70">
        <f>COUNTIFS('Error Log'!$A:$A,$A106,'Error Log'!$J:$J,E$1)</f>
        <v>1</v>
      </c>
      <c r="F106" s="70">
        <f>COUNTIFS('Error Log'!$A:$A,$A106,'Error Log'!$J:$J,F$1)</f>
        <v>1</v>
      </c>
      <c r="G106" s="70">
        <f>COUNTIFS('Error Log'!$A:$A,$A106,'Error Log'!$J:$J,G$1)</f>
        <v>0</v>
      </c>
      <c r="H106" s="70">
        <f>COUNTIFS('Error Log'!$A:$A,$A106,'Error Log'!$F:$F,"Source")</f>
        <v>0</v>
      </c>
      <c r="I106" s="70">
        <f>COUNTIFS('Error Log'!$A:$A,$A106,'Error Log'!$F:$F,"Target")</f>
        <v>0</v>
      </c>
      <c r="J106" s="71">
        <f t="shared" si="1"/>
        <v>88.095238095238102</v>
      </c>
    </row>
    <row r="107" spans="1:10">
      <c r="A107" s="79" t="s">
        <v>905</v>
      </c>
      <c r="B107" s="70" t="str">
        <f>IF(ISBLANK(A107),"",INDEX('Error Log'!$A:$J,MATCH('Scores per segment'!$A107,'Error Log'!$A:$A,0),MATCH('Scores per segment'!B$1,'Error Log'!$A$1:$J$1,0)))</f>
        <v>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v>
      </c>
      <c r="C107" s="70" t="str">
        <f>IF(ISBLANK(A107),"",INDEX('Error Log'!$A:$J,MATCH('Scores per segment'!$A107,'Error Log'!$A:$A,0),MATCH('Scores per segment'!C$1,'Error Log'!$A$1:$J$1,0)))</f>
        <v>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v>
      </c>
      <c r="D107" s="70">
        <f>IF(H107=0,wdct(TRIM(C107)),0)</f>
        <v>70</v>
      </c>
      <c r="E107" s="70">
        <f>COUNTIFS('Error Log'!$A:$A,$A107,'Error Log'!$J:$J,E$1)</f>
        <v>2</v>
      </c>
      <c r="F107" s="70">
        <f>COUNTIFS('Error Log'!$A:$A,$A107,'Error Log'!$J:$J,F$1)</f>
        <v>1</v>
      </c>
      <c r="G107" s="70">
        <f>COUNTIFS('Error Log'!$A:$A,$A107,'Error Log'!$J:$J,G$1)</f>
        <v>0</v>
      </c>
      <c r="H107" s="70">
        <f>COUNTIFS('Error Log'!$A:$A,$A107,'Error Log'!$F:$F,"Source")</f>
        <v>0</v>
      </c>
      <c r="I107" s="70">
        <f>COUNTIFS('Error Log'!$A:$A,$A107,'Error Log'!$F:$F,"Target")</f>
        <v>0</v>
      </c>
      <c r="J107" s="71">
        <f t="shared" si="1"/>
        <v>82.142857142857139</v>
      </c>
    </row>
    <row r="108" spans="1:10">
      <c r="A108" s="79" t="s">
        <v>906</v>
      </c>
      <c r="B108" s="70" t="str">
        <f>IF(ISBLANK(A108),"",INDEX('Error Log'!$A:$J,MATCH('Scores per segment'!$A108,'Error Log'!$A:$A,0),MATCH('Scores per segment'!B$1,'Error Log'!$A$1:$J$1,0)))</f>
        <v>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v>
      </c>
      <c r="C108" s="70" t="str">
        <f>IF(ISBLANK(A108),"",INDEX('Error Log'!$A:$J,MATCH('Scores per segment'!$A108,'Error Log'!$A:$A,0),MATCH('Scores per segment'!C$1,'Error Log'!$A$1:$J$1,0)))</f>
        <v>dani alves looks set to leave barcelona this summer after his representative confirmed the brazilian right-back had rejected the club 's final contract offer .
alves has enjoyed seven successful years at barcelona , winning four spanish titles and the champions league twice .
alves has been unable to agree a new deal with the catalan club and will leave the nou camp this summer</v>
      </c>
      <c r="D108" s="70">
        <f>IF(H108=0,wdct(TRIM(C108)),0)</f>
        <v>62</v>
      </c>
      <c r="E108" s="70">
        <f>COUNTIFS('Error Log'!$A:$A,$A108,'Error Log'!$J:$J,E$1)</f>
        <v>0</v>
      </c>
      <c r="F108" s="70">
        <f>COUNTIFS('Error Log'!$A:$A,$A108,'Error Log'!$J:$J,F$1)</f>
        <v>0</v>
      </c>
      <c r="G108" s="70">
        <f>COUNTIFS('Error Log'!$A:$A,$A108,'Error Log'!$J:$J,G$1)</f>
        <v>0</v>
      </c>
      <c r="H108" s="70">
        <f>COUNTIFS('Error Log'!$A:$A,$A108,'Error Log'!$F:$F,"Source")</f>
        <v>0</v>
      </c>
      <c r="I108" s="70">
        <f>COUNTIFS('Error Log'!$A:$A,$A108,'Error Log'!$F:$F,"Target")</f>
        <v>0</v>
      </c>
      <c r="J108" s="71">
        <f t="shared" si="1"/>
        <v>100</v>
      </c>
    </row>
    <row r="109" spans="1:10">
      <c r="A109" s="79" t="s">
        <v>907</v>
      </c>
      <c r="B109" s="70" t="str">
        <f>IF(ISBLANK(A109),"",INDEX('Error Log'!$A:$J,MATCH('Scores per segment'!$A109,'Error Log'!$A:$A,0),MATCH('Scores per segment'!B$1,'Error Log'!$A$1:$J$1,0)))</f>
        <v>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v>
      </c>
      <c r="C109" s="70" t="str">
        <f>IF(ISBLANK(A109),"",INDEX('Error Log'!$A:$J,MATCH('Scores per segment'!$A109,'Error Log'!$A:$A,0),MATCH('Scores per segment'!C$1,'Error Log'!$A$1:$J$1,0)))</f>
        <v>the unnamed woman , believed to be between 25 and 45 years old , was discovered lying unconscious march 22 in the area near shore parkway and 26th avenue in the gravesend section of brooklyn .
distinctive : nypd has released images of a heart tattoo with the name ` monique ' found on an unnamed woman who died in brooklyn last month .
investigators believe the faded body art was the name ` monique ' etched across a tattooed ribbon within a heart topped with a rose .</v>
      </c>
      <c r="D109" s="70">
        <f>IF(H109=0,wdct(TRIM(C109)),0)</f>
        <v>79</v>
      </c>
      <c r="E109" s="70">
        <f>COUNTIFS('Error Log'!$A:$A,$A109,'Error Log'!$J:$J,E$1)</f>
        <v>0</v>
      </c>
      <c r="F109" s="70">
        <f>COUNTIFS('Error Log'!$A:$A,$A109,'Error Log'!$J:$J,F$1)</f>
        <v>2</v>
      </c>
      <c r="G109" s="70">
        <f>COUNTIFS('Error Log'!$A:$A,$A109,'Error Log'!$J:$J,G$1)</f>
        <v>0</v>
      </c>
      <c r="H109" s="70">
        <f>COUNTIFS('Error Log'!$A:$A,$A109,'Error Log'!$F:$F,"Source")</f>
        <v>0</v>
      </c>
      <c r="I109" s="70">
        <f>COUNTIFS('Error Log'!$A:$A,$A109,'Error Log'!$F:$F,"Target")</f>
        <v>0</v>
      </c>
      <c r="J109" s="71">
        <f t="shared" si="1"/>
        <v>93.670886075949369</v>
      </c>
    </row>
    <row r="110" spans="1:10">
      <c r="A110" s="79" t="s">
        <v>908</v>
      </c>
      <c r="B110" s="70" t="str">
        <f>IF(ISBLANK(A110),"",INDEX('Error Log'!$A:$J,MATCH('Scores per segment'!$A110,'Error Log'!$A:$A,0),MATCH('Scores per segment'!B$1,'Error Log'!$A$1:$J$1,0)))</f>
        <v>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v>
      </c>
      <c r="C110" s="70" t="str">
        <f>IF(ISBLANK(A110),"",INDEX('Error Log'!$A:$J,MATCH('Scores per segment'!$A110,'Error Log'!$A:$A,0),MATCH('Scores per segment'!C$1,'Error Log'!$A$1:$J$1,0)))</f>
        <v>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v>
      </c>
      <c r="D110" s="70">
        <f>IF(H110=0,wdct(TRIM(C110)),0)</f>
        <v>66</v>
      </c>
      <c r="E110" s="70">
        <f>COUNTIFS('Error Log'!$A:$A,$A110,'Error Log'!$J:$J,E$1)</f>
        <v>0</v>
      </c>
      <c r="F110" s="70">
        <f>COUNTIFS('Error Log'!$A:$A,$A110,'Error Log'!$J:$J,F$1)</f>
        <v>5</v>
      </c>
      <c r="G110" s="70">
        <f>COUNTIFS('Error Log'!$A:$A,$A110,'Error Log'!$J:$J,G$1)</f>
        <v>0</v>
      </c>
      <c r="H110" s="70">
        <f>COUNTIFS('Error Log'!$A:$A,$A110,'Error Log'!$F:$F,"Source")</f>
        <v>0</v>
      </c>
      <c r="I110" s="70">
        <f>COUNTIFS('Error Log'!$A:$A,$A110,'Error Log'!$F:$F,"Target")</f>
        <v>0</v>
      </c>
      <c r="J110" s="71">
        <f t="shared" si="1"/>
        <v>81.060606060606062</v>
      </c>
    </row>
    <row r="111" spans="1:10">
      <c r="A111" s="79" t="s">
        <v>909</v>
      </c>
      <c r="B111" s="70" t="str">
        <f>IF(ISBLANK(A111),"",INDEX('Error Log'!$A:$J,MATCH('Scores per segment'!$A111,'Error Log'!$A:$A,0),MATCH('Scores per segment'!B$1,'Error Log'!$A$1:$J$1,0)))</f>
        <v>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v>
      </c>
      <c r="C111" s="70" t="str">
        <f>IF(ISBLANK(A111),"",INDEX('Error Log'!$A:$J,MATCH('Scores per segment'!$A111,'Error Log'!$A:$A,0),MATCH('Scores per segment'!C$1,'Error Log'!$A$1:$J$1,0)))</f>
        <v>hannah and alex purchased a 1986 hino flatbed and undertook their year and a half labor of love .
the result was a solar-powered two-bedroom , wood and steel home that now allows them to live almost self-sufficiently in nelson , new zealand .
ingenuity : the couple started with a steel frame and slowly , project by project , built a home in about a year and a half</v>
      </c>
      <c r="D111" s="70">
        <f>IF(H111=0,wdct(TRIM(C111)),0)</f>
        <v>63</v>
      </c>
      <c r="E111" s="70">
        <f>COUNTIFS('Error Log'!$A:$A,$A111,'Error Log'!$J:$J,E$1)</f>
        <v>1</v>
      </c>
      <c r="F111" s="70">
        <f>COUNTIFS('Error Log'!$A:$A,$A111,'Error Log'!$J:$J,F$1)</f>
        <v>1</v>
      </c>
      <c r="G111" s="70">
        <f>COUNTIFS('Error Log'!$A:$A,$A111,'Error Log'!$J:$J,G$1)</f>
        <v>0</v>
      </c>
      <c r="H111" s="70">
        <f>COUNTIFS('Error Log'!$A:$A,$A111,'Error Log'!$F:$F,"Source")</f>
        <v>0</v>
      </c>
      <c r="I111" s="70">
        <f>COUNTIFS('Error Log'!$A:$A,$A111,'Error Log'!$F:$F,"Target")</f>
        <v>0</v>
      </c>
      <c r="J111" s="71">
        <f t="shared" si="1"/>
        <v>88.095238095238102</v>
      </c>
    </row>
    <row r="112" spans="1:10">
      <c r="A112" s="79" t="s">
        <v>910</v>
      </c>
      <c r="B112" s="70" t="str">
        <f>IF(ISBLANK(A112),"",INDEX('Error Log'!$A:$J,MATCH('Scores per segment'!$A112,'Error Log'!$A:$A,0),MATCH('Scores per segment'!B$1,'Error Log'!$A$1:$J$1,0)))</f>
        <v>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v>
      </c>
      <c r="C112" s="70" t="str">
        <f>IF(ISBLANK(A112),"",INDEX('Error Log'!$A:$J,MATCH('Scores per segment'!$A112,'Error Log'!$A:$A,0),MATCH('Scores per segment'!C$1,'Error Log'!$A$1:$J$1,0)))</f>
        <v>according to the yougov survey for the sunday times , 12 per cent of people questioned thought that the child should be named after william 's mother - diana the princess of wales .
brits are hoping for a baby princess this time and favour the name diana
diana is the favourite name for the second royal baby , name after williams mother - the late princess of wales</v>
      </c>
      <c r="D112" s="70">
        <f>IF(H112=0,wdct(TRIM(C112)),0)</f>
        <v>64</v>
      </c>
      <c r="E112" s="70">
        <f>COUNTIFS('Error Log'!$A:$A,$A112,'Error Log'!$J:$J,E$1)</f>
        <v>2</v>
      </c>
      <c r="F112" s="70">
        <f>COUNTIFS('Error Log'!$A:$A,$A112,'Error Log'!$J:$J,F$1)</f>
        <v>2</v>
      </c>
      <c r="G112" s="70">
        <f>COUNTIFS('Error Log'!$A:$A,$A112,'Error Log'!$J:$J,G$1)</f>
        <v>0</v>
      </c>
      <c r="H112" s="70">
        <f>COUNTIFS('Error Log'!$A:$A,$A112,'Error Log'!$F:$F,"Source")</f>
        <v>0</v>
      </c>
      <c r="I112" s="70">
        <f>COUNTIFS('Error Log'!$A:$A,$A112,'Error Log'!$F:$F,"Target")</f>
        <v>0</v>
      </c>
      <c r="J112" s="71">
        <f t="shared" si="1"/>
        <v>76.5625</v>
      </c>
    </row>
    <row r="113" spans="1:10">
      <c r="A113" s="79" t="s">
        <v>911</v>
      </c>
      <c r="B113" s="70" t="str">
        <f>IF(ISBLANK(A113),"",INDEX('Error Log'!$A:$J,MATCH('Scores per segment'!$A113,'Error Log'!$A:$A,0),MATCH('Scores per segment'!B$1,'Error Log'!$A$1:$J$1,0)))</f>
        <v>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v>
      </c>
      <c r="C113" s="70" t="str">
        <f>IF(ISBLANK(A113),"",INDEX('Error Log'!$A:$J,MATCH('Scores per segment'!$A113,'Error Log'!$A:$A,0),MATCH('Scores per segment'!C$1,'Error Log'!$A$1:$J$1,0)))</f>
        <v>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shared ipad students scored around 30 points higher than students who used the device on their own and non-ipad users .</v>
      </c>
      <c r="D113" s="70">
        <f>IF(H113=0,wdct(TRIM(C113)),0)</f>
        <v>68</v>
      </c>
      <c r="E113" s="70">
        <f>COUNTIFS('Error Log'!$A:$A,$A113,'Error Log'!$J:$J,E$1)</f>
        <v>0</v>
      </c>
      <c r="F113" s="70">
        <f>COUNTIFS('Error Log'!$A:$A,$A113,'Error Log'!$J:$J,F$1)</f>
        <v>2</v>
      </c>
      <c r="G113" s="70">
        <f>COUNTIFS('Error Log'!$A:$A,$A113,'Error Log'!$J:$J,G$1)</f>
        <v>0</v>
      </c>
      <c r="H113" s="70">
        <f>COUNTIFS('Error Log'!$A:$A,$A113,'Error Log'!$F:$F,"Source")</f>
        <v>0</v>
      </c>
      <c r="I113" s="70">
        <f>COUNTIFS('Error Log'!$A:$A,$A113,'Error Log'!$F:$F,"Target")</f>
        <v>0</v>
      </c>
      <c r="J113" s="71">
        <f t="shared" si="1"/>
        <v>92.64705882352942</v>
      </c>
    </row>
    <row r="114" spans="1:10">
      <c r="A114" s="79" t="s">
        <v>912</v>
      </c>
      <c r="B114" s="70" t="str">
        <f>IF(ISBLANK(A114),"",INDEX('Error Log'!$A:$J,MATCH('Scores per segment'!$A114,'Error Log'!$A:$A,0),MATCH('Scores per segment'!B$1,'Error Log'!$A$1:$J$1,0)))</f>
        <v>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v>
      </c>
      <c r="C114" s="70" t="str">
        <f>IF(ISBLANK(A114),"",INDEX('Error Log'!$A:$J,MATCH('Scores per segment'!$A114,'Error Log'!$A:$A,0),MATCH('Scores per segment'!C$1,'Error Log'!$A$1:$J$1,0)))</f>
        <v>a model who appeared in the video for ricky martin 's hit song la vida loco has told followers she did not try to take her own life and was instead treated in hospital after she collapsed due to ` low blood pressure ' .
nina moric , pictured , took to instagram to deny claims that she tried to take her own life over the weekend
the croatian-born model , pictured , claimed she collapsed at home due to ` low blood pressure '</v>
      </c>
      <c r="D114" s="70">
        <f>IF(H114=0,wdct(TRIM(C114)),0)</f>
        <v>76</v>
      </c>
      <c r="E114" s="70">
        <f>COUNTIFS('Error Log'!$A:$A,$A114,'Error Log'!$J:$J,E$1)</f>
        <v>1</v>
      </c>
      <c r="F114" s="70">
        <f>COUNTIFS('Error Log'!$A:$A,$A114,'Error Log'!$J:$J,F$1)</f>
        <v>2</v>
      </c>
      <c r="G114" s="70">
        <f>COUNTIFS('Error Log'!$A:$A,$A114,'Error Log'!$J:$J,G$1)</f>
        <v>0</v>
      </c>
      <c r="H114" s="70">
        <f>COUNTIFS('Error Log'!$A:$A,$A114,'Error Log'!$F:$F,"Source")</f>
        <v>0</v>
      </c>
      <c r="I114" s="70">
        <f>COUNTIFS('Error Log'!$A:$A,$A114,'Error Log'!$F:$F,"Target")</f>
        <v>0</v>
      </c>
      <c r="J114" s="71">
        <f t="shared" si="1"/>
        <v>86.84210526315789</v>
      </c>
    </row>
    <row r="115" spans="1:10">
      <c r="A115" s="79" t="s">
        <v>913</v>
      </c>
      <c r="B115" s="70" t="str">
        <f>IF(ISBLANK(A115),"",INDEX('Error Log'!$A:$J,MATCH('Scores per segment'!$A115,'Error Log'!$A:$A,0),MATCH('Scores per segment'!B$1,'Error Log'!$A$1:$J$1,0)))</f>
        <v>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v>
      </c>
      <c r="C115" s="70" t="str">
        <f>IF(ISBLANK(A115),"",INDEX('Error Log'!$A:$J,MATCH('Scores per segment'!$A115,'Error Log'!$A:$A,0),MATCH('Scores per segment'!C$1,'Error Log'!$A$1:$J$1,0)))</f>
        <v>the piglet was born with its back legs missing . 
 the clip featured on the people 's daily online shows the young animal . 
 the piglet have all been born with all four legs .</v>
      </c>
      <c r="D115" s="70">
        <f>IF(H115=0,wdct(TRIM(C115)),0)</f>
        <v>32</v>
      </c>
      <c r="E115" s="70">
        <f>COUNTIFS('Error Log'!$A:$A,$A115,'Error Log'!$J:$J,E$1)</f>
        <v>3</v>
      </c>
      <c r="F115" s="70">
        <f>COUNTIFS('Error Log'!$A:$A,$A115,'Error Log'!$J:$J,F$1)</f>
        <v>2</v>
      </c>
      <c r="G115" s="70">
        <f>COUNTIFS('Error Log'!$A:$A,$A115,'Error Log'!$J:$J,G$1)</f>
        <v>0</v>
      </c>
      <c r="H115" s="70">
        <f>COUNTIFS('Error Log'!$A:$A,$A115,'Error Log'!$F:$F,"Source")</f>
        <v>0</v>
      </c>
      <c r="I115" s="70">
        <f>COUNTIFS('Error Log'!$A:$A,$A115,'Error Log'!$F:$F,"Target")</f>
        <v>0</v>
      </c>
      <c r="J115" s="71">
        <f t="shared" si="1"/>
        <v>37.5</v>
      </c>
    </row>
    <row r="116" spans="1:10">
      <c r="A116" s="79" t="s">
        <v>914</v>
      </c>
      <c r="B116" s="70" t="str">
        <f>IF(ISBLANK(A116),"",INDEX('Error Log'!$A:$J,MATCH('Scores per segment'!$A116,'Error Log'!$A:$A,0),MATCH('Scores per segment'!B$1,'Error Log'!$A$1:$J$1,0)))</f>
        <v>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v>
      </c>
      <c r="C116" s="70" t="str">
        <f>IF(ISBLANK(A116),"",INDEX('Error Log'!$A:$J,MATCH('Scores per segment'!$A116,'Error Log'!$A:$A,0),MATCH('Scores per segment'!C$1,'Error Log'!$A$1:$J$1,0)))</f>
        <v>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meteorologists say early indicators show an east coast low -- the same weather system that lashed the state 's east coast for three days last week -- could hit again bringing heavy rain from thursday through to saturday</v>
      </c>
      <c r="D116" s="70">
        <f>IF(H116=0,wdct(TRIM(C116)),0)</f>
        <v>98</v>
      </c>
      <c r="E116" s="70">
        <f>COUNTIFS('Error Log'!$A:$A,$A116,'Error Log'!$J:$J,E$1)</f>
        <v>2</v>
      </c>
      <c r="F116" s="70">
        <f>COUNTIFS('Error Log'!$A:$A,$A116,'Error Log'!$J:$J,F$1)</f>
        <v>2</v>
      </c>
      <c r="G116" s="70">
        <f>COUNTIFS('Error Log'!$A:$A,$A116,'Error Log'!$J:$J,G$1)</f>
        <v>0</v>
      </c>
      <c r="H116" s="70">
        <f>COUNTIFS('Error Log'!$A:$A,$A116,'Error Log'!$F:$F,"Source")</f>
        <v>0</v>
      </c>
      <c r="I116" s="70">
        <f>COUNTIFS('Error Log'!$A:$A,$A116,'Error Log'!$F:$F,"Target")</f>
        <v>0</v>
      </c>
      <c r="J116" s="71">
        <f t="shared" si="1"/>
        <v>84.693877551020407</v>
      </c>
    </row>
    <row r="117" spans="1:10">
      <c r="A117" s="79" t="s">
        <v>915</v>
      </c>
      <c r="B117" s="70" t="str">
        <f>IF(ISBLANK(A117),"",INDEX('Error Log'!$A:$J,MATCH('Scores per segment'!$A117,'Error Log'!$A:$A,0),MATCH('Scores per segment'!B$1,'Error Log'!$A$1:$J$1,0)))</f>
        <v>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v>
      </c>
      <c r="C117" s="70" t="str">
        <f>IF(ISBLANK(A117),"",INDEX('Error Log'!$A:$J,MATCH('Scores per segment'!$A117,'Error Log'!$A:$A,0),MATCH('Scores per segment'!C$1,'Error Log'!$A$1:$J$1,0)))</f>
        <v>a pit crew member was hit by a car on sunday during the inaugural indycar grand prix of louisiana .
todd phillips , a front-outside tire changer for dayle coyne racing , was injuried when he was struck by the car of francesco dracone , who had come in on lap 25 for tires and fuel .
francesco dracone ( 19 ) , of italy , spins out on turn one during the indycar grand prix of louisiana auto race in avondale on sunday</v>
      </c>
      <c r="D117" s="70">
        <f>IF(H117=0,wdct(TRIM(C117)),0)</f>
        <v>75</v>
      </c>
      <c r="E117" s="70">
        <f>COUNTIFS('Error Log'!$A:$A,$A117,'Error Log'!$J:$J,E$1)</f>
        <v>2</v>
      </c>
      <c r="F117" s="70">
        <f>COUNTIFS('Error Log'!$A:$A,$A117,'Error Log'!$J:$J,F$1)</f>
        <v>1</v>
      </c>
      <c r="G117" s="70">
        <f>COUNTIFS('Error Log'!$A:$A,$A117,'Error Log'!$J:$J,G$1)</f>
        <v>0</v>
      </c>
      <c r="H117" s="70">
        <f>COUNTIFS('Error Log'!$A:$A,$A117,'Error Log'!$F:$F,"Source")</f>
        <v>0</v>
      </c>
      <c r="I117" s="70">
        <f>COUNTIFS('Error Log'!$A:$A,$A117,'Error Log'!$F:$F,"Target")</f>
        <v>0</v>
      </c>
      <c r="J117" s="71">
        <f t="shared" si="1"/>
        <v>83.333333333333343</v>
      </c>
    </row>
    <row r="118" spans="1:10">
      <c r="A118" s="79" t="s">
        <v>916</v>
      </c>
      <c r="B118" s="70" t="str">
        <f>IF(ISBLANK(A118),"",INDEX('Error Log'!$A:$J,MATCH('Scores per segment'!$A118,'Error Log'!$A:$A,0),MATCH('Scores per segment'!B$1,'Error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v>
      </c>
      <c r="C118" s="70" t="str">
        <f>IF(ISBLANK(A118),"",INDEX('Error Log'!$A:$J,MATCH('Scores per segment'!$A118,'Error Log'!$A:$A,0),MATCH('Scores per segment'!C$1,'Error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anastasia pavlyuchenkova of russia beat germany 's sabine lisicki for a 2-0 lead in their fed cup tie</v>
      </c>
      <c r="D118" s="70">
        <f>IF(H118=0,wdct(TRIM(C118)),0)</f>
        <v>80</v>
      </c>
      <c r="E118" s="70">
        <f>COUNTIFS('Error Log'!$A:$A,$A118,'Error Log'!$J:$J,E$1)</f>
        <v>0</v>
      </c>
      <c r="F118" s="70">
        <f>COUNTIFS('Error Log'!$A:$A,$A118,'Error Log'!$J:$J,F$1)</f>
        <v>0</v>
      </c>
      <c r="G118" s="70">
        <f>COUNTIFS('Error Log'!$A:$A,$A118,'Error Log'!$J:$J,G$1)</f>
        <v>0</v>
      </c>
      <c r="H118" s="70">
        <f>COUNTIFS('Error Log'!$A:$A,$A118,'Error Log'!$F:$F,"Source")</f>
        <v>0</v>
      </c>
      <c r="I118" s="70">
        <f>COUNTIFS('Error Log'!$A:$A,$A118,'Error Log'!$F:$F,"Target")</f>
        <v>0</v>
      </c>
      <c r="J118" s="71">
        <f t="shared" si="1"/>
        <v>100</v>
      </c>
    </row>
    <row r="119" spans="1:10">
      <c r="A119" s="79" t="s">
        <v>917</v>
      </c>
      <c r="B119" s="70" t="str">
        <f>IF(ISBLANK(A119),"",INDEX('Error Log'!$A:$J,MATCH('Scores per segment'!$A119,'Error Log'!$A:$A,0),MATCH('Scores per segment'!B$1,'Error Log'!$A$1:$J$1,0)))</f>
        <v>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v>
      </c>
      <c r="C119" s="70" t="str">
        <f>IF(ISBLANK(A119),"",INDEX('Error Log'!$A:$J,MATCH('Scores per segment'!$A119,'Error Log'!$A:$A,0),MATCH('Scores per segment'!C$1,'Error Log'!$A$1:$J$1,0)))</f>
        <v>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dancer cicera alves de sena ( pictured ) was killed by her husband after he 'd yelled at her that she was ` a slut '</v>
      </c>
      <c r="D119" s="70">
        <f>IF(H119=0,wdct(TRIM(C119)),0)</f>
        <v>88</v>
      </c>
      <c r="E119" s="70">
        <f>COUNTIFS('Error Log'!$A:$A,$A119,'Error Log'!$J:$J,E$1)</f>
        <v>1</v>
      </c>
      <c r="F119" s="70">
        <f>COUNTIFS('Error Log'!$A:$A,$A119,'Error Log'!$J:$J,F$1)</f>
        <v>2</v>
      </c>
      <c r="G119" s="70">
        <f>COUNTIFS('Error Log'!$A:$A,$A119,'Error Log'!$J:$J,G$1)</f>
        <v>0</v>
      </c>
      <c r="H119" s="70">
        <f>COUNTIFS('Error Log'!$A:$A,$A119,'Error Log'!$F:$F,"Source")</f>
        <v>0</v>
      </c>
      <c r="I119" s="70">
        <f>COUNTIFS('Error Log'!$A:$A,$A119,'Error Log'!$F:$F,"Target")</f>
        <v>0</v>
      </c>
      <c r="J119" s="71">
        <f t="shared" si="1"/>
        <v>88.636363636363626</v>
      </c>
    </row>
    <row r="120" spans="1:10">
      <c r="A120" s="79" t="s">
        <v>918</v>
      </c>
      <c r="B120" s="70" t="str">
        <f>IF(ISBLANK(A120),"",INDEX('Error Log'!$A:$J,MATCH('Scores per segment'!$A120,'Error Log'!$A:$A,0),MATCH('Scores per segment'!B$1,'Error Log'!$A$1:$J$1,0)))</f>
        <v>( cnn ) bobbi kristina brown , the daughter of bobby brown and whitney houston , has " global and irreversible brain damage , " according to her grandmother .
though the 22-year-old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v>
      </c>
      <c r="C120" s="70" t="str">
        <f>IF(ISBLANK(A120),"",INDEX('Error Log'!$A:$J,MATCH('Scores per segment'!$A120,'Error Log'!$A:$A,0),MATCH('Scores per segment'!C$1,'Error Log'!$A$1:$J$1,0)))</f>
        <v>( cnn ) bobbi kristina brown , the daughter of bobby brown and whitney houston , has " global and irreversible brain damage , " according to her grandmother .
houston 's statement matched that from a source with knowledge of brown 's condition , who told cnn on monday that she remained in the same neurological state she has been in for nearly three months .
in a statement monday , an attorney for the brown family said that bobbi kristina brown 's condition has improved but that the kind of life she will lead remains to be seen .</v>
      </c>
      <c r="D120" s="70">
        <f>IF(H120=0,wdct(TRIM(C120)),0)</f>
        <v>89</v>
      </c>
      <c r="E120" s="70">
        <f>COUNTIFS('Error Log'!$A:$A,$A120,'Error Log'!$J:$J,E$1)</f>
        <v>0</v>
      </c>
      <c r="F120" s="70">
        <f>COUNTIFS('Error Log'!$A:$A,$A120,'Error Log'!$J:$J,F$1)</f>
        <v>2</v>
      </c>
      <c r="G120" s="70">
        <f>COUNTIFS('Error Log'!$A:$A,$A120,'Error Log'!$J:$J,G$1)</f>
        <v>0</v>
      </c>
      <c r="H120" s="70">
        <f>COUNTIFS('Error Log'!$A:$A,$A120,'Error Log'!$F:$F,"Source")</f>
        <v>0</v>
      </c>
      <c r="I120" s="70">
        <f>COUNTIFS('Error Log'!$A:$A,$A120,'Error Log'!$F:$F,"Target")</f>
        <v>0</v>
      </c>
      <c r="J120" s="71">
        <f t="shared" si="1"/>
        <v>94.382022471910119</v>
      </c>
    </row>
    <row r="121" spans="1:10">
      <c r="A121" s="79" t="s">
        <v>919</v>
      </c>
      <c r="B121" s="70" t="str">
        <f>IF(ISBLANK(A121),"",INDEX('Error Log'!$A:$J,MATCH('Scores per segment'!$A121,'Error Log'!$A:$A,0),MATCH('Scores per segment'!B$1,'Error Log'!$A$1:$J$1,0)))</f>
        <v>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v>
      </c>
      <c r="C121" s="70" t="str">
        <f>IF(ISBLANK(A121),"",INDEX('Error Log'!$A:$J,MATCH('Scores per segment'!$A121,'Error Log'!$A:$A,0),MATCH('Scores per segment'!C$1,'Error Log'!$A$1:$J$1,0)))</f>
        <v>journalist and author of the best-selling book i quit sugar has opened up about her own personal battle with mental illness , revealing she came close to taking her own life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v>
      </c>
      <c r="D121" s="70">
        <f>IF(H121=0,wdct(TRIM(C121)),0)</f>
        <v>90</v>
      </c>
      <c r="E121" s="70">
        <f>COUNTIFS('Error Log'!$A:$A,$A121,'Error Log'!$J:$J,E$1)</f>
        <v>1</v>
      </c>
      <c r="F121" s="70">
        <f>COUNTIFS('Error Log'!$A:$A,$A121,'Error Log'!$J:$J,F$1)</f>
        <v>1</v>
      </c>
      <c r="G121" s="70">
        <f>COUNTIFS('Error Log'!$A:$A,$A121,'Error Log'!$J:$J,G$1)</f>
        <v>0</v>
      </c>
      <c r="H121" s="70">
        <f>COUNTIFS('Error Log'!$A:$A,$A121,'Error Log'!$F:$F,"Source")</f>
        <v>0</v>
      </c>
      <c r="I121" s="70">
        <f>COUNTIFS('Error Log'!$A:$A,$A121,'Error Log'!$F:$F,"Target")</f>
        <v>0</v>
      </c>
      <c r="J121" s="71">
        <f t="shared" si="1"/>
        <v>91.666666666666671</v>
      </c>
    </row>
    <row r="122" spans="1:10">
      <c r="A122" s="79" t="s">
        <v>920</v>
      </c>
      <c r="B122" s="70" t="str">
        <f>IF(ISBLANK(A122),"",INDEX('Error Log'!$A:$J,MATCH('Scores per segment'!$A122,'Error Log'!$A:$A,0),MATCH('Scores per segment'!B$1,'Error Log'!$A$1:$J$1,0)))</f>
        <v>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v>
      </c>
      <c r="C122" s="70" t="str">
        <f>IF(ISBLANK(A122),"",INDEX('Error Log'!$A:$J,MATCH('Scores per segment'!$A122,'Error Log'!$A:$A,0),MATCH('Scores per segment'!C$1,'Error Log'!$A$1:$J$1,0)))</f>
        <v>and grealish says , due to superstition , that he 'll carry on that way after making his first premier league start on tuesday night .
the ireland under 21 international wears children 's shinpads - and says is n't about to change
grealish was pleased to have finally made his first premier league start for villa against qpr</v>
      </c>
      <c r="D122" s="70">
        <f>IF(H122=0,wdct(TRIM(C122)),0)</f>
        <v>55</v>
      </c>
      <c r="E122" s="70">
        <f>COUNTIFS('Error Log'!$A:$A,$A122,'Error Log'!$J:$J,E$1)</f>
        <v>1</v>
      </c>
      <c r="F122" s="70">
        <f>COUNTIFS('Error Log'!$A:$A,$A122,'Error Log'!$J:$J,F$1)</f>
        <v>1</v>
      </c>
      <c r="G122" s="70">
        <f>COUNTIFS('Error Log'!$A:$A,$A122,'Error Log'!$J:$J,G$1)</f>
        <v>0</v>
      </c>
      <c r="H122" s="70">
        <f>COUNTIFS('Error Log'!$A:$A,$A122,'Error Log'!$F:$F,"Source")</f>
        <v>0</v>
      </c>
      <c r="I122" s="70">
        <f>COUNTIFS('Error Log'!$A:$A,$A122,'Error Log'!$F:$F,"Target")</f>
        <v>0</v>
      </c>
      <c r="J122" s="71">
        <f t="shared" si="1"/>
        <v>86.363636363636374</v>
      </c>
    </row>
    <row r="123" spans="1:10">
      <c r="A123" s="79" t="s">
        <v>921</v>
      </c>
      <c r="B123" s="70" t="str">
        <f>IF(ISBLANK(A123),"",INDEX('Error Log'!$A:$J,MATCH('Scores per segment'!$A123,'Error Log'!$A:$A,0),MATCH('Scores per segment'!B$1,'Error Log'!$A$1:$J$1,0)))</f>
        <v>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v>
      </c>
      <c r="C123" s="70" t="str">
        <f>IF(ISBLANK(A123),"",INDEX('Error Log'!$A:$J,MATCH('Scores per segment'!$A123,'Error Log'!$A:$A,0),MATCH('Scores per segment'!C$1,'Error Log'!$A$1:$J$1,0)))</f>
        <v>elena curtin of portland was seven-months pregnant when she was charged with second-degree assault after she struck her boyfriend 's ex in the head and arm with a crowbar in november 2014 .
elena curtin of portland , oregon , was seven-months pregnant when she was charged with second-degree assault after she struck her boyfriend 's ex in the head and arm with a crowbar in november 2014
curtin was charged after coming home and finding her boyfriend 's ex-girlfriend shooting heroin in her bathroom</v>
      </c>
      <c r="D123" s="70">
        <f>IF(H123=0,wdct(TRIM(C123)),0)</f>
        <v>82</v>
      </c>
      <c r="E123" s="70">
        <f>COUNTIFS('Error Log'!$A:$A,$A123,'Error Log'!$J:$J,E$1)</f>
        <v>1</v>
      </c>
      <c r="F123" s="70">
        <f>COUNTIFS('Error Log'!$A:$A,$A123,'Error Log'!$J:$J,F$1)</f>
        <v>2</v>
      </c>
      <c r="G123" s="70">
        <f>COUNTIFS('Error Log'!$A:$A,$A123,'Error Log'!$J:$J,G$1)</f>
        <v>0</v>
      </c>
      <c r="H123" s="70">
        <f>COUNTIFS('Error Log'!$A:$A,$A123,'Error Log'!$F:$F,"Source")</f>
        <v>0</v>
      </c>
      <c r="I123" s="70">
        <f>COUNTIFS('Error Log'!$A:$A,$A123,'Error Log'!$F:$F,"Target")</f>
        <v>0</v>
      </c>
      <c r="J123" s="71">
        <f t="shared" si="1"/>
        <v>87.804878048780495</v>
      </c>
    </row>
    <row r="124" spans="1:10">
      <c r="A124" s="15" t="s">
        <v>922</v>
      </c>
      <c r="B124" s="70" t="str">
        <f>IF(ISBLANK(A124),"",INDEX('Error Log'!$A:$J,MATCH('Scores per segment'!$A124,'Error Log'!$A:$A,0),MATCH('Scores per segment'!B$1,'Error Log'!$A$1:$J$1,0)))</f>
        <v>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v>
      </c>
      <c r="C124" s="70" t="str">
        <f>IF(ISBLANK(A124),"",INDEX('Error Log'!$A:$J,MATCH('Scores per segment'!$A124,'Error Log'!$A:$A,0),MATCH('Scores per segment'!C$1,'Error Log'!$A$1:$J$1,0)))</f>
        <v>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five out of six people were injured by broken glass and have been sent to the hospital for treatment , xinhua news agency reported .</v>
      </c>
      <c r="D124" s="70">
        <f>IF(H124=0,wdct(TRIM(C124)),0)</f>
        <v>75</v>
      </c>
      <c r="E124" s="70">
        <f>COUNTIFS('Error Log'!$A:$A,$A124,'Error Log'!$J:$J,E$1)</f>
        <v>1</v>
      </c>
      <c r="F124" s="70">
        <f>COUNTIFS('Error Log'!$A:$A,$A124,'Error Log'!$J:$J,F$1)</f>
        <v>5</v>
      </c>
      <c r="G124" s="70">
        <f>COUNTIFS('Error Log'!$A:$A,$A124,'Error Log'!$J:$J,G$1)</f>
        <v>0</v>
      </c>
      <c r="H124" s="70">
        <f>COUNTIFS('Error Log'!$A:$A,$A124,'Error Log'!$F:$F,"Source")</f>
        <v>0</v>
      </c>
      <c r="I124" s="70">
        <f>COUNTIFS('Error Log'!$A:$A,$A124,'Error Log'!$F:$F,"Target")</f>
        <v>0</v>
      </c>
      <c r="J124" s="71">
        <f t="shared" si="1"/>
        <v>76.666666666666671</v>
      </c>
    </row>
    <row r="125" spans="1:10">
      <c r="A125" s="15" t="s">
        <v>923</v>
      </c>
      <c r="B125" s="70" t="str">
        <f>IF(ISBLANK(A125),"",INDEX('Error Log'!$A:$J,MATCH('Scores per segment'!$A125,'Error Log'!$A:$A,0),MATCH('Scores per segment'!B$1,'Error Log'!$A$1:$J$1,0)))</f>
        <v>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v>
      </c>
      <c r="C125" s="70" t="str">
        <f>IF(ISBLANK(A125),"",INDEX('Error Log'!$A:$J,MATCH('Scores per segment'!$A125,'Error Log'!$A:$A,0),MATCH('Scores per segment'!C$1,'Error Log'!$A$1:$J$1,0)))</f>
        <v>gemma the pit bull was filmed at home in california being fed some treats .
but in a bid to trick her , her owner throws a broccoli spear into the mix .
yuck : gemma the pit bull was filmed at home in california being fed some treats , but in a bid to trick her , her owner throws a broccoli spear into the mix</v>
      </c>
      <c r="D125" s="70">
        <f>IF(H125=0,wdct(TRIM(C125)),0)</f>
        <v>61</v>
      </c>
      <c r="E125" s="70">
        <f>COUNTIFS('Error Log'!$A:$A,$A125,'Error Log'!$J:$J,E$1)</f>
        <v>1</v>
      </c>
      <c r="F125" s="70">
        <f>COUNTIFS('Error Log'!$A:$A,$A125,'Error Log'!$J:$J,F$1)</f>
        <v>1</v>
      </c>
      <c r="G125" s="70">
        <f>COUNTIFS('Error Log'!$A:$A,$A125,'Error Log'!$J:$J,G$1)</f>
        <v>0</v>
      </c>
      <c r="H125" s="70">
        <f>COUNTIFS('Error Log'!$A:$A,$A125,'Error Log'!$F:$F,"Source")</f>
        <v>0</v>
      </c>
      <c r="I125" s="70">
        <f>COUNTIFS('Error Log'!$A:$A,$A125,'Error Log'!$F:$F,"Target")</f>
        <v>0</v>
      </c>
      <c r="J125" s="71">
        <f t="shared" si="1"/>
        <v>87.704918032786878</v>
      </c>
    </row>
    <row r="126" spans="1:10">
      <c r="A126" s="15" t="s">
        <v>924</v>
      </c>
      <c r="B126" s="70" t="str">
        <f>IF(ISBLANK(A126),"",INDEX('Error Log'!$A:$J,MATCH('Scores per segment'!$A126,'Error Log'!$A:$A,0),MATCH('Scores per segment'!B$1,'Error Log'!$A$1:$J$1,0)))</f>
        <v>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v>
      </c>
      <c r="C126" s="70" t="str">
        <f>IF(ISBLANK(A126),"",INDEX('Error Log'!$A:$J,MATCH('Scores per segment'!$A126,'Error Log'!$A:$A,0),MATCH('Scores per segment'!C$1,'Error Log'!$A$1:$J$1,0)))</f>
        <v>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v>
      </c>
      <c r="D126" s="70">
        <f>IF(H126=0,wdct(TRIM(C126)),0)</f>
        <v>67</v>
      </c>
      <c r="E126" s="70">
        <f>COUNTIFS('Error Log'!$A:$A,$A126,'Error Log'!$J:$J,E$1)</f>
        <v>1</v>
      </c>
      <c r="F126" s="70">
        <f>COUNTIFS('Error Log'!$A:$A,$A126,'Error Log'!$J:$J,F$1)</f>
        <v>1</v>
      </c>
      <c r="G126" s="70">
        <f>COUNTIFS('Error Log'!$A:$A,$A126,'Error Log'!$J:$J,G$1)</f>
        <v>0</v>
      </c>
      <c r="H126" s="70">
        <f>COUNTIFS('Error Log'!$A:$A,$A126,'Error Log'!$F:$F,"Source")</f>
        <v>0</v>
      </c>
      <c r="I126" s="70">
        <f>COUNTIFS('Error Log'!$A:$A,$A126,'Error Log'!$F:$F,"Target")</f>
        <v>0</v>
      </c>
      <c r="J126" s="71">
        <f t="shared" si="1"/>
        <v>88.805970149253739</v>
      </c>
    </row>
    <row r="127" spans="1:10">
      <c r="A127" s="15" t="s">
        <v>925</v>
      </c>
      <c r="B127" s="70" t="str">
        <f>IF(ISBLANK(A127),"",INDEX('Error Log'!$A:$J,MATCH('Scores per segment'!$A127,'Error Log'!$A:$A,0),MATCH('Scores per segment'!B$1,'Error Log'!$A$1:$J$1,0)))</f>
        <v>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v>
      </c>
      <c r="C127" s="70" t="str">
        <f>IF(ISBLANK(A127),"",INDEX('Error Log'!$A:$J,MATCH('Scores per segment'!$A127,'Error Log'!$A:$A,0),MATCH('Scores per segment'!C$1,'Error Log'!$A$1:$J$1,0)))</f>
        <v>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v>
      </c>
      <c r="D127" s="70">
        <f>IF(H127=0,wdct(TRIM(C127)),0)</f>
        <v>74</v>
      </c>
      <c r="E127" s="70">
        <f>COUNTIFS('Error Log'!$A:$A,$A127,'Error Log'!$J:$J,E$1)</f>
        <v>1</v>
      </c>
      <c r="F127" s="70">
        <f>COUNTIFS('Error Log'!$A:$A,$A127,'Error Log'!$J:$J,F$1)</f>
        <v>1</v>
      </c>
      <c r="G127" s="70">
        <f>COUNTIFS('Error Log'!$A:$A,$A127,'Error Log'!$J:$J,G$1)</f>
        <v>0</v>
      </c>
      <c r="H127" s="70">
        <f>COUNTIFS('Error Log'!$A:$A,$A127,'Error Log'!$F:$F,"Source")</f>
        <v>0</v>
      </c>
      <c r="I127" s="70">
        <f>COUNTIFS('Error Log'!$A:$A,$A127,'Error Log'!$F:$F,"Target")</f>
        <v>0</v>
      </c>
      <c r="J127" s="71">
        <f t="shared" si="1"/>
        <v>89.86486486486487</v>
      </c>
    </row>
    <row r="128" spans="1:10">
      <c r="A128" s="15" t="s">
        <v>926</v>
      </c>
      <c r="B128" s="70" t="str">
        <f>IF(ISBLANK(A128),"",INDEX('Error Log'!$A:$J,MATCH('Scores per segment'!$A128,'Error Log'!$A:$A,0),MATCH('Scores per segment'!B$1,'Error Log'!$A$1:$J$1,0)))</f>
        <v>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v>
      </c>
      <c r="C128" s="70" t="str">
        <f>IF(ISBLANK(A128),"",INDEX('Error Log'!$A:$J,MATCH('Scores per segment'!$A128,'Error Log'!$A:$A,0),MATCH('Scores per segment'!C$1,'Error Log'!$A$1:$J$1,0)))</f>
        <v>california-based youtube user lionel hutz filmed his young son chasing the family feline around the garden in a bid to get some rest .
footage shows the cat licking his fur before his human friend comes along and plonks himself on top .
the boy then proceeds to follow the pet to his new location .</v>
      </c>
      <c r="D128" s="70">
        <f>IF(H128=0,wdct(TRIM(C128)),0)</f>
        <v>53</v>
      </c>
      <c r="E128" s="70">
        <f>COUNTIFS('Error Log'!$A:$A,$A128,'Error Log'!$J:$J,E$1)</f>
        <v>0</v>
      </c>
      <c r="F128" s="70">
        <f>COUNTIFS('Error Log'!$A:$A,$A128,'Error Log'!$J:$J,F$1)</f>
        <v>1</v>
      </c>
      <c r="G128" s="70">
        <f>COUNTIFS('Error Log'!$A:$A,$A128,'Error Log'!$J:$J,G$1)</f>
        <v>0</v>
      </c>
      <c r="H128" s="70">
        <f>COUNTIFS('Error Log'!$A:$A,$A128,'Error Log'!$F:$F,"Source")</f>
        <v>0</v>
      </c>
      <c r="I128" s="70">
        <f>COUNTIFS('Error Log'!$A:$A,$A128,'Error Log'!$F:$F,"Target")</f>
        <v>0</v>
      </c>
      <c r="J128" s="71">
        <f t="shared" si="1"/>
        <v>95.28301886792454</v>
      </c>
    </row>
    <row r="129" spans="1:10">
      <c r="A129" s="15" t="s">
        <v>927</v>
      </c>
      <c r="B129" s="70" t="str">
        <f>IF(ISBLANK(A129),"",INDEX('Error Log'!$A:$J,MATCH('Scores per segment'!$A129,'Error Log'!$A:$A,0),MATCH('Scores per segment'!B$1,'Error Log'!$A$1:$J$1,0)))</f>
        <v>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v>
      </c>
      <c r="C129" s="70" t="str">
        <f>IF(ISBLANK(A129),"",INDEX('Error Log'!$A:$J,MATCH('Scores per segment'!$A129,'Error Log'!$A:$A,0),MATCH('Scores per segment'!C$1,'Error Log'!$A$1:$J$1,0)))</f>
        <v>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v>
      </c>
      <c r="D129" s="70">
        <f>IF(H129=0,wdct(TRIM(C129)),0)</f>
        <v>82</v>
      </c>
      <c r="E129" s="70">
        <f>COUNTIFS('Error Log'!$A:$A,$A129,'Error Log'!$J:$J,E$1)</f>
        <v>1</v>
      </c>
      <c r="F129" s="70">
        <f>COUNTIFS('Error Log'!$A:$A,$A129,'Error Log'!$J:$J,F$1)</f>
        <v>1</v>
      </c>
      <c r="G129" s="70">
        <f>COUNTIFS('Error Log'!$A:$A,$A129,'Error Log'!$J:$J,G$1)</f>
        <v>0</v>
      </c>
      <c r="H129" s="70">
        <f>COUNTIFS('Error Log'!$A:$A,$A129,'Error Log'!$F:$F,"Source")</f>
        <v>0</v>
      </c>
      <c r="I129" s="70">
        <f>COUNTIFS('Error Log'!$A:$A,$A129,'Error Log'!$F:$F,"Target")</f>
        <v>0</v>
      </c>
      <c r="J129" s="71">
        <f t="shared" si="1"/>
        <v>90.853658536585371</v>
      </c>
    </row>
    <row r="130" spans="1:10">
      <c r="A130" s="15" t="s">
        <v>928</v>
      </c>
      <c r="B130" s="70" t="str">
        <f>IF(ISBLANK(A130),"",INDEX('Error Log'!$A:$J,MATCH('Scores per segment'!$A130,'Error Log'!$A:$A,0),MATCH('Scores per segment'!B$1,'Error Log'!$A$1:$J$1,0)))</f>
        <v>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v>
      </c>
      <c r="C130" s="70" t="str">
        <f>IF(ISBLANK(A130),"",INDEX('Error Log'!$A:$J,MATCH('Scores per segment'!$A130,'Error Log'!$A:$A,0),MATCH('Scores per segment'!C$1,'Error Log'!$A$1:$J$1,0)))</f>
        <v>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but abu khdeir 's family objected to his inclusion on the memorial wall .</v>
      </c>
      <c r="D130" s="70">
        <f>IF(H130=0,wdct(TRIM(C130)),0)</f>
        <v>62</v>
      </c>
      <c r="E130" s="70">
        <f>COUNTIFS('Error Log'!$A:$A,$A130,'Error Log'!$J:$J,E$1)</f>
        <v>0</v>
      </c>
      <c r="F130" s="70">
        <f>COUNTIFS('Error Log'!$A:$A,$A130,'Error Log'!$J:$J,F$1)</f>
        <v>0</v>
      </c>
      <c r="G130" s="70">
        <f>COUNTIFS('Error Log'!$A:$A,$A130,'Error Log'!$J:$J,G$1)</f>
        <v>0</v>
      </c>
      <c r="H130" s="70">
        <f>COUNTIFS('Error Log'!$A:$A,$A130,'Error Log'!$F:$F,"Source")</f>
        <v>0</v>
      </c>
      <c r="I130" s="70">
        <f>COUNTIFS('Error Log'!$A:$A,$A130,'Error Log'!$F:$F,"Target")</f>
        <v>0</v>
      </c>
      <c r="J130" s="71">
        <f t="shared" ref="J130:J193" si="2">IF(I130=0,IFERROR((((1-((E130*10+F130*5+G130*1)/D130))*100)+100)/2,0),-150)</f>
        <v>100</v>
      </c>
    </row>
    <row r="131" spans="1:10">
      <c r="A131" s="15" t="s">
        <v>929</v>
      </c>
      <c r="B131" s="70" t="str">
        <f>IF(ISBLANK(A131),"",INDEX('Error Log'!$A:$J,MATCH('Scores per segment'!$A131,'Error Log'!$A:$A,0),MATCH('Scores per segment'!B$1,'Error Log'!$A$1:$J$1,0)))</f>
        <v>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v>
      </c>
      <c r="C131" s="70" t="str">
        <f>IF(ISBLANK(A131),"",INDEX('Error Log'!$A:$J,MATCH('Scores per segment'!$A131,'Error Log'!$A:$A,0),MATCH('Scores per segment'!C$1,'Error Log'!$A$1:$J$1,0)))</f>
        <v>the images were taken in jervis bay , the south coast of nsw , as the neon glow illuminated one of australia 's popular beaches .
photographer andy hutchinson described the sight as a ` beautiful supernatural scene ' caused by millions of plankton omitting light .
iain suthers , of university of new south wales , says the algae blossoms in the spring and the autumn</v>
      </c>
      <c r="D131" s="70">
        <f>IF(H131=0,wdct(TRIM(C131)),0)</f>
        <v>59</v>
      </c>
      <c r="E131" s="70">
        <f>COUNTIFS('Error Log'!$A:$A,$A131,'Error Log'!$J:$J,E$1)</f>
        <v>1</v>
      </c>
      <c r="F131" s="70">
        <f>COUNTIFS('Error Log'!$A:$A,$A131,'Error Log'!$J:$J,F$1)</f>
        <v>0</v>
      </c>
      <c r="G131" s="70">
        <f>COUNTIFS('Error Log'!$A:$A,$A131,'Error Log'!$J:$J,G$1)</f>
        <v>0</v>
      </c>
      <c r="H131" s="70">
        <f>COUNTIFS('Error Log'!$A:$A,$A131,'Error Log'!$F:$F,"Source")</f>
        <v>0</v>
      </c>
      <c r="I131" s="70">
        <f>COUNTIFS('Error Log'!$A:$A,$A131,'Error Log'!$F:$F,"Target")</f>
        <v>0</v>
      </c>
      <c r="J131" s="71">
        <f t="shared" si="2"/>
        <v>91.525423728813564</v>
      </c>
    </row>
    <row r="132" spans="1:10">
      <c r="A132" s="15" t="s">
        <v>930</v>
      </c>
      <c r="B132" s="70" t="str">
        <f>IF(ISBLANK(A132),"",INDEX('Error Log'!$A:$J,MATCH('Scores per segment'!$A132,'Error Log'!$A:$A,0),MATCH('Scores per segment'!B$1,'Error Log'!$A$1:$J$1,0)))</f>
        <v>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v>
      </c>
      <c r="C132" s="70" t="str">
        <f>IF(ISBLANK(A132),"",INDEX('Error Log'!$A:$J,MATCH('Scores per segment'!$A132,'Error Log'!$A:$A,0),MATCH('Scores per segment'!C$1,'Error Log'!$A$1:$J$1,0)))</f>
        <v>bolton-born boxer amir khan spent his friday alongside some fellow natural born fighters as he enjoyed a family trip to a safari park in northern california .
bolton-born boxer amir khan enjoyed a day a safari park with his family in northern california
khan ( left ) has announced his next fight will be against chris algieri at welterweight on may 30</v>
      </c>
      <c r="D132" s="70">
        <f>IF(H132=0,wdct(TRIM(C132)),0)</f>
        <v>59</v>
      </c>
      <c r="E132" s="70">
        <f>COUNTIFS('Error Log'!$A:$A,$A132,'Error Log'!$J:$J,E$1)</f>
        <v>1</v>
      </c>
      <c r="F132" s="70">
        <f>COUNTIFS('Error Log'!$A:$A,$A132,'Error Log'!$J:$J,F$1)</f>
        <v>2</v>
      </c>
      <c r="G132" s="70">
        <f>COUNTIFS('Error Log'!$A:$A,$A132,'Error Log'!$J:$J,G$1)</f>
        <v>0</v>
      </c>
      <c r="H132" s="70">
        <f>COUNTIFS('Error Log'!$A:$A,$A132,'Error Log'!$F:$F,"Source")</f>
        <v>0</v>
      </c>
      <c r="I132" s="70">
        <f>COUNTIFS('Error Log'!$A:$A,$A132,'Error Log'!$F:$F,"Target")</f>
        <v>0</v>
      </c>
      <c r="J132" s="71">
        <f t="shared" si="2"/>
        <v>83.050847457627128</v>
      </c>
    </row>
    <row r="133" spans="1:10">
      <c r="A133" s="15" t="s">
        <v>931</v>
      </c>
      <c r="B133" s="70" t="str">
        <f>IF(ISBLANK(A133),"",INDEX('Error Log'!$A:$J,MATCH('Scores per segment'!$A133,'Error Log'!$A:$A,0),MATCH('Scores per segment'!B$1,'Error Log'!$A$1:$J$1,0)))</f>
        <v>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v>
      </c>
      <c r="C133" s="70" t="str">
        <f>IF(ISBLANK(A133),"",INDEX('Error Log'!$A:$J,MATCH('Scores per segment'!$A133,'Error Log'!$A:$A,0),MATCH('Scores per segment'!C$1,'Error Log'!$A$1:$J$1,0)))</f>
        <v>breast cancer patients may be spared chemotherapy thanks to new tests that pinpoint genetic ` markers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v>
      </c>
      <c r="D133" s="70">
        <f>IF(H133=0,wdct(TRIM(C133)),0)</f>
        <v>82</v>
      </c>
      <c r="E133" s="70">
        <f>COUNTIFS('Error Log'!$A:$A,$A133,'Error Log'!$J:$J,E$1)</f>
        <v>1</v>
      </c>
      <c r="F133" s="70">
        <f>COUNTIFS('Error Log'!$A:$A,$A133,'Error Log'!$J:$J,F$1)</f>
        <v>1</v>
      </c>
      <c r="G133" s="70">
        <f>COUNTIFS('Error Log'!$A:$A,$A133,'Error Log'!$J:$J,G$1)</f>
        <v>0</v>
      </c>
      <c r="H133" s="70">
        <f>COUNTIFS('Error Log'!$A:$A,$A133,'Error Log'!$F:$F,"Source")</f>
        <v>0</v>
      </c>
      <c r="I133" s="70">
        <f>COUNTIFS('Error Log'!$A:$A,$A133,'Error Log'!$F:$F,"Target")</f>
        <v>0</v>
      </c>
      <c r="J133" s="71">
        <f t="shared" si="2"/>
        <v>90.853658536585371</v>
      </c>
    </row>
    <row r="134" spans="1:10">
      <c r="A134" s="15" t="s">
        <v>932</v>
      </c>
      <c r="B134" s="70" t="str">
        <f>IF(ISBLANK(A134),"",INDEX('Error Log'!$A:$J,MATCH('Scores per segment'!$A134,'Error Log'!$A:$A,0),MATCH('Scores per segment'!B$1,'Error Log'!$A$1:$J$1,0)))</f>
        <v>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v>
      </c>
      <c r="C134" s="70" t="str">
        <f>IF(ISBLANK(A134),"",INDEX('Error Log'!$A:$J,MATCH('Scores per segment'!$A134,'Error Log'!$A:$A,0),MATCH('Scores per segment'!C$1,'Error Log'!$A$1:$J$1,0)))</f>
        <v>the empty pool was used as the unusual catwalk setting for the ten pieces presentation as part of mercedes-benz fashion week australia .
bondi 's icebergs club pool was drained on thursday to create a unique catwalk for mercedes-benz fashion week australia
mono : ten pieces produces capsule collection of ten pieces of unisex clothing designed to be worn in 20 ways</v>
      </c>
      <c r="D134" s="70">
        <f>IF(H134=0,wdct(TRIM(C134)),0)</f>
        <v>60</v>
      </c>
      <c r="E134" s="70">
        <f>COUNTIFS('Error Log'!$A:$A,$A134,'Error Log'!$J:$J,E$1)</f>
        <v>2</v>
      </c>
      <c r="F134" s="70">
        <f>COUNTIFS('Error Log'!$A:$A,$A134,'Error Log'!$J:$J,F$1)</f>
        <v>2</v>
      </c>
      <c r="G134" s="70">
        <f>COUNTIFS('Error Log'!$A:$A,$A134,'Error Log'!$J:$J,G$1)</f>
        <v>0</v>
      </c>
      <c r="H134" s="70">
        <f>COUNTIFS('Error Log'!$A:$A,$A134,'Error Log'!$F:$F,"Source")</f>
        <v>0</v>
      </c>
      <c r="I134" s="70">
        <f>COUNTIFS('Error Log'!$A:$A,$A134,'Error Log'!$F:$F,"Target")</f>
        <v>0</v>
      </c>
      <c r="J134" s="71">
        <f t="shared" si="2"/>
        <v>75</v>
      </c>
    </row>
    <row r="135" spans="1:10">
      <c r="A135" s="15" t="s">
        <v>933</v>
      </c>
      <c r="B135" s="70" t="str">
        <f>IF(ISBLANK(A135),"",INDEX('Error Log'!$A:$J,MATCH('Scores per segment'!$A135,'Error Log'!$A:$A,0),MATCH('Scores per segment'!B$1,'Error Log'!$A$1:$J$1,0)))</f>
        <v>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v>
      </c>
      <c r="C135" s="70" t="str">
        <f>IF(ISBLANK(A135),"",INDEX('Error Log'!$A:$J,MATCH('Scores per segment'!$A135,'Error Log'!$A:$A,0),MATCH('Scores per segment'!C$1,'Error Log'!$A$1:$J$1,0)))</f>
        <v>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v>
      </c>
      <c r="D135" s="70">
        <f>IF(H135=0,wdct(TRIM(C135)),0)</f>
        <v>85</v>
      </c>
      <c r="E135" s="70">
        <f>COUNTIFS('Error Log'!$A:$A,$A135,'Error Log'!$J:$J,E$1)</f>
        <v>1</v>
      </c>
      <c r="F135" s="70">
        <f>COUNTIFS('Error Log'!$A:$A,$A135,'Error Log'!$J:$J,F$1)</f>
        <v>1</v>
      </c>
      <c r="G135" s="70">
        <f>COUNTIFS('Error Log'!$A:$A,$A135,'Error Log'!$J:$J,G$1)</f>
        <v>0</v>
      </c>
      <c r="H135" s="70">
        <f>COUNTIFS('Error Log'!$A:$A,$A135,'Error Log'!$F:$F,"Source")</f>
        <v>0</v>
      </c>
      <c r="I135" s="70">
        <f>COUNTIFS('Error Log'!$A:$A,$A135,'Error Log'!$F:$F,"Target")</f>
        <v>0</v>
      </c>
      <c r="J135" s="71">
        <f t="shared" si="2"/>
        <v>91.17647058823529</v>
      </c>
    </row>
    <row r="136" spans="1:10">
      <c r="A136" s="15" t="s">
        <v>934</v>
      </c>
      <c r="B136" s="70" t="str">
        <f>IF(ISBLANK(A136),"",INDEX('Error Log'!$A:$J,MATCH('Scores per segment'!$A136,'Error Log'!$A:$A,0),MATCH('Scores per segment'!B$1,'Error Log'!$A$1:$J$1,0)))</f>
        <v>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v>
      </c>
      <c r="C136" s="70" t="str">
        <f>IF(ISBLANK(A136),"",INDEX('Error Log'!$A:$J,MATCH('Scores per segment'!$A136,'Error Log'!$A:$A,0),MATCH('Scores per segment'!C$1,'Error Log'!$A$1:$J$1,0)))</f>
        <v>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v>
      </c>
      <c r="D136" s="70">
        <f>IF(H136=0,wdct(TRIM(C136)),0)</f>
        <v>91</v>
      </c>
      <c r="E136" s="70">
        <f>COUNTIFS('Error Log'!$A:$A,$A136,'Error Log'!$J:$J,E$1)</f>
        <v>3</v>
      </c>
      <c r="F136" s="70">
        <f>COUNTIFS('Error Log'!$A:$A,$A136,'Error Log'!$J:$J,F$1)</f>
        <v>2</v>
      </c>
      <c r="G136" s="70">
        <f>COUNTIFS('Error Log'!$A:$A,$A136,'Error Log'!$J:$J,G$1)</f>
        <v>0</v>
      </c>
      <c r="H136" s="70">
        <f>COUNTIFS('Error Log'!$A:$A,$A136,'Error Log'!$F:$F,"Source")</f>
        <v>0</v>
      </c>
      <c r="I136" s="70">
        <f>COUNTIFS('Error Log'!$A:$A,$A136,'Error Log'!$F:$F,"Target")</f>
        <v>0</v>
      </c>
      <c r="J136" s="71">
        <f t="shared" si="2"/>
        <v>78.021978021978015</v>
      </c>
    </row>
    <row r="137" spans="1:10">
      <c r="A137" s="15" t="s">
        <v>935</v>
      </c>
      <c r="B137" s="70" t="str">
        <f>IF(ISBLANK(A137),"",INDEX('Error Log'!$A:$J,MATCH('Scores per segment'!$A137,'Error Log'!$A:$A,0),MATCH('Scores per segment'!B$1,'Error Log'!$A$1:$J$1,0)))</f>
        <v>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v>
      </c>
      <c r="C137" s="70" t="str">
        <f>IF(ISBLANK(A137),"",INDEX('Error Log'!$A:$J,MATCH('Scores per segment'!$A137,'Error Log'!$A:$A,0),MATCH('Scores per segment'!C$1,'Error Log'!$A$1:$J$1,0)))</f>
        <v>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v>
      </c>
      <c r="D137" s="70">
        <f>IF(H137=0,wdct(TRIM(C137)),0)</f>
        <v>84</v>
      </c>
      <c r="E137" s="70">
        <f>COUNTIFS('Error Log'!$A:$A,$A137,'Error Log'!$J:$J,E$1)</f>
        <v>0</v>
      </c>
      <c r="F137" s="70">
        <f>COUNTIFS('Error Log'!$A:$A,$A137,'Error Log'!$J:$J,F$1)</f>
        <v>6</v>
      </c>
      <c r="G137" s="70">
        <f>COUNTIFS('Error Log'!$A:$A,$A137,'Error Log'!$J:$J,G$1)</f>
        <v>0</v>
      </c>
      <c r="H137" s="70">
        <f>COUNTIFS('Error Log'!$A:$A,$A137,'Error Log'!$F:$F,"Source")</f>
        <v>0</v>
      </c>
      <c r="I137" s="70">
        <f>COUNTIFS('Error Log'!$A:$A,$A137,'Error Log'!$F:$F,"Target")</f>
        <v>0</v>
      </c>
      <c r="J137" s="71">
        <f t="shared" si="2"/>
        <v>82.142857142857139</v>
      </c>
    </row>
    <row r="138" spans="1:10">
      <c r="A138" s="15" t="s">
        <v>936</v>
      </c>
      <c r="B138" s="70" t="str">
        <f>IF(ISBLANK(A138),"",INDEX('Error Log'!$A:$J,MATCH('Scores per segment'!$A138,'Error Log'!$A:$A,0),MATCH('Scores per segment'!B$1,'Error Log'!$A$1:$J$1,0)))</f>
        <v>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v>
      </c>
      <c r="C138" s="70" t="str">
        <f>IF(ISBLANK(A138),"",INDEX('Error Log'!$A:$J,MATCH('Scores per segment'!$A138,'Error Log'!$A:$A,0),MATCH('Scores per segment'!C$1,'Error Log'!$A$1:$J$1,0)))</f>
        <v>chinese parents are passionate about raising child prodigies - whether they are 10-year-old university entrants or four-year-old michael jackson dance-alikes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v>
      </c>
      <c r="D138" s="70">
        <f>IF(H138=0,wdct(TRIM(C138)),0)</f>
        <v>76</v>
      </c>
      <c r="E138" s="70">
        <f>COUNTIFS('Error Log'!$A:$A,$A138,'Error Log'!$J:$J,E$1)</f>
        <v>2</v>
      </c>
      <c r="F138" s="70">
        <f>COUNTIFS('Error Log'!$A:$A,$A138,'Error Log'!$J:$J,F$1)</f>
        <v>2</v>
      </c>
      <c r="G138" s="70">
        <f>COUNTIFS('Error Log'!$A:$A,$A138,'Error Log'!$J:$J,G$1)</f>
        <v>0</v>
      </c>
      <c r="H138" s="70">
        <f>COUNTIFS('Error Log'!$A:$A,$A138,'Error Log'!$F:$F,"Source")</f>
        <v>0</v>
      </c>
      <c r="I138" s="70">
        <f>COUNTIFS('Error Log'!$A:$A,$A138,'Error Log'!$F:$F,"Target")</f>
        <v>0</v>
      </c>
      <c r="J138" s="71">
        <f t="shared" si="2"/>
        <v>80.26315789473685</v>
      </c>
    </row>
    <row r="139" spans="1:10">
      <c r="A139" s="15" t="s">
        <v>937</v>
      </c>
      <c r="B139" s="70" t="str">
        <f>IF(ISBLANK(A139),"",INDEX('Error Log'!$A:$J,MATCH('Scores per segment'!$A139,'Error Log'!$A:$A,0),MATCH('Scores per segment'!B$1,'Error Log'!$A$1:$J$1,0)))</f>
        <v>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v>
      </c>
      <c r="C139" s="70" t="str">
        <f>IF(ISBLANK(A139),"",INDEX('Error Log'!$A:$J,MATCH('Scores per segment'!$A139,'Error Log'!$A:$A,0),MATCH('Scores per segment'!C$1,'Error Log'!$A$1:$J$1,0)))</f>
        <v>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vulnerable : his elderly mother suffers from alzheimer 's and used to get lost when she was left alone</v>
      </c>
      <c r="D139" s="70">
        <f>IF(H139=0,wdct(TRIM(C139)),0)</f>
        <v>89</v>
      </c>
      <c r="E139" s="70">
        <f>COUNTIFS('Error Log'!$A:$A,$A139,'Error Log'!$J:$J,E$1)</f>
        <v>3</v>
      </c>
      <c r="F139" s="70">
        <f>COUNTIFS('Error Log'!$A:$A,$A139,'Error Log'!$J:$J,F$1)</f>
        <v>1</v>
      </c>
      <c r="G139" s="70">
        <f>COUNTIFS('Error Log'!$A:$A,$A139,'Error Log'!$J:$J,G$1)</f>
        <v>0</v>
      </c>
      <c r="H139" s="70">
        <f>COUNTIFS('Error Log'!$A:$A,$A139,'Error Log'!$F:$F,"Source")</f>
        <v>0</v>
      </c>
      <c r="I139" s="70">
        <f>COUNTIFS('Error Log'!$A:$A,$A139,'Error Log'!$F:$F,"Target")</f>
        <v>0</v>
      </c>
      <c r="J139" s="71">
        <f t="shared" si="2"/>
        <v>80.337078651685388</v>
      </c>
    </row>
    <row r="140" spans="1:10">
      <c r="A140" s="79" t="s">
        <v>938</v>
      </c>
      <c r="B140" s="70" t="str">
        <f>IF(ISBLANK(A140),"",INDEX('Error Log'!$A:$J,MATCH('Scores per segment'!$A140,'Error Log'!$A:$A,0),MATCH('Scores per segment'!B$1,'Error Log'!$A$1:$J$1,0)))</f>
        <v>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v>
      </c>
      <c r="C140" s="70" t="str">
        <f>IF(ISBLANK(A140),"",INDEX('Error Log'!$A:$J,MATCH('Scores per segment'!$A140,'Error Log'!$A:$A,0),MATCH('Scores per segment'!C$1,'Error Log'!$A$1:$J$1,0)))</f>
        <v>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suing la for millions : jamar nicholson ( left ) and his friend jason huerta ( right ) , who stand solemnly in the alleyway where nicholson was shot , are suing the city of los angeles for $ 20 million</v>
      </c>
      <c r="D140" s="70">
        <f>IF(H140=0,wdct(TRIM(C140)),0)</f>
        <v>102</v>
      </c>
      <c r="E140" s="70">
        <f>COUNTIFS('Error Log'!$A:$A,$A140,'Error Log'!$J:$J,E$1)</f>
        <v>2</v>
      </c>
      <c r="F140" s="70">
        <f>COUNTIFS('Error Log'!$A:$A,$A140,'Error Log'!$J:$J,F$1)</f>
        <v>2</v>
      </c>
      <c r="G140" s="70">
        <f>COUNTIFS('Error Log'!$A:$A,$A140,'Error Log'!$J:$J,G$1)</f>
        <v>0</v>
      </c>
      <c r="H140" s="70">
        <f>COUNTIFS('Error Log'!$A:$A,$A140,'Error Log'!$F:$F,"Source")</f>
        <v>0</v>
      </c>
      <c r="I140" s="70">
        <f>COUNTIFS('Error Log'!$A:$A,$A140,'Error Log'!$F:$F,"Target")</f>
        <v>0</v>
      </c>
      <c r="J140" s="71">
        <f t="shared" ref="J140:J151" si="3">IF(I140=0,IFERROR((((1-((E140*10+F140*5+G140*1)/D140))*100)+100)/2,0),-150)</f>
        <v>85.294117647058812</v>
      </c>
    </row>
    <row r="141" spans="1:10" ht="15.6">
      <c r="A141" s="109" t="s">
        <v>945</v>
      </c>
      <c r="B141" s="70" t="str">
        <f>IF(ISBLANK(A141),"",INDEX('Error Log'!$A:$J,MATCH('Scores per segment'!$A141,'Error Log'!$A:$A,0),MATCH('Scores per segment'!B$1,'Error Log'!$A$1:$J$1,0)))</f>
        <v>(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v>
      </c>
      <c r="C141" s="70" t="str">
        <f>IF(ISBLANK(A141),"",INDEX('Error Log'!$A:$J,MATCH('Scores per segment'!$A141,'Error Log'!$A:$A,0),MATCH('Scores per segment'!C$1,'Error Log'!$A$1:$J$1,0)))</f>
        <v>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about 88,600 u.s. deaths were attributed to alcohol in 2010 , the researchers note , and the cost of excessive drinking has been estimated at more than $ 220 billion per year .</v>
      </c>
      <c r="D141" s="70">
        <f>IF(H141=0,wdct(TRIM(C141)),0)</f>
        <v>106</v>
      </c>
      <c r="E141" s="70">
        <f>COUNTIFS('Error Log'!$A:$A,$A141,'Error Log'!$J:$J,E$1)</f>
        <v>1</v>
      </c>
      <c r="F141" s="70">
        <f>COUNTIFS('Error Log'!$A:$A,$A141,'Error Log'!$J:$J,F$1)</f>
        <v>2</v>
      </c>
      <c r="G141" s="70">
        <f>COUNTIFS('Error Log'!$A:$A,$A141,'Error Log'!$J:$J,G$1)</f>
        <v>0</v>
      </c>
      <c r="H141" s="70">
        <f>COUNTIFS('Error Log'!$A:$A,$A141,'Error Log'!$F:$F,"Source")</f>
        <v>0</v>
      </c>
      <c r="I141" s="70">
        <f>COUNTIFS('Error Log'!$A:$A,$A141,'Error Log'!$F:$F,"Target")</f>
        <v>0</v>
      </c>
      <c r="J141" s="71">
        <f t="shared" si="3"/>
        <v>90.566037735849051</v>
      </c>
    </row>
    <row r="142" spans="1:10">
      <c r="A142" s="15" t="s">
        <v>951</v>
      </c>
      <c r="B142" s="70" t="str">
        <f>IF(ISBLANK(A142),"",INDEX('Error Log'!$A:$J,MATCH('Scores per segment'!$A142,'Error Log'!$A:$A,0),MATCH('Scores per segment'!B$1,'Error Log'!$A$1:$J$1,0)))</f>
        <v>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v>
      </c>
      <c r="C142" s="70" t="str">
        <f>IF(ISBLANK(A142),"",INDEX('Error Log'!$A:$J,MATCH('Scores per segment'!$A142,'Error Log'!$A:$A,0),MATCH('Scores per segment'!C$1,'Error Log'!$A$1:$J$1,0)))</f>
        <v>a passenger filmed the driver on a bus in auckland , new zealand , and sent the video to bus company ritchies coachlines along with a complaint .
a bus driver was caught reading a newspaper while driving in auckland , new zealand
ritchies coachlines boss andrew ritchie said he was embarrassed by the ` idiot ' driver 's actions</v>
      </c>
      <c r="D142" s="70">
        <f>IF(H142=0,wdct(TRIM(C142)),0)</f>
        <v>54</v>
      </c>
      <c r="E142" s="70">
        <f>COUNTIFS('Error Log'!$A:$A,$A142,'Error Log'!$J:$J,E$1)</f>
        <v>0</v>
      </c>
      <c r="F142" s="70">
        <f>COUNTIFS('Error Log'!$A:$A,$A142,'Error Log'!$J:$J,F$1)</f>
        <v>2</v>
      </c>
      <c r="G142" s="70">
        <f>COUNTIFS('Error Log'!$A:$A,$A142,'Error Log'!$J:$J,G$1)</f>
        <v>0</v>
      </c>
      <c r="H142" s="70">
        <f>COUNTIFS('Error Log'!$A:$A,$A142,'Error Log'!$F:$F,"Source")</f>
        <v>0</v>
      </c>
      <c r="I142" s="70">
        <f>COUNTIFS('Error Log'!$A:$A,$A142,'Error Log'!$F:$F,"Target")</f>
        <v>0</v>
      </c>
      <c r="J142" s="71">
        <f t="shared" si="3"/>
        <v>90.740740740740748</v>
      </c>
    </row>
    <row r="143" spans="1:10">
      <c r="A143" s="105" t="s">
        <v>956</v>
      </c>
      <c r="B143" s="70" t="str">
        <f>IF(ISBLANK(A143),"",INDEX('Error Log'!$A:$J,MATCH('Scores per segment'!$A143,'Error Log'!$A:$A,0),MATCH('Scores per segment'!B$1,'Error Log'!$A$1:$J$1,0)))</f>
        <v>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v>
      </c>
      <c r="C143" s="70" t="str">
        <f>IF(ISBLANK(A143),"",INDEX('Error Log'!$A:$J,MATCH('Scores per segment'!$A143,'Error Log'!$A:$A,0),MATCH('Scores per segment'!C$1,'Error Log'!$A$1:$J$1,0)))</f>
        <v>they say the procedure should only be carried out when ` medically necessary ' because it can lead to infections and even death .
just over a quarter of women giving birth in england now have a caesarean and the rate has more than doubled since the early 1990s .
just over a quarter of women giving birth in england now have a caesarean and the rate has more than doubled since the early 1990s</v>
      </c>
      <c r="D143" s="70">
        <f>IF(H143=0,wdct(TRIM(C143)),0)</f>
        <v>71</v>
      </c>
      <c r="E143" s="70">
        <f>COUNTIFS('Error Log'!$A:$A,$A143,'Error Log'!$J:$J,E$1)</f>
        <v>0</v>
      </c>
      <c r="F143" s="70">
        <f>COUNTIFS('Error Log'!$A:$A,$A143,'Error Log'!$J:$J,F$1)</f>
        <v>1</v>
      </c>
      <c r="G143" s="70">
        <f>COUNTIFS('Error Log'!$A:$A,$A143,'Error Log'!$J:$J,G$1)</f>
        <v>0</v>
      </c>
      <c r="H143" s="70">
        <f>COUNTIFS('Error Log'!$A:$A,$A143,'Error Log'!$F:$F,"Source")</f>
        <v>0</v>
      </c>
      <c r="I143" s="70">
        <f>COUNTIFS('Error Log'!$A:$A,$A143,'Error Log'!$F:$F,"Target")</f>
        <v>0</v>
      </c>
      <c r="J143" s="71">
        <f t="shared" si="3"/>
        <v>96.478873239436609</v>
      </c>
    </row>
    <row r="144" spans="1:10">
      <c r="A144" s="105" t="s">
        <v>960</v>
      </c>
      <c r="B144" s="70" t="str">
        <f>IF(ISBLANK(A144),"",INDEX('Error Log'!$A:$J,MATCH('Scores per segment'!$A144,'Error Log'!$A:$A,0),MATCH('Scores per segment'!B$1,'Error Log'!$A$1:$J$1,0)))</f>
        <v>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v>
      </c>
      <c r="C144" s="70" t="str">
        <f>IF(ISBLANK(A144),"",INDEX('Error Log'!$A:$J,MATCH('Scores per segment'!$A144,'Error Log'!$A:$A,0),MATCH('Scores per segment'!C$1,'Error Log'!$A$1:$J$1,0)))</f>
        <v>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robarge was convicted of second-degree murder in the death of his wife , 42-year-old kelly robarge</v>
      </c>
      <c r="D144" s="70">
        <f>IF(H144=0,wdct(TRIM(C144)),0)</f>
        <v>68</v>
      </c>
      <c r="E144" s="70">
        <f>COUNTIFS('Error Log'!$A:$A,$A144,'Error Log'!$J:$J,E$1)</f>
        <v>0</v>
      </c>
      <c r="F144" s="70">
        <f>COUNTIFS('Error Log'!$A:$A,$A144,'Error Log'!$J:$J,F$1)</f>
        <v>2</v>
      </c>
      <c r="G144" s="70">
        <f>COUNTIFS('Error Log'!$A:$A,$A144,'Error Log'!$J:$J,G$1)</f>
        <v>0</v>
      </c>
      <c r="H144" s="70">
        <f>COUNTIFS('Error Log'!$A:$A,$A144,'Error Log'!$F:$F,"Source")</f>
        <v>0</v>
      </c>
      <c r="I144" s="70">
        <f>COUNTIFS('Error Log'!$A:$A,$A144,'Error Log'!$F:$F,"Target")</f>
        <v>0</v>
      </c>
      <c r="J144" s="71">
        <f t="shared" si="3"/>
        <v>92.64705882352942</v>
      </c>
    </row>
    <row r="145" spans="1:10">
      <c r="A145" s="107" t="s">
        <v>965</v>
      </c>
      <c r="B145" s="70" t="str">
        <f>IF(ISBLANK(A145),"",INDEX('Error Log'!$A:$J,MATCH('Scores per segment'!$A145,'Error Log'!$A:$A,0),MATCH('Scores per segment'!B$1,'Error Log'!$A$1:$J$1,0)))</f>
        <v>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v>
      </c>
      <c r="C145" s="70" t="str">
        <f>IF(ISBLANK(A145),"",INDEX('Error Log'!$A:$J,MATCH('Scores per segment'!$A145,'Error Log'!$A:$A,0),MATCH('Scores per segment'!C$1,'Error Log'!$A$1:$J$1,0)))</f>
        <v>michelle filkins , 44 , of west wareham has been charged with breaking and entering , larceny over $ 250 , and malicious destruction of property .
michelle filkins , 44 , of west wareham has been charged with breaking and entering , larceny over $ 250 , and the malicious destruction of property after she was arrested on april 17
filkins was arrested on april 17 after owner mark conklin found her sitting in his summer home</v>
      </c>
      <c r="D145" s="70">
        <f>IF(H145=0,wdct(TRIM(C145)),0)</f>
        <v>67</v>
      </c>
      <c r="E145" s="70">
        <f>COUNTIFS('Error Log'!$A:$A,$A145,'Error Log'!$J:$J,E$1)</f>
        <v>1</v>
      </c>
      <c r="F145" s="70">
        <f>COUNTIFS('Error Log'!$A:$A,$A145,'Error Log'!$J:$J,F$1)</f>
        <v>1</v>
      </c>
      <c r="G145" s="70">
        <f>COUNTIFS('Error Log'!$A:$A,$A145,'Error Log'!$J:$J,G$1)</f>
        <v>0</v>
      </c>
      <c r="H145" s="70">
        <f>COUNTIFS('Error Log'!$A:$A,$A145,'Error Log'!$F:$F,"Source")</f>
        <v>0</v>
      </c>
      <c r="I145" s="70">
        <f>COUNTIFS('Error Log'!$A:$A,$A145,'Error Log'!$F:$F,"Target")</f>
        <v>0</v>
      </c>
      <c r="J145" s="71">
        <f t="shared" si="3"/>
        <v>88.805970149253739</v>
      </c>
    </row>
    <row r="146" spans="1:10">
      <c r="A146" s="107" t="s">
        <v>970</v>
      </c>
      <c r="B146" s="70" t="str">
        <f>IF(ISBLANK(A146),"",INDEX('Error Log'!$A:$J,MATCH('Scores per segment'!$A146,'Error Log'!$A:$A,0),MATCH('Scores per segment'!B$1,'Error Log'!$A$1:$J$1,0)))</f>
        <v>(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v>
      </c>
      <c r="C146" s="70" t="str">
        <f>IF(ISBLANK(A146),"",INDEX('Error Log'!$A:$J,MATCH('Scores per segment'!$A146,'Error Log'!$A:$A,0),MATCH('Scores per segment'!C$1,'Error Log'!$A$1:$J$1,0)))</f>
        <v>(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in november , french customs officials seized nearly 250 kilograms ( 550 pounds ) of cocaine on a vessel that was also off the coast of martinique , according to authorities .</v>
      </c>
      <c r="D146" s="70">
        <f>IF(H146=0,wdct(TRIM(C146)),0)</f>
        <v>85</v>
      </c>
      <c r="E146" s="70">
        <f>COUNTIFS('Error Log'!$A:$A,$A146,'Error Log'!$J:$J,E$1)</f>
        <v>1</v>
      </c>
      <c r="F146" s="70">
        <f>COUNTIFS('Error Log'!$A:$A,$A146,'Error Log'!$J:$J,F$1)</f>
        <v>4</v>
      </c>
      <c r="G146" s="70">
        <f>COUNTIFS('Error Log'!$A:$A,$A146,'Error Log'!$J:$J,G$1)</f>
        <v>0</v>
      </c>
      <c r="H146" s="70">
        <f>COUNTIFS('Error Log'!$A:$A,$A146,'Error Log'!$F:$F,"Source")</f>
        <v>0</v>
      </c>
      <c r="I146" s="70">
        <f>COUNTIFS('Error Log'!$A:$A,$A146,'Error Log'!$F:$F,"Target")</f>
        <v>0</v>
      </c>
      <c r="J146" s="71">
        <f t="shared" si="3"/>
        <v>82.35294117647058</v>
      </c>
    </row>
    <row r="147" spans="1:10">
      <c r="A147" s="107" t="s">
        <v>978</v>
      </c>
      <c r="B147" s="70" t="str">
        <f>IF(ISBLANK(A147),"",INDEX('Error Log'!$A:$J,MATCH('Scores per segment'!$A147,'Error Log'!$A:$A,0),MATCH('Scores per segment'!B$1,'Error Log'!$A$1:$J$1,0)))</f>
        <v>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v>
      </c>
      <c r="C147" s="70" t="str">
        <f>IF(ISBLANK(A147),"",INDEX('Error Log'!$A:$J,MATCH('Scores per segment'!$A147,'Error Log'!$A:$A,0),MATCH('Scores per segment'!C$1,'Error Log'!$A$1:$J$1,0)))</f>
        <v>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v>
      </c>
      <c r="D147" s="70">
        <f>IF(H147=0,wdct(TRIM(C147)),0)</f>
        <v>88</v>
      </c>
      <c r="E147" s="70">
        <f>COUNTIFS('Error Log'!$A:$A,$A147,'Error Log'!$J:$J,E$1)</f>
        <v>1</v>
      </c>
      <c r="F147" s="70">
        <f>COUNTIFS('Error Log'!$A:$A,$A147,'Error Log'!$J:$J,F$1)</f>
        <v>1</v>
      </c>
      <c r="G147" s="70">
        <f>COUNTIFS('Error Log'!$A:$A,$A147,'Error Log'!$J:$J,G$1)</f>
        <v>0</v>
      </c>
      <c r="H147" s="70">
        <f>COUNTIFS('Error Log'!$A:$A,$A147,'Error Log'!$F:$F,"Source")</f>
        <v>0</v>
      </c>
      <c r="I147" s="70">
        <f>COUNTIFS('Error Log'!$A:$A,$A147,'Error Log'!$F:$F,"Target")</f>
        <v>0</v>
      </c>
      <c r="J147" s="71">
        <f t="shared" si="3"/>
        <v>91.47727272727272</v>
      </c>
    </row>
    <row r="148" spans="1:10">
      <c r="A148" s="107" t="s">
        <v>983</v>
      </c>
      <c r="B148" s="70" t="str">
        <f>IF(ISBLANK(A148),"",INDEX('Error Log'!$A:$J,MATCH('Scores per segment'!$A148,'Error Log'!$A:$A,0),MATCH('Scores per segment'!B$1,'Error Log'!$A$1:$J$1,0)))</f>
        <v>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v>
      </c>
      <c r="C148" s="70" t="str">
        <f>IF(ISBLANK(A148),"",INDEX('Error Log'!$A:$J,MATCH('Scores per segment'!$A148,'Error Log'!$A:$A,0),MATCH('Scores per segment'!C$1,'Error Log'!$A$1:$J$1,0)))</f>
        <v>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v>
      </c>
      <c r="D148" s="70">
        <f>IF(H148=0,wdct(TRIM(C148)),0)</f>
        <v>66</v>
      </c>
      <c r="E148" s="70">
        <f>COUNTIFS('Error Log'!$A:$A,$A148,'Error Log'!$J:$J,E$1)</f>
        <v>3</v>
      </c>
      <c r="F148" s="70">
        <f>COUNTIFS('Error Log'!$A:$A,$A148,'Error Log'!$J:$J,F$1)</f>
        <v>2</v>
      </c>
      <c r="G148" s="70">
        <f>COUNTIFS('Error Log'!$A:$A,$A148,'Error Log'!$J:$J,G$1)</f>
        <v>0</v>
      </c>
      <c r="H148" s="70">
        <f>COUNTIFS('Error Log'!$A:$A,$A148,'Error Log'!$F:$F,"Source")</f>
        <v>0</v>
      </c>
      <c r="I148" s="70">
        <f>COUNTIFS('Error Log'!$A:$A,$A148,'Error Log'!$F:$F,"Target")</f>
        <v>0</v>
      </c>
      <c r="J148" s="71">
        <f t="shared" si="3"/>
        <v>69.696969696969688</v>
      </c>
    </row>
    <row r="149" spans="1:10">
      <c r="A149" s="105" t="s">
        <v>991</v>
      </c>
      <c r="B149" s="70" t="str">
        <f>IF(ISBLANK(A149),"",INDEX('Error Log'!$A:$J,MATCH('Scores per segment'!$A149,'Error Log'!$A:$A,0),MATCH('Scores per segment'!B$1,'Error Log'!$A$1:$J$1,0)))</f>
        <v>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v>
      </c>
      <c r="C149" s="70" t="str">
        <f>IF(ISBLANK(A149),"",INDEX('Error Log'!$A:$J,MATCH('Scores per segment'!$A149,'Error Log'!$A:$A,0),MATCH('Scores per segment'!C$1,'Error Log'!$A$1:$J$1,0)))</f>
        <v>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deadly : the calf was dragged along the surface of water and died hours after the tussle , with its mother looking on in horror</v>
      </c>
      <c r="D149" s="70">
        <f>IF(H149=0,wdct(TRIM(C149)),0)</f>
        <v>84</v>
      </c>
      <c r="E149" s="70">
        <f>COUNTIFS('Error Log'!$A:$A,$A149,'Error Log'!$J:$J,E$1)</f>
        <v>1</v>
      </c>
      <c r="F149" s="70">
        <f>COUNTIFS('Error Log'!$A:$A,$A149,'Error Log'!$J:$J,F$1)</f>
        <v>1</v>
      </c>
      <c r="G149" s="70">
        <f>COUNTIFS('Error Log'!$A:$A,$A149,'Error Log'!$J:$J,G$1)</f>
        <v>0</v>
      </c>
      <c r="H149" s="70">
        <f>COUNTIFS('Error Log'!$A:$A,$A149,'Error Log'!$F:$F,"Source")</f>
        <v>0</v>
      </c>
      <c r="I149" s="70">
        <f>COUNTIFS('Error Log'!$A:$A,$A149,'Error Log'!$F:$F,"Target")</f>
        <v>0</v>
      </c>
      <c r="J149" s="71">
        <f t="shared" si="3"/>
        <v>91.071428571428569</v>
      </c>
    </row>
    <row r="150" spans="1:10">
      <c r="A150" s="105" t="s">
        <v>996</v>
      </c>
      <c r="B150" s="70" t="str">
        <f>IF(ISBLANK(A150),"",INDEX('Error Log'!$A:$J,MATCH('Scores per segment'!$A150,'Error Log'!$A:$A,0),MATCH('Scores per segment'!B$1,'Error Log'!$A$1:$J$1,0)))</f>
        <v>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v>
      </c>
      <c r="C150" s="70" t="str">
        <f>IF(ISBLANK(A150),"",INDEX('Error Log'!$A:$J,MATCH('Scores per segment'!$A150,'Error Log'!$A:$A,0),MATCH('Scores per segment'!C$1,'Error Log'!$A$1:$J$1,0)))</f>
        <v>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v>
      </c>
      <c r="D150" s="70">
        <f>IF(H150=0,wdct(TRIM(C150)),0)</f>
        <v>61</v>
      </c>
      <c r="E150" s="70">
        <f>COUNTIFS('Error Log'!$A:$A,$A150,'Error Log'!$J:$J,E$1)</f>
        <v>1</v>
      </c>
      <c r="F150" s="70">
        <f>COUNTIFS('Error Log'!$A:$A,$A150,'Error Log'!$J:$J,F$1)</f>
        <v>1</v>
      </c>
      <c r="G150" s="70">
        <f>COUNTIFS('Error Log'!$A:$A,$A150,'Error Log'!$J:$J,G$1)</f>
        <v>0</v>
      </c>
      <c r="H150" s="70">
        <f>COUNTIFS('Error Log'!$A:$A,$A150,'Error Log'!$F:$F,"Source")</f>
        <v>0</v>
      </c>
      <c r="I150" s="70">
        <f>COUNTIFS('Error Log'!$A:$A,$A150,'Error Log'!$F:$F,"Target")</f>
        <v>0</v>
      </c>
      <c r="J150" s="71">
        <f t="shared" si="3"/>
        <v>87.704918032786878</v>
      </c>
    </row>
    <row r="151" spans="1:10">
      <c r="A151" s="105" t="s">
        <v>1001</v>
      </c>
      <c r="B151" s="70" t="str">
        <f>IF(ISBLANK(A151),"",INDEX('Error Log'!$A:$J,MATCH('Scores per segment'!$A151,'Error Log'!$A:$A,0),MATCH('Scores per segment'!B$1,'Error Log'!$A$1:$J$1,0)))</f>
        <v>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v>
      </c>
      <c r="C151" s="70" t="str">
        <f>IF(ISBLANK(A151),"",INDEX('Error Log'!$A:$J,MATCH('Scores per segment'!$A151,'Error Log'!$A:$A,0),MATCH('Scores per segment'!C$1,'Error Log'!$A$1:$J$1,0)))</f>
        <v>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v>
      </c>
      <c r="D151" s="70">
        <f>IF(H151=0,wdct(TRIM(C151)),0)</f>
        <v>81</v>
      </c>
      <c r="E151" s="70">
        <f>COUNTIFS('Error Log'!$A:$A,$A151,'Error Log'!$J:$J,E$1)</f>
        <v>2</v>
      </c>
      <c r="F151" s="70">
        <f>COUNTIFS('Error Log'!$A:$A,$A151,'Error Log'!$J:$J,F$1)</f>
        <v>0</v>
      </c>
      <c r="G151" s="70">
        <f>COUNTIFS('Error Log'!$A:$A,$A151,'Error Log'!$J:$J,G$1)</f>
        <v>0</v>
      </c>
      <c r="H151" s="70">
        <f>COUNTIFS('Error Log'!$A:$A,$A151,'Error Log'!$F:$F,"Source")</f>
        <v>0</v>
      </c>
      <c r="I151" s="70">
        <f>COUNTIFS('Error Log'!$A:$A,$A151,'Error Log'!$F:$F,"Target")</f>
        <v>0</v>
      </c>
      <c r="J151" s="71">
        <f t="shared" si="3"/>
        <v>87.65432098765433</v>
      </c>
    </row>
    <row r="152" spans="1:10">
      <c r="A152" s="81"/>
      <c r="B152" s="70" t="str">
        <f>IF(ISBLANK(A152),"",INDEX('Error Log'!$A:$J,MATCH('Scores per segment'!$A152,'Error Log'!$A:$A,0),MATCH('Scores per segment'!B$1,'Error Log'!$A$1:$J$1,0)))</f>
        <v/>
      </c>
      <c r="C152" s="70" t="str">
        <f>IF(ISBLANK(A152),"",INDEX('Error Log'!$A:$J,MATCH('Scores per segment'!$A152,'Error Log'!$A:$A,0),MATCH('Scores per segment'!C$1,'Error Log'!$A$1:$J$1,0)))</f>
        <v/>
      </c>
      <c r="D152" s="70"/>
      <c r="E152" s="70"/>
      <c r="F152" s="70"/>
      <c r="G152" s="70"/>
      <c r="H152" s="70"/>
      <c r="I152" s="70"/>
      <c r="J152" s="71"/>
    </row>
    <row r="153" spans="1:10">
      <c r="A153" s="81"/>
      <c r="B153" s="70" t="str">
        <f>IF(ISBLANK(A153),"",INDEX('Error Log'!$A:$J,MATCH('Scores per segment'!$A153,'Error Log'!$A:$A,0),MATCH('Scores per segment'!B$1,'Error Log'!$A$1:$J$1,0)))</f>
        <v/>
      </c>
      <c r="C153" s="70" t="str">
        <f>IF(ISBLANK(A153),"",INDEX('Error Log'!$A:$J,MATCH('Scores per segment'!$A153,'Error Log'!$A:$A,0),MATCH('Scores per segment'!C$1,'Error Log'!$A$1:$J$1,0)))</f>
        <v/>
      </c>
      <c r="D153" s="70">
        <f>IF(H153=0,wdct(TRIM(C153)),0)</f>
        <v>0</v>
      </c>
      <c r="E153" s="70">
        <f>COUNTIFS('Error Log'!$A:$A,$A153,'Error Log'!$J:$J,E$1)</f>
        <v>0</v>
      </c>
      <c r="F153" s="70">
        <f>COUNTIFS('Error Log'!$A:$A,$A153,'Error Log'!$J:$J,F$1)</f>
        <v>0</v>
      </c>
      <c r="G153" s="70">
        <f>COUNTIFS('Error Log'!$A:$A,$A153,'Error Log'!$J:$J,G$1)</f>
        <v>0</v>
      </c>
      <c r="H153" s="70">
        <f>COUNTIFS('Error Log'!$A:$A,$A153,'Error Log'!$F:$F,"Source")</f>
        <v>0</v>
      </c>
      <c r="I153" s="70">
        <f>COUNTIFS('Error Log'!$A:$A,$A153,'Error Log'!$F:$F,"Target")</f>
        <v>0</v>
      </c>
      <c r="J153" s="71">
        <f t="shared" si="2"/>
        <v>0</v>
      </c>
    </row>
    <row r="154" spans="1:10">
      <c r="A154" s="81"/>
      <c r="B154" s="70" t="str">
        <f>IF(ISBLANK(A154),"",INDEX('Error Log'!$A:$J,MATCH('Scores per segment'!$A154,'Error Log'!$A:$A,0),MATCH('Scores per segment'!B$1,'Error Log'!$A$1:$J$1,0)))</f>
        <v/>
      </c>
      <c r="C154" s="70" t="str">
        <f>IF(ISBLANK(A154),"",INDEX('Error Log'!$A:$J,MATCH('Scores per segment'!$A154,'Error Log'!$A:$A,0),MATCH('Scores per segment'!C$1,'Error Log'!$A$1:$J$1,0)))</f>
        <v/>
      </c>
      <c r="D154" s="70">
        <f>IF(H154=0,wdct(TRIM(C154)),0)</f>
        <v>0</v>
      </c>
      <c r="E154" s="70">
        <f>COUNTIFS('Error Log'!$A:$A,$A154,'Error Log'!$J:$J,E$1)</f>
        <v>0</v>
      </c>
      <c r="F154" s="70">
        <f>COUNTIFS('Error Log'!$A:$A,$A154,'Error Log'!$J:$J,F$1)</f>
        <v>0</v>
      </c>
      <c r="G154" s="70">
        <f>COUNTIFS('Error Log'!$A:$A,$A154,'Error Log'!$J:$J,G$1)</f>
        <v>0</v>
      </c>
      <c r="H154" s="70">
        <f>COUNTIFS('Error Log'!$A:$A,$A154,'Error Log'!$F:$F,"Source")</f>
        <v>0</v>
      </c>
      <c r="I154" s="70">
        <f>COUNTIFS('Error Log'!$A:$A,$A154,'Error Log'!$F:$F,"Target")</f>
        <v>0</v>
      </c>
      <c r="J154" s="71">
        <f t="shared" si="2"/>
        <v>0</v>
      </c>
    </row>
    <row r="155" spans="1:10">
      <c r="A155" s="81"/>
      <c r="B155" s="70" t="str">
        <f>IF(ISBLANK(A155),"",INDEX('Error Log'!$A:$J,MATCH('Scores per segment'!$A155,'Error Log'!$A:$A,0),MATCH('Scores per segment'!B$1,'Error Log'!$A$1:$J$1,0)))</f>
        <v/>
      </c>
      <c r="C155" s="70" t="str">
        <f>IF(ISBLANK(A155),"",INDEX('Error Log'!$A:$J,MATCH('Scores per segment'!$A155,'Error Log'!$A:$A,0),MATCH('Scores per segment'!C$1,'Error Log'!$A$1:$J$1,0)))</f>
        <v/>
      </c>
      <c r="D155" s="70">
        <f>IF(H155=0,wdct(TRIM(C155)),0)</f>
        <v>0</v>
      </c>
      <c r="E155" s="70">
        <f>COUNTIFS('Error Log'!$A:$A,$A155,'Error Log'!$J:$J,E$1)</f>
        <v>0</v>
      </c>
      <c r="F155" s="70">
        <f>COUNTIFS('Error Log'!$A:$A,$A155,'Error Log'!$J:$J,F$1)</f>
        <v>0</v>
      </c>
      <c r="G155" s="70">
        <f>COUNTIFS('Error Log'!$A:$A,$A155,'Error Log'!$J:$J,G$1)</f>
        <v>0</v>
      </c>
      <c r="H155" s="70">
        <f>COUNTIFS('Error Log'!$A:$A,$A155,'Error Log'!$F:$F,"Source")</f>
        <v>0</v>
      </c>
      <c r="I155" s="70">
        <f>COUNTIFS('Error Log'!$A:$A,$A155,'Error Log'!$F:$F,"Target")</f>
        <v>0</v>
      </c>
      <c r="J155" s="71">
        <f t="shared" si="2"/>
        <v>0</v>
      </c>
    </row>
    <row r="156" spans="1:10">
      <c r="A156" s="81"/>
      <c r="B156" s="70" t="str">
        <f>IF(ISBLANK(A156),"",INDEX('Error Log'!$A:$J,MATCH('Scores per segment'!$A156,'Error Log'!$A:$A,0),MATCH('Scores per segment'!B$1,'Error Log'!$A$1:$J$1,0)))</f>
        <v/>
      </c>
      <c r="C156" s="70" t="str">
        <f>IF(ISBLANK(A156),"",INDEX('Error Log'!$A:$J,MATCH('Scores per segment'!$A156,'Error Log'!$A:$A,0),MATCH('Scores per segment'!C$1,'Error Log'!$A$1:$J$1,0)))</f>
        <v/>
      </c>
      <c r="D156" s="70">
        <f>IF(H156=0,wdct(TRIM(C156)),0)</f>
        <v>0</v>
      </c>
      <c r="E156" s="70">
        <f>COUNTIFS('Error Log'!$A:$A,$A156,'Error Log'!$J:$J,E$1)</f>
        <v>0</v>
      </c>
      <c r="F156" s="70">
        <f>COUNTIFS('Error Log'!$A:$A,$A156,'Error Log'!$J:$J,F$1)</f>
        <v>0</v>
      </c>
      <c r="G156" s="70">
        <f>COUNTIFS('Error Log'!$A:$A,$A156,'Error Log'!$J:$J,G$1)</f>
        <v>0</v>
      </c>
      <c r="H156" s="70">
        <f>COUNTIFS('Error Log'!$A:$A,$A156,'Error Log'!$F:$F,"Source")</f>
        <v>0</v>
      </c>
      <c r="I156" s="70">
        <f>COUNTIFS('Error Log'!$A:$A,$A156,'Error Log'!$F:$F,"Target")</f>
        <v>0</v>
      </c>
      <c r="J156" s="71">
        <f t="shared" si="2"/>
        <v>0</v>
      </c>
    </row>
    <row r="157" spans="1:10">
      <c r="A157" s="81"/>
      <c r="B157" s="70" t="str">
        <f>IF(ISBLANK(A157),"",INDEX('Error Log'!$A:$J,MATCH('Scores per segment'!$A157,'Error Log'!$A:$A,0),MATCH('Scores per segment'!B$1,'Error Log'!$A$1:$J$1,0)))</f>
        <v/>
      </c>
      <c r="C157" s="70" t="str">
        <f>IF(ISBLANK(A157),"",INDEX('Error Log'!$A:$J,MATCH('Scores per segment'!$A157,'Error Log'!$A:$A,0),MATCH('Scores per segment'!C$1,'Error Log'!$A$1:$J$1,0)))</f>
        <v/>
      </c>
      <c r="D157" s="70">
        <f>IF(H157=0,wdct(TRIM(C157)),0)</f>
        <v>0</v>
      </c>
      <c r="E157" s="70">
        <f>COUNTIFS('Error Log'!$A:$A,$A157,'Error Log'!$J:$J,E$1)</f>
        <v>0</v>
      </c>
      <c r="F157" s="70">
        <f>COUNTIFS('Error Log'!$A:$A,$A157,'Error Log'!$J:$J,F$1)</f>
        <v>0</v>
      </c>
      <c r="G157" s="70">
        <f>COUNTIFS('Error Log'!$A:$A,$A157,'Error Log'!$J:$J,G$1)</f>
        <v>0</v>
      </c>
      <c r="H157" s="70">
        <f>COUNTIFS('Error Log'!$A:$A,$A157,'Error Log'!$F:$F,"Source")</f>
        <v>0</v>
      </c>
      <c r="I157" s="70">
        <f>COUNTIFS('Error Log'!$A:$A,$A157,'Error Log'!$F:$F,"Target")</f>
        <v>0</v>
      </c>
      <c r="J157" s="71">
        <f t="shared" si="2"/>
        <v>0</v>
      </c>
    </row>
    <row r="158" spans="1:10">
      <c r="A158" s="81"/>
      <c r="B158" s="70" t="str">
        <f>IF(ISBLANK(A158),"",INDEX('Error Log'!$A:$J,MATCH('Scores per segment'!$A158,'Error Log'!$A:$A,0),MATCH('Scores per segment'!B$1,'Error Log'!$A$1:$J$1,0)))</f>
        <v/>
      </c>
      <c r="C158" s="70" t="str">
        <f>IF(ISBLANK(A158),"",INDEX('Error Log'!$A:$J,MATCH('Scores per segment'!$A158,'Error Log'!$A:$A,0),MATCH('Scores per segment'!C$1,'Error Log'!$A$1:$J$1,0)))</f>
        <v/>
      </c>
      <c r="D158" s="70">
        <f>IF(H158=0,wdct(TRIM(C158)),0)</f>
        <v>0</v>
      </c>
      <c r="E158" s="70">
        <f>COUNTIFS('Error Log'!$A:$A,$A158,'Error Log'!$J:$J,E$1)</f>
        <v>0</v>
      </c>
      <c r="F158" s="70">
        <f>COUNTIFS('Error Log'!$A:$A,$A158,'Error Log'!$J:$J,F$1)</f>
        <v>0</v>
      </c>
      <c r="G158" s="70">
        <f>COUNTIFS('Error Log'!$A:$A,$A158,'Error Log'!$J:$J,G$1)</f>
        <v>0</v>
      </c>
      <c r="H158" s="70">
        <f>COUNTIFS('Error Log'!$A:$A,$A158,'Error Log'!$F:$F,"Source")</f>
        <v>0</v>
      </c>
      <c r="I158" s="70">
        <f>COUNTIFS('Error Log'!$A:$A,$A158,'Error Log'!$F:$F,"Target")</f>
        <v>0</v>
      </c>
      <c r="J158" s="71">
        <f t="shared" si="2"/>
        <v>0</v>
      </c>
    </row>
    <row r="159" spans="1:10">
      <c r="A159" s="81"/>
      <c r="B159" s="70" t="str">
        <f>IF(ISBLANK(A159),"",INDEX('Error Log'!$A:$J,MATCH('Scores per segment'!$A159,'Error Log'!$A:$A,0),MATCH('Scores per segment'!B$1,'Error Log'!$A$1:$J$1,0)))</f>
        <v/>
      </c>
      <c r="C159" s="70" t="str">
        <f>IF(ISBLANK(A159),"",INDEX('Error Log'!$A:$J,MATCH('Scores per segment'!$A159,'Error Log'!$A:$A,0),MATCH('Scores per segment'!C$1,'Error Log'!$A$1:$J$1,0)))</f>
        <v/>
      </c>
      <c r="D159" s="70">
        <f>IF(H159=0,wdct(TRIM(C159)),0)</f>
        <v>0</v>
      </c>
      <c r="E159" s="70">
        <f>COUNTIFS('Error Log'!$A:$A,$A159,'Error Log'!$J:$J,E$1)</f>
        <v>0</v>
      </c>
      <c r="F159" s="70">
        <f>COUNTIFS('Error Log'!$A:$A,$A159,'Error Log'!$J:$J,F$1)</f>
        <v>0</v>
      </c>
      <c r="G159" s="70">
        <f>COUNTIFS('Error Log'!$A:$A,$A159,'Error Log'!$J:$J,G$1)</f>
        <v>0</v>
      </c>
      <c r="H159" s="70">
        <f>COUNTIFS('Error Log'!$A:$A,$A159,'Error Log'!$F:$F,"Source")</f>
        <v>0</v>
      </c>
      <c r="I159" s="70">
        <f>COUNTIFS('Error Log'!$A:$A,$A159,'Error Log'!$F:$F,"Target")</f>
        <v>0</v>
      </c>
      <c r="J159" s="71">
        <f t="shared" si="2"/>
        <v>0</v>
      </c>
    </row>
    <row r="160" spans="1:10">
      <c r="A160" s="81"/>
      <c r="B160" s="70" t="str">
        <f>IF(ISBLANK(A160),"",INDEX('Error Log'!$A:$J,MATCH('Scores per segment'!$A160,'Error Log'!$A:$A,0),MATCH('Scores per segment'!B$1,'Error Log'!$A$1:$J$1,0)))</f>
        <v/>
      </c>
      <c r="C160" s="70" t="str">
        <f>IF(ISBLANK(A160),"",INDEX('Error Log'!$A:$J,MATCH('Scores per segment'!$A160,'Error Log'!$A:$A,0),MATCH('Scores per segment'!C$1,'Error Log'!$A$1:$J$1,0)))</f>
        <v/>
      </c>
      <c r="D160" s="70">
        <f>IF(H160=0,wdct(TRIM(C160)),0)</f>
        <v>0</v>
      </c>
      <c r="E160" s="70">
        <f>COUNTIFS('Error Log'!$A:$A,$A160,'Error Log'!$J:$J,E$1)</f>
        <v>0</v>
      </c>
      <c r="F160" s="70">
        <f>COUNTIFS('Error Log'!$A:$A,$A160,'Error Log'!$J:$J,F$1)</f>
        <v>0</v>
      </c>
      <c r="G160" s="70">
        <f>COUNTIFS('Error Log'!$A:$A,$A160,'Error Log'!$J:$J,G$1)</f>
        <v>0</v>
      </c>
      <c r="H160" s="70">
        <f>COUNTIFS('Error Log'!$A:$A,$A160,'Error Log'!$F:$F,"Source")</f>
        <v>0</v>
      </c>
      <c r="I160" s="70">
        <f>COUNTIFS('Error Log'!$A:$A,$A160,'Error Log'!$F:$F,"Target")</f>
        <v>0</v>
      </c>
      <c r="J160" s="71">
        <f t="shared" si="2"/>
        <v>0</v>
      </c>
    </row>
    <row r="161" spans="1:10">
      <c r="A161" s="81"/>
      <c r="B161" s="70" t="str">
        <f>IF(ISBLANK(A161),"",INDEX('Error Log'!$A:$J,MATCH('Scores per segment'!$A161,'Error Log'!$A:$A,0),MATCH('Scores per segment'!B$1,'Error Log'!$A$1:$J$1,0)))</f>
        <v/>
      </c>
      <c r="C161" s="70" t="str">
        <f>IF(ISBLANK(A161),"",INDEX('Error Log'!$A:$J,MATCH('Scores per segment'!$A161,'Error Log'!$A:$A,0),MATCH('Scores per segment'!C$1,'Error Log'!$A$1:$J$1,0)))</f>
        <v/>
      </c>
      <c r="D161" s="70">
        <f>IF(H161=0,wdct(TRIM(C161)),0)</f>
        <v>0</v>
      </c>
      <c r="E161" s="70">
        <f>COUNTIFS('Error Log'!$A:$A,$A161,'Error Log'!$J:$J,E$1)</f>
        <v>0</v>
      </c>
      <c r="F161" s="70">
        <f>COUNTIFS('Error Log'!$A:$A,$A161,'Error Log'!$J:$J,F$1)</f>
        <v>0</v>
      </c>
      <c r="G161" s="70">
        <f>COUNTIFS('Error Log'!$A:$A,$A161,'Error Log'!$J:$J,G$1)</f>
        <v>0</v>
      </c>
      <c r="H161" s="70">
        <f>COUNTIFS('Error Log'!$A:$A,$A161,'Error Log'!$F:$F,"Source")</f>
        <v>0</v>
      </c>
      <c r="I161" s="70">
        <f>COUNTIFS('Error Log'!$A:$A,$A161,'Error Log'!$F:$F,"Target")</f>
        <v>0</v>
      </c>
      <c r="J161" s="71">
        <f t="shared" si="2"/>
        <v>0</v>
      </c>
    </row>
    <row r="162" spans="1:10">
      <c r="A162" s="81"/>
      <c r="B162" s="70" t="str">
        <f>IF(ISBLANK(A162),"",INDEX('Error Log'!$A:$J,MATCH('Scores per segment'!$A162,'Error Log'!$A:$A,0),MATCH('Scores per segment'!B$1,'Error Log'!$A$1:$J$1,0)))</f>
        <v/>
      </c>
      <c r="C162" s="70" t="str">
        <f>IF(ISBLANK(A162),"",INDEX('Error Log'!$A:$J,MATCH('Scores per segment'!$A162,'Error Log'!$A:$A,0),MATCH('Scores per segment'!C$1,'Error Log'!$A$1:$J$1,0)))</f>
        <v/>
      </c>
      <c r="D162" s="70">
        <f>IF(H162=0,wdct(TRIM(C162)),0)</f>
        <v>0</v>
      </c>
      <c r="E162" s="70">
        <f>COUNTIFS('Error Log'!$A:$A,$A162,'Error Log'!$J:$J,E$1)</f>
        <v>0</v>
      </c>
      <c r="F162" s="70">
        <f>COUNTIFS('Error Log'!$A:$A,$A162,'Error Log'!$J:$J,F$1)</f>
        <v>0</v>
      </c>
      <c r="G162" s="70">
        <f>COUNTIFS('Error Log'!$A:$A,$A162,'Error Log'!$J:$J,G$1)</f>
        <v>0</v>
      </c>
      <c r="H162" s="70">
        <f>COUNTIFS('Error Log'!$A:$A,$A162,'Error Log'!$F:$F,"Source")</f>
        <v>0</v>
      </c>
      <c r="I162" s="70">
        <f>COUNTIFS('Error Log'!$A:$A,$A162,'Error Log'!$F:$F,"Target")</f>
        <v>0</v>
      </c>
      <c r="J162" s="71">
        <f t="shared" si="2"/>
        <v>0</v>
      </c>
    </row>
    <row r="163" spans="1:10">
      <c r="A163" s="81"/>
      <c r="B163" s="70" t="str">
        <f>IF(ISBLANK(A163),"",INDEX('Error Log'!$A:$J,MATCH('Scores per segment'!$A163,'Error Log'!$A:$A,0),MATCH('Scores per segment'!B$1,'Error Log'!$A$1:$J$1,0)))</f>
        <v/>
      </c>
      <c r="C163" s="70" t="str">
        <f>IF(ISBLANK(A163),"",INDEX('Error Log'!$A:$J,MATCH('Scores per segment'!$A163,'Error Log'!$A:$A,0),MATCH('Scores per segment'!C$1,'Error Log'!$A$1:$J$1,0)))</f>
        <v/>
      </c>
      <c r="D163" s="70">
        <f>IF(H163=0,wdct(TRIM(C163)),0)</f>
        <v>0</v>
      </c>
      <c r="E163" s="70">
        <f>COUNTIFS('Error Log'!$A:$A,$A163,'Error Log'!$J:$J,E$1)</f>
        <v>0</v>
      </c>
      <c r="F163" s="70">
        <f>COUNTIFS('Error Log'!$A:$A,$A163,'Error Log'!$J:$J,F$1)</f>
        <v>0</v>
      </c>
      <c r="G163" s="70">
        <f>COUNTIFS('Error Log'!$A:$A,$A163,'Error Log'!$J:$J,G$1)</f>
        <v>0</v>
      </c>
      <c r="H163" s="70">
        <f>COUNTIFS('Error Log'!$A:$A,$A163,'Error Log'!$F:$F,"Source")</f>
        <v>0</v>
      </c>
      <c r="I163" s="70">
        <f>COUNTIFS('Error Log'!$A:$A,$A163,'Error Log'!$F:$F,"Target")</f>
        <v>0</v>
      </c>
      <c r="J163" s="71">
        <f t="shared" si="2"/>
        <v>0</v>
      </c>
    </row>
    <row r="164" spans="1:10">
      <c r="A164" s="81"/>
      <c r="B164" s="70" t="str">
        <f>IF(ISBLANK(A164),"",INDEX('Error Log'!$A:$J,MATCH('Scores per segment'!$A164,'Error Log'!$A:$A,0),MATCH('Scores per segment'!B$1,'Error Log'!$A$1:$J$1,0)))</f>
        <v/>
      </c>
      <c r="C164" s="70" t="str">
        <f>IF(ISBLANK(A164),"",INDEX('Error Log'!$A:$J,MATCH('Scores per segment'!$A164,'Error Log'!$A:$A,0),MATCH('Scores per segment'!C$1,'Error Log'!$A$1:$J$1,0)))</f>
        <v/>
      </c>
      <c r="D164" s="70">
        <f>IF(H164=0,wdct(TRIM(C164)),0)</f>
        <v>0</v>
      </c>
      <c r="E164" s="70">
        <f>COUNTIFS('Error Log'!$A:$A,$A164,'Error Log'!$J:$J,E$1)</f>
        <v>0</v>
      </c>
      <c r="F164" s="70">
        <f>COUNTIFS('Error Log'!$A:$A,$A164,'Error Log'!$J:$J,F$1)</f>
        <v>0</v>
      </c>
      <c r="G164" s="70">
        <f>COUNTIFS('Error Log'!$A:$A,$A164,'Error Log'!$J:$J,G$1)</f>
        <v>0</v>
      </c>
      <c r="H164" s="70">
        <f>COUNTIFS('Error Log'!$A:$A,$A164,'Error Log'!$F:$F,"Source")</f>
        <v>0</v>
      </c>
      <c r="I164" s="70">
        <f>COUNTIFS('Error Log'!$A:$A,$A164,'Error Log'!$F:$F,"Target")</f>
        <v>0</v>
      </c>
      <c r="J164" s="71">
        <f t="shared" si="2"/>
        <v>0</v>
      </c>
    </row>
    <row r="165" spans="1:10">
      <c r="A165" s="81"/>
      <c r="B165" s="70" t="str">
        <f>IF(ISBLANK(A165),"",INDEX('Error Log'!$A:$J,MATCH('Scores per segment'!$A165,'Error Log'!$A:$A,0),MATCH('Scores per segment'!B$1,'Error Log'!$A$1:$J$1,0)))</f>
        <v/>
      </c>
      <c r="C165" s="70" t="str">
        <f>IF(ISBLANK(A165),"",INDEX('Error Log'!$A:$J,MATCH('Scores per segment'!$A165,'Error Log'!$A:$A,0),MATCH('Scores per segment'!C$1,'Error Log'!$A$1:$J$1,0)))</f>
        <v/>
      </c>
      <c r="D165" s="70">
        <f>IF(H165=0,wdct(TRIM(C165)),0)</f>
        <v>0</v>
      </c>
      <c r="E165" s="70">
        <f>COUNTIFS('Error Log'!$A:$A,$A165,'Error Log'!$J:$J,E$1)</f>
        <v>0</v>
      </c>
      <c r="F165" s="70">
        <f>COUNTIFS('Error Log'!$A:$A,$A165,'Error Log'!$J:$J,F$1)</f>
        <v>0</v>
      </c>
      <c r="G165" s="70">
        <f>COUNTIFS('Error Log'!$A:$A,$A165,'Error Log'!$J:$J,G$1)</f>
        <v>0</v>
      </c>
      <c r="H165" s="70">
        <f>COUNTIFS('Error Log'!$A:$A,$A165,'Error Log'!$F:$F,"Source")</f>
        <v>0</v>
      </c>
      <c r="I165" s="70">
        <f>COUNTIFS('Error Log'!$A:$A,$A165,'Error Log'!$F:$F,"Target")</f>
        <v>0</v>
      </c>
      <c r="J165" s="71">
        <f t="shared" si="2"/>
        <v>0</v>
      </c>
    </row>
    <row r="166" spans="1:10">
      <c r="A166" s="81"/>
      <c r="B166" s="70" t="str">
        <f>IF(ISBLANK(A166),"",INDEX('Error Log'!$A:$J,MATCH('Scores per segment'!$A166,'Error Log'!$A:$A,0),MATCH('Scores per segment'!B$1,'Error Log'!$A$1:$J$1,0)))</f>
        <v/>
      </c>
      <c r="C166" s="70" t="str">
        <f>IF(ISBLANK(A166),"",INDEX('Error Log'!$A:$J,MATCH('Scores per segment'!$A166,'Error Log'!$A:$A,0),MATCH('Scores per segment'!C$1,'Error Log'!$A$1:$J$1,0)))</f>
        <v/>
      </c>
      <c r="D166" s="70">
        <f>IF(H166=0,wdct(TRIM(C166)),0)</f>
        <v>0</v>
      </c>
      <c r="E166" s="70">
        <f>COUNTIFS('Error Log'!$A:$A,$A166,'Error Log'!$J:$J,E$1)</f>
        <v>0</v>
      </c>
      <c r="F166" s="70">
        <f>COUNTIFS('Error Log'!$A:$A,$A166,'Error Log'!$J:$J,F$1)</f>
        <v>0</v>
      </c>
      <c r="G166" s="70">
        <f>COUNTIFS('Error Log'!$A:$A,$A166,'Error Log'!$J:$J,G$1)</f>
        <v>0</v>
      </c>
      <c r="H166" s="70">
        <f>COUNTIFS('Error Log'!$A:$A,$A166,'Error Log'!$F:$F,"Source")</f>
        <v>0</v>
      </c>
      <c r="I166" s="70">
        <f>COUNTIFS('Error Log'!$A:$A,$A166,'Error Log'!$F:$F,"Target")</f>
        <v>0</v>
      </c>
      <c r="J166" s="71">
        <f t="shared" si="2"/>
        <v>0</v>
      </c>
    </row>
    <row r="167" spans="1:10">
      <c r="A167" s="81"/>
      <c r="B167" s="70" t="str">
        <f>IF(ISBLANK(A167),"",INDEX('Error Log'!$A:$J,MATCH('Scores per segment'!$A167,'Error Log'!$A:$A,0),MATCH('Scores per segment'!B$1,'Error Log'!$A$1:$J$1,0)))</f>
        <v/>
      </c>
      <c r="C167" s="70" t="str">
        <f>IF(ISBLANK(A167),"",INDEX('Error Log'!$A:$J,MATCH('Scores per segment'!$A167,'Error Log'!$A:$A,0),MATCH('Scores per segment'!C$1,'Error Log'!$A$1:$J$1,0)))</f>
        <v/>
      </c>
      <c r="D167" s="70">
        <f>IF(H167=0,wdct(TRIM(C167)),0)</f>
        <v>0</v>
      </c>
      <c r="E167" s="70">
        <f>COUNTIFS('Error Log'!$A:$A,$A167,'Error Log'!$J:$J,E$1)</f>
        <v>0</v>
      </c>
      <c r="F167" s="70">
        <f>COUNTIFS('Error Log'!$A:$A,$A167,'Error Log'!$J:$J,F$1)</f>
        <v>0</v>
      </c>
      <c r="G167" s="70">
        <f>COUNTIFS('Error Log'!$A:$A,$A167,'Error Log'!$J:$J,G$1)</f>
        <v>0</v>
      </c>
      <c r="H167" s="70">
        <f>COUNTIFS('Error Log'!$A:$A,$A167,'Error Log'!$F:$F,"Source")</f>
        <v>0</v>
      </c>
      <c r="I167" s="70">
        <f>COUNTIFS('Error Log'!$A:$A,$A167,'Error Log'!$F:$F,"Target")</f>
        <v>0</v>
      </c>
      <c r="J167" s="71">
        <f t="shared" si="2"/>
        <v>0</v>
      </c>
    </row>
    <row r="168" spans="1:10">
      <c r="A168" s="81"/>
      <c r="B168" s="70" t="str">
        <f>IF(ISBLANK(A168),"",INDEX('Error Log'!$A:$J,MATCH('Scores per segment'!$A168,'Error Log'!$A:$A,0),MATCH('Scores per segment'!B$1,'Error Log'!$A$1:$J$1,0)))</f>
        <v/>
      </c>
      <c r="C168" s="70" t="str">
        <f>IF(ISBLANK(A168),"",INDEX('Error Log'!$A:$J,MATCH('Scores per segment'!$A168,'Error Log'!$A:$A,0),MATCH('Scores per segment'!C$1,'Error Log'!$A$1:$J$1,0)))</f>
        <v/>
      </c>
      <c r="D168" s="70">
        <f>IF(H168=0,wdct(TRIM(C168)),0)</f>
        <v>0</v>
      </c>
      <c r="E168" s="70">
        <f>COUNTIFS('Error Log'!$A:$A,$A168,'Error Log'!$J:$J,E$1)</f>
        <v>0</v>
      </c>
      <c r="F168" s="70">
        <f>COUNTIFS('Error Log'!$A:$A,$A168,'Error Log'!$J:$J,F$1)</f>
        <v>0</v>
      </c>
      <c r="G168" s="70">
        <f>COUNTIFS('Error Log'!$A:$A,$A168,'Error Log'!$J:$J,G$1)</f>
        <v>0</v>
      </c>
      <c r="H168" s="70">
        <f>COUNTIFS('Error Log'!$A:$A,$A168,'Error Log'!$F:$F,"Source")</f>
        <v>0</v>
      </c>
      <c r="I168" s="70">
        <f>COUNTIFS('Error Log'!$A:$A,$A168,'Error Log'!$F:$F,"Target")</f>
        <v>0</v>
      </c>
      <c r="J168" s="71">
        <f t="shared" si="2"/>
        <v>0</v>
      </c>
    </row>
    <row r="169" spans="1:10">
      <c r="A169" s="81"/>
      <c r="B169" s="70" t="str">
        <f>IF(ISBLANK(A169),"",INDEX('Error Log'!$A:$J,MATCH('Scores per segment'!$A169,'Error Log'!$A:$A,0),MATCH('Scores per segment'!B$1,'Error Log'!$A$1:$J$1,0)))</f>
        <v/>
      </c>
      <c r="C169" s="70" t="str">
        <f>IF(ISBLANK(A169),"",INDEX('Error Log'!$A:$J,MATCH('Scores per segment'!$A169,'Error Log'!$A:$A,0),MATCH('Scores per segment'!C$1,'Error Log'!$A$1:$J$1,0)))</f>
        <v/>
      </c>
      <c r="D169" s="70">
        <f>IF(H169=0,wdct(TRIM(C169)),0)</f>
        <v>0</v>
      </c>
      <c r="E169" s="70">
        <f>COUNTIFS('Error Log'!$A:$A,$A169,'Error Log'!$J:$J,E$1)</f>
        <v>0</v>
      </c>
      <c r="F169" s="70">
        <f>COUNTIFS('Error Log'!$A:$A,$A169,'Error Log'!$J:$J,F$1)</f>
        <v>0</v>
      </c>
      <c r="G169" s="70">
        <f>COUNTIFS('Error Log'!$A:$A,$A169,'Error Log'!$J:$J,G$1)</f>
        <v>0</v>
      </c>
      <c r="H169" s="70">
        <f>COUNTIFS('Error Log'!$A:$A,$A169,'Error Log'!$F:$F,"Source")</f>
        <v>0</v>
      </c>
      <c r="I169" s="70">
        <f>COUNTIFS('Error Log'!$A:$A,$A169,'Error Log'!$F:$F,"Target")</f>
        <v>0</v>
      </c>
      <c r="J169" s="71">
        <f t="shared" si="2"/>
        <v>0</v>
      </c>
    </row>
    <row r="170" spans="1:10">
      <c r="A170" s="81"/>
      <c r="B170" s="70" t="str">
        <f>IF(ISBLANK(A170),"",INDEX('Error Log'!$A:$J,MATCH('Scores per segment'!$A170,'Error Log'!$A:$A,0),MATCH('Scores per segment'!B$1,'Error Log'!$A$1:$J$1,0)))</f>
        <v/>
      </c>
      <c r="C170" s="70" t="str">
        <f>IF(ISBLANK(A170),"",INDEX('Error Log'!$A:$J,MATCH('Scores per segment'!$A170,'Error Log'!$A:$A,0),MATCH('Scores per segment'!C$1,'Error Log'!$A$1:$J$1,0)))</f>
        <v/>
      </c>
      <c r="D170" s="70">
        <f>IF(H170=0,wdct(TRIM(C170)),0)</f>
        <v>0</v>
      </c>
      <c r="E170" s="70">
        <f>COUNTIFS('Error Log'!$A:$A,$A170,'Error Log'!$J:$J,E$1)</f>
        <v>0</v>
      </c>
      <c r="F170" s="70">
        <f>COUNTIFS('Error Log'!$A:$A,$A170,'Error Log'!$J:$J,F$1)</f>
        <v>0</v>
      </c>
      <c r="G170" s="70">
        <f>COUNTIFS('Error Log'!$A:$A,$A170,'Error Log'!$J:$J,G$1)</f>
        <v>0</v>
      </c>
      <c r="H170" s="70">
        <f>COUNTIFS('Error Log'!$A:$A,$A170,'Error Log'!$F:$F,"Source")</f>
        <v>0</v>
      </c>
      <c r="I170" s="70">
        <f>COUNTIFS('Error Log'!$A:$A,$A170,'Error Log'!$F:$F,"Target")</f>
        <v>0</v>
      </c>
      <c r="J170" s="71">
        <f t="shared" si="2"/>
        <v>0</v>
      </c>
    </row>
    <row r="171" spans="1:10">
      <c r="A171" s="81"/>
      <c r="B171" s="70" t="str">
        <f>IF(ISBLANK(A171),"",INDEX('Error Log'!$A:$J,MATCH('Scores per segment'!$A171,'Error Log'!$A:$A,0),MATCH('Scores per segment'!B$1,'Error Log'!$A$1:$J$1,0)))</f>
        <v/>
      </c>
      <c r="C171" s="70" t="str">
        <f>IF(ISBLANK(A171),"",INDEX('Error Log'!$A:$J,MATCH('Scores per segment'!$A171,'Error Log'!$A:$A,0),MATCH('Scores per segment'!C$1,'Error Log'!$A$1:$J$1,0)))</f>
        <v/>
      </c>
      <c r="D171" s="70">
        <f>IF(H171=0,wdct(TRIM(C171)),0)</f>
        <v>0</v>
      </c>
      <c r="E171" s="70">
        <f>COUNTIFS('Error Log'!$A:$A,$A171,'Error Log'!$J:$J,E$1)</f>
        <v>0</v>
      </c>
      <c r="F171" s="70">
        <f>COUNTIFS('Error Log'!$A:$A,$A171,'Error Log'!$J:$J,F$1)</f>
        <v>0</v>
      </c>
      <c r="G171" s="70">
        <f>COUNTIFS('Error Log'!$A:$A,$A171,'Error Log'!$J:$J,G$1)</f>
        <v>0</v>
      </c>
      <c r="H171" s="70">
        <f>COUNTIFS('Error Log'!$A:$A,$A171,'Error Log'!$F:$F,"Source")</f>
        <v>0</v>
      </c>
      <c r="I171" s="70">
        <f>COUNTIFS('Error Log'!$A:$A,$A171,'Error Log'!$F:$F,"Target")</f>
        <v>0</v>
      </c>
      <c r="J171" s="71">
        <f t="shared" si="2"/>
        <v>0</v>
      </c>
    </row>
    <row r="172" spans="1:10">
      <c r="A172" s="81"/>
      <c r="B172" s="70" t="str">
        <f>IF(ISBLANK(A172),"",INDEX('Error Log'!$A:$J,MATCH('Scores per segment'!$A172,'Error Log'!$A:$A,0),MATCH('Scores per segment'!B$1,'Error Log'!$A$1:$J$1,0)))</f>
        <v/>
      </c>
      <c r="C172" s="70" t="str">
        <f>IF(ISBLANK(A172),"",INDEX('Error Log'!$A:$J,MATCH('Scores per segment'!$A172,'Error Log'!$A:$A,0),MATCH('Scores per segment'!C$1,'Error Log'!$A$1:$J$1,0)))</f>
        <v/>
      </c>
      <c r="D172" s="70">
        <f>IF(H172=0,wdct(TRIM(C172)),0)</f>
        <v>0</v>
      </c>
      <c r="E172" s="70">
        <f>COUNTIFS('Error Log'!$A:$A,$A172,'Error Log'!$J:$J,E$1)</f>
        <v>0</v>
      </c>
      <c r="F172" s="70">
        <f>COUNTIFS('Error Log'!$A:$A,$A172,'Error Log'!$J:$J,F$1)</f>
        <v>0</v>
      </c>
      <c r="G172" s="70">
        <f>COUNTIFS('Error Log'!$A:$A,$A172,'Error Log'!$J:$J,G$1)</f>
        <v>0</v>
      </c>
      <c r="H172" s="70">
        <f>COUNTIFS('Error Log'!$A:$A,$A172,'Error Log'!$F:$F,"Source")</f>
        <v>0</v>
      </c>
      <c r="I172" s="70">
        <f>COUNTIFS('Error Log'!$A:$A,$A172,'Error Log'!$F:$F,"Target")</f>
        <v>0</v>
      </c>
      <c r="J172" s="71">
        <f t="shared" si="2"/>
        <v>0</v>
      </c>
    </row>
    <row r="173" spans="1:10">
      <c r="A173" s="81"/>
      <c r="B173" s="70" t="str">
        <f>IF(ISBLANK(A173),"",INDEX('Error Log'!$A:$J,MATCH('Scores per segment'!$A173,'Error Log'!$A:$A,0),MATCH('Scores per segment'!B$1,'Error Log'!$A$1:$J$1,0)))</f>
        <v/>
      </c>
      <c r="C173" s="70" t="str">
        <f>IF(ISBLANK(A173),"",INDEX('Error Log'!$A:$J,MATCH('Scores per segment'!$A173,'Error Log'!$A:$A,0),MATCH('Scores per segment'!C$1,'Error Log'!$A$1:$J$1,0)))</f>
        <v/>
      </c>
      <c r="D173" s="70">
        <f>IF(H173=0,wdct(TRIM(C173)),0)</f>
        <v>0</v>
      </c>
      <c r="E173" s="70">
        <f>COUNTIFS('Error Log'!$A:$A,$A173,'Error Log'!$J:$J,E$1)</f>
        <v>0</v>
      </c>
      <c r="F173" s="70">
        <f>COUNTIFS('Error Log'!$A:$A,$A173,'Error Log'!$J:$J,F$1)</f>
        <v>0</v>
      </c>
      <c r="G173" s="70">
        <f>COUNTIFS('Error Log'!$A:$A,$A173,'Error Log'!$J:$J,G$1)</f>
        <v>0</v>
      </c>
      <c r="H173" s="70">
        <f>COUNTIFS('Error Log'!$A:$A,$A173,'Error Log'!$F:$F,"Source")</f>
        <v>0</v>
      </c>
      <c r="I173" s="70">
        <f>COUNTIFS('Error Log'!$A:$A,$A173,'Error Log'!$F:$F,"Target")</f>
        <v>0</v>
      </c>
      <c r="J173" s="71">
        <f t="shared" si="2"/>
        <v>0</v>
      </c>
    </row>
    <row r="174" spans="1:10">
      <c r="A174" s="81"/>
      <c r="B174" s="70" t="str">
        <f>IF(ISBLANK(A174),"",INDEX('Error Log'!$A:$J,MATCH('Scores per segment'!$A174,'Error Log'!$A:$A,0),MATCH('Scores per segment'!B$1,'Error Log'!$A$1:$J$1,0)))</f>
        <v/>
      </c>
      <c r="C174" s="70" t="str">
        <f>IF(ISBLANK(A174),"",INDEX('Error Log'!$A:$J,MATCH('Scores per segment'!$A174,'Error Log'!$A:$A,0),MATCH('Scores per segment'!C$1,'Error Log'!$A$1:$J$1,0)))</f>
        <v/>
      </c>
      <c r="D174" s="70">
        <f>IF(H174=0,wdct(TRIM(C174)),0)</f>
        <v>0</v>
      </c>
      <c r="E174" s="70">
        <f>COUNTIFS('Error Log'!$A:$A,$A174,'Error Log'!$J:$J,E$1)</f>
        <v>0</v>
      </c>
      <c r="F174" s="70">
        <f>COUNTIFS('Error Log'!$A:$A,$A174,'Error Log'!$J:$J,F$1)</f>
        <v>0</v>
      </c>
      <c r="G174" s="70">
        <f>COUNTIFS('Error Log'!$A:$A,$A174,'Error Log'!$J:$J,G$1)</f>
        <v>0</v>
      </c>
      <c r="H174" s="70">
        <f>COUNTIFS('Error Log'!$A:$A,$A174,'Error Log'!$F:$F,"Source")</f>
        <v>0</v>
      </c>
      <c r="I174" s="70">
        <f>COUNTIFS('Error Log'!$A:$A,$A174,'Error Log'!$F:$F,"Target")</f>
        <v>0</v>
      </c>
      <c r="J174" s="71">
        <f t="shared" si="2"/>
        <v>0</v>
      </c>
    </row>
    <row r="175" spans="1:10">
      <c r="A175" s="81"/>
      <c r="B175" s="70" t="str">
        <f>IF(ISBLANK(A175),"",INDEX('Error Log'!$A:$J,MATCH('Scores per segment'!$A175,'Error Log'!$A:$A,0),MATCH('Scores per segment'!B$1,'Error Log'!$A$1:$J$1,0)))</f>
        <v/>
      </c>
      <c r="C175" s="70" t="str">
        <f>IF(ISBLANK(A175),"",INDEX('Error Log'!$A:$J,MATCH('Scores per segment'!$A175,'Error Log'!$A:$A,0),MATCH('Scores per segment'!C$1,'Error Log'!$A$1:$J$1,0)))</f>
        <v/>
      </c>
      <c r="D175" s="70">
        <f>IF(H175=0,wdct(TRIM(C175)),0)</f>
        <v>0</v>
      </c>
      <c r="E175" s="70">
        <f>COUNTIFS('Error Log'!$A:$A,$A175,'Error Log'!$J:$J,E$1)</f>
        <v>0</v>
      </c>
      <c r="F175" s="70">
        <f>COUNTIFS('Error Log'!$A:$A,$A175,'Error Log'!$J:$J,F$1)</f>
        <v>0</v>
      </c>
      <c r="G175" s="70">
        <f>COUNTIFS('Error Log'!$A:$A,$A175,'Error Log'!$J:$J,G$1)</f>
        <v>0</v>
      </c>
      <c r="H175" s="70">
        <f>COUNTIFS('Error Log'!$A:$A,$A175,'Error Log'!$F:$F,"Source")</f>
        <v>0</v>
      </c>
      <c r="I175" s="70">
        <f>COUNTIFS('Error Log'!$A:$A,$A175,'Error Log'!$F:$F,"Target")</f>
        <v>0</v>
      </c>
      <c r="J175" s="71">
        <f t="shared" si="2"/>
        <v>0</v>
      </c>
    </row>
    <row r="176" spans="1:10">
      <c r="A176" s="81"/>
      <c r="B176" s="70" t="str">
        <f>IF(ISBLANK(A176),"",INDEX('Error Log'!$A:$J,MATCH('Scores per segment'!$A176,'Error Log'!$A:$A,0),MATCH('Scores per segment'!B$1,'Error Log'!$A$1:$J$1,0)))</f>
        <v/>
      </c>
      <c r="C176" s="70" t="str">
        <f>IF(ISBLANK(A176),"",INDEX('Error Log'!$A:$J,MATCH('Scores per segment'!$A176,'Error Log'!$A:$A,0),MATCH('Scores per segment'!C$1,'Error Log'!$A$1:$J$1,0)))</f>
        <v/>
      </c>
      <c r="D176" s="70">
        <f>IF(H176=0,wdct(TRIM(C176)),0)</f>
        <v>0</v>
      </c>
      <c r="E176" s="70">
        <f>COUNTIFS('Error Log'!$A:$A,$A176,'Error Log'!$J:$J,E$1)</f>
        <v>0</v>
      </c>
      <c r="F176" s="70">
        <f>COUNTIFS('Error Log'!$A:$A,$A176,'Error Log'!$J:$J,F$1)</f>
        <v>0</v>
      </c>
      <c r="G176" s="70">
        <f>COUNTIFS('Error Log'!$A:$A,$A176,'Error Log'!$J:$J,G$1)</f>
        <v>0</v>
      </c>
      <c r="H176" s="70">
        <f>COUNTIFS('Error Log'!$A:$A,$A176,'Error Log'!$F:$F,"Source")</f>
        <v>0</v>
      </c>
      <c r="I176" s="70">
        <f>COUNTIFS('Error Log'!$A:$A,$A176,'Error Log'!$F:$F,"Target")</f>
        <v>0</v>
      </c>
      <c r="J176" s="71">
        <f t="shared" si="2"/>
        <v>0</v>
      </c>
    </row>
    <row r="177" spans="1:10">
      <c r="A177" s="81"/>
      <c r="B177" s="70" t="str">
        <f>IF(ISBLANK(A177),"",INDEX('Error Log'!$A:$J,MATCH('Scores per segment'!$A177,'Error Log'!$A:$A,0),MATCH('Scores per segment'!B$1,'Error Log'!$A$1:$J$1,0)))</f>
        <v/>
      </c>
      <c r="C177" s="70" t="str">
        <f>IF(ISBLANK(A177),"",INDEX('Error Log'!$A:$J,MATCH('Scores per segment'!$A177,'Error Log'!$A:$A,0),MATCH('Scores per segment'!C$1,'Error Log'!$A$1:$J$1,0)))</f>
        <v/>
      </c>
      <c r="D177" s="70">
        <f>IF(H177=0,wdct(TRIM(C177)),0)</f>
        <v>0</v>
      </c>
      <c r="E177" s="70">
        <f>COUNTIFS('Error Log'!$A:$A,$A177,'Error Log'!$J:$J,E$1)</f>
        <v>0</v>
      </c>
      <c r="F177" s="70">
        <f>COUNTIFS('Error Log'!$A:$A,$A177,'Error Log'!$J:$J,F$1)</f>
        <v>0</v>
      </c>
      <c r="G177" s="70">
        <f>COUNTIFS('Error Log'!$A:$A,$A177,'Error Log'!$J:$J,G$1)</f>
        <v>0</v>
      </c>
      <c r="H177" s="70">
        <f>COUNTIFS('Error Log'!$A:$A,$A177,'Error Log'!$F:$F,"Source")</f>
        <v>0</v>
      </c>
      <c r="I177" s="70">
        <f>COUNTIFS('Error Log'!$A:$A,$A177,'Error Log'!$F:$F,"Target")</f>
        <v>0</v>
      </c>
      <c r="J177" s="71">
        <f t="shared" si="2"/>
        <v>0</v>
      </c>
    </row>
    <row r="178" spans="1:10">
      <c r="A178" s="81"/>
      <c r="B178" s="70" t="str">
        <f>IF(ISBLANK(A178),"",INDEX('Error Log'!$A:$J,MATCH('Scores per segment'!$A178,'Error Log'!$A:$A,0),MATCH('Scores per segment'!B$1,'Error Log'!$A$1:$J$1,0)))</f>
        <v/>
      </c>
      <c r="C178" s="70" t="str">
        <f>IF(ISBLANK(A178),"",INDEX('Error Log'!$A:$J,MATCH('Scores per segment'!$A178,'Error Log'!$A:$A,0),MATCH('Scores per segment'!C$1,'Error Log'!$A$1:$J$1,0)))</f>
        <v/>
      </c>
      <c r="D178" s="70">
        <f>IF(H178=0,wdct(TRIM(C178)),0)</f>
        <v>0</v>
      </c>
      <c r="E178" s="70">
        <f>COUNTIFS('Error Log'!$A:$A,$A178,'Error Log'!$J:$J,E$1)</f>
        <v>0</v>
      </c>
      <c r="F178" s="70">
        <f>COUNTIFS('Error Log'!$A:$A,$A178,'Error Log'!$J:$J,F$1)</f>
        <v>0</v>
      </c>
      <c r="G178" s="70">
        <f>COUNTIFS('Error Log'!$A:$A,$A178,'Error Log'!$J:$J,G$1)</f>
        <v>0</v>
      </c>
      <c r="H178" s="70">
        <f>COUNTIFS('Error Log'!$A:$A,$A178,'Error Log'!$F:$F,"Source")</f>
        <v>0</v>
      </c>
      <c r="I178" s="70">
        <f>COUNTIFS('Error Log'!$A:$A,$A178,'Error Log'!$F:$F,"Target")</f>
        <v>0</v>
      </c>
      <c r="J178" s="71">
        <f t="shared" si="2"/>
        <v>0</v>
      </c>
    </row>
    <row r="179" spans="1:10">
      <c r="A179" s="81"/>
      <c r="B179" s="70" t="str">
        <f>IF(ISBLANK(A179),"",INDEX('Error Log'!$A:$J,MATCH('Scores per segment'!$A179,'Error Log'!$A:$A,0),MATCH('Scores per segment'!B$1,'Error Log'!$A$1:$J$1,0)))</f>
        <v/>
      </c>
      <c r="C179" s="70" t="str">
        <f>IF(ISBLANK(A179),"",INDEX('Error Log'!$A:$J,MATCH('Scores per segment'!$A179,'Error Log'!$A:$A,0),MATCH('Scores per segment'!C$1,'Error Log'!$A$1:$J$1,0)))</f>
        <v/>
      </c>
      <c r="D179" s="70">
        <f>IF(H179=0,wdct(TRIM(C179)),0)</f>
        <v>0</v>
      </c>
      <c r="E179" s="70">
        <f>COUNTIFS('Error Log'!$A:$A,$A179,'Error Log'!$J:$J,E$1)</f>
        <v>0</v>
      </c>
      <c r="F179" s="70">
        <f>COUNTIFS('Error Log'!$A:$A,$A179,'Error Log'!$J:$J,F$1)</f>
        <v>0</v>
      </c>
      <c r="G179" s="70">
        <f>COUNTIFS('Error Log'!$A:$A,$A179,'Error Log'!$J:$J,G$1)</f>
        <v>0</v>
      </c>
      <c r="H179" s="70">
        <f>COUNTIFS('Error Log'!$A:$A,$A179,'Error Log'!$F:$F,"Source")</f>
        <v>0</v>
      </c>
      <c r="I179" s="70">
        <f>COUNTIFS('Error Log'!$A:$A,$A179,'Error Log'!$F:$F,"Target")</f>
        <v>0</v>
      </c>
      <c r="J179" s="71">
        <f t="shared" si="2"/>
        <v>0</v>
      </c>
    </row>
    <row r="180" spans="1:10">
      <c r="A180" s="81"/>
      <c r="B180" s="70" t="str">
        <f>IF(ISBLANK(A180),"",INDEX('Error Log'!$A:$J,MATCH('Scores per segment'!$A180,'Error Log'!$A:$A,0),MATCH('Scores per segment'!B$1,'Error Log'!$A$1:$J$1,0)))</f>
        <v/>
      </c>
      <c r="C180" s="70" t="str">
        <f>IF(ISBLANK(A180),"",INDEX('Error Log'!$A:$J,MATCH('Scores per segment'!$A180,'Error Log'!$A:$A,0),MATCH('Scores per segment'!C$1,'Error Log'!$A$1:$J$1,0)))</f>
        <v/>
      </c>
      <c r="D180" s="70">
        <f>IF(H180=0,wdct(TRIM(C180)),0)</f>
        <v>0</v>
      </c>
      <c r="E180" s="70">
        <f>COUNTIFS('Error Log'!$A:$A,$A180,'Error Log'!$J:$J,E$1)</f>
        <v>0</v>
      </c>
      <c r="F180" s="70">
        <f>COUNTIFS('Error Log'!$A:$A,$A180,'Error Log'!$J:$J,F$1)</f>
        <v>0</v>
      </c>
      <c r="G180" s="70">
        <f>COUNTIFS('Error Log'!$A:$A,$A180,'Error Log'!$J:$J,G$1)</f>
        <v>0</v>
      </c>
      <c r="H180" s="70">
        <f>COUNTIFS('Error Log'!$A:$A,$A180,'Error Log'!$F:$F,"Source")</f>
        <v>0</v>
      </c>
      <c r="I180" s="70">
        <f>COUNTIFS('Error Log'!$A:$A,$A180,'Error Log'!$F:$F,"Target")</f>
        <v>0</v>
      </c>
      <c r="J180" s="71">
        <f t="shared" si="2"/>
        <v>0</v>
      </c>
    </row>
    <row r="181" spans="1:10">
      <c r="A181" s="81"/>
      <c r="B181" s="70" t="str">
        <f>IF(ISBLANK(A181),"",INDEX('Error Log'!$A:$J,MATCH('Scores per segment'!$A181,'Error Log'!$A:$A,0),MATCH('Scores per segment'!B$1,'Error Log'!$A$1:$J$1,0)))</f>
        <v/>
      </c>
      <c r="C181" s="70" t="str">
        <f>IF(ISBLANK(A181),"",INDEX('Error Log'!$A:$J,MATCH('Scores per segment'!$A181,'Error Log'!$A:$A,0),MATCH('Scores per segment'!C$1,'Error Log'!$A$1:$J$1,0)))</f>
        <v/>
      </c>
      <c r="D181" s="70">
        <f>IF(H181=0,wdct(TRIM(C181)),0)</f>
        <v>0</v>
      </c>
      <c r="E181" s="70">
        <f>COUNTIFS('Error Log'!$A:$A,$A181,'Error Log'!$J:$J,E$1)</f>
        <v>0</v>
      </c>
      <c r="F181" s="70">
        <f>COUNTIFS('Error Log'!$A:$A,$A181,'Error Log'!$J:$J,F$1)</f>
        <v>0</v>
      </c>
      <c r="G181" s="70">
        <f>COUNTIFS('Error Log'!$A:$A,$A181,'Error Log'!$J:$J,G$1)</f>
        <v>0</v>
      </c>
      <c r="H181" s="70">
        <f>COUNTIFS('Error Log'!$A:$A,$A181,'Error Log'!$F:$F,"Source")</f>
        <v>0</v>
      </c>
      <c r="I181" s="70">
        <f>COUNTIFS('Error Log'!$A:$A,$A181,'Error Log'!$F:$F,"Target")</f>
        <v>0</v>
      </c>
      <c r="J181" s="71">
        <f t="shared" si="2"/>
        <v>0</v>
      </c>
    </row>
    <row r="182" spans="1:10">
      <c r="A182" s="81"/>
      <c r="B182" s="70" t="str">
        <f>IF(ISBLANK(A182),"",INDEX('Error Log'!$A:$J,MATCH('Scores per segment'!$A182,'Error Log'!$A:$A,0),MATCH('Scores per segment'!B$1,'Error Log'!$A$1:$J$1,0)))</f>
        <v/>
      </c>
      <c r="C182" s="70" t="str">
        <f>IF(ISBLANK(A182),"",INDEX('Error Log'!$A:$J,MATCH('Scores per segment'!$A182,'Error Log'!$A:$A,0),MATCH('Scores per segment'!C$1,'Error Log'!$A$1:$J$1,0)))</f>
        <v/>
      </c>
      <c r="D182" s="70">
        <f>IF(H182=0,wdct(TRIM(C182)),0)</f>
        <v>0</v>
      </c>
      <c r="E182" s="70">
        <f>COUNTIFS('Error Log'!$A:$A,$A182,'Error Log'!$J:$J,E$1)</f>
        <v>0</v>
      </c>
      <c r="F182" s="70">
        <f>COUNTIFS('Error Log'!$A:$A,$A182,'Error Log'!$J:$J,F$1)</f>
        <v>0</v>
      </c>
      <c r="G182" s="70">
        <f>COUNTIFS('Error Log'!$A:$A,$A182,'Error Log'!$J:$J,G$1)</f>
        <v>0</v>
      </c>
      <c r="H182" s="70">
        <f>COUNTIFS('Error Log'!$A:$A,$A182,'Error Log'!$F:$F,"Source")</f>
        <v>0</v>
      </c>
      <c r="I182" s="70">
        <f>COUNTIFS('Error Log'!$A:$A,$A182,'Error Log'!$F:$F,"Target")</f>
        <v>0</v>
      </c>
      <c r="J182" s="71">
        <f t="shared" si="2"/>
        <v>0</v>
      </c>
    </row>
    <row r="183" spans="1:10">
      <c r="A183" s="81"/>
      <c r="B183" s="70" t="str">
        <f>IF(ISBLANK(A183),"",INDEX('Error Log'!$A:$J,MATCH('Scores per segment'!$A183,'Error Log'!$A:$A,0),MATCH('Scores per segment'!B$1,'Error Log'!$A$1:$J$1,0)))</f>
        <v/>
      </c>
      <c r="C183" s="70" t="str">
        <f>IF(ISBLANK(A183),"",INDEX('Error Log'!$A:$J,MATCH('Scores per segment'!$A183,'Error Log'!$A:$A,0),MATCH('Scores per segment'!C$1,'Error Log'!$A$1:$J$1,0)))</f>
        <v/>
      </c>
      <c r="D183" s="70">
        <f>IF(H183=0,wdct(TRIM(C183)),0)</f>
        <v>0</v>
      </c>
      <c r="E183" s="70">
        <f>COUNTIFS('Error Log'!$A:$A,$A183,'Error Log'!$J:$J,E$1)</f>
        <v>0</v>
      </c>
      <c r="F183" s="70">
        <f>COUNTIFS('Error Log'!$A:$A,$A183,'Error Log'!$J:$J,F$1)</f>
        <v>0</v>
      </c>
      <c r="G183" s="70">
        <f>COUNTIFS('Error Log'!$A:$A,$A183,'Error Log'!$J:$J,G$1)</f>
        <v>0</v>
      </c>
      <c r="H183" s="70">
        <f>COUNTIFS('Error Log'!$A:$A,$A183,'Error Log'!$F:$F,"Source")</f>
        <v>0</v>
      </c>
      <c r="I183" s="70">
        <f>COUNTIFS('Error Log'!$A:$A,$A183,'Error Log'!$F:$F,"Target")</f>
        <v>0</v>
      </c>
      <c r="J183" s="71">
        <f t="shared" si="2"/>
        <v>0</v>
      </c>
    </row>
    <row r="184" spans="1:10">
      <c r="A184" s="81"/>
      <c r="B184" s="70" t="str">
        <f>IF(ISBLANK(A184),"",INDEX('Error Log'!$A:$J,MATCH('Scores per segment'!$A184,'Error Log'!$A:$A,0),MATCH('Scores per segment'!B$1,'Error Log'!$A$1:$J$1,0)))</f>
        <v/>
      </c>
      <c r="C184" s="70" t="str">
        <f>IF(ISBLANK(A184),"",INDEX('Error Log'!$A:$J,MATCH('Scores per segment'!$A184,'Error Log'!$A:$A,0),MATCH('Scores per segment'!C$1,'Error Log'!$A$1:$J$1,0)))</f>
        <v/>
      </c>
      <c r="D184" s="70">
        <f>IF(H184=0,wdct(TRIM(C184)),0)</f>
        <v>0</v>
      </c>
      <c r="E184" s="70">
        <f>COUNTIFS('Error Log'!$A:$A,$A184,'Error Log'!$J:$J,E$1)</f>
        <v>0</v>
      </c>
      <c r="F184" s="70">
        <f>COUNTIFS('Error Log'!$A:$A,$A184,'Error Log'!$J:$J,F$1)</f>
        <v>0</v>
      </c>
      <c r="G184" s="70">
        <f>COUNTIFS('Error Log'!$A:$A,$A184,'Error Log'!$J:$J,G$1)</f>
        <v>0</v>
      </c>
      <c r="H184" s="70">
        <f>COUNTIFS('Error Log'!$A:$A,$A184,'Error Log'!$F:$F,"Source")</f>
        <v>0</v>
      </c>
      <c r="I184" s="70">
        <f>COUNTIFS('Error Log'!$A:$A,$A184,'Error Log'!$F:$F,"Target")</f>
        <v>0</v>
      </c>
      <c r="J184" s="71">
        <f t="shared" si="2"/>
        <v>0</v>
      </c>
    </row>
    <row r="185" spans="1:10">
      <c r="A185" s="81"/>
      <c r="B185" s="70" t="str">
        <f>IF(ISBLANK(A185),"",INDEX('Error Log'!$A:$J,MATCH('Scores per segment'!$A185,'Error Log'!$A:$A,0),MATCH('Scores per segment'!B$1,'Error Log'!$A$1:$J$1,0)))</f>
        <v/>
      </c>
      <c r="C185" s="70" t="str">
        <f>IF(ISBLANK(A185),"",INDEX('Error Log'!$A:$J,MATCH('Scores per segment'!$A185,'Error Log'!$A:$A,0),MATCH('Scores per segment'!C$1,'Error Log'!$A$1:$J$1,0)))</f>
        <v/>
      </c>
      <c r="D185" s="70">
        <f>IF(H185=0,wdct(TRIM(C185)),0)</f>
        <v>0</v>
      </c>
      <c r="E185" s="70">
        <f>COUNTIFS('Error Log'!$A:$A,$A185,'Error Log'!$J:$J,E$1)</f>
        <v>0</v>
      </c>
      <c r="F185" s="70">
        <f>COUNTIFS('Error Log'!$A:$A,$A185,'Error Log'!$J:$J,F$1)</f>
        <v>0</v>
      </c>
      <c r="G185" s="70">
        <f>COUNTIFS('Error Log'!$A:$A,$A185,'Error Log'!$J:$J,G$1)</f>
        <v>0</v>
      </c>
      <c r="H185" s="70">
        <f>COUNTIFS('Error Log'!$A:$A,$A185,'Error Log'!$F:$F,"Source")</f>
        <v>0</v>
      </c>
      <c r="I185" s="70">
        <f>COUNTIFS('Error Log'!$A:$A,$A185,'Error Log'!$F:$F,"Target")</f>
        <v>0</v>
      </c>
      <c r="J185" s="71">
        <f t="shared" si="2"/>
        <v>0</v>
      </c>
    </row>
    <row r="186" spans="1:10">
      <c r="A186" s="81"/>
      <c r="B186" s="70" t="str">
        <f>IF(ISBLANK(A186),"",INDEX('Error Log'!$A:$J,MATCH('Scores per segment'!$A186,'Error Log'!$A:$A,0),MATCH('Scores per segment'!B$1,'Error Log'!$A$1:$J$1,0)))</f>
        <v/>
      </c>
      <c r="C186" s="70" t="str">
        <f>IF(ISBLANK(A186),"",INDEX('Error Log'!$A:$J,MATCH('Scores per segment'!$A186,'Error Log'!$A:$A,0),MATCH('Scores per segment'!C$1,'Error Log'!$A$1:$J$1,0)))</f>
        <v/>
      </c>
      <c r="D186" s="70">
        <f>IF(H186=0,wdct(TRIM(C186)),0)</f>
        <v>0</v>
      </c>
      <c r="E186" s="70">
        <f>COUNTIFS('Error Log'!$A:$A,$A186,'Error Log'!$J:$J,E$1)</f>
        <v>0</v>
      </c>
      <c r="F186" s="70">
        <f>COUNTIFS('Error Log'!$A:$A,$A186,'Error Log'!$J:$J,F$1)</f>
        <v>0</v>
      </c>
      <c r="G186" s="70">
        <f>COUNTIFS('Error Log'!$A:$A,$A186,'Error Log'!$J:$J,G$1)</f>
        <v>0</v>
      </c>
      <c r="H186" s="70">
        <f>COUNTIFS('Error Log'!$A:$A,$A186,'Error Log'!$F:$F,"Source")</f>
        <v>0</v>
      </c>
      <c r="I186" s="70">
        <f>COUNTIFS('Error Log'!$A:$A,$A186,'Error Log'!$F:$F,"Target")</f>
        <v>0</v>
      </c>
      <c r="J186" s="71">
        <f t="shared" si="2"/>
        <v>0</v>
      </c>
    </row>
    <row r="187" spans="1:10">
      <c r="A187" s="81"/>
      <c r="B187" s="70" t="str">
        <f>IF(ISBLANK(A187),"",INDEX('Error Log'!$A:$J,MATCH('Scores per segment'!$A187,'Error Log'!$A:$A,0),MATCH('Scores per segment'!B$1,'Error Log'!$A$1:$J$1,0)))</f>
        <v/>
      </c>
      <c r="C187" s="70" t="str">
        <f>IF(ISBLANK(A187),"",INDEX('Error Log'!$A:$J,MATCH('Scores per segment'!$A187,'Error Log'!$A:$A,0),MATCH('Scores per segment'!C$1,'Error Log'!$A$1:$J$1,0)))</f>
        <v/>
      </c>
      <c r="D187" s="70">
        <f>IF(H187=0,wdct(TRIM(C187)),0)</f>
        <v>0</v>
      </c>
      <c r="E187" s="70">
        <f>COUNTIFS('Error Log'!$A:$A,$A187,'Error Log'!$J:$J,E$1)</f>
        <v>0</v>
      </c>
      <c r="F187" s="70">
        <f>COUNTIFS('Error Log'!$A:$A,$A187,'Error Log'!$J:$J,F$1)</f>
        <v>0</v>
      </c>
      <c r="G187" s="70">
        <f>COUNTIFS('Error Log'!$A:$A,$A187,'Error Log'!$J:$J,G$1)</f>
        <v>0</v>
      </c>
      <c r="H187" s="70">
        <f>COUNTIFS('Error Log'!$A:$A,$A187,'Error Log'!$F:$F,"Source")</f>
        <v>0</v>
      </c>
      <c r="I187" s="70">
        <f>COUNTIFS('Error Log'!$A:$A,$A187,'Error Log'!$F:$F,"Target")</f>
        <v>0</v>
      </c>
      <c r="J187" s="71">
        <f t="shared" si="2"/>
        <v>0</v>
      </c>
    </row>
    <row r="188" spans="1:10">
      <c r="A188" s="81"/>
      <c r="B188" s="70" t="str">
        <f>IF(ISBLANK(A188),"",INDEX('Error Log'!$A:$J,MATCH('Scores per segment'!$A188,'Error Log'!$A:$A,0),MATCH('Scores per segment'!B$1,'Error Log'!$A$1:$J$1,0)))</f>
        <v/>
      </c>
      <c r="C188" s="70" t="str">
        <f>IF(ISBLANK(A188),"",INDEX('Error Log'!$A:$J,MATCH('Scores per segment'!$A188,'Error Log'!$A:$A,0),MATCH('Scores per segment'!C$1,'Error Log'!$A$1:$J$1,0)))</f>
        <v/>
      </c>
      <c r="D188" s="70">
        <f>IF(H188=0,wdct(TRIM(C188)),0)</f>
        <v>0</v>
      </c>
      <c r="E188" s="70">
        <f>COUNTIFS('Error Log'!$A:$A,$A188,'Error Log'!$J:$J,E$1)</f>
        <v>0</v>
      </c>
      <c r="F188" s="70">
        <f>COUNTIFS('Error Log'!$A:$A,$A188,'Error Log'!$J:$J,F$1)</f>
        <v>0</v>
      </c>
      <c r="G188" s="70">
        <f>COUNTIFS('Error Log'!$A:$A,$A188,'Error Log'!$J:$J,G$1)</f>
        <v>0</v>
      </c>
      <c r="H188" s="70">
        <f>COUNTIFS('Error Log'!$A:$A,$A188,'Error Log'!$F:$F,"Source")</f>
        <v>0</v>
      </c>
      <c r="I188" s="70">
        <f>COUNTIFS('Error Log'!$A:$A,$A188,'Error Log'!$F:$F,"Target")</f>
        <v>0</v>
      </c>
      <c r="J188" s="71">
        <f t="shared" si="2"/>
        <v>0</v>
      </c>
    </row>
    <row r="189" spans="1:10">
      <c r="A189" s="81"/>
      <c r="B189" s="70" t="str">
        <f>IF(ISBLANK(A189),"",INDEX('Error Log'!$A:$J,MATCH('Scores per segment'!$A189,'Error Log'!$A:$A,0),MATCH('Scores per segment'!B$1,'Error Log'!$A$1:$J$1,0)))</f>
        <v/>
      </c>
      <c r="C189" s="70" t="str">
        <f>IF(ISBLANK(A189),"",INDEX('Error Log'!$A:$J,MATCH('Scores per segment'!$A189,'Error Log'!$A:$A,0),MATCH('Scores per segment'!C$1,'Error Log'!$A$1:$J$1,0)))</f>
        <v/>
      </c>
      <c r="D189" s="70">
        <f>IF(H189=0,wdct(TRIM(C189)),0)</f>
        <v>0</v>
      </c>
      <c r="E189" s="70">
        <f>COUNTIFS('Error Log'!$A:$A,$A189,'Error Log'!$J:$J,E$1)</f>
        <v>0</v>
      </c>
      <c r="F189" s="70">
        <f>COUNTIFS('Error Log'!$A:$A,$A189,'Error Log'!$J:$J,F$1)</f>
        <v>0</v>
      </c>
      <c r="G189" s="70">
        <f>COUNTIFS('Error Log'!$A:$A,$A189,'Error Log'!$J:$J,G$1)</f>
        <v>0</v>
      </c>
      <c r="H189" s="70">
        <f>COUNTIFS('Error Log'!$A:$A,$A189,'Error Log'!$F:$F,"Source")</f>
        <v>0</v>
      </c>
      <c r="I189" s="70">
        <f>COUNTIFS('Error Log'!$A:$A,$A189,'Error Log'!$F:$F,"Target")</f>
        <v>0</v>
      </c>
      <c r="J189" s="71">
        <f t="shared" si="2"/>
        <v>0</v>
      </c>
    </row>
    <row r="190" spans="1:10">
      <c r="A190" s="81"/>
      <c r="B190" s="70" t="str">
        <f>IF(ISBLANK(A190),"",INDEX('Error Log'!$A:$J,MATCH('Scores per segment'!$A190,'Error Log'!$A:$A,0),MATCH('Scores per segment'!B$1,'Error Log'!$A$1:$J$1,0)))</f>
        <v/>
      </c>
      <c r="C190" s="70" t="str">
        <f>IF(ISBLANK(A190),"",INDEX('Error Log'!$A:$J,MATCH('Scores per segment'!$A190,'Error Log'!$A:$A,0),MATCH('Scores per segment'!C$1,'Error Log'!$A$1:$J$1,0)))</f>
        <v/>
      </c>
      <c r="D190" s="70">
        <f>IF(H190=0,wdct(TRIM(C190)),0)</f>
        <v>0</v>
      </c>
      <c r="E190" s="70">
        <f>COUNTIFS('Error Log'!$A:$A,$A190,'Error Log'!$J:$J,E$1)</f>
        <v>0</v>
      </c>
      <c r="F190" s="70">
        <f>COUNTIFS('Error Log'!$A:$A,$A190,'Error Log'!$J:$J,F$1)</f>
        <v>0</v>
      </c>
      <c r="G190" s="70">
        <f>COUNTIFS('Error Log'!$A:$A,$A190,'Error Log'!$J:$J,G$1)</f>
        <v>0</v>
      </c>
      <c r="H190" s="70">
        <f>COUNTIFS('Error Log'!$A:$A,$A190,'Error Log'!$F:$F,"Source")</f>
        <v>0</v>
      </c>
      <c r="I190" s="70">
        <f>COUNTIFS('Error Log'!$A:$A,$A190,'Error Log'!$F:$F,"Target")</f>
        <v>0</v>
      </c>
      <c r="J190" s="71">
        <f t="shared" si="2"/>
        <v>0</v>
      </c>
    </row>
    <row r="191" spans="1:10">
      <c r="A191" s="81"/>
      <c r="B191" s="70" t="str">
        <f>IF(ISBLANK(A191),"",INDEX('Error Log'!$A:$J,MATCH('Scores per segment'!$A191,'Error Log'!$A:$A,0),MATCH('Scores per segment'!B$1,'Error Log'!$A$1:$J$1,0)))</f>
        <v/>
      </c>
      <c r="C191" s="70" t="str">
        <f>IF(ISBLANK(A191),"",INDEX('Error Log'!$A:$J,MATCH('Scores per segment'!$A191,'Error Log'!$A:$A,0),MATCH('Scores per segment'!C$1,'Error Log'!$A$1:$J$1,0)))</f>
        <v/>
      </c>
      <c r="D191" s="70">
        <f>IF(H191=0,wdct(TRIM(C191)),0)</f>
        <v>0</v>
      </c>
      <c r="E191" s="70">
        <f>COUNTIFS('Error Log'!$A:$A,$A191,'Error Log'!$J:$J,E$1)</f>
        <v>0</v>
      </c>
      <c r="F191" s="70">
        <f>COUNTIFS('Error Log'!$A:$A,$A191,'Error Log'!$J:$J,F$1)</f>
        <v>0</v>
      </c>
      <c r="G191" s="70">
        <f>COUNTIFS('Error Log'!$A:$A,$A191,'Error Log'!$J:$J,G$1)</f>
        <v>0</v>
      </c>
      <c r="H191" s="70">
        <f>COUNTIFS('Error Log'!$A:$A,$A191,'Error Log'!$F:$F,"Source")</f>
        <v>0</v>
      </c>
      <c r="I191" s="70">
        <f>COUNTIFS('Error Log'!$A:$A,$A191,'Error Log'!$F:$F,"Target")</f>
        <v>0</v>
      </c>
      <c r="J191" s="71">
        <f t="shared" si="2"/>
        <v>0</v>
      </c>
    </row>
    <row r="192" spans="1:10">
      <c r="A192" s="81"/>
      <c r="B192" s="70" t="str">
        <f>IF(ISBLANK(A192),"",INDEX('Error Log'!$A:$J,MATCH('Scores per segment'!$A192,'Error Log'!$A:$A,0),MATCH('Scores per segment'!B$1,'Error Log'!$A$1:$J$1,0)))</f>
        <v/>
      </c>
      <c r="C192" s="70" t="str">
        <f>IF(ISBLANK(A192),"",INDEX('Error Log'!$A:$J,MATCH('Scores per segment'!$A192,'Error Log'!$A:$A,0),MATCH('Scores per segment'!C$1,'Error Log'!$A$1:$J$1,0)))</f>
        <v/>
      </c>
      <c r="D192" s="70">
        <f>IF(H192=0,wdct(TRIM(C192)),0)</f>
        <v>0</v>
      </c>
      <c r="E192" s="70">
        <f>COUNTIFS('Error Log'!$A:$A,$A192,'Error Log'!$J:$J,E$1)</f>
        <v>0</v>
      </c>
      <c r="F192" s="70">
        <f>COUNTIFS('Error Log'!$A:$A,$A192,'Error Log'!$J:$J,F$1)</f>
        <v>0</v>
      </c>
      <c r="G192" s="70">
        <f>COUNTIFS('Error Log'!$A:$A,$A192,'Error Log'!$J:$J,G$1)</f>
        <v>0</v>
      </c>
      <c r="H192" s="70">
        <f>COUNTIFS('Error Log'!$A:$A,$A192,'Error Log'!$F:$F,"Source")</f>
        <v>0</v>
      </c>
      <c r="I192" s="70">
        <f>COUNTIFS('Error Log'!$A:$A,$A192,'Error Log'!$F:$F,"Target")</f>
        <v>0</v>
      </c>
      <c r="J192" s="71">
        <f t="shared" si="2"/>
        <v>0</v>
      </c>
    </row>
    <row r="193" spans="1:10">
      <c r="A193" s="81"/>
      <c r="B193" s="70" t="str">
        <f>IF(ISBLANK(A193),"",INDEX('Error Log'!$A:$J,MATCH('Scores per segment'!$A193,'Error Log'!$A:$A,0),MATCH('Scores per segment'!B$1,'Error Log'!$A$1:$J$1,0)))</f>
        <v/>
      </c>
      <c r="C193" s="70" t="str">
        <f>IF(ISBLANK(A193),"",INDEX('Error Log'!$A:$J,MATCH('Scores per segment'!$A193,'Error Log'!$A:$A,0),MATCH('Scores per segment'!C$1,'Error Log'!$A$1:$J$1,0)))</f>
        <v/>
      </c>
      <c r="D193" s="70">
        <f>IF(H193=0,wdct(TRIM(C193)),0)</f>
        <v>0</v>
      </c>
      <c r="E193" s="70">
        <f>COUNTIFS('Error Log'!$A:$A,$A193,'Error Log'!$J:$J,E$1)</f>
        <v>0</v>
      </c>
      <c r="F193" s="70">
        <f>COUNTIFS('Error Log'!$A:$A,$A193,'Error Log'!$J:$J,F$1)</f>
        <v>0</v>
      </c>
      <c r="G193" s="70">
        <f>COUNTIFS('Error Log'!$A:$A,$A193,'Error Log'!$J:$J,G$1)</f>
        <v>0</v>
      </c>
      <c r="H193" s="70">
        <f>COUNTIFS('Error Log'!$A:$A,$A193,'Error Log'!$F:$F,"Source")</f>
        <v>0</v>
      </c>
      <c r="I193" s="70">
        <f>COUNTIFS('Error Log'!$A:$A,$A193,'Error Log'!$F:$F,"Target")</f>
        <v>0</v>
      </c>
      <c r="J193" s="71">
        <f t="shared" si="2"/>
        <v>0</v>
      </c>
    </row>
    <row r="194" spans="1:10">
      <c r="A194" s="81"/>
      <c r="B194" s="70" t="str">
        <f>IF(ISBLANK(A194),"",INDEX('Error Log'!$A:$J,MATCH('Scores per segment'!$A194,'Error Log'!$A:$A,0),MATCH('Scores per segment'!B$1,'Error Log'!$A$1:$J$1,0)))</f>
        <v/>
      </c>
      <c r="C194" s="70" t="str">
        <f>IF(ISBLANK(A194),"",INDEX('Error Log'!$A:$J,MATCH('Scores per segment'!$A194,'Error Log'!$A:$A,0),MATCH('Scores per segment'!C$1,'Error Log'!$A$1:$J$1,0)))</f>
        <v/>
      </c>
      <c r="D194" s="70">
        <f>IF(H194=0,wdct(TRIM(C194)),0)</f>
        <v>0</v>
      </c>
      <c r="E194" s="70">
        <f>COUNTIFS('Error Log'!$A:$A,$A194,'Error Log'!$J:$J,E$1)</f>
        <v>0</v>
      </c>
      <c r="F194" s="70">
        <f>COUNTIFS('Error Log'!$A:$A,$A194,'Error Log'!$J:$J,F$1)</f>
        <v>0</v>
      </c>
      <c r="G194" s="70">
        <f>COUNTIFS('Error Log'!$A:$A,$A194,'Error Log'!$J:$J,G$1)</f>
        <v>0</v>
      </c>
      <c r="H194" s="70">
        <f>COUNTIFS('Error Log'!$A:$A,$A194,'Error Log'!$F:$F,"Source")</f>
        <v>0</v>
      </c>
      <c r="I194" s="70">
        <f>COUNTIFS('Error Log'!$A:$A,$A194,'Error Log'!$F:$F,"Target")</f>
        <v>0</v>
      </c>
      <c r="J194" s="71">
        <f t="shared" ref="J194:J257" si="4">IF(I194=0,IFERROR((((1-((E194*10+F194*5+G194*1)/D194))*100)+100)/2,0),-150)</f>
        <v>0</v>
      </c>
    </row>
    <row r="195" spans="1:10">
      <c r="A195" s="81"/>
      <c r="B195" s="70" t="str">
        <f>IF(ISBLANK(A195),"",INDEX('Error Log'!$A:$J,MATCH('Scores per segment'!$A195,'Error Log'!$A:$A,0),MATCH('Scores per segment'!B$1,'Error Log'!$A$1:$J$1,0)))</f>
        <v/>
      </c>
      <c r="C195" s="70" t="str">
        <f>IF(ISBLANK(A195),"",INDEX('Error Log'!$A:$J,MATCH('Scores per segment'!$A195,'Error Log'!$A:$A,0),MATCH('Scores per segment'!C$1,'Error Log'!$A$1:$J$1,0)))</f>
        <v/>
      </c>
      <c r="D195" s="70">
        <f>IF(H195=0,wdct(TRIM(C195)),0)</f>
        <v>0</v>
      </c>
      <c r="E195" s="70">
        <f>COUNTIFS('Error Log'!$A:$A,$A195,'Error Log'!$J:$J,E$1)</f>
        <v>0</v>
      </c>
      <c r="F195" s="70">
        <f>COUNTIFS('Error Log'!$A:$A,$A195,'Error Log'!$J:$J,F$1)</f>
        <v>0</v>
      </c>
      <c r="G195" s="70">
        <f>COUNTIFS('Error Log'!$A:$A,$A195,'Error Log'!$J:$J,G$1)</f>
        <v>0</v>
      </c>
      <c r="H195" s="70">
        <f>COUNTIFS('Error Log'!$A:$A,$A195,'Error Log'!$F:$F,"Source")</f>
        <v>0</v>
      </c>
      <c r="I195" s="70">
        <f>COUNTIFS('Error Log'!$A:$A,$A195,'Error Log'!$F:$F,"Target")</f>
        <v>0</v>
      </c>
      <c r="J195" s="71">
        <f t="shared" si="4"/>
        <v>0</v>
      </c>
    </row>
    <row r="196" spans="1:10">
      <c r="A196" s="81"/>
      <c r="B196" s="70" t="str">
        <f>IF(ISBLANK(A196),"",INDEX('Error Log'!$A:$J,MATCH('Scores per segment'!$A196,'Error Log'!$A:$A,0),MATCH('Scores per segment'!B$1,'Error Log'!$A$1:$J$1,0)))</f>
        <v/>
      </c>
      <c r="C196" s="70" t="str">
        <f>IF(ISBLANK(A196),"",INDEX('Error Log'!$A:$J,MATCH('Scores per segment'!$A196,'Error Log'!$A:$A,0),MATCH('Scores per segment'!C$1,'Error Log'!$A$1:$J$1,0)))</f>
        <v/>
      </c>
      <c r="D196" s="70">
        <f>IF(H196=0,wdct(TRIM(C196)),0)</f>
        <v>0</v>
      </c>
      <c r="E196" s="70">
        <f>COUNTIFS('Error Log'!$A:$A,$A196,'Error Log'!$J:$J,E$1)</f>
        <v>0</v>
      </c>
      <c r="F196" s="70">
        <f>COUNTIFS('Error Log'!$A:$A,$A196,'Error Log'!$J:$J,F$1)</f>
        <v>0</v>
      </c>
      <c r="G196" s="70">
        <f>COUNTIFS('Error Log'!$A:$A,$A196,'Error Log'!$J:$J,G$1)</f>
        <v>0</v>
      </c>
      <c r="H196" s="70">
        <f>COUNTIFS('Error Log'!$A:$A,$A196,'Error Log'!$F:$F,"Source")</f>
        <v>0</v>
      </c>
      <c r="I196" s="70">
        <f>COUNTIFS('Error Log'!$A:$A,$A196,'Error Log'!$F:$F,"Target")</f>
        <v>0</v>
      </c>
      <c r="J196" s="71">
        <f t="shared" si="4"/>
        <v>0</v>
      </c>
    </row>
    <row r="197" spans="1:10">
      <c r="A197" s="81"/>
      <c r="B197" s="70" t="str">
        <f>IF(ISBLANK(A197),"",INDEX('Error Log'!$A:$J,MATCH('Scores per segment'!$A197,'Error Log'!$A:$A,0),MATCH('Scores per segment'!B$1,'Error Log'!$A$1:$J$1,0)))</f>
        <v/>
      </c>
      <c r="C197" s="70" t="str">
        <f>IF(ISBLANK(A197),"",INDEX('Error Log'!$A:$J,MATCH('Scores per segment'!$A197,'Error Log'!$A:$A,0),MATCH('Scores per segment'!C$1,'Error Log'!$A$1:$J$1,0)))</f>
        <v/>
      </c>
      <c r="D197" s="70">
        <f>IF(H197=0,wdct(TRIM(C197)),0)</f>
        <v>0</v>
      </c>
      <c r="E197" s="70">
        <f>COUNTIFS('Error Log'!$A:$A,$A197,'Error Log'!$J:$J,E$1)</f>
        <v>0</v>
      </c>
      <c r="F197" s="70">
        <f>COUNTIFS('Error Log'!$A:$A,$A197,'Error Log'!$J:$J,F$1)</f>
        <v>0</v>
      </c>
      <c r="G197" s="70">
        <f>COUNTIFS('Error Log'!$A:$A,$A197,'Error Log'!$J:$J,G$1)</f>
        <v>0</v>
      </c>
      <c r="H197" s="70">
        <f>COUNTIFS('Error Log'!$A:$A,$A197,'Error Log'!$F:$F,"Source")</f>
        <v>0</v>
      </c>
      <c r="I197" s="70">
        <f>COUNTIFS('Error Log'!$A:$A,$A197,'Error Log'!$F:$F,"Target")</f>
        <v>0</v>
      </c>
      <c r="J197" s="71">
        <f t="shared" si="4"/>
        <v>0</v>
      </c>
    </row>
    <row r="198" spans="1:10">
      <c r="A198" s="81"/>
      <c r="B198" s="70" t="str">
        <f>IF(ISBLANK(A198),"",INDEX('Error Log'!$A:$J,MATCH('Scores per segment'!$A198,'Error Log'!$A:$A,0),MATCH('Scores per segment'!B$1,'Error Log'!$A$1:$J$1,0)))</f>
        <v/>
      </c>
      <c r="C198" s="70" t="str">
        <f>IF(ISBLANK(A198),"",INDEX('Error Log'!$A:$J,MATCH('Scores per segment'!$A198,'Error Log'!$A:$A,0),MATCH('Scores per segment'!C$1,'Error Log'!$A$1:$J$1,0)))</f>
        <v/>
      </c>
      <c r="D198" s="70">
        <f>IF(H198=0,wdct(TRIM(C198)),0)</f>
        <v>0</v>
      </c>
      <c r="E198" s="70">
        <f>COUNTIFS('Error Log'!$A:$A,$A198,'Error Log'!$J:$J,E$1)</f>
        <v>0</v>
      </c>
      <c r="F198" s="70">
        <f>COUNTIFS('Error Log'!$A:$A,$A198,'Error Log'!$J:$J,F$1)</f>
        <v>0</v>
      </c>
      <c r="G198" s="70">
        <f>COUNTIFS('Error Log'!$A:$A,$A198,'Error Log'!$J:$J,G$1)</f>
        <v>0</v>
      </c>
      <c r="H198" s="70">
        <f>COUNTIFS('Error Log'!$A:$A,$A198,'Error Log'!$F:$F,"Source")</f>
        <v>0</v>
      </c>
      <c r="I198" s="70">
        <f>COUNTIFS('Error Log'!$A:$A,$A198,'Error Log'!$F:$F,"Target")</f>
        <v>0</v>
      </c>
      <c r="J198" s="71">
        <f t="shared" si="4"/>
        <v>0</v>
      </c>
    </row>
    <row r="199" spans="1:10">
      <c r="A199" s="81"/>
      <c r="B199" s="70" t="str">
        <f>IF(ISBLANK(A199),"",INDEX('Error Log'!$A:$J,MATCH('Scores per segment'!$A199,'Error Log'!$A:$A,0),MATCH('Scores per segment'!B$1,'Error Log'!$A$1:$J$1,0)))</f>
        <v/>
      </c>
      <c r="C199" s="70" t="str">
        <f>IF(ISBLANK(A199),"",INDEX('Error Log'!$A:$J,MATCH('Scores per segment'!$A199,'Error Log'!$A:$A,0),MATCH('Scores per segment'!C$1,'Error Log'!$A$1:$J$1,0)))</f>
        <v/>
      </c>
      <c r="D199" s="70">
        <f>IF(H199=0,wdct(TRIM(C199)),0)</f>
        <v>0</v>
      </c>
      <c r="E199" s="70">
        <f>COUNTIFS('Error Log'!$A:$A,$A199,'Error Log'!$J:$J,E$1)</f>
        <v>0</v>
      </c>
      <c r="F199" s="70">
        <f>COUNTIFS('Error Log'!$A:$A,$A199,'Error Log'!$J:$J,F$1)</f>
        <v>0</v>
      </c>
      <c r="G199" s="70">
        <f>COUNTIFS('Error Log'!$A:$A,$A199,'Error Log'!$J:$J,G$1)</f>
        <v>0</v>
      </c>
      <c r="H199" s="70">
        <f>COUNTIFS('Error Log'!$A:$A,$A199,'Error Log'!$F:$F,"Source")</f>
        <v>0</v>
      </c>
      <c r="I199" s="70">
        <f>COUNTIFS('Error Log'!$A:$A,$A199,'Error Log'!$F:$F,"Target")</f>
        <v>0</v>
      </c>
      <c r="J199" s="71">
        <f t="shared" si="4"/>
        <v>0</v>
      </c>
    </row>
    <row r="200" spans="1:10">
      <c r="A200" s="81"/>
      <c r="B200" s="70" t="str">
        <f>IF(ISBLANK(A200),"",INDEX('Error Log'!$A:$J,MATCH('Scores per segment'!$A200,'Error Log'!$A:$A,0),MATCH('Scores per segment'!B$1,'Error Log'!$A$1:$J$1,0)))</f>
        <v/>
      </c>
      <c r="C200" s="70" t="str">
        <f>IF(ISBLANK(A200),"",INDEX('Error Log'!$A:$J,MATCH('Scores per segment'!$A200,'Error Log'!$A:$A,0),MATCH('Scores per segment'!C$1,'Error Log'!$A$1:$J$1,0)))</f>
        <v/>
      </c>
      <c r="D200" s="70">
        <f>IF(H200=0,wdct(TRIM(C200)),0)</f>
        <v>0</v>
      </c>
      <c r="E200" s="70">
        <f>COUNTIFS('Error Log'!$A:$A,$A200,'Error Log'!$J:$J,E$1)</f>
        <v>0</v>
      </c>
      <c r="F200" s="70">
        <f>COUNTIFS('Error Log'!$A:$A,$A200,'Error Log'!$J:$J,F$1)</f>
        <v>0</v>
      </c>
      <c r="G200" s="70">
        <f>COUNTIFS('Error Log'!$A:$A,$A200,'Error Log'!$J:$J,G$1)</f>
        <v>0</v>
      </c>
      <c r="H200" s="70">
        <f>COUNTIFS('Error Log'!$A:$A,$A200,'Error Log'!$F:$F,"Source")</f>
        <v>0</v>
      </c>
      <c r="I200" s="70">
        <f>COUNTIFS('Error Log'!$A:$A,$A200,'Error Log'!$F:$F,"Target")</f>
        <v>0</v>
      </c>
      <c r="J200" s="71">
        <f t="shared" si="4"/>
        <v>0</v>
      </c>
    </row>
    <row r="201" spans="1:10">
      <c r="A201" s="81"/>
      <c r="B201" s="70" t="str">
        <f>IF(ISBLANK(A201),"",INDEX('Error Log'!$A:$J,MATCH('Scores per segment'!$A201,'Error Log'!$A:$A,0),MATCH('Scores per segment'!B$1,'Error Log'!$A$1:$J$1,0)))</f>
        <v/>
      </c>
      <c r="C201" s="70" t="str">
        <f>IF(ISBLANK(A201),"",INDEX('Error Log'!$A:$J,MATCH('Scores per segment'!$A201,'Error Log'!$A:$A,0),MATCH('Scores per segment'!C$1,'Error Log'!$A$1:$J$1,0)))</f>
        <v/>
      </c>
      <c r="D201" s="70">
        <f>IF(H201=0,wdct(TRIM(C201)),0)</f>
        <v>0</v>
      </c>
      <c r="E201" s="70">
        <f>COUNTIFS('Error Log'!$A:$A,$A201,'Error Log'!$J:$J,E$1)</f>
        <v>0</v>
      </c>
      <c r="F201" s="70">
        <f>COUNTIFS('Error Log'!$A:$A,$A201,'Error Log'!$J:$J,F$1)</f>
        <v>0</v>
      </c>
      <c r="G201" s="70">
        <f>COUNTIFS('Error Log'!$A:$A,$A201,'Error Log'!$J:$J,G$1)</f>
        <v>0</v>
      </c>
      <c r="H201" s="70">
        <f>COUNTIFS('Error Log'!$A:$A,$A201,'Error Log'!$F:$F,"Source")</f>
        <v>0</v>
      </c>
      <c r="I201" s="70">
        <f>COUNTIFS('Error Log'!$A:$A,$A201,'Error Log'!$F:$F,"Target")</f>
        <v>0</v>
      </c>
      <c r="J201" s="71">
        <f t="shared" si="4"/>
        <v>0</v>
      </c>
    </row>
    <row r="202" spans="1:10">
      <c r="A202" s="81"/>
      <c r="B202" s="70" t="str">
        <f>IF(ISBLANK(A202),"",INDEX('Error Log'!$A:$J,MATCH('Scores per segment'!$A202,'Error Log'!$A:$A,0),MATCH('Scores per segment'!B$1,'Error Log'!$A$1:$J$1,0)))</f>
        <v/>
      </c>
      <c r="C202" s="70" t="str">
        <f>IF(ISBLANK(A202),"",INDEX('Error Log'!$A:$J,MATCH('Scores per segment'!$A202,'Error Log'!$A:$A,0),MATCH('Scores per segment'!C$1,'Error Log'!$A$1:$J$1,0)))</f>
        <v/>
      </c>
      <c r="D202" s="70">
        <f>IF(H202=0,wdct(TRIM(C202)),0)</f>
        <v>0</v>
      </c>
      <c r="E202" s="70">
        <f>COUNTIFS('Error Log'!$A:$A,$A202,'Error Log'!$J:$J,E$1)</f>
        <v>0</v>
      </c>
      <c r="F202" s="70">
        <f>COUNTIFS('Error Log'!$A:$A,$A202,'Error Log'!$J:$J,F$1)</f>
        <v>0</v>
      </c>
      <c r="G202" s="70">
        <f>COUNTIFS('Error Log'!$A:$A,$A202,'Error Log'!$J:$J,G$1)</f>
        <v>0</v>
      </c>
      <c r="H202" s="70">
        <f>COUNTIFS('Error Log'!$A:$A,$A202,'Error Log'!$F:$F,"Source")</f>
        <v>0</v>
      </c>
      <c r="I202" s="70">
        <f>COUNTIFS('Error Log'!$A:$A,$A202,'Error Log'!$F:$F,"Target")</f>
        <v>0</v>
      </c>
      <c r="J202" s="71">
        <f t="shared" si="4"/>
        <v>0</v>
      </c>
    </row>
    <row r="203" spans="1:10">
      <c r="A203" s="81"/>
      <c r="B203" s="70" t="str">
        <f>IF(ISBLANK(A203),"",INDEX('Error Log'!$A:$J,MATCH('Scores per segment'!$A203,'Error Log'!$A:$A,0),MATCH('Scores per segment'!B$1,'Error Log'!$A$1:$J$1,0)))</f>
        <v/>
      </c>
      <c r="C203" s="70" t="str">
        <f>IF(ISBLANK(A203),"",INDEX('Error Log'!$A:$J,MATCH('Scores per segment'!$A203,'Error Log'!$A:$A,0),MATCH('Scores per segment'!C$1,'Error Log'!$A$1:$J$1,0)))</f>
        <v/>
      </c>
      <c r="D203" s="70">
        <f>IF(H203=0,wdct(TRIM(C203)),0)</f>
        <v>0</v>
      </c>
      <c r="E203" s="70">
        <f>COUNTIFS('Error Log'!$A:$A,$A203,'Error Log'!$J:$J,E$1)</f>
        <v>0</v>
      </c>
      <c r="F203" s="70">
        <f>COUNTIFS('Error Log'!$A:$A,$A203,'Error Log'!$J:$J,F$1)</f>
        <v>0</v>
      </c>
      <c r="G203" s="70">
        <f>COUNTIFS('Error Log'!$A:$A,$A203,'Error Log'!$J:$J,G$1)</f>
        <v>0</v>
      </c>
      <c r="H203" s="70">
        <f>COUNTIFS('Error Log'!$A:$A,$A203,'Error Log'!$F:$F,"Source")</f>
        <v>0</v>
      </c>
      <c r="I203" s="70">
        <f>COUNTIFS('Error Log'!$A:$A,$A203,'Error Log'!$F:$F,"Target")</f>
        <v>0</v>
      </c>
      <c r="J203" s="71">
        <f t="shared" si="4"/>
        <v>0</v>
      </c>
    </row>
    <row r="204" spans="1:10">
      <c r="A204" s="81"/>
      <c r="B204" s="70" t="str">
        <f>IF(ISBLANK(A204),"",INDEX('Error Log'!$A:$J,MATCH('Scores per segment'!$A204,'Error Log'!$A:$A,0),MATCH('Scores per segment'!B$1,'Error Log'!$A$1:$J$1,0)))</f>
        <v/>
      </c>
      <c r="C204" s="70" t="str">
        <f>IF(ISBLANK(A204),"",INDEX('Error Log'!$A:$J,MATCH('Scores per segment'!$A204,'Error Log'!$A:$A,0),MATCH('Scores per segment'!C$1,'Error Log'!$A$1:$J$1,0)))</f>
        <v/>
      </c>
      <c r="D204" s="70">
        <f>IF(H204=0,wdct(TRIM(C204)),0)</f>
        <v>0</v>
      </c>
      <c r="E204" s="70">
        <f>COUNTIFS('Error Log'!$A:$A,$A204,'Error Log'!$J:$J,E$1)</f>
        <v>0</v>
      </c>
      <c r="F204" s="70">
        <f>COUNTIFS('Error Log'!$A:$A,$A204,'Error Log'!$J:$J,F$1)</f>
        <v>0</v>
      </c>
      <c r="G204" s="70">
        <f>COUNTIFS('Error Log'!$A:$A,$A204,'Error Log'!$J:$J,G$1)</f>
        <v>0</v>
      </c>
      <c r="H204" s="70">
        <f>COUNTIFS('Error Log'!$A:$A,$A204,'Error Log'!$F:$F,"Source")</f>
        <v>0</v>
      </c>
      <c r="I204" s="70">
        <f>COUNTIFS('Error Log'!$A:$A,$A204,'Error Log'!$F:$F,"Target")</f>
        <v>0</v>
      </c>
      <c r="J204" s="71">
        <f t="shared" si="4"/>
        <v>0</v>
      </c>
    </row>
    <row r="205" spans="1:10">
      <c r="A205" s="81"/>
      <c r="B205" s="70" t="str">
        <f>IF(ISBLANK(A205),"",INDEX('Error Log'!$A:$J,MATCH('Scores per segment'!$A205,'Error Log'!$A:$A,0),MATCH('Scores per segment'!B$1,'Error Log'!$A$1:$J$1,0)))</f>
        <v/>
      </c>
      <c r="C205" s="70" t="str">
        <f>IF(ISBLANK(A205),"",INDEX('Error Log'!$A:$J,MATCH('Scores per segment'!$A205,'Error Log'!$A:$A,0),MATCH('Scores per segment'!C$1,'Error Log'!$A$1:$J$1,0)))</f>
        <v/>
      </c>
      <c r="D205" s="70">
        <f>IF(H205=0,wdct(TRIM(C205)),0)</f>
        <v>0</v>
      </c>
      <c r="E205" s="70">
        <f>COUNTIFS('Error Log'!$A:$A,$A205,'Error Log'!$J:$J,E$1)</f>
        <v>0</v>
      </c>
      <c r="F205" s="70">
        <f>COUNTIFS('Error Log'!$A:$A,$A205,'Error Log'!$J:$J,F$1)</f>
        <v>0</v>
      </c>
      <c r="G205" s="70">
        <f>COUNTIFS('Error Log'!$A:$A,$A205,'Error Log'!$J:$J,G$1)</f>
        <v>0</v>
      </c>
      <c r="H205" s="70">
        <f>COUNTIFS('Error Log'!$A:$A,$A205,'Error Log'!$F:$F,"Source")</f>
        <v>0</v>
      </c>
      <c r="I205" s="70">
        <f>COUNTIFS('Error Log'!$A:$A,$A205,'Error Log'!$F:$F,"Target")</f>
        <v>0</v>
      </c>
      <c r="J205" s="71">
        <f t="shared" si="4"/>
        <v>0</v>
      </c>
    </row>
    <row r="206" spans="1:10">
      <c r="A206" s="81"/>
      <c r="B206" s="70" t="str">
        <f>IF(ISBLANK(A206),"",INDEX('Error Log'!$A:$J,MATCH('Scores per segment'!$A206,'Error Log'!$A:$A,0),MATCH('Scores per segment'!B$1,'Error Log'!$A$1:$J$1,0)))</f>
        <v/>
      </c>
      <c r="C206" s="70" t="str">
        <f>IF(ISBLANK(A206),"",INDEX('Error Log'!$A:$J,MATCH('Scores per segment'!$A206,'Error Log'!$A:$A,0),MATCH('Scores per segment'!C$1,'Error Log'!$A$1:$J$1,0)))</f>
        <v/>
      </c>
      <c r="D206" s="70">
        <f>IF(H206=0,wdct(TRIM(C206)),0)</f>
        <v>0</v>
      </c>
      <c r="E206" s="70">
        <f>COUNTIFS('Error Log'!$A:$A,$A206,'Error Log'!$J:$J,E$1)</f>
        <v>0</v>
      </c>
      <c r="F206" s="70">
        <f>COUNTIFS('Error Log'!$A:$A,$A206,'Error Log'!$J:$J,F$1)</f>
        <v>0</v>
      </c>
      <c r="G206" s="70">
        <f>COUNTIFS('Error Log'!$A:$A,$A206,'Error Log'!$J:$J,G$1)</f>
        <v>0</v>
      </c>
      <c r="H206" s="70">
        <f>COUNTIFS('Error Log'!$A:$A,$A206,'Error Log'!$F:$F,"Source")</f>
        <v>0</v>
      </c>
      <c r="I206" s="70">
        <f>COUNTIFS('Error Log'!$A:$A,$A206,'Error Log'!$F:$F,"Target")</f>
        <v>0</v>
      </c>
      <c r="J206" s="71">
        <f t="shared" si="4"/>
        <v>0</v>
      </c>
    </row>
    <row r="207" spans="1:10">
      <c r="A207" s="81"/>
      <c r="B207" s="70" t="str">
        <f>IF(ISBLANK(A207),"",INDEX('Error Log'!$A:$J,MATCH('Scores per segment'!$A207,'Error Log'!$A:$A,0),MATCH('Scores per segment'!B$1,'Error Log'!$A$1:$J$1,0)))</f>
        <v/>
      </c>
      <c r="C207" s="70" t="str">
        <f>IF(ISBLANK(A207),"",INDEX('Error Log'!$A:$J,MATCH('Scores per segment'!$A207,'Error Log'!$A:$A,0),MATCH('Scores per segment'!C$1,'Error Log'!$A$1:$J$1,0)))</f>
        <v/>
      </c>
      <c r="D207" s="70">
        <f>IF(H207=0,wdct(TRIM(C207)),0)</f>
        <v>0</v>
      </c>
      <c r="E207" s="70">
        <f>COUNTIFS('Error Log'!$A:$A,$A207,'Error Log'!$J:$J,E$1)</f>
        <v>0</v>
      </c>
      <c r="F207" s="70">
        <f>COUNTIFS('Error Log'!$A:$A,$A207,'Error Log'!$J:$J,F$1)</f>
        <v>0</v>
      </c>
      <c r="G207" s="70">
        <f>COUNTIFS('Error Log'!$A:$A,$A207,'Error Log'!$J:$J,G$1)</f>
        <v>0</v>
      </c>
      <c r="H207" s="70">
        <f>COUNTIFS('Error Log'!$A:$A,$A207,'Error Log'!$F:$F,"Source")</f>
        <v>0</v>
      </c>
      <c r="I207" s="70">
        <f>COUNTIFS('Error Log'!$A:$A,$A207,'Error Log'!$F:$F,"Target")</f>
        <v>0</v>
      </c>
      <c r="J207" s="71">
        <f t="shared" si="4"/>
        <v>0</v>
      </c>
    </row>
    <row r="208" spans="1:10">
      <c r="A208" s="81"/>
      <c r="B208" s="70" t="str">
        <f>IF(ISBLANK(A208),"",INDEX('Error Log'!$A:$J,MATCH('Scores per segment'!$A208,'Error Log'!$A:$A,0),MATCH('Scores per segment'!B$1,'Error Log'!$A$1:$J$1,0)))</f>
        <v/>
      </c>
      <c r="C208" s="70" t="str">
        <f>IF(ISBLANK(A208),"",INDEX('Error Log'!$A:$J,MATCH('Scores per segment'!$A208,'Error Log'!$A:$A,0),MATCH('Scores per segment'!C$1,'Error Log'!$A$1:$J$1,0)))</f>
        <v/>
      </c>
      <c r="D208" s="70">
        <f>IF(H208=0,wdct(TRIM(C208)),0)</f>
        <v>0</v>
      </c>
      <c r="E208" s="70">
        <f>COUNTIFS('Error Log'!$A:$A,$A208,'Error Log'!$J:$J,E$1)</f>
        <v>0</v>
      </c>
      <c r="F208" s="70">
        <f>COUNTIFS('Error Log'!$A:$A,$A208,'Error Log'!$J:$J,F$1)</f>
        <v>0</v>
      </c>
      <c r="G208" s="70">
        <f>COUNTIFS('Error Log'!$A:$A,$A208,'Error Log'!$J:$J,G$1)</f>
        <v>0</v>
      </c>
      <c r="H208" s="70">
        <f>COUNTIFS('Error Log'!$A:$A,$A208,'Error Log'!$F:$F,"Source")</f>
        <v>0</v>
      </c>
      <c r="I208" s="70">
        <f>COUNTIFS('Error Log'!$A:$A,$A208,'Error Log'!$F:$F,"Target")</f>
        <v>0</v>
      </c>
      <c r="J208" s="71">
        <f t="shared" si="4"/>
        <v>0</v>
      </c>
    </row>
    <row r="209" spans="1:10">
      <c r="A209" s="81"/>
      <c r="B209" s="70" t="str">
        <f>IF(ISBLANK(A209),"",INDEX('Error Log'!$A:$J,MATCH('Scores per segment'!$A209,'Error Log'!$A:$A,0),MATCH('Scores per segment'!B$1,'Error Log'!$A$1:$J$1,0)))</f>
        <v/>
      </c>
      <c r="C209" s="70" t="str">
        <f>IF(ISBLANK(A209),"",INDEX('Error Log'!$A:$J,MATCH('Scores per segment'!$A209,'Error Log'!$A:$A,0),MATCH('Scores per segment'!C$1,'Error Log'!$A$1:$J$1,0)))</f>
        <v/>
      </c>
      <c r="D209" s="70">
        <f>IF(H209=0,wdct(TRIM(C209)),0)</f>
        <v>0</v>
      </c>
      <c r="E209" s="70">
        <f>COUNTIFS('Error Log'!$A:$A,$A209,'Error Log'!$J:$J,E$1)</f>
        <v>0</v>
      </c>
      <c r="F209" s="70">
        <f>COUNTIFS('Error Log'!$A:$A,$A209,'Error Log'!$J:$J,F$1)</f>
        <v>0</v>
      </c>
      <c r="G209" s="70">
        <f>COUNTIFS('Error Log'!$A:$A,$A209,'Error Log'!$J:$J,G$1)</f>
        <v>0</v>
      </c>
      <c r="H209" s="70">
        <f>COUNTIFS('Error Log'!$A:$A,$A209,'Error Log'!$F:$F,"Source")</f>
        <v>0</v>
      </c>
      <c r="I209" s="70">
        <f>COUNTIFS('Error Log'!$A:$A,$A209,'Error Log'!$F:$F,"Target")</f>
        <v>0</v>
      </c>
      <c r="J209" s="71">
        <f t="shared" si="4"/>
        <v>0</v>
      </c>
    </row>
    <row r="210" spans="1:10">
      <c r="A210" s="81"/>
      <c r="B210" s="70" t="str">
        <f>IF(ISBLANK(A210),"",INDEX('Error Log'!$A:$J,MATCH('Scores per segment'!$A210,'Error Log'!$A:$A,0),MATCH('Scores per segment'!B$1,'Error Log'!$A$1:$J$1,0)))</f>
        <v/>
      </c>
      <c r="C210" s="70" t="str">
        <f>IF(ISBLANK(A210),"",INDEX('Error Log'!$A:$J,MATCH('Scores per segment'!$A210,'Error Log'!$A:$A,0),MATCH('Scores per segment'!C$1,'Error Log'!$A$1:$J$1,0)))</f>
        <v/>
      </c>
      <c r="D210" s="70">
        <f>IF(H210=0,wdct(TRIM(C210)),0)</f>
        <v>0</v>
      </c>
      <c r="E210" s="70">
        <f>COUNTIFS('Error Log'!$A:$A,$A210,'Error Log'!$J:$J,E$1)</f>
        <v>0</v>
      </c>
      <c r="F210" s="70">
        <f>COUNTIFS('Error Log'!$A:$A,$A210,'Error Log'!$J:$J,F$1)</f>
        <v>0</v>
      </c>
      <c r="G210" s="70">
        <f>COUNTIFS('Error Log'!$A:$A,$A210,'Error Log'!$J:$J,G$1)</f>
        <v>0</v>
      </c>
      <c r="H210" s="70">
        <f>COUNTIFS('Error Log'!$A:$A,$A210,'Error Log'!$F:$F,"Source")</f>
        <v>0</v>
      </c>
      <c r="I210" s="70">
        <f>COUNTIFS('Error Log'!$A:$A,$A210,'Error Log'!$F:$F,"Target")</f>
        <v>0</v>
      </c>
      <c r="J210" s="71">
        <f t="shared" si="4"/>
        <v>0</v>
      </c>
    </row>
    <row r="211" spans="1:10">
      <c r="A211" s="81"/>
      <c r="B211" s="70" t="str">
        <f>IF(ISBLANK(A211),"",INDEX('Error Log'!$A:$J,MATCH('Scores per segment'!$A211,'Error Log'!$A:$A,0),MATCH('Scores per segment'!B$1,'Error Log'!$A$1:$J$1,0)))</f>
        <v/>
      </c>
      <c r="C211" s="70" t="str">
        <f>IF(ISBLANK(A211),"",INDEX('Error Log'!$A:$J,MATCH('Scores per segment'!$A211,'Error Log'!$A:$A,0),MATCH('Scores per segment'!C$1,'Error Log'!$A$1:$J$1,0)))</f>
        <v/>
      </c>
      <c r="D211" s="70">
        <f>IF(H211=0,wdct(TRIM(C211)),0)</f>
        <v>0</v>
      </c>
      <c r="E211" s="70">
        <f>COUNTIFS('Error Log'!$A:$A,$A211,'Error Log'!$J:$J,E$1)</f>
        <v>0</v>
      </c>
      <c r="F211" s="70">
        <f>COUNTIFS('Error Log'!$A:$A,$A211,'Error Log'!$J:$J,F$1)</f>
        <v>0</v>
      </c>
      <c r="G211" s="70">
        <f>COUNTIFS('Error Log'!$A:$A,$A211,'Error Log'!$J:$J,G$1)</f>
        <v>0</v>
      </c>
      <c r="H211" s="70">
        <f>COUNTIFS('Error Log'!$A:$A,$A211,'Error Log'!$F:$F,"Source")</f>
        <v>0</v>
      </c>
      <c r="I211" s="70">
        <f>COUNTIFS('Error Log'!$A:$A,$A211,'Error Log'!$F:$F,"Target")</f>
        <v>0</v>
      </c>
      <c r="J211" s="71">
        <f t="shared" si="4"/>
        <v>0</v>
      </c>
    </row>
    <row r="212" spans="1:10">
      <c r="A212" s="81"/>
      <c r="B212" s="70" t="str">
        <f>IF(ISBLANK(A212),"",INDEX('Error Log'!$A:$J,MATCH('Scores per segment'!$A212,'Error Log'!$A:$A,0),MATCH('Scores per segment'!B$1,'Error Log'!$A$1:$J$1,0)))</f>
        <v/>
      </c>
      <c r="C212" s="70" t="str">
        <f>IF(ISBLANK(A212),"",INDEX('Error Log'!$A:$J,MATCH('Scores per segment'!$A212,'Error Log'!$A:$A,0),MATCH('Scores per segment'!C$1,'Error Log'!$A$1:$J$1,0)))</f>
        <v/>
      </c>
      <c r="D212" s="70">
        <f>IF(H212=0,wdct(TRIM(C212)),0)</f>
        <v>0</v>
      </c>
      <c r="E212" s="70">
        <f>COUNTIFS('Error Log'!$A:$A,$A212,'Error Log'!$J:$J,E$1)</f>
        <v>0</v>
      </c>
      <c r="F212" s="70">
        <f>COUNTIFS('Error Log'!$A:$A,$A212,'Error Log'!$J:$J,F$1)</f>
        <v>0</v>
      </c>
      <c r="G212" s="70">
        <f>COUNTIFS('Error Log'!$A:$A,$A212,'Error Log'!$J:$J,G$1)</f>
        <v>0</v>
      </c>
      <c r="H212" s="70">
        <f>COUNTIFS('Error Log'!$A:$A,$A212,'Error Log'!$F:$F,"Source")</f>
        <v>0</v>
      </c>
      <c r="I212" s="70">
        <f>COUNTIFS('Error Log'!$A:$A,$A212,'Error Log'!$F:$F,"Target")</f>
        <v>0</v>
      </c>
      <c r="J212" s="71">
        <f t="shared" si="4"/>
        <v>0</v>
      </c>
    </row>
    <row r="213" spans="1:10">
      <c r="A213" s="81"/>
      <c r="B213" s="70" t="str">
        <f>IF(ISBLANK(A213),"",INDEX('Error Log'!$A:$J,MATCH('Scores per segment'!$A213,'Error Log'!$A:$A,0),MATCH('Scores per segment'!B$1,'Error Log'!$A$1:$J$1,0)))</f>
        <v/>
      </c>
      <c r="C213" s="70" t="str">
        <f>IF(ISBLANK(A213),"",INDEX('Error Log'!$A:$J,MATCH('Scores per segment'!$A213,'Error Log'!$A:$A,0),MATCH('Scores per segment'!C$1,'Error Log'!$A$1:$J$1,0)))</f>
        <v/>
      </c>
      <c r="D213" s="70">
        <f>IF(H213=0,wdct(TRIM(C213)),0)</f>
        <v>0</v>
      </c>
      <c r="E213" s="70">
        <f>COUNTIFS('Error Log'!$A:$A,$A213,'Error Log'!$J:$J,E$1)</f>
        <v>0</v>
      </c>
      <c r="F213" s="70">
        <f>COUNTIFS('Error Log'!$A:$A,$A213,'Error Log'!$J:$J,F$1)</f>
        <v>0</v>
      </c>
      <c r="G213" s="70">
        <f>COUNTIFS('Error Log'!$A:$A,$A213,'Error Log'!$J:$J,G$1)</f>
        <v>0</v>
      </c>
      <c r="H213" s="70">
        <f>COUNTIFS('Error Log'!$A:$A,$A213,'Error Log'!$F:$F,"Source")</f>
        <v>0</v>
      </c>
      <c r="I213" s="70">
        <f>COUNTIFS('Error Log'!$A:$A,$A213,'Error Log'!$F:$F,"Target")</f>
        <v>0</v>
      </c>
      <c r="J213" s="71">
        <f t="shared" si="4"/>
        <v>0</v>
      </c>
    </row>
    <row r="214" spans="1:10">
      <c r="A214" s="81"/>
      <c r="B214" s="70" t="str">
        <f>IF(ISBLANK(A214),"",INDEX('Error Log'!$A:$J,MATCH('Scores per segment'!$A214,'Error Log'!$A:$A,0),MATCH('Scores per segment'!B$1,'Error Log'!$A$1:$J$1,0)))</f>
        <v/>
      </c>
      <c r="C214" s="70" t="str">
        <f>IF(ISBLANK(A214),"",INDEX('Error Log'!$A:$J,MATCH('Scores per segment'!$A214,'Error Log'!$A:$A,0),MATCH('Scores per segment'!C$1,'Error Log'!$A$1:$J$1,0)))</f>
        <v/>
      </c>
      <c r="D214" s="70">
        <f>IF(H214=0,wdct(TRIM(C214)),0)</f>
        <v>0</v>
      </c>
      <c r="E214" s="70">
        <f>COUNTIFS('Error Log'!$A:$A,$A214,'Error Log'!$J:$J,E$1)</f>
        <v>0</v>
      </c>
      <c r="F214" s="70">
        <f>COUNTIFS('Error Log'!$A:$A,$A214,'Error Log'!$J:$J,F$1)</f>
        <v>0</v>
      </c>
      <c r="G214" s="70">
        <f>COUNTIFS('Error Log'!$A:$A,$A214,'Error Log'!$J:$J,G$1)</f>
        <v>0</v>
      </c>
      <c r="H214" s="70">
        <f>COUNTIFS('Error Log'!$A:$A,$A214,'Error Log'!$F:$F,"Source")</f>
        <v>0</v>
      </c>
      <c r="I214" s="70">
        <f>COUNTIFS('Error Log'!$A:$A,$A214,'Error Log'!$F:$F,"Target")</f>
        <v>0</v>
      </c>
      <c r="J214" s="71">
        <f t="shared" si="4"/>
        <v>0</v>
      </c>
    </row>
    <row r="215" spans="1:10">
      <c r="A215" s="81"/>
      <c r="B215" s="70" t="str">
        <f>IF(ISBLANK(A215),"",INDEX('Error Log'!$A:$J,MATCH('Scores per segment'!$A215,'Error Log'!$A:$A,0),MATCH('Scores per segment'!B$1,'Error Log'!$A$1:$J$1,0)))</f>
        <v/>
      </c>
      <c r="C215" s="70" t="str">
        <f>IF(ISBLANK(A215),"",INDEX('Error Log'!$A:$J,MATCH('Scores per segment'!$A215,'Error Log'!$A:$A,0),MATCH('Scores per segment'!C$1,'Error Log'!$A$1:$J$1,0)))</f>
        <v/>
      </c>
      <c r="D215" s="70">
        <f>IF(H215=0,wdct(TRIM(C215)),0)</f>
        <v>0</v>
      </c>
      <c r="E215" s="70">
        <f>COUNTIFS('Error Log'!$A:$A,$A215,'Error Log'!$J:$J,E$1)</f>
        <v>0</v>
      </c>
      <c r="F215" s="70">
        <f>COUNTIFS('Error Log'!$A:$A,$A215,'Error Log'!$J:$J,F$1)</f>
        <v>0</v>
      </c>
      <c r="G215" s="70">
        <f>COUNTIFS('Error Log'!$A:$A,$A215,'Error Log'!$J:$J,G$1)</f>
        <v>0</v>
      </c>
      <c r="H215" s="70">
        <f>COUNTIFS('Error Log'!$A:$A,$A215,'Error Log'!$F:$F,"Source")</f>
        <v>0</v>
      </c>
      <c r="I215" s="70">
        <f>COUNTIFS('Error Log'!$A:$A,$A215,'Error Log'!$F:$F,"Target")</f>
        <v>0</v>
      </c>
      <c r="J215" s="71">
        <f t="shared" si="4"/>
        <v>0</v>
      </c>
    </row>
    <row r="216" spans="1:10">
      <c r="A216" s="81"/>
      <c r="B216" s="70" t="str">
        <f>IF(ISBLANK(A216),"",INDEX('Error Log'!$A:$J,MATCH('Scores per segment'!$A216,'Error Log'!$A:$A,0),MATCH('Scores per segment'!B$1,'Error Log'!$A$1:$J$1,0)))</f>
        <v/>
      </c>
      <c r="C216" s="70" t="str">
        <f>IF(ISBLANK(A216),"",INDEX('Error Log'!$A:$J,MATCH('Scores per segment'!$A216,'Error Log'!$A:$A,0),MATCH('Scores per segment'!C$1,'Error Log'!$A$1:$J$1,0)))</f>
        <v/>
      </c>
      <c r="D216" s="70">
        <f>IF(H216=0,wdct(TRIM(C216)),0)</f>
        <v>0</v>
      </c>
      <c r="E216" s="70">
        <f>COUNTIFS('Error Log'!$A:$A,$A216,'Error Log'!$J:$J,E$1)</f>
        <v>0</v>
      </c>
      <c r="F216" s="70">
        <f>COUNTIFS('Error Log'!$A:$A,$A216,'Error Log'!$J:$J,F$1)</f>
        <v>0</v>
      </c>
      <c r="G216" s="70">
        <f>COUNTIFS('Error Log'!$A:$A,$A216,'Error Log'!$J:$J,G$1)</f>
        <v>0</v>
      </c>
      <c r="H216" s="70">
        <f>COUNTIFS('Error Log'!$A:$A,$A216,'Error Log'!$F:$F,"Source")</f>
        <v>0</v>
      </c>
      <c r="I216" s="70">
        <f>COUNTIFS('Error Log'!$A:$A,$A216,'Error Log'!$F:$F,"Target")</f>
        <v>0</v>
      </c>
      <c r="J216" s="71">
        <f t="shared" si="4"/>
        <v>0</v>
      </c>
    </row>
    <row r="217" spans="1:10">
      <c r="A217" s="81"/>
      <c r="B217" s="70" t="str">
        <f>IF(ISBLANK(A217),"",INDEX('Error Log'!$A:$J,MATCH('Scores per segment'!$A217,'Error Log'!$A:$A,0),MATCH('Scores per segment'!B$1,'Error Log'!$A$1:$J$1,0)))</f>
        <v/>
      </c>
      <c r="C217" s="70" t="str">
        <f>IF(ISBLANK(A217),"",INDEX('Error Log'!$A:$J,MATCH('Scores per segment'!$A217,'Error Log'!$A:$A,0),MATCH('Scores per segment'!C$1,'Error Log'!$A$1:$J$1,0)))</f>
        <v/>
      </c>
      <c r="D217" s="70">
        <f>IF(H217=0,wdct(TRIM(C217)),0)</f>
        <v>0</v>
      </c>
      <c r="E217" s="70">
        <f>COUNTIFS('Error Log'!$A:$A,$A217,'Error Log'!$J:$J,E$1)</f>
        <v>0</v>
      </c>
      <c r="F217" s="70">
        <f>COUNTIFS('Error Log'!$A:$A,$A217,'Error Log'!$J:$J,F$1)</f>
        <v>0</v>
      </c>
      <c r="G217" s="70">
        <f>COUNTIFS('Error Log'!$A:$A,$A217,'Error Log'!$J:$J,G$1)</f>
        <v>0</v>
      </c>
      <c r="H217" s="70">
        <f>COUNTIFS('Error Log'!$A:$A,$A217,'Error Log'!$F:$F,"Source")</f>
        <v>0</v>
      </c>
      <c r="I217" s="70">
        <f>COUNTIFS('Error Log'!$A:$A,$A217,'Error Log'!$F:$F,"Target")</f>
        <v>0</v>
      </c>
      <c r="J217" s="71">
        <f t="shared" si="4"/>
        <v>0</v>
      </c>
    </row>
    <row r="218" spans="1:10">
      <c r="A218" s="81"/>
      <c r="B218" s="70" t="str">
        <f>IF(ISBLANK(A218),"",INDEX('Error Log'!$A:$J,MATCH('Scores per segment'!$A218,'Error Log'!$A:$A,0),MATCH('Scores per segment'!B$1,'Error Log'!$A$1:$J$1,0)))</f>
        <v/>
      </c>
      <c r="C218" s="70" t="str">
        <f>IF(ISBLANK(A218),"",INDEX('Error Log'!$A:$J,MATCH('Scores per segment'!$A218,'Error Log'!$A:$A,0),MATCH('Scores per segment'!C$1,'Error Log'!$A$1:$J$1,0)))</f>
        <v/>
      </c>
      <c r="D218" s="70">
        <f>IF(H218=0,wdct(TRIM(C218)),0)</f>
        <v>0</v>
      </c>
      <c r="E218" s="70">
        <f>COUNTIFS('Error Log'!$A:$A,$A218,'Error Log'!$J:$J,E$1)</f>
        <v>0</v>
      </c>
      <c r="F218" s="70">
        <f>COUNTIFS('Error Log'!$A:$A,$A218,'Error Log'!$J:$J,F$1)</f>
        <v>0</v>
      </c>
      <c r="G218" s="70">
        <f>COUNTIFS('Error Log'!$A:$A,$A218,'Error Log'!$J:$J,G$1)</f>
        <v>0</v>
      </c>
      <c r="H218" s="70">
        <f>COUNTIFS('Error Log'!$A:$A,$A218,'Error Log'!$F:$F,"Source")</f>
        <v>0</v>
      </c>
      <c r="I218" s="70">
        <f>COUNTIFS('Error Log'!$A:$A,$A218,'Error Log'!$F:$F,"Target")</f>
        <v>0</v>
      </c>
      <c r="J218" s="71">
        <f t="shared" si="4"/>
        <v>0</v>
      </c>
    </row>
    <row r="219" spans="1:10">
      <c r="A219" s="81"/>
      <c r="B219" s="70" t="str">
        <f>IF(ISBLANK(A219),"",INDEX('Error Log'!$A:$J,MATCH('Scores per segment'!$A219,'Error Log'!$A:$A,0),MATCH('Scores per segment'!B$1,'Error Log'!$A$1:$J$1,0)))</f>
        <v/>
      </c>
      <c r="C219" s="70" t="str">
        <f>IF(ISBLANK(A219),"",INDEX('Error Log'!$A:$J,MATCH('Scores per segment'!$A219,'Error Log'!$A:$A,0),MATCH('Scores per segment'!C$1,'Error Log'!$A$1:$J$1,0)))</f>
        <v/>
      </c>
      <c r="D219" s="70">
        <f>IF(H219=0,wdct(TRIM(C219)),0)</f>
        <v>0</v>
      </c>
      <c r="E219" s="70">
        <f>COUNTIFS('Error Log'!$A:$A,$A219,'Error Log'!$J:$J,E$1)</f>
        <v>0</v>
      </c>
      <c r="F219" s="70">
        <f>COUNTIFS('Error Log'!$A:$A,$A219,'Error Log'!$J:$J,F$1)</f>
        <v>0</v>
      </c>
      <c r="G219" s="70">
        <f>COUNTIFS('Error Log'!$A:$A,$A219,'Error Log'!$J:$J,G$1)</f>
        <v>0</v>
      </c>
      <c r="H219" s="70">
        <f>COUNTIFS('Error Log'!$A:$A,$A219,'Error Log'!$F:$F,"Source")</f>
        <v>0</v>
      </c>
      <c r="I219" s="70">
        <f>COUNTIFS('Error Log'!$A:$A,$A219,'Error Log'!$F:$F,"Target")</f>
        <v>0</v>
      </c>
      <c r="J219" s="71">
        <f t="shared" si="4"/>
        <v>0</v>
      </c>
    </row>
    <row r="220" spans="1:10">
      <c r="A220" s="81"/>
      <c r="B220" s="70" t="str">
        <f>IF(ISBLANK(A220),"",INDEX('Error Log'!$A:$J,MATCH('Scores per segment'!$A220,'Error Log'!$A:$A,0),MATCH('Scores per segment'!B$1,'Error Log'!$A$1:$J$1,0)))</f>
        <v/>
      </c>
      <c r="C220" s="70" t="str">
        <f>IF(ISBLANK(A220),"",INDEX('Error Log'!$A:$J,MATCH('Scores per segment'!$A220,'Error Log'!$A:$A,0),MATCH('Scores per segment'!C$1,'Error Log'!$A$1:$J$1,0)))</f>
        <v/>
      </c>
      <c r="D220" s="70">
        <f>IF(H220=0,wdct(TRIM(C220)),0)</f>
        <v>0</v>
      </c>
      <c r="E220" s="70">
        <f>COUNTIFS('Error Log'!$A:$A,$A220,'Error Log'!$J:$J,E$1)</f>
        <v>0</v>
      </c>
      <c r="F220" s="70">
        <f>COUNTIFS('Error Log'!$A:$A,$A220,'Error Log'!$J:$J,F$1)</f>
        <v>0</v>
      </c>
      <c r="G220" s="70">
        <f>COUNTIFS('Error Log'!$A:$A,$A220,'Error Log'!$J:$J,G$1)</f>
        <v>0</v>
      </c>
      <c r="H220" s="70">
        <f>COUNTIFS('Error Log'!$A:$A,$A220,'Error Log'!$F:$F,"Source")</f>
        <v>0</v>
      </c>
      <c r="I220" s="70">
        <f>COUNTIFS('Error Log'!$A:$A,$A220,'Error Log'!$F:$F,"Target")</f>
        <v>0</v>
      </c>
      <c r="J220" s="71">
        <f t="shared" si="4"/>
        <v>0</v>
      </c>
    </row>
    <row r="221" spans="1:10">
      <c r="A221" s="81"/>
      <c r="B221" s="70" t="str">
        <f>IF(ISBLANK(A221),"",INDEX('Error Log'!$A:$J,MATCH('Scores per segment'!$A221,'Error Log'!$A:$A,0),MATCH('Scores per segment'!B$1,'Error Log'!$A$1:$J$1,0)))</f>
        <v/>
      </c>
      <c r="C221" s="70" t="str">
        <f>IF(ISBLANK(A221),"",INDEX('Error Log'!$A:$J,MATCH('Scores per segment'!$A221,'Error Log'!$A:$A,0),MATCH('Scores per segment'!C$1,'Error Log'!$A$1:$J$1,0)))</f>
        <v/>
      </c>
      <c r="D221" s="70">
        <f>IF(H221=0,wdct(TRIM(C221)),0)</f>
        <v>0</v>
      </c>
      <c r="E221" s="70">
        <f>COUNTIFS('Error Log'!$A:$A,$A221,'Error Log'!$J:$J,E$1)</f>
        <v>0</v>
      </c>
      <c r="F221" s="70">
        <f>COUNTIFS('Error Log'!$A:$A,$A221,'Error Log'!$J:$J,F$1)</f>
        <v>0</v>
      </c>
      <c r="G221" s="70">
        <f>COUNTIFS('Error Log'!$A:$A,$A221,'Error Log'!$J:$J,G$1)</f>
        <v>0</v>
      </c>
      <c r="H221" s="70">
        <f>COUNTIFS('Error Log'!$A:$A,$A221,'Error Log'!$F:$F,"Source")</f>
        <v>0</v>
      </c>
      <c r="I221" s="70">
        <f>COUNTIFS('Error Log'!$A:$A,$A221,'Error Log'!$F:$F,"Target")</f>
        <v>0</v>
      </c>
      <c r="J221" s="71">
        <f t="shared" si="4"/>
        <v>0</v>
      </c>
    </row>
    <row r="222" spans="1:10">
      <c r="A222" s="81"/>
      <c r="B222" s="70" t="str">
        <f>IF(ISBLANK(A222),"",INDEX('Error Log'!$A:$J,MATCH('Scores per segment'!$A222,'Error Log'!$A:$A,0),MATCH('Scores per segment'!B$1,'Error Log'!$A$1:$J$1,0)))</f>
        <v/>
      </c>
      <c r="C222" s="70" t="str">
        <f>IF(ISBLANK(A222),"",INDEX('Error Log'!$A:$J,MATCH('Scores per segment'!$A222,'Error Log'!$A:$A,0),MATCH('Scores per segment'!C$1,'Error Log'!$A$1:$J$1,0)))</f>
        <v/>
      </c>
      <c r="D222" s="70">
        <f>IF(H222=0,wdct(TRIM(C222)),0)</f>
        <v>0</v>
      </c>
      <c r="E222" s="70">
        <f>COUNTIFS('Error Log'!$A:$A,$A222,'Error Log'!$J:$J,E$1)</f>
        <v>0</v>
      </c>
      <c r="F222" s="70">
        <f>COUNTIFS('Error Log'!$A:$A,$A222,'Error Log'!$J:$J,F$1)</f>
        <v>0</v>
      </c>
      <c r="G222" s="70">
        <f>COUNTIFS('Error Log'!$A:$A,$A222,'Error Log'!$J:$J,G$1)</f>
        <v>0</v>
      </c>
      <c r="H222" s="70">
        <f>COUNTIFS('Error Log'!$A:$A,$A222,'Error Log'!$F:$F,"Source")</f>
        <v>0</v>
      </c>
      <c r="I222" s="70">
        <f>COUNTIFS('Error Log'!$A:$A,$A222,'Error Log'!$F:$F,"Target")</f>
        <v>0</v>
      </c>
      <c r="J222" s="71">
        <f t="shared" si="4"/>
        <v>0</v>
      </c>
    </row>
    <row r="223" spans="1:10">
      <c r="A223" s="81"/>
      <c r="B223" s="70" t="str">
        <f>IF(ISBLANK(A223),"",INDEX('Error Log'!$A:$J,MATCH('Scores per segment'!$A223,'Error Log'!$A:$A,0),MATCH('Scores per segment'!B$1,'Error Log'!$A$1:$J$1,0)))</f>
        <v/>
      </c>
      <c r="C223" s="70" t="str">
        <f>IF(ISBLANK(A223),"",INDEX('Error Log'!$A:$J,MATCH('Scores per segment'!$A223,'Error Log'!$A:$A,0),MATCH('Scores per segment'!C$1,'Error Log'!$A$1:$J$1,0)))</f>
        <v/>
      </c>
      <c r="D223" s="70">
        <f>IF(H223=0,wdct(TRIM(C223)),0)</f>
        <v>0</v>
      </c>
      <c r="E223" s="70">
        <f>COUNTIFS('Error Log'!$A:$A,$A223,'Error Log'!$J:$J,E$1)</f>
        <v>0</v>
      </c>
      <c r="F223" s="70">
        <f>COUNTIFS('Error Log'!$A:$A,$A223,'Error Log'!$J:$J,F$1)</f>
        <v>0</v>
      </c>
      <c r="G223" s="70">
        <f>COUNTIFS('Error Log'!$A:$A,$A223,'Error Log'!$J:$J,G$1)</f>
        <v>0</v>
      </c>
      <c r="H223" s="70">
        <f>COUNTIFS('Error Log'!$A:$A,$A223,'Error Log'!$F:$F,"Source")</f>
        <v>0</v>
      </c>
      <c r="I223" s="70">
        <f>COUNTIFS('Error Log'!$A:$A,$A223,'Error Log'!$F:$F,"Target")</f>
        <v>0</v>
      </c>
      <c r="J223" s="71">
        <f t="shared" si="4"/>
        <v>0</v>
      </c>
    </row>
    <row r="224" spans="1:10">
      <c r="A224" s="81"/>
      <c r="B224" s="70" t="str">
        <f>IF(ISBLANK(A224),"",INDEX('Error Log'!$A:$J,MATCH('Scores per segment'!$A224,'Error Log'!$A:$A,0),MATCH('Scores per segment'!B$1,'Error Log'!$A$1:$J$1,0)))</f>
        <v/>
      </c>
      <c r="C224" s="70" t="str">
        <f>IF(ISBLANK(A224),"",INDEX('Error Log'!$A:$J,MATCH('Scores per segment'!$A224,'Error Log'!$A:$A,0),MATCH('Scores per segment'!C$1,'Error Log'!$A$1:$J$1,0)))</f>
        <v/>
      </c>
      <c r="D224" s="70">
        <f>IF(H224=0,wdct(TRIM(C224)),0)</f>
        <v>0</v>
      </c>
      <c r="E224" s="70">
        <f>COUNTIFS('Error Log'!$A:$A,$A224,'Error Log'!$J:$J,E$1)</f>
        <v>0</v>
      </c>
      <c r="F224" s="70">
        <f>COUNTIFS('Error Log'!$A:$A,$A224,'Error Log'!$J:$J,F$1)</f>
        <v>0</v>
      </c>
      <c r="G224" s="70">
        <f>COUNTIFS('Error Log'!$A:$A,$A224,'Error Log'!$J:$J,G$1)</f>
        <v>0</v>
      </c>
      <c r="H224" s="70">
        <f>COUNTIFS('Error Log'!$A:$A,$A224,'Error Log'!$F:$F,"Source")</f>
        <v>0</v>
      </c>
      <c r="I224" s="70">
        <f>COUNTIFS('Error Log'!$A:$A,$A224,'Error Log'!$F:$F,"Target")</f>
        <v>0</v>
      </c>
      <c r="J224" s="71">
        <f t="shared" si="4"/>
        <v>0</v>
      </c>
    </row>
    <row r="225" spans="1:10">
      <c r="A225" s="81"/>
      <c r="B225" s="70" t="str">
        <f>IF(ISBLANK(A225),"",INDEX('Error Log'!$A:$J,MATCH('Scores per segment'!$A225,'Error Log'!$A:$A,0),MATCH('Scores per segment'!B$1,'Error Log'!$A$1:$J$1,0)))</f>
        <v/>
      </c>
      <c r="C225" s="70" t="str">
        <f>IF(ISBLANK(A225),"",INDEX('Error Log'!$A:$J,MATCH('Scores per segment'!$A225,'Error Log'!$A:$A,0),MATCH('Scores per segment'!C$1,'Error Log'!$A$1:$J$1,0)))</f>
        <v/>
      </c>
      <c r="D225" s="70">
        <f>IF(H225=0,wdct(TRIM(C225)),0)</f>
        <v>0</v>
      </c>
      <c r="E225" s="70">
        <f>COUNTIFS('Error Log'!$A:$A,$A225,'Error Log'!$J:$J,E$1)</f>
        <v>0</v>
      </c>
      <c r="F225" s="70">
        <f>COUNTIFS('Error Log'!$A:$A,$A225,'Error Log'!$J:$J,F$1)</f>
        <v>0</v>
      </c>
      <c r="G225" s="70">
        <f>COUNTIFS('Error Log'!$A:$A,$A225,'Error Log'!$J:$J,G$1)</f>
        <v>0</v>
      </c>
      <c r="H225" s="70">
        <f>COUNTIFS('Error Log'!$A:$A,$A225,'Error Log'!$F:$F,"Source")</f>
        <v>0</v>
      </c>
      <c r="I225" s="70">
        <f>COUNTIFS('Error Log'!$A:$A,$A225,'Error Log'!$F:$F,"Target")</f>
        <v>0</v>
      </c>
      <c r="J225" s="71">
        <f t="shared" si="4"/>
        <v>0</v>
      </c>
    </row>
    <row r="226" spans="1:10">
      <c r="A226" s="81"/>
      <c r="B226" s="70" t="str">
        <f>IF(ISBLANK(A226),"",INDEX('Error Log'!$A:$J,MATCH('Scores per segment'!$A226,'Error Log'!$A:$A,0),MATCH('Scores per segment'!B$1,'Error Log'!$A$1:$J$1,0)))</f>
        <v/>
      </c>
      <c r="C226" s="70" t="str">
        <f>IF(ISBLANK(A226),"",INDEX('Error Log'!$A:$J,MATCH('Scores per segment'!$A226,'Error Log'!$A:$A,0),MATCH('Scores per segment'!C$1,'Error Log'!$A$1:$J$1,0)))</f>
        <v/>
      </c>
      <c r="D226" s="70">
        <f>IF(H226=0,wdct(TRIM(C226)),0)</f>
        <v>0</v>
      </c>
      <c r="E226" s="70">
        <f>COUNTIFS('Error Log'!$A:$A,$A226,'Error Log'!$J:$J,E$1)</f>
        <v>0</v>
      </c>
      <c r="F226" s="70">
        <f>COUNTIFS('Error Log'!$A:$A,$A226,'Error Log'!$J:$J,F$1)</f>
        <v>0</v>
      </c>
      <c r="G226" s="70">
        <f>COUNTIFS('Error Log'!$A:$A,$A226,'Error Log'!$J:$J,G$1)</f>
        <v>0</v>
      </c>
      <c r="H226" s="70">
        <f>COUNTIFS('Error Log'!$A:$A,$A226,'Error Log'!$F:$F,"Source")</f>
        <v>0</v>
      </c>
      <c r="I226" s="70">
        <f>COUNTIFS('Error Log'!$A:$A,$A226,'Error Log'!$F:$F,"Target")</f>
        <v>0</v>
      </c>
      <c r="J226" s="71">
        <f t="shared" si="4"/>
        <v>0</v>
      </c>
    </row>
    <row r="227" spans="1:10">
      <c r="A227" s="81"/>
      <c r="B227" s="70" t="str">
        <f>IF(ISBLANK(A227),"",INDEX('Error Log'!$A:$J,MATCH('Scores per segment'!$A227,'Error Log'!$A:$A,0),MATCH('Scores per segment'!B$1,'Error Log'!$A$1:$J$1,0)))</f>
        <v/>
      </c>
      <c r="C227" s="70" t="str">
        <f>IF(ISBLANK(A227),"",INDEX('Error Log'!$A:$J,MATCH('Scores per segment'!$A227,'Error Log'!$A:$A,0),MATCH('Scores per segment'!C$1,'Error Log'!$A$1:$J$1,0)))</f>
        <v/>
      </c>
      <c r="D227" s="70">
        <f>IF(H227=0,wdct(TRIM(C227)),0)</f>
        <v>0</v>
      </c>
      <c r="E227" s="70">
        <f>COUNTIFS('Error Log'!$A:$A,$A227,'Error Log'!$J:$J,E$1)</f>
        <v>0</v>
      </c>
      <c r="F227" s="70">
        <f>COUNTIFS('Error Log'!$A:$A,$A227,'Error Log'!$J:$J,F$1)</f>
        <v>0</v>
      </c>
      <c r="G227" s="70">
        <f>COUNTIFS('Error Log'!$A:$A,$A227,'Error Log'!$J:$J,G$1)</f>
        <v>0</v>
      </c>
      <c r="H227" s="70">
        <f>COUNTIFS('Error Log'!$A:$A,$A227,'Error Log'!$F:$F,"Source")</f>
        <v>0</v>
      </c>
      <c r="I227" s="70">
        <f>COUNTIFS('Error Log'!$A:$A,$A227,'Error Log'!$F:$F,"Target")</f>
        <v>0</v>
      </c>
      <c r="J227" s="71">
        <f t="shared" si="4"/>
        <v>0</v>
      </c>
    </row>
    <row r="228" spans="1:10">
      <c r="A228" s="81"/>
      <c r="B228" s="70" t="str">
        <f>IF(ISBLANK(A228),"",INDEX('Error Log'!$A:$J,MATCH('Scores per segment'!$A228,'Error Log'!$A:$A,0),MATCH('Scores per segment'!B$1,'Error Log'!$A$1:$J$1,0)))</f>
        <v/>
      </c>
      <c r="C228" s="70" t="str">
        <f>IF(ISBLANK(A228),"",INDEX('Error Log'!$A:$J,MATCH('Scores per segment'!$A228,'Error Log'!$A:$A,0),MATCH('Scores per segment'!C$1,'Error Log'!$A$1:$J$1,0)))</f>
        <v/>
      </c>
      <c r="D228" s="70">
        <f>IF(H228=0,wdct(TRIM(C228)),0)</f>
        <v>0</v>
      </c>
      <c r="E228" s="70">
        <f>COUNTIFS('Error Log'!$A:$A,$A228,'Error Log'!$J:$J,E$1)</f>
        <v>0</v>
      </c>
      <c r="F228" s="70">
        <f>COUNTIFS('Error Log'!$A:$A,$A228,'Error Log'!$J:$J,F$1)</f>
        <v>0</v>
      </c>
      <c r="G228" s="70">
        <f>COUNTIFS('Error Log'!$A:$A,$A228,'Error Log'!$J:$J,G$1)</f>
        <v>0</v>
      </c>
      <c r="H228" s="70">
        <f>COUNTIFS('Error Log'!$A:$A,$A228,'Error Log'!$F:$F,"Source")</f>
        <v>0</v>
      </c>
      <c r="I228" s="70">
        <f>COUNTIFS('Error Log'!$A:$A,$A228,'Error Log'!$F:$F,"Target")</f>
        <v>0</v>
      </c>
      <c r="J228" s="71">
        <f t="shared" si="4"/>
        <v>0</v>
      </c>
    </row>
    <row r="229" spans="1:10">
      <c r="A229" s="81"/>
      <c r="B229" s="70" t="str">
        <f>IF(ISBLANK(A229),"",INDEX('Error Log'!$A:$J,MATCH('Scores per segment'!$A229,'Error Log'!$A:$A,0),MATCH('Scores per segment'!B$1,'Error Log'!$A$1:$J$1,0)))</f>
        <v/>
      </c>
      <c r="C229" s="70" t="str">
        <f>IF(ISBLANK(A229),"",INDEX('Error Log'!$A:$J,MATCH('Scores per segment'!$A229,'Error Log'!$A:$A,0),MATCH('Scores per segment'!C$1,'Error Log'!$A$1:$J$1,0)))</f>
        <v/>
      </c>
      <c r="D229" s="70">
        <f>IF(H229=0,wdct(TRIM(C229)),0)</f>
        <v>0</v>
      </c>
      <c r="E229" s="70">
        <f>COUNTIFS('Error Log'!$A:$A,$A229,'Error Log'!$J:$J,E$1)</f>
        <v>0</v>
      </c>
      <c r="F229" s="70">
        <f>COUNTIFS('Error Log'!$A:$A,$A229,'Error Log'!$J:$J,F$1)</f>
        <v>0</v>
      </c>
      <c r="G229" s="70">
        <f>COUNTIFS('Error Log'!$A:$A,$A229,'Error Log'!$J:$J,G$1)</f>
        <v>0</v>
      </c>
      <c r="H229" s="70">
        <f>COUNTIFS('Error Log'!$A:$A,$A229,'Error Log'!$F:$F,"Source")</f>
        <v>0</v>
      </c>
      <c r="I229" s="70">
        <f>COUNTIFS('Error Log'!$A:$A,$A229,'Error Log'!$F:$F,"Target")</f>
        <v>0</v>
      </c>
      <c r="J229" s="71">
        <f t="shared" si="4"/>
        <v>0</v>
      </c>
    </row>
    <row r="230" spans="1:10">
      <c r="A230" s="81"/>
      <c r="B230" s="70" t="str">
        <f>IF(ISBLANK(A230),"",INDEX('Error Log'!$A:$J,MATCH('Scores per segment'!$A230,'Error Log'!$A:$A,0),MATCH('Scores per segment'!B$1,'Error Log'!$A$1:$J$1,0)))</f>
        <v/>
      </c>
      <c r="C230" s="70" t="str">
        <f>IF(ISBLANK(A230),"",INDEX('Error Log'!$A:$J,MATCH('Scores per segment'!$A230,'Error Log'!$A:$A,0),MATCH('Scores per segment'!C$1,'Error Log'!$A$1:$J$1,0)))</f>
        <v/>
      </c>
      <c r="D230" s="70">
        <f>IF(H230=0,wdct(TRIM(C230)),0)</f>
        <v>0</v>
      </c>
      <c r="E230" s="70">
        <f>COUNTIFS('Error Log'!$A:$A,$A230,'Error Log'!$J:$J,E$1)</f>
        <v>0</v>
      </c>
      <c r="F230" s="70">
        <f>COUNTIFS('Error Log'!$A:$A,$A230,'Error Log'!$J:$J,F$1)</f>
        <v>0</v>
      </c>
      <c r="G230" s="70">
        <f>COUNTIFS('Error Log'!$A:$A,$A230,'Error Log'!$J:$J,G$1)</f>
        <v>0</v>
      </c>
      <c r="H230" s="70">
        <f>COUNTIFS('Error Log'!$A:$A,$A230,'Error Log'!$F:$F,"Source")</f>
        <v>0</v>
      </c>
      <c r="I230" s="70">
        <f>COUNTIFS('Error Log'!$A:$A,$A230,'Error Log'!$F:$F,"Target")</f>
        <v>0</v>
      </c>
      <c r="J230" s="71">
        <f t="shared" si="4"/>
        <v>0</v>
      </c>
    </row>
    <row r="231" spans="1:10">
      <c r="A231" s="81"/>
      <c r="B231" s="70" t="str">
        <f>IF(ISBLANK(A231),"",INDEX('Error Log'!$A:$J,MATCH('Scores per segment'!$A231,'Error Log'!$A:$A,0),MATCH('Scores per segment'!B$1,'Error Log'!$A$1:$J$1,0)))</f>
        <v/>
      </c>
      <c r="C231" s="70" t="str">
        <f>IF(ISBLANK(A231),"",INDEX('Error Log'!$A:$J,MATCH('Scores per segment'!$A231,'Error Log'!$A:$A,0),MATCH('Scores per segment'!C$1,'Error Log'!$A$1:$J$1,0)))</f>
        <v/>
      </c>
      <c r="D231" s="70">
        <f>IF(H231=0,wdct(TRIM(C231)),0)</f>
        <v>0</v>
      </c>
      <c r="E231" s="70">
        <f>COUNTIFS('Error Log'!$A:$A,$A231,'Error Log'!$J:$J,E$1)</f>
        <v>0</v>
      </c>
      <c r="F231" s="70">
        <f>COUNTIFS('Error Log'!$A:$A,$A231,'Error Log'!$J:$J,F$1)</f>
        <v>0</v>
      </c>
      <c r="G231" s="70">
        <f>COUNTIFS('Error Log'!$A:$A,$A231,'Error Log'!$J:$J,G$1)</f>
        <v>0</v>
      </c>
      <c r="H231" s="70">
        <f>COUNTIFS('Error Log'!$A:$A,$A231,'Error Log'!$F:$F,"Source")</f>
        <v>0</v>
      </c>
      <c r="I231" s="70">
        <f>COUNTIFS('Error Log'!$A:$A,$A231,'Error Log'!$F:$F,"Target")</f>
        <v>0</v>
      </c>
      <c r="J231" s="71">
        <f t="shared" si="4"/>
        <v>0</v>
      </c>
    </row>
    <row r="232" spans="1:10">
      <c r="A232" s="81"/>
      <c r="B232" s="70" t="str">
        <f>IF(ISBLANK(A232),"",INDEX('Error Log'!$A:$J,MATCH('Scores per segment'!$A232,'Error Log'!$A:$A,0),MATCH('Scores per segment'!B$1,'Error Log'!$A$1:$J$1,0)))</f>
        <v/>
      </c>
      <c r="C232" s="70" t="str">
        <f>IF(ISBLANK(A232),"",INDEX('Error Log'!$A:$J,MATCH('Scores per segment'!$A232,'Error Log'!$A:$A,0),MATCH('Scores per segment'!C$1,'Error Log'!$A$1:$J$1,0)))</f>
        <v/>
      </c>
      <c r="D232" s="70">
        <f>IF(H232=0,wdct(TRIM(C232)),0)</f>
        <v>0</v>
      </c>
      <c r="E232" s="70">
        <f>COUNTIFS('Error Log'!$A:$A,$A232,'Error Log'!$J:$J,E$1)</f>
        <v>0</v>
      </c>
      <c r="F232" s="70">
        <f>COUNTIFS('Error Log'!$A:$A,$A232,'Error Log'!$J:$J,F$1)</f>
        <v>0</v>
      </c>
      <c r="G232" s="70">
        <f>COUNTIFS('Error Log'!$A:$A,$A232,'Error Log'!$J:$J,G$1)</f>
        <v>0</v>
      </c>
      <c r="H232" s="70">
        <f>COUNTIFS('Error Log'!$A:$A,$A232,'Error Log'!$F:$F,"Source")</f>
        <v>0</v>
      </c>
      <c r="I232" s="70">
        <f>COUNTIFS('Error Log'!$A:$A,$A232,'Error Log'!$F:$F,"Target")</f>
        <v>0</v>
      </c>
      <c r="J232" s="71">
        <f t="shared" si="4"/>
        <v>0</v>
      </c>
    </row>
    <row r="233" spans="1:10">
      <c r="A233" s="81"/>
      <c r="B233" s="70" t="str">
        <f>IF(ISBLANK(A233),"",INDEX('Error Log'!$A:$J,MATCH('Scores per segment'!$A233,'Error Log'!$A:$A,0),MATCH('Scores per segment'!B$1,'Error Log'!$A$1:$J$1,0)))</f>
        <v/>
      </c>
      <c r="C233" s="70" t="str">
        <f>IF(ISBLANK(A233),"",INDEX('Error Log'!$A:$J,MATCH('Scores per segment'!$A233,'Error Log'!$A:$A,0),MATCH('Scores per segment'!C$1,'Error Log'!$A$1:$J$1,0)))</f>
        <v/>
      </c>
      <c r="D233" s="70">
        <f>IF(H233=0,wdct(TRIM(C233)),0)</f>
        <v>0</v>
      </c>
      <c r="E233" s="70">
        <f>COUNTIFS('Error Log'!$A:$A,$A233,'Error Log'!$J:$J,E$1)</f>
        <v>0</v>
      </c>
      <c r="F233" s="70">
        <f>COUNTIFS('Error Log'!$A:$A,$A233,'Error Log'!$J:$J,F$1)</f>
        <v>0</v>
      </c>
      <c r="G233" s="70">
        <f>COUNTIFS('Error Log'!$A:$A,$A233,'Error Log'!$J:$J,G$1)</f>
        <v>0</v>
      </c>
      <c r="H233" s="70">
        <f>COUNTIFS('Error Log'!$A:$A,$A233,'Error Log'!$F:$F,"Source")</f>
        <v>0</v>
      </c>
      <c r="I233" s="70">
        <f>COUNTIFS('Error Log'!$A:$A,$A233,'Error Log'!$F:$F,"Target")</f>
        <v>0</v>
      </c>
      <c r="J233" s="71">
        <f t="shared" si="4"/>
        <v>0</v>
      </c>
    </row>
    <row r="234" spans="1:10">
      <c r="A234" s="81"/>
      <c r="B234" s="70" t="str">
        <f>IF(ISBLANK(A234),"",INDEX('Error Log'!$A:$J,MATCH('Scores per segment'!$A234,'Error Log'!$A:$A,0),MATCH('Scores per segment'!B$1,'Error Log'!$A$1:$J$1,0)))</f>
        <v/>
      </c>
      <c r="C234" s="70" t="str">
        <f>IF(ISBLANK(A234),"",INDEX('Error Log'!$A:$J,MATCH('Scores per segment'!$A234,'Error Log'!$A:$A,0),MATCH('Scores per segment'!C$1,'Error Log'!$A$1:$J$1,0)))</f>
        <v/>
      </c>
      <c r="D234" s="70">
        <f>IF(H234=0,wdct(TRIM(C234)),0)</f>
        <v>0</v>
      </c>
      <c r="E234" s="70">
        <f>COUNTIFS('Error Log'!$A:$A,$A234,'Error Log'!$J:$J,E$1)</f>
        <v>0</v>
      </c>
      <c r="F234" s="70">
        <f>COUNTIFS('Error Log'!$A:$A,$A234,'Error Log'!$J:$J,F$1)</f>
        <v>0</v>
      </c>
      <c r="G234" s="70">
        <f>COUNTIFS('Error Log'!$A:$A,$A234,'Error Log'!$J:$J,G$1)</f>
        <v>0</v>
      </c>
      <c r="H234" s="70">
        <f>COUNTIFS('Error Log'!$A:$A,$A234,'Error Log'!$F:$F,"Source")</f>
        <v>0</v>
      </c>
      <c r="I234" s="70">
        <f>COUNTIFS('Error Log'!$A:$A,$A234,'Error Log'!$F:$F,"Target")</f>
        <v>0</v>
      </c>
      <c r="J234" s="71">
        <f t="shared" si="4"/>
        <v>0</v>
      </c>
    </row>
    <row r="235" spans="1:10">
      <c r="A235" s="81"/>
      <c r="B235" s="70" t="str">
        <f>IF(ISBLANK(A235),"",INDEX('Error Log'!$A:$J,MATCH('Scores per segment'!$A235,'Error Log'!$A:$A,0),MATCH('Scores per segment'!B$1,'Error Log'!$A$1:$J$1,0)))</f>
        <v/>
      </c>
      <c r="C235" s="70" t="str">
        <f>IF(ISBLANK(A235),"",INDEX('Error Log'!$A:$J,MATCH('Scores per segment'!$A235,'Error Log'!$A:$A,0),MATCH('Scores per segment'!C$1,'Error Log'!$A$1:$J$1,0)))</f>
        <v/>
      </c>
      <c r="D235" s="70">
        <f>IF(H235=0,wdct(TRIM(C235)),0)</f>
        <v>0</v>
      </c>
      <c r="E235" s="70">
        <f>COUNTIFS('Error Log'!$A:$A,$A235,'Error Log'!$J:$J,E$1)</f>
        <v>0</v>
      </c>
      <c r="F235" s="70">
        <f>COUNTIFS('Error Log'!$A:$A,$A235,'Error Log'!$J:$J,F$1)</f>
        <v>0</v>
      </c>
      <c r="G235" s="70">
        <f>COUNTIFS('Error Log'!$A:$A,$A235,'Error Log'!$J:$J,G$1)</f>
        <v>0</v>
      </c>
      <c r="H235" s="70">
        <f>COUNTIFS('Error Log'!$A:$A,$A235,'Error Log'!$F:$F,"Source")</f>
        <v>0</v>
      </c>
      <c r="I235" s="70">
        <f>COUNTIFS('Error Log'!$A:$A,$A235,'Error Log'!$F:$F,"Target")</f>
        <v>0</v>
      </c>
      <c r="J235" s="71">
        <f t="shared" si="4"/>
        <v>0</v>
      </c>
    </row>
    <row r="236" spans="1:10">
      <c r="A236" s="81"/>
      <c r="B236" s="70" t="str">
        <f>IF(ISBLANK(A236),"",INDEX('Error Log'!$A:$J,MATCH('Scores per segment'!$A236,'Error Log'!$A:$A,0),MATCH('Scores per segment'!B$1,'Error Log'!$A$1:$J$1,0)))</f>
        <v/>
      </c>
      <c r="C236" s="70" t="str">
        <f>IF(ISBLANK(A236),"",INDEX('Error Log'!$A:$J,MATCH('Scores per segment'!$A236,'Error Log'!$A:$A,0),MATCH('Scores per segment'!C$1,'Error Log'!$A$1:$J$1,0)))</f>
        <v/>
      </c>
      <c r="D236" s="70">
        <f>IF(H236=0,wdct(TRIM(C236)),0)</f>
        <v>0</v>
      </c>
      <c r="E236" s="70">
        <f>COUNTIFS('Error Log'!$A:$A,$A236,'Error Log'!$J:$J,E$1)</f>
        <v>0</v>
      </c>
      <c r="F236" s="70">
        <f>COUNTIFS('Error Log'!$A:$A,$A236,'Error Log'!$J:$J,F$1)</f>
        <v>0</v>
      </c>
      <c r="G236" s="70">
        <f>COUNTIFS('Error Log'!$A:$A,$A236,'Error Log'!$J:$J,G$1)</f>
        <v>0</v>
      </c>
      <c r="H236" s="70">
        <f>COUNTIFS('Error Log'!$A:$A,$A236,'Error Log'!$F:$F,"Source")</f>
        <v>0</v>
      </c>
      <c r="I236" s="70">
        <f>COUNTIFS('Error Log'!$A:$A,$A236,'Error Log'!$F:$F,"Target")</f>
        <v>0</v>
      </c>
      <c r="J236" s="71">
        <f t="shared" si="4"/>
        <v>0</v>
      </c>
    </row>
    <row r="237" spans="1:10">
      <c r="A237" s="81"/>
      <c r="B237" s="70" t="str">
        <f>IF(ISBLANK(A237),"",INDEX('Error Log'!$A:$J,MATCH('Scores per segment'!$A237,'Error Log'!$A:$A,0),MATCH('Scores per segment'!B$1,'Error Log'!$A$1:$J$1,0)))</f>
        <v/>
      </c>
      <c r="C237" s="70" t="str">
        <f>IF(ISBLANK(A237),"",INDEX('Error Log'!$A:$J,MATCH('Scores per segment'!$A237,'Error Log'!$A:$A,0),MATCH('Scores per segment'!C$1,'Error Log'!$A$1:$J$1,0)))</f>
        <v/>
      </c>
      <c r="D237" s="70">
        <f>IF(H237=0,wdct(TRIM(C237)),0)</f>
        <v>0</v>
      </c>
      <c r="E237" s="70">
        <f>COUNTIFS('Error Log'!$A:$A,$A237,'Error Log'!$J:$J,E$1)</f>
        <v>0</v>
      </c>
      <c r="F237" s="70">
        <f>COUNTIFS('Error Log'!$A:$A,$A237,'Error Log'!$J:$J,F$1)</f>
        <v>0</v>
      </c>
      <c r="G237" s="70">
        <f>COUNTIFS('Error Log'!$A:$A,$A237,'Error Log'!$J:$J,G$1)</f>
        <v>0</v>
      </c>
      <c r="H237" s="70">
        <f>COUNTIFS('Error Log'!$A:$A,$A237,'Error Log'!$F:$F,"Source")</f>
        <v>0</v>
      </c>
      <c r="I237" s="70">
        <f>COUNTIFS('Error Log'!$A:$A,$A237,'Error Log'!$F:$F,"Target")</f>
        <v>0</v>
      </c>
      <c r="J237" s="71">
        <f t="shared" si="4"/>
        <v>0</v>
      </c>
    </row>
    <row r="238" spans="1:10">
      <c r="A238" s="81"/>
      <c r="B238" s="70" t="str">
        <f>IF(ISBLANK(A238),"",INDEX('Error Log'!$A:$J,MATCH('Scores per segment'!$A238,'Error Log'!$A:$A,0),MATCH('Scores per segment'!B$1,'Error Log'!$A$1:$J$1,0)))</f>
        <v/>
      </c>
      <c r="C238" s="70" t="str">
        <f>IF(ISBLANK(A238),"",INDEX('Error Log'!$A:$J,MATCH('Scores per segment'!$A238,'Error Log'!$A:$A,0),MATCH('Scores per segment'!C$1,'Error Log'!$A$1:$J$1,0)))</f>
        <v/>
      </c>
      <c r="D238" s="70">
        <f>IF(H238=0,wdct(TRIM(C238)),0)</f>
        <v>0</v>
      </c>
      <c r="E238" s="70">
        <f>COUNTIFS('Error Log'!$A:$A,$A238,'Error Log'!$J:$J,E$1)</f>
        <v>0</v>
      </c>
      <c r="F238" s="70">
        <f>COUNTIFS('Error Log'!$A:$A,$A238,'Error Log'!$J:$J,F$1)</f>
        <v>0</v>
      </c>
      <c r="G238" s="70">
        <f>COUNTIFS('Error Log'!$A:$A,$A238,'Error Log'!$J:$J,G$1)</f>
        <v>0</v>
      </c>
      <c r="H238" s="70">
        <f>COUNTIFS('Error Log'!$A:$A,$A238,'Error Log'!$F:$F,"Source")</f>
        <v>0</v>
      </c>
      <c r="I238" s="70">
        <f>COUNTIFS('Error Log'!$A:$A,$A238,'Error Log'!$F:$F,"Target")</f>
        <v>0</v>
      </c>
      <c r="J238" s="71">
        <f t="shared" si="4"/>
        <v>0</v>
      </c>
    </row>
    <row r="239" spans="1:10">
      <c r="A239" s="81"/>
      <c r="B239" s="70" t="str">
        <f>IF(ISBLANK(A239),"",INDEX('Error Log'!$A:$J,MATCH('Scores per segment'!$A239,'Error Log'!$A:$A,0),MATCH('Scores per segment'!B$1,'Error Log'!$A$1:$J$1,0)))</f>
        <v/>
      </c>
      <c r="C239" s="70" t="str">
        <f>IF(ISBLANK(A239),"",INDEX('Error Log'!$A:$J,MATCH('Scores per segment'!$A239,'Error Log'!$A:$A,0),MATCH('Scores per segment'!C$1,'Error Log'!$A$1:$J$1,0)))</f>
        <v/>
      </c>
      <c r="D239" s="70">
        <f>IF(H239=0,wdct(TRIM(C239)),0)</f>
        <v>0</v>
      </c>
      <c r="E239" s="70">
        <f>COUNTIFS('Error Log'!$A:$A,$A239,'Error Log'!$J:$J,E$1)</f>
        <v>0</v>
      </c>
      <c r="F239" s="70">
        <f>COUNTIFS('Error Log'!$A:$A,$A239,'Error Log'!$J:$J,F$1)</f>
        <v>0</v>
      </c>
      <c r="G239" s="70">
        <f>COUNTIFS('Error Log'!$A:$A,$A239,'Error Log'!$J:$J,G$1)</f>
        <v>0</v>
      </c>
      <c r="H239" s="70">
        <f>COUNTIFS('Error Log'!$A:$A,$A239,'Error Log'!$F:$F,"Source")</f>
        <v>0</v>
      </c>
      <c r="I239" s="70">
        <f>COUNTIFS('Error Log'!$A:$A,$A239,'Error Log'!$F:$F,"Target")</f>
        <v>0</v>
      </c>
      <c r="J239" s="71">
        <f t="shared" si="4"/>
        <v>0</v>
      </c>
    </row>
    <row r="240" spans="1:10">
      <c r="A240" s="81"/>
      <c r="B240" s="70" t="str">
        <f>IF(ISBLANK(A240),"",INDEX('Error Log'!$A:$J,MATCH('Scores per segment'!$A240,'Error Log'!$A:$A,0),MATCH('Scores per segment'!B$1,'Error Log'!$A$1:$J$1,0)))</f>
        <v/>
      </c>
      <c r="C240" s="70" t="str">
        <f>IF(ISBLANK(A240),"",INDEX('Error Log'!$A:$J,MATCH('Scores per segment'!$A240,'Error Log'!$A:$A,0),MATCH('Scores per segment'!C$1,'Error Log'!$A$1:$J$1,0)))</f>
        <v/>
      </c>
      <c r="D240" s="70">
        <f>IF(H240=0,wdct(TRIM(C240)),0)</f>
        <v>0</v>
      </c>
      <c r="E240" s="70">
        <f>COUNTIFS('Error Log'!$A:$A,$A240,'Error Log'!$J:$J,E$1)</f>
        <v>0</v>
      </c>
      <c r="F240" s="70">
        <f>COUNTIFS('Error Log'!$A:$A,$A240,'Error Log'!$J:$J,F$1)</f>
        <v>0</v>
      </c>
      <c r="G240" s="70">
        <f>COUNTIFS('Error Log'!$A:$A,$A240,'Error Log'!$J:$J,G$1)</f>
        <v>0</v>
      </c>
      <c r="H240" s="70">
        <f>COUNTIFS('Error Log'!$A:$A,$A240,'Error Log'!$F:$F,"Source")</f>
        <v>0</v>
      </c>
      <c r="I240" s="70">
        <f>COUNTIFS('Error Log'!$A:$A,$A240,'Error Log'!$F:$F,"Target")</f>
        <v>0</v>
      </c>
      <c r="J240" s="71">
        <f t="shared" si="4"/>
        <v>0</v>
      </c>
    </row>
    <row r="241" spans="1:10">
      <c r="A241" s="81"/>
      <c r="B241" s="70" t="str">
        <f>IF(ISBLANK(A241),"",INDEX('Error Log'!$A:$J,MATCH('Scores per segment'!$A241,'Error Log'!$A:$A,0),MATCH('Scores per segment'!B$1,'Error Log'!$A$1:$J$1,0)))</f>
        <v/>
      </c>
      <c r="C241" s="70" t="str">
        <f>IF(ISBLANK(A241),"",INDEX('Error Log'!$A:$J,MATCH('Scores per segment'!$A241,'Error Log'!$A:$A,0),MATCH('Scores per segment'!C$1,'Error Log'!$A$1:$J$1,0)))</f>
        <v/>
      </c>
      <c r="D241" s="70">
        <f>IF(H241=0,wdct(TRIM(C241)),0)</f>
        <v>0</v>
      </c>
      <c r="E241" s="70">
        <f>COUNTIFS('Error Log'!$A:$A,$A241,'Error Log'!$J:$J,E$1)</f>
        <v>0</v>
      </c>
      <c r="F241" s="70">
        <f>COUNTIFS('Error Log'!$A:$A,$A241,'Error Log'!$J:$J,F$1)</f>
        <v>0</v>
      </c>
      <c r="G241" s="70">
        <f>COUNTIFS('Error Log'!$A:$A,$A241,'Error Log'!$J:$J,G$1)</f>
        <v>0</v>
      </c>
      <c r="H241" s="70">
        <f>COUNTIFS('Error Log'!$A:$A,$A241,'Error Log'!$F:$F,"Source")</f>
        <v>0</v>
      </c>
      <c r="I241" s="70">
        <f>COUNTIFS('Error Log'!$A:$A,$A241,'Error Log'!$F:$F,"Target")</f>
        <v>0</v>
      </c>
      <c r="J241" s="71">
        <f t="shared" si="4"/>
        <v>0</v>
      </c>
    </row>
    <row r="242" spans="1:10">
      <c r="A242" s="81"/>
      <c r="B242" s="70" t="str">
        <f>IF(ISBLANK(A242),"",INDEX('Error Log'!$A:$J,MATCH('Scores per segment'!$A242,'Error Log'!$A:$A,0),MATCH('Scores per segment'!B$1,'Error Log'!$A$1:$J$1,0)))</f>
        <v/>
      </c>
      <c r="C242" s="70" t="str">
        <f>IF(ISBLANK(A242),"",INDEX('Error Log'!$A:$J,MATCH('Scores per segment'!$A242,'Error Log'!$A:$A,0),MATCH('Scores per segment'!C$1,'Error Log'!$A$1:$J$1,0)))</f>
        <v/>
      </c>
      <c r="D242" s="70">
        <f>IF(H242=0,wdct(TRIM(C242)),0)</f>
        <v>0</v>
      </c>
      <c r="E242" s="70">
        <f>COUNTIFS('Error Log'!$A:$A,$A242,'Error Log'!$J:$J,E$1)</f>
        <v>0</v>
      </c>
      <c r="F242" s="70">
        <f>COUNTIFS('Error Log'!$A:$A,$A242,'Error Log'!$J:$J,F$1)</f>
        <v>0</v>
      </c>
      <c r="G242" s="70">
        <f>COUNTIFS('Error Log'!$A:$A,$A242,'Error Log'!$J:$J,G$1)</f>
        <v>0</v>
      </c>
      <c r="H242" s="70">
        <f>COUNTIFS('Error Log'!$A:$A,$A242,'Error Log'!$F:$F,"Source")</f>
        <v>0</v>
      </c>
      <c r="I242" s="70">
        <f>COUNTIFS('Error Log'!$A:$A,$A242,'Error Log'!$F:$F,"Target")</f>
        <v>0</v>
      </c>
      <c r="J242" s="71">
        <f t="shared" si="4"/>
        <v>0</v>
      </c>
    </row>
    <row r="243" spans="1:10">
      <c r="A243" s="81"/>
      <c r="B243" s="70" t="str">
        <f>IF(ISBLANK(A243),"",INDEX('Error Log'!$A:$J,MATCH('Scores per segment'!$A243,'Error Log'!$A:$A,0),MATCH('Scores per segment'!B$1,'Error Log'!$A$1:$J$1,0)))</f>
        <v/>
      </c>
      <c r="C243" s="70" t="str">
        <f>IF(ISBLANK(A243),"",INDEX('Error Log'!$A:$J,MATCH('Scores per segment'!$A243,'Error Log'!$A:$A,0),MATCH('Scores per segment'!C$1,'Error Log'!$A$1:$J$1,0)))</f>
        <v/>
      </c>
      <c r="D243" s="70">
        <f>IF(H243=0,wdct(TRIM(C243)),0)</f>
        <v>0</v>
      </c>
      <c r="E243" s="70">
        <f>COUNTIFS('Error Log'!$A:$A,$A243,'Error Log'!$J:$J,E$1)</f>
        <v>0</v>
      </c>
      <c r="F243" s="70">
        <f>COUNTIFS('Error Log'!$A:$A,$A243,'Error Log'!$J:$J,F$1)</f>
        <v>0</v>
      </c>
      <c r="G243" s="70">
        <f>COUNTIFS('Error Log'!$A:$A,$A243,'Error Log'!$J:$J,G$1)</f>
        <v>0</v>
      </c>
      <c r="H243" s="70">
        <f>COUNTIFS('Error Log'!$A:$A,$A243,'Error Log'!$F:$F,"Source")</f>
        <v>0</v>
      </c>
      <c r="I243" s="70">
        <f>COUNTIFS('Error Log'!$A:$A,$A243,'Error Log'!$F:$F,"Target")</f>
        <v>0</v>
      </c>
      <c r="J243" s="71">
        <f t="shared" si="4"/>
        <v>0</v>
      </c>
    </row>
    <row r="244" spans="1:10">
      <c r="A244" s="81"/>
      <c r="B244" s="70" t="str">
        <f>IF(ISBLANK(A244),"",INDEX('Error Log'!$A:$J,MATCH('Scores per segment'!$A244,'Error Log'!$A:$A,0),MATCH('Scores per segment'!B$1,'Error Log'!$A$1:$J$1,0)))</f>
        <v/>
      </c>
      <c r="C244" s="70" t="str">
        <f>IF(ISBLANK(A244),"",INDEX('Error Log'!$A:$J,MATCH('Scores per segment'!$A244,'Error Log'!$A:$A,0),MATCH('Scores per segment'!C$1,'Error Log'!$A$1:$J$1,0)))</f>
        <v/>
      </c>
      <c r="D244" s="70">
        <f>IF(H244=0,wdct(TRIM(C244)),0)</f>
        <v>0</v>
      </c>
      <c r="E244" s="70">
        <f>COUNTIFS('Error Log'!$A:$A,$A244,'Error Log'!$J:$J,E$1)</f>
        <v>0</v>
      </c>
      <c r="F244" s="70">
        <f>COUNTIFS('Error Log'!$A:$A,$A244,'Error Log'!$J:$J,F$1)</f>
        <v>0</v>
      </c>
      <c r="G244" s="70">
        <f>COUNTIFS('Error Log'!$A:$A,$A244,'Error Log'!$J:$J,G$1)</f>
        <v>0</v>
      </c>
      <c r="H244" s="70">
        <f>COUNTIFS('Error Log'!$A:$A,$A244,'Error Log'!$F:$F,"Source")</f>
        <v>0</v>
      </c>
      <c r="I244" s="70">
        <f>COUNTIFS('Error Log'!$A:$A,$A244,'Error Log'!$F:$F,"Target")</f>
        <v>0</v>
      </c>
      <c r="J244" s="71">
        <f t="shared" si="4"/>
        <v>0</v>
      </c>
    </row>
    <row r="245" spans="1:10">
      <c r="A245" s="81"/>
      <c r="B245" s="70" t="str">
        <f>IF(ISBLANK(A245),"",INDEX('Error Log'!$A:$J,MATCH('Scores per segment'!$A245,'Error Log'!$A:$A,0),MATCH('Scores per segment'!B$1,'Error Log'!$A$1:$J$1,0)))</f>
        <v/>
      </c>
      <c r="C245" s="70" t="str">
        <f>IF(ISBLANK(A245),"",INDEX('Error Log'!$A:$J,MATCH('Scores per segment'!$A245,'Error Log'!$A:$A,0),MATCH('Scores per segment'!C$1,'Error Log'!$A$1:$J$1,0)))</f>
        <v/>
      </c>
      <c r="D245" s="70">
        <f>IF(H245=0,wdct(TRIM(C245)),0)</f>
        <v>0</v>
      </c>
      <c r="E245" s="70">
        <f>COUNTIFS('Error Log'!$A:$A,$A245,'Error Log'!$J:$J,E$1)</f>
        <v>0</v>
      </c>
      <c r="F245" s="70">
        <f>COUNTIFS('Error Log'!$A:$A,$A245,'Error Log'!$J:$J,F$1)</f>
        <v>0</v>
      </c>
      <c r="G245" s="70">
        <f>COUNTIFS('Error Log'!$A:$A,$A245,'Error Log'!$J:$J,G$1)</f>
        <v>0</v>
      </c>
      <c r="H245" s="70">
        <f>COUNTIFS('Error Log'!$A:$A,$A245,'Error Log'!$F:$F,"Source")</f>
        <v>0</v>
      </c>
      <c r="I245" s="70">
        <f>COUNTIFS('Error Log'!$A:$A,$A245,'Error Log'!$F:$F,"Target")</f>
        <v>0</v>
      </c>
      <c r="J245" s="71">
        <f t="shared" si="4"/>
        <v>0</v>
      </c>
    </row>
    <row r="246" spans="1:10">
      <c r="A246" s="81"/>
      <c r="B246" s="70" t="str">
        <f>IF(ISBLANK(A246),"",INDEX('Error Log'!$A:$J,MATCH('Scores per segment'!$A246,'Error Log'!$A:$A,0),MATCH('Scores per segment'!B$1,'Error Log'!$A$1:$J$1,0)))</f>
        <v/>
      </c>
      <c r="C246" s="70" t="str">
        <f>IF(ISBLANK(A246),"",INDEX('Error Log'!$A:$J,MATCH('Scores per segment'!$A246,'Error Log'!$A:$A,0),MATCH('Scores per segment'!C$1,'Error Log'!$A$1:$J$1,0)))</f>
        <v/>
      </c>
      <c r="D246" s="70">
        <f>IF(H246=0,wdct(TRIM(C246)),0)</f>
        <v>0</v>
      </c>
      <c r="E246" s="70">
        <f>COUNTIFS('Error Log'!$A:$A,$A246,'Error Log'!$J:$J,E$1)</f>
        <v>0</v>
      </c>
      <c r="F246" s="70">
        <f>COUNTIFS('Error Log'!$A:$A,$A246,'Error Log'!$J:$J,F$1)</f>
        <v>0</v>
      </c>
      <c r="G246" s="70">
        <f>COUNTIFS('Error Log'!$A:$A,$A246,'Error Log'!$J:$J,G$1)</f>
        <v>0</v>
      </c>
      <c r="H246" s="70">
        <f>COUNTIFS('Error Log'!$A:$A,$A246,'Error Log'!$F:$F,"Source")</f>
        <v>0</v>
      </c>
      <c r="I246" s="70">
        <f>COUNTIFS('Error Log'!$A:$A,$A246,'Error Log'!$F:$F,"Target")</f>
        <v>0</v>
      </c>
      <c r="J246" s="71">
        <f t="shared" si="4"/>
        <v>0</v>
      </c>
    </row>
    <row r="247" spans="1:10">
      <c r="A247" s="81"/>
      <c r="B247" s="70" t="str">
        <f>IF(ISBLANK(A247),"",INDEX('Error Log'!$A:$J,MATCH('Scores per segment'!$A247,'Error Log'!$A:$A,0),MATCH('Scores per segment'!B$1,'Error Log'!$A$1:$J$1,0)))</f>
        <v/>
      </c>
      <c r="C247" s="70" t="str">
        <f>IF(ISBLANK(A247),"",INDEX('Error Log'!$A:$J,MATCH('Scores per segment'!$A247,'Error Log'!$A:$A,0),MATCH('Scores per segment'!C$1,'Error Log'!$A$1:$J$1,0)))</f>
        <v/>
      </c>
      <c r="D247" s="70">
        <f>IF(H247=0,wdct(TRIM(C247)),0)</f>
        <v>0</v>
      </c>
      <c r="E247" s="70">
        <f>COUNTIFS('Error Log'!$A:$A,$A247,'Error Log'!$J:$J,E$1)</f>
        <v>0</v>
      </c>
      <c r="F247" s="70">
        <f>COUNTIFS('Error Log'!$A:$A,$A247,'Error Log'!$J:$J,F$1)</f>
        <v>0</v>
      </c>
      <c r="G247" s="70">
        <f>COUNTIFS('Error Log'!$A:$A,$A247,'Error Log'!$J:$J,G$1)</f>
        <v>0</v>
      </c>
      <c r="H247" s="70">
        <f>COUNTIFS('Error Log'!$A:$A,$A247,'Error Log'!$F:$F,"Source")</f>
        <v>0</v>
      </c>
      <c r="I247" s="70">
        <f>COUNTIFS('Error Log'!$A:$A,$A247,'Error Log'!$F:$F,"Target")</f>
        <v>0</v>
      </c>
      <c r="J247" s="71">
        <f t="shared" si="4"/>
        <v>0</v>
      </c>
    </row>
    <row r="248" spans="1:10">
      <c r="A248" s="81"/>
      <c r="B248" s="70" t="str">
        <f>IF(ISBLANK(A248),"",INDEX('Error Log'!$A:$J,MATCH('Scores per segment'!$A248,'Error Log'!$A:$A,0),MATCH('Scores per segment'!B$1,'Error Log'!$A$1:$J$1,0)))</f>
        <v/>
      </c>
      <c r="C248" s="70" t="str">
        <f>IF(ISBLANK(A248),"",INDEX('Error Log'!$A:$J,MATCH('Scores per segment'!$A248,'Error Log'!$A:$A,0),MATCH('Scores per segment'!C$1,'Error Log'!$A$1:$J$1,0)))</f>
        <v/>
      </c>
      <c r="D248" s="70">
        <f>IF(H248=0,wdct(TRIM(C248)),0)</f>
        <v>0</v>
      </c>
      <c r="E248" s="70">
        <f>COUNTIFS('Error Log'!$A:$A,$A248,'Error Log'!$J:$J,E$1)</f>
        <v>0</v>
      </c>
      <c r="F248" s="70">
        <f>COUNTIFS('Error Log'!$A:$A,$A248,'Error Log'!$J:$J,F$1)</f>
        <v>0</v>
      </c>
      <c r="G248" s="70">
        <f>COUNTIFS('Error Log'!$A:$A,$A248,'Error Log'!$J:$J,G$1)</f>
        <v>0</v>
      </c>
      <c r="H248" s="70">
        <f>COUNTIFS('Error Log'!$A:$A,$A248,'Error Log'!$F:$F,"Source")</f>
        <v>0</v>
      </c>
      <c r="I248" s="70">
        <f>COUNTIFS('Error Log'!$A:$A,$A248,'Error Log'!$F:$F,"Target")</f>
        <v>0</v>
      </c>
      <c r="J248" s="71">
        <f t="shared" si="4"/>
        <v>0</v>
      </c>
    </row>
    <row r="249" spans="1:10">
      <c r="A249" s="81"/>
      <c r="B249" s="70" t="str">
        <f>IF(ISBLANK(A249),"",INDEX('Error Log'!$A:$J,MATCH('Scores per segment'!$A249,'Error Log'!$A:$A,0),MATCH('Scores per segment'!B$1,'Error Log'!$A$1:$J$1,0)))</f>
        <v/>
      </c>
      <c r="C249" s="70" t="str">
        <f>IF(ISBLANK(A249),"",INDEX('Error Log'!$A:$J,MATCH('Scores per segment'!$A249,'Error Log'!$A:$A,0),MATCH('Scores per segment'!C$1,'Error Log'!$A$1:$J$1,0)))</f>
        <v/>
      </c>
      <c r="D249" s="70">
        <f>IF(H249=0,wdct(TRIM(C249)),0)</f>
        <v>0</v>
      </c>
      <c r="E249" s="70">
        <f>COUNTIFS('Error Log'!$A:$A,$A249,'Error Log'!$J:$J,E$1)</f>
        <v>0</v>
      </c>
      <c r="F249" s="70">
        <f>COUNTIFS('Error Log'!$A:$A,$A249,'Error Log'!$J:$J,F$1)</f>
        <v>0</v>
      </c>
      <c r="G249" s="70">
        <f>COUNTIFS('Error Log'!$A:$A,$A249,'Error Log'!$J:$J,G$1)</f>
        <v>0</v>
      </c>
      <c r="H249" s="70">
        <f>COUNTIFS('Error Log'!$A:$A,$A249,'Error Log'!$F:$F,"Source")</f>
        <v>0</v>
      </c>
      <c r="I249" s="70">
        <f>COUNTIFS('Error Log'!$A:$A,$A249,'Error Log'!$F:$F,"Target")</f>
        <v>0</v>
      </c>
      <c r="J249" s="71">
        <f t="shared" si="4"/>
        <v>0</v>
      </c>
    </row>
    <row r="250" spans="1:10">
      <c r="A250" s="81"/>
      <c r="B250" s="70" t="str">
        <f>IF(ISBLANK(A250),"",INDEX('Error Log'!$A:$J,MATCH('Scores per segment'!$A250,'Error Log'!$A:$A,0),MATCH('Scores per segment'!B$1,'Error Log'!$A$1:$J$1,0)))</f>
        <v/>
      </c>
      <c r="C250" s="70" t="str">
        <f>IF(ISBLANK(A250),"",INDEX('Error Log'!$A:$J,MATCH('Scores per segment'!$A250,'Error Log'!$A:$A,0),MATCH('Scores per segment'!C$1,'Error Log'!$A$1:$J$1,0)))</f>
        <v/>
      </c>
      <c r="D250" s="70">
        <f>IF(H250=0,wdct(TRIM(C250)),0)</f>
        <v>0</v>
      </c>
      <c r="E250" s="70">
        <f>COUNTIFS('Error Log'!$A:$A,$A250,'Error Log'!$J:$J,E$1)</f>
        <v>0</v>
      </c>
      <c r="F250" s="70">
        <f>COUNTIFS('Error Log'!$A:$A,$A250,'Error Log'!$J:$J,F$1)</f>
        <v>0</v>
      </c>
      <c r="G250" s="70">
        <f>COUNTIFS('Error Log'!$A:$A,$A250,'Error Log'!$J:$J,G$1)</f>
        <v>0</v>
      </c>
      <c r="H250" s="70">
        <f>COUNTIFS('Error Log'!$A:$A,$A250,'Error Log'!$F:$F,"Source")</f>
        <v>0</v>
      </c>
      <c r="I250" s="70">
        <f>COUNTIFS('Error Log'!$A:$A,$A250,'Error Log'!$F:$F,"Target")</f>
        <v>0</v>
      </c>
      <c r="J250" s="71">
        <f t="shared" si="4"/>
        <v>0</v>
      </c>
    </row>
    <row r="251" spans="1:10">
      <c r="A251" s="81"/>
      <c r="B251" s="70" t="str">
        <f>IF(ISBLANK(A251),"",INDEX('Error Log'!$A:$J,MATCH('Scores per segment'!$A251,'Error Log'!$A:$A,0),MATCH('Scores per segment'!B$1,'Error Log'!$A$1:$J$1,0)))</f>
        <v/>
      </c>
      <c r="C251" s="70" t="str">
        <f>IF(ISBLANK(A251),"",INDEX('Error Log'!$A:$J,MATCH('Scores per segment'!$A251,'Error Log'!$A:$A,0),MATCH('Scores per segment'!C$1,'Error Log'!$A$1:$J$1,0)))</f>
        <v/>
      </c>
      <c r="D251" s="70">
        <f>IF(H251=0,wdct(TRIM(C251)),0)</f>
        <v>0</v>
      </c>
      <c r="E251" s="70">
        <f>COUNTIFS('Error Log'!$A:$A,$A251,'Error Log'!$J:$J,E$1)</f>
        <v>0</v>
      </c>
      <c r="F251" s="70">
        <f>COUNTIFS('Error Log'!$A:$A,$A251,'Error Log'!$J:$J,F$1)</f>
        <v>0</v>
      </c>
      <c r="G251" s="70">
        <f>COUNTIFS('Error Log'!$A:$A,$A251,'Error Log'!$J:$J,G$1)</f>
        <v>0</v>
      </c>
      <c r="H251" s="70">
        <f>COUNTIFS('Error Log'!$A:$A,$A251,'Error Log'!$F:$F,"Source")</f>
        <v>0</v>
      </c>
      <c r="I251" s="70">
        <f>COUNTIFS('Error Log'!$A:$A,$A251,'Error Log'!$F:$F,"Target")</f>
        <v>0</v>
      </c>
      <c r="J251" s="71">
        <f t="shared" si="4"/>
        <v>0</v>
      </c>
    </row>
    <row r="252" spans="1:10">
      <c r="A252" s="81"/>
      <c r="B252" s="70" t="str">
        <f>IF(ISBLANK(A252),"",INDEX('Error Log'!$A:$J,MATCH('Scores per segment'!$A252,'Error Log'!$A:$A,0),MATCH('Scores per segment'!B$1,'Error Log'!$A$1:$J$1,0)))</f>
        <v/>
      </c>
      <c r="C252" s="70" t="str">
        <f>IF(ISBLANK(A252),"",INDEX('Error Log'!$A:$J,MATCH('Scores per segment'!$A252,'Error Log'!$A:$A,0),MATCH('Scores per segment'!C$1,'Error Log'!$A$1:$J$1,0)))</f>
        <v/>
      </c>
      <c r="D252" s="70">
        <f>IF(H252=0,wdct(TRIM(C252)),0)</f>
        <v>0</v>
      </c>
      <c r="E252" s="70">
        <f>COUNTIFS('Error Log'!$A:$A,$A252,'Error Log'!$J:$J,E$1)</f>
        <v>0</v>
      </c>
      <c r="F252" s="70">
        <f>COUNTIFS('Error Log'!$A:$A,$A252,'Error Log'!$J:$J,F$1)</f>
        <v>0</v>
      </c>
      <c r="G252" s="70">
        <f>COUNTIFS('Error Log'!$A:$A,$A252,'Error Log'!$J:$J,G$1)</f>
        <v>0</v>
      </c>
      <c r="H252" s="70">
        <f>COUNTIFS('Error Log'!$A:$A,$A252,'Error Log'!$F:$F,"Source")</f>
        <v>0</v>
      </c>
      <c r="I252" s="70">
        <f>COUNTIFS('Error Log'!$A:$A,$A252,'Error Log'!$F:$F,"Target")</f>
        <v>0</v>
      </c>
      <c r="J252" s="71">
        <f t="shared" si="4"/>
        <v>0</v>
      </c>
    </row>
    <row r="253" spans="1:10">
      <c r="A253" s="81"/>
      <c r="B253" s="70" t="str">
        <f>IF(ISBLANK(A253),"",INDEX('Error Log'!$A:$J,MATCH('Scores per segment'!$A253,'Error Log'!$A:$A,0),MATCH('Scores per segment'!B$1,'Error Log'!$A$1:$J$1,0)))</f>
        <v/>
      </c>
      <c r="C253" s="70" t="str">
        <f>IF(ISBLANK(A253),"",INDEX('Error Log'!$A:$J,MATCH('Scores per segment'!$A253,'Error Log'!$A:$A,0),MATCH('Scores per segment'!C$1,'Error Log'!$A$1:$J$1,0)))</f>
        <v/>
      </c>
      <c r="D253" s="70">
        <f>IF(H253=0,wdct(TRIM(C253)),0)</f>
        <v>0</v>
      </c>
      <c r="E253" s="70">
        <f>COUNTIFS('Error Log'!$A:$A,$A253,'Error Log'!$J:$J,E$1)</f>
        <v>0</v>
      </c>
      <c r="F253" s="70">
        <f>COUNTIFS('Error Log'!$A:$A,$A253,'Error Log'!$J:$J,F$1)</f>
        <v>0</v>
      </c>
      <c r="G253" s="70">
        <f>COUNTIFS('Error Log'!$A:$A,$A253,'Error Log'!$J:$J,G$1)</f>
        <v>0</v>
      </c>
      <c r="H253" s="70">
        <f>COUNTIFS('Error Log'!$A:$A,$A253,'Error Log'!$F:$F,"Source")</f>
        <v>0</v>
      </c>
      <c r="I253" s="70">
        <f>COUNTIFS('Error Log'!$A:$A,$A253,'Error Log'!$F:$F,"Target")</f>
        <v>0</v>
      </c>
      <c r="J253" s="71">
        <f t="shared" si="4"/>
        <v>0</v>
      </c>
    </row>
    <row r="254" spans="1:10">
      <c r="A254" s="81"/>
      <c r="B254" s="70" t="str">
        <f>IF(ISBLANK(A254),"",INDEX('Error Log'!$A:$J,MATCH('Scores per segment'!$A254,'Error Log'!$A:$A,0),MATCH('Scores per segment'!B$1,'Error Log'!$A$1:$J$1,0)))</f>
        <v/>
      </c>
      <c r="C254" s="70" t="str">
        <f>IF(ISBLANK(A254),"",INDEX('Error Log'!$A:$J,MATCH('Scores per segment'!$A254,'Error Log'!$A:$A,0),MATCH('Scores per segment'!C$1,'Error Log'!$A$1:$J$1,0)))</f>
        <v/>
      </c>
      <c r="D254" s="70">
        <f>IF(H254=0,wdct(TRIM(C254)),0)</f>
        <v>0</v>
      </c>
      <c r="E254" s="70">
        <f>COUNTIFS('Error Log'!$A:$A,$A254,'Error Log'!$J:$J,E$1)</f>
        <v>0</v>
      </c>
      <c r="F254" s="70">
        <f>COUNTIFS('Error Log'!$A:$A,$A254,'Error Log'!$J:$J,F$1)</f>
        <v>0</v>
      </c>
      <c r="G254" s="70">
        <f>COUNTIFS('Error Log'!$A:$A,$A254,'Error Log'!$J:$J,G$1)</f>
        <v>0</v>
      </c>
      <c r="H254" s="70">
        <f>COUNTIFS('Error Log'!$A:$A,$A254,'Error Log'!$F:$F,"Source")</f>
        <v>0</v>
      </c>
      <c r="I254" s="70">
        <f>COUNTIFS('Error Log'!$A:$A,$A254,'Error Log'!$F:$F,"Target")</f>
        <v>0</v>
      </c>
      <c r="J254" s="71">
        <f t="shared" si="4"/>
        <v>0</v>
      </c>
    </row>
    <row r="255" spans="1:10">
      <c r="A255" s="81"/>
      <c r="B255" s="70" t="str">
        <f>IF(ISBLANK(A255),"",INDEX('Error Log'!$A:$J,MATCH('Scores per segment'!$A255,'Error Log'!$A:$A,0),MATCH('Scores per segment'!B$1,'Error Log'!$A$1:$J$1,0)))</f>
        <v/>
      </c>
      <c r="C255" s="70" t="str">
        <f>IF(ISBLANK(A255),"",INDEX('Error Log'!$A:$J,MATCH('Scores per segment'!$A255,'Error Log'!$A:$A,0),MATCH('Scores per segment'!C$1,'Error Log'!$A$1:$J$1,0)))</f>
        <v/>
      </c>
      <c r="D255" s="70">
        <f>IF(H255=0,wdct(TRIM(C255)),0)</f>
        <v>0</v>
      </c>
      <c r="E255" s="70">
        <f>COUNTIFS('Error Log'!$A:$A,$A255,'Error Log'!$J:$J,E$1)</f>
        <v>0</v>
      </c>
      <c r="F255" s="70">
        <f>COUNTIFS('Error Log'!$A:$A,$A255,'Error Log'!$J:$J,F$1)</f>
        <v>0</v>
      </c>
      <c r="G255" s="70">
        <f>COUNTIFS('Error Log'!$A:$A,$A255,'Error Log'!$J:$J,G$1)</f>
        <v>0</v>
      </c>
      <c r="H255" s="70">
        <f>COUNTIFS('Error Log'!$A:$A,$A255,'Error Log'!$F:$F,"Source")</f>
        <v>0</v>
      </c>
      <c r="I255" s="70">
        <f>COUNTIFS('Error Log'!$A:$A,$A255,'Error Log'!$F:$F,"Target")</f>
        <v>0</v>
      </c>
      <c r="J255" s="71">
        <f t="shared" si="4"/>
        <v>0</v>
      </c>
    </row>
    <row r="256" spans="1:10">
      <c r="A256" s="81"/>
      <c r="B256" s="70" t="str">
        <f>IF(ISBLANK(A256),"",INDEX('Error Log'!$A:$J,MATCH('Scores per segment'!$A256,'Error Log'!$A:$A,0),MATCH('Scores per segment'!B$1,'Error Log'!$A$1:$J$1,0)))</f>
        <v/>
      </c>
      <c r="C256" s="70" t="str">
        <f>IF(ISBLANK(A256),"",INDEX('Error Log'!$A:$J,MATCH('Scores per segment'!$A256,'Error Log'!$A:$A,0),MATCH('Scores per segment'!C$1,'Error Log'!$A$1:$J$1,0)))</f>
        <v/>
      </c>
      <c r="D256" s="70">
        <f>IF(H256=0,wdct(TRIM(C256)),0)</f>
        <v>0</v>
      </c>
      <c r="E256" s="70">
        <f>COUNTIFS('Error Log'!$A:$A,$A256,'Error Log'!$J:$J,E$1)</f>
        <v>0</v>
      </c>
      <c r="F256" s="70">
        <f>COUNTIFS('Error Log'!$A:$A,$A256,'Error Log'!$J:$J,F$1)</f>
        <v>0</v>
      </c>
      <c r="G256" s="70">
        <f>COUNTIFS('Error Log'!$A:$A,$A256,'Error Log'!$J:$J,G$1)</f>
        <v>0</v>
      </c>
      <c r="H256" s="70">
        <f>COUNTIFS('Error Log'!$A:$A,$A256,'Error Log'!$F:$F,"Source")</f>
        <v>0</v>
      </c>
      <c r="I256" s="70">
        <f>COUNTIFS('Error Log'!$A:$A,$A256,'Error Log'!$F:$F,"Target")</f>
        <v>0</v>
      </c>
      <c r="J256" s="71">
        <f t="shared" si="4"/>
        <v>0</v>
      </c>
    </row>
    <row r="257" spans="1:10">
      <c r="A257" s="81"/>
      <c r="B257" s="70" t="str">
        <f>IF(ISBLANK(A257),"",INDEX('Error Log'!$A:$J,MATCH('Scores per segment'!$A257,'Error Log'!$A:$A,0),MATCH('Scores per segment'!B$1,'Error Log'!$A$1:$J$1,0)))</f>
        <v/>
      </c>
      <c r="C257" s="70" t="str">
        <f>IF(ISBLANK(A257),"",INDEX('Error Log'!$A:$J,MATCH('Scores per segment'!$A257,'Error Log'!$A:$A,0),MATCH('Scores per segment'!C$1,'Error Log'!$A$1:$J$1,0)))</f>
        <v/>
      </c>
      <c r="D257" s="70">
        <f>IF(H257=0,wdct(TRIM(C257)),0)</f>
        <v>0</v>
      </c>
      <c r="E257" s="70">
        <f>COUNTIFS('Error Log'!$A:$A,$A257,'Error Log'!$J:$J,E$1)</f>
        <v>0</v>
      </c>
      <c r="F257" s="70">
        <f>COUNTIFS('Error Log'!$A:$A,$A257,'Error Log'!$J:$J,F$1)</f>
        <v>0</v>
      </c>
      <c r="G257" s="70">
        <f>COUNTIFS('Error Log'!$A:$A,$A257,'Error Log'!$J:$J,G$1)</f>
        <v>0</v>
      </c>
      <c r="H257" s="70">
        <f>COUNTIFS('Error Log'!$A:$A,$A257,'Error Log'!$F:$F,"Source")</f>
        <v>0</v>
      </c>
      <c r="I257" s="70">
        <f>COUNTIFS('Error Log'!$A:$A,$A257,'Error Log'!$F:$F,"Target")</f>
        <v>0</v>
      </c>
      <c r="J257" s="71">
        <f t="shared" si="4"/>
        <v>0</v>
      </c>
    </row>
    <row r="258" spans="1:10">
      <c r="A258" s="81"/>
      <c r="B258" s="70" t="str">
        <f>IF(ISBLANK(A258),"",INDEX('Error Log'!$A:$J,MATCH('Scores per segment'!$A258,'Error Log'!$A:$A,0),MATCH('Scores per segment'!B$1,'Error Log'!$A$1:$J$1,0)))</f>
        <v/>
      </c>
      <c r="C258" s="70" t="str">
        <f>IF(ISBLANK(A258),"",INDEX('Error Log'!$A:$J,MATCH('Scores per segment'!$A258,'Error Log'!$A:$A,0),MATCH('Scores per segment'!C$1,'Error Log'!$A$1:$J$1,0)))</f>
        <v/>
      </c>
      <c r="D258" s="70">
        <f>IF(H258=0,wdct(TRIM(C258)),0)</f>
        <v>0</v>
      </c>
      <c r="E258" s="70">
        <f>COUNTIFS('Error Log'!$A:$A,$A258,'Error Log'!$J:$J,E$1)</f>
        <v>0</v>
      </c>
      <c r="F258" s="70">
        <f>COUNTIFS('Error Log'!$A:$A,$A258,'Error Log'!$J:$J,F$1)</f>
        <v>0</v>
      </c>
      <c r="G258" s="70">
        <f>COUNTIFS('Error Log'!$A:$A,$A258,'Error Log'!$J:$J,G$1)</f>
        <v>0</v>
      </c>
      <c r="H258" s="70">
        <f>COUNTIFS('Error Log'!$A:$A,$A258,'Error Log'!$F:$F,"Source")</f>
        <v>0</v>
      </c>
      <c r="I258" s="70">
        <f>COUNTIFS('Error Log'!$A:$A,$A258,'Error Log'!$F:$F,"Target")</f>
        <v>0</v>
      </c>
      <c r="J258" s="71">
        <f t="shared" ref="J258:J321" si="5">IF(I258=0,IFERROR((((1-((E258*10+F258*5+G258*1)/D258))*100)+100)/2,0),-150)</f>
        <v>0</v>
      </c>
    </row>
    <row r="259" spans="1:10">
      <c r="A259" s="81"/>
      <c r="B259" s="70" t="str">
        <f>IF(ISBLANK(A259),"",INDEX('Error Log'!$A:$J,MATCH('Scores per segment'!$A259,'Error Log'!$A:$A,0),MATCH('Scores per segment'!B$1,'Error Log'!$A$1:$J$1,0)))</f>
        <v/>
      </c>
      <c r="C259" s="70" t="str">
        <f>IF(ISBLANK(A259),"",INDEX('Error Log'!$A:$J,MATCH('Scores per segment'!$A259,'Error Log'!$A:$A,0),MATCH('Scores per segment'!C$1,'Error Log'!$A$1:$J$1,0)))</f>
        <v/>
      </c>
      <c r="D259" s="70">
        <f>IF(H259=0,wdct(TRIM(C259)),0)</f>
        <v>0</v>
      </c>
      <c r="E259" s="70">
        <f>COUNTIFS('Error Log'!$A:$A,$A259,'Error Log'!$J:$J,E$1)</f>
        <v>0</v>
      </c>
      <c r="F259" s="70">
        <f>COUNTIFS('Error Log'!$A:$A,$A259,'Error Log'!$J:$J,F$1)</f>
        <v>0</v>
      </c>
      <c r="G259" s="70">
        <f>COUNTIFS('Error Log'!$A:$A,$A259,'Error Log'!$J:$J,G$1)</f>
        <v>0</v>
      </c>
      <c r="H259" s="70">
        <f>COUNTIFS('Error Log'!$A:$A,$A259,'Error Log'!$F:$F,"Source")</f>
        <v>0</v>
      </c>
      <c r="I259" s="70">
        <f>COUNTIFS('Error Log'!$A:$A,$A259,'Error Log'!$F:$F,"Target")</f>
        <v>0</v>
      </c>
      <c r="J259" s="71">
        <f t="shared" si="5"/>
        <v>0</v>
      </c>
    </row>
    <row r="260" spans="1:10">
      <c r="A260" s="81"/>
      <c r="B260" s="70" t="str">
        <f>IF(ISBLANK(A260),"",INDEX('Error Log'!$A:$J,MATCH('Scores per segment'!$A260,'Error Log'!$A:$A,0),MATCH('Scores per segment'!B$1,'Error Log'!$A$1:$J$1,0)))</f>
        <v/>
      </c>
      <c r="C260" s="70" t="str">
        <f>IF(ISBLANK(A260),"",INDEX('Error Log'!$A:$J,MATCH('Scores per segment'!$A260,'Error Log'!$A:$A,0),MATCH('Scores per segment'!C$1,'Error Log'!$A$1:$J$1,0)))</f>
        <v/>
      </c>
      <c r="D260" s="70">
        <f>IF(H260=0,wdct(TRIM(C260)),0)</f>
        <v>0</v>
      </c>
      <c r="E260" s="70">
        <f>COUNTIFS('Error Log'!$A:$A,$A260,'Error Log'!$J:$J,E$1)</f>
        <v>0</v>
      </c>
      <c r="F260" s="70">
        <f>COUNTIFS('Error Log'!$A:$A,$A260,'Error Log'!$J:$J,F$1)</f>
        <v>0</v>
      </c>
      <c r="G260" s="70">
        <f>COUNTIFS('Error Log'!$A:$A,$A260,'Error Log'!$J:$J,G$1)</f>
        <v>0</v>
      </c>
      <c r="H260" s="70">
        <f>COUNTIFS('Error Log'!$A:$A,$A260,'Error Log'!$F:$F,"Source")</f>
        <v>0</v>
      </c>
      <c r="I260" s="70">
        <f>COUNTIFS('Error Log'!$A:$A,$A260,'Error Log'!$F:$F,"Target")</f>
        <v>0</v>
      </c>
      <c r="J260" s="71">
        <f t="shared" si="5"/>
        <v>0</v>
      </c>
    </row>
    <row r="261" spans="1:10">
      <c r="A261" s="81"/>
      <c r="B261" s="70" t="str">
        <f>IF(ISBLANK(A261),"",INDEX('Error Log'!$A:$J,MATCH('Scores per segment'!$A261,'Error Log'!$A:$A,0),MATCH('Scores per segment'!B$1,'Error Log'!$A$1:$J$1,0)))</f>
        <v/>
      </c>
      <c r="C261" s="70" t="str">
        <f>IF(ISBLANK(A261),"",INDEX('Error Log'!$A:$J,MATCH('Scores per segment'!$A261,'Error Log'!$A:$A,0),MATCH('Scores per segment'!C$1,'Error Log'!$A$1:$J$1,0)))</f>
        <v/>
      </c>
      <c r="D261" s="70">
        <f>IF(H261=0,wdct(TRIM(C261)),0)</f>
        <v>0</v>
      </c>
      <c r="E261" s="70">
        <f>COUNTIFS('Error Log'!$A:$A,$A261,'Error Log'!$J:$J,E$1)</f>
        <v>0</v>
      </c>
      <c r="F261" s="70">
        <f>COUNTIFS('Error Log'!$A:$A,$A261,'Error Log'!$J:$J,F$1)</f>
        <v>0</v>
      </c>
      <c r="G261" s="70">
        <f>COUNTIFS('Error Log'!$A:$A,$A261,'Error Log'!$J:$J,G$1)</f>
        <v>0</v>
      </c>
      <c r="H261" s="70">
        <f>COUNTIFS('Error Log'!$A:$A,$A261,'Error Log'!$F:$F,"Source")</f>
        <v>0</v>
      </c>
      <c r="I261" s="70">
        <f>COUNTIFS('Error Log'!$A:$A,$A261,'Error Log'!$F:$F,"Target")</f>
        <v>0</v>
      </c>
      <c r="J261" s="71">
        <f t="shared" si="5"/>
        <v>0</v>
      </c>
    </row>
    <row r="262" spans="1:10">
      <c r="A262" s="81"/>
      <c r="B262" s="70" t="str">
        <f>IF(ISBLANK(A262),"",INDEX('Error Log'!$A:$J,MATCH('Scores per segment'!$A262,'Error Log'!$A:$A,0),MATCH('Scores per segment'!B$1,'Error Log'!$A$1:$J$1,0)))</f>
        <v/>
      </c>
      <c r="C262" s="70" t="str">
        <f>IF(ISBLANK(A262),"",INDEX('Error Log'!$A:$J,MATCH('Scores per segment'!$A262,'Error Log'!$A:$A,0),MATCH('Scores per segment'!C$1,'Error Log'!$A$1:$J$1,0)))</f>
        <v/>
      </c>
      <c r="D262" s="70">
        <f>IF(H262=0,wdct(TRIM(C262)),0)</f>
        <v>0</v>
      </c>
      <c r="E262" s="70">
        <f>COUNTIFS('Error Log'!$A:$A,$A262,'Error Log'!$J:$J,E$1)</f>
        <v>0</v>
      </c>
      <c r="F262" s="70">
        <f>COUNTIFS('Error Log'!$A:$A,$A262,'Error Log'!$J:$J,F$1)</f>
        <v>0</v>
      </c>
      <c r="G262" s="70">
        <f>COUNTIFS('Error Log'!$A:$A,$A262,'Error Log'!$J:$J,G$1)</f>
        <v>0</v>
      </c>
      <c r="H262" s="70">
        <f>COUNTIFS('Error Log'!$A:$A,$A262,'Error Log'!$F:$F,"Source")</f>
        <v>0</v>
      </c>
      <c r="I262" s="70">
        <f>COUNTIFS('Error Log'!$A:$A,$A262,'Error Log'!$F:$F,"Target")</f>
        <v>0</v>
      </c>
      <c r="J262" s="71">
        <f t="shared" si="5"/>
        <v>0</v>
      </c>
    </row>
    <row r="263" spans="1:10">
      <c r="A263" s="81"/>
      <c r="B263" s="70" t="str">
        <f>IF(ISBLANK(A263),"",INDEX('Error Log'!$A:$J,MATCH('Scores per segment'!$A263,'Error Log'!$A:$A,0),MATCH('Scores per segment'!B$1,'Error Log'!$A$1:$J$1,0)))</f>
        <v/>
      </c>
      <c r="C263" s="70" t="str">
        <f>IF(ISBLANK(A263),"",INDEX('Error Log'!$A:$J,MATCH('Scores per segment'!$A263,'Error Log'!$A:$A,0),MATCH('Scores per segment'!C$1,'Error Log'!$A$1:$J$1,0)))</f>
        <v/>
      </c>
      <c r="D263" s="70">
        <f>IF(H263=0,wdct(TRIM(C263)),0)</f>
        <v>0</v>
      </c>
      <c r="E263" s="70">
        <f>COUNTIFS('Error Log'!$A:$A,$A263,'Error Log'!$J:$J,E$1)</f>
        <v>0</v>
      </c>
      <c r="F263" s="70">
        <f>COUNTIFS('Error Log'!$A:$A,$A263,'Error Log'!$J:$J,F$1)</f>
        <v>0</v>
      </c>
      <c r="G263" s="70">
        <f>COUNTIFS('Error Log'!$A:$A,$A263,'Error Log'!$J:$J,G$1)</f>
        <v>0</v>
      </c>
      <c r="H263" s="70">
        <f>COUNTIFS('Error Log'!$A:$A,$A263,'Error Log'!$F:$F,"Source")</f>
        <v>0</v>
      </c>
      <c r="I263" s="70">
        <f>COUNTIFS('Error Log'!$A:$A,$A263,'Error Log'!$F:$F,"Target")</f>
        <v>0</v>
      </c>
      <c r="J263" s="71">
        <f t="shared" si="5"/>
        <v>0</v>
      </c>
    </row>
    <row r="264" spans="1:10">
      <c r="A264" s="81"/>
      <c r="B264" s="70" t="str">
        <f>IF(ISBLANK(A264),"",INDEX('Error Log'!$A:$J,MATCH('Scores per segment'!$A264,'Error Log'!$A:$A,0),MATCH('Scores per segment'!B$1,'Error Log'!$A$1:$J$1,0)))</f>
        <v/>
      </c>
      <c r="C264" s="70" t="str">
        <f>IF(ISBLANK(A264),"",INDEX('Error Log'!$A:$J,MATCH('Scores per segment'!$A264,'Error Log'!$A:$A,0),MATCH('Scores per segment'!C$1,'Error Log'!$A$1:$J$1,0)))</f>
        <v/>
      </c>
      <c r="D264" s="70">
        <f>IF(H264=0,wdct(TRIM(C264)),0)</f>
        <v>0</v>
      </c>
      <c r="E264" s="70">
        <f>COUNTIFS('Error Log'!$A:$A,$A264,'Error Log'!$J:$J,E$1)</f>
        <v>0</v>
      </c>
      <c r="F264" s="70">
        <f>COUNTIFS('Error Log'!$A:$A,$A264,'Error Log'!$J:$J,F$1)</f>
        <v>0</v>
      </c>
      <c r="G264" s="70">
        <f>COUNTIFS('Error Log'!$A:$A,$A264,'Error Log'!$J:$J,G$1)</f>
        <v>0</v>
      </c>
      <c r="H264" s="70">
        <f>COUNTIFS('Error Log'!$A:$A,$A264,'Error Log'!$F:$F,"Source")</f>
        <v>0</v>
      </c>
      <c r="I264" s="70">
        <f>COUNTIFS('Error Log'!$A:$A,$A264,'Error Log'!$F:$F,"Target")</f>
        <v>0</v>
      </c>
      <c r="J264" s="71">
        <f t="shared" si="5"/>
        <v>0</v>
      </c>
    </row>
    <row r="265" spans="1:10">
      <c r="A265" s="81"/>
      <c r="B265" s="70" t="str">
        <f>IF(ISBLANK(A265),"",INDEX('Error Log'!$A:$J,MATCH('Scores per segment'!$A265,'Error Log'!$A:$A,0),MATCH('Scores per segment'!B$1,'Error Log'!$A$1:$J$1,0)))</f>
        <v/>
      </c>
      <c r="C265" s="70" t="str">
        <f>IF(ISBLANK(A265),"",INDEX('Error Log'!$A:$J,MATCH('Scores per segment'!$A265,'Error Log'!$A:$A,0),MATCH('Scores per segment'!C$1,'Error Log'!$A$1:$J$1,0)))</f>
        <v/>
      </c>
      <c r="D265" s="70">
        <f>IF(H265=0,wdct(TRIM(C265)),0)</f>
        <v>0</v>
      </c>
      <c r="E265" s="70">
        <f>COUNTIFS('Error Log'!$A:$A,$A265,'Error Log'!$J:$J,E$1)</f>
        <v>0</v>
      </c>
      <c r="F265" s="70">
        <f>COUNTIFS('Error Log'!$A:$A,$A265,'Error Log'!$J:$J,F$1)</f>
        <v>0</v>
      </c>
      <c r="G265" s="70">
        <f>COUNTIFS('Error Log'!$A:$A,$A265,'Error Log'!$J:$J,G$1)</f>
        <v>0</v>
      </c>
      <c r="H265" s="70">
        <f>COUNTIFS('Error Log'!$A:$A,$A265,'Error Log'!$F:$F,"Source")</f>
        <v>0</v>
      </c>
      <c r="I265" s="70">
        <f>COUNTIFS('Error Log'!$A:$A,$A265,'Error Log'!$F:$F,"Target")</f>
        <v>0</v>
      </c>
      <c r="J265" s="71">
        <f t="shared" si="5"/>
        <v>0</v>
      </c>
    </row>
    <row r="266" spans="1:10">
      <c r="A266" s="81"/>
      <c r="B266" s="70" t="str">
        <f>IF(ISBLANK(A266),"",INDEX('Error Log'!$A:$J,MATCH('Scores per segment'!$A266,'Error Log'!$A:$A,0),MATCH('Scores per segment'!B$1,'Error Log'!$A$1:$J$1,0)))</f>
        <v/>
      </c>
      <c r="C266" s="70" t="str">
        <f>IF(ISBLANK(A266),"",INDEX('Error Log'!$A:$J,MATCH('Scores per segment'!$A266,'Error Log'!$A:$A,0),MATCH('Scores per segment'!C$1,'Error Log'!$A$1:$J$1,0)))</f>
        <v/>
      </c>
      <c r="D266" s="70">
        <f>IF(H266=0,wdct(TRIM(C266)),0)</f>
        <v>0</v>
      </c>
      <c r="E266" s="70">
        <f>COUNTIFS('Error Log'!$A:$A,$A266,'Error Log'!$J:$J,E$1)</f>
        <v>0</v>
      </c>
      <c r="F266" s="70">
        <f>COUNTIFS('Error Log'!$A:$A,$A266,'Error Log'!$J:$J,F$1)</f>
        <v>0</v>
      </c>
      <c r="G266" s="70">
        <f>COUNTIFS('Error Log'!$A:$A,$A266,'Error Log'!$J:$J,G$1)</f>
        <v>0</v>
      </c>
      <c r="H266" s="70">
        <f>COUNTIFS('Error Log'!$A:$A,$A266,'Error Log'!$F:$F,"Source")</f>
        <v>0</v>
      </c>
      <c r="I266" s="70">
        <f>COUNTIFS('Error Log'!$A:$A,$A266,'Error Log'!$F:$F,"Target")</f>
        <v>0</v>
      </c>
      <c r="J266" s="71">
        <f t="shared" si="5"/>
        <v>0</v>
      </c>
    </row>
    <row r="267" spans="1:10">
      <c r="A267" s="81"/>
      <c r="B267" s="70" t="str">
        <f>IF(ISBLANK(A267),"",INDEX('Error Log'!$A:$J,MATCH('Scores per segment'!$A267,'Error Log'!$A:$A,0),MATCH('Scores per segment'!B$1,'Error Log'!$A$1:$J$1,0)))</f>
        <v/>
      </c>
      <c r="C267" s="70" t="str">
        <f>IF(ISBLANK(A267),"",INDEX('Error Log'!$A:$J,MATCH('Scores per segment'!$A267,'Error Log'!$A:$A,0),MATCH('Scores per segment'!C$1,'Error Log'!$A$1:$J$1,0)))</f>
        <v/>
      </c>
      <c r="D267" s="70">
        <f>IF(H267=0,wdct(TRIM(C267)),0)</f>
        <v>0</v>
      </c>
      <c r="E267" s="70">
        <f>COUNTIFS('Error Log'!$A:$A,$A267,'Error Log'!$J:$J,E$1)</f>
        <v>0</v>
      </c>
      <c r="F267" s="70">
        <f>COUNTIFS('Error Log'!$A:$A,$A267,'Error Log'!$J:$J,F$1)</f>
        <v>0</v>
      </c>
      <c r="G267" s="70">
        <f>COUNTIFS('Error Log'!$A:$A,$A267,'Error Log'!$J:$J,G$1)</f>
        <v>0</v>
      </c>
      <c r="H267" s="70">
        <f>COUNTIFS('Error Log'!$A:$A,$A267,'Error Log'!$F:$F,"Source")</f>
        <v>0</v>
      </c>
      <c r="I267" s="70">
        <f>COUNTIFS('Error Log'!$A:$A,$A267,'Error Log'!$F:$F,"Target")</f>
        <v>0</v>
      </c>
      <c r="J267" s="71">
        <f t="shared" si="5"/>
        <v>0</v>
      </c>
    </row>
    <row r="268" spans="1:10">
      <c r="A268" s="81"/>
      <c r="B268" s="70" t="str">
        <f>IF(ISBLANK(A268),"",INDEX('Error Log'!$A:$J,MATCH('Scores per segment'!$A268,'Error Log'!$A:$A,0),MATCH('Scores per segment'!B$1,'Error Log'!$A$1:$J$1,0)))</f>
        <v/>
      </c>
      <c r="C268" s="70" t="str">
        <f>IF(ISBLANK(A268),"",INDEX('Error Log'!$A:$J,MATCH('Scores per segment'!$A268,'Error Log'!$A:$A,0),MATCH('Scores per segment'!C$1,'Error Log'!$A$1:$J$1,0)))</f>
        <v/>
      </c>
      <c r="D268" s="70">
        <f>IF(H268=0,wdct(TRIM(C268)),0)</f>
        <v>0</v>
      </c>
      <c r="E268" s="70">
        <f>COUNTIFS('Error Log'!$A:$A,$A268,'Error Log'!$J:$J,E$1)</f>
        <v>0</v>
      </c>
      <c r="F268" s="70">
        <f>COUNTIFS('Error Log'!$A:$A,$A268,'Error Log'!$J:$J,F$1)</f>
        <v>0</v>
      </c>
      <c r="G268" s="70">
        <f>COUNTIFS('Error Log'!$A:$A,$A268,'Error Log'!$J:$J,G$1)</f>
        <v>0</v>
      </c>
      <c r="H268" s="70">
        <f>COUNTIFS('Error Log'!$A:$A,$A268,'Error Log'!$F:$F,"Source")</f>
        <v>0</v>
      </c>
      <c r="I268" s="70">
        <f>COUNTIFS('Error Log'!$A:$A,$A268,'Error Log'!$F:$F,"Target")</f>
        <v>0</v>
      </c>
      <c r="J268" s="71">
        <f t="shared" si="5"/>
        <v>0</v>
      </c>
    </row>
    <row r="269" spans="1:10">
      <c r="A269" s="81"/>
      <c r="B269" s="70" t="str">
        <f>IF(ISBLANK(A269),"",INDEX('Error Log'!$A:$J,MATCH('Scores per segment'!$A269,'Error Log'!$A:$A,0),MATCH('Scores per segment'!B$1,'Error Log'!$A$1:$J$1,0)))</f>
        <v/>
      </c>
      <c r="C269" s="70" t="str">
        <f>IF(ISBLANK(A269),"",INDEX('Error Log'!$A:$J,MATCH('Scores per segment'!$A269,'Error Log'!$A:$A,0),MATCH('Scores per segment'!C$1,'Error Log'!$A$1:$J$1,0)))</f>
        <v/>
      </c>
      <c r="D269" s="70">
        <f>IF(H269=0,wdct(TRIM(C269)),0)</f>
        <v>0</v>
      </c>
      <c r="E269" s="70">
        <f>COUNTIFS('Error Log'!$A:$A,$A269,'Error Log'!$J:$J,E$1)</f>
        <v>0</v>
      </c>
      <c r="F269" s="70">
        <f>COUNTIFS('Error Log'!$A:$A,$A269,'Error Log'!$J:$J,F$1)</f>
        <v>0</v>
      </c>
      <c r="G269" s="70">
        <f>COUNTIFS('Error Log'!$A:$A,$A269,'Error Log'!$J:$J,G$1)</f>
        <v>0</v>
      </c>
      <c r="H269" s="70">
        <f>COUNTIFS('Error Log'!$A:$A,$A269,'Error Log'!$F:$F,"Source")</f>
        <v>0</v>
      </c>
      <c r="I269" s="70">
        <f>COUNTIFS('Error Log'!$A:$A,$A269,'Error Log'!$F:$F,"Target")</f>
        <v>0</v>
      </c>
      <c r="J269" s="71">
        <f t="shared" si="5"/>
        <v>0</v>
      </c>
    </row>
    <row r="270" spans="1:10">
      <c r="A270" s="81"/>
      <c r="B270" s="70" t="str">
        <f>IF(ISBLANK(A270),"",INDEX('Error Log'!$A:$J,MATCH('Scores per segment'!$A270,'Error Log'!$A:$A,0),MATCH('Scores per segment'!B$1,'Error Log'!$A$1:$J$1,0)))</f>
        <v/>
      </c>
      <c r="C270" s="70" t="str">
        <f>IF(ISBLANK(A270),"",INDEX('Error Log'!$A:$J,MATCH('Scores per segment'!$A270,'Error Log'!$A:$A,0),MATCH('Scores per segment'!C$1,'Error Log'!$A$1:$J$1,0)))</f>
        <v/>
      </c>
      <c r="D270" s="70">
        <f>IF(H270=0,wdct(TRIM(C270)),0)</f>
        <v>0</v>
      </c>
      <c r="E270" s="70">
        <f>COUNTIFS('Error Log'!$A:$A,$A270,'Error Log'!$J:$J,E$1)</f>
        <v>0</v>
      </c>
      <c r="F270" s="70">
        <f>COUNTIFS('Error Log'!$A:$A,$A270,'Error Log'!$J:$J,F$1)</f>
        <v>0</v>
      </c>
      <c r="G270" s="70">
        <f>COUNTIFS('Error Log'!$A:$A,$A270,'Error Log'!$J:$J,G$1)</f>
        <v>0</v>
      </c>
      <c r="H270" s="70">
        <f>COUNTIFS('Error Log'!$A:$A,$A270,'Error Log'!$F:$F,"Source")</f>
        <v>0</v>
      </c>
      <c r="I270" s="70">
        <f>COUNTIFS('Error Log'!$A:$A,$A270,'Error Log'!$F:$F,"Target")</f>
        <v>0</v>
      </c>
      <c r="J270" s="71">
        <f t="shared" si="5"/>
        <v>0</v>
      </c>
    </row>
    <row r="271" spans="1:10">
      <c r="A271" s="81"/>
      <c r="B271" s="70" t="str">
        <f>IF(ISBLANK(A271),"",INDEX('Error Log'!$A:$J,MATCH('Scores per segment'!$A271,'Error Log'!$A:$A,0),MATCH('Scores per segment'!B$1,'Error Log'!$A$1:$J$1,0)))</f>
        <v/>
      </c>
      <c r="C271" s="70" t="str">
        <f>IF(ISBLANK(A271),"",INDEX('Error Log'!$A:$J,MATCH('Scores per segment'!$A271,'Error Log'!$A:$A,0),MATCH('Scores per segment'!C$1,'Error Log'!$A$1:$J$1,0)))</f>
        <v/>
      </c>
      <c r="D271" s="70">
        <f>IF(H271=0,wdct(TRIM(C271)),0)</f>
        <v>0</v>
      </c>
      <c r="E271" s="70">
        <f>COUNTIFS('Error Log'!$A:$A,$A271,'Error Log'!$J:$J,E$1)</f>
        <v>0</v>
      </c>
      <c r="F271" s="70">
        <f>COUNTIFS('Error Log'!$A:$A,$A271,'Error Log'!$J:$J,F$1)</f>
        <v>0</v>
      </c>
      <c r="G271" s="70">
        <f>COUNTIFS('Error Log'!$A:$A,$A271,'Error Log'!$J:$J,G$1)</f>
        <v>0</v>
      </c>
      <c r="H271" s="70">
        <f>COUNTIFS('Error Log'!$A:$A,$A271,'Error Log'!$F:$F,"Source")</f>
        <v>0</v>
      </c>
      <c r="I271" s="70">
        <f>COUNTIFS('Error Log'!$A:$A,$A271,'Error Log'!$F:$F,"Target")</f>
        <v>0</v>
      </c>
      <c r="J271" s="71">
        <f t="shared" si="5"/>
        <v>0</v>
      </c>
    </row>
    <row r="272" spans="1:10">
      <c r="A272" s="81"/>
      <c r="B272" s="70" t="str">
        <f>IF(ISBLANK(A272),"",INDEX('Error Log'!$A:$J,MATCH('Scores per segment'!$A272,'Error Log'!$A:$A,0),MATCH('Scores per segment'!B$1,'Error Log'!$A$1:$J$1,0)))</f>
        <v/>
      </c>
      <c r="C272" s="70" t="str">
        <f>IF(ISBLANK(A272),"",INDEX('Error Log'!$A:$J,MATCH('Scores per segment'!$A272,'Error Log'!$A:$A,0),MATCH('Scores per segment'!C$1,'Error Log'!$A$1:$J$1,0)))</f>
        <v/>
      </c>
      <c r="D272" s="70">
        <f>IF(H272=0,wdct(TRIM(C272)),0)</f>
        <v>0</v>
      </c>
      <c r="E272" s="70">
        <f>COUNTIFS('Error Log'!$A:$A,$A272,'Error Log'!$J:$J,E$1)</f>
        <v>0</v>
      </c>
      <c r="F272" s="70">
        <f>COUNTIFS('Error Log'!$A:$A,$A272,'Error Log'!$J:$J,F$1)</f>
        <v>0</v>
      </c>
      <c r="G272" s="70">
        <f>COUNTIFS('Error Log'!$A:$A,$A272,'Error Log'!$J:$J,G$1)</f>
        <v>0</v>
      </c>
      <c r="H272" s="70">
        <f>COUNTIFS('Error Log'!$A:$A,$A272,'Error Log'!$F:$F,"Source")</f>
        <v>0</v>
      </c>
      <c r="I272" s="70">
        <f>COUNTIFS('Error Log'!$A:$A,$A272,'Error Log'!$F:$F,"Target")</f>
        <v>0</v>
      </c>
      <c r="J272" s="71">
        <f t="shared" si="5"/>
        <v>0</v>
      </c>
    </row>
    <row r="273" spans="1:10">
      <c r="A273" s="81"/>
      <c r="B273" s="70" t="str">
        <f>IF(ISBLANK(A273),"",INDEX('Error Log'!$A:$J,MATCH('Scores per segment'!$A273,'Error Log'!$A:$A,0),MATCH('Scores per segment'!B$1,'Error Log'!$A$1:$J$1,0)))</f>
        <v/>
      </c>
      <c r="C273" s="70" t="str">
        <f>IF(ISBLANK(A273),"",INDEX('Error Log'!$A:$J,MATCH('Scores per segment'!$A273,'Error Log'!$A:$A,0),MATCH('Scores per segment'!C$1,'Error Log'!$A$1:$J$1,0)))</f>
        <v/>
      </c>
      <c r="D273" s="70">
        <f>IF(H273=0,wdct(TRIM(C273)),0)</f>
        <v>0</v>
      </c>
      <c r="E273" s="70">
        <f>COUNTIFS('Error Log'!$A:$A,$A273,'Error Log'!$J:$J,E$1)</f>
        <v>0</v>
      </c>
      <c r="F273" s="70">
        <f>COUNTIFS('Error Log'!$A:$A,$A273,'Error Log'!$J:$J,F$1)</f>
        <v>0</v>
      </c>
      <c r="G273" s="70">
        <f>COUNTIFS('Error Log'!$A:$A,$A273,'Error Log'!$J:$J,G$1)</f>
        <v>0</v>
      </c>
      <c r="H273" s="70">
        <f>COUNTIFS('Error Log'!$A:$A,$A273,'Error Log'!$F:$F,"Source")</f>
        <v>0</v>
      </c>
      <c r="I273" s="70">
        <f>COUNTIFS('Error Log'!$A:$A,$A273,'Error Log'!$F:$F,"Target")</f>
        <v>0</v>
      </c>
      <c r="J273" s="71">
        <f t="shared" si="5"/>
        <v>0</v>
      </c>
    </row>
    <row r="274" spans="1:10">
      <c r="A274" s="81"/>
      <c r="B274" s="70" t="str">
        <f>IF(ISBLANK(A274),"",INDEX('Error Log'!$A:$J,MATCH('Scores per segment'!$A274,'Error Log'!$A:$A,0),MATCH('Scores per segment'!B$1,'Error Log'!$A$1:$J$1,0)))</f>
        <v/>
      </c>
      <c r="C274" s="70" t="str">
        <f>IF(ISBLANK(A274),"",INDEX('Error Log'!$A:$J,MATCH('Scores per segment'!$A274,'Error Log'!$A:$A,0),MATCH('Scores per segment'!C$1,'Error Log'!$A$1:$J$1,0)))</f>
        <v/>
      </c>
      <c r="D274" s="70">
        <f>IF(H274=0,wdct(TRIM(C274)),0)</f>
        <v>0</v>
      </c>
      <c r="E274" s="70">
        <f>COUNTIFS('Error Log'!$A:$A,$A274,'Error Log'!$J:$J,E$1)</f>
        <v>0</v>
      </c>
      <c r="F274" s="70">
        <f>COUNTIFS('Error Log'!$A:$A,$A274,'Error Log'!$J:$J,F$1)</f>
        <v>0</v>
      </c>
      <c r="G274" s="70">
        <f>COUNTIFS('Error Log'!$A:$A,$A274,'Error Log'!$J:$J,G$1)</f>
        <v>0</v>
      </c>
      <c r="H274" s="70">
        <f>COUNTIFS('Error Log'!$A:$A,$A274,'Error Log'!$F:$F,"Source")</f>
        <v>0</v>
      </c>
      <c r="I274" s="70">
        <f>COUNTIFS('Error Log'!$A:$A,$A274,'Error Log'!$F:$F,"Target")</f>
        <v>0</v>
      </c>
      <c r="J274" s="71">
        <f t="shared" si="5"/>
        <v>0</v>
      </c>
    </row>
    <row r="275" spans="1:10">
      <c r="A275" s="81"/>
      <c r="B275" s="70" t="str">
        <f>IF(ISBLANK(A275),"",INDEX('Error Log'!$A:$J,MATCH('Scores per segment'!$A275,'Error Log'!$A:$A,0),MATCH('Scores per segment'!B$1,'Error Log'!$A$1:$J$1,0)))</f>
        <v/>
      </c>
      <c r="C275" s="70" t="str">
        <f>IF(ISBLANK(A275),"",INDEX('Error Log'!$A:$J,MATCH('Scores per segment'!$A275,'Error Log'!$A:$A,0),MATCH('Scores per segment'!C$1,'Error Log'!$A$1:$J$1,0)))</f>
        <v/>
      </c>
      <c r="D275" s="70">
        <f>IF(H275=0,wdct(TRIM(C275)),0)</f>
        <v>0</v>
      </c>
      <c r="E275" s="70">
        <f>COUNTIFS('Error Log'!$A:$A,$A275,'Error Log'!$J:$J,E$1)</f>
        <v>0</v>
      </c>
      <c r="F275" s="70">
        <f>COUNTIFS('Error Log'!$A:$A,$A275,'Error Log'!$J:$J,F$1)</f>
        <v>0</v>
      </c>
      <c r="G275" s="70">
        <f>COUNTIFS('Error Log'!$A:$A,$A275,'Error Log'!$J:$J,G$1)</f>
        <v>0</v>
      </c>
      <c r="H275" s="70">
        <f>COUNTIFS('Error Log'!$A:$A,$A275,'Error Log'!$F:$F,"Source")</f>
        <v>0</v>
      </c>
      <c r="I275" s="70">
        <f>COUNTIFS('Error Log'!$A:$A,$A275,'Error Log'!$F:$F,"Target")</f>
        <v>0</v>
      </c>
      <c r="J275" s="71">
        <f t="shared" si="5"/>
        <v>0</v>
      </c>
    </row>
    <row r="276" spans="1:10">
      <c r="A276" s="81"/>
      <c r="B276" s="70" t="str">
        <f>IF(ISBLANK(A276),"",INDEX('Error Log'!$A:$J,MATCH('Scores per segment'!$A276,'Error Log'!$A:$A,0),MATCH('Scores per segment'!B$1,'Error Log'!$A$1:$J$1,0)))</f>
        <v/>
      </c>
      <c r="C276" s="70" t="str">
        <f>IF(ISBLANK(A276),"",INDEX('Error Log'!$A:$J,MATCH('Scores per segment'!$A276,'Error Log'!$A:$A,0),MATCH('Scores per segment'!C$1,'Error Log'!$A$1:$J$1,0)))</f>
        <v/>
      </c>
      <c r="D276" s="70">
        <f>IF(H276=0,wdct(TRIM(C276)),0)</f>
        <v>0</v>
      </c>
      <c r="E276" s="70">
        <f>COUNTIFS('Error Log'!$A:$A,$A276,'Error Log'!$J:$J,E$1)</f>
        <v>0</v>
      </c>
      <c r="F276" s="70">
        <f>COUNTIFS('Error Log'!$A:$A,$A276,'Error Log'!$J:$J,F$1)</f>
        <v>0</v>
      </c>
      <c r="G276" s="70">
        <f>COUNTIFS('Error Log'!$A:$A,$A276,'Error Log'!$J:$J,G$1)</f>
        <v>0</v>
      </c>
      <c r="H276" s="70">
        <f>COUNTIFS('Error Log'!$A:$A,$A276,'Error Log'!$F:$F,"Source")</f>
        <v>0</v>
      </c>
      <c r="I276" s="70">
        <f>COUNTIFS('Error Log'!$A:$A,$A276,'Error Log'!$F:$F,"Target")</f>
        <v>0</v>
      </c>
      <c r="J276" s="71">
        <f t="shared" si="5"/>
        <v>0</v>
      </c>
    </row>
    <row r="277" spans="1:10">
      <c r="A277" s="81"/>
      <c r="B277" s="70" t="str">
        <f>IF(ISBLANK(A277),"",INDEX('Error Log'!$A:$J,MATCH('Scores per segment'!$A277,'Error Log'!$A:$A,0),MATCH('Scores per segment'!B$1,'Error Log'!$A$1:$J$1,0)))</f>
        <v/>
      </c>
      <c r="C277" s="70" t="str">
        <f>IF(ISBLANK(A277),"",INDEX('Error Log'!$A:$J,MATCH('Scores per segment'!$A277,'Error Log'!$A:$A,0),MATCH('Scores per segment'!C$1,'Error Log'!$A$1:$J$1,0)))</f>
        <v/>
      </c>
      <c r="D277" s="70">
        <f>IF(H277=0,wdct(TRIM(C277)),0)</f>
        <v>0</v>
      </c>
      <c r="E277" s="70">
        <f>COUNTIFS('Error Log'!$A:$A,$A277,'Error Log'!$J:$J,E$1)</f>
        <v>0</v>
      </c>
      <c r="F277" s="70">
        <f>COUNTIFS('Error Log'!$A:$A,$A277,'Error Log'!$J:$J,F$1)</f>
        <v>0</v>
      </c>
      <c r="G277" s="70">
        <f>COUNTIFS('Error Log'!$A:$A,$A277,'Error Log'!$J:$J,G$1)</f>
        <v>0</v>
      </c>
      <c r="H277" s="70">
        <f>COUNTIFS('Error Log'!$A:$A,$A277,'Error Log'!$F:$F,"Source")</f>
        <v>0</v>
      </c>
      <c r="I277" s="70">
        <f>COUNTIFS('Error Log'!$A:$A,$A277,'Error Log'!$F:$F,"Target")</f>
        <v>0</v>
      </c>
      <c r="J277" s="71">
        <f t="shared" si="5"/>
        <v>0</v>
      </c>
    </row>
    <row r="278" spans="1:10">
      <c r="A278" s="81"/>
      <c r="B278" s="70" t="str">
        <f>IF(ISBLANK(A278),"",INDEX('Error Log'!$A:$J,MATCH('Scores per segment'!$A278,'Error Log'!$A:$A,0),MATCH('Scores per segment'!B$1,'Error Log'!$A$1:$J$1,0)))</f>
        <v/>
      </c>
      <c r="C278" s="70" t="str">
        <f>IF(ISBLANK(A278),"",INDEX('Error Log'!$A:$J,MATCH('Scores per segment'!$A278,'Error Log'!$A:$A,0),MATCH('Scores per segment'!C$1,'Error Log'!$A$1:$J$1,0)))</f>
        <v/>
      </c>
      <c r="D278" s="70">
        <f>IF(H278=0,wdct(TRIM(C278)),0)</f>
        <v>0</v>
      </c>
      <c r="E278" s="70">
        <f>COUNTIFS('Error Log'!$A:$A,$A278,'Error Log'!$J:$J,E$1)</f>
        <v>0</v>
      </c>
      <c r="F278" s="70">
        <f>COUNTIFS('Error Log'!$A:$A,$A278,'Error Log'!$J:$J,F$1)</f>
        <v>0</v>
      </c>
      <c r="G278" s="70">
        <f>COUNTIFS('Error Log'!$A:$A,$A278,'Error Log'!$J:$J,G$1)</f>
        <v>0</v>
      </c>
      <c r="H278" s="70">
        <f>COUNTIFS('Error Log'!$A:$A,$A278,'Error Log'!$F:$F,"Source")</f>
        <v>0</v>
      </c>
      <c r="I278" s="70">
        <f>COUNTIFS('Error Log'!$A:$A,$A278,'Error Log'!$F:$F,"Target")</f>
        <v>0</v>
      </c>
      <c r="J278" s="71">
        <f t="shared" si="5"/>
        <v>0</v>
      </c>
    </row>
    <row r="279" spans="1:10">
      <c r="A279" s="81"/>
      <c r="B279" s="70" t="str">
        <f>IF(ISBLANK(A279),"",INDEX('Error Log'!$A:$J,MATCH('Scores per segment'!$A279,'Error Log'!$A:$A,0),MATCH('Scores per segment'!B$1,'Error Log'!$A$1:$J$1,0)))</f>
        <v/>
      </c>
      <c r="C279" s="70" t="str">
        <f>IF(ISBLANK(A279),"",INDEX('Error Log'!$A:$J,MATCH('Scores per segment'!$A279,'Error Log'!$A:$A,0),MATCH('Scores per segment'!C$1,'Error Log'!$A$1:$J$1,0)))</f>
        <v/>
      </c>
      <c r="D279" s="70">
        <f>IF(H279=0,wdct(TRIM(C279)),0)</f>
        <v>0</v>
      </c>
      <c r="E279" s="70">
        <f>COUNTIFS('Error Log'!$A:$A,$A279,'Error Log'!$J:$J,E$1)</f>
        <v>0</v>
      </c>
      <c r="F279" s="70">
        <f>COUNTIFS('Error Log'!$A:$A,$A279,'Error Log'!$J:$J,F$1)</f>
        <v>0</v>
      </c>
      <c r="G279" s="70">
        <f>COUNTIFS('Error Log'!$A:$A,$A279,'Error Log'!$J:$J,G$1)</f>
        <v>0</v>
      </c>
      <c r="H279" s="70">
        <f>COUNTIFS('Error Log'!$A:$A,$A279,'Error Log'!$F:$F,"Source")</f>
        <v>0</v>
      </c>
      <c r="I279" s="70">
        <f>COUNTIFS('Error Log'!$A:$A,$A279,'Error Log'!$F:$F,"Target")</f>
        <v>0</v>
      </c>
      <c r="J279" s="71">
        <f t="shared" si="5"/>
        <v>0</v>
      </c>
    </row>
    <row r="280" spans="1:10">
      <c r="A280" s="81"/>
      <c r="B280" s="70" t="str">
        <f>IF(ISBLANK(A280),"",INDEX('Error Log'!$A:$J,MATCH('Scores per segment'!$A280,'Error Log'!$A:$A,0),MATCH('Scores per segment'!B$1,'Error Log'!$A$1:$J$1,0)))</f>
        <v/>
      </c>
      <c r="C280" s="70" t="str">
        <f>IF(ISBLANK(A280),"",INDEX('Error Log'!$A:$J,MATCH('Scores per segment'!$A280,'Error Log'!$A:$A,0),MATCH('Scores per segment'!C$1,'Error Log'!$A$1:$J$1,0)))</f>
        <v/>
      </c>
      <c r="D280" s="70">
        <f>IF(H280=0,wdct(TRIM(C280)),0)</f>
        <v>0</v>
      </c>
      <c r="E280" s="70">
        <f>COUNTIFS('Error Log'!$A:$A,$A280,'Error Log'!$J:$J,E$1)</f>
        <v>0</v>
      </c>
      <c r="F280" s="70">
        <f>COUNTIFS('Error Log'!$A:$A,$A280,'Error Log'!$J:$J,F$1)</f>
        <v>0</v>
      </c>
      <c r="G280" s="70">
        <f>COUNTIFS('Error Log'!$A:$A,$A280,'Error Log'!$J:$J,G$1)</f>
        <v>0</v>
      </c>
      <c r="H280" s="70">
        <f>COUNTIFS('Error Log'!$A:$A,$A280,'Error Log'!$F:$F,"Source")</f>
        <v>0</v>
      </c>
      <c r="I280" s="70">
        <f>COUNTIFS('Error Log'!$A:$A,$A280,'Error Log'!$F:$F,"Target")</f>
        <v>0</v>
      </c>
      <c r="J280" s="71">
        <f t="shared" si="5"/>
        <v>0</v>
      </c>
    </row>
    <row r="281" spans="1:10">
      <c r="A281" s="81"/>
      <c r="B281" s="70" t="str">
        <f>IF(ISBLANK(A281),"",INDEX('Error Log'!$A:$J,MATCH('Scores per segment'!$A281,'Error Log'!$A:$A,0),MATCH('Scores per segment'!B$1,'Error Log'!$A$1:$J$1,0)))</f>
        <v/>
      </c>
      <c r="C281" s="70" t="str">
        <f>IF(ISBLANK(A281),"",INDEX('Error Log'!$A:$J,MATCH('Scores per segment'!$A281,'Error Log'!$A:$A,0),MATCH('Scores per segment'!C$1,'Error Log'!$A$1:$J$1,0)))</f>
        <v/>
      </c>
      <c r="D281" s="70">
        <f>IF(H281=0,wdct(TRIM(C281)),0)</f>
        <v>0</v>
      </c>
      <c r="E281" s="70">
        <f>COUNTIFS('Error Log'!$A:$A,$A281,'Error Log'!$J:$J,E$1)</f>
        <v>0</v>
      </c>
      <c r="F281" s="70">
        <f>COUNTIFS('Error Log'!$A:$A,$A281,'Error Log'!$J:$J,F$1)</f>
        <v>0</v>
      </c>
      <c r="G281" s="70">
        <f>COUNTIFS('Error Log'!$A:$A,$A281,'Error Log'!$J:$J,G$1)</f>
        <v>0</v>
      </c>
      <c r="H281" s="70">
        <f>COUNTIFS('Error Log'!$A:$A,$A281,'Error Log'!$F:$F,"Source")</f>
        <v>0</v>
      </c>
      <c r="I281" s="70">
        <f>COUNTIFS('Error Log'!$A:$A,$A281,'Error Log'!$F:$F,"Target")</f>
        <v>0</v>
      </c>
      <c r="J281" s="71">
        <f t="shared" si="5"/>
        <v>0</v>
      </c>
    </row>
    <row r="282" spans="1:10">
      <c r="A282" s="81"/>
      <c r="B282" s="70" t="str">
        <f>IF(ISBLANK(A282),"",INDEX('Error Log'!$A:$J,MATCH('Scores per segment'!$A282,'Error Log'!$A:$A,0),MATCH('Scores per segment'!B$1,'Error Log'!$A$1:$J$1,0)))</f>
        <v/>
      </c>
      <c r="C282" s="70" t="str">
        <f>IF(ISBLANK(A282),"",INDEX('Error Log'!$A:$J,MATCH('Scores per segment'!$A282,'Error Log'!$A:$A,0),MATCH('Scores per segment'!C$1,'Error Log'!$A$1:$J$1,0)))</f>
        <v/>
      </c>
      <c r="D282" s="70">
        <f>IF(H282=0,wdct(TRIM(C282)),0)</f>
        <v>0</v>
      </c>
      <c r="E282" s="70">
        <f>COUNTIFS('Error Log'!$A:$A,$A282,'Error Log'!$J:$J,E$1)</f>
        <v>0</v>
      </c>
      <c r="F282" s="70">
        <f>COUNTIFS('Error Log'!$A:$A,$A282,'Error Log'!$J:$J,F$1)</f>
        <v>0</v>
      </c>
      <c r="G282" s="70">
        <f>COUNTIFS('Error Log'!$A:$A,$A282,'Error Log'!$J:$J,G$1)</f>
        <v>0</v>
      </c>
      <c r="H282" s="70">
        <f>COUNTIFS('Error Log'!$A:$A,$A282,'Error Log'!$F:$F,"Source")</f>
        <v>0</v>
      </c>
      <c r="I282" s="70">
        <f>COUNTIFS('Error Log'!$A:$A,$A282,'Error Log'!$F:$F,"Target")</f>
        <v>0</v>
      </c>
      <c r="J282" s="71">
        <f t="shared" si="5"/>
        <v>0</v>
      </c>
    </row>
    <row r="283" spans="1:10">
      <c r="A283" s="81"/>
      <c r="B283" s="70" t="str">
        <f>IF(ISBLANK(A283),"",INDEX('Error Log'!$A:$J,MATCH('Scores per segment'!$A283,'Error Log'!$A:$A,0),MATCH('Scores per segment'!B$1,'Error Log'!$A$1:$J$1,0)))</f>
        <v/>
      </c>
      <c r="C283" s="70" t="str">
        <f>IF(ISBLANK(A283),"",INDEX('Error Log'!$A:$J,MATCH('Scores per segment'!$A283,'Error Log'!$A:$A,0),MATCH('Scores per segment'!C$1,'Error Log'!$A$1:$J$1,0)))</f>
        <v/>
      </c>
      <c r="D283" s="70">
        <f>IF(H283=0,wdct(TRIM(C283)),0)</f>
        <v>0</v>
      </c>
      <c r="E283" s="70">
        <f>COUNTIFS('Error Log'!$A:$A,$A283,'Error Log'!$J:$J,E$1)</f>
        <v>0</v>
      </c>
      <c r="F283" s="70">
        <f>COUNTIFS('Error Log'!$A:$A,$A283,'Error Log'!$J:$J,F$1)</f>
        <v>0</v>
      </c>
      <c r="G283" s="70">
        <f>COUNTIFS('Error Log'!$A:$A,$A283,'Error Log'!$J:$J,G$1)</f>
        <v>0</v>
      </c>
      <c r="H283" s="70">
        <f>COUNTIFS('Error Log'!$A:$A,$A283,'Error Log'!$F:$F,"Source")</f>
        <v>0</v>
      </c>
      <c r="I283" s="70">
        <f>COUNTIFS('Error Log'!$A:$A,$A283,'Error Log'!$F:$F,"Target")</f>
        <v>0</v>
      </c>
      <c r="J283" s="71">
        <f t="shared" si="5"/>
        <v>0</v>
      </c>
    </row>
    <row r="284" spans="1:10">
      <c r="A284" s="81"/>
      <c r="B284" s="70" t="str">
        <f>IF(ISBLANK(A284),"",INDEX('Error Log'!$A:$J,MATCH('Scores per segment'!$A284,'Error Log'!$A:$A,0),MATCH('Scores per segment'!B$1,'Error Log'!$A$1:$J$1,0)))</f>
        <v/>
      </c>
      <c r="C284" s="70" t="str">
        <f>IF(ISBLANK(A284),"",INDEX('Error Log'!$A:$J,MATCH('Scores per segment'!$A284,'Error Log'!$A:$A,0),MATCH('Scores per segment'!C$1,'Error Log'!$A$1:$J$1,0)))</f>
        <v/>
      </c>
      <c r="D284" s="70">
        <f>IF(H284=0,wdct(TRIM(C284)),0)</f>
        <v>0</v>
      </c>
      <c r="E284" s="70">
        <f>COUNTIFS('Error Log'!$A:$A,$A284,'Error Log'!$J:$J,E$1)</f>
        <v>0</v>
      </c>
      <c r="F284" s="70">
        <f>COUNTIFS('Error Log'!$A:$A,$A284,'Error Log'!$J:$J,F$1)</f>
        <v>0</v>
      </c>
      <c r="G284" s="70">
        <f>COUNTIFS('Error Log'!$A:$A,$A284,'Error Log'!$J:$J,G$1)</f>
        <v>0</v>
      </c>
      <c r="H284" s="70">
        <f>COUNTIFS('Error Log'!$A:$A,$A284,'Error Log'!$F:$F,"Source")</f>
        <v>0</v>
      </c>
      <c r="I284" s="70">
        <f>COUNTIFS('Error Log'!$A:$A,$A284,'Error Log'!$F:$F,"Target")</f>
        <v>0</v>
      </c>
      <c r="J284" s="71">
        <f t="shared" si="5"/>
        <v>0</v>
      </c>
    </row>
    <row r="285" spans="1:10">
      <c r="A285" s="81"/>
      <c r="B285" s="70" t="str">
        <f>IF(ISBLANK(A285),"",INDEX('Error Log'!$A:$J,MATCH('Scores per segment'!$A285,'Error Log'!$A:$A,0),MATCH('Scores per segment'!B$1,'Error Log'!$A$1:$J$1,0)))</f>
        <v/>
      </c>
      <c r="C285" s="70" t="str">
        <f>IF(ISBLANK(A285),"",INDEX('Error Log'!$A:$J,MATCH('Scores per segment'!$A285,'Error Log'!$A:$A,0),MATCH('Scores per segment'!C$1,'Error Log'!$A$1:$J$1,0)))</f>
        <v/>
      </c>
      <c r="D285" s="70">
        <f>IF(H285=0,wdct(TRIM(C285)),0)</f>
        <v>0</v>
      </c>
      <c r="E285" s="70">
        <f>COUNTIFS('Error Log'!$A:$A,$A285,'Error Log'!$J:$J,E$1)</f>
        <v>0</v>
      </c>
      <c r="F285" s="70">
        <f>COUNTIFS('Error Log'!$A:$A,$A285,'Error Log'!$J:$J,F$1)</f>
        <v>0</v>
      </c>
      <c r="G285" s="70">
        <f>COUNTIFS('Error Log'!$A:$A,$A285,'Error Log'!$J:$J,G$1)</f>
        <v>0</v>
      </c>
      <c r="H285" s="70">
        <f>COUNTIFS('Error Log'!$A:$A,$A285,'Error Log'!$F:$F,"Source")</f>
        <v>0</v>
      </c>
      <c r="I285" s="70">
        <f>COUNTIFS('Error Log'!$A:$A,$A285,'Error Log'!$F:$F,"Target")</f>
        <v>0</v>
      </c>
      <c r="J285" s="71">
        <f t="shared" si="5"/>
        <v>0</v>
      </c>
    </row>
    <row r="286" spans="1:10">
      <c r="A286" s="81"/>
      <c r="B286" s="70" t="str">
        <f>IF(ISBLANK(A286),"",INDEX('Error Log'!$A:$J,MATCH('Scores per segment'!$A286,'Error Log'!$A:$A,0),MATCH('Scores per segment'!B$1,'Error Log'!$A$1:$J$1,0)))</f>
        <v/>
      </c>
      <c r="C286" s="70" t="str">
        <f>IF(ISBLANK(A286),"",INDEX('Error Log'!$A:$J,MATCH('Scores per segment'!$A286,'Error Log'!$A:$A,0),MATCH('Scores per segment'!C$1,'Error Log'!$A$1:$J$1,0)))</f>
        <v/>
      </c>
      <c r="D286" s="70">
        <f>IF(H286=0,wdct(TRIM(C286)),0)</f>
        <v>0</v>
      </c>
      <c r="E286" s="70">
        <f>COUNTIFS('Error Log'!$A:$A,$A286,'Error Log'!$J:$J,E$1)</f>
        <v>0</v>
      </c>
      <c r="F286" s="70">
        <f>COUNTIFS('Error Log'!$A:$A,$A286,'Error Log'!$J:$J,F$1)</f>
        <v>0</v>
      </c>
      <c r="G286" s="70">
        <f>COUNTIFS('Error Log'!$A:$A,$A286,'Error Log'!$J:$J,G$1)</f>
        <v>0</v>
      </c>
      <c r="H286" s="70">
        <f>COUNTIFS('Error Log'!$A:$A,$A286,'Error Log'!$F:$F,"Source")</f>
        <v>0</v>
      </c>
      <c r="I286" s="70">
        <f>COUNTIFS('Error Log'!$A:$A,$A286,'Error Log'!$F:$F,"Target")</f>
        <v>0</v>
      </c>
      <c r="J286" s="71">
        <f t="shared" si="5"/>
        <v>0</v>
      </c>
    </row>
    <row r="287" spans="1:10">
      <c r="A287" s="81"/>
      <c r="B287" s="70" t="str">
        <f>IF(ISBLANK(A287),"",INDEX('Error Log'!$A:$J,MATCH('Scores per segment'!$A287,'Error Log'!$A:$A,0),MATCH('Scores per segment'!B$1,'Error Log'!$A$1:$J$1,0)))</f>
        <v/>
      </c>
      <c r="C287" s="70" t="str">
        <f>IF(ISBLANK(A287),"",INDEX('Error Log'!$A:$J,MATCH('Scores per segment'!$A287,'Error Log'!$A:$A,0),MATCH('Scores per segment'!C$1,'Error Log'!$A$1:$J$1,0)))</f>
        <v/>
      </c>
      <c r="D287" s="70">
        <f>IF(H287=0,wdct(TRIM(C287)),0)</f>
        <v>0</v>
      </c>
      <c r="E287" s="70">
        <f>COUNTIFS('Error Log'!$A:$A,$A287,'Error Log'!$J:$J,E$1)</f>
        <v>0</v>
      </c>
      <c r="F287" s="70">
        <f>COUNTIFS('Error Log'!$A:$A,$A287,'Error Log'!$J:$J,F$1)</f>
        <v>0</v>
      </c>
      <c r="G287" s="70">
        <f>COUNTIFS('Error Log'!$A:$A,$A287,'Error Log'!$J:$J,G$1)</f>
        <v>0</v>
      </c>
      <c r="H287" s="70">
        <f>COUNTIFS('Error Log'!$A:$A,$A287,'Error Log'!$F:$F,"Source")</f>
        <v>0</v>
      </c>
      <c r="I287" s="70">
        <f>COUNTIFS('Error Log'!$A:$A,$A287,'Error Log'!$F:$F,"Target")</f>
        <v>0</v>
      </c>
      <c r="J287" s="71">
        <f t="shared" si="5"/>
        <v>0</v>
      </c>
    </row>
    <row r="288" spans="1:10">
      <c r="A288" s="81"/>
      <c r="B288" s="70" t="str">
        <f>IF(ISBLANK(A288),"",INDEX('Error Log'!$A:$J,MATCH('Scores per segment'!$A288,'Error Log'!$A:$A,0),MATCH('Scores per segment'!B$1,'Error Log'!$A$1:$J$1,0)))</f>
        <v/>
      </c>
      <c r="C288" s="70" t="str">
        <f>IF(ISBLANK(A288),"",INDEX('Error Log'!$A:$J,MATCH('Scores per segment'!$A288,'Error Log'!$A:$A,0),MATCH('Scores per segment'!C$1,'Error Log'!$A$1:$J$1,0)))</f>
        <v/>
      </c>
      <c r="D288" s="70">
        <f>IF(H288=0,wdct(TRIM(C288)),0)</f>
        <v>0</v>
      </c>
      <c r="E288" s="70">
        <f>COUNTIFS('Error Log'!$A:$A,$A288,'Error Log'!$J:$J,E$1)</f>
        <v>0</v>
      </c>
      <c r="F288" s="70">
        <f>COUNTIFS('Error Log'!$A:$A,$A288,'Error Log'!$J:$J,F$1)</f>
        <v>0</v>
      </c>
      <c r="G288" s="70">
        <f>COUNTIFS('Error Log'!$A:$A,$A288,'Error Log'!$J:$J,G$1)</f>
        <v>0</v>
      </c>
      <c r="H288" s="70">
        <f>COUNTIFS('Error Log'!$A:$A,$A288,'Error Log'!$F:$F,"Source")</f>
        <v>0</v>
      </c>
      <c r="I288" s="70">
        <f>COUNTIFS('Error Log'!$A:$A,$A288,'Error Log'!$F:$F,"Target")</f>
        <v>0</v>
      </c>
      <c r="J288" s="71">
        <f t="shared" si="5"/>
        <v>0</v>
      </c>
    </row>
    <row r="289" spans="1:10">
      <c r="A289" s="81"/>
      <c r="B289" s="70" t="str">
        <f>IF(ISBLANK(A289),"",INDEX('Error Log'!$A:$J,MATCH('Scores per segment'!$A289,'Error Log'!$A:$A,0),MATCH('Scores per segment'!B$1,'Error Log'!$A$1:$J$1,0)))</f>
        <v/>
      </c>
      <c r="C289" s="70" t="str">
        <f>IF(ISBLANK(A289),"",INDEX('Error Log'!$A:$J,MATCH('Scores per segment'!$A289,'Error Log'!$A:$A,0),MATCH('Scores per segment'!C$1,'Error Log'!$A$1:$J$1,0)))</f>
        <v/>
      </c>
      <c r="D289" s="70">
        <f>IF(H289=0,wdct(TRIM(C289)),0)</f>
        <v>0</v>
      </c>
      <c r="E289" s="70">
        <f>COUNTIFS('Error Log'!$A:$A,$A289,'Error Log'!$J:$J,E$1)</f>
        <v>0</v>
      </c>
      <c r="F289" s="70">
        <f>COUNTIFS('Error Log'!$A:$A,$A289,'Error Log'!$J:$J,F$1)</f>
        <v>0</v>
      </c>
      <c r="G289" s="70">
        <f>COUNTIFS('Error Log'!$A:$A,$A289,'Error Log'!$J:$J,G$1)</f>
        <v>0</v>
      </c>
      <c r="H289" s="70">
        <f>COUNTIFS('Error Log'!$A:$A,$A289,'Error Log'!$F:$F,"Source")</f>
        <v>0</v>
      </c>
      <c r="I289" s="70">
        <f>COUNTIFS('Error Log'!$A:$A,$A289,'Error Log'!$F:$F,"Target")</f>
        <v>0</v>
      </c>
      <c r="J289" s="71">
        <f t="shared" si="5"/>
        <v>0</v>
      </c>
    </row>
    <row r="290" spans="1:10">
      <c r="A290" s="81"/>
      <c r="B290" s="70" t="str">
        <f>IF(ISBLANK(A290),"",INDEX('Error Log'!$A:$J,MATCH('Scores per segment'!$A290,'Error Log'!$A:$A,0),MATCH('Scores per segment'!B$1,'Error Log'!$A$1:$J$1,0)))</f>
        <v/>
      </c>
      <c r="C290" s="70" t="str">
        <f>IF(ISBLANK(A290),"",INDEX('Error Log'!$A:$J,MATCH('Scores per segment'!$A290,'Error Log'!$A:$A,0),MATCH('Scores per segment'!C$1,'Error Log'!$A$1:$J$1,0)))</f>
        <v/>
      </c>
      <c r="D290" s="70">
        <f>IF(H290=0,wdct(TRIM(C290)),0)</f>
        <v>0</v>
      </c>
      <c r="E290" s="70">
        <f>COUNTIFS('Error Log'!$A:$A,$A290,'Error Log'!$J:$J,E$1)</f>
        <v>0</v>
      </c>
      <c r="F290" s="70">
        <f>COUNTIFS('Error Log'!$A:$A,$A290,'Error Log'!$J:$J,F$1)</f>
        <v>0</v>
      </c>
      <c r="G290" s="70">
        <f>COUNTIFS('Error Log'!$A:$A,$A290,'Error Log'!$J:$J,G$1)</f>
        <v>0</v>
      </c>
      <c r="H290" s="70">
        <f>COUNTIFS('Error Log'!$A:$A,$A290,'Error Log'!$F:$F,"Source")</f>
        <v>0</v>
      </c>
      <c r="I290" s="70">
        <f>COUNTIFS('Error Log'!$A:$A,$A290,'Error Log'!$F:$F,"Target")</f>
        <v>0</v>
      </c>
      <c r="J290" s="71">
        <f t="shared" si="5"/>
        <v>0</v>
      </c>
    </row>
    <row r="291" spans="1:10">
      <c r="A291" s="81"/>
      <c r="B291" s="70" t="str">
        <f>IF(ISBLANK(A291),"",INDEX('Error Log'!$A:$J,MATCH('Scores per segment'!$A291,'Error Log'!$A:$A,0),MATCH('Scores per segment'!B$1,'Error Log'!$A$1:$J$1,0)))</f>
        <v/>
      </c>
      <c r="C291" s="70" t="str">
        <f>IF(ISBLANK(A291),"",INDEX('Error Log'!$A:$J,MATCH('Scores per segment'!$A291,'Error Log'!$A:$A,0),MATCH('Scores per segment'!C$1,'Error Log'!$A$1:$J$1,0)))</f>
        <v/>
      </c>
      <c r="D291" s="70">
        <f>IF(H291=0,wdct(TRIM(C291)),0)</f>
        <v>0</v>
      </c>
      <c r="E291" s="70">
        <f>COUNTIFS('Error Log'!$A:$A,$A291,'Error Log'!$J:$J,E$1)</f>
        <v>0</v>
      </c>
      <c r="F291" s="70">
        <f>COUNTIFS('Error Log'!$A:$A,$A291,'Error Log'!$J:$J,F$1)</f>
        <v>0</v>
      </c>
      <c r="G291" s="70">
        <f>COUNTIFS('Error Log'!$A:$A,$A291,'Error Log'!$J:$J,G$1)</f>
        <v>0</v>
      </c>
      <c r="H291" s="70">
        <f>COUNTIFS('Error Log'!$A:$A,$A291,'Error Log'!$F:$F,"Source")</f>
        <v>0</v>
      </c>
      <c r="I291" s="70">
        <f>COUNTIFS('Error Log'!$A:$A,$A291,'Error Log'!$F:$F,"Target")</f>
        <v>0</v>
      </c>
      <c r="J291" s="71">
        <f t="shared" si="5"/>
        <v>0</v>
      </c>
    </row>
    <row r="292" spans="1:10">
      <c r="A292" s="81"/>
      <c r="B292" s="70" t="str">
        <f>IF(ISBLANK(A292),"",INDEX('Error Log'!$A:$J,MATCH('Scores per segment'!$A292,'Error Log'!$A:$A,0),MATCH('Scores per segment'!B$1,'Error Log'!$A$1:$J$1,0)))</f>
        <v/>
      </c>
      <c r="C292" s="70" t="str">
        <f>IF(ISBLANK(A292),"",INDEX('Error Log'!$A:$J,MATCH('Scores per segment'!$A292,'Error Log'!$A:$A,0),MATCH('Scores per segment'!C$1,'Error Log'!$A$1:$J$1,0)))</f>
        <v/>
      </c>
      <c r="D292" s="70">
        <f>IF(H292=0,wdct(TRIM(C292)),0)</f>
        <v>0</v>
      </c>
      <c r="E292" s="70">
        <f>COUNTIFS('Error Log'!$A:$A,$A292,'Error Log'!$J:$J,E$1)</f>
        <v>0</v>
      </c>
      <c r="F292" s="70">
        <f>COUNTIFS('Error Log'!$A:$A,$A292,'Error Log'!$J:$J,F$1)</f>
        <v>0</v>
      </c>
      <c r="G292" s="70">
        <f>COUNTIFS('Error Log'!$A:$A,$A292,'Error Log'!$J:$J,G$1)</f>
        <v>0</v>
      </c>
      <c r="H292" s="70">
        <f>COUNTIFS('Error Log'!$A:$A,$A292,'Error Log'!$F:$F,"Source")</f>
        <v>0</v>
      </c>
      <c r="I292" s="70">
        <f>COUNTIFS('Error Log'!$A:$A,$A292,'Error Log'!$F:$F,"Target")</f>
        <v>0</v>
      </c>
      <c r="J292" s="71">
        <f t="shared" si="5"/>
        <v>0</v>
      </c>
    </row>
    <row r="293" spans="1:10">
      <c r="A293" s="81"/>
      <c r="B293" s="70" t="str">
        <f>IF(ISBLANK(A293),"",INDEX('Error Log'!$A:$J,MATCH('Scores per segment'!$A293,'Error Log'!$A:$A,0),MATCH('Scores per segment'!B$1,'Error Log'!$A$1:$J$1,0)))</f>
        <v/>
      </c>
      <c r="C293" s="70" t="str">
        <f>IF(ISBLANK(A293),"",INDEX('Error Log'!$A:$J,MATCH('Scores per segment'!$A293,'Error Log'!$A:$A,0),MATCH('Scores per segment'!C$1,'Error Log'!$A$1:$J$1,0)))</f>
        <v/>
      </c>
      <c r="D293" s="70">
        <f>IF(H293=0,wdct(TRIM(C293)),0)</f>
        <v>0</v>
      </c>
      <c r="E293" s="70">
        <f>COUNTIFS('Error Log'!$A:$A,$A293,'Error Log'!$J:$J,E$1)</f>
        <v>0</v>
      </c>
      <c r="F293" s="70">
        <f>COUNTIFS('Error Log'!$A:$A,$A293,'Error Log'!$J:$J,F$1)</f>
        <v>0</v>
      </c>
      <c r="G293" s="70">
        <f>COUNTIFS('Error Log'!$A:$A,$A293,'Error Log'!$J:$J,G$1)</f>
        <v>0</v>
      </c>
      <c r="H293" s="70">
        <f>COUNTIFS('Error Log'!$A:$A,$A293,'Error Log'!$F:$F,"Source")</f>
        <v>0</v>
      </c>
      <c r="I293" s="70">
        <f>COUNTIFS('Error Log'!$A:$A,$A293,'Error Log'!$F:$F,"Target")</f>
        <v>0</v>
      </c>
      <c r="J293" s="71">
        <f t="shared" si="5"/>
        <v>0</v>
      </c>
    </row>
    <row r="294" spans="1:10">
      <c r="A294" s="81"/>
      <c r="B294" s="70" t="str">
        <f>IF(ISBLANK(A294),"",INDEX('Error Log'!$A:$J,MATCH('Scores per segment'!$A294,'Error Log'!$A:$A,0),MATCH('Scores per segment'!B$1,'Error Log'!$A$1:$J$1,0)))</f>
        <v/>
      </c>
      <c r="C294" s="70" t="str">
        <f>IF(ISBLANK(A294),"",INDEX('Error Log'!$A:$J,MATCH('Scores per segment'!$A294,'Error Log'!$A:$A,0),MATCH('Scores per segment'!C$1,'Error Log'!$A$1:$J$1,0)))</f>
        <v/>
      </c>
      <c r="D294" s="70">
        <f>IF(H294=0,wdct(TRIM(C294)),0)</f>
        <v>0</v>
      </c>
      <c r="E294" s="70">
        <f>COUNTIFS('Error Log'!$A:$A,$A294,'Error Log'!$J:$J,E$1)</f>
        <v>0</v>
      </c>
      <c r="F294" s="70">
        <f>COUNTIFS('Error Log'!$A:$A,$A294,'Error Log'!$J:$J,F$1)</f>
        <v>0</v>
      </c>
      <c r="G294" s="70">
        <f>COUNTIFS('Error Log'!$A:$A,$A294,'Error Log'!$J:$J,G$1)</f>
        <v>0</v>
      </c>
      <c r="H294" s="70">
        <f>COUNTIFS('Error Log'!$A:$A,$A294,'Error Log'!$F:$F,"Source")</f>
        <v>0</v>
      </c>
      <c r="I294" s="70">
        <f>COUNTIFS('Error Log'!$A:$A,$A294,'Error Log'!$F:$F,"Target")</f>
        <v>0</v>
      </c>
      <c r="J294" s="71">
        <f t="shared" si="5"/>
        <v>0</v>
      </c>
    </row>
    <row r="295" spans="1:10">
      <c r="A295" s="81"/>
      <c r="B295" s="70" t="str">
        <f>IF(ISBLANK(A295),"",INDEX('Error Log'!$A:$J,MATCH('Scores per segment'!$A295,'Error Log'!$A:$A,0),MATCH('Scores per segment'!B$1,'Error Log'!$A$1:$J$1,0)))</f>
        <v/>
      </c>
      <c r="C295" s="70" t="str">
        <f>IF(ISBLANK(A295),"",INDEX('Error Log'!$A:$J,MATCH('Scores per segment'!$A295,'Error Log'!$A:$A,0),MATCH('Scores per segment'!C$1,'Error Log'!$A$1:$J$1,0)))</f>
        <v/>
      </c>
      <c r="D295" s="70">
        <f>IF(H295=0,wdct(TRIM(C295)),0)</f>
        <v>0</v>
      </c>
      <c r="E295" s="70">
        <f>COUNTIFS('Error Log'!$A:$A,$A295,'Error Log'!$J:$J,E$1)</f>
        <v>0</v>
      </c>
      <c r="F295" s="70">
        <f>COUNTIFS('Error Log'!$A:$A,$A295,'Error Log'!$J:$J,F$1)</f>
        <v>0</v>
      </c>
      <c r="G295" s="70">
        <f>COUNTIFS('Error Log'!$A:$A,$A295,'Error Log'!$J:$J,G$1)</f>
        <v>0</v>
      </c>
      <c r="H295" s="70">
        <f>COUNTIFS('Error Log'!$A:$A,$A295,'Error Log'!$F:$F,"Source")</f>
        <v>0</v>
      </c>
      <c r="I295" s="70">
        <f>COUNTIFS('Error Log'!$A:$A,$A295,'Error Log'!$F:$F,"Target")</f>
        <v>0</v>
      </c>
      <c r="J295" s="71">
        <f t="shared" si="5"/>
        <v>0</v>
      </c>
    </row>
    <row r="296" spans="1:10">
      <c r="A296" s="81"/>
      <c r="B296" s="70" t="str">
        <f>IF(ISBLANK(A296),"",INDEX('Error Log'!$A:$J,MATCH('Scores per segment'!$A296,'Error Log'!$A:$A,0),MATCH('Scores per segment'!B$1,'Error Log'!$A$1:$J$1,0)))</f>
        <v/>
      </c>
      <c r="C296" s="70" t="str">
        <f>IF(ISBLANK(A296),"",INDEX('Error Log'!$A:$J,MATCH('Scores per segment'!$A296,'Error Log'!$A:$A,0),MATCH('Scores per segment'!C$1,'Error Log'!$A$1:$J$1,0)))</f>
        <v/>
      </c>
      <c r="D296" s="70">
        <f>IF(H296=0,wdct(TRIM(C296)),0)</f>
        <v>0</v>
      </c>
      <c r="E296" s="70">
        <f>COUNTIFS('Error Log'!$A:$A,$A296,'Error Log'!$J:$J,E$1)</f>
        <v>0</v>
      </c>
      <c r="F296" s="70">
        <f>COUNTIFS('Error Log'!$A:$A,$A296,'Error Log'!$J:$J,F$1)</f>
        <v>0</v>
      </c>
      <c r="G296" s="70">
        <f>COUNTIFS('Error Log'!$A:$A,$A296,'Error Log'!$J:$J,G$1)</f>
        <v>0</v>
      </c>
      <c r="H296" s="70">
        <f>COUNTIFS('Error Log'!$A:$A,$A296,'Error Log'!$F:$F,"Source")</f>
        <v>0</v>
      </c>
      <c r="I296" s="70">
        <f>COUNTIFS('Error Log'!$A:$A,$A296,'Error Log'!$F:$F,"Target")</f>
        <v>0</v>
      </c>
      <c r="J296" s="71">
        <f t="shared" si="5"/>
        <v>0</v>
      </c>
    </row>
    <row r="297" spans="1:10">
      <c r="A297" s="81"/>
      <c r="B297" s="70" t="str">
        <f>IF(ISBLANK(A297),"",INDEX('Error Log'!$A:$J,MATCH('Scores per segment'!$A297,'Error Log'!$A:$A,0),MATCH('Scores per segment'!B$1,'Error Log'!$A$1:$J$1,0)))</f>
        <v/>
      </c>
      <c r="C297" s="70" t="str">
        <f>IF(ISBLANK(A297),"",INDEX('Error Log'!$A:$J,MATCH('Scores per segment'!$A297,'Error Log'!$A:$A,0),MATCH('Scores per segment'!C$1,'Error Log'!$A$1:$J$1,0)))</f>
        <v/>
      </c>
      <c r="D297" s="70">
        <f>IF(H297=0,wdct(TRIM(C297)),0)</f>
        <v>0</v>
      </c>
      <c r="E297" s="70">
        <f>COUNTIFS('Error Log'!$A:$A,$A297,'Error Log'!$J:$J,E$1)</f>
        <v>0</v>
      </c>
      <c r="F297" s="70">
        <f>COUNTIFS('Error Log'!$A:$A,$A297,'Error Log'!$J:$J,F$1)</f>
        <v>0</v>
      </c>
      <c r="G297" s="70">
        <f>COUNTIFS('Error Log'!$A:$A,$A297,'Error Log'!$J:$J,G$1)</f>
        <v>0</v>
      </c>
      <c r="H297" s="70">
        <f>COUNTIFS('Error Log'!$A:$A,$A297,'Error Log'!$F:$F,"Source")</f>
        <v>0</v>
      </c>
      <c r="I297" s="70">
        <f>COUNTIFS('Error Log'!$A:$A,$A297,'Error Log'!$F:$F,"Target")</f>
        <v>0</v>
      </c>
      <c r="J297" s="71">
        <f t="shared" si="5"/>
        <v>0</v>
      </c>
    </row>
    <row r="298" spans="1:10">
      <c r="A298" s="81"/>
      <c r="B298" s="70" t="str">
        <f>IF(ISBLANK(A298),"",INDEX('Error Log'!$A:$J,MATCH('Scores per segment'!$A298,'Error Log'!$A:$A,0),MATCH('Scores per segment'!B$1,'Error Log'!$A$1:$J$1,0)))</f>
        <v/>
      </c>
      <c r="C298" s="70" t="str">
        <f>IF(ISBLANK(A298),"",INDEX('Error Log'!$A:$J,MATCH('Scores per segment'!$A298,'Error Log'!$A:$A,0),MATCH('Scores per segment'!C$1,'Error Log'!$A$1:$J$1,0)))</f>
        <v/>
      </c>
      <c r="D298" s="70">
        <f>IF(H298=0,wdct(TRIM(C298)),0)</f>
        <v>0</v>
      </c>
      <c r="E298" s="70">
        <f>COUNTIFS('Error Log'!$A:$A,$A298,'Error Log'!$J:$J,E$1)</f>
        <v>0</v>
      </c>
      <c r="F298" s="70">
        <f>COUNTIFS('Error Log'!$A:$A,$A298,'Error Log'!$J:$J,F$1)</f>
        <v>0</v>
      </c>
      <c r="G298" s="70">
        <f>COUNTIFS('Error Log'!$A:$A,$A298,'Error Log'!$J:$J,G$1)</f>
        <v>0</v>
      </c>
      <c r="H298" s="70">
        <f>COUNTIFS('Error Log'!$A:$A,$A298,'Error Log'!$F:$F,"Source")</f>
        <v>0</v>
      </c>
      <c r="I298" s="70">
        <f>COUNTIFS('Error Log'!$A:$A,$A298,'Error Log'!$F:$F,"Target")</f>
        <v>0</v>
      </c>
      <c r="J298" s="71">
        <f t="shared" si="5"/>
        <v>0</v>
      </c>
    </row>
    <row r="299" spans="1:10">
      <c r="A299" s="81"/>
      <c r="B299" s="70" t="str">
        <f>IF(ISBLANK(A299),"",INDEX('Error Log'!$A:$J,MATCH('Scores per segment'!$A299,'Error Log'!$A:$A,0),MATCH('Scores per segment'!B$1,'Error Log'!$A$1:$J$1,0)))</f>
        <v/>
      </c>
      <c r="C299" s="70" t="str">
        <f>IF(ISBLANK(A299),"",INDEX('Error Log'!$A:$J,MATCH('Scores per segment'!$A299,'Error Log'!$A:$A,0),MATCH('Scores per segment'!C$1,'Error Log'!$A$1:$J$1,0)))</f>
        <v/>
      </c>
      <c r="D299" s="70">
        <f>IF(H299=0,wdct(TRIM(C299)),0)</f>
        <v>0</v>
      </c>
      <c r="E299" s="70">
        <f>COUNTIFS('Error Log'!$A:$A,$A299,'Error Log'!$J:$J,E$1)</f>
        <v>0</v>
      </c>
      <c r="F299" s="70">
        <f>COUNTIFS('Error Log'!$A:$A,$A299,'Error Log'!$J:$J,F$1)</f>
        <v>0</v>
      </c>
      <c r="G299" s="70">
        <f>COUNTIFS('Error Log'!$A:$A,$A299,'Error Log'!$J:$J,G$1)</f>
        <v>0</v>
      </c>
      <c r="H299" s="70">
        <f>COUNTIFS('Error Log'!$A:$A,$A299,'Error Log'!$F:$F,"Source")</f>
        <v>0</v>
      </c>
      <c r="I299" s="70">
        <f>COUNTIFS('Error Log'!$A:$A,$A299,'Error Log'!$F:$F,"Target")</f>
        <v>0</v>
      </c>
      <c r="J299" s="71">
        <f t="shared" si="5"/>
        <v>0</v>
      </c>
    </row>
    <row r="300" spans="1:10">
      <c r="A300" s="81"/>
      <c r="B300" s="70" t="str">
        <f>IF(ISBLANK(A300),"",INDEX('Error Log'!$A:$J,MATCH('Scores per segment'!$A300,'Error Log'!$A:$A,0),MATCH('Scores per segment'!B$1,'Error Log'!$A$1:$J$1,0)))</f>
        <v/>
      </c>
      <c r="C300" s="70" t="str">
        <f>IF(ISBLANK(A300),"",INDEX('Error Log'!$A:$J,MATCH('Scores per segment'!$A300,'Error Log'!$A:$A,0),MATCH('Scores per segment'!C$1,'Error Log'!$A$1:$J$1,0)))</f>
        <v/>
      </c>
      <c r="D300" s="70">
        <f>IF(H300=0,wdct(TRIM(C300)),0)</f>
        <v>0</v>
      </c>
      <c r="E300" s="70">
        <f>COUNTIFS('Error Log'!$A:$A,$A300,'Error Log'!$J:$J,E$1)</f>
        <v>0</v>
      </c>
      <c r="F300" s="70">
        <f>COUNTIFS('Error Log'!$A:$A,$A300,'Error Log'!$J:$J,F$1)</f>
        <v>0</v>
      </c>
      <c r="G300" s="70">
        <f>COUNTIFS('Error Log'!$A:$A,$A300,'Error Log'!$J:$J,G$1)</f>
        <v>0</v>
      </c>
      <c r="H300" s="70">
        <f>COUNTIFS('Error Log'!$A:$A,$A300,'Error Log'!$F:$F,"Source")</f>
        <v>0</v>
      </c>
      <c r="I300" s="70">
        <f>COUNTIFS('Error Log'!$A:$A,$A300,'Error Log'!$F:$F,"Target")</f>
        <v>0</v>
      </c>
      <c r="J300" s="71">
        <f t="shared" si="5"/>
        <v>0</v>
      </c>
    </row>
    <row r="301" spans="1:10">
      <c r="A301" s="81"/>
      <c r="B301" s="70" t="str">
        <f>IF(ISBLANK(A301),"",INDEX('Error Log'!$A:$J,MATCH('Scores per segment'!$A301,'Error Log'!$A:$A,0),MATCH('Scores per segment'!B$1,'Error Log'!$A$1:$J$1,0)))</f>
        <v/>
      </c>
      <c r="C301" s="70" t="str">
        <f>IF(ISBLANK(A301),"",INDEX('Error Log'!$A:$J,MATCH('Scores per segment'!$A301,'Error Log'!$A:$A,0),MATCH('Scores per segment'!C$1,'Error Log'!$A$1:$J$1,0)))</f>
        <v/>
      </c>
      <c r="D301" s="70">
        <f>IF(H301=0,wdct(TRIM(C301)),0)</f>
        <v>0</v>
      </c>
      <c r="E301" s="70">
        <f>COUNTIFS('Error Log'!$A:$A,$A301,'Error Log'!$J:$J,E$1)</f>
        <v>0</v>
      </c>
      <c r="F301" s="70">
        <f>COUNTIFS('Error Log'!$A:$A,$A301,'Error Log'!$J:$J,F$1)</f>
        <v>0</v>
      </c>
      <c r="G301" s="70">
        <f>COUNTIFS('Error Log'!$A:$A,$A301,'Error Log'!$J:$J,G$1)</f>
        <v>0</v>
      </c>
      <c r="H301" s="70">
        <f>COUNTIFS('Error Log'!$A:$A,$A301,'Error Log'!$F:$F,"Source")</f>
        <v>0</v>
      </c>
      <c r="I301" s="70">
        <f>COUNTIFS('Error Log'!$A:$A,$A301,'Error Log'!$F:$F,"Target")</f>
        <v>0</v>
      </c>
      <c r="J301" s="71">
        <f t="shared" si="5"/>
        <v>0</v>
      </c>
    </row>
    <row r="302" spans="1:10">
      <c r="A302" s="81"/>
      <c r="B302" s="70" t="str">
        <f>IF(ISBLANK(A302),"",INDEX('Error Log'!$A:$J,MATCH('Scores per segment'!$A302,'Error Log'!$A:$A,0),MATCH('Scores per segment'!B$1,'Error Log'!$A$1:$J$1,0)))</f>
        <v/>
      </c>
      <c r="C302" s="70" t="str">
        <f>IF(ISBLANK(A302),"",INDEX('Error Log'!$A:$J,MATCH('Scores per segment'!$A302,'Error Log'!$A:$A,0),MATCH('Scores per segment'!C$1,'Error Log'!$A$1:$J$1,0)))</f>
        <v/>
      </c>
      <c r="D302" s="70">
        <f>IF(H302=0,wdct(TRIM(C302)),0)</f>
        <v>0</v>
      </c>
      <c r="E302" s="70">
        <f>COUNTIFS('Error Log'!$A:$A,$A302,'Error Log'!$J:$J,E$1)</f>
        <v>0</v>
      </c>
      <c r="F302" s="70">
        <f>COUNTIFS('Error Log'!$A:$A,$A302,'Error Log'!$J:$J,F$1)</f>
        <v>0</v>
      </c>
      <c r="G302" s="70">
        <f>COUNTIFS('Error Log'!$A:$A,$A302,'Error Log'!$J:$J,G$1)</f>
        <v>0</v>
      </c>
      <c r="H302" s="70">
        <f>COUNTIFS('Error Log'!$A:$A,$A302,'Error Log'!$F:$F,"Source")</f>
        <v>0</v>
      </c>
      <c r="I302" s="70">
        <f>COUNTIFS('Error Log'!$A:$A,$A302,'Error Log'!$F:$F,"Target")</f>
        <v>0</v>
      </c>
      <c r="J302" s="71">
        <f t="shared" si="5"/>
        <v>0</v>
      </c>
    </row>
    <row r="303" spans="1:10">
      <c r="A303" s="81"/>
      <c r="B303" s="70" t="str">
        <f>IF(ISBLANK(A303),"",INDEX('Error Log'!$A:$J,MATCH('Scores per segment'!$A303,'Error Log'!$A:$A,0),MATCH('Scores per segment'!B$1,'Error Log'!$A$1:$J$1,0)))</f>
        <v/>
      </c>
      <c r="C303" s="70" t="str">
        <f>IF(ISBLANK(A303),"",INDEX('Error Log'!$A:$J,MATCH('Scores per segment'!$A303,'Error Log'!$A:$A,0),MATCH('Scores per segment'!C$1,'Error Log'!$A$1:$J$1,0)))</f>
        <v/>
      </c>
      <c r="D303" s="70">
        <f>IF(H303=0,wdct(TRIM(C303)),0)</f>
        <v>0</v>
      </c>
      <c r="E303" s="70">
        <f>COUNTIFS('Error Log'!$A:$A,$A303,'Error Log'!$J:$J,E$1)</f>
        <v>0</v>
      </c>
      <c r="F303" s="70">
        <f>COUNTIFS('Error Log'!$A:$A,$A303,'Error Log'!$J:$J,F$1)</f>
        <v>0</v>
      </c>
      <c r="G303" s="70">
        <f>COUNTIFS('Error Log'!$A:$A,$A303,'Error Log'!$J:$J,G$1)</f>
        <v>0</v>
      </c>
      <c r="H303" s="70">
        <f>COUNTIFS('Error Log'!$A:$A,$A303,'Error Log'!$F:$F,"Source")</f>
        <v>0</v>
      </c>
      <c r="I303" s="70">
        <f>COUNTIFS('Error Log'!$A:$A,$A303,'Error Log'!$F:$F,"Target")</f>
        <v>0</v>
      </c>
      <c r="J303" s="71">
        <f t="shared" si="5"/>
        <v>0</v>
      </c>
    </row>
    <row r="304" spans="1:10">
      <c r="A304" s="81"/>
      <c r="B304" s="70" t="str">
        <f>IF(ISBLANK(A304),"",INDEX('Error Log'!$A:$J,MATCH('Scores per segment'!$A304,'Error Log'!$A:$A,0),MATCH('Scores per segment'!B$1,'Error Log'!$A$1:$J$1,0)))</f>
        <v/>
      </c>
      <c r="C304" s="70" t="str">
        <f>IF(ISBLANK(A304),"",INDEX('Error Log'!$A:$J,MATCH('Scores per segment'!$A304,'Error Log'!$A:$A,0),MATCH('Scores per segment'!C$1,'Error Log'!$A$1:$J$1,0)))</f>
        <v/>
      </c>
      <c r="D304" s="70">
        <f>IF(H304=0,wdct(TRIM(C304)),0)</f>
        <v>0</v>
      </c>
      <c r="E304" s="70">
        <f>COUNTIFS('Error Log'!$A:$A,$A304,'Error Log'!$J:$J,E$1)</f>
        <v>0</v>
      </c>
      <c r="F304" s="70">
        <f>COUNTIFS('Error Log'!$A:$A,$A304,'Error Log'!$J:$J,F$1)</f>
        <v>0</v>
      </c>
      <c r="G304" s="70">
        <f>COUNTIFS('Error Log'!$A:$A,$A304,'Error Log'!$J:$J,G$1)</f>
        <v>0</v>
      </c>
      <c r="H304" s="70">
        <f>COUNTIFS('Error Log'!$A:$A,$A304,'Error Log'!$F:$F,"Source")</f>
        <v>0</v>
      </c>
      <c r="I304" s="70">
        <f>COUNTIFS('Error Log'!$A:$A,$A304,'Error Log'!$F:$F,"Target")</f>
        <v>0</v>
      </c>
      <c r="J304" s="71">
        <f t="shared" si="5"/>
        <v>0</v>
      </c>
    </row>
    <row r="305" spans="1:10">
      <c r="A305" s="81"/>
      <c r="B305" s="70" t="str">
        <f>IF(ISBLANK(A305),"",INDEX('Error Log'!$A:$J,MATCH('Scores per segment'!$A305,'Error Log'!$A:$A,0),MATCH('Scores per segment'!B$1,'Error Log'!$A$1:$J$1,0)))</f>
        <v/>
      </c>
      <c r="C305" s="70" t="str">
        <f>IF(ISBLANK(A305),"",INDEX('Error Log'!$A:$J,MATCH('Scores per segment'!$A305,'Error Log'!$A:$A,0),MATCH('Scores per segment'!C$1,'Error Log'!$A$1:$J$1,0)))</f>
        <v/>
      </c>
      <c r="D305" s="70">
        <f>IF(H305=0,wdct(TRIM(C305)),0)</f>
        <v>0</v>
      </c>
      <c r="E305" s="70">
        <f>COUNTIFS('Error Log'!$A:$A,$A305,'Error Log'!$J:$J,E$1)</f>
        <v>0</v>
      </c>
      <c r="F305" s="70">
        <f>COUNTIFS('Error Log'!$A:$A,$A305,'Error Log'!$J:$J,F$1)</f>
        <v>0</v>
      </c>
      <c r="G305" s="70">
        <f>COUNTIFS('Error Log'!$A:$A,$A305,'Error Log'!$J:$J,G$1)</f>
        <v>0</v>
      </c>
      <c r="H305" s="70">
        <f>COUNTIFS('Error Log'!$A:$A,$A305,'Error Log'!$F:$F,"Source")</f>
        <v>0</v>
      </c>
      <c r="I305" s="70">
        <f>COUNTIFS('Error Log'!$A:$A,$A305,'Error Log'!$F:$F,"Target")</f>
        <v>0</v>
      </c>
      <c r="J305" s="71">
        <f t="shared" si="5"/>
        <v>0</v>
      </c>
    </row>
    <row r="306" spans="1:10">
      <c r="A306" s="81"/>
      <c r="B306" s="70" t="str">
        <f>IF(ISBLANK(A306),"",INDEX('Error Log'!$A:$J,MATCH('Scores per segment'!$A306,'Error Log'!$A:$A,0),MATCH('Scores per segment'!B$1,'Error Log'!$A$1:$J$1,0)))</f>
        <v/>
      </c>
      <c r="C306" s="70" t="str">
        <f>IF(ISBLANK(A306),"",INDEX('Error Log'!$A:$J,MATCH('Scores per segment'!$A306,'Error Log'!$A:$A,0),MATCH('Scores per segment'!C$1,'Error Log'!$A$1:$J$1,0)))</f>
        <v/>
      </c>
      <c r="D306" s="70">
        <f>IF(H306=0,wdct(TRIM(C306)),0)</f>
        <v>0</v>
      </c>
      <c r="E306" s="70">
        <f>COUNTIFS('Error Log'!$A:$A,$A306,'Error Log'!$J:$J,E$1)</f>
        <v>0</v>
      </c>
      <c r="F306" s="70">
        <f>COUNTIFS('Error Log'!$A:$A,$A306,'Error Log'!$J:$J,F$1)</f>
        <v>0</v>
      </c>
      <c r="G306" s="70">
        <f>COUNTIFS('Error Log'!$A:$A,$A306,'Error Log'!$J:$J,G$1)</f>
        <v>0</v>
      </c>
      <c r="H306" s="70">
        <f>COUNTIFS('Error Log'!$A:$A,$A306,'Error Log'!$F:$F,"Source")</f>
        <v>0</v>
      </c>
      <c r="I306" s="70">
        <f>COUNTIFS('Error Log'!$A:$A,$A306,'Error Log'!$F:$F,"Target")</f>
        <v>0</v>
      </c>
      <c r="J306" s="71">
        <f t="shared" si="5"/>
        <v>0</v>
      </c>
    </row>
    <row r="307" spans="1:10">
      <c r="A307" s="81"/>
      <c r="B307" s="70" t="str">
        <f>IF(ISBLANK(A307),"",INDEX('Error Log'!$A:$J,MATCH('Scores per segment'!$A307,'Error Log'!$A:$A,0),MATCH('Scores per segment'!B$1,'Error Log'!$A$1:$J$1,0)))</f>
        <v/>
      </c>
      <c r="C307" s="70" t="str">
        <f>IF(ISBLANK(A307),"",INDEX('Error Log'!$A:$J,MATCH('Scores per segment'!$A307,'Error Log'!$A:$A,0),MATCH('Scores per segment'!C$1,'Error Log'!$A$1:$J$1,0)))</f>
        <v/>
      </c>
      <c r="D307" s="70">
        <f>IF(H307=0,wdct(TRIM(C307)),0)</f>
        <v>0</v>
      </c>
      <c r="E307" s="70">
        <f>COUNTIFS('Error Log'!$A:$A,$A307,'Error Log'!$J:$J,E$1)</f>
        <v>0</v>
      </c>
      <c r="F307" s="70">
        <f>COUNTIFS('Error Log'!$A:$A,$A307,'Error Log'!$J:$J,F$1)</f>
        <v>0</v>
      </c>
      <c r="G307" s="70">
        <f>COUNTIFS('Error Log'!$A:$A,$A307,'Error Log'!$J:$J,G$1)</f>
        <v>0</v>
      </c>
      <c r="H307" s="70">
        <f>COUNTIFS('Error Log'!$A:$A,$A307,'Error Log'!$F:$F,"Source")</f>
        <v>0</v>
      </c>
      <c r="I307" s="70">
        <f>COUNTIFS('Error Log'!$A:$A,$A307,'Error Log'!$F:$F,"Target")</f>
        <v>0</v>
      </c>
      <c r="J307" s="71">
        <f t="shared" si="5"/>
        <v>0</v>
      </c>
    </row>
    <row r="308" spans="1:10">
      <c r="A308" s="81"/>
      <c r="B308" s="70" t="str">
        <f>IF(ISBLANK(A308),"",INDEX('Error Log'!$A:$J,MATCH('Scores per segment'!$A308,'Error Log'!$A:$A,0),MATCH('Scores per segment'!B$1,'Error Log'!$A$1:$J$1,0)))</f>
        <v/>
      </c>
      <c r="C308" s="70" t="str">
        <f>IF(ISBLANK(A308),"",INDEX('Error Log'!$A:$J,MATCH('Scores per segment'!$A308,'Error Log'!$A:$A,0),MATCH('Scores per segment'!C$1,'Error Log'!$A$1:$J$1,0)))</f>
        <v/>
      </c>
      <c r="D308" s="70">
        <f>IF(H308=0,wdct(TRIM(C308)),0)</f>
        <v>0</v>
      </c>
      <c r="E308" s="70">
        <f>COUNTIFS('Error Log'!$A:$A,$A308,'Error Log'!$J:$J,E$1)</f>
        <v>0</v>
      </c>
      <c r="F308" s="70">
        <f>COUNTIFS('Error Log'!$A:$A,$A308,'Error Log'!$J:$J,F$1)</f>
        <v>0</v>
      </c>
      <c r="G308" s="70">
        <f>COUNTIFS('Error Log'!$A:$A,$A308,'Error Log'!$J:$J,G$1)</f>
        <v>0</v>
      </c>
      <c r="H308" s="70">
        <f>COUNTIFS('Error Log'!$A:$A,$A308,'Error Log'!$F:$F,"Source")</f>
        <v>0</v>
      </c>
      <c r="I308" s="70">
        <f>COUNTIFS('Error Log'!$A:$A,$A308,'Error Log'!$F:$F,"Target")</f>
        <v>0</v>
      </c>
      <c r="J308" s="71">
        <f t="shared" si="5"/>
        <v>0</v>
      </c>
    </row>
    <row r="309" spans="1:10">
      <c r="A309" s="81"/>
      <c r="B309" s="70" t="str">
        <f>IF(ISBLANK(A309),"",INDEX('Error Log'!$A:$J,MATCH('Scores per segment'!$A309,'Error Log'!$A:$A,0),MATCH('Scores per segment'!B$1,'Error Log'!$A$1:$J$1,0)))</f>
        <v/>
      </c>
      <c r="C309" s="70" t="str">
        <f>IF(ISBLANK(A309),"",INDEX('Error Log'!$A:$J,MATCH('Scores per segment'!$A309,'Error Log'!$A:$A,0),MATCH('Scores per segment'!C$1,'Error Log'!$A$1:$J$1,0)))</f>
        <v/>
      </c>
      <c r="D309" s="70">
        <f>IF(H309=0,wdct(TRIM(C309)),0)</f>
        <v>0</v>
      </c>
      <c r="E309" s="70">
        <f>COUNTIFS('Error Log'!$A:$A,$A309,'Error Log'!$J:$J,E$1)</f>
        <v>0</v>
      </c>
      <c r="F309" s="70">
        <f>COUNTIFS('Error Log'!$A:$A,$A309,'Error Log'!$J:$J,F$1)</f>
        <v>0</v>
      </c>
      <c r="G309" s="70">
        <f>COUNTIFS('Error Log'!$A:$A,$A309,'Error Log'!$J:$J,G$1)</f>
        <v>0</v>
      </c>
      <c r="H309" s="70">
        <f>COUNTIFS('Error Log'!$A:$A,$A309,'Error Log'!$F:$F,"Source")</f>
        <v>0</v>
      </c>
      <c r="I309" s="70">
        <f>COUNTIFS('Error Log'!$A:$A,$A309,'Error Log'!$F:$F,"Target")</f>
        <v>0</v>
      </c>
      <c r="J309" s="71">
        <f t="shared" si="5"/>
        <v>0</v>
      </c>
    </row>
    <row r="310" spans="1:10">
      <c r="A310" s="81"/>
      <c r="B310" s="70" t="str">
        <f>IF(ISBLANK(A310),"",INDEX('Error Log'!$A:$J,MATCH('Scores per segment'!$A310,'Error Log'!$A:$A,0),MATCH('Scores per segment'!B$1,'Error Log'!$A$1:$J$1,0)))</f>
        <v/>
      </c>
      <c r="C310" s="70" t="str">
        <f>IF(ISBLANK(A310),"",INDEX('Error Log'!$A:$J,MATCH('Scores per segment'!$A310,'Error Log'!$A:$A,0),MATCH('Scores per segment'!C$1,'Error Log'!$A$1:$J$1,0)))</f>
        <v/>
      </c>
      <c r="D310" s="70">
        <f>IF(H310=0,wdct(TRIM(C310)),0)</f>
        <v>0</v>
      </c>
      <c r="E310" s="70">
        <f>COUNTIFS('Error Log'!$A:$A,$A310,'Error Log'!$J:$J,E$1)</f>
        <v>0</v>
      </c>
      <c r="F310" s="70">
        <f>COUNTIFS('Error Log'!$A:$A,$A310,'Error Log'!$J:$J,F$1)</f>
        <v>0</v>
      </c>
      <c r="G310" s="70">
        <f>COUNTIFS('Error Log'!$A:$A,$A310,'Error Log'!$J:$J,G$1)</f>
        <v>0</v>
      </c>
      <c r="H310" s="70">
        <f>COUNTIFS('Error Log'!$A:$A,$A310,'Error Log'!$F:$F,"Source")</f>
        <v>0</v>
      </c>
      <c r="I310" s="70">
        <f>COUNTIFS('Error Log'!$A:$A,$A310,'Error Log'!$F:$F,"Target")</f>
        <v>0</v>
      </c>
      <c r="J310" s="71">
        <f t="shared" si="5"/>
        <v>0</v>
      </c>
    </row>
    <row r="311" spans="1:10">
      <c r="A311" s="81"/>
      <c r="B311" s="70" t="str">
        <f>IF(ISBLANK(A311),"",INDEX('Error Log'!$A:$J,MATCH('Scores per segment'!$A311,'Error Log'!$A:$A,0),MATCH('Scores per segment'!B$1,'Error Log'!$A$1:$J$1,0)))</f>
        <v/>
      </c>
      <c r="C311" s="70" t="str">
        <f>IF(ISBLANK(A311),"",INDEX('Error Log'!$A:$J,MATCH('Scores per segment'!$A311,'Error Log'!$A:$A,0),MATCH('Scores per segment'!C$1,'Error Log'!$A$1:$J$1,0)))</f>
        <v/>
      </c>
      <c r="D311" s="70">
        <f>IF(H311=0,wdct(TRIM(C311)),0)</f>
        <v>0</v>
      </c>
      <c r="E311" s="70">
        <f>COUNTIFS('Error Log'!$A:$A,$A311,'Error Log'!$J:$J,E$1)</f>
        <v>0</v>
      </c>
      <c r="F311" s="70">
        <f>COUNTIFS('Error Log'!$A:$A,$A311,'Error Log'!$J:$J,F$1)</f>
        <v>0</v>
      </c>
      <c r="G311" s="70">
        <f>COUNTIFS('Error Log'!$A:$A,$A311,'Error Log'!$J:$J,G$1)</f>
        <v>0</v>
      </c>
      <c r="H311" s="70">
        <f>COUNTIFS('Error Log'!$A:$A,$A311,'Error Log'!$F:$F,"Source")</f>
        <v>0</v>
      </c>
      <c r="I311" s="70">
        <f>COUNTIFS('Error Log'!$A:$A,$A311,'Error Log'!$F:$F,"Target")</f>
        <v>0</v>
      </c>
      <c r="J311" s="71">
        <f t="shared" si="5"/>
        <v>0</v>
      </c>
    </row>
    <row r="312" spans="1:10">
      <c r="A312" s="81"/>
      <c r="B312" s="70" t="str">
        <f>IF(ISBLANK(A312),"",INDEX('Error Log'!$A:$J,MATCH('Scores per segment'!$A312,'Error Log'!$A:$A,0),MATCH('Scores per segment'!B$1,'Error Log'!$A$1:$J$1,0)))</f>
        <v/>
      </c>
      <c r="C312" s="70" t="str">
        <f>IF(ISBLANK(A312),"",INDEX('Error Log'!$A:$J,MATCH('Scores per segment'!$A312,'Error Log'!$A:$A,0),MATCH('Scores per segment'!C$1,'Error Log'!$A$1:$J$1,0)))</f>
        <v/>
      </c>
      <c r="D312" s="70">
        <f>IF(H312=0,wdct(TRIM(C312)),0)</f>
        <v>0</v>
      </c>
      <c r="E312" s="70">
        <f>COUNTIFS('Error Log'!$A:$A,$A312,'Error Log'!$J:$J,E$1)</f>
        <v>0</v>
      </c>
      <c r="F312" s="70">
        <f>COUNTIFS('Error Log'!$A:$A,$A312,'Error Log'!$J:$J,F$1)</f>
        <v>0</v>
      </c>
      <c r="G312" s="70">
        <f>COUNTIFS('Error Log'!$A:$A,$A312,'Error Log'!$J:$J,G$1)</f>
        <v>0</v>
      </c>
      <c r="H312" s="70">
        <f>COUNTIFS('Error Log'!$A:$A,$A312,'Error Log'!$F:$F,"Source")</f>
        <v>0</v>
      </c>
      <c r="I312" s="70">
        <f>COUNTIFS('Error Log'!$A:$A,$A312,'Error Log'!$F:$F,"Target")</f>
        <v>0</v>
      </c>
      <c r="J312" s="71">
        <f t="shared" si="5"/>
        <v>0</v>
      </c>
    </row>
    <row r="313" spans="1:10">
      <c r="A313" s="81"/>
      <c r="B313" s="70" t="str">
        <f>IF(ISBLANK(A313),"",INDEX('Error Log'!$A:$J,MATCH('Scores per segment'!$A313,'Error Log'!$A:$A,0),MATCH('Scores per segment'!B$1,'Error Log'!$A$1:$J$1,0)))</f>
        <v/>
      </c>
      <c r="C313" s="70" t="str">
        <f>IF(ISBLANK(A313),"",INDEX('Error Log'!$A:$J,MATCH('Scores per segment'!$A313,'Error Log'!$A:$A,0),MATCH('Scores per segment'!C$1,'Error Log'!$A$1:$J$1,0)))</f>
        <v/>
      </c>
      <c r="D313" s="70">
        <f>IF(H313=0,wdct(TRIM(C313)),0)</f>
        <v>0</v>
      </c>
      <c r="E313" s="70">
        <f>COUNTIFS('Error Log'!$A:$A,$A313,'Error Log'!$J:$J,E$1)</f>
        <v>0</v>
      </c>
      <c r="F313" s="70">
        <f>COUNTIFS('Error Log'!$A:$A,$A313,'Error Log'!$J:$J,F$1)</f>
        <v>0</v>
      </c>
      <c r="G313" s="70">
        <f>COUNTIFS('Error Log'!$A:$A,$A313,'Error Log'!$J:$J,G$1)</f>
        <v>0</v>
      </c>
      <c r="H313" s="70">
        <f>COUNTIFS('Error Log'!$A:$A,$A313,'Error Log'!$F:$F,"Source")</f>
        <v>0</v>
      </c>
      <c r="I313" s="70">
        <f>COUNTIFS('Error Log'!$A:$A,$A313,'Error Log'!$F:$F,"Target")</f>
        <v>0</v>
      </c>
      <c r="J313" s="71">
        <f t="shared" si="5"/>
        <v>0</v>
      </c>
    </row>
    <row r="314" spans="1:10">
      <c r="A314" s="81"/>
      <c r="B314" s="70" t="str">
        <f>IF(ISBLANK(A314),"",INDEX('Error Log'!$A:$J,MATCH('Scores per segment'!$A314,'Error Log'!$A:$A,0),MATCH('Scores per segment'!B$1,'Error Log'!$A$1:$J$1,0)))</f>
        <v/>
      </c>
      <c r="C314" s="70" t="str">
        <f>IF(ISBLANK(A314),"",INDEX('Error Log'!$A:$J,MATCH('Scores per segment'!$A314,'Error Log'!$A:$A,0),MATCH('Scores per segment'!C$1,'Error Log'!$A$1:$J$1,0)))</f>
        <v/>
      </c>
      <c r="D314" s="70">
        <f>IF(H314=0,wdct(TRIM(C314)),0)</f>
        <v>0</v>
      </c>
      <c r="E314" s="70">
        <f>COUNTIFS('Error Log'!$A:$A,$A314,'Error Log'!$J:$J,E$1)</f>
        <v>0</v>
      </c>
      <c r="F314" s="70">
        <f>COUNTIFS('Error Log'!$A:$A,$A314,'Error Log'!$J:$J,F$1)</f>
        <v>0</v>
      </c>
      <c r="G314" s="70">
        <f>COUNTIFS('Error Log'!$A:$A,$A314,'Error Log'!$J:$J,G$1)</f>
        <v>0</v>
      </c>
      <c r="H314" s="70">
        <f>COUNTIFS('Error Log'!$A:$A,$A314,'Error Log'!$F:$F,"Source")</f>
        <v>0</v>
      </c>
      <c r="I314" s="70">
        <f>COUNTIFS('Error Log'!$A:$A,$A314,'Error Log'!$F:$F,"Target")</f>
        <v>0</v>
      </c>
      <c r="J314" s="71">
        <f t="shared" si="5"/>
        <v>0</v>
      </c>
    </row>
    <row r="315" spans="1:10">
      <c r="A315" s="81"/>
      <c r="B315" s="70" t="str">
        <f>IF(ISBLANK(A315),"",INDEX('Error Log'!$A:$J,MATCH('Scores per segment'!$A315,'Error Log'!$A:$A,0),MATCH('Scores per segment'!B$1,'Error Log'!$A$1:$J$1,0)))</f>
        <v/>
      </c>
      <c r="C315" s="70" t="str">
        <f>IF(ISBLANK(A315),"",INDEX('Error Log'!$A:$J,MATCH('Scores per segment'!$A315,'Error Log'!$A:$A,0),MATCH('Scores per segment'!C$1,'Error Log'!$A$1:$J$1,0)))</f>
        <v/>
      </c>
      <c r="D315" s="70">
        <f>IF(H315=0,wdct(TRIM(C315)),0)</f>
        <v>0</v>
      </c>
      <c r="E315" s="70">
        <f>COUNTIFS('Error Log'!$A:$A,$A315,'Error Log'!$J:$J,E$1)</f>
        <v>0</v>
      </c>
      <c r="F315" s="70">
        <f>COUNTIFS('Error Log'!$A:$A,$A315,'Error Log'!$J:$J,F$1)</f>
        <v>0</v>
      </c>
      <c r="G315" s="70">
        <f>COUNTIFS('Error Log'!$A:$A,$A315,'Error Log'!$J:$J,G$1)</f>
        <v>0</v>
      </c>
      <c r="H315" s="70">
        <f>COUNTIFS('Error Log'!$A:$A,$A315,'Error Log'!$F:$F,"Source")</f>
        <v>0</v>
      </c>
      <c r="I315" s="70">
        <f>COUNTIFS('Error Log'!$A:$A,$A315,'Error Log'!$F:$F,"Target")</f>
        <v>0</v>
      </c>
      <c r="J315" s="71">
        <f t="shared" si="5"/>
        <v>0</v>
      </c>
    </row>
    <row r="316" spans="1:10">
      <c r="A316" s="81"/>
      <c r="B316" s="70" t="str">
        <f>IF(ISBLANK(A316),"",INDEX('Error Log'!$A:$J,MATCH('Scores per segment'!$A316,'Error Log'!$A:$A,0),MATCH('Scores per segment'!B$1,'Error Log'!$A$1:$J$1,0)))</f>
        <v/>
      </c>
      <c r="C316" s="70" t="str">
        <f>IF(ISBLANK(A316),"",INDEX('Error Log'!$A:$J,MATCH('Scores per segment'!$A316,'Error Log'!$A:$A,0),MATCH('Scores per segment'!C$1,'Error Log'!$A$1:$J$1,0)))</f>
        <v/>
      </c>
      <c r="D316" s="70">
        <f>IF(H316=0,wdct(TRIM(C316)),0)</f>
        <v>0</v>
      </c>
      <c r="E316" s="70">
        <f>COUNTIFS('Error Log'!$A:$A,$A316,'Error Log'!$J:$J,E$1)</f>
        <v>0</v>
      </c>
      <c r="F316" s="70">
        <f>COUNTIFS('Error Log'!$A:$A,$A316,'Error Log'!$J:$J,F$1)</f>
        <v>0</v>
      </c>
      <c r="G316" s="70">
        <f>COUNTIFS('Error Log'!$A:$A,$A316,'Error Log'!$J:$J,G$1)</f>
        <v>0</v>
      </c>
      <c r="H316" s="70">
        <f>COUNTIFS('Error Log'!$A:$A,$A316,'Error Log'!$F:$F,"Source")</f>
        <v>0</v>
      </c>
      <c r="I316" s="70">
        <f>COUNTIFS('Error Log'!$A:$A,$A316,'Error Log'!$F:$F,"Target")</f>
        <v>0</v>
      </c>
      <c r="J316" s="71">
        <f t="shared" si="5"/>
        <v>0</v>
      </c>
    </row>
    <row r="317" spans="1:10">
      <c r="A317" s="81"/>
      <c r="B317" s="70" t="str">
        <f>IF(ISBLANK(A317),"",INDEX('Error Log'!$A:$J,MATCH('Scores per segment'!$A317,'Error Log'!$A:$A,0),MATCH('Scores per segment'!B$1,'Error Log'!$A$1:$J$1,0)))</f>
        <v/>
      </c>
      <c r="C317" s="70" t="str">
        <f>IF(ISBLANK(A317),"",INDEX('Error Log'!$A:$J,MATCH('Scores per segment'!$A317,'Error Log'!$A:$A,0),MATCH('Scores per segment'!C$1,'Error Log'!$A$1:$J$1,0)))</f>
        <v/>
      </c>
      <c r="D317" s="70">
        <f>IF(H317=0,wdct(TRIM(C317)),0)</f>
        <v>0</v>
      </c>
      <c r="E317" s="70">
        <f>COUNTIFS('Error Log'!$A:$A,$A317,'Error Log'!$J:$J,E$1)</f>
        <v>0</v>
      </c>
      <c r="F317" s="70">
        <f>COUNTIFS('Error Log'!$A:$A,$A317,'Error Log'!$J:$J,F$1)</f>
        <v>0</v>
      </c>
      <c r="G317" s="70">
        <f>COUNTIFS('Error Log'!$A:$A,$A317,'Error Log'!$J:$J,G$1)</f>
        <v>0</v>
      </c>
      <c r="H317" s="70">
        <f>COUNTIFS('Error Log'!$A:$A,$A317,'Error Log'!$F:$F,"Source")</f>
        <v>0</v>
      </c>
      <c r="I317" s="70">
        <f>COUNTIFS('Error Log'!$A:$A,$A317,'Error Log'!$F:$F,"Target")</f>
        <v>0</v>
      </c>
      <c r="J317" s="71">
        <f t="shared" si="5"/>
        <v>0</v>
      </c>
    </row>
    <row r="318" spans="1:10">
      <c r="A318" s="81"/>
      <c r="B318" s="70" t="str">
        <f>IF(ISBLANK(A318),"",INDEX('Error Log'!$A:$J,MATCH('Scores per segment'!$A318,'Error Log'!$A:$A,0),MATCH('Scores per segment'!B$1,'Error Log'!$A$1:$J$1,0)))</f>
        <v/>
      </c>
      <c r="C318" s="70" t="str">
        <f>IF(ISBLANK(A318),"",INDEX('Error Log'!$A:$J,MATCH('Scores per segment'!$A318,'Error Log'!$A:$A,0),MATCH('Scores per segment'!C$1,'Error Log'!$A$1:$J$1,0)))</f>
        <v/>
      </c>
      <c r="D318" s="70">
        <f>IF(H318=0,wdct(TRIM(C318)),0)</f>
        <v>0</v>
      </c>
      <c r="E318" s="70">
        <f>COUNTIFS('Error Log'!$A:$A,$A318,'Error Log'!$J:$J,E$1)</f>
        <v>0</v>
      </c>
      <c r="F318" s="70">
        <f>COUNTIFS('Error Log'!$A:$A,$A318,'Error Log'!$J:$J,F$1)</f>
        <v>0</v>
      </c>
      <c r="G318" s="70">
        <f>COUNTIFS('Error Log'!$A:$A,$A318,'Error Log'!$J:$J,G$1)</f>
        <v>0</v>
      </c>
      <c r="H318" s="70">
        <f>COUNTIFS('Error Log'!$A:$A,$A318,'Error Log'!$F:$F,"Source")</f>
        <v>0</v>
      </c>
      <c r="I318" s="70">
        <f>COUNTIFS('Error Log'!$A:$A,$A318,'Error Log'!$F:$F,"Target")</f>
        <v>0</v>
      </c>
      <c r="J318" s="71">
        <f t="shared" si="5"/>
        <v>0</v>
      </c>
    </row>
    <row r="319" spans="1:10">
      <c r="A319" s="81"/>
      <c r="B319" s="70" t="str">
        <f>IF(ISBLANK(A319),"",INDEX('Error Log'!$A:$J,MATCH('Scores per segment'!$A319,'Error Log'!$A:$A,0),MATCH('Scores per segment'!B$1,'Error Log'!$A$1:$J$1,0)))</f>
        <v/>
      </c>
      <c r="C319" s="70" t="str">
        <f>IF(ISBLANK(A319),"",INDEX('Error Log'!$A:$J,MATCH('Scores per segment'!$A319,'Error Log'!$A:$A,0),MATCH('Scores per segment'!C$1,'Error Log'!$A$1:$J$1,0)))</f>
        <v/>
      </c>
      <c r="D319" s="70">
        <f>IF(H319=0,wdct(TRIM(C319)),0)</f>
        <v>0</v>
      </c>
      <c r="E319" s="70">
        <f>COUNTIFS('Error Log'!$A:$A,$A319,'Error Log'!$J:$J,E$1)</f>
        <v>0</v>
      </c>
      <c r="F319" s="70">
        <f>COUNTIFS('Error Log'!$A:$A,$A319,'Error Log'!$J:$J,F$1)</f>
        <v>0</v>
      </c>
      <c r="G319" s="70">
        <f>COUNTIFS('Error Log'!$A:$A,$A319,'Error Log'!$J:$J,G$1)</f>
        <v>0</v>
      </c>
      <c r="H319" s="70">
        <f>COUNTIFS('Error Log'!$A:$A,$A319,'Error Log'!$F:$F,"Source")</f>
        <v>0</v>
      </c>
      <c r="I319" s="70">
        <f>COUNTIFS('Error Log'!$A:$A,$A319,'Error Log'!$F:$F,"Target")</f>
        <v>0</v>
      </c>
      <c r="J319" s="71">
        <f t="shared" si="5"/>
        <v>0</v>
      </c>
    </row>
    <row r="320" spans="1:10">
      <c r="A320" s="81"/>
      <c r="B320" s="70" t="str">
        <f>IF(ISBLANK(A320),"",INDEX('Error Log'!$A:$J,MATCH('Scores per segment'!$A320,'Error Log'!$A:$A,0),MATCH('Scores per segment'!B$1,'Error Log'!$A$1:$J$1,0)))</f>
        <v/>
      </c>
      <c r="C320" s="70" t="str">
        <f>IF(ISBLANK(A320),"",INDEX('Error Log'!$A:$J,MATCH('Scores per segment'!$A320,'Error Log'!$A:$A,0),MATCH('Scores per segment'!C$1,'Error Log'!$A$1:$J$1,0)))</f>
        <v/>
      </c>
      <c r="D320" s="70">
        <f>IF(H320=0,wdct(TRIM(C320)),0)</f>
        <v>0</v>
      </c>
      <c r="E320" s="70">
        <f>COUNTIFS('Error Log'!$A:$A,$A320,'Error Log'!$J:$J,E$1)</f>
        <v>0</v>
      </c>
      <c r="F320" s="70">
        <f>COUNTIFS('Error Log'!$A:$A,$A320,'Error Log'!$J:$J,F$1)</f>
        <v>0</v>
      </c>
      <c r="G320" s="70">
        <f>COUNTIFS('Error Log'!$A:$A,$A320,'Error Log'!$J:$J,G$1)</f>
        <v>0</v>
      </c>
      <c r="H320" s="70">
        <f>COUNTIFS('Error Log'!$A:$A,$A320,'Error Log'!$F:$F,"Source")</f>
        <v>0</v>
      </c>
      <c r="I320" s="70">
        <f>COUNTIFS('Error Log'!$A:$A,$A320,'Error Log'!$F:$F,"Target")</f>
        <v>0</v>
      </c>
      <c r="J320" s="71">
        <f t="shared" si="5"/>
        <v>0</v>
      </c>
    </row>
    <row r="321" spans="1:10">
      <c r="A321" s="81"/>
      <c r="B321" s="70" t="str">
        <f>IF(ISBLANK(A321),"",INDEX('Error Log'!$A:$J,MATCH('Scores per segment'!$A321,'Error Log'!$A:$A,0),MATCH('Scores per segment'!B$1,'Error Log'!$A$1:$J$1,0)))</f>
        <v/>
      </c>
      <c r="C321" s="70" t="str">
        <f>IF(ISBLANK(A321),"",INDEX('Error Log'!$A:$J,MATCH('Scores per segment'!$A321,'Error Log'!$A:$A,0),MATCH('Scores per segment'!C$1,'Error Log'!$A$1:$J$1,0)))</f>
        <v/>
      </c>
      <c r="D321" s="70">
        <f>IF(H321=0,wdct(TRIM(C321)),0)</f>
        <v>0</v>
      </c>
      <c r="E321" s="70">
        <f>COUNTIFS('Error Log'!$A:$A,$A321,'Error Log'!$J:$J,E$1)</f>
        <v>0</v>
      </c>
      <c r="F321" s="70">
        <f>COUNTIFS('Error Log'!$A:$A,$A321,'Error Log'!$J:$J,F$1)</f>
        <v>0</v>
      </c>
      <c r="G321" s="70">
        <f>COUNTIFS('Error Log'!$A:$A,$A321,'Error Log'!$J:$J,G$1)</f>
        <v>0</v>
      </c>
      <c r="H321" s="70">
        <f>COUNTIFS('Error Log'!$A:$A,$A321,'Error Log'!$F:$F,"Source")</f>
        <v>0</v>
      </c>
      <c r="I321" s="70">
        <f>COUNTIFS('Error Log'!$A:$A,$A321,'Error Log'!$F:$F,"Target")</f>
        <v>0</v>
      </c>
      <c r="J321" s="71">
        <f t="shared" si="5"/>
        <v>0</v>
      </c>
    </row>
    <row r="322" spans="1:10">
      <c r="A322" s="81"/>
      <c r="B322" s="70" t="str">
        <f>IF(ISBLANK(A322),"",INDEX('Error Log'!$A:$J,MATCH('Scores per segment'!$A322,'Error Log'!$A:$A,0),MATCH('Scores per segment'!B$1,'Error Log'!$A$1:$J$1,0)))</f>
        <v/>
      </c>
      <c r="C322" s="70" t="str">
        <f>IF(ISBLANK(A322),"",INDEX('Error Log'!$A:$J,MATCH('Scores per segment'!$A322,'Error Log'!$A:$A,0),MATCH('Scores per segment'!C$1,'Error Log'!$A$1:$J$1,0)))</f>
        <v/>
      </c>
      <c r="D322" s="70">
        <f>IF(H322=0,wdct(TRIM(C322)),0)</f>
        <v>0</v>
      </c>
      <c r="E322" s="70">
        <f>COUNTIFS('Error Log'!$A:$A,$A322,'Error Log'!$J:$J,E$1)</f>
        <v>0</v>
      </c>
      <c r="F322" s="70">
        <f>COUNTIFS('Error Log'!$A:$A,$A322,'Error Log'!$J:$J,F$1)</f>
        <v>0</v>
      </c>
      <c r="G322" s="70">
        <f>COUNTIFS('Error Log'!$A:$A,$A322,'Error Log'!$J:$J,G$1)</f>
        <v>0</v>
      </c>
      <c r="H322" s="70">
        <f>COUNTIFS('Error Log'!$A:$A,$A322,'Error Log'!$F:$F,"Source")</f>
        <v>0</v>
      </c>
      <c r="I322" s="70">
        <f>COUNTIFS('Error Log'!$A:$A,$A322,'Error Log'!$F:$F,"Target")</f>
        <v>0</v>
      </c>
      <c r="J322" s="71">
        <f t="shared" ref="J322:J385" si="6">IF(I322=0,IFERROR((((1-((E322*10+F322*5+G322*1)/D322))*100)+100)/2,0),-150)</f>
        <v>0</v>
      </c>
    </row>
    <row r="323" spans="1:10">
      <c r="A323" s="81"/>
      <c r="B323" s="70" t="str">
        <f>IF(ISBLANK(A323),"",INDEX('Error Log'!$A:$J,MATCH('Scores per segment'!$A323,'Error Log'!$A:$A,0),MATCH('Scores per segment'!B$1,'Error Log'!$A$1:$J$1,0)))</f>
        <v/>
      </c>
      <c r="C323" s="70" t="str">
        <f>IF(ISBLANK(A323),"",INDEX('Error Log'!$A:$J,MATCH('Scores per segment'!$A323,'Error Log'!$A:$A,0),MATCH('Scores per segment'!C$1,'Error Log'!$A$1:$J$1,0)))</f>
        <v/>
      </c>
      <c r="D323" s="70">
        <f>IF(H323=0,wdct(TRIM(C323)),0)</f>
        <v>0</v>
      </c>
      <c r="E323" s="70">
        <f>COUNTIFS('Error Log'!$A:$A,$A323,'Error Log'!$J:$J,E$1)</f>
        <v>0</v>
      </c>
      <c r="F323" s="70">
        <f>COUNTIFS('Error Log'!$A:$A,$A323,'Error Log'!$J:$J,F$1)</f>
        <v>0</v>
      </c>
      <c r="G323" s="70">
        <f>COUNTIFS('Error Log'!$A:$A,$A323,'Error Log'!$J:$J,G$1)</f>
        <v>0</v>
      </c>
      <c r="H323" s="70">
        <f>COUNTIFS('Error Log'!$A:$A,$A323,'Error Log'!$F:$F,"Source")</f>
        <v>0</v>
      </c>
      <c r="I323" s="70">
        <f>COUNTIFS('Error Log'!$A:$A,$A323,'Error Log'!$F:$F,"Target")</f>
        <v>0</v>
      </c>
      <c r="J323" s="71">
        <f t="shared" si="6"/>
        <v>0</v>
      </c>
    </row>
    <row r="324" spans="1:10">
      <c r="A324" s="81"/>
      <c r="B324" s="70" t="str">
        <f>IF(ISBLANK(A324),"",INDEX('Error Log'!$A:$J,MATCH('Scores per segment'!$A324,'Error Log'!$A:$A,0),MATCH('Scores per segment'!B$1,'Error Log'!$A$1:$J$1,0)))</f>
        <v/>
      </c>
      <c r="C324" s="70" t="str">
        <f>IF(ISBLANK(A324),"",INDEX('Error Log'!$A:$J,MATCH('Scores per segment'!$A324,'Error Log'!$A:$A,0),MATCH('Scores per segment'!C$1,'Error Log'!$A$1:$J$1,0)))</f>
        <v/>
      </c>
      <c r="D324" s="70">
        <f>IF(H324=0,wdct(TRIM(C324)),0)</f>
        <v>0</v>
      </c>
      <c r="E324" s="70">
        <f>COUNTIFS('Error Log'!$A:$A,$A324,'Error Log'!$J:$J,E$1)</f>
        <v>0</v>
      </c>
      <c r="F324" s="70">
        <f>COUNTIFS('Error Log'!$A:$A,$A324,'Error Log'!$J:$J,F$1)</f>
        <v>0</v>
      </c>
      <c r="G324" s="70">
        <f>COUNTIFS('Error Log'!$A:$A,$A324,'Error Log'!$J:$J,G$1)</f>
        <v>0</v>
      </c>
      <c r="H324" s="70">
        <f>COUNTIFS('Error Log'!$A:$A,$A324,'Error Log'!$F:$F,"Source")</f>
        <v>0</v>
      </c>
      <c r="I324" s="70">
        <f>COUNTIFS('Error Log'!$A:$A,$A324,'Error Log'!$F:$F,"Target")</f>
        <v>0</v>
      </c>
      <c r="J324" s="71">
        <f t="shared" si="6"/>
        <v>0</v>
      </c>
    </row>
    <row r="325" spans="1:10">
      <c r="A325" s="81"/>
      <c r="B325" s="70" t="str">
        <f>IF(ISBLANK(A325),"",INDEX('Error Log'!$A:$J,MATCH('Scores per segment'!$A325,'Error Log'!$A:$A,0),MATCH('Scores per segment'!B$1,'Error Log'!$A$1:$J$1,0)))</f>
        <v/>
      </c>
      <c r="C325" s="70" t="str">
        <f>IF(ISBLANK(A325),"",INDEX('Error Log'!$A:$J,MATCH('Scores per segment'!$A325,'Error Log'!$A:$A,0),MATCH('Scores per segment'!C$1,'Error Log'!$A$1:$J$1,0)))</f>
        <v/>
      </c>
      <c r="D325" s="70">
        <f>IF(H325=0,wdct(TRIM(C325)),0)</f>
        <v>0</v>
      </c>
      <c r="E325" s="70">
        <f>COUNTIFS('Error Log'!$A:$A,$A325,'Error Log'!$J:$J,E$1)</f>
        <v>0</v>
      </c>
      <c r="F325" s="70">
        <f>COUNTIFS('Error Log'!$A:$A,$A325,'Error Log'!$J:$J,F$1)</f>
        <v>0</v>
      </c>
      <c r="G325" s="70">
        <f>COUNTIFS('Error Log'!$A:$A,$A325,'Error Log'!$J:$J,G$1)</f>
        <v>0</v>
      </c>
      <c r="H325" s="70">
        <f>COUNTIFS('Error Log'!$A:$A,$A325,'Error Log'!$F:$F,"Source")</f>
        <v>0</v>
      </c>
      <c r="I325" s="70">
        <f>COUNTIFS('Error Log'!$A:$A,$A325,'Error Log'!$F:$F,"Target")</f>
        <v>0</v>
      </c>
      <c r="J325" s="71">
        <f t="shared" si="6"/>
        <v>0</v>
      </c>
    </row>
    <row r="326" spans="1:10">
      <c r="A326" s="81"/>
      <c r="B326" s="70" t="str">
        <f>IF(ISBLANK(A326),"",INDEX('Error Log'!$A:$J,MATCH('Scores per segment'!$A326,'Error Log'!$A:$A,0),MATCH('Scores per segment'!B$1,'Error Log'!$A$1:$J$1,0)))</f>
        <v/>
      </c>
      <c r="C326" s="70" t="str">
        <f>IF(ISBLANK(A326),"",INDEX('Error Log'!$A:$J,MATCH('Scores per segment'!$A326,'Error Log'!$A:$A,0),MATCH('Scores per segment'!C$1,'Error Log'!$A$1:$J$1,0)))</f>
        <v/>
      </c>
      <c r="D326" s="70">
        <f>IF(H326=0,wdct(TRIM(C326)),0)</f>
        <v>0</v>
      </c>
      <c r="E326" s="70">
        <f>COUNTIFS('Error Log'!$A:$A,$A326,'Error Log'!$J:$J,E$1)</f>
        <v>0</v>
      </c>
      <c r="F326" s="70">
        <f>COUNTIFS('Error Log'!$A:$A,$A326,'Error Log'!$J:$J,F$1)</f>
        <v>0</v>
      </c>
      <c r="G326" s="70">
        <f>COUNTIFS('Error Log'!$A:$A,$A326,'Error Log'!$J:$J,G$1)</f>
        <v>0</v>
      </c>
      <c r="H326" s="70">
        <f>COUNTIFS('Error Log'!$A:$A,$A326,'Error Log'!$F:$F,"Source")</f>
        <v>0</v>
      </c>
      <c r="I326" s="70">
        <f>COUNTIFS('Error Log'!$A:$A,$A326,'Error Log'!$F:$F,"Target")</f>
        <v>0</v>
      </c>
      <c r="J326" s="71">
        <f t="shared" si="6"/>
        <v>0</v>
      </c>
    </row>
    <row r="327" spans="1:10">
      <c r="A327" s="81"/>
      <c r="B327" s="70" t="str">
        <f>IF(ISBLANK(A327),"",INDEX('Error Log'!$A:$J,MATCH('Scores per segment'!$A327,'Error Log'!$A:$A,0),MATCH('Scores per segment'!B$1,'Error Log'!$A$1:$J$1,0)))</f>
        <v/>
      </c>
      <c r="C327" s="70" t="str">
        <f>IF(ISBLANK(A327),"",INDEX('Error Log'!$A:$J,MATCH('Scores per segment'!$A327,'Error Log'!$A:$A,0),MATCH('Scores per segment'!C$1,'Error Log'!$A$1:$J$1,0)))</f>
        <v/>
      </c>
      <c r="D327" s="70">
        <f>IF(H327=0,wdct(TRIM(C327)),0)</f>
        <v>0</v>
      </c>
      <c r="E327" s="70">
        <f>COUNTIFS('Error Log'!$A:$A,$A327,'Error Log'!$J:$J,E$1)</f>
        <v>0</v>
      </c>
      <c r="F327" s="70">
        <f>COUNTIFS('Error Log'!$A:$A,$A327,'Error Log'!$J:$J,F$1)</f>
        <v>0</v>
      </c>
      <c r="G327" s="70">
        <f>COUNTIFS('Error Log'!$A:$A,$A327,'Error Log'!$J:$J,G$1)</f>
        <v>0</v>
      </c>
      <c r="H327" s="70">
        <f>COUNTIFS('Error Log'!$A:$A,$A327,'Error Log'!$F:$F,"Source")</f>
        <v>0</v>
      </c>
      <c r="I327" s="70">
        <f>COUNTIFS('Error Log'!$A:$A,$A327,'Error Log'!$F:$F,"Target")</f>
        <v>0</v>
      </c>
      <c r="J327" s="71">
        <f t="shared" si="6"/>
        <v>0</v>
      </c>
    </row>
    <row r="328" spans="1:10">
      <c r="A328" s="81"/>
      <c r="B328" s="70" t="str">
        <f>IF(ISBLANK(A328),"",INDEX('Error Log'!$A:$J,MATCH('Scores per segment'!$A328,'Error Log'!$A:$A,0),MATCH('Scores per segment'!B$1,'Error Log'!$A$1:$J$1,0)))</f>
        <v/>
      </c>
      <c r="C328" s="70" t="str">
        <f>IF(ISBLANK(A328),"",INDEX('Error Log'!$A:$J,MATCH('Scores per segment'!$A328,'Error Log'!$A:$A,0),MATCH('Scores per segment'!C$1,'Error Log'!$A$1:$J$1,0)))</f>
        <v/>
      </c>
      <c r="D328" s="70">
        <f>IF(H328=0,wdct(TRIM(C328)),0)</f>
        <v>0</v>
      </c>
      <c r="E328" s="70">
        <f>COUNTIFS('Error Log'!$A:$A,$A328,'Error Log'!$J:$J,E$1)</f>
        <v>0</v>
      </c>
      <c r="F328" s="70">
        <f>COUNTIFS('Error Log'!$A:$A,$A328,'Error Log'!$J:$J,F$1)</f>
        <v>0</v>
      </c>
      <c r="G328" s="70">
        <f>COUNTIFS('Error Log'!$A:$A,$A328,'Error Log'!$J:$J,G$1)</f>
        <v>0</v>
      </c>
      <c r="H328" s="70">
        <f>COUNTIFS('Error Log'!$A:$A,$A328,'Error Log'!$F:$F,"Source")</f>
        <v>0</v>
      </c>
      <c r="I328" s="70">
        <f>COUNTIFS('Error Log'!$A:$A,$A328,'Error Log'!$F:$F,"Target")</f>
        <v>0</v>
      </c>
      <c r="J328" s="71">
        <f t="shared" si="6"/>
        <v>0</v>
      </c>
    </row>
    <row r="329" spans="1:10">
      <c r="A329" s="81"/>
      <c r="B329" s="70" t="str">
        <f>IF(ISBLANK(A329),"",INDEX('Error Log'!$A:$J,MATCH('Scores per segment'!$A329,'Error Log'!$A:$A,0),MATCH('Scores per segment'!B$1,'Error Log'!$A$1:$J$1,0)))</f>
        <v/>
      </c>
      <c r="C329" s="70" t="str">
        <f>IF(ISBLANK(A329),"",INDEX('Error Log'!$A:$J,MATCH('Scores per segment'!$A329,'Error Log'!$A:$A,0),MATCH('Scores per segment'!C$1,'Error Log'!$A$1:$J$1,0)))</f>
        <v/>
      </c>
      <c r="D329" s="70">
        <f>IF(H329=0,wdct(TRIM(C329)),0)</f>
        <v>0</v>
      </c>
      <c r="E329" s="70">
        <f>COUNTIFS('Error Log'!$A:$A,$A329,'Error Log'!$J:$J,E$1)</f>
        <v>0</v>
      </c>
      <c r="F329" s="70">
        <f>COUNTIFS('Error Log'!$A:$A,$A329,'Error Log'!$J:$J,F$1)</f>
        <v>0</v>
      </c>
      <c r="G329" s="70">
        <f>COUNTIFS('Error Log'!$A:$A,$A329,'Error Log'!$J:$J,G$1)</f>
        <v>0</v>
      </c>
      <c r="H329" s="70">
        <f>COUNTIFS('Error Log'!$A:$A,$A329,'Error Log'!$F:$F,"Source")</f>
        <v>0</v>
      </c>
      <c r="I329" s="70">
        <f>COUNTIFS('Error Log'!$A:$A,$A329,'Error Log'!$F:$F,"Target")</f>
        <v>0</v>
      </c>
      <c r="J329" s="71">
        <f t="shared" si="6"/>
        <v>0</v>
      </c>
    </row>
    <row r="330" spans="1:10">
      <c r="A330" s="81"/>
      <c r="B330" s="70" t="str">
        <f>IF(ISBLANK(A330),"",INDEX('Error Log'!$A:$J,MATCH('Scores per segment'!$A330,'Error Log'!$A:$A,0),MATCH('Scores per segment'!B$1,'Error Log'!$A$1:$J$1,0)))</f>
        <v/>
      </c>
      <c r="C330" s="70" t="str">
        <f>IF(ISBLANK(A330),"",INDEX('Error Log'!$A:$J,MATCH('Scores per segment'!$A330,'Error Log'!$A:$A,0),MATCH('Scores per segment'!C$1,'Error Log'!$A$1:$J$1,0)))</f>
        <v/>
      </c>
      <c r="D330" s="70">
        <f>IF(H330=0,wdct(TRIM(C330)),0)</f>
        <v>0</v>
      </c>
      <c r="E330" s="70">
        <f>COUNTIFS('Error Log'!$A:$A,$A330,'Error Log'!$J:$J,E$1)</f>
        <v>0</v>
      </c>
      <c r="F330" s="70">
        <f>COUNTIFS('Error Log'!$A:$A,$A330,'Error Log'!$J:$J,F$1)</f>
        <v>0</v>
      </c>
      <c r="G330" s="70">
        <f>COUNTIFS('Error Log'!$A:$A,$A330,'Error Log'!$J:$J,G$1)</f>
        <v>0</v>
      </c>
      <c r="H330" s="70">
        <f>COUNTIFS('Error Log'!$A:$A,$A330,'Error Log'!$F:$F,"Source")</f>
        <v>0</v>
      </c>
      <c r="I330" s="70">
        <f>COUNTIFS('Error Log'!$A:$A,$A330,'Error Log'!$F:$F,"Target")</f>
        <v>0</v>
      </c>
      <c r="J330" s="71">
        <f t="shared" si="6"/>
        <v>0</v>
      </c>
    </row>
    <row r="331" spans="1:10">
      <c r="A331" s="81"/>
      <c r="B331" s="70" t="str">
        <f>IF(ISBLANK(A331),"",INDEX('Error Log'!$A:$J,MATCH('Scores per segment'!$A331,'Error Log'!$A:$A,0),MATCH('Scores per segment'!B$1,'Error Log'!$A$1:$J$1,0)))</f>
        <v/>
      </c>
      <c r="C331" s="70" t="str">
        <f>IF(ISBLANK(A331),"",INDEX('Error Log'!$A:$J,MATCH('Scores per segment'!$A331,'Error Log'!$A:$A,0),MATCH('Scores per segment'!C$1,'Error Log'!$A$1:$J$1,0)))</f>
        <v/>
      </c>
      <c r="D331" s="70">
        <f>IF(H331=0,wdct(TRIM(C331)),0)</f>
        <v>0</v>
      </c>
      <c r="E331" s="70">
        <f>COUNTIFS('Error Log'!$A:$A,$A331,'Error Log'!$J:$J,E$1)</f>
        <v>0</v>
      </c>
      <c r="F331" s="70">
        <f>COUNTIFS('Error Log'!$A:$A,$A331,'Error Log'!$J:$J,F$1)</f>
        <v>0</v>
      </c>
      <c r="G331" s="70">
        <f>COUNTIFS('Error Log'!$A:$A,$A331,'Error Log'!$J:$J,G$1)</f>
        <v>0</v>
      </c>
      <c r="H331" s="70">
        <f>COUNTIFS('Error Log'!$A:$A,$A331,'Error Log'!$F:$F,"Source")</f>
        <v>0</v>
      </c>
      <c r="I331" s="70">
        <f>COUNTIFS('Error Log'!$A:$A,$A331,'Error Log'!$F:$F,"Target")</f>
        <v>0</v>
      </c>
      <c r="J331" s="71">
        <f t="shared" si="6"/>
        <v>0</v>
      </c>
    </row>
    <row r="332" spans="1:10">
      <c r="A332" s="81"/>
      <c r="B332" s="70" t="str">
        <f>IF(ISBLANK(A332),"",INDEX('Error Log'!$A:$J,MATCH('Scores per segment'!$A332,'Error Log'!$A:$A,0),MATCH('Scores per segment'!B$1,'Error Log'!$A$1:$J$1,0)))</f>
        <v/>
      </c>
      <c r="C332" s="70" t="str">
        <f>IF(ISBLANK(A332),"",INDEX('Error Log'!$A:$J,MATCH('Scores per segment'!$A332,'Error Log'!$A:$A,0),MATCH('Scores per segment'!C$1,'Error Log'!$A$1:$J$1,0)))</f>
        <v/>
      </c>
      <c r="D332" s="70">
        <f>IF(H332=0,wdct(TRIM(C332)),0)</f>
        <v>0</v>
      </c>
      <c r="E332" s="70">
        <f>COUNTIFS('Error Log'!$A:$A,$A332,'Error Log'!$J:$J,E$1)</f>
        <v>0</v>
      </c>
      <c r="F332" s="70">
        <f>COUNTIFS('Error Log'!$A:$A,$A332,'Error Log'!$J:$J,F$1)</f>
        <v>0</v>
      </c>
      <c r="G332" s="70">
        <f>COUNTIFS('Error Log'!$A:$A,$A332,'Error Log'!$J:$J,G$1)</f>
        <v>0</v>
      </c>
      <c r="H332" s="70">
        <f>COUNTIFS('Error Log'!$A:$A,$A332,'Error Log'!$F:$F,"Source")</f>
        <v>0</v>
      </c>
      <c r="I332" s="70">
        <f>COUNTIFS('Error Log'!$A:$A,$A332,'Error Log'!$F:$F,"Target")</f>
        <v>0</v>
      </c>
      <c r="J332" s="71">
        <f t="shared" si="6"/>
        <v>0</v>
      </c>
    </row>
    <row r="333" spans="1:10">
      <c r="A333" s="81"/>
      <c r="B333" s="70" t="str">
        <f>IF(ISBLANK(A333),"",INDEX('Error Log'!$A:$J,MATCH('Scores per segment'!$A333,'Error Log'!$A:$A,0),MATCH('Scores per segment'!B$1,'Error Log'!$A$1:$J$1,0)))</f>
        <v/>
      </c>
      <c r="C333" s="70" t="str">
        <f>IF(ISBLANK(A333),"",INDEX('Error Log'!$A:$J,MATCH('Scores per segment'!$A333,'Error Log'!$A:$A,0),MATCH('Scores per segment'!C$1,'Error Log'!$A$1:$J$1,0)))</f>
        <v/>
      </c>
      <c r="D333" s="70">
        <f>IF(H333=0,wdct(TRIM(C333)),0)</f>
        <v>0</v>
      </c>
      <c r="E333" s="70">
        <f>COUNTIFS('Error Log'!$A:$A,$A333,'Error Log'!$J:$J,E$1)</f>
        <v>0</v>
      </c>
      <c r="F333" s="70">
        <f>COUNTIFS('Error Log'!$A:$A,$A333,'Error Log'!$J:$J,F$1)</f>
        <v>0</v>
      </c>
      <c r="G333" s="70">
        <f>COUNTIFS('Error Log'!$A:$A,$A333,'Error Log'!$J:$J,G$1)</f>
        <v>0</v>
      </c>
      <c r="H333" s="70">
        <f>COUNTIFS('Error Log'!$A:$A,$A333,'Error Log'!$F:$F,"Source")</f>
        <v>0</v>
      </c>
      <c r="I333" s="70">
        <f>COUNTIFS('Error Log'!$A:$A,$A333,'Error Log'!$F:$F,"Target")</f>
        <v>0</v>
      </c>
      <c r="J333" s="71">
        <f t="shared" si="6"/>
        <v>0</v>
      </c>
    </row>
    <row r="334" spans="1:10">
      <c r="A334" s="81"/>
      <c r="B334" s="70" t="str">
        <f>IF(ISBLANK(A334),"",INDEX('Error Log'!$A:$J,MATCH('Scores per segment'!$A334,'Error Log'!$A:$A,0),MATCH('Scores per segment'!B$1,'Error Log'!$A$1:$J$1,0)))</f>
        <v/>
      </c>
      <c r="C334" s="70" t="str">
        <f>IF(ISBLANK(A334),"",INDEX('Error Log'!$A:$J,MATCH('Scores per segment'!$A334,'Error Log'!$A:$A,0),MATCH('Scores per segment'!C$1,'Error Log'!$A$1:$J$1,0)))</f>
        <v/>
      </c>
      <c r="D334" s="70">
        <f>IF(H334=0,wdct(TRIM(C334)),0)</f>
        <v>0</v>
      </c>
      <c r="E334" s="70">
        <f>COUNTIFS('Error Log'!$A:$A,$A334,'Error Log'!$J:$J,E$1)</f>
        <v>0</v>
      </c>
      <c r="F334" s="70">
        <f>COUNTIFS('Error Log'!$A:$A,$A334,'Error Log'!$J:$J,F$1)</f>
        <v>0</v>
      </c>
      <c r="G334" s="70">
        <f>COUNTIFS('Error Log'!$A:$A,$A334,'Error Log'!$J:$J,G$1)</f>
        <v>0</v>
      </c>
      <c r="H334" s="70">
        <f>COUNTIFS('Error Log'!$A:$A,$A334,'Error Log'!$F:$F,"Source")</f>
        <v>0</v>
      </c>
      <c r="I334" s="70">
        <f>COUNTIFS('Error Log'!$A:$A,$A334,'Error Log'!$F:$F,"Target")</f>
        <v>0</v>
      </c>
      <c r="J334" s="71">
        <f t="shared" si="6"/>
        <v>0</v>
      </c>
    </row>
    <row r="335" spans="1:10">
      <c r="A335" s="81"/>
      <c r="B335" s="70" t="str">
        <f>IF(ISBLANK(A335),"",INDEX('Error Log'!$A:$J,MATCH('Scores per segment'!$A335,'Error Log'!$A:$A,0),MATCH('Scores per segment'!B$1,'Error Log'!$A$1:$J$1,0)))</f>
        <v/>
      </c>
      <c r="C335" s="70" t="str">
        <f>IF(ISBLANK(A335),"",INDEX('Error Log'!$A:$J,MATCH('Scores per segment'!$A335,'Error Log'!$A:$A,0),MATCH('Scores per segment'!C$1,'Error Log'!$A$1:$J$1,0)))</f>
        <v/>
      </c>
      <c r="D335" s="70">
        <f>IF(H335=0,wdct(TRIM(C335)),0)</f>
        <v>0</v>
      </c>
      <c r="E335" s="70">
        <f>COUNTIFS('Error Log'!$A:$A,$A335,'Error Log'!$J:$J,E$1)</f>
        <v>0</v>
      </c>
      <c r="F335" s="70">
        <f>COUNTIFS('Error Log'!$A:$A,$A335,'Error Log'!$J:$J,F$1)</f>
        <v>0</v>
      </c>
      <c r="G335" s="70">
        <f>COUNTIFS('Error Log'!$A:$A,$A335,'Error Log'!$J:$J,G$1)</f>
        <v>0</v>
      </c>
      <c r="H335" s="70">
        <f>COUNTIFS('Error Log'!$A:$A,$A335,'Error Log'!$F:$F,"Source")</f>
        <v>0</v>
      </c>
      <c r="I335" s="70">
        <f>COUNTIFS('Error Log'!$A:$A,$A335,'Error Log'!$F:$F,"Target")</f>
        <v>0</v>
      </c>
      <c r="J335" s="71">
        <f t="shared" si="6"/>
        <v>0</v>
      </c>
    </row>
    <row r="336" spans="1:10">
      <c r="A336" s="81"/>
      <c r="B336" s="70" t="str">
        <f>IF(ISBLANK(A336),"",INDEX('Error Log'!$A:$J,MATCH('Scores per segment'!$A336,'Error Log'!$A:$A,0),MATCH('Scores per segment'!B$1,'Error Log'!$A$1:$J$1,0)))</f>
        <v/>
      </c>
      <c r="C336" s="70" t="str">
        <f>IF(ISBLANK(A336),"",INDEX('Error Log'!$A:$J,MATCH('Scores per segment'!$A336,'Error Log'!$A:$A,0),MATCH('Scores per segment'!C$1,'Error Log'!$A$1:$J$1,0)))</f>
        <v/>
      </c>
      <c r="D336" s="70">
        <f>IF(H336=0,wdct(TRIM(C336)),0)</f>
        <v>0</v>
      </c>
      <c r="E336" s="70">
        <f>COUNTIFS('Error Log'!$A:$A,$A336,'Error Log'!$J:$J,E$1)</f>
        <v>0</v>
      </c>
      <c r="F336" s="70">
        <f>COUNTIFS('Error Log'!$A:$A,$A336,'Error Log'!$J:$J,F$1)</f>
        <v>0</v>
      </c>
      <c r="G336" s="70">
        <f>COUNTIFS('Error Log'!$A:$A,$A336,'Error Log'!$J:$J,G$1)</f>
        <v>0</v>
      </c>
      <c r="H336" s="70">
        <f>COUNTIFS('Error Log'!$A:$A,$A336,'Error Log'!$F:$F,"Source")</f>
        <v>0</v>
      </c>
      <c r="I336" s="70">
        <f>COUNTIFS('Error Log'!$A:$A,$A336,'Error Log'!$F:$F,"Target")</f>
        <v>0</v>
      </c>
      <c r="J336" s="71">
        <f t="shared" si="6"/>
        <v>0</v>
      </c>
    </row>
    <row r="337" spans="1:10">
      <c r="A337" s="81"/>
      <c r="B337" s="70" t="str">
        <f>IF(ISBLANK(A337),"",INDEX('Error Log'!$A:$J,MATCH('Scores per segment'!$A337,'Error Log'!$A:$A,0),MATCH('Scores per segment'!B$1,'Error Log'!$A$1:$J$1,0)))</f>
        <v/>
      </c>
      <c r="C337" s="70" t="str">
        <f>IF(ISBLANK(A337),"",INDEX('Error Log'!$A:$J,MATCH('Scores per segment'!$A337,'Error Log'!$A:$A,0),MATCH('Scores per segment'!C$1,'Error Log'!$A$1:$J$1,0)))</f>
        <v/>
      </c>
      <c r="D337" s="70">
        <f>IF(H337=0,wdct(TRIM(C337)),0)</f>
        <v>0</v>
      </c>
      <c r="E337" s="70">
        <f>COUNTIFS('Error Log'!$A:$A,$A337,'Error Log'!$J:$J,E$1)</f>
        <v>0</v>
      </c>
      <c r="F337" s="70">
        <f>COUNTIFS('Error Log'!$A:$A,$A337,'Error Log'!$J:$J,F$1)</f>
        <v>0</v>
      </c>
      <c r="G337" s="70">
        <f>COUNTIFS('Error Log'!$A:$A,$A337,'Error Log'!$J:$J,G$1)</f>
        <v>0</v>
      </c>
      <c r="H337" s="70">
        <f>COUNTIFS('Error Log'!$A:$A,$A337,'Error Log'!$F:$F,"Source")</f>
        <v>0</v>
      </c>
      <c r="I337" s="70">
        <f>COUNTIFS('Error Log'!$A:$A,$A337,'Error Log'!$F:$F,"Target")</f>
        <v>0</v>
      </c>
      <c r="J337" s="71">
        <f t="shared" si="6"/>
        <v>0</v>
      </c>
    </row>
    <row r="338" spans="1:10">
      <c r="A338" s="81"/>
      <c r="B338" s="70" t="str">
        <f>IF(ISBLANK(A338),"",INDEX('Error Log'!$A:$J,MATCH('Scores per segment'!$A338,'Error Log'!$A:$A,0),MATCH('Scores per segment'!B$1,'Error Log'!$A$1:$J$1,0)))</f>
        <v/>
      </c>
      <c r="C338" s="70" t="str">
        <f>IF(ISBLANK(A338),"",INDEX('Error Log'!$A:$J,MATCH('Scores per segment'!$A338,'Error Log'!$A:$A,0),MATCH('Scores per segment'!C$1,'Error Log'!$A$1:$J$1,0)))</f>
        <v/>
      </c>
      <c r="D338" s="70">
        <f>IF(H338=0,wdct(TRIM(C338)),0)</f>
        <v>0</v>
      </c>
      <c r="E338" s="70">
        <f>COUNTIFS('Error Log'!$A:$A,$A338,'Error Log'!$J:$J,E$1)</f>
        <v>0</v>
      </c>
      <c r="F338" s="70">
        <f>COUNTIFS('Error Log'!$A:$A,$A338,'Error Log'!$J:$J,F$1)</f>
        <v>0</v>
      </c>
      <c r="G338" s="70">
        <f>COUNTIFS('Error Log'!$A:$A,$A338,'Error Log'!$J:$J,G$1)</f>
        <v>0</v>
      </c>
      <c r="H338" s="70">
        <f>COUNTIFS('Error Log'!$A:$A,$A338,'Error Log'!$F:$F,"Source")</f>
        <v>0</v>
      </c>
      <c r="I338" s="70">
        <f>COUNTIFS('Error Log'!$A:$A,$A338,'Error Log'!$F:$F,"Target")</f>
        <v>0</v>
      </c>
      <c r="J338" s="71">
        <f t="shared" si="6"/>
        <v>0</v>
      </c>
    </row>
    <row r="339" spans="1:10">
      <c r="A339" s="81"/>
      <c r="B339" s="70" t="str">
        <f>IF(ISBLANK(A339),"",INDEX('Error Log'!$A:$J,MATCH('Scores per segment'!$A339,'Error Log'!$A:$A,0),MATCH('Scores per segment'!B$1,'Error Log'!$A$1:$J$1,0)))</f>
        <v/>
      </c>
      <c r="C339" s="70" t="str">
        <f>IF(ISBLANK(A339),"",INDEX('Error Log'!$A:$J,MATCH('Scores per segment'!$A339,'Error Log'!$A:$A,0),MATCH('Scores per segment'!C$1,'Error Log'!$A$1:$J$1,0)))</f>
        <v/>
      </c>
      <c r="D339" s="70">
        <f>IF(H339=0,wdct(TRIM(C339)),0)</f>
        <v>0</v>
      </c>
      <c r="E339" s="70">
        <f>COUNTIFS('Error Log'!$A:$A,$A339,'Error Log'!$J:$J,E$1)</f>
        <v>0</v>
      </c>
      <c r="F339" s="70">
        <f>COUNTIFS('Error Log'!$A:$A,$A339,'Error Log'!$J:$J,F$1)</f>
        <v>0</v>
      </c>
      <c r="G339" s="70">
        <f>COUNTIFS('Error Log'!$A:$A,$A339,'Error Log'!$J:$J,G$1)</f>
        <v>0</v>
      </c>
      <c r="H339" s="70">
        <f>COUNTIFS('Error Log'!$A:$A,$A339,'Error Log'!$F:$F,"Source")</f>
        <v>0</v>
      </c>
      <c r="I339" s="70">
        <f>COUNTIFS('Error Log'!$A:$A,$A339,'Error Log'!$F:$F,"Target")</f>
        <v>0</v>
      </c>
      <c r="J339" s="71">
        <f t="shared" si="6"/>
        <v>0</v>
      </c>
    </row>
    <row r="340" spans="1:10">
      <c r="A340" s="81"/>
      <c r="B340" s="70" t="str">
        <f>IF(ISBLANK(A340),"",INDEX('Error Log'!$A:$J,MATCH('Scores per segment'!$A340,'Error Log'!$A:$A,0),MATCH('Scores per segment'!B$1,'Error Log'!$A$1:$J$1,0)))</f>
        <v/>
      </c>
      <c r="C340" s="70" t="str">
        <f>IF(ISBLANK(A340),"",INDEX('Error Log'!$A:$J,MATCH('Scores per segment'!$A340,'Error Log'!$A:$A,0),MATCH('Scores per segment'!C$1,'Error Log'!$A$1:$J$1,0)))</f>
        <v/>
      </c>
      <c r="D340" s="70">
        <f>IF(H340=0,wdct(TRIM(C340)),0)</f>
        <v>0</v>
      </c>
      <c r="E340" s="70">
        <f>COUNTIFS('Error Log'!$A:$A,$A340,'Error Log'!$J:$J,E$1)</f>
        <v>0</v>
      </c>
      <c r="F340" s="70">
        <f>COUNTIFS('Error Log'!$A:$A,$A340,'Error Log'!$J:$J,F$1)</f>
        <v>0</v>
      </c>
      <c r="G340" s="70">
        <f>COUNTIFS('Error Log'!$A:$A,$A340,'Error Log'!$J:$J,G$1)</f>
        <v>0</v>
      </c>
      <c r="H340" s="70">
        <f>COUNTIFS('Error Log'!$A:$A,$A340,'Error Log'!$F:$F,"Source")</f>
        <v>0</v>
      </c>
      <c r="I340" s="70">
        <f>COUNTIFS('Error Log'!$A:$A,$A340,'Error Log'!$F:$F,"Target")</f>
        <v>0</v>
      </c>
      <c r="J340" s="71">
        <f t="shared" si="6"/>
        <v>0</v>
      </c>
    </row>
    <row r="341" spans="1:10">
      <c r="A341" s="81"/>
      <c r="B341" s="70" t="str">
        <f>IF(ISBLANK(A341),"",INDEX('Error Log'!$A:$J,MATCH('Scores per segment'!$A341,'Error Log'!$A:$A,0),MATCH('Scores per segment'!B$1,'Error Log'!$A$1:$J$1,0)))</f>
        <v/>
      </c>
      <c r="C341" s="70" t="str">
        <f>IF(ISBLANK(A341),"",INDEX('Error Log'!$A:$J,MATCH('Scores per segment'!$A341,'Error Log'!$A:$A,0),MATCH('Scores per segment'!C$1,'Error Log'!$A$1:$J$1,0)))</f>
        <v/>
      </c>
      <c r="D341" s="70">
        <f>IF(H341=0,wdct(TRIM(C341)),0)</f>
        <v>0</v>
      </c>
      <c r="E341" s="70">
        <f>COUNTIFS('Error Log'!$A:$A,$A341,'Error Log'!$J:$J,E$1)</f>
        <v>0</v>
      </c>
      <c r="F341" s="70">
        <f>COUNTIFS('Error Log'!$A:$A,$A341,'Error Log'!$J:$J,F$1)</f>
        <v>0</v>
      </c>
      <c r="G341" s="70">
        <f>COUNTIFS('Error Log'!$A:$A,$A341,'Error Log'!$J:$J,G$1)</f>
        <v>0</v>
      </c>
      <c r="H341" s="70">
        <f>COUNTIFS('Error Log'!$A:$A,$A341,'Error Log'!$F:$F,"Source")</f>
        <v>0</v>
      </c>
      <c r="I341" s="70">
        <f>COUNTIFS('Error Log'!$A:$A,$A341,'Error Log'!$F:$F,"Target")</f>
        <v>0</v>
      </c>
      <c r="J341" s="71">
        <f t="shared" si="6"/>
        <v>0</v>
      </c>
    </row>
    <row r="342" spans="1:10">
      <c r="A342" s="81"/>
      <c r="B342" s="70" t="str">
        <f>IF(ISBLANK(A342),"",INDEX('Error Log'!$A:$J,MATCH('Scores per segment'!$A342,'Error Log'!$A:$A,0),MATCH('Scores per segment'!B$1,'Error Log'!$A$1:$J$1,0)))</f>
        <v/>
      </c>
      <c r="C342" s="70" t="str">
        <f>IF(ISBLANK(A342),"",INDEX('Error Log'!$A:$J,MATCH('Scores per segment'!$A342,'Error Log'!$A:$A,0),MATCH('Scores per segment'!C$1,'Error Log'!$A$1:$J$1,0)))</f>
        <v/>
      </c>
      <c r="D342" s="70">
        <f>IF(H342=0,wdct(TRIM(C342)),0)</f>
        <v>0</v>
      </c>
      <c r="E342" s="70">
        <f>COUNTIFS('Error Log'!$A:$A,$A342,'Error Log'!$J:$J,E$1)</f>
        <v>0</v>
      </c>
      <c r="F342" s="70">
        <f>COUNTIFS('Error Log'!$A:$A,$A342,'Error Log'!$J:$J,F$1)</f>
        <v>0</v>
      </c>
      <c r="G342" s="70">
        <f>COUNTIFS('Error Log'!$A:$A,$A342,'Error Log'!$J:$J,G$1)</f>
        <v>0</v>
      </c>
      <c r="H342" s="70">
        <f>COUNTIFS('Error Log'!$A:$A,$A342,'Error Log'!$F:$F,"Source")</f>
        <v>0</v>
      </c>
      <c r="I342" s="70">
        <f>COUNTIFS('Error Log'!$A:$A,$A342,'Error Log'!$F:$F,"Target")</f>
        <v>0</v>
      </c>
      <c r="J342" s="71">
        <f t="shared" si="6"/>
        <v>0</v>
      </c>
    </row>
    <row r="343" spans="1:10">
      <c r="A343" s="81"/>
      <c r="B343" s="70" t="str">
        <f>IF(ISBLANK(A343),"",INDEX('Error Log'!$A:$J,MATCH('Scores per segment'!$A343,'Error Log'!$A:$A,0),MATCH('Scores per segment'!B$1,'Error Log'!$A$1:$J$1,0)))</f>
        <v/>
      </c>
      <c r="C343" s="70" t="str">
        <f>IF(ISBLANK(A343),"",INDEX('Error Log'!$A:$J,MATCH('Scores per segment'!$A343,'Error Log'!$A:$A,0),MATCH('Scores per segment'!C$1,'Error Log'!$A$1:$J$1,0)))</f>
        <v/>
      </c>
      <c r="D343" s="70">
        <f>IF(H343=0,wdct(TRIM(C343)),0)</f>
        <v>0</v>
      </c>
      <c r="E343" s="70">
        <f>COUNTIFS('Error Log'!$A:$A,$A343,'Error Log'!$J:$J,E$1)</f>
        <v>0</v>
      </c>
      <c r="F343" s="70">
        <f>COUNTIFS('Error Log'!$A:$A,$A343,'Error Log'!$J:$J,F$1)</f>
        <v>0</v>
      </c>
      <c r="G343" s="70">
        <f>COUNTIFS('Error Log'!$A:$A,$A343,'Error Log'!$J:$J,G$1)</f>
        <v>0</v>
      </c>
      <c r="H343" s="70">
        <f>COUNTIFS('Error Log'!$A:$A,$A343,'Error Log'!$F:$F,"Source")</f>
        <v>0</v>
      </c>
      <c r="I343" s="70">
        <f>COUNTIFS('Error Log'!$A:$A,$A343,'Error Log'!$F:$F,"Target")</f>
        <v>0</v>
      </c>
      <c r="J343" s="71">
        <f t="shared" si="6"/>
        <v>0</v>
      </c>
    </row>
    <row r="344" spans="1:10">
      <c r="A344" s="81"/>
      <c r="B344" s="70" t="str">
        <f>IF(ISBLANK(A344),"",INDEX('Error Log'!$A:$J,MATCH('Scores per segment'!$A344,'Error Log'!$A:$A,0),MATCH('Scores per segment'!B$1,'Error Log'!$A$1:$J$1,0)))</f>
        <v/>
      </c>
      <c r="C344" s="70" t="str">
        <f>IF(ISBLANK(A344),"",INDEX('Error Log'!$A:$J,MATCH('Scores per segment'!$A344,'Error Log'!$A:$A,0),MATCH('Scores per segment'!C$1,'Error Log'!$A$1:$J$1,0)))</f>
        <v/>
      </c>
      <c r="D344" s="70">
        <f>IF(H344=0,wdct(TRIM(C344)),0)</f>
        <v>0</v>
      </c>
      <c r="E344" s="70">
        <f>COUNTIFS('Error Log'!$A:$A,$A344,'Error Log'!$J:$J,E$1)</f>
        <v>0</v>
      </c>
      <c r="F344" s="70">
        <f>COUNTIFS('Error Log'!$A:$A,$A344,'Error Log'!$J:$J,F$1)</f>
        <v>0</v>
      </c>
      <c r="G344" s="70">
        <f>COUNTIFS('Error Log'!$A:$A,$A344,'Error Log'!$J:$J,G$1)</f>
        <v>0</v>
      </c>
      <c r="H344" s="70">
        <f>COUNTIFS('Error Log'!$A:$A,$A344,'Error Log'!$F:$F,"Source")</f>
        <v>0</v>
      </c>
      <c r="I344" s="70">
        <f>COUNTIFS('Error Log'!$A:$A,$A344,'Error Log'!$F:$F,"Target")</f>
        <v>0</v>
      </c>
      <c r="J344" s="71">
        <f t="shared" si="6"/>
        <v>0</v>
      </c>
    </row>
    <row r="345" spans="1:10">
      <c r="A345" s="81"/>
      <c r="B345" s="70" t="str">
        <f>IF(ISBLANK(A345),"",INDEX('Error Log'!$A:$J,MATCH('Scores per segment'!$A345,'Error Log'!$A:$A,0),MATCH('Scores per segment'!B$1,'Error Log'!$A$1:$J$1,0)))</f>
        <v/>
      </c>
      <c r="C345" s="70" t="str">
        <f>IF(ISBLANK(A345),"",INDEX('Error Log'!$A:$J,MATCH('Scores per segment'!$A345,'Error Log'!$A:$A,0),MATCH('Scores per segment'!C$1,'Error Log'!$A$1:$J$1,0)))</f>
        <v/>
      </c>
      <c r="D345" s="70">
        <f>IF(H345=0,wdct(TRIM(C345)),0)</f>
        <v>0</v>
      </c>
      <c r="E345" s="70">
        <f>COUNTIFS('Error Log'!$A:$A,$A345,'Error Log'!$J:$J,E$1)</f>
        <v>0</v>
      </c>
      <c r="F345" s="70">
        <f>COUNTIFS('Error Log'!$A:$A,$A345,'Error Log'!$J:$J,F$1)</f>
        <v>0</v>
      </c>
      <c r="G345" s="70">
        <f>COUNTIFS('Error Log'!$A:$A,$A345,'Error Log'!$J:$J,G$1)</f>
        <v>0</v>
      </c>
      <c r="H345" s="70">
        <f>COUNTIFS('Error Log'!$A:$A,$A345,'Error Log'!$F:$F,"Source")</f>
        <v>0</v>
      </c>
      <c r="I345" s="70">
        <f>COUNTIFS('Error Log'!$A:$A,$A345,'Error Log'!$F:$F,"Target")</f>
        <v>0</v>
      </c>
      <c r="J345" s="71">
        <f t="shared" si="6"/>
        <v>0</v>
      </c>
    </row>
    <row r="346" spans="1:10">
      <c r="A346" s="81"/>
      <c r="B346" s="70" t="str">
        <f>IF(ISBLANK(A346),"",INDEX('Error Log'!$A:$J,MATCH('Scores per segment'!$A346,'Error Log'!$A:$A,0),MATCH('Scores per segment'!B$1,'Error Log'!$A$1:$J$1,0)))</f>
        <v/>
      </c>
      <c r="C346" s="70" t="str">
        <f>IF(ISBLANK(A346),"",INDEX('Error Log'!$A:$J,MATCH('Scores per segment'!$A346,'Error Log'!$A:$A,0),MATCH('Scores per segment'!C$1,'Error Log'!$A$1:$J$1,0)))</f>
        <v/>
      </c>
      <c r="D346" s="70">
        <f>IF(H346=0,wdct(TRIM(C346)),0)</f>
        <v>0</v>
      </c>
      <c r="E346" s="70">
        <f>COUNTIFS('Error Log'!$A:$A,$A346,'Error Log'!$J:$J,E$1)</f>
        <v>0</v>
      </c>
      <c r="F346" s="70">
        <f>COUNTIFS('Error Log'!$A:$A,$A346,'Error Log'!$J:$J,F$1)</f>
        <v>0</v>
      </c>
      <c r="G346" s="70">
        <f>COUNTIFS('Error Log'!$A:$A,$A346,'Error Log'!$J:$J,G$1)</f>
        <v>0</v>
      </c>
      <c r="H346" s="70">
        <f>COUNTIFS('Error Log'!$A:$A,$A346,'Error Log'!$F:$F,"Source")</f>
        <v>0</v>
      </c>
      <c r="I346" s="70">
        <f>COUNTIFS('Error Log'!$A:$A,$A346,'Error Log'!$F:$F,"Target")</f>
        <v>0</v>
      </c>
      <c r="J346" s="71">
        <f t="shared" si="6"/>
        <v>0</v>
      </c>
    </row>
    <row r="347" spans="1:10">
      <c r="A347" s="81"/>
      <c r="B347" s="70" t="str">
        <f>IF(ISBLANK(A347),"",INDEX('Error Log'!$A:$J,MATCH('Scores per segment'!$A347,'Error Log'!$A:$A,0),MATCH('Scores per segment'!B$1,'Error Log'!$A$1:$J$1,0)))</f>
        <v/>
      </c>
      <c r="C347" s="70" t="str">
        <f>IF(ISBLANK(A347),"",INDEX('Error Log'!$A:$J,MATCH('Scores per segment'!$A347,'Error Log'!$A:$A,0),MATCH('Scores per segment'!C$1,'Error Log'!$A$1:$J$1,0)))</f>
        <v/>
      </c>
      <c r="D347" s="70">
        <f>IF(H347=0,wdct(TRIM(C347)),0)</f>
        <v>0</v>
      </c>
      <c r="E347" s="70">
        <f>COUNTIFS('Error Log'!$A:$A,$A347,'Error Log'!$J:$J,E$1)</f>
        <v>0</v>
      </c>
      <c r="F347" s="70">
        <f>COUNTIFS('Error Log'!$A:$A,$A347,'Error Log'!$J:$J,F$1)</f>
        <v>0</v>
      </c>
      <c r="G347" s="70">
        <f>COUNTIFS('Error Log'!$A:$A,$A347,'Error Log'!$J:$J,G$1)</f>
        <v>0</v>
      </c>
      <c r="H347" s="70">
        <f>COUNTIFS('Error Log'!$A:$A,$A347,'Error Log'!$F:$F,"Source")</f>
        <v>0</v>
      </c>
      <c r="I347" s="70">
        <f>COUNTIFS('Error Log'!$A:$A,$A347,'Error Log'!$F:$F,"Target")</f>
        <v>0</v>
      </c>
      <c r="J347" s="71">
        <f t="shared" si="6"/>
        <v>0</v>
      </c>
    </row>
    <row r="348" spans="1:10">
      <c r="A348" s="81"/>
      <c r="B348" s="70" t="str">
        <f>IF(ISBLANK(A348),"",INDEX('Error Log'!$A:$J,MATCH('Scores per segment'!$A348,'Error Log'!$A:$A,0),MATCH('Scores per segment'!B$1,'Error Log'!$A$1:$J$1,0)))</f>
        <v/>
      </c>
      <c r="C348" s="70" t="str">
        <f>IF(ISBLANK(A348),"",INDEX('Error Log'!$A:$J,MATCH('Scores per segment'!$A348,'Error Log'!$A:$A,0),MATCH('Scores per segment'!C$1,'Error Log'!$A$1:$J$1,0)))</f>
        <v/>
      </c>
      <c r="D348" s="70">
        <f>IF(H348=0,wdct(TRIM(C348)),0)</f>
        <v>0</v>
      </c>
      <c r="E348" s="70">
        <f>COUNTIFS('Error Log'!$A:$A,$A348,'Error Log'!$J:$J,E$1)</f>
        <v>0</v>
      </c>
      <c r="F348" s="70">
        <f>COUNTIFS('Error Log'!$A:$A,$A348,'Error Log'!$J:$J,F$1)</f>
        <v>0</v>
      </c>
      <c r="G348" s="70">
        <f>COUNTIFS('Error Log'!$A:$A,$A348,'Error Log'!$J:$J,G$1)</f>
        <v>0</v>
      </c>
      <c r="H348" s="70">
        <f>COUNTIFS('Error Log'!$A:$A,$A348,'Error Log'!$F:$F,"Source")</f>
        <v>0</v>
      </c>
      <c r="I348" s="70">
        <f>COUNTIFS('Error Log'!$A:$A,$A348,'Error Log'!$F:$F,"Target")</f>
        <v>0</v>
      </c>
      <c r="J348" s="71">
        <f t="shared" si="6"/>
        <v>0</v>
      </c>
    </row>
    <row r="349" spans="1:10">
      <c r="A349" s="81"/>
      <c r="B349" s="70" t="str">
        <f>IF(ISBLANK(A349),"",INDEX('Error Log'!$A:$J,MATCH('Scores per segment'!$A349,'Error Log'!$A:$A,0),MATCH('Scores per segment'!B$1,'Error Log'!$A$1:$J$1,0)))</f>
        <v/>
      </c>
      <c r="C349" s="70" t="str">
        <f>IF(ISBLANK(A349),"",INDEX('Error Log'!$A:$J,MATCH('Scores per segment'!$A349,'Error Log'!$A:$A,0),MATCH('Scores per segment'!C$1,'Error Log'!$A$1:$J$1,0)))</f>
        <v/>
      </c>
      <c r="D349" s="70">
        <f>IF(H349=0,wdct(TRIM(C349)),0)</f>
        <v>0</v>
      </c>
      <c r="E349" s="70">
        <f>COUNTIFS('Error Log'!$A:$A,$A349,'Error Log'!$J:$J,E$1)</f>
        <v>0</v>
      </c>
      <c r="F349" s="70">
        <f>COUNTIFS('Error Log'!$A:$A,$A349,'Error Log'!$J:$J,F$1)</f>
        <v>0</v>
      </c>
      <c r="G349" s="70">
        <f>COUNTIFS('Error Log'!$A:$A,$A349,'Error Log'!$J:$J,G$1)</f>
        <v>0</v>
      </c>
      <c r="H349" s="70">
        <f>COUNTIFS('Error Log'!$A:$A,$A349,'Error Log'!$F:$F,"Source")</f>
        <v>0</v>
      </c>
      <c r="I349" s="70">
        <f>COUNTIFS('Error Log'!$A:$A,$A349,'Error Log'!$F:$F,"Target")</f>
        <v>0</v>
      </c>
      <c r="J349" s="71">
        <f t="shared" si="6"/>
        <v>0</v>
      </c>
    </row>
    <row r="350" spans="1:10">
      <c r="A350" s="81"/>
      <c r="B350" s="70" t="str">
        <f>IF(ISBLANK(A350),"",INDEX('Error Log'!$A:$J,MATCH('Scores per segment'!$A350,'Error Log'!$A:$A,0),MATCH('Scores per segment'!B$1,'Error Log'!$A$1:$J$1,0)))</f>
        <v/>
      </c>
      <c r="C350" s="70" t="str">
        <f>IF(ISBLANK(A350),"",INDEX('Error Log'!$A:$J,MATCH('Scores per segment'!$A350,'Error Log'!$A:$A,0),MATCH('Scores per segment'!C$1,'Error Log'!$A$1:$J$1,0)))</f>
        <v/>
      </c>
      <c r="D350" s="70">
        <f>IF(H350=0,wdct(TRIM(C350)),0)</f>
        <v>0</v>
      </c>
      <c r="E350" s="70">
        <f>COUNTIFS('Error Log'!$A:$A,$A350,'Error Log'!$J:$J,E$1)</f>
        <v>0</v>
      </c>
      <c r="F350" s="70">
        <f>COUNTIFS('Error Log'!$A:$A,$A350,'Error Log'!$J:$J,F$1)</f>
        <v>0</v>
      </c>
      <c r="G350" s="70">
        <f>COUNTIFS('Error Log'!$A:$A,$A350,'Error Log'!$J:$J,G$1)</f>
        <v>0</v>
      </c>
      <c r="H350" s="70">
        <f>COUNTIFS('Error Log'!$A:$A,$A350,'Error Log'!$F:$F,"Source")</f>
        <v>0</v>
      </c>
      <c r="I350" s="70">
        <f>COUNTIFS('Error Log'!$A:$A,$A350,'Error Log'!$F:$F,"Target")</f>
        <v>0</v>
      </c>
      <c r="J350" s="71">
        <f t="shared" si="6"/>
        <v>0</v>
      </c>
    </row>
    <row r="351" spans="1:10">
      <c r="A351" s="81"/>
      <c r="B351" s="70" t="str">
        <f>IF(ISBLANK(A351),"",INDEX('Error Log'!$A:$J,MATCH('Scores per segment'!$A351,'Error Log'!$A:$A,0),MATCH('Scores per segment'!B$1,'Error Log'!$A$1:$J$1,0)))</f>
        <v/>
      </c>
      <c r="C351" s="70" t="str">
        <f>IF(ISBLANK(A351),"",INDEX('Error Log'!$A:$J,MATCH('Scores per segment'!$A351,'Error Log'!$A:$A,0),MATCH('Scores per segment'!C$1,'Error Log'!$A$1:$J$1,0)))</f>
        <v/>
      </c>
      <c r="D351" s="70">
        <f>IF(H351=0,wdct(TRIM(C351)),0)</f>
        <v>0</v>
      </c>
      <c r="E351" s="70">
        <f>COUNTIFS('Error Log'!$A:$A,$A351,'Error Log'!$J:$J,E$1)</f>
        <v>0</v>
      </c>
      <c r="F351" s="70">
        <f>COUNTIFS('Error Log'!$A:$A,$A351,'Error Log'!$J:$J,F$1)</f>
        <v>0</v>
      </c>
      <c r="G351" s="70">
        <f>COUNTIFS('Error Log'!$A:$A,$A351,'Error Log'!$J:$J,G$1)</f>
        <v>0</v>
      </c>
      <c r="H351" s="70">
        <f>COUNTIFS('Error Log'!$A:$A,$A351,'Error Log'!$F:$F,"Source")</f>
        <v>0</v>
      </c>
      <c r="I351" s="70">
        <f>COUNTIFS('Error Log'!$A:$A,$A351,'Error Log'!$F:$F,"Target")</f>
        <v>0</v>
      </c>
      <c r="J351" s="71">
        <f t="shared" si="6"/>
        <v>0</v>
      </c>
    </row>
    <row r="352" spans="1:10">
      <c r="A352" s="81"/>
      <c r="B352" s="70" t="str">
        <f>IF(ISBLANK(A352),"",INDEX('Error Log'!$A:$J,MATCH('Scores per segment'!$A352,'Error Log'!$A:$A,0),MATCH('Scores per segment'!B$1,'Error Log'!$A$1:$J$1,0)))</f>
        <v/>
      </c>
      <c r="C352" s="70" t="str">
        <f>IF(ISBLANK(A352),"",INDEX('Error Log'!$A:$J,MATCH('Scores per segment'!$A352,'Error Log'!$A:$A,0),MATCH('Scores per segment'!C$1,'Error Log'!$A$1:$J$1,0)))</f>
        <v/>
      </c>
      <c r="D352" s="70">
        <f>IF(H352=0,wdct(TRIM(C352)),0)</f>
        <v>0</v>
      </c>
      <c r="E352" s="70">
        <f>COUNTIFS('Error Log'!$A:$A,$A352,'Error Log'!$J:$J,E$1)</f>
        <v>0</v>
      </c>
      <c r="F352" s="70">
        <f>COUNTIFS('Error Log'!$A:$A,$A352,'Error Log'!$J:$J,F$1)</f>
        <v>0</v>
      </c>
      <c r="G352" s="70">
        <f>COUNTIFS('Error Log'!$A:$A,$A352,'Error Log'!$J:$J,G$1)</f>
        <v>0</v>
      </c>
      <c r="H352" s="70">
        <f>COUNTIFS('Error Log'!$A:$A,$A352,'Error Log'!$F:$F,"Source")</f>
        <v>0</v>
      </c>
      <c r="I352" s="70">
        <f>COUNTIFS('Error Log'!$A:$A,$A352,'Error Log'!$F:$F,"Target")</f>
        <v>0</v>
      </c>
      <c r="J352" s="71">
        <f t="shared" si="6"/>
        <v>0</v>
      </c>
    </row>
    <row r="353" spans="1:10">
      <c r="A353" s="81"/>
      <c r="B353" s="70" t="str">
        <f>IF(ISBLANK(A353),"",INDEX('Error Log'!$A:$J,MATCH('Scores per segment'!$A353,'Error Log'!$A:$A,0),MATCH('Scores per segment'!B$1,'Error Log'!$A$1:$J$1,0)))</f>
        <v/>
      </c>
      <c r="C353" s="70" t="str">
        <f>IF(ISBLANK(A353),"",INDEX('Error Log'!$A:$J,MATCH('Scores per segment'!$A353,'Error Log'!$A:$A,0),MATCH('Scores per segment'!C$1,'Error Log'!$A$1:$J$1,0)))</f>
        <v/>
      </c>
      <c r="D353" s="70">
        <f>IF(H353=0,wdct(TRIM(C353)),0)</f>
        <v>0</v>
      </c>
      <c r="E353" s="70">
        <f>COUNTIFS('Error Log'!$A:$A,$A353,'Error Log'!$J:$J,E$1)</f>
        <v>0</v>
      </c>
      <c r="F353" s="70">
        <f>COUNTIFS('Error Log'!$A:$A,$A353,'Error Log'!$J:$J,F$1)</f>
        <v>0</v>
      </c>
      <c r="G353" s="70">
        <f>COUNTIFS('Error Log'!$A:$A,$A353,'Error Log'!$J:$J,G$1)</f>
        <v>0</v>
      </c>
      <c r="H353" s="70">
        <f>COUNTIFS('Error Log'!$A:$A,$A353,'Error Log'!$F:$F,"Source")</f>
        <v>0</v>
      </c>
      <c r="I353" s="70">
        <f>COUNTIFS('Error Log'!$A:$A,$A353,'Error Log'!$F:$F,"Target")</f>
        <v>0</v>
      </c>
      <c r="J353" s="71">
        <f t="shared" si="6"/>
        <v>0</v>
      </c>
    </row>
    <row r="354" spans="1:10">
      <c r="A354" s="81"/>
      <c r="B354" s="70" t="str">
        <f>IF(ISBLANK(A354),"",INDEX('Error Log'!$A:$J,MATCH('Scores per segment'!$A354,'Error Log'!$A:$A,0),MATCH('Scores per segment'!B$1,'Error Log'!$A$1:$J$1,0)))</f>
        <v/>
      </c>
      <c r="C354" s="70" t="str">
        <f>IF(ISBLANK(A354),"",INDEX('Error Log'!$A:$J,MATCH('Scores per segment'!$A354,'Error Log'!$A:$A,0),MATCH('Scores per segment'!C$1,'Error Log'!$A$1:$J$1,0)))</f>
        <v/>
      </c>
      <c r="D354" s="70">
        <f>IF(H354=0,wdct(TRIM(C354)),0)</f>
        <v>0</v>
      </c>
      <c r="E354" s="70">
        <f>COUNTIFS('Error Log'!$A:$A,$A354,'Error Log'!$J:$J,E$1)</f>
        <v>0</v>
      </c>
      <c r="F354" s="70">
        <f>COUNTIFS('Error Log'!$A:$A,$A354,'Error Log'!$J:$J,F$1)</f>
        <v>0</v>
      </c>
      <c r="G354" s="70">
        <f>COUNTIFS('Error Log'!$A:$A,$A354,'Error Log'!$J:$J,G$1)</f>
        <v>0</v>
      </c>
      <c r="H354" s="70">
        <f>COUNTIFS('Error Log'!$A:$A,$A354,'Error Log'!$F:$F,"Source")</f>
        <v>0</v>
      </c>
      <c r="I354" s="70">
        <f>COUNTIFS('Error Log'!$A:$A,$A354,'Error Log'!$F:$F,"Target")</f>
        <v>0</v>
      </c>
      <c r="J354" s="71">
        <f t="shared" si="6"/>
        <v>0</v>
      </c>
    </row>
    <row r="355" spans="1:10">
      <c r="A355" s="81"/>
      <c r="B355" s="70" t="str">
        <f>IF(ISBLANK(A355),"",INDEX('Error Log'!$A:$J,MATCH('Scores per segment'!$A355,'Error Log'!$A:$A,0),MATCH('Scores per segment'!B$1,'Error Log'!$A$1:$J$1,0)))</f>
        <v/>
      </c>
      <c r="C355" s="70" t="str">
        <f>IF(ISBLANK(A355),"",INDEX('Error Log'!$A:$J,MATCH('Scores per segment'!$A355,'Error Log'!$A:$A,0),MATCH('Scores per segment'!C$1,'Error Log'!$A$1:$J$1,0)))</f>
        <v/>
      </c>
      <c r="D355" s="70">
        <f>IF(H355=0,wdct(TRIM(C355)),0)</f>
        <v>0</v>
      </c>
      <c r="E355" s="70">
        <f>COUNTIFS('Error Log'!$A:$A,$A355,'Error Log'!$J:$J,E$1)</f>
        <v>0</v>
      </c>
      <c r="F355" s="70">
        <f>COUNTIFS('Error Log'!$A:$A,$A355,'Error Log'!$J:$J,F$1)</f>
        <v>0</v>
      </c>
      <c r="G355" s="70">
        <f>COUNTIFS('Error Log'!$A:$A,$A355,'Error Log'!$J:$J,G$1)</f>
        <v>0</v>
      </c>
      <c r="H355" s="70">
        <f>COUNTIFS('Error Log'!$A:$A,$A355,'Error Log'!$F:$F,"Source")</f>
        <v>0</v>
      </c>
      <c r="I355" s="70">
        <f>COUNTIFS('Error Log'!$A:$A,$A355,'Error Log'!$F:$F,"Target")</f>
        <v>0</v>
      </c>
      <c r="J355" s="71">
        <f t="shared" si="6"/>
        <v>0</v>
      </c>
    </row>
    <row r="356" spans="1:10">
      <c r="A356" s="81"/>
      <c r="B356" s="70" t="str">
        <f>IF(ISBLANK(A356),"",INDEX('Error Log'!$A:$J,MATCH('Scores per segment'!$A356,'Error Log'!$A:$A,0),MATCH('Scores per segment'!B$1,'Error Log'!$A$1:$J$1,0)))</f>
        <v/>
      </c>
      <c r="C356" s="70" t="str">
        <f>IF(ISBLANK(A356),"",INDEX('Error Log'!$A:$J,MATCH('Scores per segment'!$A356,'Error Log'!$A:$A,0),MATCH('Scores per segment'!C$1,'Error Log'!$A$1:$J$1,0)))</f>
        <v/>
      </c>
      <c r="D356" s="70">
        <f>IF(H356=0,wdct(TRIM(C356)),0)</f>
        <v>0</v>
      </c>
      <c r="E356" s="70">
        <f>COUNTIFS('Error Log'!$A:$A,$A356,'Error Log'!$J:$J,E$1)</f>
        <v>0</v>
      </c>
      <c r="F356" s="70">
        <f>COUNTIFS('Error Log'!$A:$A,$A356,'Error Log'!$J:$J,F$1)</f>
        <v>0</v>
      </c>
      <c r="G356" s="70">
        <f>COUNTIFS('Error Log'!$A:$A,$A356,'Error Log'!$J:$J,G$1)</f>
        <v>0</v>
      </c>
      <c r="H356" s="70">
        <f>COUNTIFS('Error Log'!$A:$A,$A356,'Error Log'!$F:$F,"Source")</f>
        <v>0</v>
      </c>
      <c r="I356" s="70">
        <f>COUNTIFS('Error Log'!$A:$A,$A356,'Error Log'!$F:$F,"Target")</f>
        <v>0</v>
      </c>
      <c r="J356" s="71">
        <f t="shared" si="6"/>
        <v>0</v>
      </c>
    </row>
    <row r="357" spans="1:10">
      <c r="A357" s="81"/>
      <c r="B357" s="70" t="str">
        <f>IF(ISBLANK(A357),"",INDEX('Error Log'!$A:$J,MATCH('Scores per segment'!$A357,'Error Log'!$A:$A,0),MATCH('Scores per segment'!B$1,'Error Log'!$A$1:$J$1,0)))</f>
        <v/>
      </c>
      <c r="C357" s="70" t="str">
        <f>IF(ISBLANK(A357),"",INDEX('Error Log'!$A:$J,MATCH('Scores per segment'!$A357,'Error Log'!$A:$A,0),MATCH('Scores per segment'!C$1,'Error Log'!$A$1:$J$1,0)))</f>
        <v/>
      </c>
      <c r="D357" s="70">
        <f>IF(H357=0,wdct(TRIM(C357)),0)</f>
        <v>0</v>
      </c>
      <c r="E357" s="70">
        <f>COUNTIFS('Error Log'!$A:$A,$A357,'Error Log'!$J:$J,E$1)</f>
        <v>0</v>
      </c>
      <c r="F357" s="70">
        <f>COUNTIFS('Error Log'!$A:$A,$A357,'Error Log'!$J:$J,F$1)</f>
        <v>0</v>
      </c>
      <c r="G357" s="70">
        <f>COUNTIFS('Error Log'!$A:$A,$A357,'Error Log'!$J:$J,G$1)</f>
        <v>0</v>
      </c>
      <c r="H357" s="70">
        <f>COUNTIFS('Error Log'!$A:$A,$A357,'Error Log'!$F:$F,"Source")</f>
        <v>0</v>
      </c>
      <c r="I357" s="70">
        <f>COUNTIFS('Error Log'!$A:$A,$A357,'Error Log'!$F:$F,"Target")</f>
        <v>0</v>
      </c>
      <c r="J357" s="71">
        <f t="shared" si="6"/>
        <v>0</v>
      </c>
    </row>
    <row r="358" spans="1:10">
      <c r="A358" s="81"/>
      <c r="B358" s="70" t="str">
        <f>IF(ISBLANK(A358),"",INDEX('Error Log'!$A:$J,MATCH('Scores per segment'!$A358,'Error Log'!$A:$A,0),MATCH('Scores per segment'!B$1,'Error Log'!$A$1:$J$1,0)))</f>
        <v/>
      </c>
      <c r="C358" s="70" t="str">
        <f>IF(ISBLANK(A358),"",INDEX('Error Log'!$A:$J,MATCH('Scores per segment'!$A358,'Error Log'!$A:$A,0),MATCH('Scores per segment'!C$1,'Error Log'!$A$1:$J$1,0)))</f>
        <v/>
      </c>
      <c r="D358" s="70">
        <f>IF(H358=0,wdct(TRIM(C358)),0)</f>
        <v>0</v>
      </c>
      <c r="E358" s="70">
        <f>COUNTIFS('Error Log'!$A:$A,$A358,'Error Log'!$J:$J,E$1)</f>
        <v>0</v>
      </c>
      <c r="F358" s="70">
        <f>COUNTIFS('Error Log'!$A:$A,$A358,'Error Log'!$J:$J,F$1)</f>
        <v>0</v>
      </c>
      <c r="G358" s="70">
        <f>COUNTIFS('Error Log'!$A:$A,$A358,'Error Log'!$J:$J,G$1)</f>
        <v>0</v>
      </c>
      <c r="H358" s="70">
        <f>COUNTIFS('Error Log'!$A:$A,$A358,'Error Log'!$F:$F,"Source")</f>
        <v>0</v>
      </c>
      <c r="I358" s="70">
        <f>COUNTIFS('Error Log'!$A:$A,$A358,'Error Log'!$F:$F,"Target")</f>
        <v>0</v>
      </c>
      <c r="J358" s="71">
        <f t="shared" si="6"/>
        <v>0</v>
      </c>
    </row>
    <row r="359" spans="1:10">
      <c r="A359" s="81"/>
      <c r="B359" s="70" t="str">
        <f>IF(ISBLANK(A359),"",INDEX('Error Log'!$A:$J,MATCH('Scores per segment'!$A359,'Error Log'!$A:$A,0),MATCH('Scores per segment'!B$1,'Error Log'!$A$1:$J$1,0)))</f>
        <v/>
      </c>
      <c r="C359" s="70" t="str">
        <f>IF(ISBLANK(A359),"",INDEX('Error Log'!$A:$J,MATCH('Scores per segment'!$A359,'Error Log'!$A:$A,0),MATCH('Scores per segment'!C$1,'Error Log'!$A$1:$J$1,0)))</f>
        <v/>
      </c>
      <c r="D359" s="70">
        <f>IF(H359=0,wdct(TRIM(C359)),0)</f>
        <v>0</v>
      </c>
      <c r="E359" s="70">
        <f>COUNTIFS('Error Log'!$A:$A,$A359,'Error Log'!$J:$J,E$1)</f>
        <v>0</v>
      </c>
      <c r="F359" s="70">
        <f>COUNTIFS('Error Log'!$A:$A,$A359,'Error Log'!$J:$J,F$1)</f>
        <v>0</v>
      </c>
      <c r="G359" s="70">
        <f>COUNTIFS('Error Log'!$A:$A,$A359,'Error Log'!$J:$J,G$1)</f>
        <v>0</v>
      </c>
      <c r="H359" s="70">
        <f>COUNTIFS('Error Log'!$A:$A,$A359,'Error Log'!$F:$F,"Source")</f>
        <v>0</v>
      </c>
      <c r="I359" s="70">
        <f>COUNTIFS('Error Log'!$A:$A,$A359,'Error Log'!$F:$F,"Target")</f>
        <v>0</v>
      </c>
      <c r="J359" s="71">
        <f t="shared" si="6"/>
        <v>0</v>
      </c>
    </row>
    <row r="360" spans="1:10">
      <c r="A360" s="81"/>
      <c r="B360" s="70" t="str">
        <f>IF(ISBLANK(A360),"",INDEX('Error Log'!$A:$J,MATCH('Scores per segment'!$A360,'Error Log'!$A:$A,0),MATCH('Scores per segment'!B$1,'Error Log'!$A$1:$J$1,0)))</f>
        <v/>
      </c>
      <c r="C360" s="70" t="str">
        <f>IF(ISBLANK(A360),"",INDEX('Error Log'!$A:$J,MATCH('Scores per segment'!$A360,'Error Log'!$A:$A,0),MATCH('Scores per segment'!C$1,'Error Log'!$A$1:$J$1,0)))</f>
        <v/>
      </c>
      <c r="D360" s="70">
        <f>IF(H360=0,wdct(TRIM(C360)),0)</f>
        <v>0</v>
      </c>
      <c r="E360" s="70">
        <f>COUNTIFS('Error Log'!$A:$A,$A360,'Error Log'!$J:$J,E$1)</f>
        <v>0</v>
      </c>
      <c r="F360" s="70">
        <f>COUNTIFS('Error Log'!$A:$A,$A360,'Error Log'!$J:$J,F$1)</f>
        <v>0</v>
      </c>
      <c r="G360" s="70">
        <f>COUNTIFS('Error Log'!$A:$A,$A360,'Error Log'!$J:$J,G$1)</f>
        <v>0</v>
      </c>
      <c r="H360" s="70">
        <f>COUNTIFS('Error Log'!$A:$A,$A360,'Error Log'!$F:$F,"Source")</f>
        <v>0</v>
      </c>
      <c r="I360" s="70">
        <f>COUNTIFS('Error Log'!$A:$A,$A360,'Error Log'!$F:$F,"Target")</f>
        <v>0</v>
      </c>
      <c r="J360" s="71">
        <f t="shared" si="6"/>
        <v>0</v>
      </c>
    </row>
    <row r="361" spans="1:10">
      <c r="A361" s="81"/>
      <c r="B361" s="70" t="str">
        <f>IF(ISBLANK(A361),"",INDEX('Error Log'!$A:$J,MATCH('Scores per segment'!$A361,'Error Log'!$A:$A,0),MATCH('Scores per segment'!B$1,'Error Log'!$A$1:$J$1,0)))</f>
        <v/>
      </c>
      <c r="C361" s="70" t="str">
        <f>IF(ISBLANK(A361),"",INDEX('Error Log'!$A:$J,MATCH('Scores per segment'!$A361,'Error Log'!$A:$A,0),MATCH('Scores per segment'!C$1,'Error Log'!$A$1:$J$1,0)))</f>
        <v/>
      </c>
      <c r="D361" s="70">
        <f>IF(H361=0,wdct(TRIM(C361)),0)</f>
        <v>0</v>
      </c>
      <c r="E361" s="70">
        <f>COUNTIFS('Error Log'!$A:$A,$A361,'Error Log'!$J:$J,E$1)</f>
        <v>0</v>
      </c>
      <c r="F361" s="70">
        <f>COUNTIFS('Error Log'!$A:$A,$A361,'Error Log'!$J:$J,F$1)</f>
        <v>0</v>
      </c>
      <c r="G361" s="70">
        <f>COUNTIFS('Error Log'!$A:$A,$A361,'Error Log'!$J:$J,G$1)</f>
        <v>0</v>
      </c>
      <c r="H361" s="70">
        <f>COUNTIFS('Error Log'!$A:$A,$A361,'Error Log'!$F:$F,"Source")</f>
        <v>0</v>
      </c>
      <c r="I361" s="70">
        <f>COUNTIFS('Error Log'!$A:$A,$A361,'Error Log'!$F:$F,"Target")</f>
        <v>0</v>
      </c>
      <c r="J361" s="71">
        <f t="shared" si="6"/>
        <v>0</v>
      </c>
    </row>
    <row r="362" spans="1:10">
      <c r="A362" s="81"/>
      <c r="B362" s="70" t="str">
        <f>IF(ISBLANK(A362),"",INDEX('Error Log'!$A:$J,MATCH('Scores per segment'!$A362,'Error Log'!$A:$A,0),MATCH('Scores per segment'!B$1,'Error Log'!$A$1:$J$1,0)))</f>
        <v/>
      </c>
      <c r="C362" s="70" t="str">
        <f>IF(ISBLANK(A362),"",INDEX('Error Log'!$A:$J,MATCH('Scores per segment'!$A362,'Error Log'!$A:$A,0),MATCH('Scores per segment'!C$1,'Error Log'!$A$1:$J$1,0)))</f>
        <v/>
      </c>
      <c r="D362" s="70">
        <f>IF(H362=0,wdct(TRIM(C362)),0)</f>
        <v>0</v>
      </c>
      <c r="E362" s="70">
        <f>COUNTIFS('Error Log'!$A:$A,$A362,'Error Log'!$J:$J,E$1)</f>
        <v>0</v>
      </c>
      <c r="F362" s="70">
        <f>COUNTIFS('Error Log'!$A:$A,$A362,'Error Log'!$J:$J,F$1)</f>
        <v>0</v>
      </c>
      <c r="G362" s="70">
        <f>COUNTIFS('Error Log'!$A:$A,$A362,'Error Log'!$J:$J,G$1)</f>
        <v>0</v>
      </c>
      <c r="H362" s="70">
        <f>COUNTIFS('Error Log'!$A:$A,$A362,'Error Log'!$F:$F,"Source")</f>
        <v>0</v>
      </c>
      <c r="I362" s="70">
        <f>COUNTIFS('Error Log'!$A:$A,$A362,'Error Log'!$F:$F,"Target")</f>
        <v>0</v>
      </c>
      <c r="J362" s="71">
        <f t="shared" si="6"/>
        <v>0</v>
      </c>
    </row>
    <row r="363" spans="1:10">
      <c r="A363" s="81"/>
      <c r="B363" s="70" t="str">
        <f>IF(ISBLANK(A363),"",INDEX('Error Log'!$A:$J,MATCH('Scores per segment'!$A363,'Error Log'!$A:$A,0),MATCH('Scores per segment'!B$1,'Error Log'!$A$1:$J$1,0)))</f>
        <v/>
      </c>
      <c r="C363" s="70" t="str">
        <f>IF(ISBLANK(A363),"",INDEX('Error Log'!$A:$J,MATCH('Scores per segment'!$A363,'Error Log'!$A:$A,0),MATCH('Scores per segment'!C$1,'Error Log'!$A$1:$J$1,0)))</f>
        <v/>
      </c>
      <c r="D363" s="70">
        <f>IF(H363=0,wdct(TRIM(C363)),0)</f>
        <v>0</v>
      </c>
      <c r="E363" s="70">
        <f>COUNTIFS('Error Log'!$A:$A,$A363,'Error Log'!$J:$J,E$1)</f>
        <v>0</v>
      </c>
      <c r="F363" s="70">
        <f>COUNTIFS('Error Log'!$A:$A,$A363,'Error Log'!$J:$J,F$1)</f>
        <v>0</v>
      </c>
      <c r="G363" s="70">
        <f>COUNTIFS('Error Log'!$A:$A,$A363,'Error Log'!$J:$J,G$1)</f>
        <v>0</v>
      </c>
      <c r="H363" s="70">
        <f>COUNTIFS('Error Log'!$A:$A,$A363,'Error Log'!$F:$F,"Source")</f>
        <v>0</v>
      </c>
      <c r="I363" s="70">
        <f>COUNTIFS('Error Log'!$A:$A,$A363,'Error Log'!$F:$F,"Target")</f>
        <v>0</v>
      </c>
      <c r="J363" s="71">
        <f t="shared" si="6"/>
        <v>0</v>
      </c>
    </row>
    <row r="364" spans="1:10">
      <c r="A364" s="81"/>
      <c r="B364" s="70" t="str">
        <f>IF(ISBLANK(A364),"",INDEX('Error Log'!$A:$J,MATCH('Scores per segment'!$A364,'Error Log'!$A:$A,0),MATCH('Scores per segment'!B$1,'Error Log'!$A$1:$J$1,0)))</f>
        <v/>
      </c>
      <c r="C364" s="70" t="str">
        <f>IF(ISBLANK(A364),"",INDEX('Error Log'!$A:$J,MATCH('Scores per segment'!$A364,'Error Log'!$A:$A,0),MATCH('Scores per segment'!C$1,'Error Log'!$A$1:$J$1,0)))</f>
        <v/>
      </c>
      <c r="D364" s="70">
        <f>IF(H364=0,wdct(TRIM(C364)),0)</f>
        <v>0</v>
      </c>
      <c r="E364" s="70">
        <f>COUNTIFS('Error Log'!$A:$A,$A364,'Error Log'!$J:$J,E$1)</f>
        <v>0</v>
      </c>
      <c r="F364" s="70">
        <f>COUNTIFS('Error Log'!$A:$A,$A364,'Error Log'!$J:$J,F$1)</f>
        <v>0</v>
      </c>
      <c r="G364" s="70">
        <f>COUNTIFS('Error Log'!$A:$A,$A364,'Error Log'!$J:$J,G$1)</f>
        <v>0</v>
      </c>
      <c r="H364" s="70">
        <f>COUNTIFS('Error Log'!$A:$A,$A364,'Error Log'!$F:$F,"Source")</f>
        <v>0</v>
      </c>
      <c r="I364" s="70">
        <f>COUNTIFS('Error Log'!$A:$A,$A364,'Error Log'!$F:$F,"Target")</f>
        <v>0</v>
      </c>
      <c r="J364" s="71">
        <f t="shared" si="6"/>
        <v>0</v>
      </c>
    </row>
    <row r="365" spans="1:10">
      <c r="A365" s="81"/>
      <c r="B365" s="70" t="str">
        <f>IF(ISBLANK(A365),"",INDEX('Error Log'!$A:$J,MATCH('Scores per segment'!$A365,'Error Log'!$A:$A,0),MATCH('Scores per segment'!B$1,'Error Log'!$A$1:$J$1,0)))</f>
        <v/>
      </c>
      <c r="C365" s="70" t="str">
        <f>IF(ISBLANK(A365),"",INDEX('Error Log'!$A:$J,MATCH('Scores per segment'!$A365,'Error Log'!$A:$A,0),MATCH('Scores per segment'!C$1,'Error Log'!$A$1:$J$1,0)))</f>
        <v/>
      </c>
      <c r="D365" s="70">
        <f>IF(H365=0,wdct(TRIM(C365)),0)</f>
        <v>0</v>
      </c>
      <c r="E365" s="70">
        <f>COUNTIFS('Error Log'!$A:$A,$A365,'Error Log'!$J:$J,E$1)</f>
        <v>0</v>
      </c>
      <c r="F365" s="70">
        <f>COUNTIFS('Error Log'!$A:$A,$A365,'Error Log'!$J:$J,F$1)</f>
        <v>0</v>
      </c>
      <c r="G365" s="70">
        <f>COUNTIFS('Error Log'!$A:$A,$A365,'Error Log'!$J:$J,G$1)</f>
        <v>0</v>
      </c>
      <c r="H365" s="70">
        <f>COUNTIFS('Error Log'!$A:$A,$A365,'Error Log'!$F:$F,"Source")</f>
        <v>0</v>
      </c>
      <c r="I365" s="70">
        <f>COUNTIFS('Error Log'!$A:$A,$A365,'Error Log'!$F:$F,"Target")</f>
        <v>0</v>
      </c>
      <c r="J365" s="71">
        <f t="shared" si="6"/>
        <v>0</v>
      </c>
    </row>
    <row r="366" spans="1:10">
      <c r="A366" s="81"/>
      <c r="B366" s="70" t="str">
        <f>IF(ISBLANK(A366),"",INDEX('Error Log'!$A:$J,MATCH('Scores per segment'!$A366,'Error Log'!$A:$A,0),MATCH('Scores per segment'!B$1,'Error Log'!$A$1:$J$1,0)))</f>
        <v/>
      </c>
      <c r="C366" s="70" t="str">
        <f>IF(ISBLANK(A366),"",INDEX('Error Log'!$A:$J,MATCH('Scores per segment'!$A366,'Error Log'!$A:$A,0),MATCH('Scores per segment'!C$1,'Error Log'!$A$1:$J$1,0)))</f>
        <v/>
      </c>
      <c r="D366" s="70">
        <f>IF(H366=0,wdct(TRIM(C366)),0)</f>
        <v>0</v>
      </c>
      <c r="E366" s="70">
        <f>COUNTIFS('Error Log'!$A:$A,$A366,'Error Log'!$J:$J,E$1)</f>
        <v>0</v>
      </c>
      <c r="F366" s="70">
        <f>COUNTIFS('Error Log'!$A:$A,$A366,'Error Log'!$J:$J,F$1)</f>
        <v>0</v>
      </c>
      <c r="G366" s="70">
        <f>COUNTIFS('Error Log'!$A:$A,$A366,'Error Log'!$J:$J,G$1)</f>
        <v>0</v>
      </c>
      <c r="H366" s="70">
        <f>COUNTIFS('Error Log'!$A:$A,$A366,'Error Log'!$F:$F,"Source")</f>
        <v>0</v>
      </c>
      <c r="I366" s="70">
        <f>COUNTIFS('Error Log'!$A:$A,$A366,'Error Log'!$F:$F,"Target")</f>
        <v>0</v>
      </c>
      <c r="J366" s="71">
        <f t="shared" si="6"/>
        <v>0</v>
      </c>
    </row>
    <row r="367" spans="1:10">
      <c r="A367" s="81"/>
      <c r="B367" s="70" t="str">
        <f>IF(ISBLANK(A367),"",INDEX('Error Log'!$A:$J,MATCH('Scores per segment'!$A367,'Error Log'!$A:$A,0),MATCH('Scores per segment'!B$1,'Error Log'!$A$1:$J$1,0)))</f>
        <v/>
      </c>
      <c r="C367" s="70" t="str">
        <f>IF(ISBLANK(A367),"",INDEX('Error Log'!$A:$J,MATCH('Scores per segment'!$A367,'Error Log'!$A:$A,0),MATCH('Scores per segment'!C$1,'Error Log'!$A$1:$J$1,0)))</f>
        <v/>
      </c>
      <c r="D367" s="70">
        <f>IF(H367=0,wdct(TRIM(C367)),0)</f>
        <v>0</v>
      </c>
      <c r="E367" s="70">
        <f>COUNTIFS('Error Log'!$A:$A,$A367,'Error Log'!$J:$J,E$1)</f>
        <v>0</v>
      </c>
      <c r="F367" s="70">
        <f>COUNTIFS('Error Log'!$A:$A,$A367,'Error Log'!$J:$J,F$1)</f>
        <v>0</v>
      </c>
      <c r="G367" s="70">
        <f>COUNTIFS('Error Log'!$A:$A,$A367,'Error Log'!$J:$J,G$1)</f>
        <v>0</v>
      </c>
      <c r="H367" s="70">
        <f>COUNTIFS('Error Log'!$A:$A,$A367,'Error Log'!$F:$F,"Source")</f>
        <v>0</v>
      </c>
      <c r="I367" s="70">
        <f>COUNTIFS('Error Log'!$A:$A,$A367,'Error Log'!$F:$F,"Target")</f>
        <v>0</v>
      </c>
      <c r="J367" s="71">
        <f t="shared" si="6"/>
        <v>0</v>
      </c>
    </row>
    <row r="368" spans="1:10">
      <c r="A368" s="81"/>
      <c r="B368" s="70" t="str">
        <f>IF(ISBLANK(A368),"",INDEX('Error Log'!$A:$J,MATCH('Scores per segment'!$A368,'Error Log'!$A:$A,0),MATCH('Scores per segment'!B$1,'Error Log'!$A$1:$J$1,0)))</f>
        <v/>
      </c>
      <c r="C368" s="70" t="str">
        <f>IF(ISBLANK(A368),"",INDEX('Error Log'!$A:$J,MATCH('Scores per segment'!$A368,'Error Log'!$A:$A,0),MATCH('Scores per segment'!C$1,'Error Log'!$A$1:$J$1,0)))</f>
        <v/>
      </c>
      <c r="D368" s="70">
        <f>IF(H368=0,wdct(TRIM(C368)),0)</f>
        <v>0</v>
      </c>
      <c r="E368" s="70">
        <f>COUNTIFS('Error Log'!$A:$A,$A368,'Error Log'!$J:$J,E$1)</f>
        <v>0</v>
      </c>
      <c r="F368" s="70">
        <f>COUNTIFS('Error Log'!$A:$A,$A368,'Error Log'!$J:$J,F$1)</f>
        <v>0</v>
      </c>
      <c r="G368" s="70">
        <f>COUNTIFS('Error Log'!$A:$A,$A368,'Error Log'!$J:$J,G$1)</f>
        <v>0</v>
      </c>
      <c r="H368" s="70">
        <f>COUNTIFS('Error Log'!$A:$A,$A368,'Error Log'!$F:$F,"Source")</f>
        <v>0</v>
      </c>
      <c r="I368" s="70">
        <f>COUNTIFS('Error Log'!$A:$A,$A368,'Error Log'!$F:$F,"Target")</f>
        <v>0</v>
      </c>
      <c r="J368" s="71">
        <f t="shared" si="6"/>
        <v>0</v>
      </c>
    </row>
    <row r="369" spans="1:10">
      <c r="A369" s="81"/>
      <c r="B369" s="70" t="str">
        <f>IF(ISBLANK(A369),"",INDEX('Error Log'!$A:$J,MATCH('Scores per segment'!$A369,'Error Log'!$A:$A,0),MATCH('Scores per segment'!B$1,'Error Log'!$A$1:$J$1,0)))</f>
        <v/>
      </c>
      <c r="C369" s="70" t="str">
        <f>IF(ISBLANK(A369),"",INDEX('Error Log'!$A:$J,MATCH('Scores per segment'!$A369,'Error Log'!$A:$A,0),MATCH('Scores per segment'!C$1,'Error Log'!$A$1:$J$1,0)))</f>
        <v/>
      </c>
      <c r="D369" s="70">
        <f>IF(H369=0,wdct(TRIM(C369)),0)</f>
        <v>0</v>
      </c>
      <c r="E369" s="70">
        <f>COUNTIFS('Error Log'!$A:$A,$A369,'Error Log'!$J:$J,E$1)</f>
        <v>0</v>
      </c>
      <c r="F369" s="70">
        <f>COUNTIFS('Error Log'!$A:$A,$A369,'Error Log'!$J:$J,F$1)</f>
        <v>0</v>
      </c>
      <c r="G369" s="70">
        <f>COUNTIFS('Error Log'!$A:$A,$A369,'Error Log'!$J:$J,G$1)</f>
        <v>0</v>
      </c>
      <c r="H369" s="70">
        <f>COUNTIFS('Error Log'!$A:$A,$A369,'Error Log'!$F:$F,"Source")</f>
        <v>0</v>
      </c>
      <c r="I369" s="70">
        <f>COUNTIFS('Error Log'!$A:$A,$A369,'Error Log'!$F:$F,"Target")</f>
        <v>0</v>
      </c>
      <c r="J369" s="71">
        <f t="shared" si="6"/>
        <v>0</v>
      </c>
    </row>
    <row r="370" spans="1:10">
      <c r="A370" s="81"/>
      <c r="B370" s="70" t="str">
        <f>IF(ISBLANK(A370),"",INDEX('Error Log'!$A:$J,MATCH('Scores per segment'!$A370,'Error Log'!$A:$A,0),MATCH('Scores per segment'!B$1,'Error Log'!$A$1:$J$1,0)))</f>
        <v/>
      </c>
      <c r="C370" s="70" t="str">
        <f>IF(ISBLANK(A370),"",INDEX('Error Log'!$A:$J,MATCH('Scores per segment'!$A370,'Error Log'!$A:$A,0),MATCH('Scores per segment'!C$1,'Error Log'!$A$1:$J$1,0)))</f>
        <v/>
      </c>
      <c r="D370" s="70">
        <f>IF(H370=0,wdct(TRIM(C370)),0)</f>
        <v>0</v>
      </c>
      <c r="E370" s="70">
        <f>COUNTIFS('Error Log'!$A:$A,$A370,'Error Log'!$J:$J,E$1)</f>
        <v>0</v>
      </c>
      <c r="F370" s="70">
        <f>COUNTIFS('Error Log'!$A:$A,$A370,'Error Log'!$J:$J,F$1)</f>
        <v>0</v>
      </c>
      <c r="G370" s="70">
        <f>COUNTIFS('Error Log'!$A:$A,$A370,'Error Log'!$J:$J,G$1)</f>
        <v>0</v>
      </c>
      <c r="H370" s="70">
        <f>COUNTIFS('Error Log'!$A:$A,$A370,'Error Log'!$F:$F,"Source")</f>
        <v>0</v>
      </c>
      <c r="I370" s="70">
        <f>COUNTIFS('Error Log'!$A:$A,$A370,'Error Log'!$F:$F,"Target")</f>
        <v>0</v>
      </c>
      <c r="J370" s="71">
        <f t="shared" si="6"/>
        <v>0</v>
      </c>
    </row>
    <row r="371" spans="1:10">
      <c r="A371" s="81"/>
      <c r="B371" s="70" t="str">
        <f>IF(ISBLANK(A371),"",INDEX('Error Log'!$A:$J,MATCH('Scores per segment'!$A371,'Error Log'!$A:$A,0),MATCH('Scores per segment'!B$1,'Error Log'!$A$1:$J$1,0)))</f>
        <v/>
      </c>
      <c r="C371" s="70" t="str">
        <f>IF(ISBLANK(A371),"",INDEX('Error Log'!$A:$J,MATCH('Scores per segment'!$A371,'Error Log'!$A:$A,0),MATCH('Scores per segment'!C$1,'Error Log'!$A$1:$J$1,0)))</f>
        <v/>
      </c>
      <c r="D371" s="70">
        <f>IF(H371=0,wdct(TRIM(C371)),0)</f>
        <v>0</v>
      </c>
      <c r="E371" s="70">
        <f>COUNTIFS('Error Log'!$A:$A,$A371,'Error Log'!$J:$J,E$1)</f>
        <v>0</v>
      </c>
      <c r="F371" s="70">
        <f>COUNTIFS('Error Log'!$A:$A,$A371,'Error Log'!$J:$J,F$1)</f>
        <v>0</v>
      </c>
      <c r="G371" s="70">
        <f>COUNTIFS('Error Log'!$A:$A,$A371,'Error Log'!$J:$J,G$1)</f>
        <v>0</v>
      </c>
      <c r="H371" s="70">
        <f>COUNTIFS('Error Log'!$A:$A,$A371,'Error Log'!$F:$F,"Source")</f>
        <v>0</v>
      </c>
      <c r="I371" s="70">
        <f>COUNTIFS('Error Log'!$A:$A,$A371,'Error Log'!$F:$F,"Target")</f>
        <v>0</v>
      </c>
      <c r="J371" s="71">
        <f t="shared" si="6"/>
        <v>0</v>
      </c>
    </row>
    <row r="372" spans="1:10">
      <c r="A372" s="81"/>
      <c r="B372" s="70" t="str">
        <f>IF(ISBLANK(A372),"",INDEX('Error Log'!$A:$J,MATCH('Scores per segment'!$A372,'Error Log'!$A:$A,0),MATCH('Scores per segment'!B$1,'Error Log'!$A$1:$J$1,0)))</f>
        <v/>
      </c>
      <c r="C372" s="70" t="str">
        <f>IF(ISBLANK(A372),"",INDEX('Error Log'!$A:$J,MATCH('Scores per segment'!$A372,'Error Log'!$A:$A,0),MATCH('Scores per segment'!C$1,'Error Log'!$A$1:$J$1,0)))</f>
        <v/>
      </c>
      <c r="D372" s="70">
        <f>IF(H372=0,wdct(TRIM(C372)),0)</f>
        <v>0</v>
      </c>
      <c r="E372" s="70">
        <f>COUNTIFS('Error Log'!$A:$A,$A372,'Error Log'!$J:$J,E$1)</f>
        <v>0</v>
      </c>
      <c r="F372" s="70">
        <f>COUNTIFS('Error Log'!$A:$A,$A372,'Error Log'!$J:$J,F$1)</f>
        <v>0</v>
      </c>
      <c r="G372" s="70">
        <f>COUNTIFS('Error Log'!$A:$A,$A372,'Error Log'!$J:$J,G$1)</f>
        <v>0</v>
      </c>
      <c r="H372" s="70">
        <f>COUNTIFS('Error Log'!$A:$A,$A372,'Error Log'!$F:$F,"Source")</f>
        <v>0</v>
      </c>
      <c r="I372" s="70">
        <f>COUNTIFS('Error Log'!$A:$A,$A372,'Error Log'!$F:$F,"Target")</f>
        <v>0</v>
      </c>
      <c r="J372" s="71">
        <f t="shared" si="6"/>
        <v>0</v>
      </c>
    </row>
    <row r="373" spans="1:10">
      <c r="A373" s="81"/>
      <c r="B373" s="70" t="str">
        <f>IF(ISBLANK(A373),"",INDEX('Error Log'!$A:$J,MATCH('Scores per segment'!$A373,'Error Log'!$A:$A,0),MATCH('Scores per segment'!B$1,'Error Log'!$A$1:$J$1,0)))</f>
        <v/>
      </c>
      <c r="C373" s="70" t="str">
        <f>IF(ISBLANK(A373),"",INDEX('Error Log'!$A:$J,MATCH('Scores per segment'!$A373,'Error Log'!$A:$A,0),MATCH('Scores per segment'!C$1,'Error Log'!$A$1:$J$1,0)))</f>
        <v/>
      </c>
      <c r="D373" s="70">
        <f>IF(H373=0,wdct(TRIM(C373)),0)</f>
        <v>0</v>
      </c>
      <c r="E373" s="70">
        <f>COUNTIFS('Error Log'!$A:$A,$A373,'Error Log'!$J:$J,E$1)</f>
        <v>0</v>
      </c>
      <c r="F373" s="70">
        <f>COUNTIFS('Error Log'!$A:$A,$A373,'Error Log'!$J:$J,F$1)</f>
        <v>0</v>
      </c>
      <c r="G373" s="70">
        <f>COUNTIFS('Error Log'!$A:$A,$A373,'Error Log'!$J:$J,G$1)</f>
        <v>0</v>
      </c>
      <c r="H373" s="70">
        <f>COUNTIFS('Error Log'!$A:$A,$A373,'Error Log'!$F:$F,"Source")</f>
        <v>0</v>
      </c>
      <c r="I373" s="70">
        <f>COUNTIFS('Error Log'!$A:$A,$A373,'Error Log'!$F:$F,"Target")</f>
        <v>0</v>
      </c>
      <c r="J373" s="71">
        <f t="shared" si="6"/>
        <v>0</v>
      </c>
    </row>
    <row r="374" spans="1:10">
      <c r="A374" s="81"/>
      <c r="B374" s="70" t="str">
        <f>IF(ISBLANK(A374),"",INDEX('Error Log'!$A:$J,MATCH('Scores per segment'!$A374,'Error Log'!$A:$A,0),MATCH('Scores per segment'!B$1,'Error Log'!$A$1:$J$1,0)))</f>
        <v/>
      </c>
      <c r="C374" s="70" t="str">
        <f>IF(ISBLANK(A374),"",INDEX('Error Log'!$A:$J,MATCH('Scores per segment'!$A374,'Error Log'!$A:$A,0),MATCH('Scores per segment'!C$1,'Error Log'!$A$1:$J$1,0)))</f>
        <v/>
      </c>
      <c r="D374" s="70">
        <f>IF(H374=0,wdct(TRIM(C374)),0)</f>
        <v>0</v>
      </c>
      <c r="E374" s="70">
        <f>COUNTIFS('Error Log'!$A:$A,$A374,'Error Log'!$J:$J,E$1)</f>
        <v>0</v>
      </c>
      <c r="F374" s="70">
        <f>COUNTIFS('Error Log'!$A:$A,$A374,'Error Log'!$J:$J,F$1)</f>
        <v>0</v>
      </c>
      <c r="G374" s="70">
        <f>COUNTIFS('Error Log'!$A:$A,$A374,'Error Log'!$J:$J,G$1)</f>
        <v>0</v>
      </c>
      <c r="H374" s="70">
        <f>COUNTIFS('Error Log'!$A:$A,$A374,'Error Log'!$F:$F,"Source")</f>
        <v>0</v>
      </c>
      <c r="I374" s="70">
        <f>COUNTIFS('Error Log'!$A:$A,$A374,'Error Log'!$F:$F,"Target")</f>
        <v>0</v>
      </c>
      <c r="J374" s="71">
        <f t="shared" si="6"/>
        <v>0</v>
      </c>
    </row>
    <row r="375" spans="1:10">
      <c r="A375" s="81"/>
      <c r="B375" s="70" t="str">
        <f>IF(ISBLANK(A375),"",INDEX('Error Log'!$A:$J,MATCH('Scores per segment'!$A375,'Error Log'!$A:$A,0),MATCH('Scores per segment'!B$1,'Error Log'!$A$1:$J$1,0)))</f>
        <v/>
      </c>
      <c r="C375" s="70" t="str">
        <f>IF(ISBLANK(A375),"",INDEX('Error Log'!$A:$J,MATCH('Scores per segment'!$A375,'Error Log'!$A:$A,0),MATCH('Scores per segment'!C$1,'Error Log'!$A$1:$J$1,0)))</f>
        <v/>
      </c>
      <c r="D375" s="70">
        <f>IF(H375=0,wdct(TRIM(C375)),0)</f>
        <v>0</v>
      </c>
      <c r="E375" s="70">
        <f>COUNTIFS('Error Log'!$A:$A,$A375,'Error Log'!$J:$J,E$1)</f>
        <v>0</v>
      </c>
      <c r="F375" s="70">
        <f>COUNTIFS('Error Log'!$A:$A,$A375,'Error Log'!$J:$J,F$1)</f>
        <v>0</v>
      </c>
      <c r="G375" s="70">
        <f>COUNTIFS('Error Log'!$A:$A,$A375,'Error Log'!$J:$J,G$1)</f>
        <v>0</v>
      </c>
      <c r="H375" s="70">
        <f>COUNTIFS('Error Log'!$A:$A,$A375,'Error Log'!$F:$F,"Source")</f>
        <v>0</v>
      </c>
      <c r="I375" s="70">
        <f>COUNTIFS('Error Log'!$A:$A,$A375,'Error Log'!$F:$F,"Target")</f>
        <v>0</v>
      </c>
      <c r="J375" s="71">
        <f t="shared" si="6"/>
        <v>0</v>
      </c>
    </row>
    <row r="376" spans="1:10">
      <c r="A376" s="81"/>
      <c r="B376" s="70" t="str">
        <f>IF(ISBLANK(A376),"",INDEX('Error Log'!$A:$J,MATCH('Scores per segment'!$A376,'Error Log'!$A:$A,0),MATCH('Scores per segment'!B$1,'Error Log'!$A$1:$J$1,0)))</f>
        <v/>
      </c>
      <c r="C376" s="70" t="str">
        <f>IF(ISBLANK(A376),"",INDEX('Error Log'!$A:$J,MATCH('Scores per segment'!$A376,'Error Log'!$A:$A,0),MATCH('Scores per segment'!C$1,'Error Log'!$A$1:$J$1,0)))</f>
        <v/>
      </c>
      <c r="D376" s="70">
        <f>IF(H376=0,wdct(TRIM(C376)),0)</f>
        <v>0</v>
      </c>
      <c r="E376" s="70">
        <f>COUNTIFS('Error Log'!$A:$A,$A376,'Error Log'!$J:$J,E$1)</f>
        <v>0</v>
      </c>
      <c r="F376" s="70">
        <f>COUNTIFS('Error Log'!$A:$A,$A376,'Error Log'!$J:$J,F$1)</f>
        <v>0</v>
      </c>
      <c r="G376" s="70">
        <f>COUNTIFS('Error Log'!$A:$A,$A376,'Error Log'!$J:$J,G$1)</f>
        <v>0</v>
      </c>
      <c r="H376" s="70">
        <f>COUNTIFS('Error Log'!$A:$A,$A376,'Error Log'!$F:$F,"Source")</f>
        <v>0</v>
      </c>
      <c r="I376" s="70">
        <f>COUNTIFS('Error Log'!$A:$A,$A376,'Error Log'!$F:$F,"Target")</f>
        <v>0</v>
      </c>
      <c r="J376" s="71">
        <f t="shared" si="6"/>
        <v>0</v>
      </c>
    </row>
    <row r="377" spans="1:10">
      <c r="A377" s="81"/>
      <c r="B377" s="70" t="str">
        <f>IF(ISBLANK(A377),"",INDEX('Error Log'!$A:$J,MATCH('Scores per segment'!$A377,'Error Log'!$A:$A,0),MATCH('Scores per segment'!B$1,'Error Log'!$A$1:$J$1,0)))</f>
        <v/>
      </c>
      <c r="C377" s="70" t="str">
        <f>IF(ISBLANK(A377),"",INDEX('Error Log'!$A:$J,MATCH('Scores per segment'!$A377,'Error Log'!$A:$A,0),MATCH('Scores per segment'!C$1,'Error Log'!$A$1:$J$1,0)))</f>
        <v/>
      </c>
      <c r="D377" s="70">
        <f>IF(H377=0,wdct(TRIM(C377)),0)</f>
        <v>0</v>
      </c>
      <c r="E377" s="70">
        <f>COUNTIFS('Error Log'!$A:$A,$A377,'Error Log'!$J:$J,E$1)</f>
        <v>0</v>
      </c>
      <c r="F377" s="70">
        <f>COUNTIFS('Error Log'!$A:$A,$A377,'Error Log'!$J:$J,F$1)</f>
        <v>0</v>
      </c>
      <c r="G377" s="70">
        <f>COUNTIFS('Error Log'!$A:$A,$A377,'Error Log'!$J:$J,G$1)</f>
        <v>0</v>
      </c>
      <c r="H377" s="70">
        <f>COUNTIFS('Error Log'!$A:$A,$A377,'Error Log'!$F:$F,"Source")</f>
        <v>0</v>
      </c>
      <c r="I377" s="70">
        <f>COUNTIFS('Error Log'!$A:$A,$A377,'Error Log'!$F:$F,"Target")</f>
        <v>0</v>
      </c>
      <c r="J377" s="71">
        <f t="shared" si="6"/>
        <v>0</v>
      </c>
    </row>
    <row r="378" spans="1:10">
      <c r="A378" s="81"/>
      <c r="B378" s="70" t="str">
        <f>IF(ISBLANK(A378),"",INDEX('Error Log'!$A:$J,MATCH('Scores per segment'!$A378,'Error Log'!$A:$A,0),MATCH('Scores per segment'!B$1,'Error Log'!$A$1:$J$1,0)))</f>
        <v/>
      </c>
      <c r="C378" s="70" t="str">
        <f>IF(ISBLANK(A378),"",INDEX('Error Log'!$A:$J,MATCH('Scores per segment'!$A378,'Error Log'!$A:$A,0),MATCH('Scores per segment'!C$1,'Error Log'!$A$1:$J$1,0)))</f>
        <v/>
      </c>
      <c r="D378" s="70">
        <f>IF(H378=0,wdct(TRIM(C378)),0)</f>
        <v>0</v>
      </c>
      <c r="E378" s="70">
        <f>COUNTIFS('Error Log'!$A:$A,$A378,'Error Log'!$J:$J,E$1)</f>
        <v>0</v>
      </c>
      <c r="F378" s="70">
        <f>COUNTIFS('Error Log'!$A:$A,$A378,'Error Log'!$J:$J,F$1)</f>
        <v>0</v>
      </c>
      <c r="G378" s="70">
        <f>COUNTIFS('Error Log'!$A:$A,$A378,'Error Log'!$J:$J,G$1)</f>
        <v>0</v>
      </c>
      <c r="H378" s="70">
        <f>COUNTIFS('Error Log'!$A:$A,$A378,'Error Log'!$F:$F,"Source")</f>
        <v>0</v>
      </c>
      <c r="I378" s="70">
        <f>COUNTIFS('Error Log'!$A:$A,$A378,'Error Log'!$F:$F,"Target")</f>
        <v>0</v>
      </c>
      <c r="J378" s="71">
        <f t="shared" si="6"/>
        <v>0</v>
      </c>
    </row>
    <row r="379" spans="1:10">
      <c r="A379" s="81"/>
      <c r="B379" s="70" t="str">
        <f>IF(ISBLANK(A379),"",INDEX('Error Log'!$A:$J,MATCH('Scores per segment'!$A379,'Error Log'!$A:$A,0),MATCH('Scores per segment'!B$1,'Error Log'!$A$1:$J$1,0)))</f>
        <v/>
      </c>
      <c r="C379" s="70" t="str">
        <f>IF(ISBLANK(A379),"",INDEX('Error Log'!$A:$J,MATCH('Scores per segment'!$A379,'Error Log'!$A:$A,0),MATCH('Scores per segment'!C$1,'Error Log'!$A$1:$J$1,0)))</f>
        <v/>
      </c>
      <c r="D379" s="70">
        <f>IF(H379=0,wdct(TRIM(C379)),0)</f>
        <v>0</v>
      </c>
      <c r="E379" s="70">
        <f>COUNTIFS('Error Log'!$A:$A,$A379,'Error Log'!$J:$J,E$1)</f>
        <v>0</v>
      </c>
      <c r="F379" s="70">
        <f>COUNTIFS('Error Log'!$A:$A,$A379,'Error Log'!$J:$J,F$1)</f>
        <v>0</v>
      </c>
      <c r="G379" s="70">
        <f>COUNTIFS('Error Log'!$A:$A,$A379,'Error Log'!$J:$J,G$1)</f>
        <v>0</v>
      </c>
      <c r="H379" s="70">
        <f>COUNTIFS('Error Log'!$A:$A,$A379,'Error Log'!$F:$F,"Source")</f>
        <v>0</v>
      </c>
      <c r="I379" s="70">
        <f>COUNTIFS('Error Log'!$A:$A,$A379,'Error Log'!$F:$F,"Target")</f>
        <v>0</v>
      </c>
      <c r="J379" s="71">
        <f t="shared" si="6"/>
        <v>0</v>
      </c>
    </row>
    <row r="380" spans="1:10">
      <c r="A380" s="81"/>
      <c r="B380" s="70" t="str">
        <f>IF(ISBLANK(A380),"",INDEX('Error Log'!$A:$J,MATCH('Scores per segment'!$A380,'Error Log'!$A:$A,0),MATCH('Scores per segment'!B$1,'Error Log'!$A$1:$J$1,0)))</f>
        <v/>
      </c>
      <c r="C380" s="70" t="str">
        <f>IF(ISBLANK(A380),"",INDEX('Error Log'!$A:$J,MATCH('Scores per segment'!$A380,'Error Log'!$A:$A,0),MATCH('Scores per segment'!C$1,'Error Log'!$A$1:$J$1,0)))</f>
        <v/>
      </c>
      <c r="D380" s="70">
        <f>IF(H380=0,wdct(TRIM(C380)),0)</f>
        <v>0</v>
      </c>
      <c r="E380" s="70">
        <f>COUNTIFS('Error Log'!$A:$A,$A380,'Error Log'!$J:$J,E$1)</f>
        <v>0</v>
      </c>
      <c r="F380" s="70">
        <f>COUNTIFS('Error Log'!$A:$A,$A380,'Error Log'!$J:$J,F$1)</f>
        <v>0</v>
      </c>
      <c r="G380" s="70">
        <f>COUNTIFS('Error Log'!$A:$A,$A380,'Error Log'!$J:$J,G$1)</f>
        <v>0</v>
      </c>
      <c r="H380" s="70">
        <f>COUNTIFS('Error Log'!$A:$A,$A380,'Error Log'!$F:$F,"Source")</f>
        <v>0</v>
      </c>
      <c r="I380" s="70">
        <f>COUNTIFS('Error Log'!$A:$A,$A380,'Error Log'!$F:$F,"Target")</f>
        <v>0</v>
      </c>
      <c r="J380" s="71">
        <f t="shared" si="6"/>
        <v>0</v>
      </c>
    </row>
    <row r="381" spans="1:10">
      <c r="A381" s="81"/>
      <c r="B381" s="70" t="str">
        <f>IF(ISBLANK(A381),"",INDEX('Error Log'!$A:$J,MATCH('Scores per segment'!$A381,'Error Log'!$A:$A,0),MATCH('Scores per segment'!B$1,'Error Log'!$A$1:$J$1,0)))</f>
        <v/>
      </c>
      <c r="C381" s="70" t="str">
        <f>IF(ISBLANK(A381),"",INDEX('Error Log'!$A:$J,MATCH('Scores per segment'!$A381,'Error Log'!$A:$A,0),MATCH('Scores per segment'!C$1,'Error Log'!$A$1:$J$1,0)))</f>
        <v/>
      </c>
      <c r="D381" s="70">
        <f>IF(H381=0,wdct(TRIM(C381)),0)</f>
        <v>0</v>
      </c>
      <c r="E381" s="70">
        <f>COUNTIFS('Error Log'!$A:$A,$A381,'Error Log'!$J:$J,E$1)</f>
        <v>0</v>
      </c>
      <c r="F381" s="70">
        <f>COUNTIFS('Error Log'!$A:$A,$A381,'Error Log'!$J:$J,F$1)</f>
        <v>0</v>
      </c>
      <c r="G381" s="70">
        <f>COUNTIFS('Error Log'!$A:$A,$A381,'Error Log'!$J:$J,G$1)</f>
        <v>0</v>
      </c>
      <c r="H381" s="70">
        <f>COUNTIFS('Error Log'!$A:$A,$A381,'Error Log'!$F:$F,"Source")</f>
        <v>0</v>
      </c>
      <c r="I381" s="70">
        <f>COUNTIFS('Error Log'!$A:$A,$A381,'Error Log'!$F:$F,"Target")</f>
        <v>0</v>
      </c>
      <c r="J381" s="71">
        <f t="shared" si="6"/>
        <v>0</v>
      </c>
    </row>
    <row r="382" spans="1:10">
      <c r="A382" s="81"/>
      <c r="B382" s="70" t="str">
        <f>IF(ISBLANK(A382),"",INDEX('Error Log'!$A:$J,MATCH('Scores per segment'!$A382,'Error Log'!$A:$A,0),MATCH('Scores per segment'!B$1,'Error Log'!$A$1:$J$1,0)))</f>
        <v/>
      </c>
      <c r="C382" s="70" t="str">
        <f>IF(ISBLANK(A382),"",INDEX('Error Log'!$A:$J,MATCH('Scores per segment'!$A382,'Error Log'!$A:$A,0),MATCH('Scores per segment'!C$1,'Error Log'!$A$1:$J$1,0)))</f>
        <v/>
      </c>
      <c r="D382" s="70">
        <f>IF(H382=0,wdct(TRIM(C382)),0)</f>
        <v>0</v>
      </c>
      <c r="E382" s="70">
        <f>COUNTIFS('Error Log'!$A:$A,$A382,'Error Log'!$J:$J,E$1)</f>
        <v>0</v>
      </c>
      <c r="F382" s="70">
        <f>COUNTIFS('Error Log'!$A:$A,$A382,'Error Log'!$J:$J,F$1)</f>
        <v>0</v>
      </c>
      <c r="G382" s="70">
        <f>COUNTIFS('Error Log'!$A:$A,$A382,'Error Log'!$J:$J,G$1)</f>
        <v>0</v>
      </c>
      <c r="H382" s="70">
        <f>COUNTIFS('Error Log'!$A:$A,$A382,'Error Log'!$F:$F,"Source")</f>
        <v>0</v>
      </c>
      <c r="I382" s="70">
        <f>COUNTIFS('Error Log'!$A:$A,$A382,'Error Log'!$F:$F,"Target")</f>
        <v>0</v>
      </c>
      <c r="J382" s="71">
        <f t="shared" si="6"/>
        <v>0</v>
      </c>
    </row>
    <row r="383" spans="1:10">
      <c r="A383" s="81"/>
      <c r="B383" s="70" t="str">
        <f>IF(ISBLANK(A383),"",INDEX('Error Log'!$A:$J,MATCH('Scores per segment'!$A383,'Error Log'!$A:$A,0),MATCH('Scores per segment'!B$1,'Error Log'!$A$1:$J$1,0)))</f>
        <v/>
      </c>
      <c r="C383" s="70" t="str">
        <f>IF(ISBLANK(A383),"",INDEX('Error Log'!$A:$J,MATCH('Scores per segment'!$A383,'Error Log'!$A:$A,0),MATCH('Scores per segment'!C$1,'Error Log'!$A$1:$J$1,0)))</f>
        <v/>
      </c>
      <c r="D383" s="70">
        <f>IF(H383=0,wdct(TRIM(C383)),0)</f>
        <v>0</v>
      </c>
      <c r="E383" s="70">
        <f>COUNTIFS('Error Log'!$A:$A,$A383,'Error Log'!$J:$J,E$1)</f>
        <v>0</v>
      </c>
      <c r="F383" s="70">
        <f>COUNTIFS('Error Log'!$A:$A,$A383,'Error Log'!$J:$J,F$1)</f>
        <v>0</v>
      </c>
      <c r="G383" s="70">
        <f>COUNTIFS('Error Log'!$A:$A,$A383,'Error Log'!$J:$J,G$1)</f>
        <v>0</v>
      </c>
      <c r="H383" s="70">
        <f>COUNTIFS('Error Log'!$A:$A,$A383,'Error Log'!$F:$F,"Source")</f>
        <v>0</v>
      </c>
      <c r="I383" s="70">
        <f>COUNTIFS('Error Log'!$A:$A,$A383,'Error Log'!$F:$F,"Target")</f>
        <v>0</v>
      </c>
      <c r="J383" s="71">
        <f t="shared" si="6"/>
        <v>0</v>
      </c>
    </row>
    <row r="384" spans="1:10">
      <c r="A384" s="81"/>
      <c r="B384" s="70" t="str">
        <f>IF(ISBLANK(A384),"",INDEX('Error Log'!$A:$J,MATCH('Scores per segment'!$A384,'Error Log'!$A:$A,0),MATCH('Scores per segment'!B$1,'Error Log'!$A$1:$J$1,0)))</f>
        <v/>
      </c>
      <c r="C384" s="70" t="str">
        <f>IF(ISBLANK(A384),"",INDEX('Error Log'!$A:$J,MATCH('Scores per segment'!$A384,'Error Log'!$A:$A,0),MATCH('Scores per segment'!C$1,'Error Log'!$A$1:$J$1,0)))</f>
        <v/>
      </c>
      <c r="D384" s="70">
        <f>IF(H384=0,wdct(TRIM(C384)),0)</f>
        <v>0</v>
      </c>
      <c r="E384" s="70">
        <f>COUNTIFS('Error Log'!$A:$A,$A384,'Error Log'!$J:$J,E$1)</f>
        <v>0</v>
      </c>
      <c r="F384" s="70">
        <f>COUNTIFS('Error Log'!$A:$A,$A384,'Error Log'!$J:$J,F$1)</f>
        <v>0</v>
      </c>
      <c r="G384" s="70">
        <f>COUNTIFS('Error Log'!$A:$A,$A384,'Error Log'!$J:$J,G$1)</f>
        <v>0</v>
      </c>
      <c r="H384" s="70">
        <f>COUNTIFS('Error Log'!$A:$A,$A384,'Error Log'!$F:$F,"Source")</f>
        <v>0</v>
      </c>
      <c r="I384" s="70">
        <f>COUNTIFS('Error Log'!$A:$A,$A384,'Error Log'!$F:$F,"Target")</f>
        <v>0</v>
      </c>
      <c r="J384" s="71">
        <f t="shared" si="6"/>
        <v>0</v>
      </c>
    </row>
    <row r="385" spans="1:10">
      <c r="A385" s="81"/>
      <c r="B385" s="70" t="str">
        <f>IF(ISBLANK(A385),"",INDEX('Error Log'!$A:$J,MATCH('Scores per segment'!$A385,'Error Log'!$A:$A,0),MATCH('Scores per segment'!B$1,'Error Log'!$A$1:$J$1,0)))</f>
        <v/>
      </c>
      <c r="C385" s="70" t="str">
        <f>IF(ISBLANK(A385),"",INDEX('Error Log'!$A:$J,MATCH('Scores per segment'!$A385,'Error Log'!$A:$A,0),MATCH('Scores per segment'!C$1,'Error Log'!$A$1:$J$1,0)))</f>
        <v/>
      </c>
      <c r="D385" s="70">
        <f>IF(H385=0,wdct(TRIM(C385)),0)</f>
        <v>0</v>
      </c>
      <c r="E385" s="70">
        <f>COUNTIFS('Error Log'!$A:$A,$A385,'Error Log'!$J:$J,E$1)</f>
        <v>0</v>
      </c>
      <c r="F385" s="70">
        <f>COUNTIFS('Error Log'!$A:$A,$A385,'Error Log'!$J:$J,F$1)</f>
        <v>0</v>
      </c>
      <c r="G385" s="70">
        <f>COUNTIFS('Error Log'!$A:$A,$A385,'Error Log'!$J:$J,G$1)</f>
        <v>0</v>
      </c>
      <c r="H385" s="70">
        <f>COUNTIFS('Error Log'!$A:$A,$A385,'Error Log'!$F:$F,"Source")</f>
        <v>0</v>
      </c>
      <c r="I385" s="70">
        <f>COUNTIFS('Error Log'!$A:$A,$A385,'Error Log'!$F:$F,"Target")</f>
        <v>0</v>
      </c>
      <c r="J385" s="71">
        <f t="shared" si="6"/>
        <v>0</v>
      </c>
    </row>
    <row r="386" spans="1:10">
      <c r="A386" s="81"/>
      <c r="B386" s="70" t="str">
        <f>IF(ISBLANK(A386),"",INDEX('Error Log'!$A:$J,MATCH('Scores per segment'!$A386,'Error Log'!$A:$A,0),MATCH('Scores per segment'!B$1,'Error Log'!$A$1:$J$1,0)))</f>
        <v/>
      </c>
      <c r="C386" s="70" t="str">
        <f>IF(ISBLANK(A386),"",INDEX('Error Log'!$A:$J,MATCH('Scores per segment'!$A386,'Error Log'!$A:$A,0),MATCH('Scores per segment'!C$1,'Error Log'!$A$1:$J$1,0)))</f>
        <v/>
      </c>
      <c r="D386" s="70">
        <f>IF(H386=0,wdct(TRIM(C386)),0)</f>
        <v>0</v>
      </c>
      <c r="E386" s="70">
        <f>COUNTIFS('Error Log'!$A:$A,$A386,'Error Log'!$J:$J,E$1)</f>
        <v>0</v>
      </c>
      <c r="F386" s="70">
        <f>COUNTIFS('Error Log'!$A:$A,$A386,'Error Log'!$J:$J,F$1)</f>
        <v>0</v>
      </c>
      <c r="G386" s="70">
        <f>COUNTIFS('Error Log'!$A:$A,$A386,'Error Log'!$J:$J,G$1)</f>
        <v>0</v>
      </c>
      <c r="H386" s="70">
        <f>COUNTIFS('Error Log'!$A:$A,$A386,'Error Log'!$F:$F,"Source")</f>
        <v>0</v>
      </c>
      <c r="I386" s="70">
        <f>COUNTIFS('Error Log'!$A:$A,$A386,'Error Log'!$F:$F,"Target")</f>
        <v>0</v>
      </c>
      <c r="J386" s="71">
        <f t="shared" ref="J386:J449" si="7">IF(I386=0,IFERROR((((1-((E386*10+F386*5+G386*1)/D386))*100)+100)/2,0),-150)</f>
        <v>0</v>
      </c>
    </row>
    <row r="387" spans="1:10">
      <c r="A387" s="81"/>
      <c r="B387" s="70" t="str">
        <f>IF(ISBLANK(A387),"",INDEX('Error Log'!$A:$J,MATCH('Scores per segment'!$A387,'Error Log'!$A:$A,0),MATCH('Scores per segment'!B$1,'Error Log'!$A$1:$J$1,0)))</f>
        <v/>
      </c>
      <c r="C387" s="70" t="str">
        <f>IF(ISBLANK(A387),"",INDEX('Error Log'!$A:$J,MATCH('Scores per segment'!$A387,'Error Log'!$A:$A,0),MATCH('Scores per segment'!C$1,'Error Log'!$A$1:$J$1,0)))</f>
        <v/>
      </c>
      <c r="D387" s="70">
        <f>IF(H387=0,wdct(TRIM(C387)),0)</f>
        <v>0</v>
      </c>
      <c r="E387" s="70">
        <f>COUNTIFS('Error Log'!$A:$A,$A387,'Error Log'!$J:$J,E$1)</f>
        <v>0</v>
      </c>
      <c r="F387" s="70">
        <f>COUNTIFS('Error Log'!$A:$A,$A387,'Error Log'!$J:$J,F$1)</f>
        <v>0</v>
      </c>
      <c r="G387" s="70">
        <f>COUNTIFS('Error Log'!$A:$A,$A387,'Error Log'!$J:$J,G$1)</f>
        <v>0</v>
      </c>
      <c r="H387" s="70">
        <f>COUNTIFS('Error Log'!$A:$A,$A387,'Error Log'!$F:$F,"Source")</f>
        <v>0</v>
      </c>
      <c r="I387" s="70">
        <f>COUNTIFS('Error Log'!$A:$A,$A387,'Error Log'!$F:$F,"Target")</f>
        <v>0</v>
      </c>
      <c r="J387" s="71">
        <f t="shared" si="7"/>
        <v>0</v>
      </c>
    </row>
    <row r="388" spans="1:10">
      <c r="A388" s="81"/>
      <c r="B388" s="70" t="str">
        <f>IF(ISBLANK(A388),"",INDEX('Error Log'!$A:$J,MATCH('Scores per segment'!$A388,'Error Log'!$A:$A,0),MATCH('Scores per segment'!B$1,'Error Log'!$A$1:$J$1,0)))</f>
        <v/>
      </c>
      <c r="C388" s="70" t="str">
        <f>IF(ISBLANK(A388),"",INDEX('Error Log'!$A:$J,MATCH('Scores per segment'!$A388,'Error Log'!$A:$A,0),MATCH('Scores per segment'!C$1,'Error Log'!$A$1:$J$1,0)))</f>
        <v/>
      </c>
      <c r="D388" s="70">
        <f>IF(H388=0,wdct(TRIM(C388)),0)</f>
        <v>0</v>
      </c>
      <c r="E388" s="70">
        <f>COUNTIFS('Error Log'!$A:$A,$A388,'Error Log'!$J:$J,E$1)</f>
        <v>0</v>
      </c>
      <c r="F388" s="70">
        <f>COUNTIFS('Error Log'!$A:$A,$A388,'Error Log'!$J:$J,F$1)</f>
        <v>0</v>
      </c>
      <c r="G388" s="70">
        <f>COUNTIFS('Error Log'!$A:$A,$A388,'Error Log'!$J:$J,G$1)</f>
        <v>0</v>
      </c>
      <c r="H388" s="70">
        <f>COUNTIFS('Error Log'!$A:$A,$A388,'Error Log'!$F:$F,"Source")</f>
        <v>0</v>
      </c>
      <c r="I388" s="70">
        <f>COUNTIFS('Error Log'!$A:$A,$A388,'Error Log'!$F:$F,"Target")</f>
        <v>0</v>
      </c>
      <c r="J388" s="71">
        <f t="shared" si="7"/>
        <v>0</v>
      </c>
    </row>
    <row r="389" spans="1:10">
      <c r="A389" s="81"/>
      <c r="B389" s="70" t="str">
        <f>IF(ISBLANK(A389),"",INDEX('Error Log'!$A:$J,MATCH('Scores per segment'!$A389,'Error Log'!$A:$A,0),MATCH('Scores per segment'!B$1,'Error Log'!$A$1:$J$1,0)))</f>
        <v/>
      </c>
      <c r="C389" s="70" t="str">
        <f>IF(ISBLANK(A389),"",INDEX('Error Log'!$A:$J,MATCH('Scores per segment'!$A389,'Error Log'!$A:$A,0),MATCH('Scores per segment'!C$1,'Error Log'!$A$1:$J$1,0)))</f>
        <v/>
      </c>
      <c r="D389" s="70">
        <f>IF(H389=0,wdct(TRIM(C389)),0)</f>
        <v>0</v>
      </c>
      <c r="E389" s="70">
        <f>COUNTIFS('Error Log'!$A:$A,$A389,'Error Log'!$J:$J,E$1)</f>
        <v>0</v>
      </c>
      <c r="F389" s="70">
        <f>COUNTIFS('Error Log'!$A:$A,$A389,'Error Log'!$J:$J,F$1)</f>
        <v>0</v>
      </c>
      <c r="G389" s="70">
        <f>COUNTIFS('Error Log'!$A:$A,$A389,'Error Log'!$J:$J,G$1)</f>
        <v>0</v>
      </c>
      <c r="H389" s="70">
        <f>COUNTIFS('Error Log'!$A:$A,$A389,'Error Log'!$F:$F,"Source")</f>
        <v>0</v>
      </c>
      <c r="I389" s="70">
        <f>COUNTIFS('Error Log'!$A:$A,$A389,'Error Log'!$F:$F,"Target")</f>
        <v>0</v>
      </c>
      <c r="J389" s="71">
        <f t="shared" si="7"/>
        <v>0</v>
      </c>
    </row>
    <row r="390" spans="1:10">
      <c r="A390" s="81"/>
      <c r="B390" s="70" t="str">
        <f>IF(ISBLANK(A390),"",INDEX('Error Log'!$A:$J,MATCH('Scores per segment'!$A390,'Error Log'!$A:$A,0),MATCH('Scores per segment'!B$1,'Error Log'!$A$1:$J$1,0)))</f>
        <v/>
      </c>
      <c r="C390" s="70" t="str">
        <f>IF(ISBLANK(A390),"",INDEX('Error Log'!$A:$J,MATCH('Scores per segment'!$A390,'Error Log'!$A:$A,0),MATCH('Scores per segment'!C$1,'Error Log'!$A$1:$J$1,0)))</f>
        <v/>
      </c>
      <c r="D390" s="70">
        <f>IF(H390=0,wdct(TRIM(C390)),0)</f>
        <v>0</v>
      </c>
      <c r="E390" s="70">
        <f>COUNTIFS('Error Log'!$A:$A,$A390,'Error Log'!$J:$J,E$1)</f>
        <v>0</v>
      </c>
      <c r="F390" s="70">
        <f>COUNTIFS('Error Log'!$A:$A,$A390,'Error Log'!$J:$J,F$1)</f>
        <v>0</v>
      </c>
      <c r="G390" s="70">
        <f>COUNTIFS('Error Log'!$A:$A,$A390,'Error Log'!$J:$J,G$1)</f>
        <v>0</v>
      </c>
      <c r="H390" s="70">
        <f>COUNTIFS('Error Log'!$A:$A,$A390,'Error Log'!$F:$F,"Source")</f>
        <v>0</v>
      </c>
      <c r="I390" s="70">
        <f>COUNTIFS('Error Log'!$A:$A,$A390,'Error Log'!$F:$F,"Target")</f>
        <v>0</v>
      </c>
      <c r="J390" s="71">
        <f t="shared" si="7"/>
        <v>0</v>
      </c>
    </row>
    <row r="391" spans="1:10">
      <c r="A391" s="81"/>
      <c r="B391" s="70" t="str">
        <f>IF(ISBLANK(A391),"",INDEX('Error Log'!$A:$J,MATCH('Scores per segment'!$A391,'Error Log'!$A:$A,0),MATCH('Scores per segment'!B$1,'Error Log'!$A$1:$J$1,0)))</f>
        <v/>
      </c>
      <c r="C391" s="70" t="str">
        <f>IF(ISBLANK(A391),"",INDEX('Error Log'!$A:$J,MATCH('Scores per segment'!$A391,'Error Log'!$A:$A,0),MATCH('Scores per segment'!C$1,'Error Log'!$A$1:$J$1,0)))</f>
        <v/>
      </c>
      <c r="D391" s="70">
        <f>IF(H391=0,wdct(TRIM(C391)),0)</f>
        <v>0</v>
      </c>
      <c r="E391" s="70">
        <f>COUNTIFS('Error Log'!$A:$A,$A391,'Error Log'!$J:$J,E$1)</f>
        <v>0</v>
      </c>
      <c r="F391" s="70">
        <f>COUNTIFS('Error Log'!$A:$A,$A391,'Error Log'!$J:$J,F$1)</f>
        <v>0</v>
      </c>
      <c r="G391" s="70">
        <f>COUNTIFS('Error Log'!$A:$A,$A391,'Error Log'!$J:$J,G$1)</f>
        <v>0</v>
      </c>
      <c r="H391" s="70">
        <f>COUNTIFS('Error Log'!$A:$A,$A391,'Error Log'!$F:$F,"Source")</f>
        <v>0</v>
      </c>
      <c r="I391" s="70">
        <f>COUNTIFS('Error Log'!$A:$A,$A391,'Error Log'!$F:$F,"Target")</f>
        <v>0</v>
      </c>
      <c r="J391" s="71">
        <f t="shared" si="7"/>
        <v>0</v>
      </c>
    </row>
    <row r="392" spans="1:10">
      <c r="A392" s="81"/>
      <c r="B392" s="70" t="str">
        <f>IF(ISBLANK(A392),"",INDEX('Error Log'!$A:$J,MATCH('Scores per segment'!$A392,'Error Log'!$A:$A,0),MATCH('Scores per segment'!B$1,'Error Log'!$A$1:$J$1,0)))</f>
        <v/>
      </c>
      <c r="C392" s="70" t="str">
        <f>IF(ISBLANK(A392),"",INDEX('Error Log'!$A:$J,MATCH('Scores per segment'!$A392,'Error Log'!$A:$A,0),MATCH('Scores per segment'!C$1,'Error Log'!$A$1:$J$1,0)))</f>
        <v/>
      </c>
      <c r="D392" s="70">
        <f>IF(H392=0,wdct(TRIM(C392)),0)</f>
        <v>0</v>
      </c>
      <c r="E392" s="70">
        <f>COUNTIFS('Error Log'!$A:$A,$A392,'Error Log'!$J:$J,E$1)</f>
        <v>0</v>
      </c>
      <c r="F392" s="70">
        <f>COUNTIFS('Error Log'!$A:$A,$A392,'Error Log'!$J:$J,F$1)</f>
        <v>0</v>
      </c>
      <c r="G392" s="70">
        <f>COUNTIFS('Error Log'!$A:$A,$A392,'Error Log'!$J:$J,G$1)</f>
        <v>0</v>
      </c>
      <c r="H392" s="70">
        <f>COUNTIFS('Error Log'!$A:$A,$A392,'Error Log'!$F:$F,"Source")</f>
        <v>0</v>
      </c>
      <c r="I392" s="70">
        <f>COUNTIFS('Error Log'!$A:$A,$A392,'Error Log'!$F:$F,"Target")</f>
        <v>0</v>
      </c>
      <c r="J392" s="71">
        <f t="shared" si="7"/>
        <v>0</v>
      </c>
    </row>
    <row r="393" spans="1:10">
      <c r="A393" s="81"/>
      <c r="B393" s="70" t="str">
        <f>IF(ISBLANK(A393),"",INDEX('Error Log'!$A:$J,MATCH('Scores per segment'!$A393,'Error Log'!$A:$A,0),MATCH('Scores per segment'!B$1,'Error Log'!$A$1:$J$1,0)))</f>
        <v/>
      </c>
      <c r="C393" s="70" t="str">
        <f>IF(ISBLANK(A393),"",INDEX('Error Log'!$A:$J,MATCH('Scores per segment'!$A393,'Error Log'!$A:$A,0),MATCH('Scores per segment'!C$1,'Error Log'!$A$1:$J$1,0)))</f>
        <v/>
      </c>
      <c r="D393" s="70">
        <f>IF(H393=0,wdct(TRIM(C393)),0)</f>
        <v>0</v>
      </c>
      <c r="E393" s="70">
        <f>COUNTIFS('Error Log'!$A:$A,$A393,'Error Log'!$J:$J,E$1)</f>
        <v>0</v>
      </c>
      <c r="F393" s="70">
        <f>COUNTIFS('Error Log'!$A:$A,$A393,'Error Log'!$J:$J,F$1)</f>
        <v>0</v>
      </c>
      <c r="G393" s="70">
        <f>COUNTIFS('Error Log'!$A:$A,$A393,'Error Log'!$J:$J,G$1)</f>
        <v>0</v>
      </c>
      <c r="H393" s="70">
        <f>COUNTIFS('Error Log'!$A:$A,$A393,'Error Log'!$F:$F,"Source")</f>
        <v>0</v>
      </c>
      <c r="I393" s="70">
        <f>COUNTIFS('Error Log'!$A:$A,$A393,'Error Log'!$F:$F,"Target")</f>
        <v>0</v>
      </c>
      <c r="J393" s="71">
        <f t="shared" si="7"/>
        <v>0</v>
      </c>
    </row>
    <row r="394" spans="1:10">
      <c r="A394" s="81"/>
      <c r="B394" s="70" t="str">
        <f>IF(ISBLANK(A394),"",INDEX('Error Log'!$A:$J,MATCH('Scores per segment'!$A394,'Error Log'!$A:$A,0),MATCH('Scores per segment'!B$1,'Error Log'!$A$1:$J$1,0)))</f>
        <v/>
      </c>
      <c r="C394" s="70" t="str">
        <f>IF(ISBLANK(A394),"",INDEX('Error Log'!$A:$J,MATCH('Scores per segment'!$A394,'Error Log'!$A:$A,0),MATCH('Scores per segment'!C$1,'Error Log'!$A$1:$J$1,0)))</f>
        <v/>
      </c>
      <c r="D394" s="70">
        <f>IF(H394=0,wdct(TRIM(C394)),0)</f>
        <v>0</v>
      </c>
      <c r="E394" s="70">
        <f>COUNTIFS('Error Log'!$A:$A,$A394,'Error Log'!$J:$J,E$1)</f>
        <v>0</v>
      </c>
      <c r="F394" s="70">
        <f>COUNTIFS('Error Log'!$A:$A,$A394,'Error Log'!$J:$J,F$1)</f>
        <v>0</v>
      </c>
      <c r="G394" s="70">
        <f>COUNTIFS('Error Log'!$A:$A,$A394,'Error Log'!$J:$J,G$1)</f>
        <v>0</v>
      </c>
      <c r="H394" s="70">
        <f>COUNTIFS('Error Log'!$A:$A,$A394,'Error Log'!$F:$F,"Source")</f>
        <v>0</v>
      </c>
      <c r="I394" s="70">
        <f>COUNTIFS('Error Log'!$A:$A,$A394,'Error Log'!$F:$F,"Target")</f>
        <v>0</v>
      </c>
      <c r="J394" s="71">
        <f t="shared" si="7"/>
        <v>0</v>
      </c>
    </row>
    <row r="395" spans="1:10">
      <c r="A395" s="81"/>
      <c r="B395" s="70" t="str">
        <f>IF(ISBLANK(A395),"",INDEX('Error Log'!$A:$J,MATCH('Scores per segment'!$A395,'Error Log'!$A:$A,0),MATCH('Scores per segment'!B$1,'Error Log'!$A$1:$J$1,0)))</f>
        <v/>
      </c>
      <c r="C395" s="70" t="str">
        <f>IF(ISBLANK(A395),"",INDEX('Error Log'!$A:$J,MATCH('Scores per segment'!$A395,'Error Log'!$A:$A,0),MATCH('Scores per segment'!C$1,'Error Log'!$A$1:$J$1,0)))</f>
        <v/>
      </c>
      <c r="D395" s="70">
        <f>IF(H395=0,wdct(TRIM(C395)),0)</f>
        <v>0</v>
      </c>
      <c r="E395" s="70">
        <f>COUNTIFS('Error Log'!$A:$A,$A395,'Error Log'!$J:$J,E$1)</f>
        <v>0</v>
      </c>
      <c r="F395" s="70">
        <f>COUNTIFS('Error Log'!$A:$A,$A395,'Error Log'!$J:$J,F$1)</f>
        <v>0</v>
      </c>
      <c r="G395" s="70">
        <f>COUNTIFS('Error Log'!$A:$A,$A395,'Error Log'!$J:$J,G$1)</f>
        <v>0</v>
      </c>
      <c r="H395" s="70">
        <f>COUNTIFS('Error Log'!$A:$A,$A395,'Error Log'!$F:$F,"Source")</f>
        <v>0</v>
      </c>
      <c r="I395" s="70">
        <f>COUNTIFS('Error Log'!$A:$A,$A395,'Error Log'!$F:$F,"Target")</f>
        <v>0</v>
      </c>
      <c r="J395" s="71">
        <f t="shared" si="7"/>
        <v>0</v>
      </c>
    </row>
    <row r="396" spans="1:10">
      <c r="A396" s="81"/>
      <c r="B396" s="70" t="str">
        <f>IF(ISBLANK(A396),"",INDEX('Error Log'!$A:$J,MATCH('Scores per segment'!$A396,'Error Log'!$A:$A,0),MATCH('Scores per segment'!B$1,'Error Log'!$A$1:$J$1,0)))</f>
        <v/>
      </c>
      <c r="C396" s="70" t="str">
        <f>IF(ISBLANK(A396),"",INDEX('Error Log'!$A:$J,MATCH('Scores per segment'!$A396,'Error Log'!$A:$A,0),MATCH('Scores per segment'!C$1,'Error Log'!$A$1:$J$1,0)))</f>
        <v/>
      </c>
      <c r="D396" s="70">
        <f>IF(H396=0,wdct(TRIM(C396)),0)</f>
        <v>0</v>
      </c>
      <c r="E396" s="70">
        <f>COUNTIFS('Error Log'!$A:$A,$A396,'Error Log'!$J:$J,E$1)</f>
        <v>0</v>
      </c>
      <c r="F396" s="70">
        <f>COUNTIFS('Error Log'!$A:$A,$A396,'Error Log'!$J:$J,F$1)</f>
        <v>0</v>
      </c>
      <c r="G396" s="70">
        <f>COUNTIFS('Error Log'!$A:$A,$A396,'Error Log'!$J:$J,G$1)</f>
        <v>0</v>
      </c>
      <c r="H396" s="70">
        <f>COUNTIFS('Error Log'!$A:$A,$A396,'Error Log'!$F:$F,"Source")</f>
        <v>0</v>
      </c>
      <c r="I396" s="70">
        <f>COUNTIFS('Error Log'!$A:$A,$A396,'Error Log'!$F:$F,"Target")</f>
        <v>0</v>
      </c>
      <c r="J396" s="71">
        <f t="shared" si="7"/>
        <v>0</v>
      </c>
    </row>
    <row r="397" spans="1:10">
      <c r="A397" s="81"/>
      <c r="B397" s="70" t="str">
        <f>IF(ISBLANK(A397),"",INDEX('Error Log'!$A:$J,MATCH('Scores per segment'!$A397,'Error Log'!$A:$A,0),MATCH('Scores per segment'!B$1,'Error Log'!$A$1:$J$1,0)))</f>
        <v/>
      </c>
      <c r="C397" s="70" t="str">
        <f>IF(ISBLANK(A397),"",INDEX('Error Log'!$A:$J,MATCH('Scores per segment'!$A397,'Error Log'!$A:$A,0),MATCH('Scores per segment'!C$1,'Error Log'!$A$1:$J$1,0)))</f>
        <v/>
      </c>
      <c r="D397" s="70">
        <f>IF(H397=0,wdct(TRIM(C397)),0)</f>
        <v>0</v>
      </c>
      <c r="E397" s="70">
        <f>COUNTIFS('Error Log'!$A:$A,$A397,'Error Log'!$J:$J,E$1)</f>
        <v>0</v>
      </c>
      <c r="F397" s="70">
        <f>COUNTIFS('Error Log'!$A:$A,$A397,'Error Log'!$J:$J,F$1)</f>
        <v>0</v>
      </c>
      <c r="G397" s="70">
        <f>COUNTIFS('Error Log'!$A:$A,$A397,'Error Log'!$J:$J,G$1)</f>
        <v>0</v>
      </c>
      <c r="H397" s="70">
        <f>COUNTIFS('Error Log'!$A:$A,$A397,'Error Log'!$F:$F,"Source")</f>
        <v>0</v>
      </c>
      <c r="I397" s="70">
        <f>COUNTIFS('Error Log'!$A:$A,$A397,'Error Log'!$F:$F,"Target")</f>
        <v>0</v>
      </c>
      <c r="J397" s="71">
        <f t="shared" si="7"/>
        <v>0</v>
      </c>
    </row>
    <row r="398" spans="1:10">
      <c r="A398" s="81"/>
      <c r="B398" s="70" t="str">
        <f>IF(ISBLANK(A398),"",INDEX('Error Log'!$A:$J,MATCH('Scores per segment'!$A398,'Error Log'!$A:$A,0),MATCH('Scores per segment'!B$1,'Error Log'!$A$1:$J$1,0)))</f>
        <v/>
      </c>
      <c r="C398" s="70" t="str">
        <f>IF(ISBLANK(A398),"",INDEX('Error Log'!$A:$J,MATCH('Scores per segment'!$A398,'Error Log'!$A:$A,0),MATCH('Scores per segment'!C$1,'Error Log'!$A$1:$J$1,0)))</f>
        <v/>
      </c>
      <c r="D398" s="70">
        <f>IF(H398=0,wdct(TRIM(C398)),0)</f>
        <v>0</v>
      </c>
      <c r="E398" s="70">
        <f>COUNTIFS('Error Log'!$A:$A,$A398,'Error Log'!$J:$J,E$1)</f>
        <v>0</v>
      </c>
      <c r="F398" s="70">
        <f>COUNTIFS('Error Log'!$A:$A,$A398,'Error Log'!$J:$J,F$1)</f>
        <v>0</v>
      </c>
      <c r="G398" s="70">
        <f>COUNTIFS('Error Log'!$A:$A,$A398,'Error Log'!$J:$J,G$1)</f>
        <v>0</v>
      </c>
      <c r="H398" s="70">
        <f>COUNTIFS('Error Log'!$A:$A,$A398,'Error Log'!$F:$F,"Source")</f>
        <v>0</v>
      </c>
      <c r="I398" s="70">
        <f>COUNTIFS('Error Log'!$A:$A,$A398,'Error Log'!$F:$F,"Target")</f>
        <v>0</v>
      </c>
      <c r="J398" s="71">
        <f t="shared" si="7"/>
        <v>0</v>
      </c>
    </row>
    <row r="399" spans="1:10">
      <c r="A399" s="81"/>
      <c r="B399" s="70" t="str">
        <f>IF(ISBLANK(A399),"",INDEX('Error Log'!$A:$J,MATCH('Scores per segment'!$A399,'Error Log'!$A:$A,0),MATCH('Scores per segment'!B$1,'Error Log'!$A$1:$J$1,0)))</f>
        <v/>
      </c>
      <c r="C399" s="70" t="str">
        <f>IF(ISBLANK(A399),"",INDEX('Error Log'!$A:$J,MATCH('Scores per segment'!$A399,'Error Log'!$A:$A,0),MATCH('Scores per segment'!C$1,'Error Log'!$A$1:$J$1,0)))</f>
        <v/>
      </c>
      <c r="D399" s="70">
        <f>IF(H399=0,wdct(TRIM(C399)),0)</f>
        <v>0</v>
      </c>
      <c r="E399" s="70">
        <f>COUNTIFS('Error Log'!$A:$A,$A399,'Error Log'!$J:$J,E$1)</f>
        <v>0</v>
      </c>
      <c r="F399" s="70">
        <f>COUNTIFS('Error Log'!$A:$A,$A399,'Error Log'!$J:$J,F$1)</f>
        <v>0</v>
      </c>
      <c r="G399" s="70">
        <f>COUNTIFS('Error Log'!$A:$A,$A399,'Error Log'!$J:$J,G$1)</f>
        <v>0</v>
      </c>
      <c r="H399" s="70">
        <f>COUNTIFS('Error Log'!$A:$A,$A399,'Error Log'!$F:$F,"Source")</f>
        <v>0</v>
      </c>
      <c r="I399" s="70">
        <f>COUNTIFS('Error Log'!$A:$A,$A399,'Error Log'!$F:$F,"Target")</f>
        <v>0</v>
      </c>
      <c r="J399" s="71">
        <f t="shared" si="7"/>
        <v>0</v>
      </c>
    </row>
    <row r="400" spans="1:10">
      <c r="A400" s="81"/>
      <c r="B400" s="70" t="str">
        <f>IF(ISBLANK(A400),"",INDEX('Error Log'!$A:$J,MATCH('Scores per segment'!$A400,'Error Log'!$A:$A,0),MATCH('Scores per segment'!B$1,'Error Log'!$A$1:$J$1,0)))</f>
        <v/>
      </c>
      <c r="C400" s="70" t="str">
        <f>IF(ISBLANK(A400),"",INDEX('Error Log'!$A:$J,MATCH('Scores per segment'!$A400,'Error Log'!$A:$A,0),MATCH('Scores per segment'!C$1,'Error Log'!$A$1:$J$1,0)))</f>
        <v/>
      </c>
      <c r="D400" s="70">
        <f>IF(H400=0,wdct(TRIM(C400)),0)</f>
        <v>0</v>
      </c>
      <c r="E400" s="70">
        <f>COUNTIFS('Error Log'!$A:$A,$A400,'Error Log'!$J:$J,E$1)</f>
        <v>0</v>
      </c>
      <c r="F400" s="70">
        <f>COUNTIFS('Error Log'!$A:$A,$A400,'Error Log'!$J:$J,F$1)</f>
        <v>0</v>
      </c>
      <c r="G400" s="70">
        <f>COUNTIFS('Error Log'!$A:$A,$A400,'Error Log'!$J:$J,G$1)</f>
        <v>0</v>
      </c>
      <c r="H400" s="70">
        <f>COUNTIFS('Error Log'!$A:$A,$A400,'Error Log'!$F:$F,"Source")</f>
        <v>0</v>
      </c>
      <c r="I400" s="70">
        <f>COUNTIFS('Error Log'!$A:$A,$A400,'Error Log'!$F:$F,"Target")</f>
        <v>0</v>
      </c>
      <c r="J400" s="71">
        <f t="shared" si="7"/>
        <v>0</v>
      </c>
    </row>
    <row r="401" spans="1:10">
      <c r="A401" s="81"/>
      <c r="B401" s="70" t="str">
        <f>IF(ISBLANK(A401),"",INDEX('Error Log'!$A:$J,MATCH('Scores per segment'!$A401,'Error Log'!$A:$A,0),MATCH('Scores per segment'!B$1,'Error Log'!$A$1:$J$1,0)))</f>
        <v/>
      </c>
      <c r="C401" s="70" t="str">
        <f>IF(ISBLANK(A401),"",INDEX('Error Log'!$A:$J,MATCH('Scores per segment'!$A401,'Error Log'!$A:$A,0),MATCH('Scores per segment'!C$1,'Error Log'!$A$1:$J$1,0)))</f>
        <v/>
      </c>
      <c r="D401" s="70">
        <f>IF(H401=0,wdct(TRIM(C401)),0)</f>
        <v>0</v>
      </c>
      <c r="E401" s="70">
        <f>COUNTIFS('Error Log'!$A:$A,$A401,'Error Log'!$J:$J,E$1)</f>
        <v>0</v>
      </c>
      <c r="F401" s="70">
        <f>COUNTIFS('Error Log'!$A:$A,$A401,'Error Log'!$J:$J,F$1)</f>
        <v>0</v>
      </c>
      <c r="G401" s="70">
        <f>COUNTIFS('Error Log'!$A:$A,$A401,'Error Log'!$J:$J,G$1)</f>
        <v>0</v>
      </c>
      <c r="H401" s="70">
        <f>COUNTIFS('Error Log'!$A:$A,$A401,'Error Log'!$F:$F,"Source")</f>
        <v>0</v>
      </c>
      <c r="I401" s="70">
        <f>COUNTIFS('Error Log'!$A:$A,$A401,'Error Log'!$F:$F,"Target")</f>
        <v>0</v>
      </c>
      <c r="J401" s="71">
        <f t="shared" si="7"/>
        <v>0</v>
      </c>
    </row>
    <row r="402" spans="1:10">
      <c r="A402" s="81"/>
      <c r="B402" s="70" t="str">
        <f>IF(ISBLANK(A402),"",INDEX('Error Log'!$A:$J,MATCH('Scores per segment'!$A402,'Error Log'!$A:$A,0),MATCH('Scores per segment'!B$1,'Error Log'!$A$1:$J$1,0)))</f>
        <v/>
      </c>
      <c r="C402" s="70" t="str">
        <f>IF(ISBLANK(A402),"",INDEX('Error Log'!$A:$J,MATCH('Scores per segment'!$A402,'Error Log'!$A:$A,0),MATCH('Scores per segment'!C$1,'Error Log'!$A$1:$J$1,0)))</f>
        <v/>
      </c>
      <c r="D402" s="70">
        <f>IF(H402=0,wdct(TRIM(C402)),0)</f>
        <v>0</v>
      </c>
      <c r="E402" s="70">
        <f>COUNTIFS('Error Log'!$A:$A,$A402,'Error Log'!$J:$J,E$1)</f>
        <v>0</v>
      </c>
      <c r="F402" s="70">
        <f>COUNTIFS('Error Log'!$A:$A,$A402,'Error Log'!$J:$J,F$1)</f>
        <v>0</v>
      </c>
      <c r="G402" s="70">
        <f>COUNTIFS('Error Log'!$A:$A,$A402,'Error Log'!$J:$J,G$1)</f>
        <v>0</v>
      </c>
      <c r="H402" s="70">
        <f>COUNTIFS('Error Log'!$A:$A,$A402,'Error Log'!$F:$F,"Source")</f>
        <v>0</v>
      </c>
      <c r="I402" s="70">
        <f>COUNTIFS('Error Log'!$A:$A,$A402,'Error Log'!$F:$F,"Target")</f>
        <v>0</v>
      </c>
      <c r="J402" s="71">
        <f t="shared" si="7"/>
        <v>0</v>
      </c>
    </row>
    <row r="403" spans="1:10">
      <c r="A403" s="81"/>
      <c r="B403" s="70" t="str">
        <f>IF(ISBLANK(A403),"",INDEX('Error Log'!$A:$J,MATCH('Scores per segment'!$A403,'Error Log'!$A:$A,0),MATCH('Scores per segment'!B$1,'Error Log'!$A$1:$J$1,0)))</f>
        <v/>
      </c>
      <c r="C403" s="70" t="str">
        <f>IF(ISBLANK(A403),"",INDEX('Error Log'!$A:$J,MATCH('Scores per segment'!$A403,'Error Log'!$A:$A,0),MATCH('Scores per segment'!C$1,'Error Log'!$A$1:$J$1,0)))</f>
        <v/>
      </c>
      <c r="D403" s="70">
        <f>IF(H403=0,wdct(TRIM(C403)),0)</f>
        <v>0</v>
      </c>
      <c r="E403" s="70">
        <f>COUNTIFS('Error Log'!$A:$A,$A403,'Error Log'!$J:$J,E$1)</f>
        <v>0</v>
      </c>
      <c r="F403" s="70">
        <f>COUNTIFS('Error Log'!$A:$A,$A403,'Error Log'!$J:$J,F$1)</f>
        <v>0</v>
      </c>
      <c r="G403" s="70">
        <f>COUNTIFS('Error Log'!$A:$A,$A403,'Error Log'!$J:$J,G$1)</f>
        <v>0</v>
      </c>
      <c r="H403" s="70">
        <f>COUNTIFS('Error Log'!$A:$A,$A403,'Error Log'!$F:$F,"Source")</f>
        <v>0</v>
      </c>
      <c r="I403" s="70">
        <f>COUNTIFS('Error Log'!$A:$A,$A403,'Error Log'!$F:$F,"Target")</f>
        <v>0</v>
      </c>
      <c r="J403" s="71">
        <f t="shared" si="7"/>
        <v>0</v>
      </c>
    </row>
    <row r="404" spans="1:10">
      <c r="A404" s="81"/>
      <c r="B404" s="70" t="str">
        <f>IF(ISBLANK(A404),"",INDEX('Error Log'!$A:$J,MATCH('Scores per segment'!$A404,'Error Log'!$A:$A,0),MATCH('Scores per segment'!B$1,'Error Log'!$A$1:$J$1,0)))</f>
        <v/>
      </c>
      <c r="C404" s="70" t="str">
        <f>IF(ISBLANK(A404),"",INDEX('Error Log'!$A:$J,MATCH('Scores per segment'!$A404,'Error Log'!$A:$A,0),MATCH('Scores per segment'!C$1,'Error Log'!$A$1:$J$1,0)))</f>
        <v/>
      </c>
      <c r="D404" s="70">
        <f>IF(H404=0,wdct(TRIM(C404)),0)</f>
        <v>0</v>
      </c>
      <c r="E404" s="70">
        <f>COUNTIFS('Error Log'!$A:$A,$A404,'Error Log'!$J:$J,E$1)</f>
        <v>0</v>
      </c>
      <c r="F404" s="70">
        <f>COUNTIFS('Error Log'!$A:$A,$A404,'Error Log'!$J:$J,F$1)</f>
        <v>0</v>
      </c>
      <c r="G404" s="70">
        <f>COUNTIFS('Error Log'!$A:$A,$A404,'Error Log'!$J:$J,G$1)</f>
        <v>0</v>
      </c>
      <c r="H404" s="70">
        <f>COUNTIFS('Error Log'!$A:$A,$A404,'Error Log'!$F:$F,"Source")</f>
        <v>0</v>
      </c>
      <c r="I404" s="70">
        <f>COUNTIFS('Error Log'!$A:$A,$A404,'Error Log'!$F:$F,"Target")</f>
        <v>0</v>
      </c>
      <c r="J404" s="71">
        <f t="shared" si="7"/>
        <v>0</v>
      </c>
    </row>
    <row r="405" spans="1:10">
      <c r="A405" s="81"/>
      <c r="B405" s="70" t="str">
        <f>IF(ISBLANK(A405),"",INDEX('Error Log'!$A:$J,MATCH('Scores per segment'!$A405,'Error Log'!$A:$A,0),MATCH('Scores per segment'!B$1,'Error Log'!$A$1:$J$1,0)))</f>
        <v/>
      </c>
      <c r="C405" s="70" t="str">
        <f>IF(ISBLANK(A405),"",INDEX('Error Log'!$A:$J,MATCH('Scores per segment'!$A405,'Error Log'!$A:$A,0),MATCH('Scores per segment'!C$1,'Error Log'!$A$1:$J$1,0)))</f>
        <v/>
      </c>
      <c r="D405" s="70">
        <f>IF(H405=0,wdct(TRIM(C405)),0)</f>
        <v>0</v>
      </c>
      <c r="E405" s="70">
        <f>COUNTIFS('Error Log'!$A:$A,$A405,'Error Log'!$J:$J,E$1)</f>
        <v>0</v>
      </c>
      <c r="F405" s="70">
        <f>COUNTIFS('Error Log'!$A:$A,$A405,'Error Log'!$J:$J,F$1)</f>
        <v>0</v>
      </c>
      <c r="G405" s="70">
        <f>COUNTIFS('Error Log'!$A:$A,$A405,'Error Log'!$J:$J,G$1)</f>
        <v>0</v>
      </c>
      <c r="H405" s="70">
        <f>COUNTIFS('Error Log'!$A:$A,$A405,'Error Log'!$F:$F,"Source")</f>
        <v>0</v>
      </c>
      <c r="I405" s="70">
        <f>COUNTIFS('Error Log'!$A:$A,$A405,'Error Log'!$F:$F,"Target")</f>
        <v>0</v>
      </c>
      <c r="J405" s="71">
        <f t="shared" si="7"/>
        <v>0</v>
      </c>
    </row>
    <row r="406" spans="1:10">
      <c r="A406" s="81"/>
      <c r="B406" s="70" t="str">
        <f>IF(ISBLANK(A406),"",INDEX('Error Log'!$A:$J,MATCH('Scores per segment'!$A406,'Error Log'!$A:$A,0),MATCH('Scores per segment'!B$1,'Error Log'!$A$1:$J$1,0)))</f>
        <v/>
      </c>
      <c r="C406" s="70" t="str">
        <f>IF(ISBLANK(A406),"",INDEX('Error Log'!$A:$J,MATCH('Scores per segment'!$A406,'Error Log'!$A:$A,0),MATCH('Scores per segment'!C$1,'Error Log'!$A$1:$J$1,0)))</f>
        <v/>
      </c>
      <c r="D406" s="70">
        <f>IF(H406=0,wdct(TRIM(C406)),0)</f>
        <v>0</v>
      </c>
      <c r="E406" s="70">
        <f>COUNTIFS('Error Log'!$A:$A,$A406,'Error Log'!$J:$J,E$1)</f>
        <v>0</v>
      </c>
      <c r="F406" s="70">
        <f>COUNTIFS('Error Log'!$A:$A,$A406,'Error Log'!$J:$J,F$1)</f>
        <v>0</v>
      </c>
      <c r="G406" s="70">
        <f>COUNTIFS('Error Log'!$A:$A,$A406,'Error Log'!$J:$J,G$1)</f>
        <v>0</v>
      </c>
      <c r="H406" s="70">
        <f>COUNTIFS('Error Log'!$A:$A,$A406,'Error Log'!$F:$F,"Source")</f>
        <v>0</v>
      </c>
      <c r="I406" s="70">
        <f>COUNTIFS('Error Log'!$A:$A,$A406,'Error Log'!$F:$F,"Target")</f>
        <v>0</v>
      </c>
      <c r="J406" s="71">
        <f t="shared" si="7"/>
        <v>0</v>
      </c>
    </row>
    <row r="407" spans="1:10">
      <c r="A407" s="81"/>
      <c r="B407" s="70" t="str">
        <f>IF(ISBLANK(A407),"",INDEX('Error Log'!$A:$J,MATCH('Scores per segment'!$A407,'Error Log'!$A:$A,0),MATCH('Scores per segment'!B$1,'Error Log'!$A$1:$J$1,0)))</f>
        <v/>
      </c>
      <c r="C407" s="70" t="str">
        <f>IF(ISBLANK(A407),"",INDEX('Error Log'!$A:$J,MATCH('Scores per segment'!$A407,'Error Log'!$A:$A,0),MATCH('Scores per segment'!C$1,'Error Log'!$A$1:$J$1,0)))</f>
        <v/>
      </c>
      <c r="D407" s="70">
        <f>IF(H407=0,wdct(TRIM(C407)),0)</f>
        <v>0</v>
      </c>
      <c r="E407" s="70">
        <f>COUNTIFS('Error Log'!$A:$A,$A407,'Error Log'!$J:$J,E$1)</f>
        <v>0</v>
      </c>
      <c r="F407" s="70">
        <f>COUNTIFS('Error Log'!$A:$A,$A407,'Error Log'!$J:$J,F$1)</f>
        <v>0</v>
      </c>
      <c r="G407" s="70">
        <f>COUNTIFS('Error Log'!$A:$A,$A407,'Error Log'!$J:$J,G$1)</f>
        <v>0</v>
      </c>
      <c r="H407" s="70">
        <f>COUNTIFS('Error Log'!$A:$A,$A407,'Error Log'!$F:$F,"Source")</f>
        <v>0</v>
      </c>
      <c r="I407" s="70">
        <f>COUNTIFS('Error Log'!$A:$A,$A407,'Error Log'!$F:$F,"Target")</f>
        <v>0</v>
      </c>
      <c r="J407" s="71">
        <f t="shared" si="7"/>
        <v>0</v>
      </c>
    </row>
    <row r="408" spans="1:10">
      <c r="A408" s="81"/>
      <c r="B408" s="70" t="str">
        <f>IF(ISBLANK(A408),"",INDEX('Error Log'!$A:$J,MATCH('Scores per segment'!$A408,'Error Log'!$A:$A,0),MATCH('Scores per segment'!B$1,'Error Log'!$A$1:$J$1,0)))</f>
        <v/>
      </c>
      <c r="C408" s="70" t="str">
        <f>IF(ISBLANK(A408),"",INDEX('Error Log'!$A:$J,MATCH('Scores per segment'!$A408,'Error Log'!$A:$A,0),MATCH('Scores per segment'!C$1,'Error Log'!$A$1:$J$1,0)))</f>
        <v/>
      </c>
      <c r="D408" s="70">
        <f>IF(H408=0,wdct(TRIM(C408)),0)</f>
        <v>0</v>
      </c>
      <c r="E408" s="70">
        <f>COUNTIFS('Error Log'!$A:$A,$A408,'Error Log'!$J:$J,E$1)</f>
        <v>0</v>
      </c>
      <c r="F408" s="70">
        <f>COUNTIFS('Error Log'!$A:$A,$A408,'Error Log'!$J:$J,F$1)</f>
        <v>0</v>
      </c>
      <c r="G408" s="70">
        <f>COUNTIFS('Error Log'!$A:$A,$A408,'Error Log'!$J:$J,G$1)</f>
        <v>0</v>
      </c>
      <c r="H408" s="70">
        <f>COUNTIFS('Error Log'!$A:$A,$A408,'Error Log'!$F:$F,"Source")</f>
        <v>0</v>
      </c>
      <c r="I408" s="70">
        <f>COUNTIFS('Error Log'!$A:$A,$A408,'Error Log'!$F:$F,"Target")</f>
        <v>0</v>
      </c>
      <c r="J408" s="71">
        <f t="shared" si="7"/>
        <v>0</v>
      </c>
    </row>
    <row r="409" spans="1:10">
      <c r="A409" s="81"/>
      <c r="B409" s="70" t="str">
        <f>IF(ISBLANK(A409),"",INDEX('Error Log'!$A:$J,MATCH('Scores per segment'!$A409,'Error Log'!$A:$A,0),MATCH('Scores per segment'!B$1,'Error Log'!$A$1:$J$1,0)))</f>
        <v/>
      </c>
      <c r="C409" s="70" t="str">
        <f>IF(ISBLANK(A409),"",INDEX('Error Log'!$A:$J,MATCH('Scores per segment'!$A409,'Error Log'!$A:$A,0),MATCH('Scores per segment'!C$1,'Error Log'!$A$1:$J$1,0)))</f>
        <v/>
      </c>
      <c r="D409" s="70">
        <f>IF(H409=0,wdct(TRIM(C409)),0)</f>
        <v>0</v>
      </c>
      <c r="E409" s="70">
        <f>COUNTIFS('Error Log'!$A:$A,$A409,'Error Log'!$J:$J,E$1)</f>
        <v>0</v>
      </c>
      <c r="F409" s="70">
        <f>COUNTIFS('Error Log'!$A:$A,$A409,'Error Log'!$J:$J,F$1)</f>
        <v>0</v>
      </c>
      <c r="G409" s="70">
        <f>COUNTIFS('Error Log'!$A:$A,$A409,'Error Log'!$J:$J,G$1)</f>
        <v>0</v>
      </c>
      <c r="H409" s="70">
        <f>COUNTIFS('Error Log'!$A:$A,$A409,'Error Log'!$F:$F,"Source")</f>
        <v>0</v>
      </c>
      <c r="I409" s="70">
        <f>COUNTIFS('Error Log'!$A:$A,$A409,'Error Log'!$F:$F,"Target")</f>
        <v>0</v>
      </c>
      <c r="J409" s="71">
        <f t="shared" si="7"/>
        <v>0</v>
      </c>
    </row>
    <row r="410" spans="1:10">
      <c r="A410" s="81"/>
      <c r="B410" s="70" t="str">
        <f>IF(ISBLANK(A410),"",INDEX('Error Log'!$A:$J,MATCH('Scores per segment'!$A410,'Error Log'!$A:$A,0),MATCH('Scores per segment'!B$1,'Error Log'!$A$1:$J$1,0)))</f>
        <v/>
      </c>
      <c r="C410" s="70" t="str">
        <f>IF(ISBLANK(A410),"",INDEX('Error Log'!$A:$J,MATCH('Scores per segment'!$A410,'Error Log'!$A:$A,0),MATCH('Scores per segment'!C$1,'Error Log'!$A$1:$J$1,0)))</f>
        <v/>
      </c>
      <c r="D410" s="70">
        <f>IF(H410=0,wdct(TRIM(C410)),0)</f>
        <v>0</v>
      </c>
      <c r="E410" s="70">
        <f>COUNTIFS('Error Log'!$A:$A,$A410,'Error Log'!$J:$J,E$1)</f>
        <v>0</v>
      </c>
      <c r="F410" s="70">
        <f>COUNTIFS('Error Log'!$A:$A,$A410,'Error Log'!$J:$J,F$1)</f>
        <v>0</v>
      </c>
      <c r="G410" s="70">
        <f>COUNTIFS('Error Log'!$A:$A,$A410,'Error Log'!$J:$J,G$1)</f>
        <v>0</v>
      </c>
      <c r="H410" s="70">
        <f>COUNTIFS('Error Log'!$A:$A,$A410,'Error Log'!$F:$F,"Source")</f>
        <v>0</v>
      </c>
      <c r="I410" s="70">
        <f>COUNTIFS('Error Log'!$A:$A,$A410,'Error Log'!$F:$F,"Target")</f>
        <v>0</v>
      </c>
      <c r="J410" s="71">
        <f t="shared" si="7"/>
        <v>0</v>
      </c>
    </row>
    <row r="411" spans="1:10">
      <c r="A411" s="81"/>
      <c r="B411" s="70" t="str">
        <f>IF(ISBLANK(A411),"",INDEX('Error Log'!$A:$J,MATCH('Scores per segment'!$A411,'Error Log'!$A:$A,0),MATCH('Scores per segment'!B$1,'Error Log'!$A$1:$J$1,0)))</f>
        <v/>
      </c>
      <c r="C411" s="70" t="str">
        <f>IF(ISBLANK(A411),"",INDEX('Error Log'!$A:$J,MATCH('Scores per segment'!$A411,'Error Log'!$A:$A,0),MATCH('Scores per segment'!C$1,'Error Log'!$A$1:$J$1,0)))</f>
        <v/>
      </c>
      <c r="D411" s="70">
        <f>IF(H411=0,wdct(TRIM(C411)),0)</f>
        <v>0</v>
      </c>
      <c r="E411" s="70">
        <f>COUNTIFS('Error Log'!$A:$A,$A411,'Error Log'!$J:$J,E$1)</f>
        <v>0</v>
      </c>
      <c r="F411" s="70">
        <f>COUNTIFS('Error Log'!$A:$A,$A411,'Error Log'!$J:$J,F$1)</f>
        <v>0</v>
      </c>
      <c r="G411" s="70">
        <f>COUNTIFS('Error Log'!$A:$A,$A411,'Error Log'!$J:$J,G$1)</f>
        <v>0</v>
      </c>
      <c r="H411" s="70">
        <f>COUNTIFS('Error Log'!$A:$A,$A411,'Error Log'!$F:$F,"Source")</f>
        <v>0</v>
      </c>
      <c r="I411" s="70">
        <f>COUNTIFS('Error Log'!$A:$A,$A411,'Error Log'!$F:$F,"Target")</f>
        <v>0</v>
      </c>
      <c r="J411" s="71">
        <f t="shared" si="7"/>
        <v>0</v>
      </c>
    </row>
    <row r="412" spans="1:10">
      <c r="A412" s="81"/>
      <c r="B412" s="70" t="str">
        <f>IF(ISBLANK(A412),"",INDEX('Error Log'!$A:$J,MATCH('Scores per segment'!$A412,'Error Log'!$A:$A,0),MATCH('Scores per segment'!B$1,'Error Log'!$A$1:$J$1,0)))</f>
        <v/>
      </c>
      <c r="C412" s="70" t="str">
        <f>IF(ISBLANK(A412),"",INDEX('Error Log'!$A:$J,MATCH('Scores per segment'!$A412,'Error Log'!$A:$A,0),MATCH('Scores per segment'!C$1,'Error Log'!$A$1:$J$1,0)))</f>
        <v/>
      </c>
      <c r="D412" s="70">
        <f>IF(H412=0,wdct(TRIM(C412)),0)</f>
        <v>0</v>
      </c>
      <c r="E412" s="70">
        <f>COUNTIFS('Error Log'!$A:$A,$A412,'Error Log'!$J:$J,E$1)</f>
        <v>0</v>
      </c>
      <c r="F412" s="70">
        <f>COUNTIFS('Error Log'!$A:$A,$A412,'Error Log'!$J:$J,F$1)</f>
        <v>0</v>
      </c>
      <c r="G412" s="70">
        <f>COUNTIFS('Error Log'!$A:$A,$A412,'Error Log'!$J:$J,G$1)</f>
        <v>0</v>
      </c>
      <c r="H412" s="70">
        <f>COUNTIFS('Error Log'!$A:$A,$A412,'Error Log'!$F:$F,"Source")</f>
        <v>0</v>
      </c>
      <c r="I412" s="70">
        <f>COUNTIFS('Error Log'!$A:$A,$A412,'Error Log'!$F:$F,"Target")</f>
        <v>0</v>
      </c>
      <c r="J412" s="71">
        <f t="shared" si="7"/>
        <v>0</v>
      </c>
    </row>
    <row r="413" spans="1:10">
      <c r="A413" s="81"/>
      <c r="B413" s="70" t="str">
        <f>IF(ISBLANK(A413),"",INDEX('Error Log'!$A:$J,MATCH('Scores per segment'!$A413,'Error Log'!$A:$A,0),MATCH('Scores per segment'!B$1,'Error Log'!$A$1:$J$1,0)))</f>
        <v/>
      </c>
      <c r="C413" s="70" t="str">
        <f>IF(ISBLANK(A413),"",INDEX('Error Log'!$A:$J,MATCH('Scores per segment'!$A413,'Error Log'!$A:$A,0),MATCH('Scores per segment'!C$1,'Error Log'!$A$1:$J$1,0)))</f>
        <v/>
      </c>
      <c r="D413" s="70">
        <f>IF(H413=0,wdct(TRIM(C413)),0)</f>
        <v>0</v>
      </c>
      <c r="E413" s="70">
        <f>COUNTIFS('Error Log'!$A:$A,$A413,'Error Log'!$J:$J,E$1)</f>
        <v>0</v>
      </c>
      <c r="F413" s="70">
        <f>COUNTIFS('Error Log'!$A:$A,$A413,'Error Log'!$J:$J,F$1)</f>
        <v>0</v>
      </c>
      <c r="G413" s="70">
        <f>COUNTIFS('Error Log'!$A:$A,$A413,'Error Log'!$J:$J,G$1)</f>
        <v>0</v>
      </c>
      <c r="H413" s="70">
        <f>COUNTIFS('Error Log'!$A:$A,$A413,'Error Log'!$F:$F,"Source")</f>
        <v>0</v>
      </c>
      <c r="I413" s="70">
        <f>COUNTIFS('Error Log'!$A:$A,$A413,'Error Log'!$F:$F,"Target")</f>
        <v>0</v>
      </c>
      <c r="J413" s="71">
        <f t="shared" si="7"/>
        <v>0</v>
      </c>
    </row>
    <row r="414" spans="1:10">
      <c r="A414" s="81"/>
      <c r="B414" s="70" t="str">
        <f>IF(ISBLANK(A414),"",INDEX('Error Log'!$A:$J,MATCH('Scores per segment'!$A414,'Error Log'!$A:$A,0),MATCH('Scores per segment'!B$1,'Error Log'!$A$1:$J$1,0)))</f>
        <v/>
      </c>
      <c r="C414" s="70" t="str">
        <f>IF(ISBLANK(A414),"",INDEX('Error Log'!$A:$J,MATCH('Scores per segment'!$A414,'Error Log'!$A:$A,0),MATCH('Scores per segment'!C$1,'Error Log'!$A$1:$J$1,0)))</f>
        <v/>
      </c>
      <c r="D414" s="70">
        <f>IF(H414=0,wdct(TRIM(C414)),0)</f>
        <v>0</v>
      </c>
      <c r="E414" s="70">
        <f>COUNTIFS('Error Log'!$A:$A,$A414,'Error Log'!$J:$J,E$1)</f>
        <v>0</v>
      </c>
      <c r="F414" s="70">
        <f>COUNTIFS('Error Log'!$A:$A,$A414,'Error Log'!$J:$J,F$1)</f>
        <v>0</v>
      </c>
      <c r="G414" s="70">
        <f>COUNTIFS('Error Log'!$A:$A,$A414,'Error Log'!$J:$J,G$1)</f>
        <v>0</v>
      </c>
      <c r="H414" s="70">
        <f>COUNTIFS('Error Log'!$A:$A,$A414,'Error Log'!$F:$F,"Source")</f>
        <v>0</v>
      </c>
      <c r="I414" s="70">
        <f>COUNTIFS('Error Log'!$A:$A,$A414,'Error Log'!$F:$F,"Target")</f>
        <v>0</v>
      </c>
      <c r="J414" s="71">
        <f t="shared" si="7"/>
        <v>0</v>
      </c>
    </row>
    <row r="415" spans="1:10">
      <c r="A415" s="81"/>
      <c r="B415" s="70" t="str">
        <f>IF(ISBLANK(A415),"",INDEX('Error Log'!$A:$J,MATCH('Scores per segment'!$A415,'Error Log'!$A:$A,0),MATCH('Scores per segment'!B$1,'Error Log'!$A$1:$J$1,0)))</f>
        <v/>
      </c>
      <c r="C415" s="70" t="str">
        <f>IF(ISBLANK(A415),"",INDEX('Error Log'!$A:$J,MATCH('Scores per segment'!$A415,'Error Log'!$A:$A,0),MATCH('Scores per segment'!C$1,'Error Log'!$A$1:$J$1,0)))</f>
        <v/>
      </c>
      <c r="D415" s="70">
        <f>IF(H415=0,wdct(TRIM(C415)),0)</f>
        <v>0</v>
      </c>
      <c r="E415" s="70">
        <f>COUNTIFS('Error Log'!$A:$A,$A415,'Error Log'!$J:$J,E$1)</f>
        <v>0</v>
      </c>
      <c r="F415" s="70">
        <f>COUNTIFS('Error Log'!$A:$A,$A415,'Error Log'!$J:$J,F$1)</f>
        <v>0</v>
      </c>
      <c r="G415" s="70">
        <f>COUNTIFS('Error Log'!$A:$A,$A415,'Error Log'!$J:$J,G$1)</f>
        <v>0</v>
      </c>
      <c r="H415" s="70">
        <f>COUNTIFS('Error Log'!$A:$A,$A415,'Error Log'!$F:$F,"Source")</f>
        <v>0</v>
      </c>
      <c r="I415" s="70">
        <f>COUNTIFS('Error Log'!$A:$A,$A415,'Error Log'!$F:$F,"Target")</f>
        <v>0</v>
      </c>
      <c r="J415" s="71">
        <f t="shared" si="7"/>
        <v>0</v>
      </c>
    </row>
    <row r="416" spans="1:10">
      <c r="A416" s="81"/>
      <c r="B416" s="70" t="str">
        <f>IF(ISBLANK(A416),"",INDEX('Error Log'!$A:$J,MATCH('Scores per segment'!$A416,'Error Log'!$A:$A,0),MATCH('Scores per segment'!B$1,'Error Log'!$A$1:$J$1,0)))</f>
        <v/>
      </c>
      <c r="C416" s="70" t="str">
        <f>IF(ISBLANK(A416),"",INDEX('Error Log'!$A:$J,MATCH('Scores per segment'!$A416,'Error Log'!$A:$A,0),MATCH('Scores per segment'!C$1,'Error Log'!$A$1:$J$1,0)))</f>
        <v/>
      </c>
      <c r="D416" s="70">
        <f>IF(H416=0,wdct(TRIM(C416)),0)</f>
        <v>0</v>
      </c>
      <c r="E416" s="70">
        <f>COUNTIFS('Error Log'!$A:$A,$A416,'Error Log'!$J:$J,E$1)</f>
        <v>0</v>
      </c>
      <c r="F416" s="70">
        <f>COUNTIFS('Error Log'!$A:$A,$A416,'Error Log'!$J:$J,F$1)</f>
        <v>0</v>
      </c>
      <c r="G416" s="70">
        <f>COUNTIFS('Error Log'!$A:$A,$A416,'Error Log'!$J:$J,G$1)</f>
        <v>0</v>
      </c>
      <c r="H416" s="70">
        <f>COUNTIFS('Error Log'!$A:$A,$A416,'Error Log'!$F:$F,"Source")</f>
        <v>0</v>
      </c>
      <c r="I416" s="70">
        <f>COUNTIFS('Error Log'!$A:$A,$A416,'Error Log'!$F:$F,"Target")</f>
        <v>0</v>
      </c>
      <c r="J416" s="71">
        <f t="shared" si="7"/>
        <v>0</v>
      </c>
    </row>
    <row r="417" spans="1:10">
      <c r="A417" s="81"/>
      <c r="B417" s="70" t="str">
        <f>IF(ISBLANK(A417),"",INDEX('Error Log'!$A:$J,MATCH('Scores per segment'!$A417,'Error Log'!$A:$A,0),MATCH('Scores per segment'!B$1,'Error Log'!$A$1:$J$1,0)))</f>
        <v/>
      </c>
      <c r="C417" s="70" t="str">
        <f>IF(ISBLANK(A417),"",INDEX('Error Log'!$A:$J,MATCH('Scores per segment'!$A417,'Error Log'!$A:$A,0),MATCH('Scores per segment'!C$1,'Error Log'!$A$1:$J$1,0)))</f>
        <v/>
      </c>
      <c r="D417" s="70">
        <f>IF(H417=0,wdct(TRIM(C417)),0)</f>
        <v>0</v>
      </c>
      <c r="E417" s="70">
        <f>COUNTIFS('Error Log'!$A:$A,$A417,'Error Log'!$J:$J,E$1)</f>
        <v>0</v>
      </c>
      <c r="F417" s="70">
        <f>COUNTIFS('Error Log'!$A:$A,$A417,'Error Log'!$J:$J,F$1)</f>
        <v>0</v>
      </c>
      <c r="G417" s="70">
        <f>COUNTIFS('Error Log'!$A:$A,$A417,'Error Log'!$J:$J,G$1)</f>
        <v>0</v>
      </c>
      <c r="H417" s="70">
        <f>COUNTIFS('Error Log'!$A:$A,$A417,'Error Log'!$F:$F,"Source")</f>
        <v>0</v>
      </c>
      <c r="I417" s="70">
        <f>COUNTIFS('Error Log'!$A:$A,$A417,'Error Log'!$F:$F,"Target")</f>
        <v>0</v>
      </c>
      <c r="J417" s="71">
        <f t="shared" si="7"/>
        <v>0</v>
      </c>
    </row>
    <row r="418" spans="1:10">
      <c r="A418" s="81"/>
      <c r="B418" s="70" t="str">
        <f>IF(ISBLANK(A418),"",INDEX('Error Log'!$A:$J,MATCH('Scores per segment'!$A418,'Error Log'!$A:$A,0),MATCH('Scores per segment'!B$1,'Error Log'!$A$1:$J$1,0)))</f>
        <v/>
      </c>
      <c r="C418" s="70" t="str">
        <f>IF(ISBLANK(A418),"",INDEX('Error Log'!$A:$J,MATCH('Scores per segment'!$A418,'Error Log'!$A:$A,0),MATCH('Scores per segment'!C$1,'Error Log'!$A$1:$J$1,0)))</f>
        <v/>
      </c>
      <c r="D418" s="70">
        <f>IF(H418=0,wdct(TRIM(C418)),0)</f>
        <v>0</v>
      </c>
      <c r="E418" s="70">
        <f>COUNTIFS('Error Log'!$A:$A,$A418,'Error Log'!$J:$J,E$1)</f>
        <v>0</v>
      </c>
      <c r="F418" s="70">
        <f>COUNTIFS('Error Log'!$A:$A,$A418,'Error Log'!$J:$J,F$1)</f>
        <v>0</v>
      </c>
      <c r="G418" s="70">
        <f>COUNTIFS('Error Log'!$A:$A,$A418,'Error Log'!$J:$J,G$1)</f>
        <v>0</v>
      </c>
      <c r="H418" s="70">
        <f>COUNTIFS('Error Log'!$A:$A,$A418,'Error Log'!$F:$F,"Source")</f>
        <v>0</v>
      </c>
      <c r="I418" s="70">
        <f>COUNTIFS('Error Log'!$A:$A,$A418,'Error Log'!$F:$F,"Target")</f>
        <v>0</v>
      </c>
      <c r="J418" s="71">
        <f t="shared" si="7"/>
        <v>0</v>
      </c>
    </row>
    <row r="419" spans="1:10">
      <c r="A419" s="81"/>
      <c r="B419" s="70" t="str">
        <f>IF(ISBLANK(A419),"",INDEX('Error Log'!$A:$J,MATCH('Scores per segment'!$A419,'Error Log'!$A:$A,0),MATCH('Scores per segment'!B$1,'Error Log'!$A$1:$J$1,0)))</f>
        <v/>
      </c>
      <c r="C419" s="70" t="str">
        <f>IF(ISBLANK(A419),"",INDEX('Error Log'!$A:$J,MATCH('Scores per segment'!$A419,'Error Log'!$A:$A,0),MATCH('Scores per segment'!C$1,'Error Log'!$A$1:$J$1,0)))</f>
        <v/>
      </c>
      <c r="D419" s="70">
        <f>IF(H419=0,wdct(TRIM(C419)),0)</f>
        <v>0</v>
      </c>
      <c r="E419" s="70">
        <f>COUNTIFS('Error Log'!$A:$A,$A419,'Error Log'!$J:$J,E$1)</f>
        <v>0</v>
      </c>
      <c r="F419" s="70">
        <f>COUNTIFS('Error Log'!$A:$A,$A419,'Error Log'!$J:$J,F$1)</f>
        <v>0</v>
      </c>
      <c r="G419" s="70">
        <f>COUNTIFS('Error Log'!$A:$A,$A419,'Error Log'!$J:$J,G$1)</f>
        <v>0</v>
      </c>
      <c r="H419" s="70">
        <f>COUNTIFS('Error Log'!$A:$A,$A419,'Error Log'!$F:$F,"Source")</f>
        <v>0</v>
      </c>
      <c r="I419" s="70">
        <f>COUNTIFS('Error Log'!$A:$A,$A419,'Error Log'!$F:$F,"Target")</f>
        <v>0</v>
      </c>
      <c r="J419" s="71">
        <f t="shared" si="7"/>
        <v>0</v>
      </c>
    </row>
    <row r="420" spans="1:10">
      <c r="A420" s="81"/>
      <c r="B420" s="70" t="str">
        <f>IF(ISBLANK(A420),"",INDEX('Error Log'!$A:$J,MATCH('Scores per segment'!$A420,'Error Log'!$A:$A,0),MATCH('Scores per segment'!B$1,'Error Log'!$A$1:$J$1,0)))</f>
        <v/>
      </c>
      <c r="C420" s="70" t="str">
        <f>IF(ISBLANK(A420),"",INDEX('Error Log'!$A:$J,MATCH('Scores per segment'!$A420,'Error Log'!$A:$A,0),MATCH('Scores per segment'!C$1,'Error Log'!$A$1:$J$1,0)))</f>
        <v/>
      </c>
      <c r="D420" s="70">
        <f>IF(H420=0,wdct(TRIM(C420)),0)</f>
        <v>0</v>
      </c>
      <c r="E420" s="70">
        <f>COUNTIFS('Error Log'!$A:$A,$A420,'Error Log'!$J:$J,E$1)</f>
        <v>0</v>
      </c>
      <c r="F420" s="70">
        <f>COUNTIFS('Error Log'!$A:$A,$A420,'Error Log'!$J:$J,F$1)</f>
        <v>0</v>
      </c>
      <c r="G420" s="70">
        <f>COUNTIFS('Error Log'!$A:$A,$A420,'Error Log'!$J:$J,G$1)</f>
        <v>0</v>
      </c>
      <c r="H420" s="70">
        <f>COUNTIFS('Error Log'!$A:$A,$A420,'Error Log'!$F:$F,"Source")</f>
        <v>0</v>
      </c>
      <c r="I420" s="70">
        <f>COUNTIFS('Error Log'!$A:$A,$A420,'Error Log'!$F:$F,"Target")</f>
        <v>0</v>
      </c>
      <c r="J420" s="71">
        <f t="shared" si="7"/>
        <v>0</v>
      </c>
    </row>
    <row r="421" spans="1:10">
      <c r="A421" s="81"/>
      <c r="B421" s="70" t="str">
        <f>IF(ISBLANK(A421),"",INDEX('Error Log'!$A:$J,MATCH('Scores per segment'!$A421,'Error Log'!$A:$A,0),MATCH('Scores per segment'!B$1,'Error Log'!$A$1:$J$1,0)))</f>
        <v/>
      </c>
      <c r="C421" s="70" t="str">
        <f>IF(ISBLANK(A421),"",INDEX('Error Log'!$A:$J,MATCH('Scores per segment'!$A421,'Error Log'!$A:$A,0),MATCH('Scores per segment'!C$1,'Error Log'!$A$1:$J$1,0)))</f>
        <v/>
      </c>
      <c r="D421" s="70">
        <f>IF(H421=0,wdct(TRIM(C421)),0)</f>
        <v>0</v>
      </c>
      <c r="E421" s="70">
        <f>COUNTIFS('Error Log'!$A:$A,$A421,'Error Log'!$J:$J,E$1)</f>
        <v>0</v>
      </c>
      <c r="F421" s="70">
        <f>COUNTIFS('Error Log'!$A:$A,$A421,'Error Log'!$J:$J,F$1)</f>
        <v>0</v>
      </c>
      <c r="G421" s="70">
        <f>COUNTIFS('Error Log'!$A:$A,$A421,'Error Log'!$J:$J,G$1)</f>
        <v>0</v>
      </c>
      <c r="H421" s="70">
        <f>COUNTIFS('Error Log'!$A:$A,$A421,'Error Log'!$F:$F,"Source")</f>
        <v>0</v>
      </c>
      <c r="I421" s="70">
        <f>COUNTIFS('Error Log'!$A:$A,$A421,'Error Log'!$F:$F,"Target")</f>
        <v>0</v>
      </c>
      <c r="J421" s="71">
        <f t="shared" si="7"/>
        <v>0</v>
      </c>
    </row>
    <row r="422" spans="1:10">
      <c r="A422" s="81"/>
      <c r="B422" s="70" t="str">
        <f>IF(ISBLANK(A422),"",INDEX('Error Log'!$A:$J,MATCH('Scores per segment'!$A422,'Error Log'!$A:$A,0),MATCH('Scores per segment'!B$1,'Error Log'!$A$1:$J$1,0)))</f>
        <v/>
      </c>
      <c r="C422" s="70" t="str">
        <f>IF(ISBLANK(A422),"",INDEX('Error Log'!$A:$J,MATCH('Scores per segment'!$A422,'Error Log'!$A:$A,0),MATCH('Scores per segment'!C$1,'Error Log'!$A$1:$J$1,0)))</f>
        <v/>
      </c>
      <c r="D422" s="70">
        <f>IF(H422=0,wdct(TRIM(C422)),0)</f>
        <v>0</v>
      </c>
      <c r="E422" s="70">
        <f>COUNTIFS('Error Log'!$A:$A,$A422,'Error Log'!$J:$J,E$1)</f>
        <v>0</v>
      </c>
      <c r="F422" s="70">
        <f>COUNTIFS('Error Log'!$A:$A,$A422,'Error Log'!$J:$J,F$1)</f>
        <v>0</v>
      </c>
      <c r="G422" s="70">
        <f>COUNTIFS('Error Log'!$A:$A,$A422,'Error Log'!$J:$J,G$1)</f>
        <v>0</v>
      </c>
      <c r="H422" s="70">
        <f>COUNTIFS('Error Log'!$A:$A,$A422,'Error Log'!$F:$F,"Source")</f>
        <v>0</v>
      </c>
      <c r="I422" s="70">
        <f>COUNTIFS('Error Log'!$A:$A,$A422,'Error Log'!$F:$F,"Target")</f>
        <v>0</v>
      </c>
      <c r="J422" s="71">
        <f t="shared" si="7"/>
        <v>0</v>
      </c>
    </row>
    <row r="423" spans="1:10">
      <c r="A423" s="81"/>
      <c r="B423" s="70" t="str">
        <f>IF(ISBLANK(A423),"",INDEX('Error Log'!$A:$J,MATCH('Scores per segment'!$A423,'Error Log'!$A:$A,0),MATCH('Scores per segment'!B$1,'Error Log'!$A$1:$J$1,0)))</f>
        <v/>
      </c>
      <c r="C423" s="70" t="str">
        <f>IF(ISBLANK(A423),"",INDEX('Error Log'!$A:$J,MATCH('Scores per segment'!$A423,'Error Log'!$A:$A,0),MATCH('Scores per segment'!C$1,'Error Log'!$A$1:$J$1,0)))</f>
        <v/>
      </c>
      <c r="D423" s="70">
        <f>IF(H423=0,wdct(TRIM(C423)),0)</f>
        <v>0</v>
      </c>
      <c r="E423" s="70">
        <f>COUNTIFS('Error Log'!$A:$A,$A423,'Error Log'!$J:$J,E$1)</f>
        <v>0</v>
      </c>
      <c r="F423" s="70">
        <f>COUNTIFS('Error Log'!$A:$A,$A423,'Error Log'!$J:$J,F$1)</f>
        <v>0</v>
      </c>
      <c r="G423" s="70">
        <f>COUNTIFS('Error Log'!$A:$A,$A423,'Error Log'!$J:$J,G$1)</f>
        <v>0</v>
      </c>
      <c r="H423" s="70">
        <f>COUNTIFS('Error Log'!$A:$A,$A423,'Error Log'!$F:$F,"Source")</f>
        <v>0</v>
      </c>
      <c r="I423" s="70">
        <f>COUNTIFS('Error Log'!$A:$A,$A423,'Error Log'!$F:$F,"Target")</f>
        <v>0</v>
      </c>
      <c r="J423" s="71">
        <f t="shared" si="7"/>
        <v>0</v>
      </c>
    </row>
    <row r="424" spans="1:10">
      <c r="A424" s="81"/>
      <c r="B424" s="70" t="str">
        <f>IF(ISBLANK(A424),"",INDEX('Error Log'!$A:$J,MATCH('Scores per segment'!$A424,'Error Log'!$A:$A,0),MATCH('Scores per segment'!B$1,'Error Log'!$A$1:$J$1,0)))</f>
        <v/>
      </c>
      <c r="C424" s="70" t="str">
        <f>IF(ISBLANK(A424),"",INDEX('Error Log'!$A:$J,MATCH('Scores per segment'!$A424,'Error Log'!$A:$A,0),MATCH('Scores per segment'!C$1,'Error Log'!$A$1:$J$1,0)))</f>
        <v/>
      </c>
      <c r="D424" s="70">
        <f>IF(H424=0,wdct(TRIM(C424)),0)</f>
        <v>0</v>
      </c>
      <c r="E424" s="70">
        <f>COUNTIFS('Error Log'!$A:$A,$A424,'Error Log'!$J:$J,E$1)</f>
        <v>0</v>
      </c>
      <c r="F424" s="70">
        <f>COUNTIFS('Error Log'!$A:$A,$A424,'Error Log'!$J:$J,F$1)</f>
        <v>0</v>
      </c>
      <c r="G424" s="70">
        <f>COUNTIFS('Error Log'!$A:$A,$A424,'Error Log'!$J:$J,G$1)</f>
        <v>0</v>
      </c>
      <c r="H424" s="70">
        <f>COUNTIFS('Error Log'!$A:$A,$A424,'Error Log'!$F:$F,"Source")</f>
        <v>0</v>
      </c>
      <c r="I424" s="70">
        <f>COUNTIFS('Error Log'!$A:$A,$A424,'Error Log'!$F:$F,"Target")</f>
        <v>0</v>
      </c>
      <c r="J424" s="71">
        <f t="shared" si="7"/>
        <v>0</v>
      </c>
    </row>
    <row r="425" spans="1:10">
      <c r="A425" s="81"/>
      <c r="B425" s="70" t="str">
        <f>IF(ISBLANK(A425),"",INDEX('Error Log'!$A:$J,MATCH('Scores per segment'!$A425,'Error Log'!$A:$A,0),MATCH('Scores per segment'!B$1,'Error Log'!$A$1:$J$1,0)))</f>
        <v/>
      </c>
      <c r="C425" s="70" t="str">
        <f>IF(ISBLANK(A425),"",INDEX('Error Log'!$A:$J,MATCH('Scores per segment'!$A425,'Error Log'!$A:$A,0),MATCH('Scores per segment'!C$1,'Error Log'!$A$1:$J$1,0)))</f>
        <v/>
      </c>
      <c r="D425" s="70">
        <f>IF(H425=0,wdct(TRIM(C425)),0)</f>
        <v>0</v>
      </c>
      <c r="E425" s="70">
        <f>COUNTIFS('Error Log'!$A:$A,$A425,'Error Log'!$J:$J,E$1)</f>
        <v>0</v>
      </c>
      <c r="F425" s="70">
        <f>COUNTIFS('Error Log'!$A:$A,$A425,'Error Log'!$J:$J,F$1)</f>
        <v>0</v>
      </c>
      <c r="G425" s="70">
        <f>COUNTIFS('Error Log'!$A:$A,$A425,'Error Log'!$J:$J,G$1)</f>
        <v>0</v>
      </c>
      <c r="H425" s="70">
        <f>COUNTIFS('Error Log'!$A:$A,$A425,'Error Log'!$F:$F,"Source")</f>
        <v>0</v>
      </c>
      <c r="I425" s="70">
        <f>COUNTIFS('Error Log'!$A:$A,$A425,'Error Log'!$F:$F,"Target")</f>
        <v>0</v>
      </c>
      <c r="J425" s="71">
        <f t="shared" si="7"/>
        <v>0</v>
      </c>
    </row>
    <row r="426" spans="1:10">
      <c r="A426" s="81"/>
      <c r="B426" s="70" t="str">
        <f>IF(ISBLANK(A426),"",INDEX('Error Log'!$A:$J,MATCH('Scores per segment'!$A426,'Error Log'!$A:$A,0),MATCH('Scores per segment'!B$1,'Error Log'!$A$1:$J$1,0)))</f>
        <v/>
      </c>
      <c r="C426" s="70" t="str">
        <f>IF(ISBLANK(A426),"",INDEX('Error Log'!$A:$J,MATCH('Scores per segment'!$A426,'Error Log'!$A:$A,0),MATCH('Scores per segment'!C$1,'Error Log'!$A$1:$J$1,0)))</f>
        <v/>
      </c>
      <c r="D426" s="70">
        <f>IF(H426=0,wdct(TRIM(C426)),0)</f>
        <v>0</v>
      </c>
      <c r="E426" s="70">
        <f>COUNTIFS('Error Log'!$A:$A,$A426,'Error Log'!$J:$J,E$1)</f>
        <v>0</v>
      </c>
      <c r="F426" s="70">
        <f>COUNTIFS('Error Log'!$A:$A,$A426,'Error Log'!$J:$J,F$1)</f>
        <v>0</v>
      </c>
      <c r="G426" s="70">
        <f>COUNTIFS('Error Log'!$A:$A,$A426,'Error Log'!$J:$J,G$1)</f>
        <v>0</v>
      </c>
      <c r="H426" s="70">
        <f>COUNTIFS('Error Log'!$A:$A,$A426,'Error Log'!$F:$F,"Source")</f>
        <v>0</v>
      </c>
      <c r="I426" s="70">
        <f>COUNTIFS('Error Log'!$A:$A,$A426,'Error Log'!$F:$F,"Target")</f>
        <v>0</v>
      </c>
      <c r="J426" s="71">
        <f t="shared" si="7"/>
        <v>0</v>
      </c>
    </row>
    <row r="427" spans="1:10">
      <c r="A427" s="81"/>
      <c r="B427" s="70" t="str">
        <f>IF(ISBLANK(A427),"",INDEX('Error Log'!$A:$J,MATCH('Scores per segment'!$A427,'Error Log'!$A:$A,0),MATCH('Scores per segment'!B$1,'Error Log'!$A$1:$J$1,0)))</f>
        <v/>
      </c>
      <c r="C427" s="70" t="str">
        <f>IF(ISBLANK(A427),"",INDEX('Error Log'!$A:$J,MATCH('Scores per segment'!$A427,'Error Log'!$A:$A,0),MATCH('Scores per segment'!C$1,'Error Log'!$A$1:$J$1,0)))</f>
        <v/>
      </c>
      <c r="D427" s="70">
        <f>IF(H427=0,wdct(TRIM(C427)),0)</f>
        <v>0</v>
      </c>
      <c r="E427" s="70">
        <f>COUNTIFS('Error Log'!$A:$A,$A427,'Error Log'!$J:$J,E$1)</f>
        <v>0</v>
      </c>
      <c r="F427" s="70">
        <f>COUNTIFS('Error Log'!$A:$A,$A427,'Error Log'!$J:$J,F$1)</f>
        <v>0</v>
      </c>
      <c r="G427" s="70">
        <f>COUNTIFS('Error Log'!$A:$A,$A427,'Error Log'!$J:$J,G$1)</f>
        <v>0</v>
      </c>
      <c r="H427" s="70">
        <f>COUNTIFS('Error Log'!$A:$A,$A427,'Error Log'!$F:$F,"Source")</f>
        <v>0</v>
      </c>
      <c r="I427" s="70">
        <f>COUNTIFS('Error Log'!$A:$A,$A427,'Error Log'!$F:$F,"Target")</f>
        <v>0</v>
      </c>
      <c r="J427" s="71">
        <f t="shared" si="7"/>
        <v>0</v>
      </c>
    </row>
    <row r="428" spans="1:10">
      <c r="A428" s="81"/>
      <c r="B428" s="70" t="str">
        <f>IF(ISBLANK(A428),"",INDEX('Error Log'!$A:$J,MATCH('Scores per segment'!$A428,'Error Log'!$A:$A,0),MATCH('Scores per segment'!B$1,'Error Log'!$A$1:$J$1,0)))</f>
        <v/>
      </c>
      <c r="C428" s="70" t="str">
        <f>IF(ISBLANK(A428),"",INDEX('Error Log'!$A:$J,MATCH('Scores per segment'!$A428,'Error Log'!$A:$A,0),MATCH('Scores per segment'!C$1,'Error Log'!$A$1:$J$1,0)))</f>
        <v/>
      </c>
      <c r="D428" s="70">
        <f>IF(H428=0,wdct(TRIM(C428)),0)</f>
        <v>0</v>
      </c>
      <c r="E428" s="70">
        <f>COUNTIFS('Error Log'!$A:$A,$A428,'Error Log'!$J:$J,E$1)</f>
        <v>0</v>
      </c>
      <c r="F428" s="70">
        <f>COUNTIFS('Error Log'!$A:$A,$A428,'Error Log'!$J:$J,F$1)</f>
        <v>0</v>
      </c>
      <c r="G428" s="70">
        <f>COUNTIFS('Error Log'!$A:$A,$A428,'Error Log'!$J:$J,G$1)</f>
        <v>0</v>
      </c>
      <c r="H428" s="70">
        <f>COUNTIFS('Error Log'!$A:$A,$A428,'Error Log'!$F:$F,"Source")</f>
        <v>0</v>
      </c>
      <c r="I428" s="70">
        <f>COUNTIFS('Error Log'!$A:$A,$A428,'Error Log'!$F:$F,"Target")</f>
        <v>0</v>
      </c>
      <c r="J428" s="71">
        <f t="shared" si="7"/>
        <v>0</v>
      </c>
    </row>
    <row r="429" spans="1:10">
      <c r="A429" s="81"/>
      <c r="B429" s="70" t="str">
        <f>IF(ISBLANK(A429),"",INDEX('Error Log'!$A:$J,MATCH('Scores per segment'!$A429,'Error Log'!$A:$A,0),MATCH('Scores per segment'!B$1,'Error Log'!$A$1:$J$1,0)))</f>
        <v/>
      </c>
      <c r="C429" s="70" t="str">
        <f>IF(ISBLANK(A429),"",INDEX('Error Log'!$A:$J,MATCH('Scores per segment'!$A429,'Error Log'!$A:$A,0),MATCH('Scores per segment'!C$1,'Error Log'!$A$1:$J$1,0)))</f>
        <v/>
      </c>
      <c r="D429" s="70">
        <f>IF(H429=0,wdct(TRIM(C429)),0)</f>
        <v>0</v>
      </c>
      <c r="E429" s="70">
        <f>COUNTIFS('Error Log'!$A:$A,$A429,'Error Log'!$J:$J,E$1)</f>
        <v>0</v>
      </c>
      <c r="F429" s="70">
        <f>COUNTIFS('Error Log'!$A:$A,$A429,'Error Log'!$J:$J,F$1)</f>
        <v>0</v>
      </c>
      <c r="G429" s="70">
        <f>COUNTIFS('Error Log'!$A:$A,$A429,'Error Log'!$J:$J,G$1)</f>
        <v>0</v>
      </c>
      <c r="H429" s="70">
        <f>COUNTIFS('Error Log'!$A:$A,$A429,'Error Log'!$F:$F,"Source")</f>
        <v>0</v>
      </c>
      <c r="I429" s="70">
        <f>COUNTIFS('Error Log'!$A:$A,$A429,'Error Log'!$F:$F,"Target")</f>
        <v>0</v>
      </c>
      <c r="J429" s="71">
        <f t="shared" si="7"/>
        <v>0</v>
      </c>
    </row>
    <row r="430" spans="1:10">
      <c r="A430" s="81"/>
      <c r="B430" s="70" t="str">
        <f>IF(ISBLANK(A430),"",INDEX('Error Log'!$A:$J,MATCH('Scores per segment'!$A430,'Error Log'!$A:$A,0),MATCH('Scores per segment'!B$1,'Error Log'!$A$1:$J$1,0)))</f>
        <v/>
      </c>
      <c r="C430" s="70" t="str">
        <f>IF(ISBLANK(A430),"",INDEX('Error Log'!$A:$J,MATCH('Scores per segment'!$A430,'Error Log'!$A:$A,0),MATCH('Scores per segment'!C$1,'Error Log'!$A$1:$J$1,0)))</f>
        <v/>
      </c>
      <c r="D430" s="70">
        <f>IF(H430=0,wdct(TRIM(C430)),0)</f>
        <v>0</v>
      </c>
      <c r="E430" s="70">
        <f>COUNTIFS('Error Log'!$A:$A,$A430,'Error Log'!$J:$J,E$1)</f>
        <v>0</v>
      </c>
      <c r="F430" s="70">
        <f>COUNTIFS('Error Log'!$A:$A,$A430,'Error Log'!$J:$J,F$1)</f>
        <v>0</v>
      </c>
      <c r="G430" s="70">
        <f>COUNTIFS('Error Log'!$A:$A,$A430,'Error Log'!$J:$J,G$1)</f>
        <v>0</v>
      </c>
      <c r="H430" s="70">
        <f>COUNTIFS('Error Log'!$A:$A,$A430,'Error Log'!$F:$F,"Source")</f>
        <v>0</v>
      </c>
      <c r="I430" s="70">
        <f>COUNTIFS('Error Log'!$A:$A,$A430,'Error Log'!$F:$F,"Target")</f>
        <v>0</v>
      </c>
      <c r="J430" s="71">
        <f t="shared" si="7"/>
        <v>0</v>
      </c>
    </row>
    <row r="431" spans="1:10">
      <c r="A431" s="81"/>
      <c r="B431" s="70" t="str">
        <f>IF(ISBLANK(A431),"",INDEX('Error Log'!$A:$J,MATCH('Scores per segment'!$A431,'Error Log'!$A:$A,0),MATCH('Scores per segment'!B$1,'Error Log'!$A$1:$J$1,0)))</f>
        <v/>
      </c>
      <c r="C431" s="70" t="str">
        <f>IF(ISBLANK(A431),"",INDEX('Error Log'!$A:$J,MATCH('Scores per segment'!$A431,'Error Log'!$A:$A,0),MATCH('Scores per segment'!C$1,'Error Log'!$A$1:$J$1,0)))</f>
        <v/>
      </c>
      <c r="D431" s="70">
        <f>IF(H431=0,wdct(TRIM(C431)),0)</f>
        <v>0</v>
      </c>
      <c r="E431" s="70">
        <f>COUNTIFS('Error Log'!$A:$A,$A431,'Error Log'!$J:$J,E$1)</f>
        <v>0</v>
      </c>
      <c r="F431" s="70">
        <f>COUNTIFS('Error Log'!$A:$A,$A431,'Error Log'!$J:$J,F$1)</f>
        <v>0</v>
      </c>
      <c r="G431" s="70">
        <f>COUNTIFS('Error Log'!$A:$A,$A431,'Error Log'!$J:$J,G$1)</f>
        <v>0</v>
      </c>
      <c r="H431" s="70">
        <f>COUNTIFS('Error Log'!$A:$A,$A431,'Error Log'!$F:$F,"Source")</f>
        <v>0</v>
      </c>
      <c r="I431" s="70">
        <f>COUNTIFS('Error Log'!$A:$A,$A431,'Error Log'!$F:$F,"Target")</f>
        <v>0</v>
      </c>
      <c r="J431" s="71">
        <f t="shared" si="7"/>
        <v>0</v>
      </c>
    </row>
    <row r="432" spans="1:10">
      <c r="A432" s="81"/>
      <c r="B432" s="70" t="str">
        <f>IF(ISBLANK(A432),"",INDEX('Error Log'!$A:$J,MATCH('Scores per segment'!$A432,'Error Log'!$A:$A,0),MATCH('Scores per segment'!B$1,'Error Log'!$A$1:$J$1,0)))</f>
        <v/>
      </c>
      <c r="C432" s="70" t="str">
        <f>IF(ISBLANK(A432),"",INDEX('Error Log'!$A:$J,MATCH('Scores per segment'!$A432,'Error Log'!$A:$A,0),MATCH('Scores per segment'!C$1,'Error Log'!$A$1:$J$1,0)))</f>
        <v/>
      </c>
      <c r="D432" s="70">
        <f>IF(H432=0,wdct(TRIM(C432)),0)</f>
        <v>0</v>
      </c>
      <c r="E432" s="70">
        <f>COUNTIFS('Error Log'!$A:$A,$A432,'Error Log'!$J:$J,E$1)</f>
        <v>0</v>
      </c>
      <c r="F432" s="70">
        <f>COUNTIFS('Error Log'!$A:$A,$A432,'Error Log'!$J:$J,F$1)</f>
        <v>0</v>
      </c>
      <c r="G432" s="70">
        <f>COUNTIFS('Error Log'!$A:$A,$A432,'Error Log'!$J:$J,G$1)</f>
        <v>0</v>
      </c>
      <c r="H432" s="70">
        <f>COUNTIFS('Error Log'!$A:$A,$A432,'Error Log'!$F:$F,"Source")</f>
        <v>0</v>
      </c>
      <c r="I432" s="70">
        <f>COUNTIFS('Error Log'!$A:$A,$A432,'Error Log'!$F:$F,"Target")</f>
        <v>0</v>
      </c>
      <c r="J432" s="71">
        <f t="shared" si="7"/>
        <v>0</v>
      </c>
    </row>
    <row r="433" spans="1:10">
      <c r="A433" s="81"/>
      <c r="B433" s="70" t="str">
        <f>IF(ISBLANK(A433),"",INDEX('Error Log'!$A:$J,MATCH('Scores per segment'!$A433,'Error Log'!$A:$A,0),MATCH('Scores per segment'!B$1,'Error Log'!$A$1:$J$1,0)))</f>
        <v/>
      </c>
      <c r="C433" s="70" t="str">
        <f>IF(ISBLANK(A433),"",INDEX('Error Log'!$A:$J,MATCH('Scores per segment'!$A433,'Error Log'!$A:$A,0),MATCH('Scores per segment'!C$1,'Error Log'!$A$1:$J$1,0)))</f>
        <v/>
      </c>
      <c r="D433" s="70">
        <f>IF(H433=0,wdct(TRIM(C433)),0)</f>
        <v>0</v>
      </c>
      <c r="E433" s="70">
        <f>COUNTIFS('Error Log'!$A:$A,$A433,'Error Log'!$J:$J,E$1)</f>
        <v>0</v>
      </c>
      <c r="F433" s="70">
        <f>COUNTIFS('Error Log'!$A:$A,$A433,'Error Log'!$J:$J,F$1)</f>
        <v>0</v>
      </c>
      <c r="G433" s="70">
        <f>COUNTIFS('Error Log'!$A:$A,$A433,'Error Log'!$J:$J,G$1)</f>
        <v>0</v>
      </c>
      <c r="H433" s="70">
        <f>COUNTIFS('Error Log'!$A:$A,$A433,'Error Log'!$F:$F,"Source")</f>
        <v>0</v>
      </c>
      <c r="I433" s="70">
        <f>COUNTIFS('Error Log'!$A:$A,$A433,'Error Log'!$F:$F,"Target")</f>
        <v>0</v>
      </c>
      <c r="J433" s="71">
        <f t="shared" si="7"/>
        <v>0</v>
      </c>
    </row>
    <row r="434" spans="1:10">
      <c r="A434" s="81"/>
      <c r="B434" s="70" t="str">
        <f>IF(ISBLANK(A434),"",INDEX('Error Log'!$A:$J,MATCH('Scores per segment'!$A434,'Error Log'!$A:$A,0),MATCH('Scores per segment'!B$1,'Error Log'!$A$1:$J$1,0)))</f>
        <v/>
      </c>
      <c r="C434" s="70" t="str">
        <f>IF(ISBLANK(A434),"",INDEX('Error Log'!$A:$J,MATCH('Scores per segment'!$A434,'Error Log'!$A:$A,0),MATCH('Scores per segment'!C$1,'Error Log'!$A$1:$J$1,0)))</f>
        <v/>
      </c>
      <c r="D434" s="70">
        <f>IF(H434=0,wdct(TRIM(C434)),0)</f>
        <v>0</v>
      </c>
      <c r="E434" s="70">
        <f>COUNTIFS('Error Log'!$A:$A,$A434,'Error Log'!$J:$J,E$1)</f>
        <v>0</v>
      </c>
      <c r="F434" s="70">
        <f>COUNTIFS('Error Log'!$A:$A,$A434,'Error Log'!$J:$J,F$1)</f>
        <v>0</v>
      </c>
      <c r="G434" s="70">
        <f>COUNTIFS('Error Log'!$A:$A,$A434,'Error Log'!$J:$J,G$1)</f>
        <v>0</v>
      </c>
      <c r="H434" s="70">
        <f>COUNTIFS('Error Log'!$A:$A,$A434,'Error Log'!$F:$F,"Source")</f>
        <v>0</v>
      </c>
      <c r="I434" s="70">
        <f>COUNTIFS('Error Log'!$A:$A,$A434,'Error Log'!$F:$F,"Target")</f>
        <v>0</v>
      </c>
      <c r="J434" s="71">
        <f t="shared" si="7"/>
        <v>0</v>
      </c>
    </row>
    <row r="435" spans="1:10">
      <c r="A435" s="81"/>
      <c r="B435" s="70" t="str">
        <f>IF(ISBLANK(A435),"",INDEX('Error Log'!$A:$J,MATCH('Scores per segment'!$A435,'Error Log'!$A:$A,0),MATCH('Scores per segment'!B$1,'Error Log'!$A$1:$J$1,0)))</f>
        <v/>
      </c>
      <c r="C435" s="70" t="str">
        <f>IF(ISBLANK(A435),"",INDEX('Error Log'!$A:$J,MATCH('Scores per segment'!$A435,'Error Log'!$A:$A,0),MATCH('Scores per segment'!C$1,'Error Log'!$A$1:$J$1,0)))</f>
        <v/>
      </c>
      <c r="D435" s="70">
        <f>IF(H435=0,wdct(TRIM(C435)),0)</f>
        <v>0</v>
      </c>
      <c r="E435" s="70">
        <f>COUNTIFS('Error Log'!$A:$A,$A435,'Error Log'!$J:$J,E$1)</f>
        <v>0</v>
      </c>
      <c r="F435" s="70">
        <f>COUNTIFS('Error Log'!$A:$A,$A435,'Error Log'!$J:$J,F$1)</f>
        <v>0</v>
      </c>
      <c r="G435" s="70">
        <f>COUNTIFS('Error Log'!$A:$A,$A435,'Error Log'!$J:$J,G$1)</f>
        <v>0</v>
      </c>
      <c r="H435" s="70">
        <f>COUNTIFS('Error Log'!$A:$A,$A435,'Error Log'!$F:$F,"Source")</f>
        <v>0</v>
      </c>
      <c r="I435" s="70">
        <f>COUNTIFS('Error Log'!$A:$A,$A435,'Error Log'!$F:$F,"Target")</f>
        <v>0</v>
      </c>
      <c r="J435" s="71">
        <f t="shared" si="7"/>
        <v>0</v>
      </c>
    </row>
    <row r="436" spans="1:10">
      <c r="A436" s="81"/>
      <c r="B436" s="70" t="str">
        <f>IF(ISBLANK(A436),"",INDEX('Error Log'!$A:$J,MATCH('Scores per segment'!$A436,'Error Log'!$A:$A,0),MATCH('Scores per segment'!B$1,'Error Log'!$A$1:$J$1,0)))</f>
        <v/>
      </c>
      <c r="C436" s="70" t="str">
        <f>IF(ISBLANK(A436),"",INDEX('Error Log'!$A:$J,MATCH('Scores per segment'!$A436,'Error Log'!$A:$A,0),MATCH('Scores per segment'!C$1,'Error Log'!$A$1:$J$1,0)))</f>
        <v/>
      </c>
      <c r="D436" s="70">
        <f>IF(H436=0,wdct(TRIM(C436)),0)</f>
        <v>0</v>
      </c>
      <c r="E436" s="70">
        <f>COUNTIFS('Error Log'!$A:$A,$A436,'Error Log'!$J:$J,E$1)</f>
        <v>0</v>
      </c>
      <c r="F436" s="70">
        <f>COUNTIFS('Error Log'!$A:$A,$A436,'Error Log'!$J:$J,F$1)</f>
        <v>0</v>
      </c>
      <c r="G436" s="70">
        <f>COUNTIFS('Error Log'!$A:$A,$A436,'Error Log'!$J:$J,G$1)</f>
        <v>0</v>
      </c>
      <c r="H436" s="70">
        <f>COUNTIFS('Error Log'!$A:$A,$A436,'Error Log'!$F:$F,"Source")</f>
        <v>0</v>
      </c>
      <c r="I436" s="70">
        <f>COUNTIFS('Error Log'!$A:$A,$A436,'Error Log'!$F:$F,"Target")</f>
        <v>0</v>
      </c>
      <c r="J436" s="71">
        <f t="shared" si="7"/>
        <v>0</v>
      </c>
    </row>
    <row r="437" spans="1:10">
      <c r="A437" s="81"/>
      <c r="B437" s="70" t="str">
        <f>IF(ISBLANK(A437),"",INDEX('Error Log'!$A:$J,MATCH('Scores per segment'!$A437,'Error Log'!$A:$A,0),MATCH('Scores per segment'!B$1,'Error Log'!$A$1:$J$1,0)))</f>
        <v/>
      </c>
      <c r="C437" s="70" t="str">
        <f>IF(ISBLANK(A437),"",INDEX('Error Log'!$A:$J,MATCH('Scores per segment'!$A437,'Error Log'!$A:$A,0),MATCH('Scores per segment'!C$1,'Error Log'!$A$1:$J$1,0)))</f>
        <v/>
      </c>
      <c r="D437" s="70">
        <f>IF(H437=0,wdct(TRIM(C437)),0)</f>
        <v>0</v>
      </c>
      <c r="E437" s="70">
        <f>COUNTIFS('Error Log'!$A:$A,$A437,'Error Log'!$J:$J,E$1)</f>
        <v>0</v>
      </c>
      <c r="F437" s="70">
        <f>COUNTIFS('Error Log'!$A:$A,$A437,'Error Log'!$J:$J,F$1)</f>
        <v>0</v>
      </c>
      <c r="G437" s="70">
        <f>COUNTIFS('Error Log'!$A:$A,$A437,'Error Log'!$J:$J,G$1)</f>
        <v>0</v>
      </c>
      <c r="H437" s="70">
        <f>COUNTIFS('Error Log'!$A:$A,$A437,'Error Log'!$F:$F,"Source")</f>
        <v>0</v>
      </c>
      <c r="I437" s="70">
        <f>COUNTIFS('Error Log'!$A:$A,$A437,'Error Log'!$F:$F,"Target")</f>
        <v>0</v>
      </c>
      <c r="J437" s="71">
        <f t="shared" si="7"/>
        <v>0</v>
      </c>
    </row>
    <row r="438" spans="1:10">
      <c r="A438" s="81"/>
      <c r="B438" s="70" t="str">
        <f>IF(ISBLANK(A438),"",INDEX('Error Log'!$A:$J,MATCH('Scores per segment'!$A438,'Error Log'!$A:$A,0),MATCH('Scores per segment'!B$1,'Error Log'!$A$1:$J$1,0)))</f>
        <v/>
      </c>
      <c r="C438" s="70" t="str">
        <f>IF(ISBLANK(A438),"",INDEX('Error Log'!$A:$J,MATCH('Scores per segment'!$A438,'Error Log'!$A:$A,0),MATCH('Scores per segment'!C$1,'Error Log'!$A$1:$J$1,0)))</f>
        <v/>
      </c>
      <c r="D438" s="70">
        <f>IF(H438=0,wdct(TRIM(C438)),0)</f>
        <v>0</v>
      </c>
      <c r="E438" s="70">
        <f>COUNTIFS('Error Log'!$A:$A,$A438,'Error Log'!$J:$J,E$1)</f>
        <v>0</v>
      </c>
      <c r="F438" s="70">
        <f>COUNTIFS('Error Log'!$A:$A,$A438,'Error Log'!$J:$J,F$1)</f>
        <v>0</v>
      </c>
      <c r="G438" s="70">
        <f>COUNTIFS('Error Log'!$A:$A,$A438,'Error Log'!$J:$J,G$1)</f>
        <v>0</v>
      </c>
      <c r="H438" s="70">
        <f>COUNTIFS('Error Log'!$A:$A,$A438,'Error Log'!$F:$F,"Source")</f>
        <v>0</v>
      </c>
      <c r="I438" s="70">
        <f>COUNTIFS('Error Log'!$A:$A,$A438,'Error Log'!$F:$F,"Target")</f>
        <v>0</v>
      </c>
      <c r="J438" s="71">
        <f t="shared" si="7"/>
        <v>0</v>
      </c>
    </row>
    <row r="439" spans="1:10">
      <c r="A439" s="81"/>
      <c r="B439" s="70" t="str">
        <f>IF(ISBLANK(A439),"",INDEX('Error Log'!$A:$J,MATCH('Scores per segment'!$A439,'Error Log'!$A:$A,0),MATCH('Scores per segment'!B$1,'Error Log'!$A$1:$J$1,0)))</f>
        <v/>
      </c>
      <c r="C439" s="70" t="str">
        <f>IF(ISBLANK(A439),"",INDEX('Error Log'!$A:$J,MATCH('Scores per segment'!$A439,'Error Log'!$A:$A,0),MATCH('Scores per segment'!C$1,'Error Log'!$A$1:$J$1,0)))</f>
        <v/>
      </c>
      <c r="D439" s="70">
        <f>IF(H439=0,wdct(TRIM(C439)),0)</f>
        <v>0</v>
      </c>
      <c r="E439" s="70">
        <f>COUNTIFS('Error Log'!$A:$A,$A439,'Error Log'!$J:$J,E$1)</f>
        <v>0</v>
      </c>
      <c r="F439" s="70">
        <f>COUNTIFS('Error Log'!$A:$A,$A439,'Error Log'!$J:$J,F$1)</f>
        <v>0</v>
      </c>
      <c r="G439" s="70">
        <f>COUNTIFS('Error Log'!$A:$A,$A439,'Error Log'!$J:$J,G$1)</f>
        <v>0</v>
      </c>
      <c r="H439" s="70">
        <f>COUNTIFS('Error Log'!$A:$A,$A439,'Error Log'!$F:$F,"Source")</f>
        <v>0</v>
      </c>
      <c r="I439" s="70">
        <f>COUNTIFS('Error Log'!$A:$A,$A439,'Error Log'!$F:$F,"Target")</f>
        <v>0</v>
      </c>
      <c r="J439" s="71">
        <f t="shared" si="7"/>
        <v>0</v>
      </c>
    </row>
    <row r="440" spans="1:10">
      <c r="A440" s="81"/>
      <c r="B440" s="70" t="str">
        <f>IF(ISBLANK(A440),"",INDEX('Error Log'!$A:$J,MATCH('Scores per segment'!$A440,'Error Log'!$A:$A,0),MATCH('Scores per segment'!B$1,'Error Log'!$A$1:$J$1,0)))</f>
        <v/>
      </c>
      <c r="C440" s="70" t="str">
        <f>IF(ISBLANK(A440),"",INDEX('Error Log'!$A:$J,MATCH('Scores per segment'!$A440,'Error Log'!$A:$A,0),MATCH('Scores per segment'!C$1,'Error Log'!$A$1:$J$1,0)))</f>
        <v/>
      </c>
      <c r="D440" s="70">
        <f>IF(H440=0,wdct(TRIM(C440)),0)</f>
        <v>0</v>
      </c>
      <c r="E440" s="70">
        <f>COUNTIFS('Error Log'!$A:$A,$A440,'Error Log'!$J:$J,E$1)</f>
        <v>0</v>
      </c>
      <c r="F440" s="70">
        <f>COUNTIFS('Error Log'!$A:$A,$A440,'Error Log'!$J:$J,F$1)</f>
        <v>0</v>
      </c>
      <c r="G440" s="70">
        <f>COUNTIFS('Error Log'!$A:$A,$A440,'Error Log'!$J:$J,G$1)</f>
        <v>0</v>
      </c>
      <c r="H440" s="70">
        <f>COUNTIFS('Error Log'!$A:$A,$A440,'Error Log'!$F:$F,"Source")</f>
        <v>0</v>
      </c>
      <c r="I440" s="70">
        <f>COUNTIFS('Error Log'!$A:$A,$A440,'Error Log'!$F:$F,"Target")</f>
        <v>0</v>
      </c>
      <c r="J440" s="71">
        <f t="shared" si="7"/>
        <v>0</v>
      </c>
    </row>
    <row r="441" spans="1:10">
      <c r="A441" s="81"/>
      <c r="B441" s="70" t="str">
        <f>IF(ISBLANK(A441),"",INDEX('Error Log'!$A:$J,MATCH('Scores per segment'!$A441,'Error Log'!$A:$A,0),MATCH('Scores per segment'!B$1,'Error Log'!$A$1:$J$1,0)))</f>
        <v/>
      </c>
      <c r="C441" s="70" t="str">
        <f>IF(ISBLANK(A441),"",INDEX('Error Log'!$A:$J,MATCH('Scores per segment'!$A441,'Error Log'!$A:$A,0),MATCH('Scores per segment'!C$1,'Error Log'!$A$1:$J$1,0)))</f>
        <v/>
      </c>
      <c r="D441" s="70">
        <f>IF(H441=0,wdct(TRIM(C441)),0)</f>
        <v>0</v>
      </c>
      <c r="E441" s="70">
        <f>COUNTIFS('Error Log'!$A:$A,$A441,'Error Log'!$J:$J,E$1)</f>
        <v>0</v>
      </c>
      <c r="F441" s="70">
        <f>COUNTIFS('Error Log'!$A:$A,$A441,'Error Log'!$J:$J,F$1)</f>
        <v>0</v>
      </c>
      <c r="G441" s="70">
        <f>COUNTIFS('Error Log'!$A:$A,$A441,'Error Log'!$J:$J,G$1)</f>
        <v>0</v>
      </c>
      <c r="H441" s="70">
        <f>COUNTIFS('Error Log'!$A:$A,$A441,'Error Log'!$F:$F,"Source")</f>
        <v>0</v>
      </c>
      <c r="I441" s="70">
        <f>COUNTIFS('Error Log'!$A:$A,$A441,'Error Log'!$F:$F,"Target")</f>
        <v>0</v>
      </c>
      <c r="J441" s="71">
        <f t="shared" si="7"/>
        <v>0</v>
      </c>
    </row>
    <row r="442" spans="1:10">
      <c r="A442" s="81"/>
      <c r="B442" s="70" t="str">
        <f>IF(ISBLANK(A442),"",INDEX('Error Log'!$A:$J,MATCH('Scores per segment'!$A442,'Error Log'!$A:$A,0),MATCH('Scores per segment'!B$1,'Error Log'!$A$1:$J$1,0)))</f>
        <v/>
      </c>
      <c r="C442" s="70" t="str">
        <f>IF(ISBLANK(A442),"",INDEX('Error Log'!$A:$J,MATCH('Scores per segment'!$A442,'Error Log'!$A:$A,0),MATCH('Scores per segment'!C$1,'Error Log'!$A$1:$J$1,0)))</f>
        <v/>
      </c>
      <c r="D442" s="70">
        <f>IF(H442=0,wdct(TRIM(C442)),0)</f>
        <v>0</v>
      </c>
      <c r="E442" s="70">
        <f>COUNTIFS('Error Log'!$A:$A,$A442,'Error Log'!$J:$J,E$1)</f>
        <v>0</v>
      </c>
      <c r="F442" s="70">
        <f>COUNTIFS('Error Log'!$A:$A,$A442,'Error Log'!$J:$J,F$1)</f>
        <v>0</v>
      </c>
      <c r="G442" s="70">
        <f>COUNTIFS('Error Log'!$A:$A,$A442,'Error Log'!$J:$J,G$1)</f>
        <v>0</v>
      </c>
      <c r="H442" s="70">
        <f>COUNTIFS('Error Log'!$A:$A,$A442,'Error Log'!$F:$F,"Source")</f>
        <v>0</v>
      </c>
      <c r="I442" s="70">
        <f>COUNTIFS('Error Log'!$A:$A,$A442,'Error Log'!$F:$F,"Target")</f>
        <v>0</v>
      </c>
      <c r="J442" s="71">
        <f t="shared" si="7"/>
        <v>0</v>
      </c>
    </row>
    <row r="443" spans="1:10">
      <c r="A443" s="81"/>
      <c r="B443" s="70" t="str">
        <f>IF(ISBLANK(A443),"",INDEX('Error Log'!$A:$J,MATCH('Scores per segment'!$A443,'Error Log'!$A:$A,0),MATCH('Scores per segment'!B$1,'Error Log'!$A$1:$J$1,0)))</f>
        <v/>
      </c>
      <c r="C443" s="70" t="str">
        <f>IF(ISBLANK(A443),"",INDEX('Error Log'!$A:$J,MATCH('Scores per segment'!$A443,'Error Log'!$A:$A,0),MATCH('Scores per segment'!C$1,'Error Log'!$A$1:$J$1,0)))</f>
        <v/>
      </c>
      <c r="D443" s="70">
        <f>IF(H443=0,wdct(TRIM(C443)),0)</f>
        <v>0</v>
      </c>
      <c r="E443" s="70">
        <f>COUNTIFS('Error Log'!$A:$A,$A443,'Error Log'!$J:$J,E$1)</f>
        <v>0</v>
      </c>
      <c r="F443" s="70">
        <f>COUNTIFS('Error Log'!$A:$A,$A443,'Error Log'!$J:$J,F$1)</f>
        <v>0</v>
      </c>
      <c r="G443" s="70">
        <f>COUNTIFS('Error Log'!$A:$A,$A443,'Error Log'!$J:$J,G$1)</f>
        <v>0</v>
      </c>
      <c r="H443" s="70">
        <f>COUNTIFS('Error Log'!$A:$A,$A443,'Error Log'!$F:$F,"Source")</f>
        <v>0</v>
      </c>
      <c r="I443" s="70">
        <f>COUNTIFS('Error Log'!$A:$A,$A443,'Error Log'!$F:$F,"Target")</f>
        <v>0</v>
      </c>
      <c r="J443" s="71">
        <f t="shared" si="7"/>
        <v>0</v>
      </c>
    </row>
    <row r="444" spans="1:10">
      <c r="A444" s="81"/>
      <c r="B444" s="70" t="str">
        <f>IF(ISBLANK(A444),"",INDEX('Error Log'!$A:$J,MATCH('Scores per segment'!$A444,'Error Log'!$A:$A,0),MATCH('Scores per segment'!B$1,'Error Log'!$A$1:$J$1,0)))</f>
        <v/>
      </c>
      <c r="C444" s="70" t="str">
        <f>IF(ISBLANK(A444),"",INDEX('Error Log'!$A:$J,MATCH('Scores per segment'!$A444,'Error Log'!$A:$A,0),MATCH('Scores per segment'!C$1,'Error Log'!$A$1:$J$1,0)))</f>
        <v/>
      </c>
      <c r="D444" s="70">
        <f>IF(H444=0,wdct(TRIM(C444)),0)</f>
        <v>0</v>
      </c>
      <c r="E444" s="70">
        <f>COUNTIFS('Error Log'!$A:$A,$A444,'Error Log'!$J:$J,E$1)</f>
        <v>0</v>
      </c>
      <c r="F444" s="70">
        <f>COUNTIFS('Error Log'!$A:$A,$A444,'Error Log'!$J:$J,F$1)</f>
        <v>0</v>
      </c>
      <c r="G444" s="70">
        <f>COUNTIFS('Error Log'!$A:$A,$A444,'Error Log'!$J:$J,G$1)</f>
        <v>0</v>
      </c>
      <c r="H444" s="70">
        <f>COUNTIFS('Error Log'!$A:$A,$A444,'Error Log'!$F:$F,"Source")</f>
        <v>0</v>
      </c>
      <c r="I444" s="70">
        <f>COUNTIFS('Error Log'!$A:$A,$A444,'Error Log'!$F:$F,"Target")</f>
        <v>0</v>
      </c>
      <c r="J444" s="71">
        <f t="shared" si="7"/>
        <v>0</v>
      </c>
    </row>
    <row r="445" spans="1:10">
      <c r="A445" s="81"/>
      <c r="B445" s="70" t="str">
        <f>IF(ISBLANK(A445),"",INDEX('Error Log'!$A:$J,MATCH('Scores per segment'!$A445,'Error Log'!$A:$A,0),MATCH('Scores per segment'!B$1,'Error Log'!$A$1:$J$1,0)))</f>
        <v/>
      </c>
      <c r="C445" s="70" t="str">
        <f>IF(ISBLANK(A445),"",INDEX('Error Log'!$A:$J,MATCH('Scores per segment'!$A445,'Error Log'!$A:$A,0),MATCH('Scores per segment'!C$1,'Error Log'!$A$1:$J$1,0)))</f>
        <v/>
      </c>
      <c r="D445" s="70">
        <f>IF(H445=0,wdct(TRIM(C445)),0)</f>
        <v>0</v>
      </c>
      <c r="E445" s="70">
        <f>COUNTIFS('Error Log'!$A:$A,$A445,'Error Log'!$J:$J,E$1)</f>
        <v>0</v>
      </c>
      <c r="F445" s="70">
        <f>COUNTIFS('Error Log'!$A:$A,$A445,'Error Log'!$J:$J,F$1)</f>
        <v>0</v>
      </c>
      <c r="G445" s="70">
        <f>COUNTIFS('Error Log'!$A:$A,$A445,'Error Log'!$J:$J,G$1)</f>
        <v>0</v>
      </c>
      <c r="H445" s="70">
        <f>COUNTIFS('Error Log'!$A:$A,$A445,'Error Log'!$F:$F,"Source")</f>
        <v>0</v>
      </c>
      <c r="I445" s="70">
        <f>COUNTIFS('Error Log'!$A:$A,$A445,'Error Log'!$F:$F,"Target")</f>
        <v>0</v>
      </c>
      <c r="J445" s="71">
        <f t="shared" si="7"/>
        <v>0</v>
      </c>
    </row>
    <row r="446" spans="1:10">
      <c r="A446" s="81"/>
      <c r="B446" s="70" t="str">
        <f>IF(ISBLANK(A446),"",INDEX('Error Log'!$A:$J,MATCH('Scores per segment'!$A446,'Error Log'!$A:$A,0),MATCH('Scores per segment'!B$1,'Error Log'!$A$1:$J$1,0)))</f>
        <v/>
      </c>
      <c r="C446" s="70" t="str">
        <f>IF(ISBLANK(A446),"",INDEX('Error Log'!$A:$J,MATCH('Scores per segment'!$A446,'Error Log'!$A:$A,0),MATCH('Scores per segment'!C$1,'Error Log'!$A$1:$J$1,0)))</f>
        <v/>
      </c>
      <c r="D446" s="70">
        <f>IF(H446=0,wdct(TRIM(C446)),0)</f>
        <v>0</v>
      </c>
      <c r="E446" s="70">
        <f>COUNTIFS('Error Log'!$A:$A,$A446,'Error Log'!$J:$J,E$1)</f>
        <v>0</v>
      </c>
      <c r="F446" s="70">
        <f>COUNTIFS('Error Log'!$A:$A,$A446,'Error Log'!$J:$J,F$1)</f>
        <v>0</v>
      </c>
      <c r="G446" s="70">
        <f>COUNTIFS('Error Log'!$A:$A,$A446,'Error Log'!$J:$J,G$1)</f>
        <v>0</v>
      </c>
      <c r="H446" s="70">
        <f>COUNTIFS('Error Log'!$A:$A,$A446,'Error Log'!$F:$F,"Source")</f>
        <v>0</v>
      </c>
      <c r="I446" s="70">
        <f>COUNTIFS('Error Log'!$A:$A,$A446,'Error Log'!$F:$F,"Target")</f>
        <v>0</v>
      </c>
      <c r="J446" s="71">
        <f t="shared" si="7"/>
        <v>0</v>
      </c>
    </row>
    <row r="447" spans="1:10">
      <c r="A447" s="81"/>
      <c r="B447" s="70" t="str">
        <f>IF(ISBLANK(A447),"",INDEX('Error Log'!$A:$J,MATCH('Scores per segment'!$A447,'Error Log'!$A:$A,0),MATCH('Scores per segment'!B$1,'Error Log'!$A$1:$J$1,0)))</f>
        <v/>
      </c>
      <c r="C447" s="70" t="str">
        <f>IF(ISBLANK(A447),"",INDEX('Error Log'!$A:$J,MATCH('Scores per segment'!$A447,'Error Log'!$A:$A,0),MATCH('Scores per segment'!C$1,'Error Log'!$A$1:$J$1,0)))</f>
        <v/>
      </c>
      <c r="D447" s="70">
        <f>IF(H447=0,wdct(TRIM(C447)),0)</f>
        <v>0</v>
      </c>
      <c r="E447" s="70">
        <f>COUNTIFS('Error Log'!$A:$A,$A447,'Error Log'!$J:$J,E$1)</f>
        <v>0</v>
      </c>
      <c r="F447" s="70">
        <f>COUNTIFS('Error Log'!$A:$A,$A447,'Error Log'!$J:$J,F$1)</f>
        <v>0</v>
      </c>
      <c r="G447" s="70">
        <f>COUNTIFS('Error Log'!$A:$A,$A447,'Error Log'!$J:$J,G$1)</f>
        <v>0</v>
      </c>
      <c r="H447" s="70">
        <f>COUNTIFS('Error Log'!$A:$A,$A447,'Error Log'!$F:$F,"Source")</f>
        <v>0</v>
      </c>
      <c r="I447" s="70">
        <f>COUNTIFS('Error Log'!$A:$A,$A447,'Error Log'!$F:$F,"Target")</f>
        <v>0</v>
      </c>
      <c r="J447" s="71">
        <f t="shared" si="7"/>
        <v>0</v>
      </c>
    </row>
    <row r="448" spans="1:10">
      <c r="A448" s="81"/>
      <c r="B448" s="70" t="str">
        <f>IF(ISBLANK(A448),"",INDEX('Error Log'!$A:$J,MATCH('Scores per segment'!$A448,'Error Log'!$A:$A,0),MATCH('Scores per segment'!B$1,'Error Log'!$A$1:$J$1,0)))</f>
        <v/>
      </c>
      <c r="C448" s="70" t="str">
        <f>IF(ISBLANK(A448),"",INDEX('Error Log'!$A:$J,MATCH('Scores per segment'!$A448,'Error Log'!$A:$A,0),MATCH('Scores per segment'!C$1,'Error Log'!$A$1:$J$1,0)))</f>
        <v/>
      </c>
      <c r="D448" s="70">
        <f>IF(H448=0,wdct(TRIM(C448)),0)</f>
        <v>0</v>
      </c>
      <c r="E448" s="70">
        <f>COUNTIFS('Error Log'!$A:$A,$A448,'Error Log'!$J:$J,E$1)</f>
        <v>0</v>
      </c>
      <c r="F448" s="70">
        <f>COUNTIFS('Error Log'!$A:$A,$A448,'Error Log'!$J:$J,F$1)</f>
        <v>0</v>
      </c>
      <c r="G448" s="70">
        <f>COUNTIFS('Error Log'!$A:$A,$A448,'Error Log'!$J:$J,G$1)</f>
        <v>0</v>
      </c>
      <c r="H448" s="70">
        <f>COUNTIFS('Error Log'!$A:$A,$A448,'Error Log'!$F:$F,"Source")</f>
        <v>0</v>
      </c>
      <c r="I448" s="70">
        <f>COUNTIFS('Error Log'!$A:$A,$A448,'Error Log'!$F:$F,"Target")</f>
        <v>0</v>
      </c>
      <c r="J448" s="71">
        <f t="shared" si="7"/>
        <v>0</v>
      </c>
    </row>
    <row r="449" spans="1:10">
      <c r="A449" s="81"/>
      <c r="B449" s="70" t="str">
        <f>IF(ISBLANK(A449),"",INDEX('Error Log'!$A:$J,MATCH('Scores per segment'!$A449,'Error Log'!$A:$A,0),MATCH('Scores per segment'!B$1,'Error Log'!$A$1:$J$1,0)))</f>
        <v/>
      </c>
      <c r="C449" s="70" t="str">
        <f>IF(ISBLANK(A449),"",INDEX('Error Log'!$A:$J,MATCH('Scores per segment'!$A449,'Error Log'!$A:$A,0),MATCH('Scores per segment'!C$1,'Error Log'!$A$1:$J$1,0)))</f>
        <v/>
      </c>
      <c r="D449" s="70">
        <f>IF(H449=0,wdct(TRIM(C449)),0)</f>
        <v>0</v>
      </c>
      <c r="E449" s="70">
        <f>COUNTIFS('Error Log'!$A:$A,$A449,'Error Log'!$J:$J,E$1)</f>
        <v>0</v>
      </c>
      <c r="F449" s="70">
        <f>COUNTIFS('Error Log'!$A:$A,$A449,'Error Log'!$J:$J,F$1)</f>
        <v>0</v>
      </c>
      <c r="G449" s="70">
        <f>COUNTIFS('Error Log'!$A:$A,$A449,'Error Log'!$J:$J,G$1)</f>
        <v>0</v>
      </c>
      <c r="H449" s="70">
        <f>COUNTIFS('Error Log'!$A:$A,$A449,'Error Log'!$F:$F,"Source")</f>
        <v>0</v>
      </c>
      <c r="I449" s="70">
        <f>COUNTIFS('Error Log'!$A:$A,$A449,'Error Log'!$F:$F,"Target")</f>
        <v>0</v>
      </c>
      <c r="J449" s="71">
        <f t="shared" si="7"/>
        <v>0</v>
      </c>
    </row>
    <row r="450" spans="1:10">
      <c r="A450" s="81"/>
      <c r="B450" s="70" t="str">
        <f>IF(ISBLANK(A450),"",INDEX('Error Log'!$A:$J,MATCH('Scores per segment'!$A450,'Error Log'!$A:$A,0),MATCH('Scores per segment'!B$1,'Error Log'!$A$1:$J$1,0)))</f>
        <v/>
      </c>
      <c r="C450" s="70" t="str">
        <f>IF(ISBLANK(A450),"",INDEX('Error Log'!$A:$J,MATCH('Scores per segment'!$A450,'Error Log'!$A:$A,0),MATCH('Scores per segment'!C$1,'Error Log'!$A$1:$J$1,0)))</f>
        <v/>
      </c>
      <c r="D450" s="70">
        <f>IF(H450=0,wdct(TRIM(C450)),0)</f>
        <v>0</v>
      </c>
      <c r="E450" s="70">
        <f>COUNTIFS('Error Log'!$A:$A,$A450,'Error Log'!$J:$J,E$1)</f>
        <v>0</v>
      </c>
      <c r="F450" s="70">
        <f>COUNTIFS('Error Log'!$A:$A,$A450,'Error Log'!$J:$J,F$1)</f>
        <v>0</v>
      </c>
      <c r="G450" s="70">
        <f>COUNTIFS('Error Log'!$A:$A,$A450,'Error Log'!$J:$J,G$1)</f>
        <v>0</v>
      </c>
      <c r="H450" s="70">
        <f>COUNTIFS('Error Log'!$A:$A,$A450,'Error Log'!$F:$F,"Source")</f>
        <v>0</v>
      </c>
      <c r="I450" s="70">
        <f>COUNTIFS('Error Log'!$A:$A,$A450,'Error Log'!$F:$F,"Target")</f>
        <v>0</v>
      </c>
      <c r="J450" s="71">
        <f t="shared" ref="J450:J501" si="8">IF(I450=0,IFERROR((((1-((E450*10+F450*5+G450*1)/D450))*100)+100)/2,0),-150)</f>
        <v>0</v>
      </c>
    </row>
    <row r="451" spans="1:10">
      <c r="A451" s="81"/>
      <c r="B451" s="70" t="str">
        <f>IF(ISBLANK(A451),"",INDEX('Error Log'!$A:$J,MATCH('Scores per segment'!$A451,'Error Log'!$A:$A,0),MATCH('Scores per segment'!B$1,'Error Log'!$A$1:$J$1,0)))</f>
        <v/>
      </c>
      <c r="C451" s="70" t="str">
        <f>IF(ISBLANK(A451),"",INDEX('Error Log'!$A:$J,MATCH('Scores per segment'!$A451,'Error Log'!$A:$A,0),MATCH('Scores per segment'!C$1,'Error Log'!$A$1:$J$1,0)))</f>
        <v/>
      </c>
      <c r="D451" s="70">
        <f>IF(H451=0,wdct(TRIM(C451)),0)</f>
        <v>0</v>
      </c>
      <c r="E451" s="70">
        <f>COUNTIFS('Error Log'!$A:$A,$A451,'Error Log'!$J:$J,E$1)</f>
        <v>0</v>
      </c>
      <c r="F451" s="70">
        <f>COUNTIFS('Error Log'!$A:$A,$A451,'Error Log'!$J:$J,F$1)</f>
        <v>0</v>
      </c>
      <c r="G451" s="70">
        <f>COUNTIFS('Error Log'!$A:$A,$A451,'Error Log'!$J:$J,G$1)</f>
        <v>0</v>
      </c>
      <c r="H451" s="70">
        <f>COUNTIFS('Error Log'!$A:$A,$A451,'Error Log'!$F:$F,"Source")</f>
        <v>0</v>
      </c>
      <c r="I451" s="70">
        <f>COUNTIFS('Error Log'!$A:$A,$A451,'Error Log'!$F:$F,"Target")</f>
        <v>0</v>
      </c>
      <c r="J451" s="71">
        <f t="shared" si="8"/>
        <v>0</v>
      </c>
    </row>
    <row r="452" spans="1:10">
      <c r="A452" s="81"/>
      <c r="B452" s="70" t="str">
        <f>IF(ISBLANK(A452),"",INDEX('Error Log'!$A:$J,MATCH('Scores per segment'!$A452,'Error Log'!$A:$A,0),MATCH('Scores per segment'!B$1,'Error Log'!$A$1:$J$1,0)))</f>
        <v/>
      </c>
      <c r="C452" s="70" t="str">
        <f>IF(ISBLANK(A452),"",INDEX('Error Log'!$A:$J,MATCH('Scores per segment'!$A452,'Error Log'!$A:$A,0),MATCH('Scores per segment'!C$1,'Error Log'!$A$1:$J$1,0)))</f>
        <v/>
      </c>
      <c r="D452" s="70">
        <f>IF(H452=0,wdct(TRIM(C452)),0)</f>
        <v>0</v>
      </c>
      <c r="E452" s="70">
        <f>COUNTIFS('Error Log'!$A:$A,$A452,'Error Log'!$J:$J,E$1)</f>
        <v>0</v>
      </c>
      <c r="F452" s="70">
        <f>COUNTIFS('Error Log'!$A:$A,$A452,'Error Log'!$J:$J,F$1)</f>
        <v>0</v>
      </c>
      <c r="G452" s="70">
        <f>COUNTIFS('Error Log'!$A:$A,$A452,'Error Log'!$J:$J,G$1)</f>
        <v>0</v>
      </c>
      <c r="H452" s="70">
        <f>COUNTIFS('Error Log'!$A:$A,$A452,'Error Log'!$F:$F,"Source")</f>
        <v>0</v>
      </c>
      <c r="I452" s="70">
        <f>COUNTIFS('Error Log'!$A:$A,$A452,'Error Log'!$F:$F,"Target")</f>
        <v>0</v>
      </c>
      <c r="J452" s="71">
        <f t="shared" si="8"/>
        <v>0</v>
      </c>
    </row>
    <row r="453" spans="1:10">
      <c r="A453" s="81"/>
      <c r="B453" s="70" t="str">
        <f>IF(ISBLANK(A453),"",INDEX('Error Log'!$A:$J,MATCH('Scores per segment'!$A453,'Error Log'!$A:$A,0),MATCH('Scores per segment'!B$1,'Error Log'!$A$1:$J$1,0)))</f>
        <v/>
      </c>
      <c r="C453" s="70" t="str">
        <f>IF(ISBLANK(A453),"",INDEX('Error Log'!$A:$J,MATCH('Scores per segment'!$A453,'Error Log'!$A:$A,0),MATCH('Scores per segment'!C$1,'Error Log'!$A$1:$J$1,0)))</f>
        <v/>
      </c>
      <c r="D453" s="70">
        <f>IF(H453=0,wdct(TRIM(C453)),0)</f>
        <v>0</v>
      </c>
      <c r="E453" s="70">
        <f>COUNTIFS('Error Log'!$A:$A,$A453,'Error Log'!$J:$J,E$1)</f>
        <v>0</v>
      </c>
      <c r="F453" s="70">
        <f>COUNTIFS('Error Log'!$A:$A,$A453,'Error Log'!$J:$J,F$1)</f>
        <v>0</v>
      </c>
      <c r="G453" s="70">
        <f>COUNTIFS('Error Log'!$A:$A,$A453,'Error Log'!$J:$J,G$1)</f>
        <v>0</v>
      </c>
      <c r="H453" s="70">
        <f>COUNTIFS('Error Log'!$A:$A,$A453,'Error Log'!$F:$F,"Source")</f>
        <v>0</v>
      </c>
      <c r="I453" s="70">
        <f>COUNTIFS('Error Log'!$A:$A,$A453,'Error Log'!$F:$F,"Target")</f>
        <v>0</v>
      </c>
      <c r="J453" s="71">
        <f t="shared" si="8"/>
        <v>0</v>
      </c>
    </row>
    <row r="454" spans="1:10">
      <c r="A454" s="81"/>
      <c r="B454" s="70" t="str">
        <f>IF(ISBLANK(A454),"",INDEX('Error Log'!$A:$J,MATCH('Scores per segment'!$A454,'Error Log'!$A:$A,0),MATCH('Scores per segment'!B$1,'Error Log'!$A$1:$J$1,0)))</f>
        <v/>
      </c>
      <c r="C454" s="70" t="str">
        <f>IF(ISBLANK(A454),"",INDEX('Error Log'!$A:$J,MATCH('Scores per segment'!$A454,'Error Log'!$A:$A,0),MATCH('Scores per segment'!C$1,'Error Log'!$A$1:$J$1,0)))</f>
        <v/>
      </c>
      <c r="D454" s="70">
        <f>IF(H454=0,wdct(TRIM(C454)),0)</f>
        <v>0</v>
      </c>
      <c r="E454" s="70">
        <f>COUNTIFS('Error Log'!$A:$A,$A454,'Error Log'!$J:$J,E$1)</f>
        <v>0</v>
      </c>
      <c r="F454" s="70">
        <f>COUNTIFS('Error Log'!$A:$A,$A454,'Error Log'!$J:$J,F$1)</f>
        <v>0</v>
      </c>
      <c r="G454" s="70">
        <f>COUNTIFS('Error Log'!$A:$A,$A454,'Error Log'!$J:$J,G$1)</f>
        <v>0</v>
      </c>
      <c r="H454" s="70">
        <f>COUNTIFS('Error Log'!$A:$A,$A454,'Error Log'!$F:$F,"Source")</f>
        <v>0</v>
      </c>
      <c r="I454" s="70">
        <f>COUNTIFS('Error Log'!$A:$A,$A454,'Error Log'!$F:$F,"Target")</f>
        <v>0</v>
      </c>
      <c r="J454" s="71">
        <f t="shared" si="8"/>
        <v>0</v>
      </c>
    </row>
    <row r="455" spans="1:10">
      <c r="A455" s="81"/>
      <c r="B455" s="70" t="str">
        <f>IF(ISBLANK(A455),"",INDEX('Error Log'!$A:$J,MATCH('Scores per segment'!$A455,'Error Log'!$A:$A,0),MATCH('Scores per segment'!B$1,'Error Log'!$A$1:$J$1,0)))</f>
        <v/>
      </c>
      <c r="C455" s="70" t="str">
        <f>IF(ISBLANK(A455),"",INDEX('Error Log'!$A:$J,MATCH('Scores per segment'!$A455,'Error Log'!$A:$A,0),MATCH('Scores per segment'!C$1,'Error Log'!$A$1:$J$1,0)))</f>
        <v/>
      </c>
      <c r="D455" s="70">
        <f>IF(H455=0,wdct(TRIM(C455)),0)</f>
        <v>0</v>
      </c>
      <c r="E455" s="70">
        <f>COUNTIFS('Error Log'!$A:$A,$A455,'Error Log'!$J:$J,E$1)</f>
        <v>0</v>
      </c>
      <c r="F455" s="70">
        <f>COUNTIFS('Error Log'!$A:$A,$A455,'Error Log'!$J:$J,F$1)</f>
        <v>0</v>
      </c>
      <c r="G455" s="70">
        <f>COUNTIFS('Error Log'!$A:$A,$A455,'Error Log'!$J:$J,G$1)</f>
        <v>0</v>
      </c>
      <c r="H455" s="70">
        <f>COUNTIFS('Error Log'!$A:$A,$A455,'Error Log'!$F:$F,"Source")</f>
        <v>0</v>
      </c>
      <c r="I455" s="70">
        <f>COUNTIFS('Error Log'!$A:$A,$A455,'Error Log'!$F:$F,"Target")</f>
        <v>0</v>
      </c>
      <c r="J455" s="71">
        <f t="shared" si="8"/>
        <v>0</v>
      </c>
    </row>
    <row r="456" spans="1:10">
      <c r="A456" s="81"/>
      <c r="B456" s="70" t="str">
        <f>IF(ISBLANK(A456),"",INDEX('Error Log'!$A:$J,MATCH('Scores per segment'!$A456,'Error Log'!$A:$A,0),MATCH('Scores per segment'!B$1,'Error Log'!$A$1:$J$1,0)))</f>
        <v/>
      </c>
      <c r="C456" s="70" t="str">
        <f>IF(ISBLANK(A456),"",INDEX('Error Log'!$A:$J,MATCH('Scores per segment'!$A456,'Error Log'!$A:$A,0),MATCH('Scores per segment'!C$1,'Error Log'!$A$1:$J$1,0)))</f>
        <v/>
      </c>
      <c r="D456" s="70">
        <f>IF(H456=0,wdct(TRIM(C456)),0)</f>
        <v>0</v>
      </c>
      <c r="E456" s="70">
        <f>COUNTIFS('Error Log'!$A:$A,$A456,'Error Log'!$J:$J,E$1)</f>
        <v>0</v>
      </c>
      <c r="F456" s="70">
        <f>COUNTIFS('Error Log'!$A:$A,$A456,'Error Log'!$J:$J,F$1)</f>
        <v>0</v>
      </c>
      <c r="G456" s="70">
        <f>COUNTIFS('Error Log'!$A:$A,$A456,'Error Log'!$J:$J,G$1)</f>
        <v>0</v>
      </c>
      <c r="H456" s="70">
        <f>COUNTIFS('Error Log'!$A:$A,$A456,'Error Log'!$F:$F,"Source")</f>
        <v>0</v>
      </c>
      <c r="I456" s="70">
        <f>COUNTIFS('Error Log'!$A:$A,$A456,'Error Log'!$F:$F,"Target")</f>
        <v>0</v>
      </c>
      <c r="J456" s="71">
        <f t="shared" si="8"/>
        <v>0</v>
      </c>
    </row>
    <row r="457" spans="1:10">
      <c r="A457" s="81"/>
      <c r="B457" s="70" t="str">
        <f>IF(ISBLANK(A457),"",INDEX('Error Log'!$A:$J,MATCH('Scores per segment'!$A457,'Error Log'!$A:$A,0),MATCH('Scores per segment'!B$1,'Error Log'!$A$1:$J$1,0)))</f>
        <v/>
      </c>
      <c r="C457" s="70" t="str">
        <f>IF(ISBLANK(A457),"",INDEX('Error Log'!$A:$J,MATCH('Scores per segment'!$A457,'Error Log'!$A:$A,0),MATCH('Scores per segment'!C$1,'Error Log'!$A$1:$J$1,0)))</f>
        <v/>
      </c>
      <c r="D457" s="70">
        <f>IF(H457=0,wdct(TRIM(C457)),0)</f>
        <v>0</v>
      </c>
      <c r="E457" s="70">
        <f>COUNTIFS('Error Log'!$A:$A,$A457,'Error Log'!$J:$J,E$1)</f>
        <v>0</v>
      </c>
      <c r="F457" s="70">
        <f>COUNTIFS('Error Log'!$A:$A,$A457,'Error Log'!$J:$J,F$1)</f>
        <v>0</v>
      </c>
      <c r="G457" s="70">
        <f>COUNTIFS('Error Log'!$A:$A,$A457,'Error Log'!$J:$J,G$1)</f>
        <v>0</v>
      </c>
      <c r="H457" s="70">
        <f>COUNTIFS('Error Log'!$A:$A,$A457,'Error Log'!$F:$F,"Source")</f>
        <v>0</v>
      </c>
      <c r="I457" s="70">
        <f>COUNTIFS('Error Log'!$A:$A,$A457,'Error Log'!$F:$F,"Target")</f>
        <v>0</v>
      </c>
      <c r="J457" s="71">
        <f t="shared" si="8"/>
        <v>0</v>
      </c>
    </row>
    <row r="458" spans="1:10">
      <c r="A458" s="81"/>
      <c r="B458" s="70" t="str">
        <f>IF(ISBLANK(A458),"",INDEX('Error Log'!$A:$J,MATCH('Scores per segment'!$A458,'Error Log'!$A:$A,0),MATCH('Scores per segment'!B$1,'Error Log'!$A$1:$J$1,0)))</f>
        <v/>
      </c>
      <c r="C458" s="70" t="str">
        <f>IF(ISBLANK(A458),"",INDEX('Error Log'!$A:$J,MATCH('Scores per segment'!$A458,'Error Log'!$A:$A,0),MATCH('Scores per segment'!C$1,'Error Log'!$A$1:$J$1,0)))</f>
        <v/>
      </c>
      <c r="D458" s="70">
        <f>IF(H458=0,wdct(TRIM(C458)),0)</f>
        <v>0</v>
      </c>
      <c r="E458" s="70">
        <f>COUNTIFS('Error Log'!$A:$A,$A458,'Error Log'!$J:$J,E$1)</f>
        <v>0</v>
      </c>
      <c r="F458" s="70">
        <f>COUNTIFS('Error Log'!$A:$A,$A458,'Error Log'!$J:$J,F$1)</f>
        <v>0</v>
      </c>
      <c r="G458" s="70">
        <f>COUNTIFS('Error Log'!$A:$A,$A458,'Error Log'!$J:$J,G$1)</f>
        <v>0</v>
      </c>
      <c r="H458" s="70">
        <f>COUNTIFS('Error Log'!$A:$A,$A458,'Error Log'!$F:$F,"Source")</f>
        <v>0</v>
      </c>
      <c r="I458" s="70">
        <f>COUNTIFS('Error Log'!$A:$A,$A458,'Error Log'!$F:$F,"Target")</f>
        <v>0</v>
      </c>
      <c r="J458" s="71">
        <f t="shared" si="8"/>
        <v>0</v>
      </c>
    </row>
    <row r="459" spans="1:10">
      <c r="A459" s="81"/>
      <c r="B459" s="70" t="str">
        <f>IF(ISBLANK(A459),"",INDEX('Error Log'!$A:$J,MATCH('Scores per segment'!$A459,'Error Log'!$A:$A,0),MATCH('Scores per segment'!B$1,'Error Log'!$A$1:$J$1,0)))</f>
        <v/>
      </c>
      <c r="C459" s="70" t="str">
        <f>IF(ISBLANK(A459),"",INDEX('Error Log'!$A:$J,MATCH('Scores per segment'!$A459,'Error Log'!$A:$A,0),MATCH('Scores per segment'!C$1,'Error Log'!$A$1:$J$1,0)))</f>
        <v/>
      </c>
      <c r="D459" s="70">
        <f>IF(H459=0,wdct(TRIM(C459)),0)</f>
        <v>0</v>
      </c>
      <c r="E459" s="70">
        <f>COUNTIFS('Error Log'!$A:$A,$A459,'Error Log'!$J:$J,E$1)</f>
        <v>0</v>
      </c>
      <c r="F459" s="70">
        <f>COUNTIFS('Error Log'!$A:$A,$A459,'Error Log'!$J:$J,F$1)</f>
        <v>0</v>
      </c>
      <c r="G459" s="70">
        <f>COUNTIFS('Error Log'!$A:$A,$A459,'Error Log'!$J:$J,G$1)</f>
        <v>0</v>
      </c>
      <c r="H459" s="70">
        <f>COUNTIFS('Error Log'!$A:$A,$A459,'Error Log'!$F:$F,"Source")</f>
        <v>0</v>
      </c>
      <c r="I459" s="70">
        <f>COUNTIFS('Error Log'!$A:$A,$A459,'Error Log'!$F:$F,"Target")</f>
        <v>0</v>
      </c>
      <c r="J459" s="71">
        <f t="shared" si="8"/>
        <v>0</v>
      </c>
    </row>
    <row r="460" spans="1:10">
      <c r="A460" s="81"/>
      <c r="B460" s="70" t="str">
        <f>IF(ISBLANK(A460),"",INDEX('Error Log'!$A:$J,MATCH('Scores per segment'!$A460,'Error Log'!$A:$A,0),MATCH('Scores per segment'!B$1,'Error Log'!$A$1:$J$1,0)))</f>
        <v/>
      </c>
      <c r="C460" s="70" t="str">
        <f>IF(ISBLANK(A460),"",INDEX('Error Log'!$A:$J,MATCH('Scores per segment'!$A460,'Error Log'!$A:$A,0),MATCH('Scores per segment'!C$1,'Error Log'!$A$1:$J$1,0)))</f>
        <v/>
      </c>
      <c r="D460" s="70">
        <f>IF(H460=0,wdct(TRIM(C460)),0)</f>
        <v>0</v>
      </c>
      <c r="E460" s="70">
        <f>COUNTIFS('Error Log'!$A:$A,$A460,'Error Log'!$J:$J,E$1)</f>
        <v>0</v>
      </c>
      <c r="F460" s="70">
        <f>COUNTIFS('Error Log'!$A:$A,$A460,'Error Log'!$J:$J,F$1)</f>
        <v>0</v>
      </c>
      <c r="G460" s="70">
        <f>COUNTIFS('Error Log'!$A:$A,$A460,'Error Log'!$J:$J,G$1)</f>
        <v>0</v>
      </c>
      <c r="H460" s="70">
        <f>COUNTIFS('Error Log'!$A:$A,$A460,'Error Log'!$F:$F,"Source")</f>
        <v>0</v>
      </c>
      <c r="I460" s="70">
        <f>COUNTIFS('Error Log'!$A:$A,$A460,'Error Log'!$F:$F,"Target")</f>
        <v>0</v>
      </c>
      <c r="J460" s="71">
        <f t="shared" si="8"/>
        <v>0</v>
      </c>
    </row>
    <row r="461" spans="1:10">
      <c r="A461" s="81"/>
      <c r="B461" s="70" t="str">
        <f>IF(ISBLANK(A461),"",INDEX('Error Log'!$A:$J,MATCH('Scores per segment'!$A461,'Error Log'!$A:$A,0),MATCH('Scores per segment'!B$1,'Error Log'!$A$1:$J$1,0)))</f>
        <v/>
      </c>
      <c r="C461" s="70" t="str">
        <f>IF(ISBLANK(A461),"",INDEX('Error Log'!$A:$J,MATCH('Scores per segment'!$A461,'Error Log'!$A:$A,0),MATCH('Scores per segment'!C$1,'Error Log'!$A$1:$J$1,0)))</f>
        <v/>
      </c>
      <c r="D461" s="70">
        <f>IF(H461=0,wdct(TRIM(C461)),0)</f>
        <v>0</v>
      </c>
      <c r="E461" s="70">
        <f>COUNTIFS('Error Log'!$A:$A,$A461,'Error Log'!$J:$J,E$1)</f>
        <v>0</v>
      </c>
      <c r="F461" s="70">
        <f>COUNTIFS('Error Log'!$A:$A,$A461,'Error Log'!$J:$J,F$1)</f>
        <v>0</v>
      </c>
      <c r="G461" s="70">
        <f>COUNTIFS('Error Log'!$A:$A,$A461,'Error Log'!$J:$J,G$1)</f>
        <v>0</v>
      </c>
      <c r="H461" s="70">
        <f>COUNTIFS('Error Log'!$A:$A,$A461,'Error Log'!$F:$F,"Source")</f>
        <v>0</v>
      </c>
      <c r="I461" s="70">
        <f>COUNTIFS('Error Log'!$A:$A,$A461,'Error Log'!$F:$F,"Target")</f>
        <v>0</v>
      </c>
      <c r="J461" s="71">
        <f t="shared" si="8"/>
        <v>0</v>
      </c>
    </row>
    <row r="462" spans="1:10">
      <c r="A462" s="81"/>
      <c r="B462" s="70" t="str">
        <f>IF(ISBLANK(A462),"",INDEX('Error Log'!$A:$J,MATCH('Scores per segment'!$A462,'Error Log'!$A:$A,0),MATCH('Scores per segment'!B$1,'Error Log'!$A$1:$J$1,0)))</f>
        <v/>
      </c>
      <c r="C462" s="70" t="str">
        <f>IF(ISBLANK(A462),"",INDEX('Error Log'!$A:$J,MATCH('Scores per segment'!$A462,'Error Log'!$A:$A,0),MATCH('Scores per segment'!C$1,'Error Log'!$A$1:$J$1,0)))</f>
        <v/>
      </c>
      <c r="D462" s="70">
        <f>IF(H462=0,wdct(TRIM(C462)),0)</f>
        <v>0</v>
      </c>
      <c r="E462" s="70">
        <f>COUNTIFS('Error Log'!$A:$A,$A462,'Error Log'!$J:$J,E$1)</f>
        <v>0</v>
      </c>
      <c r="F462" s="70">
        <f>COUNTIFS('Error Log'!$A:$A,$A462,'Error Log'!$J:$J,F$1)</f>
        <v>0</v>
      </c>
      <c r="G462" s="70">
        <f>COUNTIFS('Error Log'!$A:$A,$A462,'Error Log'!$J:$J,G$1)</f>
        <v>0</v>
      </c>
      <c r="H462" s="70">
        <f>COUNTIFS('Error Log'!$A:$A,$A462,'Error Log'!$F:$F,"Source")</f>
        <v>0</v>
      </c>
      <c r="I462" s="70">
        <f>COUNTIFS('Error Log'!$A:$A,$A462,'Error Log'!$F:$F,"Target")</f>
        <v>0</v>
      </c>
      <c r="J462" s="71">
        <f t="shared" si="8"/>
        <v>0</v>
      </c>
    </row>
    <row r="463" spans="1:10">
      <c r="A463" s="81"/>
      <c r="B463" s="70" t="str">
        <f>IF(ISBLANK(A463),"",INDEX('Error Log'!$A:$J,MATCH('Scores per segment'!$A463,'Error Log'!$A:$A,0),MATCH('Scores per segment'!B$1,'Error Log'!$A$1:$J$1,0)))</f>
        <v/>
      </c>
      <c r="C463" s="70" t="str">
        <f>IF(ISBLANK(A463),"",INDEX('Error Log'!$A:$J,MATCH('Scores per segment'!$A463,'Error Log'!$A:$A,0),MATCH('Scores per segment'!C$1,'Error Log'!$A$1:$J$1,0)))</f>
        <v/>
      </c>
      <c r="D463" s="70">
        <f>IF(H463=0,wdct(TRIM(C463)),0)</f>
        <v>0</v>
      </c>
      <c r="E463" s="70">
        <f>COUNTIFS('Error Log'!$A:$A,$A463,'Error Log'!$J:$J,E$1)</f>
        <v>0</v>
      </c>
      <c r="F463" s="70">
        <f>COUNTIFS('Error Log'!$A:$A,$A463,'Error Log'!$J:$J,F$1)</f>
        <v>0</v>
      </c>
      <c r="G463" s="70">
        <f>COUNTIFS('Error Log'!$A:$A,$A463,'Error Log'!$J:$J,G$1)</f>
        <v>0</v>
      </c>
      <c r="H463" s="70">
        <f>COUNTIFS('Error Log'!$A:$A,$A463,'Error Log'!$F:$F,"Source")</f>
        <v>0</v>
      </c>
      <c r="I463" s="70">
        <f>COUNTIFS('Error Log'!$A:$A,$A463,'Error Log'!$F:$F,"Target")</f>
        <v>0</v>
      </c>
      <c r="J463" s="71">
        <f t="shared" si="8"/>
        <v>0</v>
      </c>
    </row>
    <row r="464" spans="1:10">
      <c r="A464" s="81"/>
      <c r="B464" s="70" t="str">
        <f>IF(ISBLANK(A464),"",INDEX('Error Log'!$A:$J,MATCH('Scores per segment'!$A464,'Error Log'!$A:$A,0),MATCH('Scores per segment'!B$1,'Error Log'!$A$1:$J$1,0)))</f>
        <v/>
      </c>
      <c r="C464" s="70" t="str">
        <f>IF(ISBLANK(A464),"",INDEX('Error Log'!$A:$J,MATCH('Scores per segment'!$A464,'Error Log'!$A:$A,0),MATCH('Scores per segment'!C$1,'Error Log'!$A$1:$J$1,0)))</f>
        <v/>
      </c>
      <c r="D464" s="70">
        <f>IF(H464=0,wdct(TRIM(C464)),0)</f>
        <v>0</v>
      </c>
      <c r="E464" s="70">
        <f>COUNTIFS('Error Log'!$A:$A,$A464,'Error Log'!$J:$J,E$1)</f>
        <v>0</v>
      </c>
      <c r="F464" s="70">
        <f>COUNTIFS('Error Log'!$A:$A,$A464,'Error Log'!$J:$J,F$1)</f>
        <v>0</v>
      </c>
      <c r="G464" s="70">
        <f>COUNTIFS('Error Log'!$A:$A,$A464,'Error Log'!$J:$J,G$1)</f>
        <v>0</v>
      </c>
      <c r="H464" s="70">
        <f>COUNTIFS('Error Log'!$A:$A,$A464,'Error Log'!$F:$F,"Source")</f>
        <v>0</v>
      </c>
      <c r="I464" s="70">
        <f>COUNTIFS('Error Log'!$A:$A,$A464,'Error Log'!$F:$F,"Target")</f>
        <v>0</v>
      </c>
      <c r="J464" s="71">
        <f t="shared" si="8"/>
        <v>0</v>
      </c>
    </row>
    <row r="465" spans="1:10">
      <c r="A465" s="81"/>
      <c r="B465" s="70" t="str">
        <f>IF(ISBLANK(A465),"",INDEX('Error Log'!$A:$J,MATCH('Scores per segment'!$A465,'Error Log'!$A:$A,0),MATCH('Scores per segment'!B$1,'Error Log'!$A$1:$J$1,0)))</f>
        <v/>
      </c>
      <c r="C465" s="70" t="str">
        <f>IF(ISBLANK(A465),"",INDEX('Error Log'!$A:$J,MATCH('Scores per segment'!$A465,'Error Log'!$A:$A,0),MATCH('Scores per segment'!C$1,'Error Log'!$A$1:$J$1,0)))</f>
        <v/>
      </c>
      <c r="D465" s="70">
        <f>IF(H465=0,wdct(TRIM(C465)),0)</f>
        <v>0</v>
      </c>
      <c r="E465" s="70">
        <f>COUNTIFS('Error Log'!$A:$A,$A465,'Error Log'!$J:$J,E$1)</f>
        <v>0</v>
      </c>
      <c r="F465" s="70">
        <f>COUNTIFS('Error Log'!$A:$A,$A465,'Error Log'!$J:$J,F$1)</f>
        <v>0</v>
      </c>
      <c r="G465" s="70">
        <f>COUNTIFS('Error Log'!$A:$A,$A465,'Error Log'!$J:$J,G$1)</f>
        <v>0</v>
      </c>
      <c r="H465" s="70">
        <f>COUNTIFS('Error Log'!$A:$A,$A465,'Error Log'!$F:$F,"Source")</f>
        <v>0</v>
      </c>
      <c r="I465" s="70">
        <f>COUNTIFS('Error Log'!$A:$A,$A465,'Error Log'!$F:$F,"Target")</f>
        <v>0</v>
      </c>
      <c r="J465" s="71">
        <f t="shared" si="8"/>
        <v>0</v>
      </c>
    </row>
    <row r="466" spans="1:10">
      <c r="A466" s="81"/>
      <c r="B466" s="70" t="str">
        <f>IF(ISBLANK(A466),"",INDEX('Error Log'!$A:$J,MATCH('Scores per segment'!$A466,'Error Log'!$A:$A,0),MATCH('Scores per segment'!B$1,'Error Log'!$A$1:$J$1,0)))</f>
        <v/>
      </c>
      <c r="C466" s="70" t="str">
        <f>IF(ISBLANK(A466),"",INDEX('Error Log'!$A:$J,MATCH('Scores per segment'!$A466,'Error Log'!$A:$A,0),MATCH('Scores per segment'!C$1,'Error Log'!$A$1:$J$1,0)))</f>
        <v/>
      </c>
      <c r="D466" s="70">
        <f>IF(H466=0,wdct(TRIM(C466)),0)</f>
        <v>0</v>
      </c>
      <c r="E466" s="70">
        <f>COUNTIFS('Error Log'!$A:$A,$A466,'Error Log'!$J:$J,E$1)</f>
        <v>0</v>
      </c>
      <c r="F466" s="70">
        <f>COUNTIFS('Error Log'!$A:$A,$A466,'Error Log'!$J:$J,F$1)</f>
        <v>0</v>
      </c>
      <c r="G466" s="70">
        <f>COUNTIFS('Error Log'!$A:$A,$A466,'Error Log'!$J:$J,G$1)</f>
        <v>0</v>
      </c>
      <c r="H466" s="70">
        <f>COUNTIFS('Error Log'!$A:$A,$A466,'Error Log'!$F:$F,"Source")</f>
        <v>0</v>
      </c>
      <c r="I466" s="70">
        <f>COUNTIFS('Error Log'!$A:$A,$A466,'Error Log'!$F:$F,"Target")</f>
        <v>0</v>
      </c>
      <c r="J466" s="71">
        <f t="shared" si="8"/>
        <v>0</v>
      </c>
    </row>
    <row r="467" spans="1:10">
      <c r="A467" s="81"/>
      <c r="B467" s="70" t="str">
        <f>IF(ISBLANK(A467),"",INDEX('Error Log'!$A:$J,MATCH('Scores per segment'!$A467,'Error Log'!$A:$A,0),MATCH('Scores per segment'!B$1,'Error Log'!$A$1:$J$1,0)))</f>
        <v/>
      </c>
      <c r="C467" s="70" t="str">
        <f>IF(ISBLANK(A467),"",INDEX('Error Log'!$A:$J,MATCH('Scores per segment'!$A467,'Error Log'!$A:$A,0),MATCH('Scores per segment'!C$1,'Error Log'!$A$1:$J$1,0)))</f>
        <v/>
      </c>
      <c r="D467" s="70">
        <f>IF(H467=0,wdct(TRIM(C467)),0)</f>
        <v>0</v>
      </c>
      <c r="E467" s="70">
        <f>COUNTIFS('Error Log'!$A:$A,$A467,'Error Log'!$J:$J,E$1)</f>
        <v>0</v>
      </c>
      <c r="F467" s="70">
        <f>COUNTIFS('Error Log'!$A:$A,$A467,'Error Log'!$J:$J,F$1)</f>
        <v>0</v>
      </c>
      <c r="G467" s="70">
        <f>COUNTIFS('Error Log'!$A:$A,$A467,'Error Log'!$J:$J,G$1)</f>
        <v>0</v>
      </c>
      <c r="H467" s="70">
        <f>COUNTIFS('Error Log'!$A:$A,$A467,'Error Log'!$F:$F,"Source")</f>
        <v>0</v>
      </c>
      <c r="I467" s="70">
        <f>COUNTIFS('Error Log'!$A:$A,$A467,'Error Log'!$F:$F,"Target")</f>
        <v>0</v>
      </c>
      <c r="J467" s="71">
        <f t="shared" si="8"/>
        <v>0</v>
      </c>
    </row>
    <row r="468" spans="1:10">
      <c r="A468" s="81"/>
      <c r="B468" s="70" t="str">
        <f>IF(ISBLANK(A468),"",INDEX('Error Log'!$A:$J,MATCH('Scores per segment'!$A468,'Error Log'!$A:$A,0),MATCH('Scores per segment'!B$1,'Error Log'!$A$1:$J$1,0)))</f>
        <v/>
      </c>
      <c r="C468" s="70" t="str">
        <f>IF(ISBLANK(A468),"",INDEX('Error Log'!$A:$J,MATCH('Scores per segment'!$A468,'Error Log'!$A:$A,0),MATCH('Scores per segment'!C$1,'Error Log'!$A$1:$J$1,0)))</f>
        <v/>
      </c>
      <c r="D468" s="70">
        <f>IF(H468=0,wdct(TRIM(C468)),0)</f>
        <v>0</v>
      </c>
      <c r="E468" s="70">
        <f>COUNTIFS('Error Log'!$A:$A,$A468,'Error Log'!$J:$J,E$1)</f>
        <v>0</v>
      </c>
      <c r="F468" s="70">
        <f>COUNTIFS('Error Log'!$A:$A,$A468,'Error Log'!$J:$J,F$1)</f>
        <v>0</v>
      </c>
      <c r="G468" s="70">
        <f>COUNTIFS('Error Log'!$A:$A,$A468,'Error Log'!$J:$J,G$1)</f>
        <v>0</v>
      </c>
      <c r="H468" s="70">
        <f>COUNTIFS('Error Log'!$A:$A,$A468,'Error Log'!$F:$F,"Source")</f>
        <v>0</v>
      </c>
      <c r="I468" s="70">
        <f>COUNTIFS('Error Log'!$A:$A,$A468,'Error Log'!$F:$F,"Target")</f>
        <v>0</v>
      </c>
      <c r="J468" s="71">
        <f t="shared" si="8"/>
        <v>0</v>
      </c>
    </row>
    <row r="469" spans="1:10">
      <c r="A469" s="81"/>
      <c r="B469" s="70" t="str">
        <f>IF(ISBLANK(A469),"",INDEX('Error Log'!$A:$J,MATCH('Scores per segment'!$A469,'Error Log'!$A:$A,0),MATCH('Scores per segment'!B$1,'Error Log'!$A$1:$J$1,0)))</f>
        <v/>
      </c>
      <c r="C469" s="70" t="str">
        <f>IF(ISBLANK(A469),"",INDEX('Error Log'!$A:$J,MATCH('Scores per segment'!$A469,'Error Log'!$A:$A,0),MATCH('Scores per segment'!C$1,'Error Log'!$A$1:$J$1,0)))</f>
        <v/>
      </c>
      <c r="D469" s="70">
        <f>IF(H469=0,wdct(TRIM(C469)),0)</f>
        <v>0</v>
      </c>
      <c r="E469" s="70">
        <f>COUNTIFS('Error Log'!$A:$A,$A469,'Error Log'!$J:$J,E$1)</f>
        <v>0</v>
      </c>
      <c r="F469" s="70">
        <f>COUNTIFS('Error Log'!$A:$A,$A469,'Error Log'!$J:$J,F$1)</f>
        <v>0</v>
      </c>
      <c r="G469" s="70">
        <f>COUNTIFS('Error Log'!$A:$A,$A469,'Error Log'!$J:$J,G$1)</f>
        <v>0</v>
      </c>
      <c r="H469" s="70">
        <f>COUNTIFS('Error Log'!$A:$A,$A469,'Error Log'!$F:$F,"Source")</f>
        <v>0</v>
      </c>
      <c r="I469" s="70">
        <f>COUNTIFS('Error Log'!$A:$A,$A469,'Error Log'!$F:$F,"Target")</f>
        <v>0</v>
      </c>
      <c r="J469" s="71">
        <f t="shared" si="8"/>
        <v>0</v>
      </c>
    </row>
    <row r="470" spans="1:10">
      <c r="A470" s="81"/>
      <c r="B470" s="70" t="str">
        <f>IF(ISBLANK(A470),"",INDEX('Error Log'!$A:$J,MATCH('Scores per segment'!$A470,'Error Log'!$A:$A,0),MATCH('Scores per segment'!B$1,'Error Log'!$A$1:$J$1,0)))</f>
        <v/>
      </c>
      <c r="C470" s="70" t="str">
        <f>IF(ISBLANK(A470),"",INDEX('Error Log'!$A:$J,MATCH('Scores per segment'!$A470,'Error Log'!$A:$A,0),MATCH('Scores per segment'!C$1,'Error Log'!$A$1:$J$1,0)))</f>
        <v/>
      </c>
      <c r="D470" s="70">
        <f>IF(H470=0,wdct(TRIM(C470)),0)</f>
        <v>0</v>
      </c>
      <c r="E470" s="70">
        <f>COUNTIFS('Error Log'!$A:$A,$A470,'Error Log'!$J:$J,E$1)</f>
        <v>0</v>
      </c>
      <c r="F470" s="70">
        <f>COUNTIFS('Error Log'!$A:$A,$A470,'Error Log'!$J:$J,F$1)</f>
        <v>0</v>
      </c>
      <c r="G470" s="70">
        <f>COUNTIFS('Error Log'!$A:$A,$A470,'Error Log'!$J:$J,G$1)</f>
        <v>0</v>
      </c>
      <c r="H470" s="70">
        <f>COUNTIFS('Error Log'!$A:$A,$A470,'Error Log'!$F:$F,"Source")</f>
        <v>0</v>
      </c>
      <c r="I470" s="70">
        <f>COUNTIFS('Error Log'!$A:$A,$A470,'Error Log'!$F:$F,"Target")</f>
        <v>0</v>
      </c>
      <c r="J470" s="71">
        <f t="shared" si="8"/>
        <v>0</v>
      </c>
    </row>
    <row r="471" spans="1:10">
      <c r="A471" s="81"/>
      <c r="B471" s="70" t="str">
        <f>IF(ISBLANK(A471),"",INDEX('Error Log'!$A:$J,MATCH('Scores per segment'!$A471,'Error Log'!$A:$A,0),MATCH('Scores per segment'!B$1,'Error Log'!$A$1:$J$1,0)))</f>
        <v/>
      </c>
      <c r="C471" s="70" t="str">
        <f>IF(ISBLANK(A471),"",INDEX('Error Log'!$A:$J,MATCH('Scores per segment'!$A471,'Error Log'!$A:$A,0),MATCH('Scores per segment'!C$1,'Error Log'!$A$1:$J$1,0)))</f>
        <v/>
      </c>
      <c r="D471" s="70">
        <f>IF(H471=0,wdct(TRIM(C471)),0)</f>
        <v>0</v>
      </c>
      <c r="E471" s="70">
        <f>COUNTIFS('Error Log'!$A:$A,$A471,'Error Log'!$J:$J,E$1)</f>
        <v>0</v>
      </c>
      <c r="F471" s="70">
        <f>COUNTIFS('Error Log'!$A:$A,$A471,'Error Log'!$J:$J,F$1)</f>
        <v>0</v>
      </c>
      <c r="G471" s="70">
        <f>COUNTIFS('Error Log'!$A:$A,$A471,'Error Log'!$J:$J,G$1)</f>
        <v>0</v>
      </c>
      <c r="H471" s="70">
        <f>COUNTIFS('Error Log'!$A:$A,$A471,'Error Log'!$F:$F,"Source")</f>
        <v>0</v>
      </c>
      <c r="I471" s="70">
        <f>COUNTIFS('Error Log'!$A:$A,$A471,'Error Log'!$F:$F,"Target")</f>
        <v>0</v>
      </c>
      <c r="J471" s="71">
        <f t="shared" si="8"/>
        <v>0</v>
      </c>
    </row>
    <row r="472" spans="1:10">
      <c r="A472" s="81"/>
      <c r="B472" s="70" t="str">
        <f>IF(ISBLANK(A472),"",INDEX('Error Log'!$A:$J,MATCH('Scores per segment'!$A472,'Error Log'!$A:$A,0),MATCH('Scores per segment'!B$1,'Error Log'!$A$1:$J$1,0)))</f>
        <v/>
      </c>
      <c r="C472" s="70" t="str">
        <f>IF(ISBLANK(A472),"",INDEX('Error Log'!$A:$J,MATCH('Scores per segment'!$A472,'Error Log'!$A:$A,0),MATCH('Scores per segment'!C$1,'Error Log'!$A$1:$J$1,0)))</f>
        <v/>
      </c>
      <c r="D472" s="70">
        <f>IF(H472=0,wdct(TRIM(C472)),0)</f>
        <v>0</v>
      </c>
      <c r="E472" s="70">
        <f>COUNTIFS('Error Log'!$A:$A,$A472,'Error Log'!$J:$J,E$1)</f>
        <v>0</v>
      </c>
      <c r="F472" s="70">
        <f>COUNTIFS('Error Log'!$A:$A,$A472,'Error Log'!$J:$J,F$1)</f>
        <v>0</v>
      </c>
      <c r="G472" s="70">
        <f>COUNTIFS('Error Log'!$A:$A,$A472,'Error Log'!$J:$J,G$1)</f>
        <v>0</v>
      </c>
      <c r="H472" s="70">
        <f>COUNTIFS('Error Log'!$A:$A,$A472,'Error Log'!$F:$F,"Source")</f>
        <v>0</v>
      </c>
      <c r="I472" s="70">
        <f>COUNTIFS('Error Log'!$A:$A,$A472,'Error Log'!$F:$F,"Target")</f>
        <v>0</v>
      </c>
      <c r="J472" s="71">
        <f t="shared" si="8"/>
        <v>0</v>
      </c>
    </row>
    <row r="473" spans="1:10">
      <c r="A473" s="81"/>
      <c r="B473" s="70" t="str">
        <f>IF(ISBLANK(A473),"",INDEX('Error Log'!$A:$J,MATCH('Scores per segment'!$A473,'Error Log'!$A:$A,0),MATCH('Scores per segment'!B$1,'Error Log'!$A$1:$J$1,0)))</f>
        <v/>
      </c>
      <c r="C473" s="70" t="str">
        <f>IF(ISBLANK(A473),"",INDEX('Error Log'!$A:$J,MATCH('Scores per segment'!$A473,'Error Log'!$A:$A,0),MATCH('Scores per segment'!C$1,'Error Log'!$A$1:$J$1,0)))</f>
        <v/>
      </c>
      <c r="D473" s="70">
        <f>IF(H473=0,wdct(TRIM(C473)),0)</f>
        <v>0</v>
      </c>
      <c r="E473" s="70">
        <f>COUNTIFS('Error Log'!$A:$A,$A473,'Error Log'!$J:$J,E$1)</f>
        <v>0</v>
      </c>
      <c r="F473" s="70">
        <f>COUNTIFS('Error Log'!$A:$A,$A473,'Error Log'!$J:$J,F$1)</f>
        <v>0</v>
      </c>
      <c r="G473" s="70">
        <f>COUNTIFS('Error Log'!$A:$A,$A473,'Error Log'!$J:$J,G$1)</f>
        <v>0</v>
      </c>
      <c r="H473" s="70">
        <f>COUNTIFS('Error Log'!$A:$A,$A473,'Error Log'!$F:$F,"Source")</f>
        <v>0</v>
      </c>
      <c r="I473" s="70">
        <f>COUNTIFS('Error Log'!$A:$A,$A473,'Error Log'!$F:$F,"Target")</f>
        <v>0</v>
      </c>
      <c r="J473" s="71">
        <f t="shared" si="8"/>
        <v>0</v>
      </c>
    </row>
    <row r="474" spans="1:10">
      <c r="A474" s="81"/>
      <c r="B474" s="70" t="str">
        <f>IF(ISBLANK(A474),"",INDEX('Error Log'!$A:$J,MATCH('Scores per segment'!$A474,'Error Log'!$A:$A,0),MATCH('Scores per segment'!B$1,'Error Log'!$A$1:$J$1,0)))</f>
        <v/>
      </c>
      <c r="C474" s="70" t="str">
        <f>IF(ISBLANK(A474),"",INDEX('Error Log'!$A:$J,MATCH('Scores per segment'!$A474,'Error Log'!$A:$A,0),MATCH('Scores per segment'!C$1,'Error Log'!$A$1:$J$1,0)))</f>
        <v/>
      </c>
      <c r="D474" s="70">
        <f>IF(H474=0,wdct(TRIM(C474)),0)</f>
        <v>0</v>
      </c>
      <c r="E474" s="70">
        <f>COUNTIFS('Error Log'!$A:$A,$A474,'Error Log'!$J:$J,E$1)</f>
        <v>0</v>
      </c>
      <c r="F474" s="70">
        <f>COUNTIFS('Error Log'!$A:$A,$A474,'Error Log'!$J:$J,F$1)</f>
        <v>0</v>
      </c>
      <c r="G474" s="70">
        <f>COUNTIFS('Error Log'!$A:$A,$A474,'Error Log'!$J:$J,G$1)</f>
        <v>0</v>
      </c>
      <c r="H474" s="70">
        <f>COUNTIFS('Error Log'!$A:$A,$A474,'Error Log'!$F:$F,"Source")</f>
        <v>0</v>
      </c>
      <c r="I474" s="70">
        <f>COUNTIFS('Error Log'!$A:$A,$A474,'Error Log'!$F:$F,"Target")</f>
        <v>0</v>
      </c>
      <c r="J474" s="71">
        <f t="shared" si="8"/>
        <v>0</v>
      </c>
    </row>
    <row r="475" spans="1:10">
      <c r="A475" s="81"/>
      <c r="B475" s="70" t="str">
        <f>IF(ISBLANK(A475),"",INDEX('Error Log'!$A:$J,MATCH('Scores per segment'!$A475,'Error Log'!$A:$A,0),MATCH('Scores per segment'!B$1,'Error Log'!$A$1:$J$1,0)))</f>
        <v/>
      </c>
      <c r="C475" s="70" t="str">
        <f>IF(ISBLANK(A475),"",INDEX('Error Log'!$A:$J,MATCH('Scores per segment'!$A475,'Error Log'!$A:$A,0),MATCH('Scores per segment'!C$1,'Error Log'!$A$1:$J$1,0)))</f>
        <v/>
      </c>
      <c r="D475" s="70">
        <f>IF(H475=0,wdct(TRIM(C475)),0)</f>
        <v>0</v>
      </c>
      <c r="E475" s="70">
        <f>COUNTIFS('Error Log'!$A:$A,$A475,'Error Log'!$J:$J,E$1)</f>
        <v>0</v>
      </c>
      <c r="F475" s="70">
        <f>COUNTIFS('Error Log'!$A:$A,$A475,'Error Log'!$J:$J,F$1)</f>
        <v>0</v>
      </c>
      <c r="G475" s="70">
        <f>COUNTIFS('Error Log'!$A:$A,$A475,'Error Log'!$J:$J,G$1)</f>
        <v>0</v>
      </c>
      <c r="H475" s="70">
        <f>COUNTIFS('Error Log'!$A:$A,$A475,'Error Log'!$F:$F,"Source")</f>
        <v>0</v>
      </c>
      <c r="I475" s="70">
        <f>COUNTIFS('Error Log'!$A:$A,$A475,'Error Log'!$F:$F,"Target")</f>
        <v>0</v>
      </c>
      <c r="J475" s="71">
        <f t="shared" si="8"/>
        <v>0</v>
      </c>
    </row>
    <row r="476" spans="1:10">
      <c r="A476" s="81"/>
      <c r="B476" s="70" t="str">
        <f>IF(ISBLANK(A476),"",INDEX('Error Log'!$A:$J,MATCH('Scores per segment'!$A476,'Error Log'!$A:$A,0),MATCH('Scores per segment'!B$1,'Error Log'!$A$1:$J$1,0)))</f>
        <v/>
      </c>
      <c r="C476" s="70" t="str">
        <f>IF(ISBLANK(A476),"",INDEX('Error Log'!$A:$J,MATCH('Scores per segment'!$A476,'Error Log'!$A:$A,0),MATCH('Scores per segment'!C$1,'Error Log'!$A$1:$J$1,0)))</f>
        <v/>
      </c>
      <c r="D476" s="70">
        <f>IF(H476=0,wdct(TRIM(C476)),0)</f>
        <v>0</v>
      </c>
      <c r="E476" s="70">
        <f>COUNTIFS('Error Log'!$A:$A,$A476,'Error Log'!$J:$J,E$1)</f>
        <v>0</v>
      </c>
      <c r="F476" s="70">
        <f>COUNTIFS('Error Log'!$A:$A,$A476,'Error Log'!$J:$J,F$1)</f>
        <v>0</v>
      </c>
      <c r="G476" s="70">
        <f>COUNTIFS('Error Log'!$A:$A,$A476,'Error Log'!$J:$J,G$1)</f>
        <v>0</v>
      </c>
      <c r="H476" s="70">
        <f>COUNTIFS('Error Log'!$A:$A,$A476,'Error Log'!$F:$F,"Source")</f>
        <v>0</v>
      </c>
      <c r="I476" s="70">
        <f>COUNTIFS('Error Log'!$A:$A,$A476,'Error Log'!$F:$F,"Target")</f>
        <v>0</v>
      </c>
      <c r="J476" s="71">
        <f t="shared" si="8"/>
        <v>0</v>
      </c>
    </row>
    <row r="477" spans="1:10">
      <c r="A477" s="81"/>
      <c r="B477" s="70" t="str">
        <f>IF(ISBLANK(A477),"",INDEX('Error Log'!$A:$J,MATCH('Scores per segment'!$A477,'Error Log'!$A:$A,0),MATCH('Scores per segment'!B$1,'Error Log'!$A$1:$J$1,0)))</f>
        <v/>
      </c>
      <c r="C477" s="70" t="str">
        <f>IF(ISBLANK(A477),"",INDEX('Error Log'!$A:$J,MATCH('Scores per segment'!$A477,'Error Log'!$A:$A,0),MATCH('Scores per segment'!C$1,'Error Log'!$A$1:$J$1,0)))</f>
        <v/>
      </c>
      <c r="D477" s="70">
        <f>IF(H477=0,wdct(TRIM(C477)),0)</f>
        <v>0</v>
      </c>
      <c r="E477" s="70">
        <f>COUNTIFS('Error Log'!$A:$A,$A477,'Error Log'!$J:$J,E$1)</f>
        <v>0</v>
      </c>
      <c r="F477" s="70">
        <f>COUNTIFS('Error Log'!$A:$A,$A477,'Error Log'!$J:$J,F$1)</f>
        <v>0</v>
      </c>
      <c r="G477" s="70">
        <f>COUNTIFS('Error Log'!$A:$A,$A477,'Error Log'!$J:$J,G$1)</f>
        <v>0</v>
      </c>
      <c r="H477" s="70">
        <f>COUNTIFS('Error Log'!$A:$A,$A477,'Error Log'!$F:$F,"Source")</f>
        <v>0</v>
      </c>
      <c r="I477" s="70">
        <f>COUNTIFS('Error Log'!$A:$A,$A477,'Error Log'!$F:$F,"Target")</f>
        <v>0</v>
      </c>
      <c r="J477" s="71">
        <f t="shared" si="8"/>
        <v>0</v>
      </c>
    </row>
    <row r="478" spans="1:10">
      <c r="A478" s="81"/>
      <c r="B478" s="70" t="str">
        <f>IF(ISBLANK(A478),"",INDEX('Error Log'!$A:$J,MATCH('Scores per segment'!$A478,'Error Log'!$A:$A,0),MATCH('Scores per segment'!B$1,'Error Log'!$A$1:$J$1,0)))</f>
        <v/>
      </c>
      <c r="C478" s="70" t="str">
        <f>IF(ISBLANK(A478),"",INDEX('Error Log'!$A:$J,MATCH('Scores per segment'!$A478,'Error Log'!$A:$A,0),MATCH('Scores per segment'!C$1,'Error Log'!$A$1:$J$1,0)))</f>
        <v/>
      </c>
      <c r="D478" s="70">
        <f>IF(H478=0,wdct(TRIM(C478)),0)</f>
        <v>0</v>
      </c>
      <c r="E478" s="70">
        <f>COUNTIFS('Error Log'!$A:$A,$A478,'Error Log'!$J:$J,E$1)</f>
        <v>0</v>
      </c>
      <c r="F478" s="70">
        <f>COUNTIFS('Error Log'!$A:$A,$A478,'Error Log'!$J:$J,F$1)</f>
        <v>0</v>
      </c>
      <c r="G478" s="70">
        <f>COUNTIFS('Error Log'!$A:$A,$A478,'Error Log'!$J:$J,G$1)</f>
        <v>0</v>
      </c>
      <c r="H478" s="70">
        <f>COUNTIFS('Error Log'!$A:$A,$A478,'Error Log'!$F:$F,"Source")</f>
        <v>0</v>
      </c>
      <c r="I478" s="70">
        <f>COUNTIFS('Error Log'!$A:$A,$A478,'Error Log'!$F:$F,"Target")</f>
        <v>0</v>
      </c>
      <c r="J478" s="71">
        <f t="shared" si="8"/>
        <v>0</v>
      </c>
    </row>
    <row r="479" spans="1:10">
      <c r="A479" s="81"/>
      <c r="B479" s="70" t="str">
        <f>IF(ISBLANK(A479),"",INDEX('Error Log'!$A:$J,MATCH('Scores per segment'!$A479,'Error Log'!$A:$A,0),MATCH('Scores per segment'!B$1,'Error Log'!$A$1:$J$1,0)))</f>
        <v/>
      </c>
      <c r="C479" s="70" t="str">
        <f>IF(ISBLANK(A479),"",INDEX('Error Log'!$A:$J,MATCH('Scores per segment'!$A479,'Error Log'!$A:$A,0),MATCH('Scores per segment'!C$1,'Error Log'!$A$1:$J$1,0)))</f>
        <v/>
      </c>
      <c r="D479" s="70">
        <f>IF(H479=0,wdct(TRIM(C479)),0)</f>
        <v>0</v>
      </c>
      <c r="E479" s="70">
        <f>COUNTIFS('Error Log'!$A:$A,$A479,'Error Log'!$J:$J,E$1)</f>
        <v>0</v>
      </c>
      <c r="F479" s="70">
        <f>COUNTIFS('Error Log'!$A:$A,$A479,'Error Log'!$J:$J,F$1)</f>
        <v>0</v>
      </c>
      <c r="G479" s="70">
        <f>COUNTIFS('Error Log'!$A:$A,$A479,'Error Log'!$J:$J,G$1)</f>
        <v>0</v>
      </c>
      <c r="H479" s="70">
        <f>COUNTIFS('Error Log'!$A:$A,$A479,'Error Log'!$F:$F,"Source")</f>
        <v>0</v>
      </c>
      <c r="I479" s="70">
        <f>COUNTIFS('Error Log'!$A:$A,$A479,'Error Log'!$F:$F,"Target")</f>
        <v>0</v>
      </c>
      <c r="J479" s="71">
        <f t="shared" si="8"/>
        <v>0</v>
      </c>
    </row>
    <row r="480" spans="1:10">
      <c r="A480" s="81"/>
      <c r="B480" s="70" t="str">
        <f>IF(ISBLANK(A480),"",INDEX('Error Log'!$A:$J,MATCH('Scores per segment'!$A480,'Error Log'!$A:$A,0),MATCH('Scores per segment'!B$1,'Error Log'!$A$1:$J$1,0)))</f>
        <v/>
      </c>
      <c r="C480" s="70" t="str">
        <f>IF(ISBLANK(A480),"",INDEX('Error Log'!$A:$J,MATCH('Scores per segment'!$A480,'Error Log'!$A:$A,0),MATCH('Scores per segment'!C$1,'Error Log'!$A$1:$J$1,0)))</f>
        <v/>
      </c>
      <c r="D480" s="70">
        <f>IF(H480=0,wdct(TRIM(C480)),0)</f>
        <v>0</v>
      </c>
      <c r="E480" s="70">
        <f>COUNTIFS('Error Log'!$A:$A,$A480,'Error Log'!$J:$J,E$1)</f>
        <v>0</v>
      </c>
      <c r="F480" s="70">
        <f>COUNTIFS('Error Log'!$A:$A,$A480,'Error Log'!$J:$J,F$1)</f>
        <v>0</v>
      </c>
      <c r="G480" s="70">
        <f>COUNTIFS('Error Log'!$A:$A,$A480,'Error Log'!$J:$J,G$1)</f>
        <v>0</v>
      </c>
      <c r="H480" s="70">
        <f>COUNTIFS('Error Log'!$A:$A,$A480,'Error Log'!$F:$F,"Source")</f>
        <v>0</v>
      </c>
      <c r="I480" s="70">
        <f>COUNTIFS('Error Log'!$A:$A,$A480,'Error Log'!$F:$F,"Target")</f>
        <v>0</v>
      </c>
      <c r="J480" s="71">
        <f t="shared" si="8"/>
        <v>0</v>
      </c>
    </row>
    <row r="481" spans="1:10">
      <c r="A481" s="81"/>
      <c r="B481" s="70" t="str">
        <f>IF(ISBLANK(A481),"",INDEX('Error Log'!$A:$J,MATCH('Scores per segment'!$A481,'Error Log'!$A:$A,0),MATCH('Scores per segment'!B$1,'Error Log'!$A$1:$J$1,0)))</f>
        <v/>
      </c>
      <c r="C481" s="70" t="str">
        <f>IF(ISBLANK(A481),"",INDEX('Error Log'!$A:$J,MATCH('Scores per segment'!$A481,'Error Log'!$A:$A,0),MATCH('Scores per segment'!C$1,'Error Log'!$A$1:$J$1,0)))</f>
        <v/>
      </c>
      <c r="D481" s="70">
        <f>IF(H481=0,wdct(TRIM(C481)),0)</f>
        <v>0</v>
      </c>
      <c r="E481" s="70">
        <f>COUNTIFS('Error Log'!$A:$A,$A481,'Error Log'!$J:$J,E$1)</f>
        <v>0</v>
      </c>
      <c r="F481" s="70">
        <f>COUNTIFS('Error Log'!$A:$A,$A481,'Error Log'!$J:$J,F$1)</f>
        <v>0</v>
      </c>
      <c r="G481" s="70">
        <f>COUNTIFS('Error Log'!$A:$A,$A481,'Error Log'!$J:$J,G$1)</f>
        <v>0</v>
      </c>
      <c r="H481" s="70">
        <f>COUNTIFS('Error Log'!$A:$A,$A481,'Error Log'!$F:$F,"Source")</f>
        <v>0</v>
      </c>
      <c r="I481" s="70">
        <f>COUNTIFS('Error Log'!$A:$A,$A481,'Error Log'!$F:$F,"Target")</f>
        <v>0</v>
      </c>
      <c r="J481" s="71">
        <f t="shared" si="8"/>
        <v>0</v>
      </c>
    </row>
    <row r="482" spans="1:10">
      <c r="A482" s="81"/>
      <c r="B482" s="70" t="str">
        <f>IF(ISBLANK(A482),"",INDEX('Error Log'!$A:$J,MATCH('Scores per segment'!$A482,'Error Log'!$A:$A,0),MATCH('Scores per segment'!B$1,'Error Log'!$A$1:$J$1,0)))</f>
        <v/>
      </c>
      <c r="C482" s="70" t="str">
        <f>IF(ISBLANK(A482),"",INDEX('Error Log'!$A:$J,MATCH('Scores per segment'!$A482,'Error Log'!$A:$A,0),MATCH('Scores per segment'!C$1,'Error Log'!$A$1:$J$1,0)))</f>
        <v/>
      </c>
      <c r="D482" s="70">
        <f>IF(H482=0,wdct(TRIM(C482)),0)</f>
        <v>0</v>
      </c>
      <c r="E482" s="70">
        <f>COUNTIFS('Error Log'!$A:$A,$A482,'Error Log'!$J:$J,E$1)</f>
        <v>0</v>
      </c>
      <c r="F482" s="70">
        <f>COUNTIFS('Error Log'!$A:$A,$A482,'Error Log'!$J:$J,F$1)</f>
        <v>0</v>
      </c>
      <c r="G482" s="70">
        <f>COUNTIFS('Error Log'!$A:$A,$A482,'Error Log'!$J:$J,G$1)</f>
        <v>0</v>
      </c>
      <c r="H482" s="70">
        <f>COUNTIFS('Error Log'!$A:$A,$A482,'Error Log'!$F:$F,"Source")</f>
        <v>0</v>
      </c>
      <c r="I482" s="70">
        <f>COUNTIFS('Error Log'!$A:$A,$A482,'Error Log'!$F:$F,"Target")</f>
        <v>0</v>
      </c>
      <c r="J482" s="71">
        <f t="shared" si="8"/>
        <v>0</v>
      </c>
    </row>
    <row r="483" spans="1:10">
      <c r="A483" s="81"/>
      <c r="B483" s="70" t="str">
        <f>IF(ISBLANK(A483),"",INDEX('Error Log'!$A:$J,MATCH('Scores per segment'!$A483,'Error Log'!$A:$A,0),MATCH('Scores per segment'!B$1,'Error Log'!$A$1:$J$1,0)))</f>
        <v/>
      </c>
      <c r="C483" s="70" t="str">
        <f>IF(ISBLANK(A483),"",INDEX('Error Log'!$A:$J,MATCH('Scores per segment'!$A483,'Error Log'!$A:$A,0),MATCH('Scores per segment'!C$1,'Error Log'!$A$1:$J$1,0)))</f>
        <v/>
      </c>
      <c r="D483" s="70">
        <f>IF(H483=0,wdct(TRIM(C483)),0)</f>
        <v>0</v>
      </c>
      <c r="E483" s="70">
        <f>COUNTIFS('Error Log'!$A:$A,$A483,'Error Log'!$J:$J,E$1)</f>
        <v>0</v>
      </c>
      <c r="F483" s="70">
        <f>COUNTIFS('Error Log'!$A:$A,$A483,'Error Log'!$J:$J,F$1)</f>
        <v>0</v>
      </c>
      <c r="G483" s="70">
        <f>COUNTIFS('Error Log'!$A:$A,$A483,'Error Log'!$J:$J,G$1)</f>
        <v>0</v>
      </c>
      <c r="H483" s="70">
        <f>COUNTIFS('Error Log'!$A:$A,$A483,'Error Log'!$F:$F,"Source")</f>
        <v>0</v>
      </c>
      <c r="I483" s="70">
        <f>COUNTIFS('Error Log'!$A:$A,$A483,'Error Log'!$F:$F,"Target")</f>
        <v>0</v>
      </c>
      <c r="J483" s="71">
        <f t="shared" si="8"/>
        <v>0</v>
      </c>
    </row>
    <row r="484" spans="1:10">
      <c r="A484" s="81"/>
      <c r="B484" s="70" t="str">
        <f>IF(ISBLANK(A484),"",INDEX('Error Log'!$A:$J,MATCH('Scores per segment'!$A484,'Error Log'!$A:$A,0),MATCH('Scores per segment'!B$1,'Error Log'!$A$1:$J$1,0)))</f>
        <v/>
      </c>
      <c r="C484" s="70" t="str">
        <f>IF(ISBLANK(A484),"",INDEX('Error Log'!$A:$J,MATCH('Scores per segment'!$A484,'Error Log'!$A:$A,0),MATCH('Scores per segment'!C$1,'Error Log'!$A$1:$J$1,0)))</f>
        <v/>
      </c>
      <c r="D484" s="70">
        <f>IF(H484=0,wdct(TRIM(C484)),0)</f>
        <v>0</v>
      </c>
      <c r="E484" s="70">
        <f>COUNTIFS('Error Log'!$A:$A,$A484,'Error Log'!$J:$J,E$1)</f>
        <v>0</v>
      </c>
      <c r="F484" s="70">
        <f>COUNTIFS('Error Log'!$A:$A,$A484,'Error Log'!$J:$J,F$1)</f>
        <v>0</v>
      </c>
      <c r="G484" s="70">
        <f>COUNTIFS('Error Log'!$A:$A,$A484,'Error Log'!$J:$J,G$1)</f>
        <v>0</v>
      </c>
      <c r="H484" s="70">
        <f>COUNTIFS('Error Log'!$A:$A,$A484,'Error Log'!$F:$F,"Source")</f>
        <v>0</v>
      </c>
      <c r="I484" s="70">
        <f>COUNTIFS('Error Log'!$A:$A,$A484,'Error Log'!$F:$F,"Target")</f>
        <v>0</v>
      </c>
      <c r="J484" s="71">
        <f t="shared" si="8"/>
        <v>0</v>
      </c>
    </row>
    <row r="485" spans="1:10">
      <c r="A485" s="81"/>
      <c r="B485" s="70" t="str">
        <f>IF(ISBLANK(A485),"",INDEX('Error Log'!$A:$J,MATCH('Scores per segment'!$A485,'Error Log'!$A:$A,0),MATCH('Scores per segment'!B$1,'Error Log'!$A$1:$J$1,0)))</f>
        <v/>
      </c>
      <c r="C485" s="70" t="str">
        <f>IF(ISBLANK(A485),"",INDEX('Error Log'!$A:$J,MATCH('Scores per segment'!$A485,'Error Log'!$A:$A,0),MATCH('Scores per segment'!C$1,'Error Log'!$A$1:$J$1,0)))</f>
        <v/>
      </c>
      <c r="D485" s="70">
        <f>IF(H485=0,wdct(TRIM(C485)),0)</f>
        <v>0</v>
      </c>
      <c r="E485" s="70">
        <f>COUNTIFS('Error Log'!$A:$A,$A485,'Error Log'!$J:$J,E$1)</f>
        <v>0</v>
      </c>
      <c r="F485" s="70">
        <f>COUNTIFS('Error Log'!$A:$A,$A485,'Error Log'!$J:$J,F$1)</f>
        <v>0</v>
      </c>
      <c r="G485" s="70">
        <f>COUNTIFS('Error Log'!$A:$A,$A485,'Error Log'!$J:$J,G$1)</f>
        <v>0</v>
      </c>
      <c r="H485" s="70">
        <f>COUNTIFS('Error Log'!$A:$A,$A485,'Error Log'!$F:$F,"Source")</f>
        <v>0</v>
      </c>
      <c r="I485" s="70">
        <f>COUNTIFS('Error Log'!$A:$A,$A485,'Error Log'!$F:$F,"Target")</f>
        <v>0</v>
      </c>
      <c r="J485" s="71">
        <f t="shared" si="8"/>
        <v>0</v>
      </c>
    </row>
    <row r="486" spans="1:10">
      <c r="A486" s="81"/>
      <c r="B486" s="70" t="str">
        <f>IF(ISBLANK(A486),"",INDEX('Error Log'!$A:$J,MATCH('Scores per segment'!$A486,'Error Log'!$A:$A,0),MATCH('Scores per segment'!B$1,'Error Log'!$A$1:$J$1,0)))</f>
        <v/>
      </c>
      <c r="C486" s="70" t="str">
        <f>IF(ISBLANK(A486),"",INDEX('Error Log'!$A:$J,MATCH('Scores per segment'!$A486,'Error Log'!$A:$A,0),MATCH('Scores per segment'!C$1,'Error Log'!$A$1:$J$1,0)))</f>
        <v/>
      </c>
      <c r="D486" s="70">
        <f>IF(H486=0,wdct(TRIM(C486)),0)</f>
        <v>0</v>
      </c>
      <c r="E486" s="70">
        <f>COUNTIFS('Error Log'!$A:$A,$A486,'Error Log'!$J:$J,E$1)</f>
        <v>0</v>
      </c>
      <c r="F486" s="70">
        <f>COUNTIFS('Error Log'!$A:$A,$A486,'Error Log'!$J:$J,F$1)</f>
        <v>0</v>
      </c>
      <c r="G486" s="70">
        <f>COUNTIFS('Error Log'!$A:$A,$A486,'Error Log'!$J:$J,G$1)</f>
        <v>0</v>
      </c>
      <c r="H486" s="70">
        <f>COUNTIFS('Error Log'!$A:$A,$A486,'Error Log'!$F:$F,"Source")</f>
        <v>0</v>
      </c>
      <c r="I486" s="70">
        <f>COUNTIFS('Error Log'!$A:$A,$A486,'Error Log'!$F:$F,"Target")</f>
        <v>0</v>
      </c>
      <c r="J486" s="71">
        <f t="shared" si="8"/>
        <v>0</v>
      </c>
    </row>
    <row r="487" spans="1:10">
      <c r="A487" s="81"/>
      <c r="B487" s="70" t="str">
        <f>IF(ISBLANK(A487),"",INDEX('Error Log'!$A:$J,MATCH('Scores per segment'!$A487,'Error Log'!$A:$A,0),MATCH('Scores per segment'!B$1,'Error Log'!$A$1:$J$1,0)))</f>
        <v/>
      </c>
      <c r="C487" s="70" t="str">
        <f>IF(ISBLANK(A487),"",INDEX('Error Log'!$A:$J,MATCH('Scores per segment'!$A487,'Error Log'!$A:$A,0),MATCH('Scores per segment'!C$1,'Error Log'!$A$1:$J$1,0)))</f>
        <v/>
      </c>
      <c r="D487" s="70">
        <f>IF(H487=0,wdct(TRIM(C487)),0)</f>
        <v>0</v>
      </c>
      <c r="E487" s="70">
        <f>COUNTIFS('Error Log'!$A:$A,$A487,'Error Log'!$J:$J,E$1)</f>
        <v>0</v>
      </c>
      <c r="F487" s="70">
        <f>COUNTIFS('Error Log'!$A:$A,$A487,'Error Log'!$J:$J,F$1)</f>
        <v>0</v>
      </c>
      <c r="G487" s="70">
        <f>COUNTIFS('Error Log'!$A:$A,$A487,'Error Log'!$J:$J,G$1)</f>
        <v>0</v>
      </c>
      <c r="H487" s="70">
        <f>COUNTIFS('Error Log'!$A:$A,$A487,'Error Log'!$F:$F,"Source")</f>
        <v>0</v>
      </c>
      <c r="I487" s="70">
        <f>COUNTIFS('Error Log'!$A:$A,$A487,'Error Log'!$F:$F,"Target")</f>
        <v>0</v>
      </c>
      <c r="J487" s="71">
        <f t="shared" si="8"/>
        <v>0</v>
      </c>
    </row>
    <row r="488" spans="1:10">
      <c r="A488" s="81"/>
      <c r="B488" s="70" t="str">
        <f>IF(ISBLANK(A488),"",INDEX('Error Log'!$A:$J,MATCH('Scores per segment'!$A488,'Error Log'!$A:$A,0),MATCH('Scores per segment'!B$1,'Error Log'!$A$1:$J$1,0)))</f>
        <v/>
      </c>
      <c r="C488" s="70" t="str">
        <f>IF(ISBLANK(A488),"",INDEX('Error Log'!$A:$J,MATCH('Scores per segment'!$A488,'Error Log'!$A:$A,0),MATCH('Scores per segment'!C$1,'Error Log'!$A$1:$J$1,0)))</f>
        <v/>
      </c>
      <c r="D488" s="70">
        <f>IF(H488=0,wdct(TRIM(C488)),0)</f>
        <v>0</v>
      </c>
      <c r="E488" s="70">
        <f>COUNTIFS('Error Log'!$A:$A,$A488,'Error Log'!$J:$J,E$1)</f>
        <v>0</v>
      </c>
      <c r="F488" s="70">
        <f>COUNTIFS('Error Log'!$A:$A,$A488,'Error Log'!$J:$J,F$1)</f>
        <v>0</v>
      </c>
      <c r="G488" s="70">
        <f>COUNTIFS('Error Log'!$A:$A,$A488,'Error Log'!$J:$J,G$1)</f>
        <v>0</v>
      </c>
      <c r="H488" s="70">
        <f>COUNTIFS('Error Log'!$A:$A,$A488,'Error Log'!$F:$F,"Source")</f>
        <v>0</v>
      </c>
      <c r="I488" s="70">
        <f>COUNTIFS('Error Log'!$A:$A,$A488,'Error Log'!$F:$F,"Target")</f>
        <v>0</v>
      </c>
      <c r="J488" s="71">
        <f t="shared" si="8"/>
        <v>0</v>
      </c>
    </row>
    <row r="489" spans="1:10">
      <c r="A489" s="81"/>
      <c r="B489" s="70" t="str">
        <f>IF(ISBLANK(A489),"",INDEX('Error Log'!$A:$J,MATCH('Scores per segment'!$A489,'Error Log'!$A:$A,0),MATCH('Scores per segment'!B$1,'Error Log'!$A$1:$J$1,0)))</f>
        <v/>
      </c>
      <c r="C489" s="70" t="str">
        <f>IF(ISBLANK(A489),"",INDEX('Error Log'!$A:$J,MATCH('Scores per segment'!$A489,'Error Log'!$A:$A,0),MATCH('Scores per segment'!C$1,'Error Log'!$A$1:$J$1,0)))</f>
        <v/>
      </c>
      <c r="D489" s="70">
        <f>IF(H489=0,wdct(TRIM(C489)),0)</f>
        <v>0</v>
      </c>
      <c r="E489" s="70">
        <f>COUNTIFS('Error Log'!$A:$A,$A489,'Error Log'!$J:$J,E$1)</f>
        <v>0</v>
      </c>
      <c r="F489" s="70">
        <f>COUNTIFS('Error Log'!$A:$A,$A489,'Error Log'!$J:$J,F$1)</f>
        <v>0</v>
      </c>
      <c r="G489" s="70">
        <f>COUNTIFS('Error Log'!$A:$A,$A489,'Error Log'!$J:$J,G$1)</f>
        <v>0</v>
      </c>
      <c r="H489" s="70">
        <f>COUNTIFS('Error Log'!$A:$A,$A489,'Error Log'!$F:$F,"Source")</f>
        <v>0</v>
      </c>
      <c r="I489" s="70">
        <f>COUNTIFS('Error Log'!$A:$A,$A489,'Error Log'!$F:$F,"Target")</f>
        <v>0</v>
      </c>
      <c r="J489" s="71">
        <f t="shared" si="8"/>
        <v>0</v>
      </c>
    </row>
    <row r="490" spans="1:10">
      <c r="A490" s="81"/>
      <c r="B490" s="70" t="str">
        <f>IF(ISBLANK(A490),"",INDEX('Error Log'!$A:$J,MATCH('Scores per segment'!$A490,'Error Log'!$A:$A,0),MATCH('Scores per segment'!B$1,'Error Log'!$A$1:$J$1,0)))</f>
        <v/>
      </c>
      <c r="C490" s="70" t="str">
        <f>IF(ISBLANK(A490),"",INDEX('Error Log'!$A:$J,MATCH('Scores per segment'!$A490,'Error Log'!$A:$A,0),MATCH('Scores per segment'!C$1,'Error Log'!$A$1:$J$1,0)))</f>
        <v/>
      </c>
      <c r="D490" s="70">
        <f>IF(H490=0,wdct(TRIM(C490)),0)</f>
        <v>0</v>
      </c>
      <c r="E490" s="70">
        <f>COUNTIFS('Error Log'!$A:$A,$A490,'Error Log'!$J:$J,E$1)</f>
        <v>0</v>
      </c>
      <c r="F490" s="70">
        <f>COUNTIFS('Error Log'!$A:$A,$A490,'Error Log'!$J:$J,F$1)</f>
        <v>0</v>
      </c>
      <c r="G490" s="70">
        <f>COUNTIFS('Error Log'!$A:$A,$A490,'Error Log'!$J:$J,G$1)</f>
        <v>0</v>
      </c>
      <c r="H490" s="70">
        <f>COUNTIFS('Error Log'!$A:$A,$A490,'Error Log'!$F:$F,"Source")</f>
        <v>0</v>
      </c>
      <c r="I490" s="70">
        <f>COUNTIFS('Error Log'!$A:$A,$A490,'Error Log'!$F:$F,"Target")</f>
        <v>0</v>
      </c>
      <c r="J490" s="71">
        <f t="shared" si="8"/>
        <v>0</v>
      </c>
    </row>
    <row r="491" spans="1:10">
      <c r="A491" s="81"/>
      <c r="B491" s="70" t="str">
        <f>IF(ISBLANK(A491),"",INDEX('Error Log'!$A:$J,MATCH('Scores per segment'!$A491,'Error Log'!$A:$A,0),MATCH('Scores per segment'!B$1,'Error Log'!$A$1:$J$1,0)))</f>
        <v/>
      </c>
      <c r="C491" s="70" t="str">
        <f>IF(ISBLANK(A491),"",INDEX('Error Log'!$A:$J,MATCH('Scores per segment'!$A491,'Error Log'!$A:$A,0),MATCH('Scores per segment'!C$1,'Error Log'!$A$1:$J$1,0)))</f>
        <v/>
      </c>
      <c r="D491" s="70">
        <f>IF(H491=0,wdct(TRIM(C491)),0)</f>
        <v>0</v>
      </c>
      <c r="E491" s="70">
        <f>COUNTIFS('Error Log'!$A:$A,$A491,'Error Log'!$J:$J,E$1)</f>
        <v>0</v>
      </c>
      <c r="F491" s="70">
        <f>COUNTIFS('Error Log'!$A:$A,$A491,'Error Log'!$J:$J,F$1)</f>
        <v>0</v>
      </c>
      <c r="G491" s="70">
        <f>COUNTIFS('Error Log'!$A:$A,$A491,'Error Log'!$J:$J,G$1)</f>
        <v>0</v>
      </c>
      <c r="H491" s="70">
        <f>COUNTIFS('Error Log'!$A:$A,$A491,'Error Log'!$F:$F,"Source")</f>
        <v>0</v>
      </c>
      <c r="I491" s="70">
        <f>COUNTIFS('Error Log'!$A:$A,$A491,'Error Log'!$F:$F,"Target")</f>
        <v>0</v>
      </c>
      <c r="J491" s="71">
        <f t="shared" si="8"/>
        <v>0</v>
      </c>
    </row>
    <row r="492" spans="1:10">
      <c r="A492" s="81"/>
      <c r="B492" s="70" t="str">
        <f>IF(ISBLANK(A492),"",INDEX('Error Log'!$A:$J,MATCH('Scores per segment'!$A492,'Error Log'!$A:$A,0),MATCH('Scores per segment'!B$1,'Error Log'!$A$1:$J$1,0)))</f>
        <v/>
      </c>
      <c r="C492" s="70" t="str">
        <f>IF(ISBLANK(A492),"",INDEX('Error Log'!$A:$J,MATCH('Scores per segment'!$A492,'Error Log'!$A:$A,0),MATCH('Scores per segment'!C$1,'Error Log'!$A$1:$J$1,0)))</f>
        <v/>
      </c>
      <c r="D492" s="70">
        <f>IF(H492=0,wdct(TRIM(C492)),0)</f>
        <v>0</v>
      </c>
      <c r="E492" s="70">
        <f>COUNTIFS('Error Log'!$A:$A,$A492,'Error Log'!$J:$J,E$1)</f>
        <v>0</v>
      </c>
      <c r="F492" s="70">
        <f>COUNTIFS('Error Log'!$A:$A,$A492,'Error Log'!$J:$J,F$1)</f>
        <v>0</v>
      </c>
      <c r="G492" s="70">
        <f>COUNTIFS('Error Log'!$A:$A,$A492,'Error Log'!$J:$J,G$1)</f>
        <v>0</v>
      </c>
      <c r="H492" s="70">
        <f>COUNTIFS('Error Log'!$A:$A,$A492,'Error Log'!$F:$F,"Source")</f>
        <v>0</v>
      </c>
      <c r="I492" s="70">
        <f>COUNTIFS('Error Log'!$A:$A,$A492,'Error Log'!$F:$F,"Target")</f>
        <v>0</v>
      </c>
      <c r="J492" s="71">
        <f t="shared" si="8"/>
        <v>0</v>
      </c>
    </row>
    <row r="493" spans="1:10">
      <c r="A493" s="81"/>
      <c r="B493" s="70" t="str">
        <f>IF(ISBLANK(A493),"",INDEX('Error Log'!$A:$J,MATCH('Scores per segment'!$A493,'Error Log'!$A:$A,0),MATCH('Scores per segment'!B$1,'Error Log'!$A$1:$J$1,0)))</f>
        <v/>
      </c>
      <c r="C493" s="70" t="str">
        <f>IF(ISBLANK(A493),"",INDEX('Error Log'!$A:$J,MATCH('Scores per segment'!$A493,'Error Log'!$A:$A,0),MATCH('Scores per segment'!C$1,'Error Log'!$A$1:$J$1,0)))</f>
        <v/>
      </c>
      <c r="D493" s="70">
        <f>IF(H493=0,wdct(TRIM(C493)),0)</f>
        <v>0</v>
      </c>
      <c r="E493" s="70">
        <f>COUNTIFS('Error Log'!$A:$A,$A493,'Error Log'!$J:$J,E$1)</f>
        <v>0</v>
      </c>
      <c r="F493" s="70">
        <f>COUNTIFS('Error Log'!$A:$A,$A493,'Error Log'!$J:$J,F$1)</f>
        <v>0</v>
      </c>
      <c r="G493" s="70">
        <f>COUNTIFS('Error Log'!$A:$A,$A493,'Error Log'!$J:$J,G$1)</f>
        <v>0</v>
      </c>
      <c r="H493" s="70">
        <f>COUNTIFS('Error Log'!$A:$A,$A493,'Error Log'!$F:$F,"Source")</f>
        <v>0</v>
      </c>
      <c r="I493" s="70">
        <f>COUNTIFS('Error Log'!$A:$A,$A493,'Error Log'!$F:$F,"Target")</f>
        <v>0</v>
      </c>
      <c r="J493" s="71">
        <f t="shared" si="8"/>
        <v>0</v>
      </c>
    </row>
    <row r="494" spans="1:10">
      <c r="A494" s="81"/>
      <c r="B494" s="70" t="str">
        <f>IF(ISBLANK(A494),"",INDEX('Error Log'!$A:$J,MATCH('Scores per segment'!$A494,'Error Log'!$A:$A,0),MATCH('Scores per segment'!B$1,'Error Log'!$A$1:$J$1,0)))</f>
        <v/>
      </c>
      <c r="C494" s="70" t="str">
        <f>IF(ISBLANK(A494),"",INDEX('Error Log'!$A:$J,MATCH('Scores per segment'!$A494,'Error Log'!$A:$A,0),MATCH('Scores per segment'!C$1,'Error Log'!$A$1:$J$1,0)))</f>
        <v/>
      </c>
      <c r="D494" s="70">
        <f>IF(H494=0,wdct(TRIM(C494)),0)</f>
        <v>0</v>
      </c>
      <c r="E494" s="70">
        <f>COUNTIFS('Error Log'!$A:$A,$A494,'Error Log'!$J:$J,E$1)</f>
        <v>0</v>
      </c>
      <c r="F494" s="70">
        <f>COUNTIFS('Error Log'!$A:$A,$A494,'Error Log'!$J:$J,F$1)</f>
        <v>0</v>
      </c>
      <c r="G494" s="70">
        <f>COUNTIFS('Error Log'!$A:$A,$A494,'Error Log'!$J:$J,G$1)</f>
        <v>0</v>
      </c>
      <c r="H494" s="70">
        <f>COUNTIFS('Error Log'!$A:$A,$A494,'Error Log'!$F:$F,"Source")</f>
        <v>0</v>
      </c>
      <c r="I494" s="70">
        <f>COUNTIFS('Error Log'!$A:$A,$A494,'Error Log'!$F:$F,"Target")</f>
        <v>0</v>
      </c>
      <c r="J494" s="71">
        <f t="shared" si="8"/>
        <v>0</v>
      </c>
    </row>
    <row r="495" spans="1:10">
      <c r="A495" s="81"/>
      <c r="B495" s="70" t="str">
        <f>IF(ISBLANK(A495),"",INDEX('Error Log'!$A:$J,MATCH('Scores per segment'!$A495,'Error Log'!$A:$A,0),MATCH('Scores per segment'!B$1,'Error Log'!$A$1:$J$1,0)))</f>
        <v/>
      </c>
      <c r="C495" s="70" t="str">
        <f>IF(ISBLANK(A495),"",INDEX('Error Log'!$A:$J,MATCH('Scores per segment'!$A495,'Error Log'!$A:$A,0),MATCH('Scores per segment'!C$1,'Error Log'!$A$1:$J$1,0)))</f>
        <v/>
      </c>
      <c r="D495" s="70">
        <f>IF(H495=0,wdct(TRIM(C495)),0)</f>
        <v>0</v>
      </c>
      <c r="E495" s="70">
        <f>COUNTIFS('Error Log'!$A:$A,$A495,'Error Log'!$J:$J,E$1)</f>
        <v>0</v>
      </c>
      <c r="F495" s="70">
        <f>COUNTIFS('Error Log'!$A:$A,$A495,'Error Log'!$J:$J,F$1)</f>
        <v>0</v>
      </c>
      <c r="G495" s="70">
        <f>COUNTIFS('Error Log'!$A:$A,$A495,'Error Log'!$J:$J,G$1)</f>
        <v>0</v>
      </c>
      <c r="H495" s="70">
        <f>COUNTIFS('Error Log'!$A:$A,$A495,'Error Log'!$F:$F,"Source")</f>
        <v>0</v>
      </c>
      <c r="I495" s="70">
        <f>COUNTIFS('Error Log'!$A:$A,$A495,'Error Log'!$F:$F,"Target")</f>
        <v>0</v>
      </c>
      <c r="J495" s="71">
        <f t="shared" si="8"/>
        <v>0</v>
      </c>
    </row>
    <row r="496" spans="1:10">
      <c r="A496" s="81"/>
      <c r="B496" s="70" t="str">
        <f>IF(ISBLANK(A496),"",INDEX('Error Log'!$A:$J,MATCH('Scores per segment'!$A496,'Error Log'!$A:$A,0),MATCH('Scores per segment'!B$1,'Error Log'!$A$1:$J$1,0)))</f>
        <v/>
      </c>
      <c r="C496" s="70" t="str">
        <f>IF(ISBLANK(A496),"",INDEX('Error Log'!$A:$J,MATCH('Scores per segment'!$A496,'Error Log'!$A:$A,0),MATCH('Scores per segment'!C$1,'Error Log'!$A$1:$J$1,0)))</f>
        <v/>
      </c>
      <c r="D496" s="70">
        <f>IF(H496=0,wdct(TRIM(C496)),0)</f>
        <v>0</v>
      </c>
      <c r="E496" s="70">
        <f>COUNTIFS('Error Log'!$A:$A,$A496,'Error Log'!$J:$J,E$1)</f>
        <v>0</v>
      </c>
      <c r="F496" s="70">
        <f>COUNTIFS('Error Log'!$A:$A,$A496,'Error Log'!$J:$J,F$1)</f>
        <v>0</v>
      </c>
      <c r="G496" s="70">
        <f>COUNTIFS('Error Log'!$A:$A,$A496,'Error Log'!$J:$J,G$1)</f>
        <v>0</v>
      </c>
      <c r="H496" s="70">
        <f>COUNTIFS('Error Log'!$A:$A,$A496,'Error Log'!$F:$F,"Source")</f>
        <v>0</v>
      </c>
      <c r="I496" s="70">
        <f>COUNTIFS('Error Log'!$A:$A,$A496,'Error Log'!$F:$F,"Target")</f>
        <v>0</v>
      </c>
      <c r="J496" s="71">
        <f t="shared" si="8"/>
        <v>0</v>
      </c>
    </row>
    <row r="497" spans="1:10">
      <c r="A497" s="81"/>
      <c r="B497" s="70" t="str">
        <f>IF(ISBLANK(A497),"",INDEX('Error Log'!$A:$J,MATCH('Scores per segment'!$A497,'Error Log'!$A:$A,0),MATCH('Scores per segment'!B$1,'Error Log'!$A$1:$J$1,0)))</f>
        <v/>
      </c>
      <c r="C497" s="70" t="str">
        <f>IF(ISBLANK(A497),"",INDEX('Error Log'!$A:$J,MATCH('Scores per segment'!$A497,'Error Log'!$A:$A,0),MATCH('Scores per segment'!C$1,'Error Log'!$A$1:$J$1,0)))</f>
        <v/>
      </c>
      <c r="D497" s="70">
        <f>IF(H497=0,wdct(TRIM(C497)),0)</f>
        <v>0</v>
      </c>
      <c r="E497" s="70">
        <f>COUNTIFS('Error Log'!$A:$A,$A497,'Error Log'!$J:$J,E$1)</f>
        <v>0</v>
      </c>
      <c r="F497" s="70">
        <f>COUNTIFS('Error Log'!$A:$A,$A497,'Error Log'!$J:$J,F$1)</f>
        <v>0</v>
      </c>
      <c r="G497" s="70">
        <f>COUNTIFS('Error Log'!$A:$A,$A497,'Error Log'!$J:$J,G$1)</f>
        <v>0</v>
      </c>
      <c r="H497" s="70">
        <f>COUNTIFS('Error Log'!$A:$A,$A497,'Error Log'!$F:$F,"Source")</f>
        <v>0</v>
      </c>
      <c r="I497" s="70">
        <f>COUNTIFS('Error Log'!$A:$A,$A497,'Error Log'!$F:$F,"Target")</f>
        <v>0</v>
      </c>
      <c r="J497" s="71">
        <f t="shared" si="8"/>
        <v>0</v>
      </c>
    </row>
    <row r="498" spans="1:10">
      <c r="A498" s="81"/>
      <c r="B498" s="70" t="str">
        <f>IF(ISBLANK(A498),"",INDEX('Error Log'!$A:$J,MATCH('Scores per segment'!$A498,'Error Log'!$A:$A,0),MATCH('Scores per segment'!B$1,'Error Log'!$A$1:$J$1,0)))</f>
        <v/>
      </c>
      <c r="C498" s="70" t="str">
        <f>IF(ISBLANK(A498),"",INDEX('Error Log'!$A:$J,MATCH('Scores per segment'!$A498,'Error Log'!$A:$A,0),MATCH('Scores per segment'!C$1,'Error Log'!$A$1:$J$1,0)))</f>
        <v/>
      </c>
      <c r="D498" s="70">
        <f>IF(H498=0,wdct(TRIM(C498)),0)</f>
        <v>0</v>
      </c>
      <c r="E498" s="70">
        <f>COUNTIFS('Error Log'!$A:$A,$A498,'Error Log'!$J:$J,E$1)</f>
        <v>0</v>
      </c>
      <c r="F498" s="70">
        <f>COUNTIFS('Error Log'!$A:$A,$A498,'Error Log'!$J:$J,F$1)</f>
        <v>0</v>
      </c>
      <c r="G498" s="70">
        <f>COUNTIFS('Error Log'!$A:$A,$A498,'Error Log'!$J:$J,G$1)</f>
        <v>0</v>
      </c>
      <c r="H498" s="70">
        <f>COUNTIFS('Error Log'!$A:$A,$A498,'Error Log'!$F:$F,"Source")</f>
        <v>0</v>
      </c>
      <c r="I498" s="70">
        <f>COUNTIFS('Error Log'!$A:$A,$A498,'Error Log'!$F:$F,"Target")</f>
        <v>0</v>
      </c>
      <c r="J498" s="71">
        <f t="shared" si="8"/>
        <v>0</v>
      </c>
    </row>
    <row r="499" spans="1:10">
      <c r="A499" s="81"/>
      <c r="B499" s="70" t="str">
        <f>IF(ISBLANK(A499),"",INDEX('Error Log'!$A:$J,MATCH('Scores per segment'!$A499,'Error Log'!$A:$A,0),MATCH('Scores per segment'!B$1,'Error Log'!$A$1:$J$1,0)))</f>
        <v/>
      </c>
      <c r="C499" s="70" t="str">
        <f>IF(ISBLANK(A499),"",INDEX('Error Log'!$A:$J,MATCH('Scores per segment'!$A499,'Error Log'!$A:$A,0),MATCH('Scores per segment'!C$1,'Error Log'!$A$1:$J$1,0)))</f>
        <v/>
      </c>
      <c r="D499" s="70">
        <f>IF(H499=0,wdct(TRIM(C499)),0)</f>
        <v>0</v>
      </c>
      <c r="E499" s="70">
        <f>COUNTIFS('Error Log'!$A:$A,$A499,'Error Log'!$J:$J,E$1)</f>
        <v>0</v>
      </c>
      <c r="F499" s="70">
        <f>COUNTIFS('Error Log'!$A:$A,$A499,'Error Log'!$J:$J,F$1)</f>
        <v>0</v>
      </c>
      <c r="G499" s="70">
        <f>COUNTIFS('Error Log'!$A:$A,$A499,'Error Log'!$J:$J,G$1)</f>
        <v>0</v>
      </c>
      <c r="H499" s="70">
        <f>COUNTIFS('Error Log'!$A:$A,$A499,'Error Log'!$F:$F,"Source")</f>
        <v>0</v>
      </c>
      <c r="I499" s="70">
        <f>COUNTIFS('Error Log'!$A:$A,$A499,'Error Log'!$F:$F,"Target")</f>
        <v>0</v>
      </c>
      <c r="J499" s="71">
        <f t="shared" si="8"/>
        <v>0</v>
      </c>
    </row>
    <row r="500" spans="1:10">
      <c r="A500" s="81"/>
      <c r="B500" s="70" t="str">
        <f>IF(ISBLANK(A500),"",INDEX('Error Log'!$A:$J,MATCH('Scores per segment'!$A500,'Error Log'!$A:$A,0),MATCH('Scores per segment'!B$1,'Error Log'!$A$1:$J$1,0)))</f>
        <v/>
      </c>
      <c r="C500" s="70" t="str">
        <f>IF(ISBLANK(A500),"",INDEX('Error Log'!$A:$J,MATCH('Scores per segment'!$A500,'Error Log'!$A:$A,0),MATCH('Scores per segment'!C$1,'Error Log'!$A$1:$J$1,0)))</f>
        <v/>
      </c>
      <c r="D500" s="70">
        <f>IF(H500=0,wdct(TRIM(C500)),0)</f>
        <v>0</v>
      </c>
      <c r="E500" s="70">
        <f>COUNTIFS('Error Log'!$A:$A,$A500,'Error Log'!$J:$J,E$1)</f>
        <v>0</v>
      </c>
      <c r="F500" s="70">
        <f>COUNTIFS('Error Log'!$A:$A,$A500,'Error Log'!$J:$J,F$1)</f>
        <v>0</v>
      </c>
      <c r="G500" s="70">
        <f>COUNTIFS('Error Log'!$A:$A,$A500,'Error Log'!$J:$J,G$1)</f>
        <v>0</v>
      </c>
      <c r="H500" s="70">
        <f>COUNTIFS('Error Log'!$A:$A,$A500,'Error Log'!$F:$F,"Source")</f>
        <v>0</v>
      </c>
      <c r="I500" s="70">
        <f>COUNTIFS('Error Log'!$A:$A,$A500,'Error Log'!$F:$F,"Target")</f>
        <v>0</v>
      </c>
      <c r="J500" s="71">
        <f t="shared" si="8"/>
        <v>0</v>
      </c>
    </row>
    <row r="501" spans="1:10">
      <c r="A501" s="81"/>
      <c r="B501" s="70" t="str">
        <f>IF(ISBLANK(A501),"",INDEX('Error Log'!$A:$J,MATCH('Scores per segment'!$A501,'Error Log'!$A:$A,0),MATCH('Scores per segment'!B$1,'Error Log'!$A$1:$J$1,0)))</f>
        <v/>
      </c>
      <c r="C501" s="70" t="str">
        <f>IF(ISBLANK(A501),"",INDEX('Error Log'!$A:$J,MATCH('Scores per segment'!$A501,'Error Log'!$A:$A,0),MATCH('Scores per segment'!C$1,'Error Log'!$A$1:$J$1,0)))</f>
        <v/>
      </c>
      <c r="D501" s="70">
        <f>IF(H501=0,wdct(TRIM(C501)),0)</f>
        <v>0</v>
      </c>
      <c r="E501" s="70">
        <f>COUNTIFS('Error Log'!$A:$A,$A501,'Error Log'!$J:$J,E$1)</f>
        <v>0</v>
      </c>
      <c r="F501" s="70">
        <f>COUNTIFS('Error Log'!$A:$A,$A501,'Error Log'!$J:$J,F$1)</f>
        <v>0</v>
      </c>
      <c r="G501" s="70">
        <f>COUNTIFS('Error Log'!$A:$A,$A501,'Error Log'!$J:$J,G$1)</f>
        <v>0</v>
      </c>
      <c r="H501" s="70">
        <f>COUNTIFS('Error Log'!$A:$A,$A501,'Error Log'!$F:$F,"Source")</f>
        <v>0</v>
      </c>
      <c r="I501" s="70">
        <f>COUNTIFS('Error Log'!$A:$A,$A501,'Error Log'!$F:$F,"Target")</f>
        <v>0</v>
      </c>
      <c r="J501" s="71">
        <f t="shared" si="8"/>
        <v>0</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N57"/>
  <sheetViews>
    <sheetView tabSelected="1" zoomScale="80" zoomScaleNormal="80" workbookViewId="0">
      <pane ySplit="1" topLeftCell="A2" activePane="bottomLeft" state="frozen"/>
      <selection pane="bottomLeft" activeCell="C53" sqref="C53"/>
    </sheetView>
  </sheetViews>
  <sheetFormatPr defaultColWidth="9" defaultRowHeight="14.4"/>
  <cols>
    <col min="1" max="1" width="21.69921875" style="2" customWidth="1"/>
    <col min="2" max="2" width="30" style="2" customWidth="1"/>
    <col min="3" max="3" width="22.19921875" style="2" bestFit="1" customWidth="1"/>
    <col min="4" max="4" width="21.69921875" style="2" bestFit="1" customWidth="1"/>
    <col min="5" max="5" width="22.19921875" style="2" bestFit="1" customWidth="1"/>
    <col min="6" max="7" width="18.69921875" style="2" bestFit="1" customWidth="1"/>
    <col min="8" max="8" width="16.5" style="2" bestFit="1" customWidth="1"/>
    <col min="9" max="9" width="24.5" style="2" customWidth="1"/>
    <col min="10" max="10" width="13.69921875" style="2" customWidth="1"/>
    <col min="11" max="11" width="12.69921875" style="2" bestFit="1" customWidth="1"/>
    <col min="12" max="12" width="11.5" style="2" bestFit="1" customWidth="1"/>
    <col min="13" max="13" width="14" style="2" bestFit="1" customWidth="1"/>
    <col min="14" max="16384" width="9" style="72"/>
  </cols>
  <sheetData>
    <row r="1" spans="1:14">
      <c r="A1" s="117" t="s">
        <v>48</v>
      </c>
      <c r="B1" s="118"/>
      <c r="C1" s="118"/>
      <c r="D1" s="118"/>
      <c r="E1" s="118"/>
      <c r="F1" s="118"/>
      <c r="G1" s="118"/>
      <c r="H1" s="118"/>
      <c r="I1" s="118"/>
      <c r="J1" s="118"/>
      <c r="K1" s="118"/>
      <c r="L1" s="118"/>
      <c r="M1" s="119"/>
    </row>
    <row r="2" spans="1:14">
      <c r="A2" s="5" t="s">
        <v>31</v>
      </c>
      <c r="B2" s="5" t="s">
        <v>30</v>
      </c>
      <c r="C2" s="5" t="s">
        <v>52</v>
      </c>
      <c r="D2" s="5" t="s">
        <v>53</v>
      </c>
      <c r="E2" s="5" t="s">
        <v>54</v>
      </c>
      <c r="F2" s="5" t="s">
        <v>29</v>
      </c>
      <c r="G2" s="5" t="s">
        <v>27</v>
      </c>
      <c r="H2" s="5" t="s">
        <v>28</v>
      </c>
      <c r="I2" s="5" t="s">
        <v>56</v>
      </c>
      <c r="J2" s="5" t="s">
        <v>55</v>
      </c>
    </row>
    <row r="3" spans="1:14">
      <c r="A3" s="116" t="s">
        <v>21</v>
      </c>
      <c r="B3" s="4" t="s">
        <v>22</v>
      </c>
      <c r="C3" s="3" t="s">
        <v>25</v>
      </c>
      <c r="D3" s="3" t="s">
        <v>25</v>
      </c>
      <c r="E3" s="3" t="s">
        <v>25</v>
      </c>
      <c r="F3" s="3" t="s">
        <v>23</v>
      </c>
      <c r="G3" s="3" t="s">
        <v>23</v>
      </c>
      <c r="H3" s="3" t="s">
        <v>23</v>
      </c>
      <c r="I3" s="3" t="s">
        <v>57</v>
      </c>
      <c r="J3" s="3" t="s">
        <v>23</v>
      </c>
      <c r="N3" s="2"/>
    </row>
    <row r="4" spans="1:14">
      <c r="A4" s="116"/>
      <c r="B4" s="4" t="s">
        <v>7</v>
      </c>
      <c r="C4" s="3" t="s">
        <v>25</v>
      </c>
      <c r="D4" s="3" t="s">
        <v>25</v>
      </c>
      <c r="E4" s="3" t="s">
        <v>25</v>
      </c>
      <c r="F4" s="3" t="s">
        <v>58</v>
      </c>
      <c r="G4" s="3" t="s">
        <v>23</v>
      </c>
      <c r="H4" s="3" t="s">
        <v>23</v>
      </c>
      <c r="I4" s="3" t="s">
        <v>57</v>
      </c>
      <c r="J4" s="3" t="s">
        <v>58</v>
      </c>
      <c r="N4" s="2"/>
    </row>
    <row r="5" spans="1:14">
      <c r="A5" s="116"/>
      <c r="B5" s="4" t="s">
        <v>61</v>
      </c>
      <c r="C5" s="3" t="s">
        <v>25</v>
      </c>
      <c r="D5" s="3" t="s">
        <v>25</v>
      </c>
      <c r="E5" s="3" t="s">
        <v>25</v>
      </c>
      <c r="F5" s="3" t="s">
        <v>58</v>
      </c>
      <c r="G5" s="3" t="s">
        <v>58</v>
      </c>
      <c r="H5" s="3" t="s">
        <v>23</v>
      </c>
      <c r="I5" s="3" t="s">
        <v>57</v>
      </c>
      <c r="J5" s="3" t="s">
        <v>24</v>
      </c>
      <c r="N5" s="2"/>
    </row>
    <row r="6" spans="1:14">
      <c r="A6" s="116"/>
      <c r="B6" s="4" t="s">
        <v>62</v>
      </c>
      <c r="C6" s="3" t="s">
        <v>25</v>
      </c>
      <c r="D6" s="3" t="s">
        <v>25</v>
      </c>
      <c r="E6" s="3" t="s">
        <v>25</v>
      </c>
      <c r="F6" s="3" t="s">
        <v>25</v>
      </c>
      <c r="G6" s="3" t="s">
        <v>25</v>
      </c>
      <c r="H6" s="3" t="s">
        <v>25</v>
      </c>
      <c r="I6" s="3" t="s">
        <v>24</v>
      </c>
      <c r="J6" s="3" t="s">
        <v>24</v>
      </c>
      <c r="N6" s="2"/>
    </row>
    <row r="7" spans="1:14">
      <c r="A7" s="116"/>
      <c r="B7" s="4" t="s">
        <v>44</v>
      </c>
      <c r="C7" s="3" t="s">
        <v>24</v>
      </c>
      <c r="D7" s="3" t="s">
        <v>24</v>
      </c>
      <c r="E7" s="3" t="s">
        <v>25</v>
      </c>
      <c r="F7" s="3" t="s">
        <v>24</v>
      </c>
      <c r="G7" s="3" t="s">
        <v>24</v>
      </c>
      <c r="H7" s="3" t="s">
        <v>59</v>
      </c>
      <c r="I7" s="3" t="s">
        <v>24</v>
      </c>
      <c r="J7" s="3" t="s">
        <v>24</v>
      </c>
      <c r="N7" s="2"/>
    </row>
    <row r="8" spans="1:14">
      <c r="A8" s="116" t="s">
        <v>2</v>
      </c>
      <c r="B8" s="4" t="s">
        <v>63</v>
      </c>
      <c r="C8" s="3" t="s">
        <v>24</v>
      </c>
      <c r="D8" s="3" t="s">
        <v>24</v>
      </c>
      <c r="E8" s="3" t="s">
        <v>23</v>
      </c>
      <c r="F8" s="3" t="s">
        <v>24</v>
      </c>
      <c r="G8" s="3" t="s">
        <v>24</v>
      </c>
      <c r="H8" s="3" t="s">
        <v>23</v>
      </c>
      <c r="I8" s="3" t="s">
        <v>1</v>
      </c>
      <c r="J8" s="3" t="s">
        <v>24</v>
      </c>
      <c r="N8" s="2"/>
    </row>
    <row r="9" spans="1:14">
      <c r="A9" s="116"/>
      <c r="B9" s="4" t="s">
        <v>26</v>
      </c>
      <c r="C9" s="3" t="s">
        <v>23</v>
      </c>
      <c r="D9" s="3" t="s">
        <v>23</v>
      </c>
      <c r="E9" s="3" t="s">
        <v>23</v>
      </c>
      <c r="F9" s="3" t="s">
        <v>23</v>
      </c>
      <c r="G9" s="3" t="s">
        <v>23</v>
      </c>
      <c r="H9" s="3" t="s">
        <v>23</v>
      </c>
      <c r="I9" s="3" t="s">
        <v>57</v>
      </c>
      <c r="J9" s="3" t="s">
        <v>23</v>
      </c>
      <c r="N9" s="2"/>
    </row>
    <row r="10" spans="1:14">
      <c r="A10" s="116"/>
      <c r="B10" s="4" t="s">
        <v>64</v>
      </c>
      <c r="C10" s="3" t="s">
        <v>1</v>
      </c>
      <c r="D10" s="3" t="s">
        <v>1</v>
      </c>
      <c r="E10" s="3" t="s">
        <v>1</v>
      </c>
      <c r="F10" s="3" t="s">
        <v>1</v>
      </c>
      <c r="G10" s="3" t="s">
        <v>1</v>
      </c>
      <c r="H10" s="3" t="s">
        <v>1</v>
      </c>
      <c r="I10" s="3" t="s">
        <v>1</v>
      </c>
      <c r="J10" s="3" t="s">
        <v>24</v>
      </c>
      <c r="N10" s="2"/>
    </row>
    <row r="11" spans="1:14">
      <c r="A11" s="74"/>
      <c r="B11" s="74"/>
      <c r="C11" s="75"/>
      <c r="D11" s="75"/>
      <c r="E11" s="75"/>
      <c r="F11" s="75"/>
      <c r="G11" s="75"/>
      <c r="H11" s="75"/>
      <c r="N11" s="2"/>
    </row>
    <row r="13" spans="1:14">
      <c r="A13" s="9" t="s">
        <v>31</v>
      </c>
      <c r="B13" s="8" t="s">
        <v>21</v>
      </c>
      <c r="C13" s="8" t="s">
        <v>2</v>
      </c>
    </row>
    <row r="14" spans="1:14">
      <c r="A14" s="7" t="s">
        <v>21</v>
      </c>
      <c r="B14" s="10" t="s">
        <v>22</v>
      </c>
      <c r="C14" s="10" t="s">
        <v>63</v>
      </c>
    </row>
    <row r="15" spans="1:14">
      <c r="A15" s="7" t="s">
        <v>2</v>
      </c>
      <c r="B15" s="10" t="s">
        <v>7</v>
      </c>
      <c r="C15" s="10" t="s">
        <v>26</v>
      </c>
    </row>
    <row r="16" spans="1:14">
      <c r="A16" s="7"/>
      <c r="B16" s="10" t="s">
        <v>61</v>
      </c>
      <c r="C16" s="10" t="s">
        <v>64</v>
      </c>
    </row>
    <row r="17" spans="1:5">
      <c r="A17" s="7"/>
      <c r="B17" s="10" t="s">
        <v>62</v>
      </c>
      <c r="C17" s="10"/>
      <c r="D17" s="6"/>
    </row>
    <row r="18" spans="1:5">
      <c r="B18" s="10" t="s">
        <v>44</v>
      </c>
      <c r="C18" s="10"/>
      <c r="D18" s="6"/>
    </row>
    <row r="19" spans="1:5">
      <c r="B19" s="6"/>
      <c r="C19" s="6"/>
      <c r="D19" s="6"/>
    </row>
    <row r="20" spans="1:5">
      <c r="A20" s="6"/>
      <c r="B20" s="6"/>
      <c r="C20" s="6"/>
      <c r="D20" s="6"/>
    </row>
    <row r="21" spans="1:5">
      <c r="A21" s="6"/>
      <c r="B21" s="6"/>
      <c r="D21" s="6"/>
    </row>
    <row r="24" spans="1:5">
      <c r="A24" s="8" t="s">
        <v>21</v>
      </c>
      <c r="B24" s="8" t="s">
        <v>21</v>
      </c>
      <c r="C24" s="8" t="s">
        <v>21</v>
      </c>
      <c r="D24" s="8" t="s">
        <v>21</v>
      </c>
      <c r="E24" s="8" t="s">
        <v>21</v>
      </c>
    </row>
    <row r="25" spans="1:5">
      <c r="A25" s="8" t="s">
        <v>22</v>
      </c>
      <c r="B25" s="8" t="s">
        <v>7</v>
      </c>
      <c r="C25" s="8" t="s">
        <v>61</v>
      </c>
      <c r="D25" s="8" t="s">
        <v>62</v>
      </c>
      <c r="E25" s="8" t="s">
        <v>44</v>
      </c>
    </row>
    <row r="26" spans="1:5">
      <c r="A26" s="11" t="s">
        <v>52</v>
      </c>
      <c r="B26" s="11" t="s">
        <v>52</v>
      </c>
      <c r="C26" s="11" t="s">
        <v>52</v>
      </c>
      <c r="D26" s="11" t="s">
        <v>52</v>
      </c>
      <c r="E26" s="11" t="s">
        <v>54</v>
      </c>
    </row>
    <row r="27" spans="1:5">
      <c r="A27" s="11" t="s">
        <v>53</v>
      </c>
      <c r="B27" s="11" t="s">
        <v>53</v>
      </c>
      <c r="C27" s="11" t="s">
        <v>53</v>
      </c>
      <c r="D27" s="11" t="s">
        <v>53</v>
      </c>
      <c r="E27" s="11" t="s">
        <v>28</v>
      </c>
    </row>
    <row r="28" spans="1:5">
      <c r="A28" s="11" t="s">
        <v>54</v>
      </c>
      <c r="B28" s="11" t="s">
        <v>54</v>
      </c>
      <c r="C28" s="11" t="s">
        <v>54</v>
      </c>
      <c r="D28" s="11" t="s">
        <v>54</v>
      </c>
    </row>
    <row r="29" spans="1:5">
      <c r="A29" s="11" t="s">
        <v>29</v>
      </c>
      <c r="B29" s="11" t="s">
        <v>29</v>
      </c>
      <c r="C29" s="11" t="s">
        <v>29</v>
      </c>
      <c r="D29" s="11" t="s">
        <v>29</v>
      </c>
    </row>
    <row r="30" spans="1:5">
      <c r="A30" s="11" t="s">
        <v>27</v>
      </c>
      <c r="B30" s="11" t="s">
        <v>27</v>
      </c>
      <c r="C30" s="11" t="s">
        <v>27</v>
      </c>
      <c r="D30" s="11" t="s">
        <v>27</v>
      </c>
    </row>
    <row r="31" spans="1:5">
      <c r="A31" s="11" t="s">
        <v>28</v>
      </c>
      <c r="B31" s="11" t="s">
        <v>28</v>
      </c>
      <c r="C31" s="11" t="s">
        <v>28</v>
      </c>
      <c r="D31" s="11" t="s">
        <v>28</v>
      </c>
    </row>
    <row r="32" spans="1:5">
      <c r="A32" s="11" t="s">
        <v>56</v>
      </c>
      <c r="B32" s="11" t="s">
        <v>56</v>
      </c>
      <c r="C32" s="11" t="s">
        <v>56</v>
      </c>
      <c r="D32" s="11"/>
    </row>
    <row r="33" spans="1:13">
      <c r="A33" s="11" t="s">
        <v>55</v>
      </c>
      <c r="B33" s="11" t="s">
        <v>55</v>
      </c>
      <c r="C33" s="72"/>
    </row>
    <row r="34" spans="1:13">
      <c r="A34" s="72"/>
      <c r="B34" s="72"/>
      <c r="C34" s="72"/>
    </row>
    <row r="35" spans="1:13">
      <c r="A35" s="72"/>
      <c r="B35" s="72"/>
      <c r="C35" s="72"/>
    </row>
    <row r="36" spans="1:13">
      <c r="A36" s="72"/>
      <c r="B36" s="72"/>
      <c r="C36" s="76"/>
    </row>
    <row r="37" spans="1:13">
      <c r="A37" s="76"/>
      <c r="E37" s="76"/>
    </row>
    <row r="38" spans="1:13">
      <c r="E38" s="76"/>
    </row>
    <row r="39" spans="1:13">
      <c r="A39" s="8" t="s">
        <v>2</v>
      </c>
      <c r="B39" s="8" t="s">
        <v>2</v>
      </c>
      <c r="C39" s="8" t="s">
        <v>2</v>
      </c>
      <c r="E39" s="76"/>
      <c r="M39" s="72"/>
    </row>
    <row r="40" spans="1:13">
      <c r="A40" s="8" t="s">
        <v>63</v>
      </c>
      <c r="B40" s="8" t="s">
        <v>26</v>
      </c>
      <c r="C40" s="8" t="s">
        <v>65</v>
      </c>
      <c r="E40" s="76"/>
      <c r="M40" s="72"/>
    </row>
    <row r="41" spans="1:13">
      <c r="A41" s="11" t="s">
        <v>54</v>
      </c>
      <c r="B41" s="11" t="s">
        <v>52</v>
      </c>
      <c r="C41" s="11" t="s">
        <v>52</v>
      </c>
      <c r="E41" s="76"/>
      <c r="M41" s="72"/>
    </row>
    <row r="42" spans="1:13">
      <c r="A42" s="11" t="s">
        <v>28</v>
      </c>
      <c r="B42" s="11" t="s">
        <v>53</v>
      </c>
      <c r="C42" s="11" t="s">
        <v>53</v>
      </c>
      <c r="E42" s="76"/>
      <c r="M42" s="72"/>
    </row>
    <row r="43" spans="1:13">
      <c r="A43" s="11" t="s">
        <v>56</v>
      </c>
      <c r="B43" s="11" t="s">
        <v>54</v>
      </c>
      <c r="C43" s="11" t="s">
        <v>54</v>
      </c>
      <c r="E43" s="76"/>
      <c r="M43" s="72"/>
    </row>
    <row r="44" spans="1:13">
      <c r="A44" s="11"/>
      <c r="B44" s="11" t="s">
        <v>29</v>
      </c>
      <c r="C44" s="11" t="s">
        <v>29</v>
      </c>
      <c r="E44" s="76"/>
      <c r="M44" s="72"/>
    </row>
    <row r="45" spans="1:13">
      <c r="A45" s="11"/>
      <c r="B45" s="11" t="s">
        <v>27</v>
      </c>
      <c r="C45" s="11" t="s">
        <v>27</v>
      </c>
      <c r="E45" s="76"/>
      <c r="M45" s="72"/>
    </row>
    <row r="46" spans="1:13">
      <c r="B46" s="11" t="s">
        <v>28</v>
      </c>
      <c r="C46" s="11" t="s">
        <v>28</v>
      </c>
      <c r="E46" s="76"/>
      <c r="M46" s="72"/>
    </row>
    <row r="47" spans="1:13">
      <c r="B47" s="11" t="s">
        <v>56</v>
      </c>
      <c r="E47" s="76"/>
      <c r="M47" s="72"/>
    </row>
    <row r="48" spans="1:13">
      <c r="B48" s="11" t="s">
        <v>55</v>
      </c>
      <c r="E48" s="76"/>
    </row>
    <row r="51" spans="1:2">
      <c r="A51" s="72"/>
      <c r="B51" s="72"/>
    </row>
    <row r="52" spans="1:2">
      <c r="A52" s="72"/>
      <c r="B52" s="72"/>
    </row>
    <row r="53" spans="1:2">
      <c r="A53" s="72"/>
      <c r="B53" s="72"/>
    </row>
    <row r="54" spans="1:2">
      <c r="A54" s="72"/>
      <c r="B54" s="72"/>
    </row>
    <row r="55" spans="1:2">
      <c r="A55" s="72"/>
      <c r="B55" s="72"/>
    </row>
    <row r="56" spans="1:2">
      <c r="A56" s="72"/>
      <c r="B56" s="72"/>
    </row>
    <row r="57" spans="1:2">
      <c r="A57" s="72"/>
      <c r="B57" s="72"/>
    </row>
  </sheetData>
  <mergeCells count="3">
    <mergeCell ref="A8:A10"/>
    <mergeCell ref="A3:A7"/>
    <mergeCell ref="A1:M1"/>
  </mergeCells>
  <phoneticPr fontId="15" type="noConversion"/>
  <pageMargins left="0.7" right="0.7" top="0.75" bottom="0.75" header="0.3" footer="0.3"/>
  <pageSetup paperSize="9" orientation="portrait"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13</vt:i4>
      </vt:variant>
    </vt:vector>
  </HeadingPairs>
  <TitlesOfParts>
    <vt:vector size="17" baseType="lpstr">
      <vt:lpstr>ScoreCard</vt:lpstr>
      <vt:lpstr>Error Log</vt:lpstr>
      <vt:lpstr>Scores per segment</vt:lpstr>
      <vt:lpstr>Severity_Matrix</vt:lpstr>
      <vt:lpstr>Accuracy</vt:lpstr>
      <vt:lpstr>Addition</vt:lpstr>
      <vt:lpstr>Duplication</vt:lpstr>
      <vt:lpstr>Fluency</vt:lpstr>
      <vt:lpstr>Inaccuracy_external</vt:lpstr>
      <vt:lpstr>Inaccuracy_internal</vt:lpstr>
      <vt:lpstr>Inappropriate_Selection_of_Words</vt:lpstr>
      <vt:lpstr>Issue_Type</vt:lpstr>
      <vt:lpstr>Omission</vt:lpstr>
      <vt:lpstr>Positive_Negative_Aspect</vt:lpstr>
      <vt:lpstr>Spelling</vt:lpstr>
      <vt:lpstr>Word_From</vt:lpstr>
      <vt:lpstr>Word_Order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庵 怒</dc:creator>
  <cp:lastModifiedBy>hdd</cp:lastModifiedBy>
  <dcterms:created xsi:type="dcterms:W3CDTF">2016-06-07T12:18:19Z</dcterms:created>
  <dcterms:modified xsi:type="dcterms:W3CDTF">2020-11-27T09:24:45Z</dcterms:modified>
</cp:coreProperties>
</file>