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1A4DC664-3CEC-4687-894C-04F3EF481811}" xr6:coauthVersionLast="45" xr6:coauthVersionMax="45" xr10:uidLastSave="{00000000-0000-0000-0000-000000000000}"/>
  <bookViews>
    <workbookView xWindow="384" yWindow="384" windowWidth="21252" windowHeight="11184" tabRatio="868" xr2:uid="{00000000-000D-0000-FFFF-FFFF00000000}"/>
  </bookViews>
  <sheets>
    <sheet name="ScoreCard" sheetId="18" r:id="rId1"/>
    <sheet name="Error Log" sheetId="14" r:id="rId2"/>
    <sheet name="Scores per segment" sheetId="21" r:id="rId3"/>
    <sheet name="Severity_Matrix" sheetId="19" r:id="rId4"/>
  </sheets>
  <functionGroups builtInGroupCount="19"/>
  <externalReferences>
    <externalReference r:id="rId5"/>
    <externalReference r:id="rId6"/>
  </externalReferences>
  <definedNames>
    <definedName name="_xlnm._FilterDatabase" localSheetId="1" hidden="1">'Error Log'!$A$1:$K$1000</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947" i="14" l="1"/>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874" i="14" l="1"/>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540" i="14" l="1"/>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2" i="14"/>
  <c r="E2" i="21" s="1"/>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386" i="21"/>
  <c r="D101" i="21"/>
  <c r="D228" i="21"/>
  <c r="D145" i="21"/>
  <c r="D273" i="21"/>
  <c r="D88" i="21"/>
  <c r="D131" i="21"/>
  <c r="D86" i="21"/>
  <c r="D327" i="21"/>
  <c r="D57" i="21"/>
  <c r="D404" i="21"/>
  <c r="D285" i="21"/>
  <c r="D334" i="21"/>
  <c r="D133" i="21"/>
  <c r="D264" i="21"/>
  <c r="D146" i="21"/>
  <c r="D313" i="21"/>
  <c r="D19" i="21"/>
  <c r="D279" i="21"/>
  <c r="D121" i="21"/>
  <c r="D89" i="21"/>
  <c r="D201" i="21"/>
  <c r="D325" i="21"/>
  <c r="D70" i="21"/>
  <c r="D413" i="21"/>
  <c r="D440" i="21"/>
  <c r="D2" i="21"/>
  <c r="D445" i="21"/>
  <c r="D138" i="21"/>
  <c r="D426" i="21"/>
  <c r="D337" i="21"/>
  <c r="D150" i="21"/>
  <c r="D82" i="21"/>
  <c r="D368" i="21"/>
  <c r="D350" i="21"/>
  <c r="D433" i="21"/>
  <c r="D129" i="21"/>
  <c r="D456" i="21"/>
  <c r="D69" i="21"/>
  <c r="D11" i="21"/>
  <c r="D500" i="21"/>
  <c r="D8" i="21"/>
  <c r="D323" i="21"/>
  <c r="D478" i="21"/>
  <c r="D140" i="21"/>
  <c r="D136" i="21"/>
  <c r="D380" i="21"/>
  <c r="D486" i="21"/>
  <c r="D59" i="21"/>
  <c r="D239" i="21"/>
  <c r="D204" i="21"/>
  <c r="D262" i="21"/>
  <c r="D457" i="21"/>
  <c r="D74" i="21"/>
  <c r="D160" i="21"/>
  <c r="D215" i="21"/>
  <c r="D498" i="21"/>
  <c r="D497" i="21"/>
  <c r="D361" i="21"/>
  <c r="D156" i="21"/>
  <c r="D14" i="21"/>
  <c r="D161" i="21"/>
  <c r="D44" i="21"/>
  <c r="D472" i="21"/>
  <c r="D309" i="21"/>
  <c r="D431" i="21"/>
  <c r="D399" i="21"/>
  <c r="D216" i="21"/>
  <c r="D50" i="21"/>
  <c r="D23" i="21"/>
  <c r="D127" i="21"/>
  <c r="D351" i="21"/>
  <c r="D308" i="21"/>
  <c r="D112" i="21"/>
  <c r="D283" i="21"/>
  <c r="D494" i="21"/>
  <c r="D331" i="21"/>
  <c r="D28" i="21"/>
  <c r="D21" i="21"/>
  <c r="D326" i="21"/>
  <c r="D297" i="21"/>
  <c r="D425" i="21"/>
  <c r="D170" i="21"/>
  <c r="D234" i="21"/>
  <c r="D438" i="21"/>
  <c r="D462" i="21"/>
  <c r="D352" i="21"/>
  <c r="D360" i="21"/>
  <c r="D217" i="21"/>
  <c r="D436" i="21"/>
  <c r="D225" i="21"/>
  <c r="D315" i="21"/>
  <c r="D371" i="21"/>
  <c r="D224" i="21"/>
  <c r="D270" i="21"/>
  <c r="D354" i="21"/>
  <c r="D276" i="21"/>
  <c r="D439" i="21"/>
  <c r="D402" i="21"/>
  <c r="D389" i="21"/>
  <c r="D347" i="21"/>
  <c r="D190" i="21"/>
  <c r="D144" i="21"/>
  <c r="D266" i="21"/>
  <c r="D274" i="21"/>
  <c r="D153" i="21"/>
  <c r="D141" i="21"/>
  <c r="D41" i="21"/>
  <c r="D491" i="21"/>
  <c r="D238" i="21"/>
  <c r="D36" i="21"/>
  <c r="D30" i="21"/>
  <c r="D340" i="21"/>
  <c r="D166" i="21"/>
  <c r="D295" i="21"/>
  <c r="D220" i="21"/>
  <c r="D99" i="21"/>
  <c r="D375" i="21"/>
  <c r="D194" i="21"/>
  <c r="D336" i="21"/>
  <c r="D379" i="21"/>
  <c r="D135" i="21"/>
  <c r="D117" i="21"/>
  <c r="D83" i="21"/>
  <c r="D401" i="21"/>
  <c r="D322" i="21"/>
  <c r="D168" i="21"/>
  <c r="D163" i="21"/>
  <c r="D480" i="21"/>
  <c r="D7" i="21"/>
  <c r="D255" i="21"/>
  <c r="D214" i="21"/>
  <c r="D47" i="21"/>
  <c r="D411" i="21"/>
  <c r="D109" i="21"/>
  <c r="D307" i="21"/>
  <c r="D253" i="21"/>
  <c r="D3" i="21"/>
  <c r="D483" i="21"/>
  <c r="D219" i="21"/>
  <c r="D403" i="21"/>
  <c r="D231" i="21"/>
  <c r="D338" i="21"/>
  <c r="D358" i="21"/>
  <c r="D383" i="21"/>
  <c r="D100" i="21"/>
  <c r="D46" i="21"/>
  <c r="D193" i="21"/>
  <c r="D474" i="21"/>
  <c r="D75" i="21"/>
  <c r="D484" i="21"/>
  <c r="D96" i="21"/>
  <c r="D447" i="21"/>
  <c r="D20" i="21"/>
  <c r="D372" i="21"/>
  <c r="D286" i="21"/>
  <c r="D281" i="21"/>
  <c r="D244" i="21"/>
  <c r="D362" i="21"/>
  <c r="D76" i="21"/>
  <c r="D142" i="21"/>
  <c r="D321" i="21"/>
  <c r="D115" i="21"/>
  <c r="D78" i="21"/>
  <c r="D94" i="21"/>
  <c r="D388" i="21"/>
  <c r="D12" i="21"/>
  <c r="D455" i="21"/>
  <c r="D359" i="21"/>
  <c r="D356" i="21"/>
  <c r="D233" i="21"/>
  <c r="D191" i="21"/>
  <c r="D52" i="21"/>
  <c r="D289" i="21"/>
  <c r="D114" i="21"/>
  <c r="D165" i="21"/>
  <c r="D469" i="21"/>
  <c r="D139" i="21"/>
  <c r="D460" i="21"/>
  <c r="D444" i="21"/>
  <c r="D271" i="21"/>
  <c r="D103" i="21"/>
  <c r="D223" i="21"/>
  <c r="D55" i="21"/>
  <c r="D72" i="21"/>
  <c r="D394" i="21"/>
  <c r="D499" i="21"/>
  <c r="D342" i="21"/>
  <c r="D306" i="21"/>
  <c r="D243" i="21"/>
  <c r="D467" i="21"/>
  <c r="D487" i="21"/>
  <c r="D132" i="21"/>
  <c r="D116" i="21"/>
  <c r="D4" i="21"/>
  <c r="D122" i="21"/>
  <c r="D77" i="21"/>
  <c r="D422" i="21"/>
  <c r="D230" i="21"/>
  <c r="D251" i="21"/>
  <c r="D203" i="21"/>
  <c r="D410" i="21"/>
  <c r="D376" i="21"/>
  <c r="D459" i="21"/>
  <c r="D468" i="21"/>
  <c r="D328" i="21"/>
  <c r="D476" i="21"/>
  <c r="D365" i="21"/>
  <c r="D63" i="21"/>
  <c r="D249" i="21"/>
  <c r="D45" i="21"/>
  <c r="D24" i="21"/>
  <c r="D373" i="21"/>
  <c r="D6" i="21"/>
  <c r="D420" i="21"/>
  <c r="D414" i="21"/>
  <c r="D381" i="21"/>
  <c r="D278" i="21"/>
  <c r="D395" i="21"/>
  <c r="D149" i="21"/>
  <c r="D441" i="21"/>
  <c r="D265" i="21"/>
  <c r="D429" i="21"/>
  <c r="D15" i="21"/>
  <c r="D252" i="21"/>
  <c r="D357" i="21"/>
  <c r="D312" i="21"/>
  <c r="D35" i="21"/>
  <c r="D102" i="21"/>
  <c r="D95" i="21"/>
  <c r="D188" i="21"/>
  <c r="D318" i="21"/>
  <c r="D485" i="21"/>
  <c r="D10" i="21"/>
  <c r="D477" i="21"/>
  <c r="D345" i="21"/>
  <c r="D446" i="21"/>
  <c r="D240" i="21"/>
  <c r="D396" i="21"/>
  <c r="D458" i="21"/>
  <c r="D187" i="21"/>
  <c r="D434" i="21"/>
  <c r="D85" i="21"/>
  <c r="D60" i="21"/>
  <c r="D314" i="21"/>
  <c r="D178" i="21"/>
  <c r="D172" i="21"/>
  <c r="D164" i="21"/>
  <c r="D124" i="21"/>
  <c r="D159" i="21"/>
  <c r="D280" i="21"/>
  <c r="D207" i="21"/>
  <c r="D330" i="21"/>
  <c r="D173" i="21"/>
  <c r="D406" i="21"/>
  <c r="D384" i="21"/>
  <c r="D247" i="21"/>
  <c r="D418" i="21"/>
  <c r="D92" i="21"/>
  <c r="D393" i="21"/>
  <c r="D391" i="21"/>
  <c r="D430" i="21"/>
  <c r="D311" i="21"/>
  <c r="D256" i="21"/>
  <c r="D118" i="21"/>
  <c r="D162" i="21"/>
  <c r="D449" i="21"/>
  <c r="D496" i="21"/>
  <c r="D417" i="21"/>
  <c r="D299" i="21"/>
  <c r="D130" i="21"/>
  <c r="D443" i="21"/>
  <c r="D128" i="21"/>
  <c r="D320" i="21"/>
  <c r="D408" i="21"/>
  <c r="D56" i="21"/>
  <c r="D427" i="21"/>
  <c r="D208" i="21"/>
  <c r="D73" i="21"/>
  <c r="D68" i="21"/>
  <c r="D259" i="21"/>
  <c r="D79" i="21"/>
  <c r="D424" i="21"/>
  <c r="D364" i="21"/>
  <c r="D442" i="21"/>
  <c r="D387" i="21"/>
  <c r="D154" i="21"/>
  <c r="D177" i="21"/>
  <c r="D412" i="21"/>
  <c r="D210" i="21"/>
  <c r="D171" i="21"/>
  <c r="D195" i="21"/>
  <c r="D148" i="21"/>
  <c r="D167" i="21"/>
  <c r="D206" i="21"/>
  <c r="D346" i="21"/>
  <c r="D235" i="21"/>
  <c r="D211" i="21"/>
  <c r="D451" i="21"/>
  <c r="D66" i="21"/>
  <c r="D84" i="21"/>
  <c r="D169" i="21"/>
  <c r="D61" i="21"/>
  <c r="D305" i="21"/>
  <c r="D339" i="21"/>
  <c r="D287" i="21"/>
  <c r="D49" i="21"/>
  <c r="D183" i="21"/>
  <c r="D200" i="21"/>
  <c r="D108" i="21"/>
  <c r="D294" i="21"/>
  <c r="D90" i="21"/>
  <c r="D263" i="21"/>
  <c r="D258" i="21"/>
  <c r="D87" i="21"/>
  <c r="D43" i="21"/>
  <c r="D113" i="21"/>
  <c r="D180" i="21"/>
  <c r="D80" i="21"/>
  <c r="D81" i="21"/>
  <c r="D137" i="21"/>
  <c r="D254" i="21"/>
  <c r="D134" i="21"/>
  <c r="D293" i="21"/>
  <c r="D91" i="21"/>
  <c r="D245" i="21"/>
  <c r="D333" i="21"/>
  <c r="D366" i="21"/>
  <c r="D492" i="21"/>
  <c r="D471" i="21"/>
  <c r="D398" i="21"/>
  <c r="D466" i="21"/>
  <c r="D5" i="21"/>
  <c r="D501" i="21"/>
  <c r="D257" i="21"/>
  <c r="D453" i="21"/>
  <c r="D125" i="21"/>
  <c r="D67" i="21"/>
  <c r="D272" i="21"/>
  <c r="D221" i="21"/>
  <c r="D39" i="21"/>
  <c r="D341" i="21"/>
  <c r="D419" i="21"/>
  <c r="D473" i="21"/>
  <c r="D452" i="21"/>
  <c r="D241" i="21"/>
  <c r="D53" i="21"/>
  <c r="D16" i="21"/>
  <c r="D237" i="21"/>
  <c r="D397" i="21"/>
  <c r="D189" i="21"/>
  <c r="D277" i="21"/>
  <c r="D248" i="21"/>
  <c r="D246" i="21"/>
  <c r="D428" i="21"/>
  <c r="D490" i="21"/>
  <c r="D292" i="21"/>
  <c r="D205" i="21"/>
  <c r="D385" i="21"/>
  <c r="D186" i="21"/>
  <c r="D363" i="21"/>
  <c r="D260" i="21"/>
  <c r="D378" i="21"/>
  <c r="D461" i="21"/>
  <c r="D288" i="21"/>
  <c r="D105" i="21"/>
  <c r="D355" i="21"/>
  <c r="D435" i="21"/>
  <c r="D464" i="21"/>
  <c r="D212" i="21"/>
  <c r="D353" i="21"/>
  <c r="D182" i="21"/>
  <c r="D175" i="21"/>
  <c r="D370" i="21"/>
  <c r="D227" i="21"/>
  <c r="D126" i="21"/>
  <c r="D316" i="21"/>
  <c r="D348" i="21"/>
  <c r="D470" i="21"/>
  <c r="D29" i="21"/>
  <c r="D93" i="21"/>
  <c r="D27" i="21"/>
  <c r="D174" i="21"/>
  <c r="D147" i="21"/>
  <c r="D267" i="21"/>
  <c r="D242" i="21"/>
  <c r="D232" i="21"/>
  <c r="D222" i="21"/>
  <c r="D382" i="21"/>
  <c r="D282" i="21"/>
  <c r="D400" i="21"/>
  <c r="D34" i="21"/>
  <c r="D369" i="21"/>
  <c r="D319" i="21"/>
  <c r="D367" i="21"/>
  <c r="D343" i="21"/>
  <c r="D493" i="21"/>
  <c r="D48" i="21"/>
  <c r="D296" i="21"/>
  <c r="D151" i="21"/>
  <c r="D344" i="21"/>
  <c r="D18" i="21"/>
  <c r="D209" i="21"/>
  <c r="D423" i="21"/>
  <c r="D409" i="21"/>
  <c r="D332" i="21"/>
  <c r="D218" i="21"/>
  <c r="D38" i="21"/>
  <c r="D25" i="21"/>
  <c r="D155" i="21"/>
  <c r="D349" i="21"/>
  <c r="D64" i="21"/>
  <c r="D290" i="21"/>
  <c r="D229" i="21"/>
  <c r="D329" i="21"/>
  <c r="D301" i="21"/>
  <c r="D304" i="21"/>
  <c r="D110" i="21"/>
  <c r="D120" i="21"/>
  <c r="D62" i="21"/>
  <c r="D303" i="21"/>
  <c r="D104" i="21"/>
  <c r="D275" i="21"/>
  <c r="D98" i="21"/>
  <c r="D176" i="21"/>
  <c r="D106" i="21"/>
  <c r="D374" i="21"/>
  <c r="D421" i="21"/>
  <c r="D197" i="21"/>
  <c r="D71" i="21"/>
  <c r="D450" i="21"/>
  <c r="D37" i="21"/>
  <c r="D236" i="21"/>
  <c r="D269" i="21"/>
  <c r="D475" i="21"/>
  <c r="D479" i="21"/>
  <c r="D335" i="21"/>
  <c r="D157" i="21"/>
  <c r="D213" i="21"/>
  <c r="D22" i="21"/>
  <c r="D107" i="21"/>
  <c r="D202" i="21"/>
  <c r="D432" i="21"/>
  <c r="D284" i="21"/>
  <c r="D152" i="21"/>
  <c r="D300" i="21"/>
  <c r="D13" i="21"/>
  <c r="D196" i="21"/>
  <c r="D51" i="21"/>
  <c r="D40" i="21"/>
  <c r="D488" i="21"/>
  <c r="D415" i="21"/>
  <c r="D58" i="21"/>
  <c r="D250" i="21"/>
  <c r="D317" i="21"/>
  <c r="D448" i="21"/>
  <c r="D54" i="21"/>
  <c r="D179" i="21"/>
  <c r="D158" i="21"/>
  <c r="D199" i="21"/>
  <c r="D143" i="21"/>
  <c r="D405" i="21"/>
  <c r="D454" i="21"/>
  <c r="D416" i="21"/>
  <c r="D298" i="21"/>
  <c r="D123" i="21"/>
  <c r="D302" i="21"/>
  <c r="D310" i="21"/>
  <c r="D65" i="21"/>
  <c r="D226" i="21"/>
  <c r="D33" i="21"/>
  <c r="D324" i="21"/>
  <c r="D181" i="21"/>
  <c r="D17" i="21"/>
  <c r="D42" i="21"/>
  <c r="D482" i="21"/>
  <c r="D465" i="21"/>
  <c r="D185" i="21"/>
  <c r="D489" i="21"/>
  <c r="D481" i="21"/>
  <c r="D291" i="21"/>
  <c r="D261" i="21"/>
  <c r="D97" i="21"/>
  <c r="D31" i="21"/>
  <c r="D26" i="21"/>
  <c r="D198" i="21"/>
  <c r="D192" i="21"/>
  <c r="D9" i="21"/>
  <c r="D390" i="21"/>
  <c r="D392" i="21"/>
  <c r="D32" i="21"/>
  <c r="D184" i="21"/>
  <c r="D111" i="21"/>
  <c r="D119" i="21"/>
  <c r="D377" i="21"/>
  <c r="D268" i="21"/>
  <c r="D407" i="21"/>
  <c r="D437" i="21"/>
  <c r="D495" i="21"/>
  <c r="D463" i="21"/>
  <c r="J463" i="21" l="1"/>
  <c r="J495" i="21"/>
  <c r="J437" i="21"/>
  <c r="J407" i="21"/>
  <c r="J268" i="21"/>
  <c r="J377" i="21"/>
  <c r="J119" i="21"/>
  <c r="J111" i="21"/>
  <c r="J184" i="21"/>
  <c r="J32" i="21"/>
  <c r="J392" i="21"/>
  <c r="J390" i="21"/>
  <c r="J9" i="21"/>
  <c r="J192" i="21"/>
  <c r="J198" i="21"/>
  <c r="J26" i="21"/>
  <c r="J31" i="21"/>
  <c r="J97" i="21"/>
  <c r="J261" i="21"/>
  <c r="J291" i="21"/>
  <c r="J481" i="21"/>
  <c r="J489" i="21"/>
  <c r="J185" i="21"/>
  <c r="J465" i="21"/>
  <c r="J482" i="21"/>
  <c r="J42" i="21"/>
  <c r="J17" i="21"/>
  <c r="J181" i="21"/>
  <c r="J324" i="21"/>
  <c r="J33" i="21"/>
  <c r="J226" i="21"/>
  <c r="J65" i="21"/>
  <c r="J310" i="21"/>
  <c r="J302" i="21"/>
  <c r="J123" i="21"/>
  <c r="J298" i="21"/>
  <c r="J416" i="21"/>
  <c r="J454" i="21"/>
  <c r="J405" i="21"/>
  <c r="J143" i="21"/>
  <c r="J199" i="21"/>
  <c r="J158" i="21"/>
  <c r="J179" i="21"/>
  <c r="J54" i="21"/>
  <c r="J448" i="21"/>
  <c r="J317" i="21"/>
  <c r="J250" i="21"/>
  <c r="J58" i="21"/>
  <c r="J415" i="21"/>
  <c r="J488" i="21"/>
  <c r="J40" i="21"/>
  <c r="J51" i="21"/>
  <c r="J196" i="21"/>
  <c r="J13" i="21"/>
  <c r="J300" i="21"/>
  <c r="J152" i="21"/>
  <c r="J284" i="21"/>
  <c r="J432" i="21"/>
  <c r="J202" i="21"/>
  <c r="J107" i="21"/>
  <c r="J22" i="21"/>
  <c r="J213" i="21"/>
  <c r="J157" i="21"/>
  <c r="J335" i="21"/>
  <c r="J479" i="21"/>
  <c r="J475" i="21"/>
  <c r="J269" i="21"/>
  <c r="J236" i="21"/>
  <c r="J37" i="21"/>
  <c r="J450" i="21"/>
  <c r="J71" i="21"/>
  <c r="J197" i="21"/>
  <c r="J421" i="21"/>
  <c r="J374" i="21"/>
  <c r="J106" i="21"/>
  <c r="J176" i="21"/>
  <c r="J98" i="21"/>
  <c r="J275" i="21"/>
  <c r="J104" i="21"/>
  <c r="J303" i="21"/>
  <c r="J62" i="21"/>
  <c r="J120" i="21"/>
  <c r="J110" i="21"/>
  <c r="J304" i="21"/>
  <c r="J301" i="21"/>
  <c r="J329" i="21"/>
  <c r="J229" i="21"/>
  <c r="J290" i="21"/>
  <c r="J64" i="21"/>
  <c r="J349" i="21"/>
  <c r="J155" i="21"/>
  <c r="J25" i="21"/>
  <c r="J38" i="21"/>
  <c r="J218" i="21"/>
  <c r="J332" i="21"/>
  <c r="J409" i="21"/>
  <c r="J423" i="21"/>
  <c r="J209" i="21"/>
  <c r="J18" i="21"/>
  <c r="J344" i="21"/>
  <c r="J151" i="21"/>
  <c r="J296" i="21"/>
  <c r="J48" i="21"/>
  <c r="J493" i="21"/>
  <c r="J343" i="21"/>
  <c r="J367" i="21"/>
  <c r="J319" i="21"/>
  <c r="J369" i="21"/>
  <c r="J34" i="21"/>
  <c r="J400" i="21"/>
  <c r="J282" i="21"/>
  <c r="J382" i="21"/>
  <c r="J222" i="21"/>
  <c r="J232" i="21"/>
  <c r="J242" i="21"/>
  <c r="J267" i="21"/>
  <c r="J147" i="21"/>
  <c r="J174" i="21"/>
  <c r="J27" i="21"/>
  <c r="J93" i="21"/>
  <c r="J29" i="21"/>
  <c r="J470" i="21"/>
  <c r="J348" i="21"/>
  <c r="J316" i="21"/>
  <c r="J126" i="21"/>
  <c r="J227" i="21"/>
  <c r="J370" i="21"/>
  <c r="J175" i="21"/>
  <c r="J182" i="21"/>
  <c r="J353" i="21"/>
  <c r="J212" i="21"/>
  <c r="J464" i="21"/>
  <c r="J435" i="21"/>
  <c r="J355" i="21"/>
  <c r="J105" i="21"/>
  <c r="J288" i="21"/>
  <c r="J461" i="21"/>
  <c r="J378" i="21"/>
  <c r="J260" i="21"/>
  <c r="J363" i="21"/>
  <c r="J186" i="21"/>
  <c r="J385" i="21"/>
  <c r="J205" i="21"/>
  <c r="J292" i="21"/>
  <c r="J490" i="21"/>
  <c r="J428" i="21"/>
  <c r="J246" i="21"/>
  <c r="J248" i="21"/>
  <c r="J277" i="21"/>
  <c r="J189" i="21"/>
  <c r="J397" i="21"/>
  <c r="J237" i="21"/>
  <c r="J16" i="21"/>
  <c r="J53" i="21"/>
  <c r="J241" i="21"/>
  <c r="J452" i="21"/>
  <c r="J473" i="21"/>
  <c r="J419" i="21"/>
  <c r="J341" i="21"/>
  <c r="J39" i="21"/>
  <c r="J221" i="21"/>
  <c r="J272" i="21"/>
  <c r="J67" i="21"/>
  <c r="J125" i="21"/>
  <c r="J453" i="21"/>
  <c r="J257" i="21"/>
  <c r="J501" i="21"/>
  <c r="J5" i="21"/>
  <c r="J466" i="21"/>
  <c r="J398" i="21"/>
  <c r="J471" i="21"/>
  <c r="J492" i="21"/>
  <c r="J366" i="21"/>
  <c r="J333" i="21"/>
  <c r="J245" i="21"/>
  <c r="J91" i="21"/>
  <c r="J293" i="21"/>
  <c r="J134" i="21"/>
  <c r="J254" i="21"/>
  <c r="J137" i="21"/>
  <c r="J81" i="21"/>
  <c r="J80" i="21"/>
  <c r="J180" i="21"/>
  <c r="J113" i="21"/>
  <c r="J43" i="21"/>
  <c r="J87" i="21"/>
  <c r="J258" i="21"/>
  <c r="J263" i="21"/>
  <c r="J90" i="21"/>
  <c r="J294" i="21"/>
  <c r="J108" i="21"/>
  <c r="J200" i="21"/>
  <c r="J183" i="21"/>
  <c r="J49" i="21"/>
  <c r="J287" i="21"/>
  <c r="J339" i="21"/>
  <c r="J305" i="21"/>
  <c r="J61" i="21"/>
  <c r="J169" i="21"/>
  <c r="J84" i="21"/>
  <c r="J66" i="21"/>
  <c r="J451" i="21"/>
  <c r="J211" i="21"/>
  <c r="J235" i="21"/>
  <c r="J346" i="21"/>
  <c r="J206" i="21"/>
  <c r="J167" i="21"/>
  <c r="J148" i="21"/>
  <c r="J195" i="21"/>
  <c r="J171" i="21"/>
  <c r="J210" i="21"/>
  <c r="J412" i="21"/>
  <c r="J177" i="21"/>
  <c r="J154" i="21"/>
  <c r="J387" i="21"/>
  <c r="J442" i="21"/>
  <c r="J364" i="21"/>
  <c r="J424" i="21"/>
  <c r="J79" i="21"/>
  <c r="J259" i="21"/>
  <c r="J68" i="21"/>
  <c r="J73" i="21"/>
  <c r="J208" i="21"/>
  <c r="J427" i="21"/>
  <c r="J56" i="21"/>
  <c r="J408" i="21"/>
  <c r="J320" i="21"/>
  <c r="J128" i="21"/>
  <c r="J443" i="21"/>
  <c r="J130" i="21"/>
  <c r="J299" i="21"/>
  <c r="J417" i="21"/>
  <c r="J496" i="21"/>
  <c r="J449" i="21"/>
  <c r="J162" i="21"/>
  <c r="J118" i="21"/>
  <c r="J256" i="21"/>
  <c r="J311" i="21"/>
  <c r="J430" i="21"/>
  <c r="J391" i="21"/>
  <c r="J393" i="21"/>
  <c r="J92" i="21"/>
  <c r="J418" i="21"/>
  <c r="J247" i="21"/>
  <c r="J384" i="21"/>
  <c r="J406" i="21"/>
  <c r="J173" i="21"/>
  <c r="J330" i="21"/>
  <c r="J207" i="21"/>
  <c r="J280" i="21"/>
  <c r="J159" i="21"/>
  <c r="J124" i="21"/>
  <c r="J164" i="21"/>
  <c r="J172" i="21"/>
  <c r="J178" i="21"/>
  <c r="J314" i="21"/>
  <c r="J60" i="21"/>
  <c r="J85" i="21"/>
  <c r="J434" i="21"/>
  <c r="J187" i="21"/>
  <c r="J458" i="21"/>
  <c r="J396" i="21"/>
  <c r="J240" i="21"/>
  <c r="J446" i="21"/>
  <c r="J345" i="21"/>
  <c r="J477" i="21"/>
  <c r="J10" i="21"/>
  <c r="J485" i="21"/>
  <c r="J318" i="21"/>
  <c r="J188" i="21"/>
  <c r="J95" i="21"/>
  <c r="J102" i="21"/>
  <c r="J35" i="21"/>
  <c r="J312" i="21"/>
  <c r="J357" i="21"/>
  <c r="J252" i="21"/>
  <c r="J15" i="21"/>
  <c r="J429" i="21"/>
  <c r="J265" i="21"/>
  <c r="J441" i="21"/>
  <c r="J149" i="21"/>
  <c r="J395" i="21"/>
  <c r="J278" i="21"/>
  <c r="J381" i="21"/>
  <c r="J414" i="21"/>
  <c r="J420" i="21"/>
  <c r="J6" i="21"/>
  <c r="J373" i="21"/>
  <c r="J24" i="21"/>
  <c r="J45" i="21"/>
  <c r="J249" i="21"/>
  <c r="J63" i="21"/>
  <c r="J365" i="21"/>
  <c r="J476" i="21"/>
  <c r="J328" i="21"/>
  <c r="J468" i="21"/>
  <c r="J459" i="21"/>
  <c r="J376" i="21"/>
  <c r="J410" i="21"/>
  <c r="J203" i="21"/>
  <c r="J251" i="21"/>
  <c r="J230" i="21"/>
  <c r="J422" i="21"/>
  <c r="J77" i="21"/>
  <c r="J122" i="21"/>
  <c r="J4" i="21"/>
  <c r="J116" i="21"/>
  <c r="J132" i="21"/>
  <c r="J487" i="21"/>
  <c r="J467" i="21"/>
  <c r="J243" i="21"/>
  <c r="J306" i="21"/>
  <c r="J342" i="21"/>
  <c r="J499" i="21"/>
  <c r="J394" i="21"/>
  <c r="J72" i="21"/>
  <c r="J55" i="21"/>
  <c r="J223" i="21"/>
  <c r="J103" i="21"/>
  <c r="J271" i="21"/>
  <c r="J444" i="21"/>
  <c r="J460" i="21"/>
  <c r="J139" i="21"/>
  <c r="J469" i="21"/>
  <c r="J165" i="21"/>
  <c r="J114" i="21"/>
  <c r="J289" i="21"/>
  <c r="J52" i="21"/>
  <c r="J191" i="21"/>
  <c r="J233" i="21"/>
  <c r="J356" i="21"/>
  <c r="J359" i="21"/>
  <c r="J455" i="21"/>
  <c r="J12" i="21"/>
  <c r="J388" i="21"/>
  <c r="J94" i="21"/>
  <c r="J78" i="21"/>
  <c r="J115" i="21"/>
  <c r="J321" i="21"/>
  <c r="J142" i="21"/>
  <c r="J76" i="21"/>
  <c r="J362" i="21"/>
  <c r="J244" i="21"/>
  <c r="J281" i="21"/>
  <c r="J286" i="21"/>
  <c r="J372" i="21"/>
  <c r="J20" i="21"/>
  <c r="J447" i="21"/>
  <c r="J96" i="21"/>
  <c r="J484" i="21"/>
  <c r="J75" i="21"/>
  <c r="J474" i="21"/>
  <c r="J193" i="21"/>
  <c r="J46" i="21"/>
  <c r="J100" i="21"/>
  <c r="J383" i="21"/>
  <c r="J358" i="21"/>
  <c r="J338" i="21"/>
  <c r="J231" i="21"/>
  <c r="J403" i="21"/>
  <c r="J219" i="21"/>
  <c r="J483" i="21"/>
  <c r="J3" i="21"/>
  <c r="J253" i="21"/>
  <c r="J307" i="21"/>
  <c r="J109" i="21"/>
  <c r="J411" i="21"/>
  <c r="J47" i="21"/>
  <c r="J214" i="21"/>
  <c r="J255" i="21"/>
  <c r="J7" i="21"/>
  <c r="J480" i="21"/>
  <c r="J163" i="21"/>
  <c r="J168" i="21"/>
  <c r="J322" i="21"/>
  <c r="J401" i="21"/>
  <c r="J83" i="21"/>
  <c r="J117" i="21"/>
  <c r="J135" i="21"/>
  <c r="J379" i="21"/>
  <c r="J336" i="21"/>
  <c r="J194" i="21"/>
  <c r="J375" i="21"/>
  <c r="J99" i="21"/>
  <c r="J220" i="21"/>
  <c r="J295" i="21"/>
  <c r="J166" i="21"/>
  <c r="J340" i="21"/>
  <c r="J30" i="21"/>
  <c r="J36" i="21"/>
  <c r="J238" i="21"/>
  <c r="J491" i="21"/>
  <c r="J41" i="21"/>
  <c r="J141" i="21"/>
  <c r="J153" i="21"/>
  <c r="J274" i="21"/>
  <c r="J266" i="21"/>
  <c r="J144" i="21"/>
  <c r="J190" i="21"/>
  <c r="J347" i="21"/>
  <c r="J389" i="21"/>
  <c r="J402" i="21"/>
  <c r="J439" i="21"/>
  <c r="J276" i="21"/>
  <c r="J354" i="21"/>
  <c r="J270" i="21"/>
  <c r="J224" i="21"/>
  <c r="J371" i="21"/>
  <c r="J315" i="21"/>
  <c r="J225" i="21"/>
  <c r="J436" i="21"/>
  <c r="J217" i="21"/>
  <c r="J360" i="21"/>
  <c r="J352" i="21"/>
  <c r="J462" i="21"/>
  <c r="J438" i="21"/>
  <c r="J234" i="21"/>
  <c r="J170" i="21"/>
  <c r="J425" i="21"/>
  <c r="J297" i="21"/>
  <c r="J326" i="21"/>
  <c r="J21" i="21"/>
  <c r="J28" i="21"/>
  <c r="J331" i="21"/>
  <c r="J494" i="21"/>
  <c r="J283" i="21"/>
  <c r="J112" i="21"/>
  <c r="J308" i="21"/>
  <c r="J351" i="21"/>
  <c r="J127" i="21"/>
  <c r="J23" i="21"/>
  <c r="J50" i="21"/>
  <c r="J216" i="21"/>
  <c r="J399" i="21"/>
  <c r="J431" i="21"/>
  <c r="J309" i="21"/>
  <c r="J472" i="21"/>
  <c r="J44" i="21"/>
  <c r="J161" i="21"/>
  <c r="J14" i="21"/>
  <c r="J156" i="21"/>
  <c r="J361" i="21"/>
  <c r="J497" i="21"/>
  <c r="J498" i="21"/>
  <c r="J215" i="21"/>
  <c r="J160" i="21"/>
  <c r="J74" i="21"/>
  <c r="J457" i="21"/>
  <c r="J262" i="21"/>
  <c r="J204" i="21"/>
  <c r="J239" i="21"/>
  <c r="J59" i="21"/>
  <c r="J486" i="21"/>
  <c r="J380" i="21"/>
  <c r="J136" i="21"/>
  <c r="J140" i="21"/>
  <c r="J478" i="21"/>
  <c r="J323" i="21"/>
  <c r="J8" i="21"/>
  <c r="J500" i="21"/>
  <c r="J11" i="21"/>
  <c r="J69" i="21"/>
  <c r="J456" i="21"/>
  <c r="J129" i="21"/>
  <c r="J433" i="21"/>
  <c r="J350" i="21"/>
  <c r="J368" i="21"/>
  <c r="J82" i="21"/>
  <c r="J150" i="21"/>
  <c r="J337" i="21"/>
  <c r="J426" i="21"/>
  <c r="J138" i="21"/>
  <c r="J445" i="21"/>
  <c r="C8" i="18"/>
  <c r="I6" i="18" s="1"/>
  <c r="J2" i="21"/>
  <c r="J440" i="21"/>
  <c r="J413" i="21"/>
  <c r="J70" i="21"/>
  <c r="J325" i="21"/>
  <c r="J201" i="21"/>
  <c r="J89" i="21"/>
  <c r="J121" i="21"/>
  <c r="J279" i="21"/>
  <c r="J19" i="21"/>
  <c r="J313" i="21"/>
  <c r="J146" i="21"/>
  <c r="J264" i="21"/>
  <c r="J133" i="21"/>
  <c r="J334" i="21"/>
  <c r="J285" i="21"/>
  <c r="J404" i="21"/>
  <c r="J57" i="21"/>
  <c r="J327" i="21"/>
  <c r="J86" i="21"/>
  <c r="J131" i="21"/>
  <c r="J88" i="21"/>
  <c r="J273" i="21"/>
  <c r="J145" i="21"/>
  <c r="J228" i="21"/>
  <c r="J101" i="21"/>
  <c r="J386" i="21"/>
  <c r="H18" i="18" l="1"/>
  <c r="I4" i="18" s="1"/>
  <c r="K5" i="18" s="1"/>
  <c r="K7" i="18" s="1"/>
</calcChain>
</file>

<file path=xl/sharedStrings.xml><?xml version="1.0" encoding="utf-8"?>
<sst xmlns="http://schemas.openxmlformats.org/spreadsheetml/2006/main" count="7349" uniqueCount="1508">
  <si>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</si>
  <si>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</si>
  <si>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</si>
  <si>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</si>
  <si>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</si>
  <si>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</si>
  <si>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</si>
  <si>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</si>
  <si>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</si>
  <si>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</si>
  <si>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</si>
  <si>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</si>
  <si>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</si>
  <si>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</si>
  <si>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</si>
  <si>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</si>
  <si>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</si>
  <si>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</si>
  <si>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</si>
  <si>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</si>
  <si>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</si>
  <si>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</si>
  <si>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</si>
  <si>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</si>
  <si>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</si>
  <si>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</si>
  <si>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</si>
  <si>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</si>
  <si>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</si>
  <si>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</si>
  <si>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</si>
  <si>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</si>
  <si>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</si>
  <si>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</si>
  <si>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</si>
  <si>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</si>
  <si>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</si>
  <si>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</si>
  <si>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</si>
  <si>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</si>
  <si>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</si>
  <si>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</si>
  <si>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</si>
  <si>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</si>
  <si>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</si>
  <si>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</si>
  <si>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</si>
  <si>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</si>
  <si>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</si>
  <si>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</si>
  <si>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</si>
  <si>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</si>
  <si>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</si>
  <si>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</si>
  <si>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</si>
  <si>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</si>
  <si>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</si>
  <si>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</si>
  <si>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</si>
  <si>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</si>
  <si>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</si>
  <si>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</si>
  <si>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</si>
  <si>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</si>
  <si>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</si>
  <si>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</si>
  <si>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</si>
  <si>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</si>
  <si>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</si>
  <si>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</si>
  <si>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</si>
  <si>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</si>
  <si>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</si>
  <si>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</si>
  <si>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0-2</t>
  </si>
  <si>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</si>
  <si>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UNK ' corey ' campbell , 21 , was the ringleader of the gang .
he had been staying in the basement of campbell 's mother 's house in mayfair .
he had been staying in the basement of campbell 's mother 's house in mayfair .
he had been staying in the basement of campbell 's mother 's house in mayfair .</t>
  </si>
  <si>
    <t>UNK</t>
  </si>
  <si>
    <t>he had been staying in the basement of campbell 's mother 's house in mayfair .</t>
  </si>
  <si>
    <t>he</t>
  </si>
  <si>
    <t xml:space="preserve">tattoo terrorists' gang jailed </t>
  </si>
  <si>
    <t>for their roles in a three day horrific assault on a 53-year-old man , who was beaten , tied to a chair , and covered in offensive tattoos .</t>
  </si>
  <si>
    <t>campbell , 21 , believed the victim , greg valecce , had hurt his cat</t>
  </si>
  <si>
    <t>campbell was sentenced to 20 years prison , along with friend carl halin , 18</t>
  </si>
  <si>
    <t>his girlfriend sandra ng , 18 , received 23 months</t>
  </si>
  <si>
    <t>two others are awaiting sentencing</t>
  </si>
  <si>
    <t>1-2</t>
  </si>
  <si>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</si>
  <si>
    <t>englishman jack nicklaus is still capable of hitting titles at the grand old age of 75 .
nicklaus was playing alongside gary neville , ben UNK and ben UNK .
nicklaus was playing alongside gary neville , ben UNK and ben UNK .</t>
  </si>
  <si>
    <t>englishman--american</t>
  </si>
  <si>
    <t>nicklaus was playing alongside gary neville , ben UNK and ben UNK .</t>
  </si>
  <si>
    <t>neville--player</t>
  </si>
  <si>
    <t>ben UNK</t>
  </si>
  <si>
    <t>nicklaus hits holein one a part3 contest</t>
  </si>
  <si>
    <t>the crowd roared in celebration</t>
  </si>
  <si>
    <t>players cheer</t>
  </si>
  <si>
    <t>colombian camilo villegas later eclipsed nicklaus ' achievement</t>
  </si>
  <si>
    <t>villegas was beaten in a play-off by world no 74 kevin streelman</t>
  </si>
  <si>
    <t>3-2</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</si>
  <si>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</si>
  <si>
    <t>a sheriff 's deputy is accused of shooting a man in the bahamas for a family vacation .
he is accused of shooting a man in the bahamas for a family vacation .
he has apologized to the harris family .</t>
  </si>
  <si>
    <t>bahamas</t>
  </si>
  <si>
    <t>for</t>
  </si>
  <si>
    <t>a</t>
  </si>
  <si>
    <t>family</t>
  </si>
  <si>
    <t>vacation</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</si>
  <si>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phoneticPr fontId="4" type="noConversion"/>
  </si>
  <si>
    <t>he is accused of shooting a man in the bahamas for a family vacation .</t>
  </si>
  <si>
    <t>robert bates said he meant to subdue a suspect with a taser but accidentally shot him</t>
  </si>
  <si>
    <t>the judge said bates was free to travel to the bahamas for a family vacation</t>
  </si>
  <si>
    <t>the preliminary hearing is scheduled for july 2</t>
  </si>
  <si>
    <t>4-2</t>
  </si>
  <si>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</si>
  <si>
    <t>curry beat portland trail blazers in the portland trail on thursday night .
curry was scored 12 points for the nba record for most UNK in a season .
UNK aldridge had 27 points and six rebounds .</t>
  </si>
  <si>
    <t>curry--warriors</t>
  </si>
  <si>
    <t>in</t>
  </si>
  <si>
    <t>the</t>
  </si>
  <si>
    <t>portland</t>
  </si>
  <si>
    <t>trail</t>
  </si>
  <si>
    <t>160-165</t>
  </si>
  <si>
    <t>UNK--lamarcus</t>
  </si>
  <si>
    <t>stephen curry broke his three-point record for a total nba season</t>
  </si>
  <si>
    <t>curry hit eight three 's to surpass his previous best of 272 three-pointers</t>
  </si>
  <si>
    <t>miami heat lost 78-89 vs chicago bulls in the eastern conference</t>
  </si>
  <si>
    <t>5-2</t>
  </si>
  <si>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</si>
  <si>
    <t>conor mcgregor is challenging jose aldo on july 11 .
the 26-year-old has already got a picture of a gorilla eating a heart tattoo .
mcgregor is challenging jose aldo for featherweight title challenge .
mcgregor is challenging jose aldo for featherweight title challenge .</t>
  </si>
  <si>
    <t>conor mcgregor is challenging jose aldo</t>
  </si>
  <si>
    <t>mcgregor is challenging jose aldo for featherweight title challenge .</t>
  </si>
  <si>
    <t>conor mcgregor shared a picture of his new tiger tattoo on his stomach</t>
  </si>
  <si>
    <t>mcgregor grabbed aldo 's featherweight champion belt in dublin</t>
  </si>
  <si>
    <t>6-2</t>
  </si>
  <si>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</si>
  <si>
    <t>liverpool beat liverpool 2-1 at anfield in the premier league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lazar markovic .</t>
  </si>
  <si>
    <t>fabio borini</t>
  </si>
  <si>
    <t>lazar markovic</t>
  </si>
  <si>
    <t>liverpool</t>
  </si>
  <si>
    <t>beat</t>
  </si>
  <si>
    <t>2-1</t>
  </si>
  <si>
    <t>at</t>
  </si>
  <si>
    <t>anfield</t>
  </si>
  <si>
    <t>premier</t>
  </si>
  <si>
    <t>league</t>
  </si>
  <si>
    <t>liverpool players mario balotelli , fabio borini , rickie lambert and lazar markovic believed that bas van velzen was a competition winner</t>
  </si>
  <si>
    <t>they were all set to give van velzen a free-kick masterclass</t>
  </si>
  <si>
    <t>van velzen 's dead ball skills became apparent very quickly</t>
  </si>
  <si>
    <t>7-2</t>
    <phoneticPr fontId="4" type="noConversion"/>
  </si>
  <si>
    <t>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t>
  </si>
  <si>
    <t>australian prime minister tony abbott was cheered on by a crowd of about 50 as he UNK a UNK of beer .
mr abbott was cheered on by a crowd of about 50 as he UNK a UNK of beer .
mr abbott was applauded by a crowd of about 50 as he UNK a UNK of beer .</t>
    <phoneticPr fontId="4" type="noConversion"/>
  </si>
  <si>
    <t>UNK</t>
    <phoneticPr fontId="4" type="noConversion"/>
  </si>
  <si>
    <t>mr abbott was cheered on by a crowd of about 50 as he UNK a UNK of beer .</t>
    <phoneticPr fontId="4" type="noConversion"/>
  </si>
  <si>
    <t>mr abbott was applauded by a crowd of about 50 as he UNK a UNK of beer .</t>
    <phoneticPr fontId="4" type="noConversion"/>
  </si>
  <si>
    <t>7-2</t>
  </si>
  <si>
    <t>australian prime minister tony abbott was cheered on by a crowd of about 50 as he UNK a UNK of beer .
mr abbott was cheered on by a crowd of about 50 as he UNK a UNK of beer .
mr abbott was applauded by a crowd of about 50 as he UNK a UNK of beer .</t>
  </si>
  <si>
    <t>tony abbott drinking the beer in six seconds</t>
    <phoneticPr fontId="4" type="noConversion"/>
  </si>
  <si>
    <t>the prime minister has been criticised by anti-drinking campaigners</t>
    <phoneticPr fontId="4" type="noConversion"/>
  </si>
  <si>
    <t xml:space="preserve">criticism also levelled at media and officials who made light of the event
</t>
    <phoneticPr fontId="4" type="noConversion"/>
  </si>
  <si>
    <t>8-2</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</si>
  <si>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t>
    <phoneticPr fontId="4" type="noConversion"/>
  </si>
  <si>
    <t xml:space="preserve">breast cancer risk of breast cancer is a UNK risk of breast cancer .
women who carry gene variant may also lose risk of dying from breast cancer .
researchers in canada analysed UNK breast cancer patients who had one of the 99 per cent in breast cancer death .
</t>
    <phoneticPr fontId="4" type="noConversion"/>
  </si>
  <si>
    <t>breast</t>
    <phoneticPr fontId="4" type="noConversion"/>
  </si>
  <si>
    <t>cancer</t>
    <phoneticPr fontId="4" type="noConversion"/>
  </si>
  <si>
    <t>8-2</t>
  </si>
  <si>
    <t>breast cancer risk of breast cancer is a UNK risk of breast cancer .
women who carry gene variant may also lose risk of dying from breast cancer .
researchers in canada analysed UNK breast cancer patients who had one of the 99 per cent in breast cancer deh .
_x0000__x0000_</t>
  </si>
  <si>
    <t>lose</t>
    <phoneticPr fontId="4" type="noConversion"/>
  </si>
  <si>
    <t>UNK--676</t>
    <phoneticPr fontId="4" type="noConversion"/>
  </si>
  <si>
    <t>percent</t>
    <phoneticPr fontId="4" type="noConversion"/>
  </si>
  <si>
    <t>in</t>
    <phoneticPr fontId="4" type="noConversion"/>
  </si>
  <si>
    <t>death</t>
    <phoneticPr fontId="4" type="noConversion"/>
  </si>
  <si>
    <t>breast cancer risk of breast cancer is a UNK risk of breast cancer .
women who carry gene variant may also lose risk of dying from breast cancer .
researchers in canada analysed UNK breast cancer patients who had one of the 99 per cent in breast cancer deh .
tr</t>
  </si>
  <si>
    <t>carriers of brca1 gene mutation who are diagnosed with breast cancer are less likely to die if they have their ovaries removed</t>
    <phoneticPr fontId="4" type="noConversion"/>
  </si>
  <si>
    <t xml:space="preserve">but the theory does not apply for those with brca2 gene mutation
</t>
    <phoneticPr fontId="4" type="noConversion"/>
  </si>
  <si>
    <t>having the brca1 or brca2 genes increase risk of breast cancer by 70 %</t>
    <phoneticPr fontId="4" type="noConversion"/>
  </si>
  <si>
    <t xml:space="preserve">experts said benefits of having ovaries removed lasted for up to 15 years
</t>
    <phoneticPr fontId="4" type="noConversion"/>
  </si>
  <si>
    <t>9-2</t>
    <phoneticPr fontId="4" type="noConversion"/>
  </si>
  <si>
    <t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</si>
  <si>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 xml:space="preserve">
there are 120 confirmed hiv cases and 10 preliminary positive cases tied to scott county , about 30 miles north of louisville , kentucky .
there are now 120 confirmed cases and 10 preliminary positive cases tied to scott county , about 30 miles north of louisville , kentucky .
</t>
    <phoneticPr fontId="4" type="noConversion"/>
  </si>
  <si>
    <t>there are now 120 confirmed cases and 10 preliminary positive cases tied to scott county , about 30 miles north of louisville , kentucky .</t>
    <phoneticPr fontId="4" type="noConversion"/>
  </si>
  <si>
    <t>outbreak has occurred among intravenous drug users and primarily involves the use of the high-powered prescription painkiller opana</t>
  </si>
  <si>
    <t xml:space="preserve"> the number of cases to rise as more people are tested</t>
  </si>
  <si>
    <t>gov. mike pence approved a short-term needle exchange program two weeks ago to help combat the problem</t>
  </si>
  <si>
    <t>10-2</t>
    <phoneticPr fontId="4" type="noConversion"/>
  </si>
  <si>
    <t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</si>
  <si>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 xml:space="preserve">
derek lowe , 38 , and tina lowe , 33 , were hit on easter sunday in durham , north carolina .
the UNK was headed from charlotte to new york city when the accident occurred on property owned by UNK .
the train continued on its route after a delay of about two hours and 45 minutes .</t>
    <phoneticPr fontId="4" type="noConversion"/>
  </si>
  <si>
    <t>no passengers were hurt</t>
    <phoneticPr fontId="4" type="noConversion"/>
  </si>
  <si>
    <t>they were homeless</t>
    <phoneticPr fontId="4" type="noConversion"/>
  </si>
  <si>
    <t>11-2</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</si>
  <si>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t>
    <phoneticPr fontId="4" type="noConversion"/>
  </si>
  <si>
    <t>arsenal fan saskia scored an impressive UNK out of 50 .
the 22-year-old made his arsenal debut for the gunners in the fa cup final .
the 22-year-old made his arsenal debut against hull city in the fa cup final .</t>
    <phoneticPr fontId="4" type="noConversion"/>
  </si>
  <si>
    <t xml:space="preserve">fan---fan‘s </t>
    <phoneticPr fontId="4" type="noConversion"/>
  </si>
  <si>
    <t>girlfriend</t>
    <phoneticPr fontId="4" type="noConversion"/>
  </si>
  <si>
    <t>UNK--43.5</t>
    <phoneticPr fontId="4" type="noConversion"/>
  </si>
  <si>
    <t>the 22-year-old</t>
    <phoneticPr fontId="4" type="noConversion"/>
  </si>
  <si>
    <t>made</t>
    <phoneticPr fontId="4" type="noConversion"/>
  </si>
  <si>
    <t>his</t>
    <phoneticPr fontId="4" type="noConversion"/>
  </si>
  <si>
    <t>11-2</t>
  </si>
  <si>
    <t>arsenal fan saskia scored an impressive UNK out of 50 .
the 22-year-old made his arsenal debut for the gunners in the fa cup final .
the 23-year-old made his arsenal debut against hull city in the fa cup final .</t>
  </si>
  <si>
    <t>arsenal</t>
    <phoneticPr fontId="4" type="noConversion"/>
  </si>
  <si>
    <t>arsenal fan saskia scored an impressive UNK out of 50 .
the 22-year-old made his arsenal debut for the gunners in the fa cup final .
the 24-year-old made his arsenal debut against hull city in the fa cup final .</t>
  </si>
  <si>
    <t>debut</t>
    <phoneticPr fontId="4" type="noConversion"/>
  </si>
  <si>
    <t>arsenal fan saskia scored an impressive UNK out of 50 .
the 22-year-old made his arsenal debut for the gunners in the fa cup final .
the 25-year-old made his arsenal debut against hull city in the fa cup final .</t>
  </si>
  <si>
    <t>for</t>
    <phoneticPr fontId="4" type="noConversion"/>
  </si>
  <si>
    <t>arsenal fan saskia scored an impressive UNK out of 50 .
the 22-year-old made his arsenal debut for the gunners in the fa cup final .
the 26-year-old made his arsenal debut against hull city in the fa cup final .</t>
  </si>
  <si>
    <t>the</t>
    <phoneticPr fontId="4" type="noConversion"/>
  </si>
  <si>
    <t>arsenal fan saskia scored an impressive UNK out of 50 .
the 22-year-old made his arsenal debut for the gunners in the fa cup final .
the 27-year-old made his arsenal debut against hull city in the fa cup final .</t>
  </si>
  <si>
    <t>gunners</t>
    <phoneticPr fontId="4" type="noConversion"/>
  </si>
  <si>
    <t>arsenal fan saskia scored an impressive UNK out of 50 .
the 22-year-old made his arsenal debut for the gunners in the fa cup final .
the 28-year-old made his arsenal debut against hull city in the fa cup final .</t>
  </si>
  <si>
    <t xml:space="preserve">in </t>
    <phoneticPr fontId="4" type="noConversion"/>
  </si>
  <si>
    <t>arsenal fan saskia scored an impressive UNK out of 50 .
the 22-year-old made his arsenal debut for the gunners in the fa cup final .
the 29-year-old made his arsenal debut against hull city in the fa cup final .</t>
  </si>
  <si>
    <t>arsenal fan saskia scored an impressive UNK out of 50 .
the 22-year-old made his arsenal debut for the gunners in the fa cup final .
the 30-year-old made his arsenal debut against hull city in the fa cup final .</t>
  </si>
  <si>
    <t>fa cup final</t>
    <phoneticPr fontId="4" type="noConversion"/>
  </si>
  <si>
    <t>the 30-year-old</t>
    <phoneticPr fontId="4" type="noConversion"/>
  </si>
  <si>
    <t>against</t>
    <phoneticPr fontId="4" type="noConversion"/>
  </si>
  <si>
    <t>hull city</t>
    <phoneticPr fontId="4" type="noConversion"/>
  </si>
  <si>
    <t>arsenal fan 's girlfriend avoids getting dumped after passing football test</t>
    <phoneticPr fontId="4" type="noConversion"/>
  </si>
  <si>
    <t>needs to work on her player positions</t>
    <phoneticPr fontId="4" type="noConversion"/>
  </si>
  <si>
    <t>she posted pictures of boyfriend 's test on twitter</t>
    <phoneticPr fontId="4" type="noConversion"/>
  </si>
  <si>
    <t>12-2</t>
    <phoneticPr fontId="4" type="noConversion"/>
  </si>
  <si>
    <t>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t>
    <phoneticPr fontId="4" type="noConversion"/>
  </si>
  <si>
    <t xml:space="preserve">
carlos shapiro , 66 , worked as an informant who spent the last 27 years working for the dea as an informant .
he was one of the dea 's most important assets and helped carry out undercover narcotics in the world .
he was one of the dea 's most important assets and helped carry out undercover narcotics .
</t>
    <phoneticPr fontId="4" type="noConversion"/>
  </si>
  <si>
    <t>carlos shapiro , 66 , worked as an informant who spent the last 27 years working for the dea as an informant .</t>
    <phoneticPr fontId="4" type="noConversion"/>
  </si>
  <si>
    <t>he was one of the dea 's most important assets and helped carry out undercover narcotics .</t>
    <phoneticPr fontId="4" type="noConversion"/>
  </si>
  <si>
    <t>narcotics</t>
    <phoneticPr fontId="4" type="noConversion"/>
  </si>
  <si>
    <t xml:space="preserve">he was one of the dea 's most important assets and helped carry out undercover narcotics in the world </t>
    <phoneticPr fontId="4" type="noConversion"/>
  </si>
  <si>
    <t>12-2</t>
  </si>
  <si>
    <t>carlos toro was promised he could stay in the us but is facing deportation</t>
  </si>
  <si>
    <t>being sent back to native country of colombia would be ` death sentence '</t>
    <phoneticPr fontId="4" type="noConversion"/>
  </si>
  <si>
    <t>toro informed on cocaine overlord carlos lehder of the medellin cartel</t>
    <phoneticPr fontId="4" type="noConversion"/>
  </si>
  <si>
    <t>also provided information on former dictator of panama manuel noriega</t>
    <phoneticPr fontId="4" type="noConversion"/>
  </si>
  <si>
    <t>he is hoping for visa or green card but ca n't yet collect social security</t>
    <phoneticPr fontId="4" type="noConversion"/>
  </si>
  <si>
    <t>13-2</t>
    <phoneticPr fontId="4" type="noConversion"/>
  </si>
  <si>
    <t>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t>
    <phoneticPr fontId="4" type="noConversion"/>
  </si>
  <si>
    <t xml:space="preserve">
UNK UNK has been bailed after being arrested on suspicion of sexual assault .
the former all black , who denies the allegations , was arrested on suspicion of sexual assault .
his solicitor matthew de maid said : ' he totally denies all the allegations ' .</t>
    <phoneticPr fontId="4" type="noConversion"/>
  </si>
  <si>
    <t>his solicitor matthew de maid said</t>
    <phoneticPr fontId="4" type="noConversion"/>
  </si>
  <si>
    <t>muliaina was held in cells overnight and questioned by officers in cardiff</t>
    <phoneticPr fontId="4" type="noConversion"/>
  </si>
  <si>
    <t>mils muliaina came off injured during connacht 's visit to gloucester</t>
    <phoneticPr fontId="4" type="noConversion"/>
  </si>
  <si>
    <t>14-2</t>
    <phoneticPr fontId="4" type="noConversion"/>
  </si>
  <si>
    <t>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</si>
  <si>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 xml:space="preserve">
kevin spacey is reportedly among celebrities paying out to have their name removed from one of the UNK ' domains which opened on 30 march .
UNK , UNK , UNK , UNK , UNK , UNK , UNK , UNK , UNK , UNK , UNK .
</t>
    <phoneticPr fontId="4" type="noConversion"/>
  </si>
  <si>
    <t>14-2</t>
  </si>
  <si>
    <t>youtube , bing , visa , bank of america and yahoo among others targeted</t>
    <phoneticPr fontId="4" type="noConversion"/>
  </si>
  <si>
    <t>us regulator will see if the actions of vox populi registry ltd. were illegal</t>
    <phoneticPr fontId="4" type="noConversion"/>
  </si>
  <si>
    <t>owners recommended to resell ' . sucks ' domains for around $ 2,499 a year</t>
    <phoneticPr fontId="4" type="noConversion"/>
  </si>
  <si>
    <t>15-2</t>
    <phoneticPr fontId="4" type="noConversion"/>
  </si>
  <si>
    <t>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</si>
  <si>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the 14-year-old is now fighting for her life in UNK UNK hospital .
her family reportedly told her to keep quiet about the attack .
she is now fighting for her life in UNK UNK hospital .</t>
    <phoneticPr fontId="4" type="noConversion"/>
  </si>
  <si>
    <t>her family reportedly told her to keep quiet about the attack .</t>
    <phoneticPr fontId="4" type="noConversion"/>
  </si>
  <si>
    <t>she is now fighting for her life in UNK UNK hospital .</t>
    <phoneticPr fontId="4" type="noConversion"/>
  </si>
  <si>
    <t>she was allegedly attacked after leaving her house to relieve herself</t>
    <phoneticPr fontId="4" type="noConversion"/>
  </si>
  <si>
    <t>15-2</t>
  </si>
  <si>
    <t>the attack is said to have taken place in india 's uttar pradesh region</t>
    <phoneticPr fontId="4" type="noConversion"/>
  </si>
  <si>
    <t>victim suffered 70 per cent burns after dousing herself in kerosene</t>
    <phoneticPr fontId="4" type="noConversion"/>
  </si>
  <si>
    <t>her brother apparently saw her covered in flames and threw water on her</t>
    <phoneticPr fontId="4" type="noConversion"/>
  </si>
  <si>
    <t>16-2</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</si>
  <si>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phoneticPr fontId="4" type="noConversion"/>
  </si>
  <si>
    <t>police found the body from his grave in norfolk last year after the case came up for UNK review .
a dna sample led them to his mother , who has not been named , was arrested on suspicion of human trafficking .
police have ruled out foul play and the woman remains on bail .</t>
    <phoneticPr fontId="4" type="noConversion"/>
  </si>
  <si>
    <t xml:space="preserve"> found</t>
    <phoneticPr fontId="4" type="noConversion"/>
  </si>
  <si>
    <t xml:space="preserve"> trafficking .</t>
    <phoneticPr fontId="4" type="noConversion"/>
  </si>
  <si>
    <t>cps may now charge her with failing to register the birth and preventing a lawful burial</t>
    <phoneticPr fontId="4" type="noConversion"/>
  </si>
  <si>
    <t>17-2</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</si>
  <si>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t>
    <phoneticPr fontId="4" type="noConversion"/>
  </si>
  <si>
    <t>robin van persie will not play for manchester united against city on sunday .
louis van gaal says he has been dreaming of beating manchester united .
van gaal says he has been dreaming of beating manchester united .
van gaal says he is not fit enough to play for manchester united .</t>
    <phoneticPr fontId="4" type="noConversion"/>
  </si>
  <si>
    <t>louis van gaal says he has been dreaming of beating manchester united .</t>
    <phoneticPr fontId="4" type="noConversion"/>
  </si>
  <si>
    <t>he</t>
    <phoneticPr fontId="4" type="noConversion"/>
  </si>
  <si>
    <t>18-2</t>
    <phoneticPr fontId="4" type="noConversion"/>
  </si>
  <si>
    <t>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t>
    <phoneticPr fontId="4" type="noConversion"/>
  </si>
  <si>
    <t>UNK hicks , now 27 , was on his way home from a night out in bath .
he suffered severe brain injury and is now required round-the-clock care .
he suffered brain injury and needs round-the-clock care from his mother .</t>
    <phoneticPr fontId="4" type="noConversion"/>
  </si>
  <si>
    <t xml:space="preserve">driver michael young , 56 , thought passenger was planning to ` do a runner '
</t>
    <phoneticPr fontId="4" type="noConversion"/>
  </si>
  <si>
    <t>so he decided to take passenger kristopher hicks him back to the taxi rank</t>
    <phoneticPr fontId="4" type="noConversion"/>
  </si>
  <si>
    <t>mr hicks</t>
    <phoneticPr fontId="4" type="noConversion"/>
  </si>
  <si>
    <t xml:space="preserve"> jumped out </t>
    <phoneticPr fontId="4" type="noConversion"/>
  </si>
  <si>
    <t>judge rules mr hicks was unlawfully imprisoned and will now get damages</t>
  </si>
  <si>
    <t>he suffered brain injury and needs round-the-clock care from his mother .</t>
    <phoneticPr fontId="4" type="noConversion"/>
  </si>
  <si>
    <t>20-2</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</si>
  <si>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</si>
  <si>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arsenal and liverpool fans left empty seats empty at the emirates stadium .
fans are ' disgusted ' at the continuing rise of ticket prices .
fans are ' disgusted ' at the continuing rise of ticket prices .</t>
    <phoneticPr fontId="4" type="noConversion"/>
  </si>
  <si>
    <t>empty</t>
    <phoneticPr fontId="4" type="noConversion"/>
  </si>
  <si>
    <t>as</t>
    <phoneticPr fontId="4" type="noConversion"/>
  </si>
  <si>
    <t>20-2</t>
  </si>
  <si>
    <t>part</t>
    <phoneticPr fontId="4" type="noConversion"/>
  </si>
  <si>
    <t>of</t>
    <phoneticPr fontId="4" type="noConversion"/>
  </si>
  <si>
    <t>a</t>
    <phoneticPr fontId="4" type="noConversion"/>
  </si>
  <si>
    <t>protest</t>
    <phoneticPr fontId="4" type="noConversion"/>
  </si>
  <si>
    <t>fans are ' disgusted ' at the continuing rise of ticket prices .</t>
    <phoneticPr fontId="4" type="noConversion"/>
  </si>
  <si>
    <t>more protests are expected after the lunchtime kick-off at the emirates</t>
    <phoneticPr fontId="4" type="noConversion"/>
  </si>
  <si>
    <t>21-2</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</si>
  <si>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</si>
  <si>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new : tornado touched down in a kansas city , missouri .
tornado touched down in a kansas city , missouri , about 70 miles from st. louis .
the tornado killed 70 miles southwest of wichita , kansas , according to forecasters .</t>
    <phoneticPr fontId="4" type="noConversion"/>
  </si>
  <si>
    <t>new</t>
    <phoneticPr fontId="4" type="noConversion"/>
  </si>
  <si>
    <t xml:space="preserve"> tornado touched down in a kansas city , missouri .</t>
    <phoneticPr fontId="4" type="noConversion"/>
  </si>
  <si>
    <t>killed</t>
    <phoneticPr fontId="4" type="noConversion"/>
  </si>
  <si>
    <t>21-2</t>
  </si>
  <si>
    <t>southwest</t>
    <phoneticPr fontId="4" type="noConversion"/>
  </si>
  <si>
    <t>( cnn ) tornado sirens blared wednesday night in kansas as several storms brought reports of twisters .
spotters reported a tornado about 6 miles northwest of goddard , which is less than 16 miles west of wichita .
that storm moved to the northeast , miss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.nti</t>
  </si>
  <si>
    <t>new : tornado touched down in a kansas city , missouri .
tornado touched down in a kansas city , missouri , about 70 miles from st. louis .
the tornado killed 71 miles southwest of wichita , kansas , according to forecasters .</t>
  </si>
  <si>
    <t>kansas spotters report at least four tornadoes</t>
    <phoneticPr fontId="4" type="noConversion"/>
  </si>
  <si>
    <t>( cnn ) tornado sirens blared wednesday night in kansas as several storms brought reports of twisters .
spotters reported a tornado about 6 miles northwest of goddard , which is less than 17 miles west of wichita .
that storm moved to the northeast , miss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.nti</t>
  </si>
  <si>
    <t>new : tornado touched down in a kansas city , missouri .
tornado touched down in a kansas city , missouri , about 70 miles from st. louis .
the tornado killed 72 miles southwest of wichita , kansas , according to forecasters .</t>
  </si>
  <si>
    <t>thursday 's forecast calls for more storms but to the east</t>
    <phoneticPr fontId="4" type="noConversion"/>
  </si>
  <si>
    <t>22-2</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</si>
  <si>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t>
    <phoneticPr fontId="4" type="noConversion"/>
  </si>
  <si>
    <t>the baby 's mother was diagnosed with UNK UNK in january .
the baby 's mother was diagnosed with UNK UNK in hospital .
her parents were told the infant would need a liver transplant in order to survive .</t>
    <phoneticPr fontId="4" type="noConversion"/>
  </si>
  <si>
    <t>mother</t>
    <phoneticPr fontId="4" type="noConversion"/>
  </si>
  <si>
    <t>unk</t>
    <phoneticPr fontId="4" type="noConversion"/>
  </si>
  <si>
    <t>22-2</t>
  </si>
  <si>
    <t>january</t>
    <phoneticPr fontId="4" type="noConversion"/>
  </si>
  <si>
    <t>the baby 's mother was diagnosed with UNK UNK in hospital .</t>
    <phoneticPr fontId="4" type="noConversion"/>
  </si>
  <si>
    <t>her parents were told the infant would need a liver transplant in order to survive .</t>
    <phoneticPr fontId="4" type="noConversion"/>
  </si>
  <si>
    <t>the baby 's bile ducts were blocked - a condition which can prove fatal</t>
    <phoneticPr fontId="4" type="noConversion"/>
  </si>
  <si>
    <t>neither of her parents were suitable candidates for partial liver transplant</t>
    <phoneticPr fontId="4" type="noConversion"/>
  </si>
  <si>
    <t>her maternal aunt shanell was the best chance she had at survival</t>
  </si>
  <si>
    <t>star underwent operation in leeds in november and has since recovered</t>
    <phoneticPr fontId="4" type="noConversion"/>
  </si>
  <si>
    <t>23-2</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</si>
  <si>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t>
    <phoneticPr fontId="4" type="noConversion"/>
  </si>
  <si>
    <t>the californian is bidding for fourth consecutive victory since losing to UNK in new jersey on saturday .
the californian is bidding for fourth consecutive victory since losing to UNK financially two years ago .
the californian is bidding for fourth consecutive victory since losing to UNK .</t>
    <phoneticPr fontId="4" type="noConversion"/>
  </si>
  <si>
    <t>23-2</t>
  </si>
  <si>
    <t>new jersey</t>
    <phoneticPr fontId="4" type="noConversion"/>
  </si>
  <si>
    <t>on</t>
    <phoneticPr fontId="4" type="noConversion"/>
  </si>
  <si>
    <t>Saturday</t>
    <phoneticPr fontId="4" type="noConversion"/>
  </si>
  <si>
    <t>the californian is bidding for fourth consecutive victory since losing to UNK financially two years ago .</t>
    <phoneticPr fontId="4" type="noConversion"/>
  </si>
  <si>
    <t>the californian is bidding for fourth consecutive victory since losing to UNK .</t>
    <phoneticPr fontId="4" type="noConversion"/>
  </si>
  <si>
    <t>luke rockhold takes on lyoto machida in new jersey on Saturday</t>
    <phoneticPr fontId="4" type="noConversion"/>
  </si>
  <si>
    <t>24-2</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</si>
  <si>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t>
    <phoneticPr fontId="4" type="noConversion"/>
  </si>
  <si>
    <t>eden hazard and nathan ake go head-to-head in the boot of a car .
hazard and matic set to sink their ball into the boot of a car from close range .
the duo were involved in the biggest blows in the first two rounds .</t>
    <phoneticPr fontId="4" type="noConversion"/>
  </si>
  <si>
    <t>eden hazard and nathan</t>
    <phoneticPr fontId="4" type="noConversion"/>
  </si>
  <si>
    <t>boot of a car</t>
    <phoneticPr fontId="4" type="noConversion"/>
  </si>
  <si>
    <t>hazard and matic</t>
    <phoneticPr fontId="4" type="noConversion"/>
  </si>
  <si>
    <t>the duo were involved in the biggest blows in the first two rounds .</t>
    <phoneticPr fontId="4" type="noConversion"/>
  </si>
  <si>
    <t>24-2</t>
  </si>
  <si>
    <t>four chelsea stars took part in audi 's football challenge</t>
    <phoneticPr fontId="4" type="noConversion"/>
  </si>
  <si>
    <t>they were tasked with various challenges involving the expensive cars</t>
    <phoneticPr fontId="4" type="noConversion"/>
  </si>
  <si>
    <t>eden hazard and nathan ake faced willian and loic remy in the video</t>
    <phoneticPr fontId="4" type="noConversion"/>
  </si>
  <si>
    <t>willian accidentally smashes the wing mirror of one of the audi 's</t>
    <phoneticPr fontId="4" type="noConversion"/>
  </si>
  <si>
    <t>25-2</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</si>
  <si>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</si>
  <si>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shocking footage shows cabin crew of cabin crew on landing gear .
pilot UNK the aircraft as the wings bounce up and down from impact .
pilot UNK the engines and makes a second impact with the runway .
the landing gear can be heard UNK off the ground .</t>
    <phoneticPr fontId="4" type="noConversion"/>
  </si>
  <si>
    <t>cabin</t>
    <phoneticPr fontId="4" type="noConversion"/>
  </si>
  <si>
    <t>crew</t>
    <phoneticPr fontId="4" type="noConversion"/>
  </si>
  <si>
    <t>25-2</t>
  </si>
  <si>
    <t xml:space="preserve"> landing</t>
    <phoneticPr fontId="4" type="noConversion"/>
  </si>
  <si>
    <t>gear</t>
    <phoneticPr fontId="4" type="noConversion"/>
  </si>
  <si>
    <t>pilot</t>
    <phoneticPr fontId="4" type="noConversion"/>
  </si>
  <si>
    <t>aircraft</t>
    <phoneticPr fontId="4" type="noConversion"/>
  </si>
  <si>
    <t>landing</t>
    <phoneticPr fontId="4" type="noConversion"/>
  </si>
  <si>
    <t>pilot UNK the aircraft as the wings bounce up and down from impact .</t>
    <phoneticPr fontId="4" type="noConversion"/>
  </si>
  <si>
    <t>pilot UNK the engines and makes a second impact with the runway .</t>
    <phoneticPr fontId="4" type="noConversion"/>
  </si>
  <si>
    <t>the landing gear can be heard UNK off the ground .</t>
    <phoneticPr fontId="4" type="noConversion"/>
  </si>
  <si>
    <t>filmmaker points out that the pilot has not deployed the landing gear</t>
    <phoneticPr fontId="4" type="noConversion"/>
  </si>
  <si>
    <t>plane touches down onto the tarmac and skids along the runway</t>
    <phoneticPr fontId="4" type="noConversion"/>
  </si>
  <si>
    <t>its propellers ricochet off the ground before pilot re-engages engines</t>
    <phoneticPr fontId="4" type="noConversion"/>
  </si>
  <si>
    <t>aircraft takes off and flies 100 miles away to fort lauderdale , florida</t>
    <phoneticPr fontId="4" type="noConversion"/>
  </si>
  <si>
    <t>26-2</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</si>
  <si>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</si>
  <si>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robert dellinger , 54 , told investigators he was trying to kill himself in december 2013 when he drove his pickup truck across a median at more than 100mph and plowed into an oncoming suv .
prosecutors said dellinger broke down in tears at the defense table as his wife was speaking to the relatives of murphy and pal .</t>
    <phoneticPr fontId="4" type="noConversion"/>
  </si>
  <si>
    <t>prosecutors said dellinger broke down in tears at the defense table as his wife was speaking to the relatives of murphy and pal .</t>
    <phoneticPr fontId="4" type="noConversion"/>
  </si>
  <si>
    <t>pal</t>
    <phoneticPr fontId="4" type="noConversion"/>
  </si>
  <si>
    <t>26-2</t>
  </si>
  <si>
    <t>amanda murphy , 24 , and jason timmons , 29 , were killed instantly in the crash in lebanon , new hampshire</t>
  </si>
  <si>
    <t>murphy was eight months pregnant with their first child , a girl</t>
  </si>
  <si>
    <t>dellinger pleaded guilty in february to negligent homicide for their deaths , and to assault for the death of the fetus</t>
  </si>
  <si>
    <t>he faces 12 to 24 years in prison when sentencing resumes thursday</t>
  </si>
  <si>
    <t>deborah dellinger , defendant 's wife , described her husband from the witness stand as a ` man of ethics , integrity and friendship '</t>
  </si>
  <si>
    <t>27-2</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</si>
  <si>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</si>
  <si>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manuel pellegrini has admitted he has been disappointed by the ivorian .
toure has been disappointed by the ivorian city midfielder 's level .
toure has been disappointed by the ivorian city midfielder 's level .
city will also face the hammers without captain vincent kompany .
click here for more manchester city news .</t>
    <phoneticPr fontId="4" type="noConversion"/>
  </si>
  <si>
    <t>toure</t>
  </si>
  <si>
    <t>toure has been disappointed by the ivorian city midfielder 's level .</t>
  </si>
  <si>
    <t>27-2</t>
  </si>
  <si>
    <t>sportsmail revealed manchester city would listen to offers for yaya toure</t>
  </si>
  <si>
    <t>but the city boss has vowed to support him until the end of the season</t>
  </si>
  <si>
    <t>sam allardyce has warned aaron cresswell about joining manchester city</t>
  </si>
  <si>
    <t>click here for more manchester city news .</t>
  </si>
  <si>
    <t>28-2</t>
    <phoneticPr fontId="4" type="noConversion"/>
  </si>
  <si>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</si>
  <si>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lacey spears of UNK , kentucky , was found guilty last month of second-degree murder in the death of her son UNK spears .
she was spared the maximum 25 years to life and instead received 20 , showing no emotion when she was sentenced to 20 years to life .
spears ' lawyer requested the minimum 15 years to life .</t>
    <phoneticPr fontId="4" type="noConversion"/>
  </si>
  <si>
    <t>28-2</t>
  </si>
  <si>
    <t>spears ' lawyer requested the minimum 15 years to life .</t>
  </si>
  <si>
    <t>the 27-year-old spears force-fed heavy concentrations of sodium through the boy 's stomach tube</t>
  </si>
  <si>
    <t>judge who sentenced spears on wednesday said she suffers from a mental illness and said the crime was still ` unfathomable in its cruelty '</t>
    <phoneticPr fontId="4" type="noConversion"/>
  </si>
  <si>
    <t>the boy 's father chris hill wrote on his facebook account of spears : ` crazy a ** woman needs to be beat to death in prison '</t>
    <phoneticPr fontId="4" type="noConversion"/>
  </si>
  <si>
    <t>29-2</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</si>
  <si>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</si>
  <si>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domenico rancadore granted conviction in italy for his role as a ' man of honour ' .
he lost his battle against extradition and was told he must return to italy to serve his sentence .</t>
    <phoneticPr fontId="4" type="noConversion"/>
  </si>
  <si>
    <t>domenico rancadore given a seven-year sentence by italian court in 1999</t>
  </si>
  <si>
    <t>today it emerged that the 65-year-old 's case expired in october last year</t>
  </si>
  <si>
    <t>30-2</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</si>
  <si>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</si>
  <si>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scientists warn of new strains of influenza , which caused a spike in deaths in northern hemisphere as the vaccine was not a good match to fight against the two types of flu .
experts say the modified version of the vaccine is worth waiting for .
experts say the modified version of the vaccine is worth waiting for .</t>
    <phoneticPr fontId="4" type="noConversion"/>
  </si>
  <si>
    <t>scientists warn of new strains of influenza , which caused a spike in deaths in northern hemisphere as the vaccine was not a good match to fight against the two types of flu .</t>
  </si>
  <si>
    <t>experts say the modified version of the vaccine is worth waiting for .</t>
  </si>
  <si>
    <t>30-2</t>
  </si>
  <si>
    <t>flu strains h3n2 and b/phuket triggered spike in deaths in u.s. and europe</t>
  </si>
  <si>
    <t>modified vaccine which includes these two strains is coming to australia</t>
  </si>
  <si>
    <t>including the strains has delayed stocks of the vaccine arriving by a month</t>
  </si>
  <si>
    <t>high-risk groups in australia will be able to get free flu shots from april 20</t>
  </si>
  <si>
    <t>31-2</t>
  </si>
  <si>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</si>
  <si>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ap mccoy has been installed as one of three UNK in the UNK line-up .
paul UNK mr mole will be ridden by cheltenham gold cup winner nico de UNK in the absence of injured barry geraghty .</t>
    <phoneticPr fontId="4" type="noConversion"/>
  </si>
  <si>
    <t>ap mccoy</t>
  </si>
  <si>
    <t>trained</t>
    <phoneticPr fontId="4" type="noConversion"/>
  </si>
  <si>
    <t>paul UNK mr mole will be ridden by cheltenham gold cup winner nico de UNK in the absence of injured barry geraghty .</t>
  </si>
  <si>
    <t>ap mccoy 's mount mr mole is bracketed with special tiara and sprinter sacre for saturday 's race</t>
  </si>
  <si>
    <t>t will be ap mccoy 's last ride in a grade one race</t>
  </si>
  <si>
    <t>32-2</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</si>
  <si>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</si>
  <si>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abraham lincoln 's tomb in lincoln 's tomb in massachusetts , illinois , has been closed in the wake of the 150th anniversary of the civil war president 's assassination .
bruce UNK has proposed eliminating the state historic preservation agency that manages sites including the tomb as it currently exists .</t>
    <phoneticPr fontId="4" type="noConversion"/>
  </si>
  <si>
    <t>lincoln 's</t>
  </si>
  <si>
    <t>tomb</t>
  </si>
  <si>
    <t>32-2</t>
  </si>
  <si>
    <t>massachusetts</t>
  </si>
  <si>
    <t>abraham lincoln 's tomb in lincoln 's tomb in massachusetts , illinois , has been closed in the wake of the 150th anniversary of the civil war president 's assassination .</t>
  </si>
  <si>
    <t>caretakers of lincoln 's tomb are on the defensive over an unflattering magazine critique and looming budget cuts</t>
    <phoneticPr fontId="4" type="noConversion"/>
  </si>
  <si>
    <t>the site was pilloried in this month 's issue of national geographic magazine as having ` all the historical character of an office lobby '</t>
  </si>
  <si>
    <t>rauner would roll the agency into another department</t>
  </si>
  <si>
    <t>lincoln 's tomb was designed by vermont sculptor larkin mead , who won a national contest</t>
  </si>
  <si>
    <t>it was dedicated by president ulysses s. grant in 1874</t>
  </si>
  <si>
    <t>the tomb was reconstructed in both 1899 and 1930</t>
  </si>
  <si>
    <t>33-2</t>
    <phoneticPr fontId="4" type="noConversion"/>
  </si>
  <si>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</si>
  <si>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the mother of a girl who was murdered 40 years ago has spoken of the horror of recently seeing crime scene photos of her daughter 's body .
the mother of a girl who was murdered 40 years ago finally asked to see the crime scene photos of her daughter 's body .
the mother of a girl who was murdered 40 years ago finally asked to see the crime scene photos of her body .</t>
    <phoneticPr fontId="4" type="noConversion"/>
  </si>
  <si>
    <t>the mother of a girl who was murdered 40 years ago finally asked to see the crime scene photos of her body .</t>
  </si>
  <si>
    <t>virginia trimble ritter 's daughter , marcia , was raped and choked to death by jerome sydney barrett in 1975</t>
  </si>
  <si>
    <t>the case was nashville 's most notorious unsolved murder for 33 years</t>
  </si>
  <si>
    <t>34-2</t>
    <phoneticPr fontId="4" type="noConversion"/>
  </si>
  <si>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</si>
  <si>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UNK jeans , UNK lips , round sunglasses and UNK are all the rage with a new generation of fashion fans .
kanye west , kim kardashian , kanye west , kim kardashian , kanye west , jessie j and katy perry are among the celebrities .</t>
    <phoneticPr fontId="4" type="noConversion"/>
  </si>
  <si>
    <t>34-2</t>
  </si>
  <si>
    <t>UNK jeans , UNK lips , round sunglasses and UNK are all the rage with a new generation of fashion fans .</t>
  </si>
  <si>
    <t>kanye west</t>
  </si>
  <si>
    <t>kim kardashian</t>
  </si>
  <si>
    <t xml:space="preserve">kanye west </t>
  </si>
  <si>
    <t xml:space="preserve"> jessie j</t>
    <phoneticPr fontId="4" type="noConversion"/>
  </si>
  <si>
    <t>katy perry</t>
  </si>
  <si>
    <t>Whole Sentence</t>
    <phoneticPr fontId="4" type="noConversion"/>
  </si>
  <si>
    <t>kanye west , kim kardashian , kanye west , kim kardashian , kanye west , jessie j and katy perry are among the celebrities .</t>
  </si>
  <si>
    <t>jnco ` rave jean 's are on their way back</t>
  </si>
  <si>
    <t>other 90s/00s trends here to stay include uggs , velour and corsets</t>
  </si>
  <si>
    <t>35-2</t>
    <phoneticPr fontId="4" type="noConversion"/>
  </si>
  <si>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</si>
  <si>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rory mcilroy is looking to claim his first green jacket and is just the sixth player to win all four major titles after gene UNK , ben hogan , gary player , jack nicklaus and tiger woods .
mcilroy is looking to claim his first green jacket and become just the sixth player to win all four major titles .</t>
    <phoneticPr fontId="4" type="noConversion"/>
  </si>
  <si>
    <t>mcilroy is looking to claim his first green jacket and become just the sixth player to win all four major titles .</t>
  </si>
  <si>
    <t>35-2</t>
  </si>
  <si>
    <t>final-round collapse at augusta national in 2011 was the most important day of career , mcilroy reveals</t>
  </si>
  <si>
    <t>the northern irishman finished joint eighth last year</t>
  </si>
  <si>
    <t>37-2</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</si>
  <si>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</si>
  <si>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klopp confirms he will leave borussia dortmund at the end of the season .
the 31-year-old has been linked with several other english teams .
klopp has been linked with several other english teams .
klopp has been linked with several other english teams in the past .</t>
    <phoneticPr fontId="4" type="noConversion"/>
  </si>
  <si>
    <t>the 31-year-old has been linked with several other english teams .</t>
  </si>
  <si>
    <t xml:space="preserve">klopp has been linked with several other english teams </t>
  </si>
  <si>
    <t>he has denied that he wants to take a break because of exhaustion</t>
  </si>
  <si>
    <t>klopp has won two bundesliga titles and the german cup at dortmund</t>
  </si>
  <si>
    <t>he has admitted that he is no longer the perfect manager for the club</t>
  </si>
  <si>
    <t>36-2</t>
    <phoneticPr fontId="4" type="noConversion"/>
  </si>
  <si>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</si>
  <si>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the new york city received a large amount of rain in the early morning of the morning .
many of the stars are the latest trend of the country 's crackdown on vice 's crackdown .</t>
    <phoneticPr fontId="4" type="noConversion"/>
  </si>
  <si>
    <t>the new york city received a large amount of rain in the early morning of the morning .</t>
  </si>
  <si>
    <t>many of the stars are the latest trend of the country 's crackdown on vice 's crackdown .</t>
  </si>
  <si>
    <t>36-2</t>
  </si>
  <si>
    <t>what do funeral strippers , a quadruple rainbow and kylie jenner have in common ? they all trended this week !</t>
  </si>
  <si>
    <t>38-2</t>
  </si>
  <si>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</si>
  <si>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serena williams beat UNK UNK in the miami open last week .
the world no 1 sealed a 7-6 , 6-7 , 6-3 against the miami open .
williams will face romania 's simona halep for a place in the final .</t>
  </si>
  <si>
    <t>unk</t>
  </si>
  <si>
    <t>last week</t>
  </si>
  <si>
    <t>miami open</t>
  </si>
  <si>
    <t>serena williams progresses to semi-finals after beating sabine lisicki</t>
  </si>
  <si>
    <t>world no 1 presented with cake after 700th career victory</t>
  </si>
  <si>
    <t>andy murray was similarly given reward after 500th career win</t>
  </si>
  <si>
    <t>39-2</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</si>
  <si>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</si>
  <si>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mothers-to-be were hospitalised in england over the past 12 months .
one in 100 babies born in the uk could suffer learning and behavioural problems .
one in 100 babies born in the uk could suffer learning and behavioural problems .</t>
    <phoneticPr fontId="4" type="noConversion"/>
  </si>
  <si>
    <t>mothers-to-be</t>
  </si>
  <si>
    <t>one in 100 babies born in the uk could suffer learning and behavioural problems .</t>
    <phoneticPr fontId="4" type="noConversion"/>
  </si>
  <si>
    <t>39-2</t>
  </si>
  <si>
    <t>left</t>
    <phoneticPr fontId="4" type="noConversion"/>
  </si>
  <si>
    <t>disabled</t>
    <phoneticPr fontId="4" type="noConversion"/>
  </si>
  <si>
    <t>by</t>
    <phoneticPr fontId="4" type="noConversion"/>
  </si>
  <si>
    <t>alcohol</t>
  </si>
  <si>
    <t>exposure</t>
    <phoneticPr fontId="4" type="noConversion"/>
  </si>
  <si>
    <t>experts say actual number affected by mother 's drinking could be higher</t>
  </si>
  <si>
    <t>who : at least one in 100 babies , 7,500 every year , could suffer problems</t>
  </si>
  <si>
    <t>40-2</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</si>
  <si>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</si>
  <si>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cnn 's cherie blair talks with cnn 's `` what is the reality ? '' she writes .
she 's in a hospital but is expected to be released on time for her daughter 's funeral .
she is in a hospital but is expected to be released on time for her funeral .</t>
    <phoneticPr fontId="4" type="noConversion"/>
  </si>
  <si>
    <t>cherie blair</t>
  </si>
  <si>
    <t>cnn 's</t>
  </si>
  <si>
    <t>she 's in a hospital but is expected to be released on time for her daughter 's funeral .</t>
  </si>
  <si>
    <t>she is in a hospital but is expected to be released on time for her funeral .</t>
  </si>
  <si>
    <t>40-2</t>
  </si>
  <si>
    <t>she hosted a controversial discussion on the disappearance of people</t>
  </si>
  <si>
    <t>she knew what she was doing was dangerous and had received death threats before</t>
  </si>
  <si>
    <t>mahmud loved books , jimi hendrix and discussions about human rights</t>
  </si>
  <si>
    <t>41-2</t>
    <phoneticPr fontId="4" type="noConversion"/>
  </si>
  <si>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</si>
  <si>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shaun UNK , dubbed ' ghost boy ' , burst into UNK post office and stores .
he was arrested 80 times and had convictions for aggravated UNK .
he had been arrested 80 times , and had convictions for aggravated UNK .
he was arrested 80 times and had convictions for aggravated UNK .</t>
    <phoneticPr fontId="4" type="noConversion"/>
  </si>
  <si>
    <t>ghost boy</t>
    <phoneticPr fontId="4" type="noConversion"/>
  </si>
  <si>
    <t>41-2</t>
  </si>
  <si>
    <t>he had been arrested 80 times , and had convictions for aggravated UNK .</t>
  </si>
  <si>
    <t>an axe-wielding robber has been jailed for attempting to rob a corner shop</t>
  </si>
  <si>
    <t>he was later revealed to be a juvenile offender nicknamed boomerang boy</t>
  </si>
  <si>
    <t>42-2</t>
    <phoneticPr fontId="4" type="noConversion"/>
  </si>
  <si>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</si>
  <si>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UNK ram was 14 when he fled to kashmir as a refugee in india .
he is still regarded as a second class citizen in india , unable to own property or vote in state elections .
UNK ram was 14 when he fled to kashmir as refugee - now an old man .</t>
    <phoneticPr fontId="4" type="noConversion"/>
  </si>
  <si>
    <t>UNK ram was 14 when he fled to kashmir as a refugee in india .</t>
  </si>
  <si>
    <t>42-2</t>
  </si>
  <si>
    <t>he is still regarded as a second class citizen in india , unable to own property or vote in state elections .</t>
  </si>
  <si>
    <t>UNK ram was 14 when he fled to kashmir as refugee - now an old man .</t>
  </si>
  <si>
    <t>thousands of people caught in poverty because successive governments refuse to change their refugee status</t>
  </si>
  <si>
    <t>laws mean that the west pakistan refugees living in jammur and kashmir can not vote in elections or own property</t>
  </si>
  <si>
    <t>hopes that election of hindu nationalist party as a coalition partner could herald historic change for the community</t>
  </si>
  <si>
    <t>43-2</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</si>
  <si>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</si>
  <si>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the four men appear in turn in a courtroom in dartmouth in dartmouth , hampshire .
the four men appeared in turn in a courtroom in dartmouth , gloucestershire .
the four men appeared in turn in a courtroom in dartmouth , near halifax .
they also agreed to surrender their passports and live at the UNK naval base .</t>
    <phoneticPr fontId="4" type="noConversion"/>
  </si>
  <si>
    <t>hampshire</t>
    <phoneticPr fontId="4" type="noConversion"/>
  </si>
  <si>
    <t>gloucestershire</t>
  </si>
  <si>
    <t>43-2</t>
  </si>
  <si>
    <t>the four men appeared in turn in a courtroom in dartmouth , gloucestershire .</t>
  </si>
  <si>
    <t>the four men appear in turn in a courtroom in dartmouth in dartmouth , hampshire .</t>
  </si>
  <si>
    <t>the four men appeared in turn in a courtroom in dartmouth , near halifax .</t>
    <phoneticPr fontId="4" type="noConversion"/>
  </si>
  <si>
    <t>they also agreed to surrender their passports and live at the UNK naval base .</t>
  </si>
  <si>
    <t>44-2</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</si>
  <si>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</si>
  <si>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UNK UNK has admitted he is still considering whether to join chelsea .
the 22-year-old has a shot against UNK UNK during a UNK clash .
the 22-year-old is keen to join a club where he will play regularly .</t>
    <phoneticPr fontId="4" type="noConversion"/>
  </si>
  <si>
    <t>44-2</t>
  </si>
  <si>
    <t>the 22-year-old has a shot against UNK UNK during a UNK clash .</t>
  </si>
  <si>
    <t>the 22-year-old is keen to join a club where he will play regularly .</t>
  </si>
  <si>
    <t>naoki ogane claims that chelsea have made a bid for yoshinori muto</t>
  </si>
  <si>
    <t>muto 's former manager , ranko popovic , says his potential is ` amazing '</t>
  </si>
  <si>
    <t>jose mourinho has admitted that he is aware of the japan international</t>
  </si>
  <si>
    <t>45-2</t>
    <phoneticPr fontId="4" type="noConversion"/>
  </si>
  <si>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</si>
  <si>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rj jackson , 4 , is one of 70 people in the world who suffers UNK 's syndrome .
he is one of 70 people in the world who suffers UNK 's syndrome .
he is one of just 70 people in the world who suffers UNK 's syndrome .</t>
    <phoneticPr fontId="4" type="noConversion"/>
  </si>
  <si>
    <t>45-2</t>
  </si>
  <si>
    <t>he is one of 70 people in the world who suffers UNK 's syndrome .</t>
  </si>
  <si>
    <t>four-year-old 's skin appears red and scaly , and can be itchy and painful</t>
  </si>
  <si>
    <t>mother valerie jackson is regularly accused of ` scalding or burning ' him</t>
  </si>
  <si>
    <t>says rj faces cruel taunts from bullies - most of whom are ignorant adults</t>
  </si>
  <si>
    <t>46-2</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</si>
  <si>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</si>
  <si>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england face australia in the world cup final on sunday .
stuart lancaster 's side are changing their trade in the world cup .
england are currently on the verge of the world cup .
the world cup has drastically improved since the world cup .</t>
    <phoneticPr fontId="4" type="noConversion"/>
  </si>
  <si>
    <t>england</t>
  </si>
  <si>
    <t xml:space="preserve"> face</t>
  </si>
  <si>
    <t>46-2</t>
  </si>
  <si>
    <t>australia</t>
  </si>
  <si>
    <t>world cup</t>
  </si>
  <si>
    <t>final</t>
  </si>
  <si>
    <t>Sunday</t>
    <phoneticPr fontId="4" type="noConversion"/>
  </si>
  <si>
    <t>stuart lancaster 's side are changing their trade in the world cup .</t>
  </si>
  <si>
    <t xml:space="preserve"> world cup</t>
  </si>
  <si>
    <t>has</t>
  </si>
  <si>
    <t>drastically</t>
  </si>
  <si>
    <t>improved</t>
  </si>
  <si>
    <t>since</t>
  </si>
  <si>
    <t>australia have seen sense by revamping their overseas selection policy</t>
  </si>
  <si>
    <t>england need the best squad possible for the forthcoming world cup</t>
  </si>
  <si>
    <t>47-2</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</si>
  <si>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</si>
  <si>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campaigners say the new protein world ' are you beach body ready ? ' it has been launched in the london underground , featuring a bikini model called sonny UNK are being removed from the london underground .
posters are now being removed from the london underground .</t>
    <phoneticPr fontId="4" type="noConversion"/>
  </si>
  <si>
    <t>say</t>
    <phoneticPr fontId="4" type="noConversion"/>
  </si>
  <si>
    <t>sonny</t>
  </si>
  <si>
    <t>47-2</t>
  </si>
  <si>
    <t>and</t>
    <phoneticPr fontId="4" type="noConversion"/>
  </si>
  <si>
    <t>posters are now being removed from the london underground .</t>
  </si>
  <si>
    <t>tfl say protein world has come to end of three-week ad placement period</t>
  </si>
  <si>
    <t>48-2</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</si>
  <si>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</si>
  <si>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called UNK , the UNK gadget acts like a beacon , or booster , to help messages move around the so-called wireless mesh .
UNK lets you send messages and photos even when a person has no signal by creating what is called a wireless mesh .</t>
    <phoneticPr fontId="4" type="noConversion"/>
  </si>
  <si>
    <t>48-2</t>
  </si>
  <si>
    <t>UNK lets you send messages and photos even when a person has no signal by creating what is called a wireless mesh .</t>
  </si>
  <si>
    <t>it currently works with open garden 's firechat ` off-the-grid ' firechat app</t>
  </si>
  <si>
    <t>both use an ios feature called multipeer connectivity framework ( mcf )</t>
  </si>
  <si>
    <t>instead of sending messages using a mobile signal , the free app and gadget create a localised network where each mobile becomes a ` node '</t>
  </si>
  <si>
    <t>49-2</t>
    <phoneticPr fontId="4" type="noConversion"/>
  </si>
  <si>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</si>
  <si>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the prime minister has promised to freeze fares on trains running through his sleigh constituency .
the prime minister has promised to freeze fares in real terms if they want to come home on one of these trains - an 87 % increase .</t>
    <phoneticPr fontId="4" type="noConversion"/>
  </si>
  <si>
    <t>sleigh</t>
  </si>
  <si>
    <t>the prime minister has promised to freeze fares on trains running through his sleigh constituency .</t>
  </si>
  <si>
    <t>49-2</t>
  </si>
  <si>
    <t>the prime minister has promised to freeze fares in real terms if they want to come home on one of these trains - an 87 % increase .</t>
  </si>
  <si>
    <t>pm has written to first great western asking for ` urgent review ' of fare hike</t>
  </si>
  <si>
    <t>passengers in his witney constituency could face increases of up to 87 % comes after mr cameron pledged to freeze fares for whole of next term</t>
  </si>
  <si>
    <t>other sharp hikes include virgin 's service between stafford and liverpool</t>
  </si>
  <si>
    <t>50-2</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</si>
  <si>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</si>
  <si>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lillian bay , new jersey , revealed that she is ' UNK ' and ' fat ' .
she says the word does n't have to be used as a UNK for ' ugly ' .
she says the word does n't have to be a ' UNK for ugly ' .</t>
    <phoneticPr fontId="4" type="noConversion"/>
  </si>
  <si>
    <t>bay</t>
    <phoneticPr fontId="4" type="noConversion"/>
  </si>
  <si>
    <t>from</t>
    <phoneticPr fontId="4" type="noConversion"/>
  </si>
  <si>
    <t>50-2</t>
  </si>
  <si>
    <t>lillian bay , new jersey , revealed that she is ' UNK ' and ' fat ' .</t>
  </si>
  <si>
    <t>she says the word does n't have to be a ' UNK for ugly ' .</t>
  </si>
  <si>
    <t>she says she likes performing burlesque because it helps open people up to liking different body types</t>
  </si>
  <si>
    <t>the dancer says she 's thrilled at the positive reception her ted talk has received , adding that she believes it means ` body-positivity ' is working</t>
  </si>
  <si>
    <t>51-2</t>
    <phoneticPr fontId="4" type="noConversion"/>
  </si>
  <si>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</si>
  <si>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john young , 66 , and his wife elaine , 54 , were sat in the front room of home in oldham , greater manchester , when thugs began throwing stones at his house in oldham , greater manchester .
he suffered an open wound to his forehead and a serious injury to his left eye and was taken to hospital .
doctors unable to save his eyesight meaning he is blind in one eye .</t>
    <phoneticPr fontId="4" type="noConversion"/>
  </si>
  <si>
    <t xml:space="preserve"> in oldham</t>
  </si>
  <si>
    <t>greater mancheste</t>
  </si>
  <si>
    <t>52-2</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</si>
  <si>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</si>
  <si>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arsenal winger has been overlooked for the majority of the season .
theo walcott is the club 's official tailor since 2013 .
arsenal 's first team stars will be dressed in similar outfits .
arsenal 's first team stars will be dressed in similar attire .</t>
    <phoneticPr fontId="4" type="noConversion"/>
  </si>
  <si>
    <t>arsenal winger has been overlooked for the majority of the season .</t>
  </si>
  <si>
    <t>52-2</t>
  </si>
  <si>
    <t>theo walcott is the club 's official tailor since 2013 .</t>
  </si>
  <si>
    <t>arsenal 's first team stars will be dressed in similar outfits .</t>
  </si>
  <si>
    <t>53-2</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</si>
  <si>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</si>
  <si>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england wicketkeeper tom UNK has been rewarded for his return from injury .
former england wicketkeeper tom UNK has been rewarded for his successful return from injury .
UNK has been rewarded for his successful return from injury .</t>
    <phoneticPr fontId="4" type="noConversion"/>
  </si>
  <si>
    <t>53-2</t>
  </si>
  <si>
    <t>former england wicketkeeper tom UNK has been rewarded for his successful return from injury .</t>
  </si>
  <si>
    <t>UNK has been rewarded for his successful return from injury .</t>
  </si>
  <si>
    <t>tom poynton missed the entire 2014 campaign due to leg injuries</t>
  </si>
  <si>
    <t>54-2</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</si>
  <si>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</si>
  <si>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the original collection will be sold at the hilton universal city in los angeles , california , and on UNK this may 29 .
it will be auctioned at the hilton universal city in los angeles , california , and on UNK this may 29 .</t>
    <phoneticPr fontId="4" type="noConversion"/>
  </si>
  <si>
    <t>54-2</t>
  </si>
  <si>
    <t>it will be auctioned at the hilton universal city in los angeles , california , and on UNK this may 29 .</t>
  </si>
  <si>
    <t>more than 400 items from rick baker 's cinovation studio will be auctioned</t>
  </si>
  <si>
    <t>artist has worked on hits like men in black , batman forever and gremlins</t>
  </si>
  <si>
    <t>baker worked on michael jackson 's moonwalker film and thriller video</t>
  </si>
  <si>
    <t>this is first time these items from 64-year-old 's collection open to public</t>
  </si>
  <si>
    <t>56-2</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</si>
  <si>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</si>
  <si>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harley renshaw was diagnosed with cancer in his kidney , neck , lungs and bones .
he was diagnosed with cancer in his kidney , neck , lungs and bones .
he was diagnosed with cancer in his kidney , neck , lungs and bones .</t>
    <phoneticPr fontId="4" type="noConversion"/>
  </si>
  <si>
    <t>he was diagnosed with cancer in his kidney , neck , lungs and bones .</t>
  </si>
  <si>
    <t>56-2</t>
  </si>
  <si>
    <t>harley renshaw has been given the all clear after battling cancer for a year</t>
  </si>
  <si>
    <t>he underwent months of gruelling chemotherapy and radiotherapy</t>
  </si>
  <si>
    <t>made himself a superhero outfit to help him feel brave during treatment</t>
  </si>
  <si>
    <t>57-2</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</si>
  <si>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</si>
  <si>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UNK UNK , 7 , was skiing with his family when he fell over a UNK drop .
the boy was skiing with his family when he fell over a UNK drop .
UNK UNK , 44 , has been described as a ' gentle climber ' .</t>
    <phoneticPr fontId="4" type="noConversion"/>
  </si>
  <si>
    <t>57-2</t>
  </si>
  <si>
    <t>the boy was skiing with his family when he fell over a UNK drop .</t>
  </si>
  <si>
    <t>gentle</t>
  </si>
  <si>
    <t>climber</t>
  </si>
  <si>
    <t>UNK UNK , 44 , has been described as a ' gentle climber ' .</t>
  </si>
  <si>
    <t>he went ahead alone when sister fell and his mother stopped to help</t>
  </si>
  <si>
    <t>skied into dense woodland before sliding towards a 164-foot cliff</t>
  </si>
  <si>
    <t>thought he may have entered woodland as thought it was shortcut to hotel</t>
  </si>
  <si>
    <t>family described him as a ` very daring , outgoing , determined little boy '</t>
  </si>
  <si>
    <t>58-2</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</si>
  <si>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</si>
  <si>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jack grealish has been impressed with the 19-year-old aston villa side .
the irishman impressed against liverpool and is wanted by the republic of ireland and england .
he has been impressed against liverpool and is wanted by the republic of ireland .</t>
    <phoneticPr fontId="4" type="noConversion"/>
  </si>
  <si>
    <t>jack grealish</t>
  </si>
  <si>
    <t>aston villa side</t>
  </si>
  <si>
    <t>58-2</t>
  </si>
  <si>
    <t>jack grealish has been impressed with the 19-year-old aston villa side .</t>
  </si>
  <si>
    <t>he has been impressed against liverpool and is wanted by the republic of ireland .</t>
  </si>
  <si>
    <t>irishman</t>
  </si>
  <si>
    <t>tim sherwood wants the 19-year-old to focus on playing more for villa</t>
  </si>
  <si>
    <t>grealish will make a decision over international future at end of the season</t>
  </si>
  <si>
    <t>59-2</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</si>
  <si>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</si>
  <si>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laura UNK , 15 , from whitley bay , was left on a heart machine .
she was left on a heart machine after collapsing at her family home .
she has now spoken out about pressures on young girls to be a size zero .</t>
    <phoneticPr fontId="4" type="noConversion"/>
  </si>
  <si>
    <t>laura UNK , 15 , from whitley bay , was left on a heart machine .</t>
  </si>
  <si>
    <t>59-2</t>
  </si>
  <si>
    <t>she was left on a heart machine after collapsing at her family home .</t>
  </si>
  <si>
    <t>home</t>
    <phoneticPr fontId="4" type="noConversion"/>
  </si>
  <si>
    <t>at 13 , laura scurr went on a diet which would turn into a scary obsession</t>
  </si>
  <si>
    <t>laura developed anorexia and would survive on one piece of fruit a day</t>
  </si>
  <si>
    <t>now 15 she has overcome the disorder and is battling back</t>
  </si>
  <si>
    <t>60-2</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</si>
  <si>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</si>
  <si>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the high commute fees offer an insight into some of the most varied places for the rich and famous , from salzburg , in austria , to the monaco grand prix in may .
it is a growing trend , with 2.5 million private flights recorded in the us and the monaco grand prix in may .</t>
    <phoneticPr fontId="4" type="noConversion"/>
  </si>
  <si>
    <t>commute</t>
  </si>
  <si>
    <t>varied</t>
  </si>
  <si>
    <t>60-2</t>
  </si>
  <si>
    <t>monaco grand prix</t>
  </si>
  <si>
    <t>may</t>
  </si>
  <si>
    <t>the high commute fees offer an insight into some of the most varied places for the rich and famous , from salzburg , in austria , to the monaco grand prix in may .</t>
  </si>
  <si>
    <t>it is a growing trend , with 2.5 million private flights recorded in the us and the monaco grand prix in may .</t>
  </si>
  <si>
    <t>the richest compiled a list of the top airport landing charges</t>
  </si>
  <si>
    <t>prices are based on landing a private 767-400 jet carrier</t>
  </si>
  <si>
    <t>61-2</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</si>
  <si>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</si>
  <si>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and daniel sturridge will remain at anfield this summer .
the new UNK design is presented to fans at anfield on friday .
the new UNK design is presented to fans at anfield on friday .</t>
    <phoneticPr fontId="4" type="noConversion"/>
  </si>
  <si>
    <t>raheem sterling and daniel sturridge will remain at anfield this summer .</t>
  </si>
  <si>
    <t>61-2</t>
  </si>
  <si>
    <t>the new UNK design is presented to fans at anfield on friday .</t>
  </si>
  <si>
    <t>raheem sterling was told in no uncertain terms by liverpool supporters that they expect him to remain at the club this summer on the day he was parading the club 's new home kit at anfield .</t>
  </si>
  <si>
    <t>midfielder has been linked with a move away from liverpool after refusing to sign new # 100,000-a-week contract</t>
  </si>
  <si>
    <t>new balance struck a record-breaking # 300m four-year kit deal to replace sister company warrior at liverpool</t>
  </si>
  <si>
    <t>captain steven gerrard did not model new strip as he prepares to leave for la galaxy in the summer</t>
  </si>
  <si>
    <t>62-2</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</si>
  <si>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t>
    <phoneticPr fontId="4" type="noConversion"/>
  </si>
  <si>
    <t>manny pacquiao will be the biggest fight of all time financially .
he will be the biggest fight of all time financially and the most significant fight .
the UNK UNK is the largest in the world .</t>
    <phoneticPr fontId="4" type="noConversion"/>
  </si>
  <si>
    <t>manny pacquiao will be the biggest fight of all time financially .</t>
  </si>
  <si>
    <t>he will be the biggest fight of all time financially and the most significant fight .</t>
  </si>
  <si>
    <t>62-2</t>
  </si>
  <si>
    <t>the UNK UNK is the largest in the world .</t>
  </si>
  <si>
    <t>in the sixth of a series of 12 fights that shaped boxing history , we have sugar ray leonard v roberto duran</t>
  </si>
  <si>
    <t>leonard humiliated his opponent until he said ` no mas ' - no more</t>
  </si>
  <si>
    <t>it took duran three years to reclaim his mantle as a hero in panama</t>
  </si>
  <si>
    <t>63-2</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</si>
  <si>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</si>
  <si>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university of manchester researchers revealed an hd dark matter map .
it shows clumps of mystery particles across much per cent of the sky .
the goal is to eventually map 12.5 per cent over five years .</t>
    <phoneticPr fontId="4" type="noConversion"/>
  </si>
  <si>
    <t>much</t>
    <phoneticPr fontId="4" type="noConversion"/>
  </si>
  <si>
    <t>63-2</t>
  </si>
  <si>
    <t>results could help reveal how galaxies form in the universe</t>
  </si>
  <si>
    <t>64-2</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</si>
  <si>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</si>
  <si>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the labrador , from idaho , decided to take the pooch to a mcdonald 's drive-thru for an ice cream with his pal daisy .
when the small female pup takes a few koala licks , cooper UNK the rest of the cone up in one bite .</t>
    <phoneticPr fontId="4" type="noConversion"/>
  </si>
  <si>
    <t>labrador</t>
  </si>
  <si>
    <t>idaho</t>
  </si>
  <si>
    <t>64-2</t>
  </si>
  <si>
    <t>koala</t>
  </si>
  <si>
    <t>gallegos says ice cream is a weekly treat for her pets</t>
  </si>
  <si>
    <t>65-2</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</si>
  <si>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phoneticPr fontId="4" type="noConversion"/>
  </si>
  <si>
    <t>chelsea have been in the top flight for a season since joining lille .
belgian club have been in the top flight for a season since joining lille .
belgian club have been in the top flight for a season since last summer .</t>
    <phoneticPr fontId="4" type="noConversion"/>
  </si>
  <si>
    <t>chelsea</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</si>
  <si>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14th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</si>
  <si>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joining</t>
    <phoneticPr fontId="4" type="noConversion"/>
  </si>
  <si>
    <t>65-2</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</si>
  <si>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15th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</si>
  <si>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lille</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</si>
  <si>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16th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</si>
  <si>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17th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</si>
  <si>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18th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</si>
  <si>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belgian club have been in the top flight for a season since joining lille .</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</si>
  <si>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19th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</si>
  <si>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have been in the top flight for a season since joining lille .</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</si>
  <si>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20th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</si>
  <si>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in belgium</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</si>
  <si>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</si>
  <si>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already have an agreement with vitesse arnheim in holland</t>
  </si>
  <si>
    <t>66-2</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</si>
  <si>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t>
    <phoneticPr fontId="4" type="noConversion"/>
  </si>
  <si>
    <t>the global UNK chain said in an update on its site that stores are expected to open for ' business as usual ' .
the company said earlier the outage affected 7,000 stores in the us and canada .
the company said earlier the outage affected 7,000 stores in the us and canada .</t>
    <phoneticPr fontId="4" type="noConversion"/>
  </si>
  <si>
    <t>saturday</t>
  </si>
  <si>
    <t>66-2</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</si>
  <si>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t>
  </si>
  <si>
    <t>the global UNK chain said in an update on its site that stores are expected to open for ' business as usual ' .
the company said earlier the outage affected 7,000 stores in the us and canada .
the company said earlier the outage affected 7,000 stores in the us and canada .</t>
  </si>
  <si>
    <t>the company said earlier the outage affected 7,000 stores in the us and canada .</t>
  </si>
  <si>
    <t>company said in statement glitch was caused by a failure during a daily system refresh</t>
  </si>
  <si>
    <t>glitch also affected starbucks ' evolution fresh and teavana stores</t>
  </si>
  <si>
    <t>many starbucks locations closed their doors so as not to give away free drinks</t>
  </si>
  <si>
    <t>67-2</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</si>
  <si>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2001 .
pacquiao is promoted by bob arum 's top rank company .
actor mark wahlberg is a big fan of pacquiao .</t>
    <phoneticPr fontId="4" type="noConversion"/>
  </si>
  <si>
    <t>floyd mayweather and manny pacquiao are in the fight against pacquiao .
mayweather has been dating UNK medina since last year .
mayweather has been dating UNK medina since last year .
click here for all the latest boxing news .</t>
    <phoneticPr fontId="4" type="noConversion"/>
  </si>
  <si>
    <t>against</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</si>
  <si>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2002 .
pacquiao is promoted by bob arum 's top rank company .
actor mark wahlberg is a big fan of pacquiao .</t>
  </si>
  <si>
    <t>pacquiao</t>
  </si>
  <si>
    <t>67-2</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</si>
  <si>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2003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</si>
  <si>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2004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</si>
  <si>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2005 .
pacquiao is promoted by bob arum 's top rank company .
actor mark wahlberg is a big fan of pacquiao .</t>
  </si>
  <si>
    <t>mayweather has been dating UNK medina since last year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</si>
  <si>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2006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</si>
  <si>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2007 .
pacquiao is promoted by bob arum 's top rank company .
actor mark wahlberg is a big fan of pacquiao .</t>
  </si>
  <si>
    <t>click here for all the latest boxing news .</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</si>
  <si>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2008 .
pacquiao is promoted by bob arum 's top rank company .
actor mark wahlberg is a big fan of pacquiao .</t>
  </si>
  <si>
    <t>floyd mayweather takes on manny pacquiao in las vegas on may 2</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</si>
  <si>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t>
  </si>
  <si>
    <t>the two men will split a $ 300m purse , with mayweather taking 60 per cent</t>
  </si>
  <si>
    <t>69-2</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</si>
  <si>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phoneticPr fontId="4" type="noConversion"/>
  </si>
  <si>
    <t>residents in UNK , powys and pembrokeshire are being used to radicalise muslims , according to an officer from the wales extremism and counter terrorism unit .
they are being used to radicalise muslims , according to an officer from the wales extremism and counter terrorism unit .</t>
    <phoneticPr fontId="4" type="noConversion"/>
  </si>
  <si>
    <t>they are being used to radicalise muslims , according to an officer from the wales extremism and counter terrorism unit .</t>
  </si>
  <si>
    <t>69-2</t>
  </si>
  <si>
    <t>he said those involved are ` seemingly normal ' but have an ` ulterior motive '</t>
  </si>
  <si>
    <t>70-2</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</si>
  <si>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phoneticPr fontId="4" type="noConversion"/>
  </si>
  <si>
    <t>manchester united have made an official approach for william carvalho .
united have made an official approach for the 21-year-old .
united have made an official approach for the 21-year-old .
united have made an official approach for the dutch giants .</t>
    <phoneticPr fontId="4" type="noConversion"/>
  </si>
  <si>
    <t>william carvalho</t>
  </si>
  <si>
    <t>united have made an official approach for the 21-year-old .</t>
  </si>
  <si>
    <t>70-2</t>
  </si>
  <si>
    <t>dutch giants .</t>
  </si>
  <si>
    <t>united have made an official approach for the dutch giants .</t>
  </si>
  <si>
    <t>memphis depay has scored 20 goals in 26 league games for psv this term</t>
  </si>
  <si>
    <t>psv beat heerenveen to lift their first eredivisie title in seven years</t>
  </si>
  <si>
    <t>paris-saint germain are also interested in the highly-rated 21-year-old</t>
  </si>
  <si>
    <t>71-2</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</si>
  <si>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53 vertebrae</t>
    <phoneticPr fontId="4" type="noConversion"/>
  </si>
  <si>
    <t>the UNK 's whale was discovered on a nile carcass yesterday .
it left authorities confused as they struggled to identify the rare species .
it left authorities confused as they struggled to identify the rare species .</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</si>
  <si>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54 vertebrae</t>
  </si>
  <si>
    <t>nile</t>
    <phoneticPr fontId="4" type="noConversion"/>
  </si>
  <si>
    <t>71-2</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</si>
  <si>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55 vertebrae</t>
  </si>
  <si>
    <t>carcass</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</si>
  <si>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56 vertebrae</t>
  </si>
  <si>
    <t>yesterday</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</si>
  <si>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57 vertebrae</t>
  </si>
  <si>
    <t>it left authorities confused as they struggled to identify the rare species .</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</si>
  <si>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58 vertebrae</t>
  </si>
  <si>
    <t>it was washed up on the beach by tropical cyclone olwyn</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</si>
  <si>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59 vertebrae</t>
  </si>
  <si>
    <t>however dna profiling confirmed it was an omura 's whale</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</si>
  <si>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60 vertebrae</t>
  </si>
  <si>
    <t>it is the first sighting of the species in wa and only the second in australia</t>
  </si>
  <si>
    <t>72-2</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</si>
  <si>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6 ) : on for abraham and showed explosive pace straight away but was let down by a hurried attempt at a finish which flew over the bar .
isaiah brown holds off a tackle from fikayo tomori , during another impressive display for the young forward</t>
    <phoneticPr fontId="4" type="noConversion"/>
  </si>
  <si>
    <t>chelsea beat west london 3-1 in the premier league on saturday .
dominic solanke scored late on to put a gloss on the gloss .
dominic solanke scored late on to put a gloss on the gloss .</t>
    <phoneticPr fontId="4" type="noConversion"/>
  </si>
  <si>
    <t>west london</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</si>
  <si>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7 ) : on for abraham and showed explosive pace straight away but was let down by a hurried attempt at a finish which flew over the bar .
isaiah brown holds off a tackle from fikayo tomori , during another impressive display for the young forward</t>
  </si>
  <si>
    <t>chelsea beat west london 3-2 in the premier league on saturday .
dominic solanke scored late on to put a gloss on the gloss .
dominic solanke scored late on to put a gloss on the gloss .</t>
  </si>
  <si>
    <t>72-2</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</si>
  <si>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8 ) : on for abraham and showed explosive pace straight away but was let down by a hurried attempt at a finish which flew over the bar .
isaiah brown holds off a tackle from fikayo tomori , during another impressive display for the young forward</t>
  </si>
  <si>
    <t>chelsea beat west london 3-3 in the premier league on saturday .
dominic solanke scored late on to put a gloss on the gloss .
dominic solanke scored late on to put a gloss on the gloss .</t>
  </si>
  <si>
    <t>league</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</si>
  <si>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9 ) : on for abraham and showed explosive pace straight away but was let down by a hurried attempt at a finish which flew over the bar .
isaiah brown holds off a tackle from fikayo tomori , during another impressive display for the young forward</t>
  </si>
  <si>
    <t>chelsea beat west london 3-4 in the premier league on saturday .
dominic solanke scored late on to put a gloss on the gloss .
dominic solanke scored late on to put a gloss on the gloss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</si>
  <si>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10 ) : on for abraham and showed explosive pace straight away but was let down by a hurried attempt at a finish which flew over the bar .
isaiah brown holds off a tackle from fikayo tomori , during another impressive display for the young forward</t>
  </si>
  <si>
    <t>chelsea beat west london 3-5 in the premier league on saturday .
dominic solanke scored late on to put a gloss on the gloss .
dominic solanke scored late on to put a gloss on the gloss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</si>
  <si>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11 ) : on for abraham and showed explosive pace straight away but was let down by a hurried attempt at a finish which flew over the bar .
isaiah brown holds off a tackle from fikayo tomori , during another impressive display for the young forward</t>
  </si>
  <si>
    <t>chelsea beat west london 3-6 in the premier league on saturday .
dominic solanke scored late on to put a gloss on the gloss .
dominic solanke scored late on to put a gloss on the gloss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</si>
  <si>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12 ) : on for abraham and showed explosive pace straight away but was let down by a hurried attempt at a finish which flew over the bar .
isaiah brown holds off a tackle from fikayo tomori , during another impressive display for the young forward</t>
  </si>
  <si>
    <t>chelsea beat west london 3-7 in the premier league on saturday .
dominic solanke scored late on to put a gloss on the gloss .
dominic solanke scored late on to put a gloss on the gloss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</si>
  <si>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13 ) : on for abraham and showed explosive pace straight away but was let down by a hurried attempt at a finish which flew over the bar .
isaiah brown holds off a tackle from fikayo tomori , during another impressive display for the young forward</t>
  </si>
  <si>
    <t>chelsea beat west london 3-8 in the premier league on saturday .
dominic solanke scored late on to put a gloss on the gloss .
dominic solanke scored late on to put a gloss on the gloss .</t>
  </si>
  <si>
    <t>gloss</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</si>
  <si>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14 ) : on for abraham and showed explosive pace straight away but was let down by a hurried attempt at a finish which flew over the bar .
isaiah brown holds off a tackle from fikayo tomori , during another impressive display for the young forward</t>
  </si>
  <si>
    <t>chelsea beat west london 3-9 in the premier league on saturday .
dominic solanke scored late on to put a gloss on the gloss .
dominic solanke scored late on to put a gloss on the gloss .</t>
  </si>
  <si>
    <t>dominic solanke scored late on to put a gloss on the gloss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</si>
  <si>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15 ) : on for abraham and showed explosive pace straight away but was let down by a hurried attempt at a finish which flew over the bar .
isaiah brown holds off a tackle from fikayo tomori , during another impressive display for the young forward</t>
  </si>
  <si>
    <t>chelsea beat west london 3-10 in the premier league on saturday .
dominic solanke scored late on to put a gloss on the gloss .
dominic solanke scored late on to put a gloss on the gloss .</t>
  </si>
  <si>
    <t>chelsea forward tammy abraham nets first-half double for chelsea</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</si>
  <si>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16 ) : on for abraham and showed explosive pace straight away but was let down by a hurried attempt at a finish which flew over the bar .
isaiah brown holds off a tackle from fikayo tomori , during another impressive display for the young forward</t>
  </si>
  <si>
    <t>chelsea beat west london 3-11 in the premier league on saturday .
dominic solanke scored late on to put a gloss on the gloss .
dominic solanke scored late on to put a gloss on the gloss .</t>
  </si>
  <si>
    <t>manchester city struggle without injured star thierry ambrose</t>
  </si>
  <si>
    <t>73-2</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</si>
  <si>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1993 .
correction : an earlier version of this article incorrectly stated that canadians elected their first female prime minister , kim campbell .</t>
    <phoneticPr fontId="4" type="noConversion"/>
  </si>
  <si>
    <t>borger : mitt romney 's hormones are a major factor one should consider .
brazile : progressives have different hormones , but are hormones are a key factor .
brazile : progressives have different feelings about what they have to look forward .</t>
    <phoneticPr fontId="4" type="noConversion"/>
  </si>
  <si>
    <t>borger</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</si>
  <si>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1994 .
correction : an earlier version of this article incorrectly stated that canadians elected their first female prime minister , kim campbell .</t>
  </si>
  <si>
    <t>mitt romney</t>
  </si>
  <si>
    <t>73-2</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</si>
  <si>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1995 .
correction : an earlier version of this article incorrectly stated that canadians elected their first female prime minister , kim campbell .</t>
  </si>
  <si>
    <t>brazile</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</si>
  <si>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1996 .
correction : an earlier version of this article incorrectly stated that canadians elected their first female prime minister , kim campbell .</t>
  </si>
  <si>
    <t>are</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</si>
  <si>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1997 .
correction : an earlier version of this article incorrectly stated that canadians elected their first female prime minister , kim campbell .</t>
  </si>
  <si>
    <t>borger : mitt romney 's hormones are a major factor one should consider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</si>
  <si>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1998 .
correction : an earlier version of this article incorrectly stated that canadians elected their first female prime minister , kim campbell .</t>
  </si>
  <si>
    <t>brazile : progressives have different hormones , but are hormones are a key factor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</si>
  <si>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1999 .
correction : an earlier version of this article incorrectly stated that canadians elected their first female prime minister , kim campbell .</t>
  </si>
  <si>
    <t>brazile : progressives have different feelings about what they have to look forward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</si>
  <si>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2000 .
correction : an earlier version of this article incorrectly stated that canadians elected their first female prime minister , kim campbell .</t>
  </si>
  <si>
    <t>a businesswoman worries that if hillary clinton becomes president , her hormones will make her go to war</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</si>
  <si>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2001 .
correction : an earlier version of this article incorrectly stated that canadians elected their first female prime minister , kim campbell .</t>
  </si>
  <si>
    <t xml:space="preserve"> what 's scary is that the bias against women in the workplace is still going strong in 2015</t>
    <phoneticPr fontId="4" type="noConversion"/>
  </si>
  <si>
    <t>74-2</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</si>
  <si>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$ 40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phoneticPr fontId="4" type="noConversion"/>
  </si>
  <si>
    <t>marco rubio said the ' definition of the institution of marriage should be between one man and one woman ' .
the florida senator said he would attend the same-sex wedding of a family member or staffer - even if he did n't agree with the decision .</t>
    <phoneticPr fontId="4" type="noConversion"/>
  </si>
  <si>
    <t>marco rubio said the ' definition of the institution of marriage should be between one man and one woman ' .</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</si>
  <si>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$ 41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</si>
  <si>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senator told face the nation same-sex marriage is n't a constitutional right</t>
  </si>
  <si>
    <t>74-2</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</si>
  <si>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$ 42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</si>
  <si>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added that it should be left up to the states to decide whether to allow it</t>
  </si>
  <si>
    <t>75-2</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</si>
  <si>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1990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phoneticPr fontId="4" type="noConversion"/>
  </si>
  <si>
    <t>actor robert hardy is selling his prized collection of antiques .
he is selling his collection of antiques including a UNK of the battle of UNK .
he is selling his collection of antiques including a UNK of the battle .</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</si>
  <si>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1991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</si>
  <si>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75-2</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</si>
  <si>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1992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</si>
  <si>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1993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</si>
  <si>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he is selling his collection of antiques including a UNK of the battle .</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</si>
  <si>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1994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</si>
  <si>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 89 , is a military enthusiast who studied english literature under j.r.r. tolkien</t>
  </si>
  <si>
    <t>76-2</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</si>
  <si>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phoneticPr fontId="4" type="noConversion"/>
  </si>
  <si>
    <t>spanish pablo , 27 , and latvian UNK , 31 , met in the uk in 2011 .
they were travelling around the world when they were on the road .
they have been living on less than three euros each a day , or by their ladders .</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</si>
  <si>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201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</si>
  <si>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2012 .
they were travelling around the world when they were on the road .
they have been living on less than three euros each a day , or by their ladders .</t>
  </si>
  <si>
    <t>76-2</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</si>
  <si>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</si>
  <si>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2013 .
they were travelling around the world when they were on the road .
they have been living on less than three euros each a day , or by their ladders .</t>
  </si>
  <si>
    <t>spanish pablo , 27 , and latvian UNK , 31 , met in the uk in 2011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</si>
  <si>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203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</si>
  <si>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2014 .
they were travelling around the world when they were on the road .
they have been living on less than three euros each a day , or by their ladders .</t>
  </si>
  <si>
    <t>they were travelling around the world when they were on the road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</si>
  <si>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204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</si>
  <si>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2015 .
they were travelling around the world when they were on the road .
they have been living on less than three euros each a day , or by their ladders .</t>
  </si>
  <si>
    <t>ladders</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</si>
  <si>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205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</si>
  <si>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2016 .
they were travelling around the world when they were on the road .
they have been living on less than three euros each a day , or by their ladders .</t>
  </si>
  <si>
    <t>they have been living on less than three euros each a day , or by their ladders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</si>
  <si>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206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</si>
  <si>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2017 .
they were travelling around the world when they were on the road .
they have been living on less than three euros each a day , or by their ladders .</t>
  </si>
  <si>
    <t>pablo mandado and ilze zebolde left london last year on a quest to explore the world on bicycles</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</si>
  <si>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207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</si>
  <si>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2018 .
they were travelling around the world when they were on the road .
they have been living on less than three euros each a day , or by their ladders .</t>
  </si>
  <si>
    <t>they camp or stay with couchsurfing and warmshowers hosts and spent an average $ 2.99 per day</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</si>
  <si>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208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</si>
  <si>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UNK , 31 , met in the uk in 2019 .
they were travelling around the world when they were on the road .
they have been living on less than three euros each a day , or by their ladders .</t>
  </si>
  <si>
    <t>they saved up for their travels , which they share on their website , while working in english restaurants</t>
  </si>
  <si>
    <t>77-2</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</si>
  <si>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407-656-3636 .</t>
    <phoneticPr fontId="4" type="noConversion"/>
  </si>
  <si>
    <t>michael scott UNK , 57 , has been on the run since saturday .
his mother , sandra UNK , 57 , was found dead at the home they shared in winter garden .
UNK 's mother , sandra UNK , 57 , was found dead at the home they shared in winter garden .</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</si>
  <si>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407-656-3637 .</t>
  </si>
  <si>
    <t>michael scott UNK , 57 , has been on the run since saturday .
his mother , sandra UNK , 57 , was found dead at the home they shared in winter garden .
UNK 's mother , sandra UNK , 58 , was found dead at the home they shared in winter garden .</t>
  </si>
  <si>
    <t>77-2</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</si>
  <si>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407-656-3638 .</t>
  </si>
  <si>
    <t>michael scott UNK , 57 , has been on the run since saturday .
his mother , sandra UNK , 57 , was found dead at the home they shared in winter garden .
UNK 's mother , sandra UNK , 59 , was found dead at the home they shared in winter garden .</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</si>
  <si>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407-656-3639 .</t>
  </si>
  <si>
    <t>michael scott UNK , 57 , has been on the run since saturday .
his mother , sandra UNK , 57 , was found dead at the home they shared in winter garden .
UNK 's mother , sandra UNK , 60 , was found dead at the home they shared in winter garden .</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</si>
  <si>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407-656-3640 .</t>
  </si>
  <si>
    <t>michael scott UNK , 57 , has been on the run since saturday .
his mother , sandra UNK , 57 , was found dead at the home they shared in winter garden .
UNK 's mother , sandra UNK , 61 , was found dead at the home they shared in winter garden .</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</si>
  <si>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407-656-3641 .</t>
  </si>
  <si>
    <t>michael scott UNK , 57 , has been on the run since saturday .
his mother , sandra UNK , 57 , was found dead at the home they shared in winter garden .
UNK 's mother , sandra UNK , 62 , was found dead at the home they shared in winter garden .</t>
  </si>
  <si>
    <t>UNK 's mother , sandra UNK , 57 , was found dead at the home they shared in winter garden .</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</si>
  <si>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407-656-3642 .</t>
  </si>
  <si>
    <t>michael scott UNK , 57 , has been on the run since saturday .
his mother , sandra UNK , 57 , was found dead at the home they shared in winter garden .
UNK 's mother , sandra UNK , 63 , was found dead at the home they shared in winter garden .</t>
  </si>
  <si>
    <t>police say michael scott shemansky came to their attention after he failed to appear for a supervised visit with his son saturday</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</si>
  <si>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407-656-3643 .</t>
  </si>
  <si>
    <t>michael scott UNK , 57 , has been on the run since saturday .
his mother , sandra UNK , 57 , was found dead at the home they shared in winter garden .
UNK 's mother , sandra UNK , 64 , was found dead at the home they shared in winter garden .</t>
  </si>
  <si>
    <t>michael shemansky was going through a difficult divorce and neighbors believe the stress may have caused him to snap</t>
  </si>
  <si>
    <t>78-2</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</si>
  <si>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100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phoneticPr fontId="4" type="noConversion"/>
  </si>
  <si>
    <t>the couple , who does not wish to be identified , hired attorney gloria hale to sue james evans the owner of premiere photos .
the couple , who does not wish to be identified , hired attorney gloria hale to sue james evans the owner of premiere photos .
the couple are suing the company under the texas deceptive trade practices act .</t>
    <phoneticPr fontId="4" type="noConversion"/>
  </si>
  <si>
    <t>the couple , who does not wish to be identified , hired attorney gloria hale to sue james evans the owner of premiere photos .</t>
  </si>
  <si>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101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</si>
  <si>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the couple are suing the company under the texas deceptive trade practices act .</t>
  </si>
  <si>
    <t>78-2</t>
  </si>
  <si>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102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</si>
  <si>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the couple rented a photo booth for the wedding and the bride 's sister noticed the racial slur but chose not to tell the couple on their special day</t>
  </si>
  <si>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</si>
  <si>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the couple allegedly called james evans of premiere photos but he issued no apology and that is when they decided to sue</t>
  </si>
  <si>
    <t>79-2</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</si>
  <si>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2013 iaaf world athletics championships in moscow</t>
    <phoneticPr fontId="4" type="noConversion"/>
  </si>
  <si>
    <t>eugene has been awarded the rights to host the eurasia iaaf world championships .
the decision was taken by the international association of athletics federations council .
the decision was taken by the international association of athletics federations council .</t>
    <phoneticPr fontId="4" type="noConversion"/>
  </si>
  <si>
    <t>the decision was taken by the international association of athletics federations council .</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</si>
  <si>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2014 iaaf world athletics championships in moscow</t>
  </si>
  <si>
    <t>79-2</t>
  </si>
  <si>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2015 iaaf world athletics championships in moscow</t>
  </si>
  <si>
    <t>the sport 's governing body iaaf bypassed the normal bidding process</t>
  </si>
  <si>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t>
  </si>
  <si>
    <t>eugene missed out on bid to host 2019 event which was awarded to doha</t>
  </si>
  <si>
    <t>80-2</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</si>
  <si>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2015 campaign that champions people at the heart and soul of the game by putting grassroots clubs on the global stage .</t>
    <phoneticPr fontId="4" type="noConversion"/>
  </si>
  <si>
    <t>mike brown has been advised by leading medics not to play again this season .
the england full-back has been advised by leading medics not to play again this season .
brown has been advised by leading medics not to play again this season .</t>
    <phoneticPr fontId="4" type="noConversion"/>
  </si>
  <si>
    <t>mike brown</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</si>
  <si>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2016 campaign that champions people at the heart and soul of the game by putting grassroots clubs on the global stage .</t>
  </si>
  <si>
    <t>the england full-back</t>
  </si>
  <si>
    <t>80-2</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</si>
  <si>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2017 campaign that champions people at the heart and soul of the game by putting grassroots clubs on the global stage .</t>
  </si>
  <si>
    <t>the england full-back has been advised by leading medics not to play again this season .</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</si>
  <si>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2018 campaign that champions people at the heart and soul of the game by putting grassroots clubs on the global stage .</t>
  </si>
  <si>
    <t>mike brown has been advised by leading medics not to play again this season .</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</si>
  <si>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2019 campaign that champions people at the heart and soul of the game by putting grassroots clubs on the global stage .</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</si>
  <si>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2020 campaign that champions people at the heart and soul of the game by putting grassroots clubs on the global stage .</t>
  </si>
  <si>
    <t>brown has been advised by leading medics not to play again this season .</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</si>
  <si>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2021 campaign that champions people at the heart and soul of the game by putting grassroots clubs on the global stage .</t>
  </si>
  <si>
    <t>harlequins full back mike brown pulled out of the aviva premiership clash</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</si>
  <si>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t>
  </si>
  <si>
    <t>brown is still wary after suffering concussion while on england duty</t>
  </si>
  <si>
    <t>81-2</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</si>
  <si>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£ 54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</si>
  <si>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was jailed for 16 years at the old bailey today .
judge william kennedy described the attack as ' UNK and wicked ' .
he was found guilty of manslaughter over the death of a professional gambler .</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</si>
  <si>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£ 55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</si>
  <si>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was jailed for 17 years at the old bailey today .
judge william kennedy described the attack as ' UNK and wicked ' .
he was found guilty of manslaughter over the death of a professional gambler .</t>
  </si>
  <si>
    <t>judge william kennedy described the attack as ' UNK and wicked ' .</t>
  </si>
  <si>
    <t>81-2</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</si>
  <si>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£ 56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</si>
  <si>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was jailed for 18 years at the old bailey today .
judge william kennedy described the attack as ' UNK and wicked ' .
he was found guilty of manslaughter over the death of a professional gambler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</si>
  <si>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£ 57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</si>
  <si>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was jailed for 19 years at the old bailey today .
judge william kennedy described the attack as ' UNK and wicked ' .
he was found guilty of manslaughter over the death of a professional gambler .</t>
  </si>
  <si>
    <r>
      <t>went to his flat and let in boyfriend kyrron jackson and nicholas chandler</t>
    </r>
    <r>
      <rPr>
        <sz val="11"/>
        <color indexed="8"/>
        <rFont val="宋体"/>
        <family val="3"/>
        <charset val="134"/>
      </rPr>
      <t>，</t>
    </r>
    <r>
      <rPr>
        <sz val="11"/>
        <color indexed="8"/>
        <rFont val="Arial"/>
        <family val="2"/>
      </rPr>
      <t>they kicked mr hassan to death and stole some of his gambling winnings</t>
    </r>
  </si>
  <si>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</si>
  <si>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was jailed for 20 years at the old bailey today .
judge william kennedy described the attack as ' UNK and wicked ' .
he was found guilty of manslaughter over the death of a professional gambler .</t>
  </si>
  <si>
    <t>and two men found guilty of murder</t>
  </si>
  <si>
    <t>82-2</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</si>
  <si>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4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phoneticPr fontId="4" type="noConversion"/>
  </si>
  <si>
    <t>professor david UNK revealed in new book sex by numbers .
suggests britons are having sex with a ' very big split ' between public lives .
suggests britons are having sex has been in decline since emergence of the internet .</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</si>
  <si>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5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</si>
  <si>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 xml:space="preserve">how a typical heterosexual couple was now having sex three times a month </t>
  </si>
  <si>
    <t>82-2</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</si>
  <si>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6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</si>
  <si>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suggests britons are having sex with a ' very big split ' between public lives .</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</si>
  <si>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7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</si>
  <si>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the figure in 2000 was four times a month and five times a month in 1990</t>
  </si>
  <si>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8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</si>
  <si>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who</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</si>
  <si>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</si>
  <si>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83-2</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</si>
  <si>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3-6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</si>
  <si>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10 by one spanish newspaper .</t>
    <phoneticPr fontId="4" type="noConversion"/>
  </si>
  <si>
    <t>cesc fabregas captained spain on tuesday night in the premier league .</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</si>
  <si>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3-7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</si>
  <si>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11 by one spanish newspaper .</t>
  </si>
  <si>
    <t>the midfielder was given just four out of 10 by one spanish newspaper .</t>
  </si>
  <si>
    <t>83-2</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</si>
  <si>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3-8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</si>
  <si>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12 by one spanish newspaper .</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</si>
  <si>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3-9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</si>
  <si>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13 by one spanish newspaper .</t>
  </si>
  <si>
    <t>he was given just four out of 10 by one spanish newspaper</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</si>
  <si>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3-10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</si>
  <si>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14 by one spanish newspaper .</t>
  </si>
  <si>
    <t>and was given four out of 10 by one spanish newspaper .</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</si>
  <si>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3-11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</si>
  <si>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15 by one spanish newspaper .</t>
  </si>
  <si>
    <t>cesc fabregas ' poor form continued for spain against holland on tuesday</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</si>
  <si>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3-12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</si>
  <si>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16 by one spanish newspaper .</t>
  </si>
  <si>
    <t>chelsea midfielder captained his country but they lost 2-0 in amsterdam</t>
  </si>
  <si>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t>
  </si>
  <si>
    <t>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17 by one spanish newspaper .</t>
  </si>
  <si>
    <t>thierry henry 's mark of 20 in 2002-03 is four more than fabregas ' total</t>
  </si>
  <si>
    <t>84-2</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</si>
  <si>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£ 600,000 .
the dogs are seen with a model</t>
    <phoneticPr fontId="4" type="noConversion"/>
  </si>
  <si>
    <t>tibetan UNK laws are being partly blamed on chinese government 's UNK anti-corruption crackdown .
UNK , shanghai and catalonia are also being stolen from the streets by ruthless gangs , who sell them to the UNK .</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</si>
  <si>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£ 600,001 .
the dogs are seen with a model</t>
  </si>
  <si>
    <t>84-2</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</si>
  <si>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£ 600,002 .
the dogs are seen with a model</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</si>
  <si>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£ 600,003 .
the dogs are seen with a model</t>
  </si>
  <si>
    <t>shanghai</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</si>
  <si>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£ 600,004 .
the dogs are seen with a model</t>
  </si>
  <si>
    <t>catalonia</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</si>
  <si>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£ 600,005 .
the dogs are seen with a model</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</si>
  <si>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£ 600,006 .
the dogs are seen with a model</t>
  </si>
  <si>
    <t>tibetan mastiffs had been status symbols for china 's wealthiest</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</si>
  <si>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£ 600,007 .
the dogs are seen with a model</t>
  </si>
  <si>
    <t>they were given as gifts to grateful officials by businessmen</t>
  </si>
  <si>
    <t>85-2</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</si>
  <si>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2016-17 season .</t>
    <phoneticPr fontId="4" type="noConversion"/>
  </si>
  <si>
    <t>west ham are interested in signing UNK beckford .
the former west ham striker has been linked with a host of european clubs .
west ham have revealed season tickets at the olympic stadium will cost as little as UNK .
west ham have revealed tickets at the olympic stadium will cost as little as UNK .</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</si>
  <si>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2016-18 season .</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</si>
  <si>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2016-19 season .</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</si>
  <si>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2016-20 season .</t>
  </si>
  <si>
    <t>west ham have revealed tickets at the olympic stadium will cost as little as UNK .</t>
  </si>
  <si>
    <t>87-2</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</si>
  <si>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t>
    <phoneticPr fontId="4" type="noConversion"/>
  </si>
  <si>
    <t>survey of 600 women from the area around paris claimed to have been a victim of sexual harassment on the city 's public transport transport society .
survey of 600 women from the area around paris found that half of those interviewed said they had first suffered harassment under the age of 18 .</t>
    <phoneticPr fontId="4" type="noConversion"/>
  </si>
  <si>
    <t>led to calls for campaign to stem sexist and threatening behaviour</t>
  </si>
  <si>
    <t>88-2</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</si>
  <si>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55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</si>
  <si>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40 , was beaten by UNK protesters armed with iron bars on ropes .
he said : ‘ they could have made more effort , but the attackers are not likely to be found .</t>
    <phoneticPr fontId="4" type="noConversion"/>
  </si>
  <si>
    <t>he said : ‘ they could have made more effort , but the attackers are not likely to be found .</t>
  </si>
  <si>
    <t>88-2</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</si>
  <si>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56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</si>
  <si>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41 , was beaten by UNK protesters armed with iron bars on ropes .
he said : ‘ they could have made more effort , but the attackers are not likely to be found .</t>
  </si>
  <si>
    <t>attack happened as 30 riders and hounds were chasing artificial scent</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</si>
  <si>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57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</si>
  <si>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42 , was beaten by UNK protesters armed with iron bars on ropes .
he said : ‘ they could have made more effort , but the attackers are not likely to be found .</t>
  </si>
  <si>
    <t>wiltshire police handed video footage and some names of saboteurs</t>
  </si>
  <si>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58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</si>
  <si>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43 , was beaten by UNK protesters armed with iron bars on ropes .
he said : ‘ they could have made more effort , but the attackers are not likely to be found .</t>
  </si>
  <si>
    <t>decision by police to drop probe branded ` pathetic ' by 40-year-old</t>
  </si>
  <si>
    <t>89-2</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</si>
  <si>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25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</si>
  <si>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UNK direct line is running a competition called # UNK .
the products were designed as part of the direct line everyday fix design UNK .
the products were designed as part of the direct line everyday fix design UNK .</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</si>
  <si>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</si>
  <si>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89-2</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</si>
  <si>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27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</si>
  <si>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28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</si>
  <si>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 products were designed as part of the direct line everyday fix design UNK .</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</si>
  <si>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29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</si>
  <si>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30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</si>
  <si>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they asked groups to design products to deal with common problems</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</si>
  <si>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31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</si>
  <si>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these include forgetting to lock the door and running out of battery</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</si>
  <si>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32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</si>
  <si>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you can vote for your favourite design and the winner will be crowdfunded</t>
  </si>
  <si>
    <t>90-2</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</si>
  <si>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39-year-old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phoneticPr fontId="4" type="noConversion"/>
  </si>
  <si>
    <t>kilmarnock manager gary locke has been given the role on a permanent basis after signing a three-year deal at the club .
the former hearts boss joined the club as assistant boss to allan johnston last season .
locke has been given the job at kilmarnock on a permanent basis .</t>
    <phoneticPr fontId="4" type="noConversion"/>
  </si>
  <si>
    <t>locke has been given the job at kilmarnock on a permanent basis .</t>
  </si>
  <si>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40-year-old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</si>
  <si>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season</t>
  </si>
  <si>
    <t>90-2</t>
  </si>
  <si>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</si>
  <si>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locke has won two and drawn four of his seven games in charge</t>
  </si>
  <si>
    <t>93-2</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</si>
  <si>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2010 , said she was stepping down to spend more time with her family .
ms baird praised her ` passion and enthusiasm ' , adding : ` sue and i have worked well together over the two-and-a-half years since i became police and crime commissioner . '</t>
    <phoneticPr fontId="4" type="noConversion"/>
  </si>
  <si>
    <t>vera baird donated £500,000 to victims first northumbria , a charity which supports crime victims in her area and of which she is a director .
the pair now face a ministry of justice investigation .</t>
    <phoneticPr fontId="4" type="noConversion"/>
  </si>
  <si>
    <t>chief constable sue sim is also on the organisation 's board of directors</t>
  </si>
  <si>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2011 , said she was stepping down to spend more time with her family .
ms baird praised her ` passion and enthusiasm ' , adding : ` sue and i have worked well together over the two-and-a-half years since i became police and crime commissioner . '</t>
  </si>
  <si>
    <t>vera baird donated £500,001 to victims first northumbria , a charity which supports crime victims in her area and of which she is a director .
the pair now face a ministry of justice investigation .</t>
  </si>
  <si>
    <t>critics have accused northumbria police of creating ` its own soap opera '</t>
  </si>
  <si>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</si>
  <si>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donated £500,002 to victims first northumbria , a charity which supports crime victims in her area and of which she is a director .
the pair now face a ministry of justice investigation .</t>
  </si>
  <si>
    <t>the pair now face a ministry of justice investigation .</t>
  </si>
  <si>
    <t>94-2</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</si>
  <si>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2016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</si>
  <si>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he was killed along with another hostage , a u.s. citizen , who was born in 1978 .
he converted to islam in 1995 and left the united states for pakistan three years later .</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</si>
  <si>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2017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</si>
  <si>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he was killed along with another hostage , a u.s. citizen , who was born in 1978 .
he converted to islam in 1996 and left the united states for pakistan three years later .</t>
  </si>
  <si>
    <t>adam gadahn , 36 , was killed in january in a u.s. government counterterrorism operation .</t>
  </si>
  <si>
    <t>94-2</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</si>
  <si>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2018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</si>
  <si>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he was killed along with another hostage , a u.s. citizen , who was born in 1978 .
he converted to islam in 1997 and left the united states for pakistan three years later .</t>
  </si>
  <si>
    <t>he was killed along with another hostage , a u.s. citizen , who was born in 1978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</si>
  <si>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2019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</si>
  <si>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he was killed along with another hostage , a u.s. citizen , who was born in 1978 .
he converted to islam in 1998 and left the united states for pakistan three years later .</t>
  </si>
  <si>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</si>
  <si>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2020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</si>
  <si>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he was killed along with another hostage , a u.s. citizen , who was born in 1978 .
he converted to islam in 1999 and left the united states for pakistan three years later .</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</si>
  <si>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</si>
  <si>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2021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</si>
  <si>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he was killed along with another hostage , a u.s. citizen , who was born in 1978 .
he converted to islam in 2000 and left the united states for pakistan three years later .</t>
  </si>
  <si>
    <t>and joined al qaeda , becoming a spokesman</t>
  </si>
  <si>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</si>
  <si>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martin skrtel believes liverpool can overcome difficult challenge .
liverpool captain steven gerrard is still one of the best players in the world .
liverpool captain steven gerrard is still one of the best players in the world .</t>
    <phoneticPr fontId="4" type="noConversion"/>
  </si>
  <si>
    <t>liverpool captain steven gerrard is still one of the best players in the world .</t>
  </si>
  <si>
    <t>steven gerrard will leave liverpool for la galaxy at the end of the season .</t>
    <phoneticPr fontId="4" type="noConversion"/>
  </si>
  <si>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</si>
  <si>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says she applies the liquid to his head and neck as it helps him keep calm and focused .
the 32-year-old says she applies the liquid to his head and neck as it helps him keep calm and focused .</t>
    <phoneticPr fontId="4" type="noConversion"/>
  </si>
  <si>
    <t>jessica kemp says she applies the liquid to his head and neck as it helps him keep calm and focused .</t>
  </si>
  <si>
    <t>jessica kemp , 32 , has slammed seminole county elementary in eustis .</t>
  </si>
  <si>
    <t>faculty have threatened to remove her kindergartner son logan .</t>
  </si>
  <si>
    <t>school district have said they will not suspend him as it 's a ' health issue ' .</t>
  </si>
  <si>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</si>
  <si>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a third of men have never picked up a bucket or UNK leather to clean their own motor .
a third of men have never picked up a bucket or UNK leather to clean their own motor .</t>
    <phoneticPr fontId="4" type="noConversion"/>
  </si>
  <si>
    <t>a third of men have never picked up a bucket or UNK leather to clean their own motor .</t>
  </si>
  <si>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</si>
  <si>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a UNK apartment complex in UNK , california , was spread through 90 residential buildings .
it is not known what started the paint off nearby buildings .
it is not known what started the burning building , which was so intense it melted the paint .</t>
    <phoneticPr fontId="4" type="noConversion"/>
  </si>
  <si>
    <t xml:space="preserve">UNK </t>
  </si>
  <si>
    <t>california</t>
  </si>
  <si>
    <t>fire</t>
    <phoneticPr fontId="4" type="noConversion"/>
  </si>
  <si>
    <t>it is not known what started the paint off nearby buildings .</t>
  </si>
  <si>
    <t>buildings</t>
  </si>
  <si>
    <t>the 90-condo holiday home building in westhampton collapsed at around 3pm on wednesday .</t>
  </si>
  <si>
    <t>twelve fire teams were deployed to fight the blaze but could only battle it from the outside , it lasted past 8pm .</t>
  </si>
  <si>
    <t>the fire was so intense it melted the paint off buildings in the vicinity and sent smoke up three miles high .</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</si>
  <si>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</si>
  <si>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UNK alice barker was a dancer in such new york UNK as the cotton club .
she had never seen any of them , but had never seen any of them .
she had never seen any of them .</t>
    <phoneticPr fontId="4" type="noConversion"/>
  </si>
  <si>
    <t>she had never seen any of them .</t>
  </si>
  <si>
    <t>alice barker was a dancer in the 1930s and '40s .</t>
    <phoneticPr fontId="4" type="noConversion"/>
  </si>
  <si>
    <t>thanks to filmmakers , barker -- now 102 -- finally saw herself dance .</t>
    <phoneticPr fontId="4" type="noConversion"/>
  </si>
  <si>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</si>
  <si>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monarch , 88 , was spotted at windsor great park in windsor , pudsey in 1961 .
joined by a groom on another of her falling pony , UNK emma .
joined by a groom on another of her falling pony , UNK emma .</t>
    <phoneticPr fontId="4" type="noConversion"/>
  </si>
  <si>
    <t>pudsey</t>
  </si>
  <si>
    <t>falling</t>
    <phoneticPr fontId="4" type="noConversion"/>
  </si>
  <si>
    <t>joined by a groom on another of her falling pony , UNK emma .</t>
  </si>
  <si>
    <t>left hard hats at home and opted for one of her favourite scarves instead .</t>
  </si>
  <si>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</si>
  <si>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two french tourists trying to make contact with a UNK on UNK island off perth in western australia on april 3 .
two french tourists allegedly ignited an aerosol spray with a lighter causing a large flame to make contact with a UNK on UNK island off perth in western australia on april 3 .</t>
    <phoneticPr fontId="4" type="noConversion"/>
  </si>
  <si>
    <t>two french tourists trying to make contact with a UNK on UNK island off perth in western australia on april 3 .</t>
  </si>
  <si>
    <t>both have been charged for animal cruelty and appear in court on april 17 .</t>
  </si>
  <si>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</si>
  <si>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a single punch in the head of phillip UNK , 28 , was shot by a single punch in the head .
he was reportedly in his yard on muller road with a single punch .
UNK was reportedly in his yard on muller road and was in his yard .
mr UNK said his client grabbed his neighbour by the hand and hit out .</t>
    <phoneticPr fontId="4" type="noConversion"/>
  </si>
  <si>
    <t>of</t>
  </si>
  <si>
    <t>leon yeaman</t>
  </si>
  <si>
    <t>with a single punch</t>
  </si>
  <si>
    <t>he was reportedly in his yard on muller road with a single punch .</t>
  </si>
  <si>
    <t>UNK was reportedly in his yard on muller road and was in his yard .</t>
  </si>
  <si>
    <t>mr UNK said his client grabbed his neighbour by the hand and hit out .</t>
  </si>
  <si>
    <t>two men got in an argument about noise levels on thursday night .</t>
  </si>
  <si>
    <t>pama was granted conditional bail and is set to return to court may 18 .</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</si>
  <si>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</si>
  <si>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the university of michigan has decided to proceed with a screening of the film `` american sniper '' .
the university of michigan has decided to proceed with a screening of the film `` american sniper '' .</t>
    <phoneticPr fontId="4" type="noConversion"/>
  </si>
  <si>
    <t>the university of michigan has decided to proceed with a screening of the film `` american sniper '' .</t>
  </si>
  <si>
    <t>some complained about the film 's depiction of the iraq war .</t>
  </si>
  <si>
    <t>a petition asked the university not to show the bradley cooper film .</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</si>
  <si>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</si>
  <si>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yulia UNK faces 15 years behind bars after she asked a friend to find someone willing to hire a hitman to the victim .
the 52-year-old teacher had showered the pupil with gifts and money for a year before he ended their relationship .
police set up sting operation , sending one of undercover officers to pose as a hitman .</t>
    <phoneticPr fontId="4" type="noConversion"/>
  </si>
  <si>
    <t xml:space="preserve"> UNK </t>
  </si>
  <si>
    <t>hire</t>
  </si>
  <si>
    <t>the 52-year-old teacher had showered the pupil with gifts and money for a year before he ended their relationship .</t>
  </si>
  <si>
    <t>police set up sting operation , sending one of undercover officers to pose as a hitman .</t>
  </si>
  <si>
    <t>offered to pay ' hitman ' £1,400 to murder the boy in police sting operation .</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</si>
  <si>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</si>
  <si>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this is the first time this summer 's look has made a comeback .
this is the first time this look has made a comeback since the seventies .
this is the first time this look has made a comeback since the seventies .</t>
    <phoneticPr fontId="4" type="noConversion"/>
  </si>
  <si>
    <t>not</t>
    <phoneticPr fontId="4" type="noConversion"/>
  </si>
  <si>
    <t>this is the first time this summer 's look has made a comeback .</t>
  </si>
  <si>
    <t>this is the first time this look has made a comeback since the seventies .</t>
  </si>
  <si>
    <t>louise redknapp says that a wide-leg trouser can come as a welcome relief from the skinny jean</t>
  </si>
  <si>
    <t>louise and emma say to avoid being drowned by too much fabric try a high heeled shoe</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</si>
  <si>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</si>
  <si>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jose mourinho has revealed he has a strong faith in god .
he said he and his family ' know about poverty ' and have worked with the word food programme as an ambassador against hunger .
mourinho admitted he has a strong faith in god .</t>
    <phoneticPr fontId="4" type="noConversion"/>
  </si>
  <si>
    <t>mourinho admitted he has a strong faith in god .</t>
  </si>
  <si>
    <t>he claimed that he never discusses footballing issues with his wife .</t>
  </si>
  <si>
    <t>he also claims that he is essentially a ' very good person ' despite his antics .</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</si>
  <si>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</si>
  <si>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james haskell posted the photo on thursday along with the message : ' avengers movie is out so thought i would release the inner iron man ' .
the london wasps captain joined in on the show as he posted the picture on thursday along with the message : ' avengers movie is out so thought i would release the inner iron man ' .</t>
    <phoneticPr fontId="4" type="noConversion"/>
  </si>
  <si>
    <t>james haskell posted the photo on thursday along with the message : ' avengers movie is out so thought i would release the inner iron man ' .</t>
  </si>
  <si>
    <t>the avengers : age of ultron move hit the screens in england this week .</t>
  </si>
  <si>
    <t>the london wasps captain joined in on the show as he posted the picture on thursday along with the message : ' avengers movie is out so thought i would release the inner iron man ' .</t>
  </si>
  <si>
    <t>james haskell dresses in iron man costume and posts it on instagram .</t>
  </si>
  <si>
    <t>haskell returned to london wasps for the 2012 season and is captain .</t>
  </si>
  <si>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</si>
  <si>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 the price is right '' host drew carey , who finished up .
the classic `` lucky 7 '' is the classic `` lucky seven '' .
the classic `` lucky 7 '' is the classic `` lucky seven '' .</t>
    <phoneticPr fontId="4" type="noConversion"/>
  </si>
  <si>
    <t>`` the price is right '' host drew carey , who finished up .</t>
  </si>
  <si>
    <t>the classic `` lucky 7 '' is the classic `` lucky seven '' .</t>
    <phoneticPr fontId="4" type="noConversion"/>
  </si>
  <si>
    <t>bob barker returned to host `` the price is right '' on wednesday .</t>
  </si>
  <si>
    <t>barker , 91 , had retired as host in 2007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</si>
  <si>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</si>
  <si>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lewis ferguson has just a cut on his nose to show for his ordeal .
he has just a cut on his nose to show for his ordeal .
he has just a cut on his nose to show for his ordeal .</t>
    <phoneticPr fontId="4" type="noConversion"/>
  </si>
  <si>
    <t>he has just a cut on his nose to show for his ordeal .</t>
  </si>
  <si>
    <t>lewis ferguson was mucking out the stables as usual on thursday .</t>
  </si>
  <si>
    <t>his spectacular double somersault fall made him internet sensation .</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</si>
  <si>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</si>
  <si>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arthur baldwin was arrested on friday on a residential street in washington d.c .
he has been hit with a felony charge of attempted burglary and another of destruction of property .
he has been hit with a felony charge of attempted burglary and another of destruction of property .</t>
    <phoneticPr fontId="4" type="noConversion"/>
  </si>
  <si>
    <t>he has been hit with a felony charge of attempted burglary and another of destruction of property .</t>
  </si>
  <si>
    <t>the agency revoked baldwin 's security clearance and put him on leave in light of the arrest .</t>
  </si>
  <si>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</si>
  <si>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wants italian legends andrea pirlo and francesco totti to move .
the 29-year-old moved to a new club on a loan deal from southampton .
he has become an instant hit - scoring three goals in six games .</t>
    <phoneticPr fontId="4" type="noConversion"/>
  </si>
  <si>
    <t>boca</t>
    <phoneticPr fontId="4" type="noConversion"/>
  </si>
  <si>
    <t>he has become an instant hit - scoring three goals in six games .</t>
  </si>
  <si>
    <t>osvaldo believes the boca fans ' would go crazy ' for the italian duo .</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</si>
  <si>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</si>
  <si>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UNK saeed spotted the male lion in a safari park when he spotted the male lion in the distance .
mr saeed managed to capture a couple of frames before disappearing .
mr saeed managed to capture a couple of frames before disappearing .</t>
    <phoneticPr fontId="4" type="noConversion"/>
  </si>
  <si>
    <t>when he spotted the male lion</t>
  </si>
  <si>
    <t>mr saeed managed to capture a couple of frames before disappearing .</t>
  </si>
  <si>
    <t>as soon as the camera captured the image , mr saeed had to flee for his life .</t>
  </si>
  <si>
    <t>the lion charged at the intrepid photographer as he closed the car 's door .</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</si>
  <si>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</si>
  <si>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dani alves has been unable to agree a new deal with barcelona .
the defender has been unable to agree a new deal with the catalan club .
alves has been unable to agree a new deal with the catalan club .</t>
    <phoneticPr fontId="4" type="noConversion"/>
  </si>
  <si>
    <t>the defender has been unable to agree a new deal with the catalan club .</t>
  </si>
  <si>
    <t>alves has been unable to agree a new deal with the catalan club .</t>
  </si>
  <si>
    <t>dani alves looks set to leave barcelona this summer after his representative confirmed the brazilian right-back had rejected the club 's final contract offer .</t>
  </si>
  <si>
    <t>alves has enjoyed seven successful years at barcelona , winning four spanish titles and the champions league twice .</t>
  </si>
  <si>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</si>
  <si>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the unidentified woman , believed to be between 25 and 45 years old , was discovered lying unconscious march 22 in the area near shore parkway and strangulation .
the unidentified woman , believed to be 25 to 45 years old , was found lying unconscious march 22 .</t>
    <phoneticPr fontId="4" type="noConversion"/>
  </si>
  <si>
    <t>the unidentified woman , believed to be 25 to 45 years old , was found lying unconscious march 22 .</t>
  </si>
  <si>
    <t>nypd has released images of a heart tattoo with the name ` monique ' found on an unnamed woman who died in brooklyn last month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</si>
  <si>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</si>
  <si>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a suicide bomber detonated his explosives near a group of protesters in eastern afghanistan on thursday , killing 17 .
no other organization has so far claimed responsibility .
no other organization has so far claimed responsibility .</t>
    <phoneticPr fontId="4" type="noConversion"/>
  </si>
  <si>
    <t>no other organization has so far claimed responsibility .</t>
  </si>
  <si>
    <t>an afghan lawmaker taking part in the protests in the city of khost was among the 64 people wounded , said faizullah ghairat , the provincial police chief .</t>
  </si>
  <si>
    <t>taliban spokesman zabiullah mujahid denied his group was responsible for the attack .</t>
  </si>
  <si>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</si>
  <si>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hannah and alex brady built a new zealand home on the back of an old flatbed truck .
the couple built a new zealand home on the back of an old flatbed truck .
the couple had to live in nelson , new zealand .
the couple have a UNK stove to keep out the cold .</t>
    <phoneticPr fontId="4" type="noConversion"/>
  </si>
  <si>
    <t>the couple built a new zealand home on the back of an old flatbed truck .</t>
  </si>
  <si>
    <t>the couple had to live in nelson , new zealand .</t>
  </si>
  <si>
    <t>the couple have a UNK stove to keep out the cold .</t>
  </si>
  <si>
    <t>hannah and alex needed a place to live after they moved back to new zealand from the uk in 2009</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</si>
  <si>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</si>
  <si>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a new poll reveals that diana is the favourite option for baby if it is a girl .
a new poll has revealed that diana is the favourite option for baby if it is a girl .</t>
    <phoneticPr fontId="4" type="noConversion"/>
  </si>
  <si>
    <t>a new poll has revealed that diana is the favourite option for baby if it is a girl .</t>
  </si>
  <si>
    <t>alice and charlotte were the second favourite names if it 's a girl</t>
  </si>
  <si>
    <t>if it 's a boy , then the favourite name is james , followed by alexander</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</si>
  <si>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</si>
  <si>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the general secretary of the national association of head teachers said he was unfairly using technology as a teaching aid in UNK classes .
students who shared ipads in class do much better in early literacy tests than students who use the device on their own .</t>
    <phoneticPr fontId="4" type="noConversion"/>
  </si>
  <si>
    <t>the general secretary of the national association of head teachers said he was unfairly using technology as a teaching aid in UNK classes .</t>
  </si>
  <si>
    <t xml:space="preserve"> 30 points higher </t>
    <phoneticPr fontId="4" type="noConversion"/>
  </si>
  <si>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</si>
  <si>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nina UNK , 38 , posted several pictures of heavy bruises on her instagram account .
she was found by her mother in the luxury apartment she shares with her boyfriend in milan .
ms UNK said she was ' shocked ' by the suicide claims .</t>
    <phoneticPr fontId="4" type="noConversion"/>
  </si>
  <si>
    <t>nina UNK , 38 , posted several pictures of heavy bruises on her instagram account .</t>
  </si>
  <si>
    <t>she was found by her mother in the luxury apartment she shares with her boyfriend in milan .</t>
  </si>
  <si>
    <t>ms UNK said she was ' shocked ' by the suicide claims .</t>
  </si>
  <si>
    <t>nina moric , 38 , claims she collapsed at her apartment in milan on saturday .</t>
  </si>
  <si>
    <t>she told followers on instagram her fall was due to ' low blood pressure ' .</t>
  </si>
  <si>
    <t>italian media claimed the croatian-born model tried to take her own life .</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</si>
  <si>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</si>
  <si>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and has mastered the art of balancing on its front .
the piglet was born with its back legs missing and has mastered the art of balancing on its front .</t>
    <phoneticPr fontId="4" type="noConversion"/>
  </si>
  <si>
    <t>villagers have flocked to see the two-legged animal in qionglai city .</t>
  </si>
  <si>
    <t>a video released online and has captured the hearts of thousands .</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</si>
  <si>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</si>
  <si>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the state emergency service was deluged with calls for assistance last week .
it lashed the state 's east coast for three days last week and has more than 4,000 jobs from the UNK requests still to be completed .</t>
    <phoneticPr fontId="4" type="noConversion"/>
  </si>
  <si>
    <t>the state emergency service was deluged with calls for assistance last week .</t>
  </si>
  <si>
    <t>it lashed the state 's east coast for three days last week and has more than 4,000 jobs from the UNK requests still to be completed .</t>
  </si>
  <si>
    <t>another east coast low predicted to hit new south wales from thursday .</t>
  </si>
  <si>
    <t>the ses says it is concerned about the impact this will have on communities hard hit by last week 's storms - particularly in the hunter .</t>
  </si>
  <si>
    <t>residents urged to prepare their homes to prevent more damage .</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</si>
  <si>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</si>
  <si>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francesco UNK was struck by the car of francesco UNK , who had come in on lap 25 for tires and fuel .
he was struck by the car of francesco UNK , who had come in on lap 25 for tires and fuel .</t>
    <phoneticPr fontId="4" type="noConversion"/>
  </si>
  <si>
    <t>francesco</t>
  </si>
  <si>
    <t>he was struck by the car of francesco UNK , who had come in on lap 25 for tires and fuel .</t>
  </si>
  <si>
    <t>phillips received stitches for a cut on his leg and has been released .</t>
  </si>
  <si>
    <t>dracone did not finish the race and wound up 23rd .</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</si>
  <si>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</si>
  <si>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anastasia UNK saved the match point in the second set to beat germany 's andrea UNK in straight sets .
svetlana kuznetsova had earlier beaten julia UNK in straight sets in the opening rubber .
svetlana kuznetsova had earlier beaten julia UNK in straight sets .</t>
    <phoneticPr fontId="4" type="noConversion"/>
  </si>
  <si>
    <t>svetlana kuznetsova had earlier beaten julia UNK in straight sets .</t>
  </si>
  <si>
    <t>andrea</t>
  </si>
  <si>
    <t>in straight sets</t>
  </si>
  <si>
    <t>svetlana kuznetsova beats julia goerges in straight sets in fed cup .</t>
  </si>
  <si>
    <t>anastasia pavlyuchenkova defeats sabine lisicki for 2-0 lead .</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</si>
  <si>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</si>
  <si>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dancer UNK alves de blasio , 32 , attacked his wife 's head in the face five times before killing her in the face five times .
UNK alves de brito , 32 , was killed by his wife 's head in the face five times .
UNK alves de sena , 29 , was killed by her husband in the face five times .</t>
    <phoneticPr fontId="4" type="noConversion"/>
  </si>
  <si>
    <t>dancer</t>
  </si>
  <si>
    <t>alves de blasio</t>
  </si>
  <si>
    <t>his</t>
  </si>
  <si>
    <t>wife</t>
    <phoneticPr fontId="4" type="noConversion"/>
  </si>
  <si>
    <t>head</t>
  </si>
  <si>
    <t>in the face five times</t>
  </si>
  <si>
    <t>blasio</t>
  </si>
  <si>
    <t>UNK alves de sena , 29 , was killed by her husband in the face five times .</t>
  </si>
  <si>
    <t>he later confessed the crime to police who found guns in his getaway car .</t>
  </si>
  <si>
    <t>(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phoneticPr fontId="4" type="noConversion"/>
  </si>
  <si>
    <t>bobbi kristina brown is in a medically induced coma , her grandmother says .
bobbi kristina brown 's condition has improved but that the kind of life will be seen .
brown 's mother says bobbi kristina brown 's condition has improved .</t>
    <phoneticPr fontId="4" type="noConversion"/>
  </si>
  <si>
    <t>Positive_Negative_Aspect</t>
    <phoneticPr fontId="4" type="noConversion"/>
  </si>
  <si>
    <t>no longer</t>
  </si>
  <si>
    <t>( cnn ) bobbi kristina brown , the daughter of bobby brown and whitney houston , has " global and irreversible brain damage , " according to her grandmother .
though the 23-year-old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</si>
  <si>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bobbi kristina brown is in a medically induced coma , her grandmother says .</t>
  </si>
  <si>
    <t>( cnn ) bobbi kristina brown , the daughter of bobby brown and whitney houston , has " global and irreversible brain damage , " according to her grandmother .
though the 24-year-old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</si>
  <si>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brown 's mother says bobbi kristina brown 's condition has improved .</t>
  </si>
  <si>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</si>
  <si>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bobbi kristina brown has `` global and irreversible '' brain damage</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</si>
  <si>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</si>
  <si>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the author of the best-selling book quit sugar has opened up in a candid interview about how mental illness drove her to believe her life was n't worth living .
she said : ' my anxiety brought me to a point where i could n't see a way out ' .</t>
    <phoneticPr fontId="4" type="noConversion"/>
  </si>
  <si>
    <t>she said : ' my anxiety brought me to a point where i could n't see a way out ' .</t>
  </si>
  <si>
    <t>anxiety , stress , loneliness and a thyroid disease made her feel worthless .</t>
  </si>
  <si>
    <t>one in three australian women will experience anxiety in their lifetime .</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</si>
  <si>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</si>
  <si>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jack grealish is renowned for wearing his socks low when he takes to the field for aston villa .
grealish is renowned for wearing his socks low when he takes to the field for aston villa .
grealish is renowned for wearing his socks low when he takes to the field for aston villa .</t>
    <phoneticPr fontId="4" type="noConversion"/>
  </si>
  <si>
    <t>grealish is renowned for wearing his socks low when he takes to the field for aston villa .</t>
  </si>
  <si>
    <t>aston villa 's jack grealish earned first premier league start this week</t>
  </si>
  <si>
    <t>grealish actually wears children 's shinpads underneath .</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</si>
  <si>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</si>
  <si>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mckinley , oregon , was UNK pregnant when she was charged with second-degree assault .
she was charged with second-degree assault after she struck her boyfriend 's ex in the head and arm with a crowbar in november 2014 .</t>
    <phoneticPr fontId="4" type="noConversion"/>
  </si>
  <si>
    <t>mckinley</t>
  </si>
  <si>
    <t>elena mckinley , oregon , was UNK pregnant when she was charged with second-degree assault .</t>
  </si>
  <si>
    <t>boyfriend 's ex was injecting drugs in her bathroom when she came home</t>
  </si>
  <si>
    <t>but prosecutors dropped charge</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</si>
  <si>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</si>
  <si>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xinhua : six people injured after explosion at chemical plant in china .
explosion occurred at an oil storage facility at an oil storage facility .
the explosion occurred at an oil storage facility monday night .</t>
    <phoneticPr fontId="4" type="noConversion"/>
  </si>
  <si>
    <t>xinhua</t>
  </si>
  <si>
    <t>at an oil storage facility</t>
  </si>
  <si>
    <t>the explosion occurred at an oil storage facility monday night .</t>
  </si>
  <si>
    <t>a blast rocks a chemical plant in china 's southeastern fujian province for the second time in two years .</t>
  </si>
  <si>
    <t>the explosion was triggered by an oil leak , though local media has not reported any toxic chemical spills .</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</si>
  <si>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</si>
  <si>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in a bid to trick her .
she then throws a broccoli spear into the mix .
her owner throws a broccoli spear into the mix .</t>
    <phoneticPr fontId="4" type="noConversion"/>
  </si>
  <si>
    <t>she</t>
  </si>
  <si>
    <t>she then throws a broccoli spear into the mix .</t>
  </si>
  <si>
    <t xml:space="preserve">she then proceeds to spit it out on the floor </t>
  </si>
  <si>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</si>
  <si>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witness robert kushner testified that the 2007 charges were unprofessional .
he testified that the 2007 charges were unprofessional .
he testified that the 2007 charges were unprofessional .
he admitted he was arrested again in 2011 and sentenced to four years .</t>
    <phoneticPr fontId="4" type="noConversion"/>
  </si>
  <si>
    <t>witness robert kushner testified that the 2007 charges were unprofessional .</t>
  </si>
  <si>
    <t>he testified that the 2007 charges were unprofessional .</t>
  </si>
  <si>
    <t>he admitted he was arrested again in 2011 and sentenced to four years .</t>
  </si>
  <si>
    <t>witness robert kushner lost his varsity coaching job at a private academy after testifying this week about his years selling marijuana .</t>
  </si>
  <si>
    <t>kushner , 32 , is one of more than a dozen former drug dealers testifying for the federal government about allegations of police wrongdoing .</t>
  </si>
  <si>
    <t>kushner had passed a background check when he was hired to coach basketball in 2010 .</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</si>
  <si>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</si>
  <si>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hsbc has apologised after a link on its official website website .
it took over the address after the awards were scrapped in 2011 .
hsbc has apologised after a link on its website website .</t>
    <phoneticPr fontId="4" type="noConversion"/>
  </si>
  <si>
    <t>directed visitors to a pornographic page .</t>
  </si>
  <si>
    <t>website</t>
  </si>
  <si>
    <t>hsbc has apologised after a link on its website website .</t>
  </si>
  <si>
    <t>and denied association with the page .</t>
  </si>
  <si>
    <t>graphic images appeared on defunct young entrepreneurs awards sites .</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</si>
  <si>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</si>
  <si>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brazilian UNK filmed his son chasing the family feline around the garden in a bid to get some rest .
the cat immediately gets up and UNK over to another spot .
the cat immediately gets up and UNK over to another spot .</t>
    <phoneticPr fontId="4" type="noConversion"/>
  </si>
  <si>
    <t>the cat immediately gets up and UNK over to another spot .</t>
  </si>
  <si>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</si>
  <si>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marcus and his nine-year-old sister were trapped in a second-floor bedroom after the fire broke out on the first floor of their home in clinton .
marcus and his nine-year-old sister were trapped in a second-floor bedroom after the fire broke out on the first floor of their home in clinton .</t>
    <phoneticPr fontId="4" type="noConversion"/>
  </si>
  <si>
    <t>marcus and his nine-year-old sister were trapped in a second-floor bedroom after the fire broke out on the first floor of their home in clinton .</t>
  </si>
  <si>
    <t>the boy called 911 shortly before 7 am after he smelled smoke and told the dispatcher the siblings were trapped in the room because it was too hot to get out through the hallway</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</si>
  <si>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</si>
  <si>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</si>
  <si>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mohammed abu khdeir 's name will be removed from palestinian memorial .
mohammed abu khdeir , 16 , was beaten and burned alive by three israelis in july , according to prosecutors .
mohammed abu khdeir 's family objected to his inclusion on the memorial wall .</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</si>
  <si>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</si>
  <si>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the images were taken in UNK bay , the south coast of nsw .
the images were taken in UNK bay , the south coast of nsw .
the images were taken in UNK bay , the south coast of nsw .</t>
    <phoneticPr fontId="4" type="noConversion"/>
  </si>
  <si>
    <t>the images were taken in UNK bay , the south coast of nsw .</t>
  </si>
  <si>
    <t xml:space="preserve"> UNK</t>
  </si>
  <si>
    <t>the fluorescent glow is caused by millions of plankton omitting light , says photographer andy hutchinson .</t>
  </si>
  <si>
    <t>a similar display was shown in sydney 's manly beach back in august 2014 .</t>
  </si>
  <si>
    <t>iain suthers , of university of new south wales , says the algae blossoms in the spring and the autumn .</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</si>
  <si>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</si>
  <si>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amir khan and his wife UNK khan pictured in a safari park in northern california .
khan was joined by his wife UNK UNK khan as well as their daughter UNK as they all enjoyed time off .
khan was joined by his wife UNK UNK khan as well as their daughter UNK as they all enjoyed time off .
khan has announced his next fight will be against chris algieri at welterweight on may 30 .</t>
    <phoneticPr fontId="4" type="noConversion"/>
  </si>
  <si>
    <t>khan was joined by his wife UNK UNK khan as well as their daughter UNK as they all enjoyed time off .</t>
  </si>
  <si>
    <t>khan posed alongside a rare white tiger as well as a giraffe and sea lion .</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</si>
  <si>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</si>
  <si>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breast cancer patients may be spared chemotherapy thanks to new tests .
patients can be told within days whether they have a high or low risk of the disease returning .
the majority of women who have breast cancer routinely given the preventative treatment following removal of the tumour .</t>
    <phoneticPr fontId="4" type="noConversion"/>
  </si>
  <si>
    <t>the majority of women who have breast cancer routinely given the preventative treatment following removal of the tumour .</t>
  </si>
  <si>
    <t>they are available privately for £ 2,500 and may be rolled out soon on nhs</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</si>
  <si>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</si>
  <si>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the new zealand were forced to take their exercise back to the beach as their beloved pool was drained for the fashion folk .
the collection of ten pieces of clothing designed to be worn by both sexes .</t>
    <phoneticPr fontId="4" type="noConversion"/>
  </si>
  <si>
    <t>the new zealand were forced to take their exercise back to the beach as their beloved pool was drained for the fashion folk .</t>
  </si>
  <si>
    <t>the collection of ten pieces of clothing designed to be worn by both sexes .</t>
  </si>
  <si>
    <t>ten pieces collection was presented at the beachside pool during final day of mbfwa .</t>
  </si>
  <si>
    <t>guests sat in and around the pool to take in the capsule collection of monochrome unisex pieces .</t>
  </si>
  <si>
    <t>label is owned by icebergs restaurateur maurice terzini and partner lucy hinckfuss .</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</si>
  <si>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</si>
  <si>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more than 25 women have been airlifted from royal navy ships because of pregnancy .
more than 25 women have been airlifted from royal navy ships because of pregnancy , including at least one woman from hms illustrious .</t>
    <phoneticPr fontId="4" type="noConversion"/>
  </si>
  <si>
    <t>more than 25 women have been airlifted from royal navy ships because of pregnancy .</t>
  </si>
  <si>
    <t>hms ocean had five women removed in nine years , according to new data .</t>
  </si>
  <si>
    <t>mod spokesman confirmed there was a strict ' no touching ' rule in place .</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</si>
  <si>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</si>
  <si>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UNK campaigned to legalise child sex in the 1970s and 80s .
he has joined the supporters of the media pressure group hacked off .
the organisation campaigned to legalise child sex in the 1970s and 80s .</t>
    <phoneticPr fontId="4" type="noConversion"/>
  </si>
  <si>
    <t>tom UNK campaigned to legalise child sex in the 1970s and 80s .</t>
  </si>
  <si>
    <t>69-year-old former key activist jailed in 1981 for ' corrupting public morals ' .</t>
  </si>
  <si>
    <t>his attendance at the meeting is likely to be an embarrassment for group .</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</si>
  <si>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</si>
  <si>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a japanese court approved a government plan to restart two reactors at the UNK power plant in UNK prefecture , more than four years after the fukushima meltdowns .
the discovery came on the same day a japanese court approved a government plan to restart two reactors at the UNK power plant in UNK prefecture , more than four years after the fukushima meltdowns .</t>
    <phoneticPr fontId="4" type="noConversion"/>
  </si>
  <si>
    <t>a japanese court approved a government plan to restart two reactors at the UNK power plant in UNK prefecture , more than four years after the fukushima meltdowns .</t>
  </si>
  <si>
    <t>the drone is sparking terrorism concerns , authorities say .</t>
  </si>
  <si>
    <t>it was equipped with a bottle containing radioactive material .</t>
  </si>
  <si>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</si>
  <si>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a viral video is making the rounds in china .
it shows a small boy displaying a array of basketball skills that would put to shame many professional players .
the video starts off with the pint-sized sensation scoring a shelves .</t>
    <phoneticPr fontId="4" type="noConversion"/>
  </si>
  <si>
    <t>a viral video is making the rounds in china .</t>
  </si>
  <si>
    <t>the video starts off with the pint-sized sensation scoring a shelves .</t>
  </si>
  <si>
    <t>mai zizhou has been trained to play basketball since 2.5 years old</t>
  </si>
  <si>
    <t>his incredible skills have won him legions of fans around china</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</si>
  <si>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</si>
  <si>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lu UNK , 84 , lives in zhejiang province in eastern china .
his mother , who lives in zhejiang province , lives in zhejiang province in eastern china .
he has been given her own room by his employers , a bank , to make sure she does n't fall off .</t>
    <phoneticPr fontId="4" type="noConversion"/>
  </si>
  <si>
    <t>lu UNK , 84 , lives in zhejiang province in eastern china .</t>
  </si>
  <si>
    <t>who lives in zhejiang province</t>
  </si>
  <si>
    <t>his mother , lives in zhejiang province in eastern china .</t>
    <phoneticPr fontId="4" type="noConversion"/>
  </si>
  <si>
    <t>lu xincai says no one else can look after his 84-year-old mother .</t>
  </si>
  <si>
    <t>she used to get lost after dark when she went to collect firewood .</t>
  </si>
  <si>
    <t>now she goes with him to work on the backseat of his motorbike .</t>
  </si>
  <si>
    <t>he ties her to him with a sash to make sure she does not fall off .</t>
  </si>
  <si>
    <t>95-2</t>
  </si>
  <si>
    <t>96-2</t>
  </si>
  <si>
    <t>97-2</t>
  </si>
  <si>
    <t>98-2</t>
  </si>
  <si>
    <t>99-2</t>
  </si>
  <si>
    <t>100-2</t>
  </si>
  <si>
    <t>101-2</t>
  </si>
  <si>
    <t>102-2</t>
  </si>
  <si>
    <t>103-2</t>
  </si>
  <si>
    <t>104-2</t>
  </si>
  <si>
    <t>105-2</t>
  </si>
  <si>
    <t>106-2</t>
  </si>
  <si>
    <t>107-2</t>
  </si>
  <si>
    <t>108-2</t>
  </si>
  <si>
    <t>109-2</t>
  </si>
  <si>
    <t>110-2</t>
  </si>
  <si>
    <t>111-2</t>
  </si>
  <si>
    <t>112-2</t>
  </si>
  <si>
    <t>113-2</t>
  </si>
  <si>
    <t>114-2</t>
  </si>
  <si>
    <t>115-2</t>
  </si>
  <si>
    <t>116-2</t>
  </si>
  <si>
    <t>117-2</t>
  </si>
  <si>
    <t>118-2</t>
  </si>
  <si>
    <t>119-2</t>
  </si>
  <si>
    <t>120-2</t>
  </si>
  <si>
    <t>121-2</t>
  </si>
  <si>
    <t>122-2</t>
  </si>
  <si>
    <t>123-2</t>
  </si>
  <si>
    <t>124-2</t>
  </si>
  <si>
    <t>125-2</t>
  </si>
  <si>
    <t>126-2</t>
  </si>
  <si>
    <t>127-2</t>
  </si>
  <si>
    <t>128-2</t>
  </si>
  <si>
    <t>129-2</t>
  </si>
  <si>
    <t>130-2</t>
  </si>
  <si>
    <t>131-2</t>
  </si>
  <si>
    <t>132-2</t>
  </si>
  <si>
    <t>133-2</t>
  </si>
  <si>
    <t>134-2</t>
  </si>
  <si>
    <t>136-2</t>
  </si>
  <si>
    <t>137-2</t>
  </si>
  <si>
    <t>138-2</t>
  </si>
  <si>
    <t>139-2</t>
  </si>
  <si>
    <t>140-2</t>
  </si>
  <si>
    <t>141-2</t>
  </si>
  <si>
    <t>142-2</t>
  </si>
  <si>
    <t>143-2</t>
  </si>
  <si>
    <t>144-2</t>
  </si>
  <si>
    <t>2-2</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</si>
  <si>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</si>
  <si>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UNK nicholson , 15 , and his friends were hanging out in an alleyway in south los angeles before school on february 10 .
the two police officers working for the lapd 's criminal UNK unit approached the boys with their guns drawn .</t>
  </si>
  <si>
    <t>UNK nicholson , 15 , and his friends were hanging out in an alleyway in south los angeles before school on february 10 .</t>
  </si>
  <si>
    <t>the two police officers working for the lapd 's criminal UNK unit approached the boys with their guns drawn .</t>
  </si>
  <si>
    <t>jamar nicholson , 15 , was shot in the back by officer miguel gutierrez on february 10 because his friend was holding a toy gun</t>
  </si>
  <si>
    <t>nicholson and his friend jason huerta , 17 , are suing the city of los angeles for $ 20m</t>
  </si>
  <si>
    <t>officer miguel gutierrez who shot nicholson has returned to duty but the incident is under investigation</t>
  </si>
  <si>
    <t>19-2</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</si>
  <si>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</si>
  <si>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binge drinking is associated with drinking , drinking , drinking and drinking .
binge drinking is associated with drinking , drinking , drinking , drinking .
binge drinking is defined as four or more drinks for men .</t>
  </si>
  <si>
    <t>binge drinking is associated with drinking , drinking , drinking and drinking .</t>
  </si>
  <si>
    <t>binge drinking is associated with drinking , drinking , drinking , drinking .</t>
  </si>
  <si>
    <t>binge drinking is defined as four or more drinks for men .</t>
  </si>
  <si>
    <t>heavy drinking among americans rose 17.2 percent between 2005 and 2012</t>
  </si>
  <si>
    <t>the increase is driven largely by women 's drinking habits</t>
  </si>
  <si>
    <t>it 's now more acceptable for women to drink the way men traditionally have , says one expert</t>
  </si>
  <si>
    <t>55-2</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</si>
  <si>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</si>
  <si>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bus driver caught reading newspaper while driving in auckland , new zealand .
passenger filmed bus as bus slows to a stop at a set of traffic lights .
passenger filmed the driver and sent video to bus company UNK UNK .</t>
  </si>
  <si>
    <t>his boss said he was embarrassed by the ` idiot ' driver 's actions</t>
  </si>
  <si>
    <t>68-2</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</si>
  <si>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</si>
  <si>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doctors are putting the health of women and their babies at risk .
they say the procedure should only be carried out when ' medically UNK ' .
this figure should be carried out when it can lead to infections and even death .</t>
  </si>
  <si>
    <t>figure</t>
  </si>
  <si>
    <t xml:space="preserve"> carried out</t>
  </si>
  <si>
    <t>doctors are putting the health of women and their babies at risk .</t>
  </si>
  <si>
    <t>just over a quarter of women giving birth in england now have a caesarean and the rate has more than doubled since the early 1990s .</t>
  </si>
  <si>
    <t>86-2</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</si>
  <si>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</si>
  <si>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james UNK , 45 , was convicted of second-degree murder in the death of his wife kelly UNK , 42 , who disappeared from her UNK home on june 27 , 2013 .
UNK has served nearly two years behind bars which means he could be eligible for parole in about 28 years .</t>
  </si>
  <si>
    <t>james robarge , 45 , from saxtons river , vermont was sentenced in court on friday morning</t>
  </si>
  <si>
    <t>91-2</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</si>
  <si>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</si>
  <si>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UNK , 44 , has been charged with breaking and entering , larceny over $ 250 , and malicious destruction of property after she was arrested on april 17 .
she was arrested several hours later after she attempted to get back into the home thinking she owned the house .
UNK was arrested several hours later after she attempted to get back into the home thinking she owned the house .</t>
  </si>
  <si>
    <t>she was arrested several hours later after she attempted to get back into the home thinking she owned the house .</t>
  </si>
  <si>
    <t>owner mark conklin found her sitting in his summer home</t>
  </si>
  <si>
    <t>a neighbor told police he saw filkins outside with items from the house and that she appeared to be having a yard sale or giving the items away</t>
  </si>
  <si>
    <t>92-2</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</si>
  <si>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</si>
  <si>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french customs officers seized more than 2 tons of cocaine aboard a sailboat .
the drugs , whose value is estimated at $ 105 million , are the biggest cocaine seizure ever carried out by french authorities .</t>
  </si>
  <si>
    <t>officers arrested one venezuelan and two spanish citizens on board the vessel</t>
  </si>
  <si>
    <t>145-2</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</si>
  <si>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</si>
  <si>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the phone , which belonged to bella UNK from melbourne , was handed in to UNK police station on the UNK border on sunday morning .
police officers on duty realised the phone was unlocked and used it to post selfies and photos of the phone in various locations around the police station on the UNK border .</t>
  </si>
  <si>
    <t>bella crooke lost the phone on saturday at a friend 's birthday party</t>
  </si>
  <si>
    <t>146-2</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</si>
  <si>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</si>
  <si>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the baby girl was found in a toilet in a restaurant in chengdu , china .
staff at the restaurant said they saw the woman going into the toilet .
she was arrested after receiving medical attention and faces charges of neglect .</t>
  </si>
  <si>
    <t xml:space="preserve">staff at the restaurant said they saw the woman going into the toilet </t>
  </si>
  <si>
    <t>woman who had been in toilet returned to her table ` like she was in trance '</t>
  </si>
  <si>
    <t>147-2</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</si>
  <si>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</si>
  <si>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UNK hippo dragged along the surface of water in UNK , south africa .
calf was dragged along the surface of water in UNK , south africa .
calf 's mother watched in horror as hippo was flung into air before being dragged along surface of the water .</t>
  </si>
  <si>
    <t>calf was dragged along the surface of water in UNK , south africa .</t>
  </si>
  <si>
    <t>five-day-old hippopotamus calf mauled to death after straying between two brawling adults in south africa</t>
  </si>
  <si>
    <t>adult hippos had been fighting for hours before attacking the baby in the isimangaliso wetland park</t>
  </si>
  <si>
    <t>148-2</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</si>
  <si>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</si>
  <si>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ian rogers , 36 , has curated a haunting collection of nine old dolls which he claims each have their own personality .
ian , who is single , and a vehicle image inspector from leicester says his obsession with the supernatural began at a young age .
he has spent hundreds of pounds on the creepy collection - and he 's on the hunt for more .</t>
  </si>
  <si>
    <t>ian , who is single , and a vehicle image inspector from leicester says his obsession with the supernatural began at a young age .</t>
  </si>
  <si>
    <t>the dolls are said to be haunted with the spirits of dead people</t>
  </si>
  <si>
    <t>149-2</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</si>
  <si>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</si>
  <si>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knightsbridge flat , london , has just three years left on the market for UNK .
it boasts three bedrooms , two bathrooms , a reception room and utility room .
it boasts three bedrooms , two bathrooms , a reception room and utility room .
it is one of two UNK being sold with three years remaining on the lease .</t>
  </si>
  <si>
    <t>it boasts three bedrooms , two bathrooms , a reception room and utility room .</t>
  </si>
  <si>
    <t>it is one of two UNK being sold with three years remaining on the lease .</t>
  </si>
  <si>
    <t>the knightsbridge flat has been put on the market for a fraction of the price of neighbouring homes , at £ 575,000</t>
  </si>
  <si>
    <t>it has only three years left on lease putting cost at £ 15,000 a month - going rate for renting a three-bed in the area</t>
  </si>
  <si>
    <t>property experts said if a buyer decides to extend the lease , the property could be worth upwards of £ 6 million</t>
  </si>
  <si>
    <t>but renewal would not come cheap with the cost for a new 90-year lease estimated at between £ 3.35 and £ 4.5 million</t>
  </si>
  <si>
    <t>135-2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</si>
</sst>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name val="Arial"/>
      <family val="2"/>
    </font>
    <font>
      <sz val="11"/>
      <color indexed="8"/>
      <name val="宋体"/>
      <family val="3"/>
      <charset val="134"/>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10">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49" fontId="18" fillId="0" borderId="1" xfId="0" applyNumberFormat="1" applyFont="1" applyBorder="1" applyAlignment="1">
      <alignment horizontal="left" vertical="center"/>
    </xf>
    <xf numFmtId="49" fontId="27" fillId="0" borderId="1" xfId="0" applyNumberFormat="1" applyFont="1" applyBorder="1"/>
    <xf numFmtId="49" fontId="27" fillId="0" borderId="0" xfId="0" applyNumberFormat="1" applyFont="1"/>
    <xf numFmtId="49" fontId="6" fillId="0" borderId="1" xfId="0" applyNumberFormat="1" applyFont="1" applyBorder="1" applyAlignment="1"/>
    <xf numFmtId="0" fontId="17" fillId="0" borderId="1" xfId="0" applyFont="1" applyBorder="1" applyAlignment="1" applyProtection="1">
      <alignment horizontal="left" vertical="center"/>
      <protection locked="0"/>
    </xf>
    <xf numFmtId="0" fontId="17" fillId="0" borderId="1" xfId="0" quotePrefix="1" applyFont="1" applyBorder="1" applyAlignment="1" applyProtection="1">
      <alignment horizontal="left" vertical="center"/>
      <protection locked="0"/>
    </xf>
    <xf numFmtId="0" fontId="17" fillId="0" borderId="0" xfId="0" applyFont="1" applyBorder="1" applyAlignment="1" applyProtection="1">
      <alignment horizontal="left" vertical="center"/>
      <protection locked="0"/>
    </xf>
    <xf numFmtId="49" fontId="17" fillId="0" borderId="1" xfId="0" applyNumberFormat="1" applyFont="1" applyBorder="1" applyAlignment="1" applyProtection="1">
      <alignment horizontal="left" vertical="center"/>
      <protection locked="0"/>
    </xf>
    <xf numFmtId="0" fontId="17" fillId="0" borderId="1" xfId="0" applyFont="1" applyBorder="1" applyAlignment="1"/>
    <xf numFmtId="16" fontId="17" fillId="0" borderId="1" xfId="0" applyNumberFormat="1" applyFont="1" applyBorder="1" applyAlignment="1" applyProtection="1">
      <alignment horizontal="left" vertical="center"/>
      <protection locked="0"/>
    </xf>
    <xf numFmtId="0" fontId="34" fillId="0" borderId="1" xfId="0" applyFont="1" applyBorder="1" applyAlignment="1" applyProtection="1">
      <alignment horizontal="left" vertical="center"/>
      <protection locked="0"/>
    </xf>
    <xf numFmtId="49" fontId="11" fillId="0" borderId="1" xfId="0" applyNumberFormat="1" applyFont="1" applyBorder="1"/>
    <xf numFmtId="0" fontId="18" fillId="0" borderId="1" xfId="0" applyFont="1" applyBorder="1" applyAlignment="1" applyProtection="1">
      <alignment horizontal="left" vertical="center"/>
      <protection locked="0"/>
    </xf>
    <xf numFmtId="49" fontId="34" fillId="0" borderId="1" xfId="0" applyNumberFormat="1"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17" fillId="0" borderId="0" xfId="0" applyFont="1" applyAlignment="1">
      <alignment vertical="center"/>
    </xf>
    <xf numFmtId="9" fontId="17" fillId="0" borderId="1" xfId="0" applyNumberFormat="1" applyFont="1" applyBorder="1" applyAlignment="1" applyProtection="1">
      <alignment horizontal="left" vertical="center"/>
      <protection locked="0"/>
    </xf>
    <xf numFmtId="0" fontId="17" fillId="0" borderId="1" xfId="0" applyFont="1" applyBorder="1" applyAlignment="1">
      <alignment horizontal="left" vertical="center"/>
    </xf>
    <xf numFmtId="0" fontId="11" fillId="0" borderId="1" xfId="0" applyFont="1" applyBorder="1"/>
    <xf numFmtId="49" fontId="9" fillId="0" borderId="1" xfId="0" applyNumberFormat="1" applyFont="1" applyBorder="1"/>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xf numFmtId="0" fontId="16" fillId="0" borderId="1" xfId="0" applyFont="1" applyBorder="1" applyAlignment="1">
      <alignment horizontal="center" vertical="center"/>
    </xf>
    <xf numFmtId="0" fontId="16" fillId="3" borderId="1" xfId="0" applyFont="1" applyFill="1" applyBorder="1" applyAlignment="1" applyProtection="1">
      <alignment horizontal="center" vertical="center"/>
      <protection locked="0"/>
    </xf>
    <xf numFmtId="49" fontId="9" fillId="0" borderId="0" xfId="0" applyNumberFormat="1" applyFont="1" applyAlignment="1"/>
    <xf numFmtId="0" fontId="11" fillId="0" borderId="1" xfId="0" applyFont="1" applyBorder="1" applyAlignment="1"/>
    <xf numFmtId="49" fontId="17" fillId="0" borderId="0" xfId="0" applyNumberFormat="1" applyFont="1" applyBorder="1" applyAlignment="1">
      <alignment horizontal="left" vertical="top"/>
    </xf>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1184">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IGER02/Desktop/100test/Template_Summarization_withoutscoreboard_1108_us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IGER02/Desktop/100test/Template_Summarization_withoutscoreboard_1126_u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ror Log"/>
      <sheetName val="Severity_Matrix"/>
      <sheetName val="Scores per segment"/>
    </sheetNames>
    <sheetDataSet>
      <sheetData sheetId="0"/>
      <sheetData sheetId="1" refreshError="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ror Log"/>
      <sheetName val="Scores per segment"/>
      <sheetName val="Severity_Matrix"/>
    </sheetNames>
    <sheetDataSet>
      <sheetData sheetId="0"/>
      <sheetData sheetId="1"/>
      <sheetData sheetId="2" refreshError="1"/>
    </sheetDataSet>
  </externalBook>
</externalLink>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tabSelected="1" topLeftCell="A10" zoomScale="80" zoomScaleNormal="80" zoomScalePageLayoutView="110" workbookViewId="0">
      <selection activeCell="C31" sqref="C31"/>
    </sheetView>
  </sheetViews>
  <sheetFormatPr defaultColWidth="7.69921875" defaultRowHeight="13.8"/>
  <cols>
    <col min="1" max="1" width="3.19921875" style="21" customWidth="1"/>
    <col min="2" max="2" width="16.69921875" style="21" bestFit="1" customWidth="1"/>
    <col min="3" max="3" width="24" style="21" bestFit="1" customWidth="1"/>
    <col min="4" max="5" width="16.69921875" style="21" customWidth="1"/>
    <col min="6" max="6" width="17.5" style="21" customWidth="1"/>
    <col min="7" max="9" width="16.69921875" style="21" customWidth="1"/>
    <col min="10" max="10" width="21.69921875" style="21" customWidth="1"/>
    <col min="11" max="12" width="16.69921875" style="21" customWidth="1"/>
    <col min="13" max="16384" width="7.69921875" style="21"/>
  </cols>
  <sheetData>
    <row r="2" spans="2:11">
      <c r="B2" s="95" t="s">
        <v>16</v>
      </c>
      <c r="C2" s="95"/>
      <c r="E2" s="95" t="s">
        <v>15</v>
      </c>
      <c r="F2" s="95"/>
      <c r="H2" s="95" t="s">
        <v>49</v>
      </c>
      <c r="I2" s="95"/>
    </row>
    <row r="4" spans="2:11">
      <c r="B4" s="21" t="s">
        <v>18</v>
      </c>
      <c r="C4" s="22"/>
      <c r="E4" s="21" t="s">
        <v>14</v>
      </c>
      <c r="F4" s="36">
        <f>COUNTA('Error Log'!A:A)-1</f>
        <v>999</v>
      </c>
      <c r="H4" s="21" t="s">
        <v>42</v>
      </c>
      <c r="I4" s="37">
        <f>H18</f>
        <v>38.427001083759095</v>
      </c>
      <c r="K4" s="30"/>
    </row>
    <row r="5" spans="2:11">
      <c r="C5" s="23"/>
      <c r="F5" s="23"/>
      <c r="K5" s="31">
        <f>I4</f>
        <v>38.427001083759095</v>
      </c>
    </row>
    <row r="6" spans="2:11">
      <c r="B6" s="21" t="s">
        <v>51</v>
      </c>
      <c r="C6" s="24"/>
      <c r="D6" s="21" t="s">
        <v>52</v>
      </c>
      <c r="E6" s="21" t="s">
        <v>9</v>
      </c>
      <c r="F6" s="36">
        <f>L36</f>
        <v>997</v>
      </c>
      <c r="H6" s="21" t="s">
        <v>12</v>
      </c>
      <c r="I6" s="38">
        <f>IF(C8=0,"0",1000*(F6/C8))</f>
        <v>154.35825979253752</v>
      </c>
      <c r="K6" s="32">
        <v>1</v>
      </c>
    </row>
    <row r="7" spans="2:11">
      <c r="C7" s="23"/>
      <c r="F7" s="23"/>
      <c r="I7" s="23"/>
      <c r="K7" s="33">
        <f>200-(K5+K6)</f>
        <v>160.57299891624092</v>
      </c>
    </row>
    <row r="8" spans="2:11">
      <c r="B8" s="21" t="s">
        <v>11</v>
      </c>
      <c r="C8" s="72">
        <f>SUM('Scores per segment'!D:D)</f>
        <v>6459</v>
      </c>
      <c r="E8" s="21" t="s">
        <v>38</v>
      </c>
      <c r="F8" s="36" t="e">
        <f>#REF!</f>
        <v>#REF!</v>
      </c>
      <c r="H8" s="21" t="s">
        <v>39</v>
      </c>
      <c r="I8" s="39" t="str">
        <f>IF(C10=0,"0",(F8/C10))</f>
        <v>0</v>
      </c>
      <c r="K8" s="32"/>
    </row>
    <row r="9" spans="2:11">
      <c r="C9" s="23"/>
      <c r="I9" s="23"/>
      <c r="K9" s="32"/>
    </row>
    <row r="10" spans="2:11">
      <c r="B10" s="21" t="s">
        <v>10</v>
      </c>
      <c r="C10" s="22">
        <f>COUNT('Scores per segment'!A:A)</f>
        <v>0</v>
      </c>
      <c r="E10" s="21" t="s">
        <v>13</v>
      </c>
      <c r="F10" s="36">
        <f>COUNTIFS('Error Log'!D:D,"*",'Error Log'!E:E,"")</f>
        <v>2</v>
      </c>
      <c r="H10" s="21" t="s">
        <v>19</v>
      </c>
      <c r="I10" s="39" t="str">
        <f>IF(C10=0,"0",(F10/C10))</f>
        <v>0</v>
      </c>
    </row>
    <row r="11" spans="2:11">
      <c r="C11" s="29"/>
    </row>
    <row r="12" spans="2:11" ht="14.4" thickBot="1">
      <c r="B12" s="25"/>
      <c r="C12" s="25"/>
      <c r="D12" s="25"/>
      <c r="E12" s="25"/>
      <c r="F12" s="25"/>
      <c r="G12" s="25"/>
      <c r="H12" s="25"/>
      <c r="I12" s="25"/>
    </row>
    <row r="13" spans="2:11" ht="14.4" thickTop="1">
      <c r="B13" s="28"/>
      <c r="C13" s="28"/>
      <c r="D13" s="28"/>
      <c r="E13" s="28"/>
      <c r="F13" s="28"/>
      <c r="G13" s="28"/>
      <c r="H13" s="28"/>
      <c r="I13" s="28"/>
      <c r="J13" s="28"/>
    </row>
    <row r="15" spans="2:11">
      <c r="D15" s="35" t="s">
        <v>40</v>
      </c>
    </row>
    <row r="16" spans="2:11">
      <c r="C16" s="29"/>
    </row>
    <row r="17" spans="2:12" ht="15.6">
      <c r="C17" s="34"/>
      <c r="D17" s="53" t="s">
        <v>35</v>
      </c>
      <c r="E17" s="54" t="s">
        <v>36</v>
      </c>
      <c r="F17" s="55" t="s">
        <v>37</v>
      </c>
      <c r="G17" s="68" t="s">
        <v>48</v>
      </c>
      <c r="H17" s="63" t="s">
        <v>53</v>
      </c>
    </row>
    <row r="18" spans="2:12" ht="15.6">
      <c r="C18" s="62" t="s">
        <v>43</v>
      </c>
      <c r="D18" s="53">
        <f>COUNTIF('Error Log'!$J:$J,D$17)</f>
        <v>625</v>
      </c>
      <c r="E18" s="54">
        <f>COUNTIF('Error Log'!$J:$J,E$17)</f>
        <v>333</v>
      </c>
      <c r="F18" s="55">
        <f>COUNTIF('Error Log'!$J:$J,F$17)</f>
        <v>39</v>
      </c>
      <c r="G18" s="68">
        <f>COUNTIF('Error Log'!$F:$F,"Target")</f>
        <v>0</v>
      </c>
      <c r="H18" s="64">
        <f>SUMPRODUCT('Scores per segment'!J:J,'Scores per segment'!D:D)/SUM('Scores per segment'!D:D)</f>
        <v>38.427001083759095</v>
      </c>
    </row>
    <row r="21" spans="2:12">
      <c r="C21" s="29"/>
    </row>
    <row r="22" spans="2:12" ht="14.4" thickBot="1">
      <c r="B22" s="25"/>
      <c r="C22" s="25"/>
      <c r="D22" s="25"/>
      <c r="E22" s="25"/>
      <c r="F22" s="25"/>
      <c r="G22" s="25"/>
      <c r="H22" s="25"/>
      <c r="I22" s="25"/>
      <c r="J22" s="25"/>
      <c r="K22" s="25"/>
      <c r="L22" s="25"/>
    </row>
    <row r="23" spans="2:12" ht="14.4" thickTop="1">
      <c r="B23" s="28"/>
      <c r="C23" s="28"/>
      <c r="D23" s="28"/>
      <c r="E23" s="28"/>
      <c r="F23" s="28"/>
      <c r="G23" s="28"/>
      <c r="H23" s="28"/>
      <c r="I23" s="28"/>
      <c r="J23" s="28"/>
      <c r="K23" s="28"/>
      <c r="L23" s="28"/>
    </row>
    <row r="24" spans="2:12">
      <c r="B24" s="28"/>
      <c r="C24" s="28"/>
      <c r="D24" s="28"/>
      <c r="E24" s="28"/>
      <c r="F24" s="28"/>
      <c r="G24" s="28"/>
      <c r="H24" s="28"/>
      <c r="I24" s="28"/>
      <c r="J24" s="28"/>
      <c r="K24" s="28"/>
      <c r="L24" s="28"/>
    </row>
    <row r="25" spans="2:12">
      <c r="B25" s="28"/>
      <c r="D25" s="35" t="s">
        <v>41</v>
      </c>
      <c r="E25" s="28"/>
      <c r="F25" s="28"/>
      <c r="G25" s="28"/>
      <c r="H25" s="28"/>
      <c r="I25" s="28"/>
      <c r="J25" s="28"/>
      <c r="K25" s="28"/>
      <c r="L25" s="28"/>
    </row>
    <row r="26" spans="2:12" ht="14.4" thickBot="1">
      <c r="B26" s="28"/>
      <c r="C26" s="28"/>
      <c r="D26" s="28"/>
      <c r="E26" s="28"/>
      <c r="F26" s="28"/>
      <c r="G26" s="28"/>
      <c r="H26" s="28"/>
      <c r="I26" s="28"/>
      <c r="J26" s="28"/>
      <c r="K26" s="28"/>
      <c r="L26" s="28"/>
    </row>
    <row r="27" spans="2:12" ht="14.4" thickBot="1">
      <c r="B27" s="40" t="s">
        <v>31</v>
      </c>
      <c r="C27" s="41" t="s">
        <v>30</v>
      </c>
      <c r="D27" s="41" t="s">
        <v>54</v>
      </c>
      <c r="E27" s="41" t="s">
        <v>55</v>
      </c>
      <c r="F27" s="41" t="s">
        <v>56</v>
      </c>
      <c r="G27" s="41" t="s">
        <v>29</v>
      </c>
      <c r="H27" s="41" t="s">
        <v>27</v>
      </c>
      <c r="I27" s="41" t="s">
        <v>72</v>
      </c>
      <c r="J27" s="41" t="s">
        <v>73</v>
      </c>
      <c r="K27" s="41" t="s">
        <v>57</v>
      </c>
      <c r="L27" s="42" t="s">
        <v>6</v>
      </c>
    </row>
    <row r="28" spans="2:12">
      <c r="B28" s="100" t="s">
        <v>8</v>
      </c>
      <c r="C28" s="56" t="s">
        <v>22</v>
      </c>
      <c r="D28" s="43">
        <f>COUNTIFS('Error Log'!$E:$E,$B$28,'Error Log'!$F:$F,$C28,'Error Log'!$G:$G,D$27)</f>
        <v>1</v>
      </c>
      <c r="E28" s="43">
        <f>COUNTIFS('Error Log'!$E:$E,$B$28,'Error Log'!$F:$F,$C28,'Error Log'!$G:$G,E$27)</f>
        <v>1</v>
      </c>
      <c r="F28" s="50">
        <f>COUNTIFS('Error Log'!$E:$E,$B$28,'Error Log'!$F:$F,$C28,'Error Log'!$G:$G,F$27)</f>
        <v>3</v>
      </c>
      <c r="G28" s="50">
        <f>COUNTIFS('Error Log'!$E:$E,$B$28,'Error Log'!$F:$F,$C28,'Error Log'!$G:$G,G$27)</f>
        <v>1</v>
      </c>
      <c r="H28" s="50">
        <f>COUNTIFS('Error Log'!$E:$E,$B$28,'Error Log'!$F:$F,$C28,'Error Log'!$G:$G,H$27)</f>
        <v>3</v>
      </c>
      <c r="I28" s="50">
        <f>COUNTIFS('Error Log'!$E:$E,$B$28,'Error Log'!$F:$F,$C28,'Error Log'!$G:$G,I$27)</f>
        <v>11</v>
      </c>
      <c r="J28" s="43">
        <f>COUNTIFS('Error Log'!$E:$E,$B$28,'Error Log'!$F:$F,$C28,'Error Log'!$G:$G,J$27)</f>
        <v>3</v>
      </c>
      <c r="K28" s="49">
        <f>COUNTIFS('Error Log'!$E:$E,$B$28,'Error Log'!$F:$F,$C28,'Error Log'!$G:$G,K$27)</f>
        <v>112</v>
      </c>
      <c r="L28" s="60">
        <f t="shared" ref="L28:L35" si="0">SUM(D28:K28)</f>
        <v>135</v>
      </c>
    </row>
    <row r="29" spans="2:12">
      <c r="B29" s="99"/>
      <c r="C29" s="57" t="s">
        <v>7</v>
      </c>
      <c r="D29" s="44">
        <f>COUNTIFS('Error Log'!$E:$E,$B$28,'Error Log'!$F:$F,$C29,'Error Log'!$G:$G,D$27)</f>
        <v>4</v>
      </c>
      <c r="E29" s="44">
        <f>COUNTIFS('Error Log'!$E:$E,$B$28,'Error Log'!$F:$F,$C29,'Error Log'!$G:$G,E$27)</f>
        <v>3</v>
      </c>
      <c r="F29" s="51">
        <f>COUNTIFS('Error Log'!$E:$E,$B$28,'Error Log'!$F:$F,$C29,'Error Log'!$G:$G,F$27)</f>
        <v>2</v>
      </c>
      <c r="G29" s="51">
        <f>COUNTIFS('Error Log'!$E:$E,$B$28,'Error Log'!$F:$F,$C29,'Error Log'!$G:$G,G$27)</f>
        <v>4</v>
      </c>
      <c r="H29" s="51">
        <f>COUNTIFS('Error Log'!$E:$E,$B$28,'Error Log'!$F:$F,$C29,'Error Log'!$G:$G,H$27)</f>
        <v>0</v>
      </c>
      <c r="I29" s="51">
        <f>COUNTIFS('Error Log'!$E:$E,$B$28,'Error Log'!$F:$F,$C29,'Error Log'!$G:$G,I$27)</f>
        <v>5</v>
      </c>
      <c r="J29" s="46">
        <f>COUNTIFS('Error Log'!$E:$E,$B$28,'Error Log'!$F:$F,$C29,'Error Log'!$G:$G,J$27)</f>
        <v>6</v>
      </c>
      <c r="K29" s="47">
        <f>COUNTIFS('Error Log'!$E:$E,$B$28,'Error Log'!$F:$F,$C29,'Error Log'!$G:$G,K$27)</f>
        <v>327</v>
      </c>
      <c r="L29" s="61">
        <f t="shared" si="0"/>
        <v>351</v>
      </c>
    </row>
    <row r="30" spans="2:12">
      <c r="B30" s="99"/>
      <c r="C30" s="57" t="s">
        <v>68</v>
      </c>
      <c r="D30" s="44">
        <f>COUNTIFS('Error Log'!$E:$E,$B$28,'Error Log'!$F:$F,$C30,'Error Log'!$G:$G,D$27)</f>
        <v>35</v>
      </c>
      <c r="E30" s="44">
        <f>COUNTIFS('Error Log'!$E:$E,$B$28,'Error Log'!$F:$F,$C30,'Error Log'!$G:$G,E$27)</f>
        <v>18</v>
      </c>
      <c r="F30" s="51">
        <f>COUNTIFS('Error Log'!$E:$E,$B$28,'Error Log'!$F:$F,$C30,'Error Log'!$G:$G,F$27)</f>
        <v>21</v>
      </c>
      <c r="G30" s="51">
        <f>COUNTIFS('Error Log'!$E:$E,$B$28,'Error Log'!$F:$F,$C30,'Error Log'!$G:$G,G$27)</f>
        <v>16</v>
      </c>
      <c r="H30" s="51">
        <f>COUNTIFS('Error Log'!$E:$E,$B$28,'Error Log'!$F:$F,$C30,'Error Log'!$G:$G,H$27)</f>
        <v>145</v>
      </c>
      <c r="I30" s="51">
        <f>COUNTIFS('Error Log'!$E:$E,$B$28,'Error Log'!$F:$F,$C30,'Error Log'!$G:$G,I$27)</f>
        <v>57</v>
      </c>
      <c r="J30" s="44">
        <f>COUNTIFS('Error Log'!$E:$E,$B$28,'Error Log'!$F:$F,$C30,'Error Log'!$G:$G,J$27)</f>
        <v>29</v>
      </c>
      <c r="K30" s="47">
        <f>COUNTIFS('Error Log'!$E:$E,$B$28,'Error Log'!$F:$F,$C30,'Error Log'!$G:$G,K$27)</f>
        <v>0</v>
      </c>
      <c r="L30" s="61">
        <f t="shared" si="0"/>
        <v>321</v>
      </c>
    </row>
    <row r="31" spans="2:12">
      <c r="B31" s="99"/>
      <c r="C31" s="57" t="s">
        <v>69</v>
      </c>
      <c r="D31" s="44">
        <f>COUNTIFS('Error Log'!$E:$E,$B$28,'Error Log'!$F:$F,$C31,'Error Log'!$G:$G,D$27)</f>
        <v>3</v>
      </c>
      <c r="E31" s="44">
        <f>COUNTIFS('Error Log'!$E:$E,$B$28,'Error Log'!$F:$F,$C31,'Error Log'!$G:$G,E$27)</f>
        <v>4</v>
      </c>
      <c r="F31" s="51">
        <f>COUNTIFS('Error Log'!$E:$E,$B$28,'Error Log'!$F:$F,$C31,'Error Log'!$G:$G,F$27)</f>
        <v>0</v>
      </c>
      <c r="G31" s="51">
        <f>COUNTIFS('Error Log'!$E:$E,$B$28,'Error Log'!$F:$F,$C31,'Error Log'!$G:$G,G$27)</f>
        <v>6</v>
      </c>
      <c r="H31" s="51">
        <f>COUNTIFS('Error Log'!$E:$E,$B$28,'Error Log'!$F:$F,$C31,'Error Log'!$G:$G,H$27)</f>
        <v>16</v>
      </c>
      <c r="I31" s="51">
        <f>COUNTIFS('Error Log'!$E:$E,$B$28,'Error Log'!$F:$F,$C31,'Error Log'!$G:$G,I$27)</f>
        <v>13</v>
      </c>
      <c r="J31" s="44">
        <f>COUNTIFS('Error Log'!$E:$E,$B$28,'Error Log'!$F:$F,$C31,'Error Log'!$G:$G,J$27)</f>
        <v>0</v>
      </c>
      <c r="K31" s="47">
        <f>COUNTIFS('Error Log'!$E:$E,$B$28,'Error Log'!$F:$F,$C31,'Error Log'!$G:$G,K$27)</f>
        <v>0</v>
      </c>
      <c r="L31" s="61">
        <f t="shared" ref="L31" si="1">SUM(D31:K31)</f>
        <v>42</v>
      </c>
    </row>
    <row r="32" spans="2:12" ht="14.4" thickBot="1">
      <c r="B32" s="99"/>
      <c r="C32" s="57" t="s">
        <v>45</v>
      </c>
      <c r="D32" s="46">
        <f>COUNTIFS('Error Log'!$E:$E,$B$28,'Error Log'!$F:$F,$C32,'Error Log'!$G:$G,D$27)</f>
        <v>0</v>
      </c>
      <c r="E32" s="46">
        <f>COUNTIFS('Error Log'!$E:$E,$B$28,'Error Log'!$F:$F,$C32,'Error Log'!$G:$G,E$27)</f>
        <v>0</v>
      </c>
      <c r="F32" s="46">
        <f>COUNTIFS('Error Log'!$E:$E,$B$28,'Error Log'!$F:$F,$C32,'Error Log'!$G:$G,F$27)</f>
        <v>1</v>
      </c>
      <c r="G32" s="46">
        <f>COUNTIFS('Error Log'!$E:$E,$B$28,'Error Log'!$F:$F,$C32,'Error Log'!$G:$G,G$27)</f>
        <v>0</v>
      </c>
      <c r="H32" s="46">
        <f>COUNTIFS('Error Log'!$E:$E,$B$28,'Error Log'!$F:$F,$C32,'Error Log'!$G:$G,H$27)</f>
        <v>0</v>
      </c>
      <c r="I32" s="46">
        <f>COUNTIFS('Error Log'!$E:$E,$B$28,'Error Log'!$F:$F,$C32,'Error Log'!$G:$G,I$27)</f>
        <v>2</v>
      </c>
      <c r="J32" s="44">
        <f>COUNTIFS('Error Log'!$E:$E,$B$28,'Error Log'!$F:$F,$C32,'Error Log'!$G:$G,J$27)</f>
        <v>0</v>
      </c>
      <c r="K32" s="47">
        <f>COUNTIFS('Error Log'!$E:$E,$B$28,'Error Log'!$F:$F,$C32,'Error Log'!$G:$G,K$27)</f>
        <v>0</v>
      </c>
      <c r="L32" s="61">
        <f t="shared" si="0"/>
        <v>3</v>
      </c>
    </row>
    <row r="33" spans="2:12">
      <c r="B33" s="98" t="s">
        <v>2</v>
      </c>
      <c r="C33" s="58" t="s">
        <v>71</v>
      </c>
      <c r="D33" s="52">
        <f>COUNTIFS('Error Log'!$E:$E,$B$33,'Error Log'!$F:$F,$C33,'Error Log'!$G:$G,D$27)</f>
        <v>0</v>
      </c>
      <c r="E33" s="48">
        <f>COUNTIFS('Error Log'!$E:$E,$B$33,'Error Log'!$F:$F,$C33,'Error Log'!$G:$G,E$27)</f>
        <v>0</v>
      </c>
      <c r="F33" s="48">
        <f>COUNTIFS('Error Log'!$E:$E,$B$33,'Error Log'!$F:$F,$C33,'Error Log'!$G:$G,F$27)</f>
        <v>0</v>
      </c>
      <c r="G33" s="48">
        <f>COUNTIFS('Error Log'!$E:$E,$B$33,'Error Log'!$F:$F,$C33,'Error Log'!$G:$G,G$27)</f>
        <v>0</v>
      </c>
      <c r="H33" s="48">
        <f>COUNTIFS('Error Log'!$E:$E,$B$33,'Error Log'!$F:$F,$C33,'Error Log'!$G:$G,H$27)</f>
        <v>0</v>
      </c>
      <c r="I33" s="48">
        <f>COUNTIFS('Error Log'!$E:$E,$B$33,'Error Log'!$F:$F,$C33,'Error Log'!$G:$G,I$27)</f>
        <v>0</v>
      </c>
      <c r="J33" s="45">
        <f>COUNTIFS('Error Log'!$E:$E,$B$33,'Error Log'!$F:$F,$C33,'Error Log'!$G:$G,J$27)</f>
        <v>0</v>
      </c>
      <c r="K33" s="48">
        <f>COUNTIFS('Error Log'!$E:$E,$B$33,'Error Log'!$F:$F,$C33,'Error Log'!$G:$G,K$27)</f>
        <v>0</v>
      </c>
      <c r="L33" s="60">
        <f t="shared" si="0"/>
        <v>0</v>
      </c>
    </row>
    <row r="34" spans="2:12">
      <c r="B34" s="99"/>
      <c r="C34" s="57" t="s">
        <v>26</v>
      </c>
      <c r="D34" s="47">
        <f>COUNTIFS('Error Log'!$E:$E,$B$33,'Error Log'!$F:$F,$C34,'Error Log'!$G:$G,D$27)</f>
        <v>0</v>
      </c>
      <c r="E34" s="47">
        <f>COUNTIFS('Error Log'!$E:$E,$B$33,'Error Log'!$F:$F,$C34,'Error Log'!$G:$G,E$27)</f>
        <v>0</v>
      </c>
      <c r="F34" s="47">
        <f>COUNTIFS('Error Log'!$E:$E,$B$33,'Error Log'!$F:$F,$C34,'Error Log'!$G:$G,F$27)</f>
        <v>0</v>
      </c>
      <c r="G34" s="47">
        <f>COUNTIFS('Error Log'!$E:$E,$B$33,'Error Log'!$F:$F,$C34,'Error Log'!$G:$G,G$27)</f>
        <v>0</v>
      </c>
      <c r="H34" s="47">
        <f>COUNTIFS('Error Log'!$E:$E,$B$33,'Error Log'!$F:$F,$C34,'Error Log'!$G:$G,H$27)</f>
        <v>27</v>
      </c>
      <c r="I34" s="47">
        <f>COUNTIFS('Error Log'!$E:$E,$B$33,'Error Log'!$F:$F,$C34,'Error Log'!$G:$G,I$27)</f>
        <v>2</v>
      </c>
      <c r="J34" s="46">
        <f>COUNTIFS('Error Log'!$E:$E,$B$33,'Error Log'!$F:$F,$C34,'Error Log'!$G:$G,J$27)</f>
        <v>0</v>
      </c>
      <c r="K34" s="47">
        <f>COUNTIFS('Error Log'!$E:$E,$B$33,'Error Log'!$F:$F,$C34,'Error Log'!$G:$G,K$27)</f>
        <v>115</v>
      </c>
      <c r="L34" s="61">
        <f t="shared" si="0"/>
        <v>144</v>
      </c>
    </row>
    <row r="35" spans="2:12" ht="14.4" thickBot="1">
      <c r="B35" s="99"/>
      <c r="C35" s="57" t="s">
        <v>70</v>
      </c>
      <c r="D35" s="51">
        <f>COUNTIFS('Error Log'!$E:$E,$B$33,'Error Log'!$F:$F,$C35,'Error Log'!$G:$G,D$27)</f>
        <v>1</v>
      </c>
      <c r="E35" s="47">
        <f>COUNTIFS('Error Log'!$E:$E,$B$33,'Error Log'!$F:$F,$C35,'Error Log'!$G:$G,E$27)</f>
        <v>0</v>
      </c>
      <c r="F35" s="47">
        <f>COUNTIFS('Error Log'!$E:$E,$B$33,'Error Log'!$F:$F,$C35,'Error Log'!$G:$G,F$27)</f>
        <v>0</v>
      </c>
      <c r="G35" s="47">
        <f>COUNTIFS('Error Log'!$E:$E,$B$33,'Error Log'!$F:$F,$C35,'Error Log'!$G:$G,G$27)</f>
        <v>0</v>
      </c>
      <c r="H35" s="47">
        <f>COUNTIFS('Error Log'!$E:$E,$B$33,'Error Log'!$F:$F,$C35,'Error Log'!$G:$G,H$27)</f>
        <v>0</v>
      </c>
      <c r="I35" s="47">
        <f>COUNTIFS('Error Log'!$E:$E,$B$33,'Error Log'!$F:$F,$C35,'Error Log'!$G:$G,I$27)</f>
        <v>0</v>
      </c>
      <c r="J35" s="46">
        <f>COUNTIFS('Error Log'!$E:$E,$B$33,'Error Log'!$F:$F,$C35,'Error Log'!$G:$G,J$27)</f>
        <v>0</v>
      </c>
      <c r="K35" s="47">
        <f>COUNTIFS('Error Log'!$E:$E,$B$33,'Error Log'!$F:$F,$C35,'Error Log'!$G:$G,K$27)</f>
        <v>0</v>
      </c>
      <c r="L35" s="61">
        <f t="shared" si="0"/>
        <v>1</v>
      </c>
    </row>
    <row r="36" spans="2:12" ht="16.2" thickBot="1">
      <c r="B36" s="96" t="s">
        <v>6</v>
      </c>
      <c r="C36" s="97"/>
      <c r="D36" s="26">
        <f>SUM(D28:D35)</f>
        <v>44</v>
      </c>
      <c r="E36" s="26">
        <f>SUM(E28:E35)</f>
        <v>26</v>
      </c>
      <c r="F36" s="26">
        <f>SUM(F28:F35)</f>
        <v>27</v>
      </c>
      <c r="G36" s="26">
        <f>SUM(G28:G35)</f>
        <v>27</v>
      </c>
      <c r="H36" s="26">
        <f>SUM(H28:H35)</f>
        <v>191</v>
      </c>
      <c r="I36" s="26">
        <f>SUM(I28:I35)</f>
        <v>90</v>
      </c>
      <c r="J36" s="26">
        <f>SUM(J28:J35)</f>
        <v>38</v>
      </c>
      <c r="K36" s="26">
        <f>SUM(K28:K35)</f>
        <v>554</v>
      </c>
      <c r="L36" s="59">
        <f>SUM(L28:L35)</f>
        <v>997</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1000"/>
  <sheetViews>
    <sheetView showGridLines="0" zoomScaleNormal="100" zoomScalePageLayoutView="80" workbookViewId="0">
      <pane ySplit="1" topLeftCell="A2" activePane="bottomLeft" state="frozen"/>
      <selection pane="bottomLeft" activeCell="H392" sqref="H392"/>
    </sheetView>
  </sheetViews>
  <sheetFormatPr defaultColWidth="11" defaultRowHeight="13.8"/>
  <cols>
    <col min="1" max="1" width="9.09765625" style="19" customWidth="1"/>
    <col min="2" max="2" width="10" style="20" bestFit="1" customWidth="1"/>
    <col min="3" max="3" width="19.19921875" style="109" customWidth="1"/>
    <col min="4" max="4" width="29.09765625" style="109" customWidth="1"/>
    <col min="5" max="5" width="14.69921875" style="81" bestFit="1" customWidth="1"/>
    <col min="6" max="6" width="17" style="81" customWidth="1"/>
    <col min="7" max="7" width="16.69921875" style="81" bestFit="1" customWidth="1"/>
    <col min="8" max="8" width="19.5" style="81" customWidth="1"/>
    <col min="9" max="9" width="11.09765625" style="81" customWidth="1"/>
    <col min="10" max="10" width="13.19921875" style="18" customWidth="1"/>
    <col min="11" max="11" width="17.19921875" style="18" customWidth="1"/>
    <col min="12" max="16384" width="11" style="18"/>
  </cols>
  <sheetData>
    <row r="1" spans="1:11">
      <c r="A1" s="15" t="s">
        <v>20</v>
      </c>
      <c r="B1" s="16" t="s">
        <v>17</v>
      </c>
      <c r="C1" s="105" t="s">
        <v>4</v>
      </c>
      <c r="D1" s="105" t="s">
        <v>5</v>
      </c>
      <c r="E1" s="106" t="s">
        <v>0</v>
      </c>
      <c r="F1" s="106" t="s">
        <v>3</v>
      </c>
      <c r="G1" s="106" t="s">
        <v>33</v>
      </c>
      <c r="H1" s="106" t="s">
        <v>32</v>
      </c>
      <c r="I1" s="106" t="s">
        <v>62</v>
      </c>
      <c r="J1" s="106" t="s">
        <v>34</v>
      </c>
    </row>
    <row r="2" spans="1:11" ht="14.4">
      <c r="A2" s="73" t="s">
        <v>74</v>
      </c>
      <c r="B2" s="17">
        <v>1</v>
      </c>
      <c r="C2" s="78" t="s">
        <v>75</v>
      </c>
      <c r="D2" s="73" t="s">
        <v>76</v>
      </c>
      <c r="E2" s="79" t="s">
        <v>21</v>
      </c>
      <c r="F2" s="79" t="s">
        <v>63</v>
      </c>
      <c r="G2" s="79" t="s">
        <v>54</v>
      </c>
      <c r="H2" s="79" t="s">
        <v>77</v>
      </c>
      <c r="I2" s="79"/>
      <c r="J2" s="14" t="str">
        <f>IF(E2="Invalid_Segment","Invalid",IFERROR(INDEX(Severity_Matrix!$C$3:$M$10,MATCH('Error Log'!$F2,Severity_Matrix!$B$3:$B$10,0),MATCH('Error Log'!$G2,Severity_Matrix!$C$2:$M$2,0)),"No errors"))</f>
        <v>Critical</v>
      </c>
      <c r="K2" s="73"/>
    </row>
    <row r="3" spans="1:11" ht="14.4">
      <c r="A3" s="73" t="s">
        <v>74</v>
      </c>
      <c r="B3" s="17">
        <v>2</v>
      </c>
      <c r="C3" s="78" t="s">
        <v>75</v>
      </c>
      <c r="D3" s="73" t="s">
        <v>76</v>
      </c>
      <c r="E3" s="79" t="s">
        <v>2</v>
      </c>
      <c r="F3" s="79" t="s">
        <v>26</v>
      </c>
      <c r="G3" s="79" t="s">
        <v>57</v>
      </c>
      <c r="H3" s="79" t="s">
        <v>78</v>
      </c>
      <c r="I3" s="79"/>
      <c r="J3" s="14" t="str">
        <f>IF(E3="Invalid_Segment","Invalid",IFERROR(INDEX(Severity_Matrix!$C$3:$M$10,MATCH('Error Log'!$F3,Severity_Matrix!$B$3:$B$10,0),MATCH('Error Log'!$G3,Severity_Matrix!$C$2:$M$2,0)),"No errors"))</f>
        <v>Major</v>
      </c>
      <c r="K3" s="73"/>
    </row>
    <row r="4" spans="1:11" ht="14.4">
      <c r="A4" s="73" t="s">
        <v>74</v>
      </c>
      <c r="B4" s="17">
        <v>3</v>
      </c>
      <c r="C4" s="78" t="s">
        <v>75</v>
      </c>
      <c r="D4" s="73" t="s">
        <v>76</v>
      </c>
      <c r="E4" s="79" t="s">
        <v>2</v>
      </c>
      <c r="F4" s="79" t="s">
        <v>26</v>
      </c>
      <c r="G4" s="79" t="s">
        <v>57</v>
      </c>
      <c r="H4" s="79" t="s">
        <v>78</v>
      </c>
      <c r="I4" s="79"/>
      <c r="J4" s="14" t="str">
        <f>IF(E4="Invalid_Segment","Invalid",IFERROR(INDEX(Severity_Matrix!$C$3:$M$10,MATCH('Error Log'!$F4,Severity_Matrix!$B$3:$B$10,0),MATCH('Error Log'!$G4,Severity_Matrix!$C$2:$M$2,0)),"No errors"))</f>
        <v>Major</v>
      </c>
      <c r="K4" s="73"/>
    </row>
    <row r="5" spans="1:11" ht="14.4">
      <c r="A5" s="73" t="s">
        <v>74</v>
      </c>
      <c r="B5" s="17">
        <v>4</v>
      </c>
      <c r="C5" s="78" t="s">
        <v>75</v>
      </c>
      <c r="D5" s="73" t="s">
        <v>76</v>
      </c>
      <c r="E5" s="79" t="s">
        <v>21</v>
      </c>
      <c r="F5" s="79" t="s">
        <v>63</v>
      </c>
      <c r="G5" s="79" t="s">
        <v>54</v>
      </c>
      <c r="H5" s="79" t="s">
        <v>79</v>
      </c>
      <c r="I5" s="79"/>
      <c r="J5" s="14" t="str">
        <f>IF(E5="Invalid_Segment","Invalid",IFERROR(INDEX(Severity_Matrix!$C$3:$M$10,MATCH('Error Log'!$F5,Severity_Matrix!$B$3:$B$10,0),MATCH('Error Log'!$G5,Severity_Matrix!$C$2:$M$2,0)),"No errors"))</f>
        <v>Critical</v>
      </c>
      <c r="K5" s="73"/>
    </row>
    <row r="6" spans="1:11" ht="14.4">
      <c r="A6" s="73" t="s">
        <v>74</v>
      </c>
      <c r="B6" s="17">
        <v>5</v>
      </c>
      <c r="C6" s="78" t="s">
        <v>75</v>
      </c>
      <c r="D6" s="73" t="s">
        <v>76</v>
      </c>
      <c r="E6" s="79" t="s">
        <v>21</v>
      </c>
      <c r="F6" s="79" t="s">
        <v>7</v>
      </c>
      <c r="G6" s="79" t="s">
        <v>57</v>
      </c>
      <c r="H6" s="80" t="s">
        <v>80</v>
      </c>
      <c r="I6" s="79"/>
      <c r="J6" s="14" t="str">
        <f>IF(E6="Invalid_Segment","Invalid",IFERROR(INDEX(Severity_Matrix!$C$3:$M$10,MATCH('Error Log'!$F6,Severity_Matrix!$B$3:$B$10,0),MATCH('Error Log'!$G6,Severity_Matrix!$C$2:$M$2,0)),"No errors"))</f>
        <v>Critical</v>
      </c>
      <c r="K6" s="73"/>
    </row>
    <row r="7" spans="1:11" ht="14.4">
      <c r="A7" s="73" t="s">
        <v>74</v>
      </c>
      <c r="B7" s="17">
        <v>6</v>
      </c>
      <c r="C7" s="78" t="s">
        <v>75</v>
      </c>
      <c r="D7" s="73" t="s">
        <v>76</v>
      </c>
      <c r="E7" s="79" t="s">
        <v>21</v>
      </c>
      <c r="F7" s="79" t="s">
        <v>7</v>
      </c>
      <c r="G7" s="79" t="s">
        <v>57</v>
      </c>
      <c r="H7" s="80" t="s">
        <v>81</v>
      </c>
      <c r="I7" s="79"/>
      <c r="J7" s="14" t="str">
        <f>IF(E7="Invalid_Segment","Invalid",IFERROR(INDEX(Severity_Matrix!$C$3:$M$10,MATCH('Error Log'!$F7,Severity_Matrix!$B$3:$B$10,0),MATCH('Error Log'!$G7,Severity_Matrix!$C$2:$M$2,0)),"No errors"))</f>
        <v>Critical</v>
      </c>
      <c r="K7" s="73"/>
    </row>
    <row r="8" spans="1:11" ht="14.4">
      <c r="A8" s="73" t="s">
        <v>74</v>
      </c>
      <c r="B8" s="17">
        <v>7</v>
      </c>
      <c r="C8" s="78" t="s">
        <v>75</v>
      </c>
      <c r="D8" s="73" t="s">
        <v>76</v>
      </c>
      <c r="E8" s="79" t="s">
        <v>21</v>
      </c>
      <c r="F8" s="79" t="s">
        <v>7</v>
      </c>
      <c r="G8" s="79" t="s">
        <v>57</v>
      </c>
      <c r="H8" s="79" t="s">
        <v>82</v>
      </c>
      <c r="I8" s="79"/>
      <c r="J8" s="14" t="str">
        <f>IF(E8="Invalid_Segment","Invalid",IFERROR(INDEX(Severity_Matrix!$C$3:$M$10,MATCH('Error Log'!$F8,Severity_Matrix!$B$3:$B$10,0),MATCH('Error Log'!$G8,Severity_Matrix!$C$2:$M$2,0)),"No errors"))</f>
        <v>Critical</v>
      </c>
      <c r="K8" s="73"/>
    </row>
    <row r="9" spans="1:11" ht="14.4">
      <c r="A9" s="73" t="s">
        <v>74</v>
      </c>
      <c r="B9" s="17">
        <v>8</v>
      </c>
      <c r="C9" s="78" t="s">
        <v>75</v>
      </c>
      <c r="D9" s="73" t="s">
        <v>76</v>
      </c>
      <c r="E9" s="79" t="s">
        <v>21</v>
      </c>
      <c r="F9" s="79" t="s">
        <v>7</v>
      </c>
      <c r="G9" s="79" t="s">
        <v>57</v>
      </c>
      <c r="H9" s="79" t="s">
        <v>83</v>
      </c>
      <c r="I9" s="79"/>
      <c r="J9" s="14" t="str">
        <f>IF(E9="Invalid_Segment","Invalid",IFERROR(INDEX(Severity_Matrix!$C$3:$M$10,MATCH('Error Log'!$F9,Severity_Matrix!$B$3:$B$10,0),MATCH('Error Log'!$G9,Severity_Matrix!$C$2:$M$2,0)),"No errors"))</f>
        <v>Critical</v>
      </c>
      <c r="K9" s="73"/>
    </row>
    <row r="10" spans="1:11" ht="14.4">
      <c r="A10" s="73" t="s">
        <v>74</v>
      </c>
      <c r="B10" s="17">
        <v>9</v>
      </c>
      <c r="C10" s="78" t="s">
        <v>75</v>
      </c>
      <c r="D10" s="73" t="s">
        <v>76</v>
      </c>
      <c r="E10" s="79" t="s">
        <v>21</v>
      </c>
      <c r="F10" s="79" t="s">
        <v>7</v>
      </c>
      <c r="G10" s="79" t="s">
        <v>57</v>
      </c>
      <c r="H10" s="79" t="s">
        <v>84</v>
      </c>
      <c r="I10" s="79"/>
      <c r="J10" s="14" t="str">
        <f>IF(E10="Invalid_Segment","Invalid",IFERROR(INDEX(Severity_Matrix!$C$3:$M$10,MATCH('Error Log'!$F10,Severity_Matrix!$B$3:$B$10,0),MATCH('Error Log'!$G10,Severity_Matrix!$C$2:$M$2,0)),"No errors"))</f>
        <v>Critical</v>
      </c>
      <c r="K10" s="73"/>
    </row>
    <row r="11" spans="1:11" ht="14.4">
      <c r="A11" s="73" t="s">
        <v>74</v>
      </c>
      <c r="B11" s="17">
        <v>10</v>
      </c>
      <c r="C11" s="78" t="s">
        <v>75</v>
      </c>
      <c r="D11" s="73" t="s">
        <v>76</v>
      </c>
      <c r="E11" s="79" t="s">
        <v>21</v>
      </c>
      <c r="F11" s="79" t="s">
        <v>7</v>
      </c>
      <c r="G11" s="79" t="s">
        <v>57</v>
      </c>
      <c r="H11" s="79" t="s">
        <v>85</v>
      </c>
      <c r="I11" s="79"/>
      <c r="J11" s="14" t="str">
        <f>IF(E11="Invalid_Segment","Invalid",IFERROR(INDEX(Severity_Matrix!$C$3:$M$10,MATCH('Error Log'!$F11,Severity_Matrix!$B$3:$B$10,0),MATCH('Error Log'!$G11,Severity_Matrix!$C$2:$M$2,0)),"No errors"))</f>
        <v>Critical</v>
      </c>
      <c r="K11" s="73"/>
    </row>
    <row r="12" spans="1:11" ht="14.4">
      <c r="A12" s="73" t="s">
        <v>86</v>
      </c>
      <c r="B12" s="17">
        <v>1</v>
      </c>
      <c r="C12" s="78" t="s">
        <v>87</v>
      </c>
      <c r="D12" s="73" t="s">
        <v>88</v>
      </c>
      <c r="E12" s="79" t="s">
        <v>21</v>
      </c>
      <c r="F12" s="79" t="s">
        <v>64</v>
      </c>
      <c r="G12" s="79" t="s">
        <v>28</v>
      </c>
      <c r="H12" s="79" t="s">
        <v>89</v>
      </c>
      <c r="I12" s="79"/>
      <c r="J12" s="14" t="str">
        <f>IF(E12="Invalid_Segment","Invalid",IFERROR(INDEX(Severity_Matrix!$C$3:$M$10,MATCH('Error Log'!$F12,Severity_Matrix!$B$3:$B$10,0),MATCH('Error Log'!$G12,Severity_Matrix!$C$2:$M$2,0)),"No errors"))</f>
        <v>Critical</v>
      </c>
      <c r="K12" s="73"/>
    </row>
    <row r="13" spans="1:11" ht="14.4">
      <c r="A13" s="73" t="s">
        <v>86</v>
      </c>
      <c r="B13" s="17">
        <v>2</v>
      </c>
      <c r="C13" s="78" t="s">
        <v>87</v>
      </c>
      <c r="D13" s="73" t="s">
        <v>88</v>
      </c>
      <c r="E13" s="79" t="s">
        <v>2</v>
      </c>
      <c r="F13" s="79" t="s">
        <v>26</v>
      </c>
      <c r="G13" s="79" t="s">
        <v>57</v>
      </c>
      <c r="H13" s="79" t="s">
        <v>90</v>
      </c>
      <c r="I13" s="79"/>
      <c r="J13" s="14" t="str">
        <f>IF(E13="Invalid_Segment","Invalid",IFERROR(INDEX(Severity_Matrix!$C$3:$M$10,MATCH('Error Log'!$F13,Severity_Matrix!$B$3:$B$10,0),MATCH('Error Log'!$G13,Severity_Matrix!$C$2:$M$2,0)),"No errors"))</f>
        <v>Major</v>
      </c>
      <c r="K13" s="73"/>
    </row>
    <row r="14" spans="1:11" ht="14.4">
      <c r="A14" s="73" t="s">
        <v>86</v>
      </c>
      <c r="B14" s="17">
        <v>3</v>
      </c>
      <c r="C14" s="78" t="s">
        <v>87</v>
      </c>
      <c r="D14" s="73" t="s">
        <v>88</v>
      </c>
      <c r="E14" s="79" t="s">
        <v>21</v>
      </c>
      <c r="F14" s="79" t="s">
        <v>63</v>
      </c>
      <c r="G14" s="79" t="s">
        <v>27</v>
      </c>
      <c r="H14" s="79" t="s">
        <v>91</v>
      </c>
      <c r="I14" s="79"/>
      <c r="J14" s="14" t="str">
        <f>IF(E14="Invalid_Segment","Invalid",IFERROR(INDEX(Severity_Matrix!$C$3:$M$10,MATCH('Error Log'!$F14,Severity_Matrix!$B$3:$B$10,0),MATCH('Error Log'!$G14,Severity_Matrix!$C$2:$M$2,0)),"No errors"))</f>
        <v>Critical</v>
      </c>
      <c r="K14" s="73"/>
    </row>
    <row r="15" spans="1:11" ht="14.4">
      <c r="A15" s="73" t="s">
        <v>86</v>
      </c>
      <c r="B15" s="17">
        <v>4</v>
      </c>
      <c r="C15" s="78" t="s">
        <v>87</v>
      </c>
      <c r="D15" s="73" t="s">
        <v>88</v>
      </c>
      <c r="E15" s="79" t="s">
        <v>21</v>
      </c>
      <c r="F15" s="79" t="s">
        <v>63</v>
      </c>
      <c r="G15" s="79" t="s">
        <v>27</v>
      </c>
      <c r="H15" s="79" t="s">
        <v>77</v>
      </c>
      <c r="I15" s="79"/>
      <c r="J15" s="14" t="str">
        <f>IF(E15="Invalid_Segment","Invalid",IFERROR(INDEX(Severity_Matrix!$C$3:$M$10,MATCH('Error Log'!$F15,Severity_Matrix!$B$3:$B$10,0),MATCH('Error Log'!$G15,Severity_Matrix!$C$2:$M$2,0)),"No errors"))</f>
        <v>Critical</v>
      </c>
      <c r="K15" s="73"/>
    </row>
    <row r="16" spans="1:11" ht="14.4">
      <c r="A16" s="73" t="s">
        <v>86</v>
      </c>
      <c r="B16" s="17">
        <v>5</v>
      </c>
      <c r="C16" s="78" t="s">
        <v>87</v>
      </c>
      <c r="D16" s="73" t="s">
        <v>88</v>
      </c>
      <c r="E16" s="79" t="s">
        <v>21</v>
      </c>
      <c r="F16" s="79" t="s">
        <v>22</v>
      </c>
      <c r="G16" s="79" t="s">
        <v>27</v>
      </c>
      <c r="H16" s="79" t="s">
        <v>92</v>
      </c>
      <c r="I16" s="79"/>
      <c r="J16" s="14" t="str">
        <f>IF(E16="Invalid_Segment","Invalid",IFERROR(INDEX(Severity_Matrix!$C$3:$M$10,MATCH('Error Log'!$F16,Severity_Matrix!$B$3:$B$10,0),MATCH('Error Log'!$G16,Severity_Matrix!$C$2:$M$2,0)),"No errors"))</f>
        <v>Major</v>
      </c>
      <c r="K16" s="73"/>
    </row>
    <row r="17" spans="1:11" ht="14.4">
      <c r="A17" s="73" t="s">
        <v>86</v>
      </c>
      <c r="B17" s="17">
        <v>6</v>
      </c>
      <c r="C17" s="78" t="s">
        <v>87</v>
      </c>
      <c r="D17" s="73" t="s">
        <v>88</v>
      </c>
      <c r="E17" s="79" t="s">
        <v>21</v>
      </c>
      <c r="F17" s="79" t="s">
        <v>7</v>
      </c>
      <c r="G17" s="79" t="s">
        <v>57</v>
      </c>
      <c r="H17" s="79" t="s">
        <v>93</v>
      </c>
      <c r="I17" s="79"/>
      <c r="J17" s="14" t="str">
        <f>IF(E17="Invalid_Segment","Invalid",IFERROR(INDEX(Severity_Matrix!$C$3:$M$10,MATCH('Error Log'!$F17,Severity_Matrix!$B$3:$B$10,0),MATCH('Error Log'!$G17,Severity_Matrix!$C$2:$M$2,0)),"No errors"))</f>
        <v>Critical</v>
      </c>
      <c r="K17" s="73"/>
    </row>
    <row r="18" spans="1:11" ht="14.4">
      <c r="A18" s="73" t="s">
        <v>86</v>
      </c>
      <c r="B18" s="17">
        <v>7</v>
      </c>
      <c r="C18" s="78" t="s">
        <v>87</v>
      </c>
      <c r="D18" s="73" t="s">
        <v>88</v>
      </c>
      <c r="E18" s="79" t="s">
        <v>21</v>
      </c>
      <c r="F18" s="79" t="s">
        <v>7</v>
      </c>
      <c r="G18" s="79" t="s">
        <v>57</v>
      </c>
      <c r="H18" s="79" t="s">
        <v>94</v>
      </c>
      <c r="I18" s="79"/>
      <c r="J18" s="14" t="str">
        <f>IF(E18="Invalid_Segment","Invalid",IFERROR(INDEX(Severity_Matrix!$C$3:$M$10,MATCH('Error Log'!$F18,Severity_Matrix!$B$3:$B$10,0),MATCH('Error Log'!$G18,Severity_Matrix!$C$2:$M$2,0)),"No errors"))</f>
        <v>Critical</v>
      </c>
      <c r="K18" s="73"/>
    </row>
    <row r="19" spans="1:11" ht="14.4">
      <c r="A19" s="73" t="s">
        <v>86</v>
      </c>
      <c r="B19" s="17">
        <v>8</v>
      </c>
      <c r="C19" s="78" t="s">
        <v>87</v>
      </c>
      <c r="D19" s="73" t="s">
        <v>88</v>
      </c>
      <c r="E19" s="79" t="s">
        <v>21</v>
      </c>
      <c r="F19" s="79" t="s">
        <v>7</v>
      </c>
      <c r="G19" s="79" t="s">
        <v>57</v>
      </c>
      <c r="H19" s="79" t="s">
        <v>95</v>
      </c>
      <c r="I19" s="79"/>
      <c r="J19" s="14" t="str">
        <f>IF(E19="Invalid_Segment","Invalid",IFERROR(INDEX(Severity_Matrix!$C$3:$M$10,MATCH('Error Log'!$F19,Severity_Matrix!$B$3:$B$10,0),MATCH('Error Log'!$G19,Severity_Matrix!$C$2:$M$2,0)),"No errors"))</f>
        <v>Critical</v>
      </c>
      <c r="K19" s="73"/>
    </row>
    <row r="20" spans="1:11" ht="14.4">
      <c r="A20" s="73" t="s">
        <v>86</v>
      </c>
      <c r="B20" s="17">
        <v>9</v>
      </c>
      <c r="C20" s="78" t="s">
        <v>87</v>
      </c>
      <c r="D20" s="73" t="s">
        <v>88</v>
      </c>
      <c r="E20" s="79" t="s">
        <v>21</v>
      </c>
      <c r="F20" s="79" t="s">
        <v>7</v>
      </c>
      <c r="G20" s="79" t="s">
        <v>57</v>
      </c>
      <c r="H20" s="79" t="s">
        <v>96</v>
      </c>
      <c r="I20" s="79"/>
      <c r="J20" s="14" t="str">
        <f>IF(E20="Invalid_Segment","Invalid",IFERROR(INDEX(Severity_Matrix!$C$3:$M$10,MATCH('Error Log'!$F20,Severity_Matrix!$B$3:$B$10,0),MATCH('Error Log'!$G20,Severity_Matrix!$C$2:$M$2,0)),"No errors"))</f>
        <v>Critical</v>
      </c>
      <c r="K20" s="73"/>
    </row>
    <row r="21" spans="1:11" ht="14.4">
      <c r="A21" s="73" t="s">
        <v>86</v>
      </c>
      <c r="B21" s="17">
        <v>10</v>
      </c>
      <c r="C21" s="78" t="s">
        <v>87</v>
      </c>
      <c r="D21" s="73" t="s">
        <v>88</v>
      </c>
      <c r="E21" s="79" t="s">
        <v>21</v>
      </c>
      <c r="F21" s="79" t="s">
        <v>7</v>
      </c>
      <c r="G21" s="79" t="s">
        <v>57</v>
      </c>
      <c r="H21" s="79" t="s">
        <v>97</v>
      </c>
      <c r="I21" s="79"/>
      <c r="J21" s="14" t="str">
        <f>IF(E21="Invalid_Segment","Invalid",IFERROR(INDEX(Severity_Matrix!$C$3:$M$10,MATCH('Error Log'!$F21,Severity_Matrix!$B$3:$B$10,0),MATCH('Error Log'!$G21,Severity_Matrix!$C$2:$M$2,0)),"No errors"))</f>
        <v>Critical</v>
      </c>
      <c r="K21" s="73"/>
    </row>
    <row r="22" spans="1:11" ht="14.4">
      <c r="A22" s="73" t="s">
        <v>98</v>
      </c>
      <c r="B22" s="17">
        <v>1</v>
      </c>
      <c r="C22" s="78" t="s">
        <v>99</v>
      </c>
      <c r="D22" s="73" t="s">
        <v>100</v>
      </c>
      <c r="E22" s="79" t="s">
        <v>21</v>
      </c>
      <c r="F22" s="79" t="s">
        <v>63</v>
      </c>
      <c r="G22" s="81" t="s">
        <v>27</v>
      </c>
      <c r="H22" s="79" t="s">
        <v>101</v>
      </c>
      <c r="I22" s="79"/>
      <c r="J22" s="14" t="str">
        <f>IF(E22="Invalid_Segment","Invalid",IFERROR(INDEX(Severity_Matrix!$C$3:$M$10,MATCH('Error Log'!$F22,Severity_Matrix!$B$3:$B$10,0),MATCH('Error Log'!$G22,Severity_Matrix!$C$2:$M$2,0)),"No errors"))</f>
        <v>Critical</v>
      </c>
      <c r="K22" s="73"/>
    </row>
    <row r="23" spans="1:11" ht="14.4">
      <c r="A23" s="73" t="s">
        <v>98</v>
      </c>
      <c r="B23" s="17">
        <v>2</v>
      </c>
      <c r="C23" s="78" t="s">
        <v>99</v>
      </c>
      <c r="D23" s="73" t="s">
        <v>100</v>
      </c>
      <c r="E23" s="79" t="s">
        <v>21</v>
      </c>
      <c r="F23" s="79" t="s">
        <v>63</v>
      </c>
      <c r="G23" s="81" t="s">
        <v>58</v>
      </c>
      <c r="H23" s="79" t="s">
        <v>102</v>
      </c>
      <c r="I23" s="79"/>
      <c r="J23" s="14" t="str">
        <f>IF(E23="Invalid_Segment","Invalid",IFERROR(INDEX(Severity_Matrix!$C$3:$M$10,MATCH('Error Log'!$F23,Severity_Matrix!$B$3:$B$10,0),MATCH('Error Log'!$G23,Severity_Matrix!$C$2:$M$2,0)),"No errors"))</f>
        <v>Minor</v>
      </c>
      <c r="K23" s="73"/>
    </row>
    <row r="24" spans="1:11" ht="14.4">
      <c r="A24" s="73" t="s">
        <v>98</v>
      </c>
      <c r="B24" s="17">
        <v>3</v>
      </c>
      <c r="C24" s="78" t="s">
        <v>99</v>
      </c>
      <c r="D24" s="73" t="s">
        <v>100</v>
      </c>
      <c r="E24" s="79" t="s">
        <v>21</v>
      </c>
      <c r="F24" s="79" t="s">
        <v>63</v>
      </c>
      <c r="G24" s="81" t="s">
        <v>28</v>
      </c>
      <c r="H24" s="79" t="s">
        <v>103</v>
      </c>
      <c r="I24" s="79"/>
      <c r="J24" s="14" t="str">
        <f>IF(E24="Invalid_Segment","Invalid",IFERROR(INDEX(Severity_Matrix!$C$3:$M$10,MATCH('Error Log'!$F24,Severity_Matrix!$B$3:$B$10,0),MATCH('Error Log'!$G24,Severity_Matrix!$C$2:$M$2,0)),"No errors"))</f>
        <v>Major</v>
      </c>
      <c r="K24" s="73"/>
    </row>
    <row r="25" spans="1:11" ht="14.4">
      <c r="A25" s="73" t="s">
        <v>98</v>
      </c>
      <c r="B25" s="17">
        <v>4</v>
      </c>
      <c r="C25" s="78" t="s">
        <v>99</v>
      </c>
      <c r="D25" s="73" t="s">
        <v>100</v>
      </c>
      <c r="E25" s="79" t="s">
        <v>21</v>
      </c>
      <c r="F25" s="79" t="s">
        <v>63</v>
      </c>
      <c r="G25" s="81" t="s">
        <v>28</v>
      </c>
      <c r="H25" s="79" t="s">
        <v>104</v>
      </c>
      <c r="I25" s="79"/>
      <c r="J25" s="14" t="str">
        <f>IF(E25="Invalid_Segment","Invalid",IFERROR(INDEX(Severity_Matrix!$C$3:$M$10,MATCH('Error Log'!$F25,Severity_Matrix!$B$3:$B$10,0),MATCH('Error Log'!$G25,Severity_Matrix!$C$2:$M$2,0)),"No errors"))</f>
        <v>Major</v>
      </c>
      <c r="K25" s="73"/>
    </row>
    <row r="26" spans="1:11" ht="14.4">
      <c r="A26" s="73" t="s">
        <v>98</v>
      </c>
      <c r="B26" s="17">
        <v>5</v>
      </c>
      <c r="C26" s="78" t="s">
        <v>99</v>
      </c>
      <c r="D26" s="73" t="s">
        <v>100</v>
      </c>
      <c r="E26" s="79" t="s">
        <v>21</v>
      </c>
      <c r="F26" s="79" t="s">
        <v>63</v>
      </c>
      <c r="G26" s="81" t="s">
        <v>28</v>
      </c>
      <c r="H26" s="79" t="s">
        <v>105</v>
      </c>
      <c r="I26" s="79"/>
      <c r="J26" s="14" t="str">
        <f>IF(E26="Invalid_Segment","Invalid",IFERROR(INDEX(Severity_Matrix!$C$3:$M$10,MATCH('Error Log'!$F26,Severity_Matrix!$B$3:$B$10,0),MATCH('Error Log'!$G26,Severity_Matrix!$C$2:$M$2,0)),"No errors"))</f>
        <v>Major</v>
      </c>
      <c r="K26" s="73"/>
    </row>
    <row r="27" spans="1:11" ht="14.4">
      <c r="A27" s="73" t="s">
        <v>98</v>
      </c>
      <c r="B27" s="17">
        <v>6</v>
      </c>
      <c r="C27" s="78" t="s">
        <v>106</v>
      </c>
      <c r="D27" s="73" t="s">
        <v>100</v>
      </c>
      <c r="E27" s="79" t="s">
        <v>2</v>
      </c>
      <c r="F27" s="79" t="s">
        <v>26</v>
      </c>
      <c r="G27" s="79" t="s">
        <v>57</v>
      </c>
      <c r="H27" s="79" t="s">
        <v>107</v>
      </c>
      <c r="I27" s="79"/>
      <c r="J27" s="14" t="str">
        <f>IF(E27="Invalid_Segment","Invalid",IFERROR(INDEX(Severity_Matrix!$C$3:$M$10,MATCH('Error Log'!$F27,Severity_Matrix!$B$3:$B$10,0),MATCH('Error Log'!$G27,Severity_Matrix!$C$2:$M$2,0)),"No errors"))</f>
        <v>Major</v>
      </c>
      <c r="K27" s="73"/>
    </row>
    <row r="28" spans="1:11" ht="14.4">
      <c r="A28" s="73" t="s">
        <v>98</v>
      </c>
      <c r="B28" s="17">
        <v>7</v>
      </c>
      <c r="C28" s="78" t="s">
        <v>99</v>
      </c>
      <c r="D28" s="73" t="s">
        <v>100</v>
      </c>
      <c r="E28" s="79" t="s">
        <v>21</v>
      </c>
      <c r="F28" s="79" t="s">
        <v>7</v>
      </c>
      <c r="G28" s="79" t="s">
        <v>57</v>
      </c>
      <c r="H28" s="79" t="s">
        <v>108</v>
      </c>
      <c r="I28" s="79"/>
      <c r="J28" s="14" t="str">
        <f>IF(E28="Invalid_Segment","Invalid",IFERROR(INDEX(Severity_Matrix!$C$3:$M$10,MATCH('Error Log'!$F28,Severity_Matrix!$B$3:$B$10,0),MATCH('Error Log'!$G28,Severity_Matrix!$C$2:$M$2,0)),"No errors"))</f>
        <v>Critical</v>
      </c>
      <c r="K28" s="73"/>
    </row>
    <row r="29" spans="1:11" ht="14.4">
      <c r="A29" s="73" t="s">
        <v>98</v>
      </c>
      <c r="B29" s="17">
        <v>8</v>
      </c>
      <c r="C29" s="78" t="s">
        <v>99</v>
      </c>
      <c r="D29" s="73" t="s">
        <v>100</v>
      </c>
      <c r="E29" s="79" t="s">
        <v>21</v>
      </c>
      <c r="F29" s="79" t="s">
        <v>7</v>
      </c>
      <c r="G29" s="79" t="s">
        <v>57</v>
      </c>
      <c r="H29" s="79" t="s">
        <v>109</v>
      </c>
      <c r="I29" s="79"/>
      <c r="J29" s="14" t="str">
        <f>IF(E29="Invalid_Segment","Invalid",IFERROR(INDEX(Severity_Matrix!$C$3:$M$10,MATCH('Error Log'!$F29,Severity_Matrix!$B$3:$B$10,0),MATCH('Error Log'!$G29,Severity_Matrix!$C$2:$M$2,0)),"No errors"))</f>
        <v>Critical</v>
      </c>
      <c r="K29" s="73"/>
    </row>
    <row r="30" spans="1:11" ht="14.4">
      <c r="A30" s="73" t="s">
        <v>98</v>
      </c>
      <c r="B30" s="17">
        <v>9</v>
      </c>
      <c r="C30" s="78" t="s">
        <v>99</v>
      </c>
      <c r="D30" s="73" t="s">
        <v>100</v>
      </c>
      <c r="E30" s="79" t="s">
        <v>21</v>
      </c>
      <c r="F30" s="79" t="s">
        <v>7</v>
      </c>
      <c r="G30" s="79" t="s">
        <v>57</v>
      </c>
      <c r="H30" s="79" t="s">
        <v>110</v>
      </c>
      <c r="I30" s="79"/>
      <c r="J30" s="14" t="str">
        <f>IF(E30="Invalid_Segment","Invalid",IFERROR(INDEX(Severity_Matrix!$C$3:$M$10,MATCH('Error Log'!$F30,Severity_Matrix!$B$3:$B$10,0),MATCH('Error Log'!$G30,Severity_Matrix!$C$2:$M$2,0)),"No errors"))</f>
        <v>Critical</v>
      </c>
      <c r="K30" s="73"/>
    </row>
    <row r="31" spans="1:11" ht="14.4">
      <c r="A31" s="73" t="s">
        <v>111</v>
      </c>
      <c r="B31" s="17">
        <v>1</v>
      </c>
      <c r="C31" s="78" t="s">
        <v>112</v>
      </c>
      <c r="D31" s="73" t="s">
        <v>113</v>
      </c>
      <c r="E31" s="79" t="s">
        <v>21</v>
      </c>
      <c r="F31" s="79" t="s">
        <v>63</v>
      </c>
      <c r="G31" s="79" t="s">
        <v>54</v>
      </c>
      <c r="H31" s="79" t="s">
        <v>114</v>
      </c>
      <c r="I31" s="79"/>
      <c r="J31" s="14" t="str">
        <f>IF(E31="Invalid_Segment","Invalid",IFERROR(INDEX(Severity_Matrix!$C$3:$M$10,MATCH('Error Log'!$F31,Severity_Matrix!$B$3:$B$10,0),MATCH('Error Log'!$G31,Severity_Matrix!$C$2:$M$2,0)),"No errors"))</f>
        <v>Critical</v>
      </c>
      <c r="K31" s="73"/>
    </row>
    <row r="32" spans="1:11" ht="14.4">
      <c r="A32" s="73" t="s">
        <v>111</v>
      </c>
      <c r="B32" s="17">
        <v>2</v>
      </c>
      <c r="C32" s="78" t="s">
        <v>112</v>
      </c>
      <c r="D32" s="73" t="s">
        <v>113</v>
      </c>
      <c r="E32" s="79" t="s">
        <v>21</v>
      </c>
      <c r="F32" s="79" t="s">
        <v>63</v>
      </c>
      <c r="G32" s="79" t="s">
        <v>58</v>
      </c>
      <c r="H32" s="79" t="s">
        <v>115</v>
      </c>
      <c r="I32" s="79"/>
      <c r="J32" s="14" t="str">
        <f>IF(E32="Invalid_Segment","Invalid",IFERROR(INDEX(Severity_Matrix!$C$3:$M$10,MATCH('Error Log'!$F32,Severity_Matrix!$B$3:$B$10,0),MATCH('Error Log'!$G32,Severity_Matrix!$C$2:$M$2,0)),"No errors"))</f>
        <v>Minor</v>
      </c>
      <c r="K32" s="73"/>
    </row>
    <row r="33" spans="1:11" ht="14.4">
      <c r="A33" s="73" t="s">
        <v>111</v>
      </c>
      <c r="B33" s="17">
        <v>3</v>
      </c>
      <c r="C33" s="78" t="s">
        <v>112</v>
      </c>
      <c r="D33" s="73" t="s">
        <v>113</v>
      </c>
      <c r="E33" s="79" t="s">
        <v>21</v>
      </c>
      <c r="F33" s="79" t="s">
        <v>63</v>
      </c>
      <c r="G33" s="79" t="s">
        <v>58</v>
      </c>
      <c r="H33" s="79" t="s">
        <v>116</v>
      </c>
      <c r="I33" s="79"/>
      <c r="J33" s="14" t="str">
        <f>IF(E33="Invalid_Segment","Invalid",IFERROR(INDEX(Severity_Matrix!$C$3:$M$10,MATCH('Error Log'!$F33,Severity_Matrix!$B$3:$B$10,0),MATCH('Error Log'!$G33,Severity_Matrix!$C$2:$M$2,0)),"No errors"))</f>
        <v>Minor</v>
      </c>
      <c r="K33" s="73"/>
    </row>
    <row r="34" spans="1:11" ht="14.4">
      <c r="A34" s="73" t="s">
        <v>111</v>
      </c>
      <c r="B34" s="17">
        <v>4</v>
      </c>
      <c r="C34" s="78" t="s">
        <v>112</v>
      </c>
      <c r="D34" s="73" t="s">
        <v>113</v>
      </c>
      <c r="E34" s="79" t="s">
        <v>21</v>
      </c>
      <c r="F34" s="79" t="s">
        <v>63</v>
      </c>
      <c r="G34" s="79" t="s">
        <v>27</v>
      </c>
      <c r="H34" s="79" t="s">
        <v>117</v>
      </c>
      <c r="I34" s="79"/>
      <c r="J34" s="14" t="str">
        <f>IF(E34="Invalid_Segment","Invalid",IFERROR(INDEX(Severity_Matrix!$C$3:$M$10,MATCH('Error Log'!$F34,Severity_Matrix!$B$3:$B$10,0),MATCH('Error Log'!$G34,Severity_Matrix!$C$2:$M$2,0)),"No errors"))</f>
        <v>Critical</v>
      </c>
      <c r="K34" s="73"/>
    </row>
    <row r="35" spans="1:11" ht="14.4">
      <c r="A35" s="73" t="s">
        <v>111</v>
      </c>
      <c r="B35" s="17">
        <v>5</v>
      </c>
      <c r="C35" s="78" t="s">
        <v>112</v>
      </c>
      <c r="D35" s="73" t="s">
        <v>113</v>
      </c>
      <c r="E35" s="79" t="s">
        <v>21</v>
      </c>
      <c r="F35" s="79" t="s">
        <v>63</v>
      </c>
      <c r="G35" s="79" t="s">
        <v>27</v>
      </c>
      <c r="H35" s="79" t="s">
        <v>118</v>
      </c>
      <c r="I35" s="79"/>
      <c r="J35" s="14" t="str">
        <f>IF(E35="Invalid_Segment","Invalid",IFERROR(INDEX(Severity_Matrix!$C$3:$M$10,MATCH('Error Log'!$F35,Severity_Matrix!$B$3:$B$10,0),MATCH('Error Log'!$G35,Severity_Matrix!$C$2:$M$2,0)),"No errors"))</f>
        <v>Critical</v>
      </c>
      <c r="K35" s="73"/>
    </row>
    <row r="36" spans="1:11" ht="14.4">
      <c r="A36" s="73" t="s">
        <v>111</v>
      </c>
      <c r="B36" s="17">
        <v>6</v>
      </c>
      <c r="C36" s="78" t="s">
        <v>112</v>
      </c>
      <c r="D36" s="73" t="s">
        <v>113</v>
      </c>
      <c r="E36" s="79" t="s">
        <v>21</v>
      </c>
      <c r="F36" s="79" t="s">
        <v>7</v>
      </c>
      <c r="G36" s="79" t="s">
        <v>29</v>
      </c>
      <c r="H36" s="79" t="s">
        <v>119</v>
      </c>
      <c r="I36" s="79"/>
      <c r="J36" s="14" t="str">
        <f>IF(E36="Invalid_Segment","Invalid",IFERROR(INDEX(Severity_Matrix!$C$3:$M$10,MATCH('Error Log'!$F36,Severity_Matrix!$B$3:$B$10,0),MATCH('Error Log'!$G36,Severity_Matrix!$C$2:$M$2,0)),"No errors"))</f>
        <v>Critical</v>
      </c>
      <c r="K36" s="73"/>
    </row>
    <row r="37" spans="1:11" ht="14.4">
      <c r="A37" s="73" t="s">
        <v>111</v>
      </c>
      <c r="B37" s="17">
        <v>7</v>
      </c>
      <c r="C37" s="78" t="s">
        <v>112</v>
      </c>
      <c r="D37" s="73" t="s">
        <v>113</v>
      </c>
      <c r="E37" s="79" t="s">
        <v>21</v>
      </c>
      <c r="F37" s="79" t="s">
        <v>63</v>
      </c>
      <c r="G37" s="79" t="s">
        <v>29</v>
      </c>
      <c r="H37" s="79">
        <v>12</v>
      </c>
      <c r="I37" s="79"/>
      <c r="J37" s="14" t="str">
        <f>IF(E37="Invalid_Segment","Invalid",IFERROR(INDEX(Severity_Matrix!$C$3:$M$10,MATCH('Error Log'!$F37,Severity_Matrix!$B$3:$B$10,0),MATCH('Error Log'!$G37,Severity_Matrix!$C$2:$M$2,0)),"No errors"))</f>
        <v>Critical</v>
      </c>
      <c r="K37" s="73"/>
    </row>
    <row r="38" spans="1:11" ht="14.4">
      <c r="A38" s="73" t="s">
        <v>111</v>
      </c>
      <c r="B38" s="17">
        <v>8</v>
      </c>
      <c r="C38" s="78" t="s">
        <v>112</v>
      </c>
      <c r="D38" s="73" t="s">
        <v>113</v>
      </c>
      <c r="E38" s="79" t="s">
        <v>21</v>
      </c>
      <c r="F38" s="79" t="s">
        <v>63</v>
      </c>
      <c r="G38" s="79" t="s">
        <v>28</v>
      </c>
      <c r="H38" s="18" t="s">
        <v>77</v>
      </c>
      <c r="I38" s="79"/>
      <c r="J38" s="14" t="str">
        <f>IF(E38="Invalid_Segment","Invalid",IFERROR(INDEX(Severity_Matrix!$C$3:$M$10,MATCH('Error Log'!$F38,Severity_Matrix!$B$3:$B$10,0),MATCH('Error Log'!$G38,Severity_Matrix!$C$2:$M$2,0)),"No errors"))</f>
        <v>Major</v>
      </c>
      <c r="K38" s="73"/>
    </row>
    <row r="39" spans="1:11" ht="14.4">
      <c r="A39" s="73" t="s">
        <v>111</v>
      </c>
      <c r="B39" s="17">
        <v>9</v>
      </c>
      <c r="C39" s="78" t="s">
        <v>112</v>
      </c>
      <c r="D39" s="73" t="s">
        <v>113</v>
      </c>
      <c r="E39" s="79" t="s">
        <v>21</v>
      </c>
      <c r="F39" s="79" t="s">
        <v>63</v>
      </c>
      <c r="G39" s="79" t="s">
        <v>54</v>
      </c>
      <c r="H39" s="18" t="s">
        <v>120</v>
      </c>
      <c r="I39" s="79"/>
      <c r="J39" s="14" t="str">
        <f>IF(E39="Invalid_Segment","Invalid",IFERROR(INDEX(Severity_Matrix!$C$3:$M$10,MATCH('Error Log'!$F39,Severity_Matrix!$B$3:$B$10,0),MATCH('Error Log'!$G39,Severity_Matrix!$C$2:$M$2,0)),"No errors"))</f>
        <v>Critical</v>
      </c>
      <c r="K39" s="73"/>
    </row>
    <row r="40" spans="1:11" ht="14.4">
      <c r="A40" s="73" t="s">
        <v>111</v>
      </c>
      <c r="B40" s="17">
        <v>10</v>
      </c>
      <c r="C40" s="78" t="s">
        <v>112</v>
      </c>
      <c r="D40" s="73" t="s">
        <v>113</v>
      </c>
      <c r="E40" s="79" t="s">
        <v>21</v>
      </c>
      <c r="F40" s="79" t="s">
        <v>7</v>
      </c>
      <c r="G40" s="79" t="s">
        <v>57</v>
      </c>
      <c r="H40" s="79" t="s">
        <v>121</v>
      </c>
      <c r="I40" s="79"/>
      <c r="J40" s="14" t="str">
        <f>IF(E40="Invalid_Segment","Invalid",IFERROR(INDEX(Severity_Matrix!$C$3:$M$10,MATCH('Error Log'!$F40,Severity_Matrix!$B$3:$B$10,0),MATCH('Error Log'!$G40,Severity_Matrix!$C$2:$M$2,0)),"No errors"))</f>
        <v>Critical</v>
      </c>
      <c r="K40" s="73"/>
    </row>
    <row r="41" spans="1:11" ht="14.4">
      <c r="A41" s="73" t="s">
        <v>111</v>
      </c>
      <c r="B41" s="17">
        <v>11</v>
      </c>
      <c r="C41" s="78" t="s">
        <v>112</v>
      </c>
      <c r="D41" s="73" t="s">
        <v>113</v>
      </c>
      <c r="E41" s="79" t="s">
        <v>21</v>
      </c>
      <c r="F41" s="79" t="s">
        <v>7</v>
      </c>
      <c r="G41" s="79" t="s">
        <v>57</v>
      </c>
      <c r="H41" s="79" t="s">
        <v>122</v>
      </c>
      <c r="I41" s="79"/>
      <c r="J41" s="14" t="str">
        <f>IF(E41="Invalid_Segment","Invalid",IFERROR(INDEX(Severity_Matrix!$C$3:$M$10,MATCH('Error Log'!$F41,Severity_Matrix!$B$3:$B$10,0),MATCH('Error Log'!$G41,Severity_Matrix!$C$2:$M$2,0)),"No errors"))</f>
        <v>Critical</v>
      </c>
      <c r="K41" s="73"/>
    </row>
    <row r="42" spans="1:11" ht="14.4">
      <c r="A42" s="73" t="s">
        <v>111</v>
      </c>
      <c r="B42" s="17">
        <v>12</v>
      </c>
      <c r="C42" s="78" t="s">
        <v>112</v>
      </c>
      <c r="D42" s="73" t="s">
        <v>113</v>
      </c>
      <c r="E42" s="79" t="s">
        <v>21</v>
      </c>
      <c r="F42" s="79" t="s">
        <v>7</v>
      </c>
      <c r="G42" s="79" t="s">
        <v>57</v>
      </c>
      <c r="H42" s="79" t="s">
        <v>123</v>
      </c>
      <c r="I42" s="79"/>
      <c r="J42" s="14" t="str">
        <f>IF(E42="Invalid_Segment","Invalid",IFERROR(INDEX(Severity_Matrix!$C$3:$M$10,MATCH('Error Log'!$F42,Severity_Matrix!$B$3:$B$10,0),MATCH('Error Log'!$G42,Severity_Matrix!$C$2:$M$2,0)),"No errors"))</f>
        <v>Critical</v>
      </c>
      <c r="K42" s="73"/>
    </row>
    <row r="43" spans="1:11" ht="14.4">
      <c r="A43" s="73" t="s">
        <v>124</v>
      </c>
      <c r="B43" s="17">
        <v>1</v>
      </c>
      <c r="C43" s="78" t="s">
        <v>125</v>
      </c>
      <c r="D43" s="73" t="s">
        <v>126</v>
      </c>
      <c r="E43" s="79" t="s">
        <v>2</v>
      </c>
      <c r="F43" s="79" t="s">
        <v>26</v>
      </c>
      <c r="G43" s="79" t="s">
        <v>57</v>
      </c>
      <c r="H43" s="79" t="s">
        <v>127</v>
      </c>
      <c r="I43" s="79"/>
      <c r="J43" s="14" t="str">
        <f>IF(E43="Invalid_Segment","Invalid",IFERROR(INDEX(Severity_Matrix!$C$3:$M$10,MATCH('Error Log'!$F43,Severity_Matrix!$B$3:$B$10,0),MATCH('Error Log'!$G43,Severity_Matrix!$C$2:$M$2,0)),"No errors"))</f>
        <v>Major</v>
      </c>
      <c r="K43" s="73"/>
    </row>
    <row r="44" spans="1:11" ht="14.4">
      <c r="A44" s="73" t="s">
        <v>124</v>
      </c>
      <c r="B44" s="17">
        <v>2</v>
      </c>
      <c r="C44" s="78" t="s">
        <v>125</v>
      </c>
      <c r="D44" s="73" t="s">
        <v>126</v>
      </c>
      <c r="E44" s="79" t="s">
        <v>2</v>
      </c>
      <c r="F44" s="79" t="s">
        <v>26</v>
      </c>
      <c r="G44" s="79" t="s">
        <v>57</v>
      </c>
      <c r="H44" s="79" t="s">
        <v>128</v>
      </c>
      <c r="I44" s="79"/>
      <c r="J44" s="14" t="str">
        <f>IF(E44="Invalid_Segment","Invalid",IFERROR(INDEX(Severity_Matrix!$C$3:$M$10,MATCH('Error Log'!$F44,Severity_Matrix!$B$3:$B$10,0),MATCH('Error Log'!$G44,Severity_Matrix!$C$2:$M$2,0)),"No errors"))</f>
        <v>Major</v>
      </c>
      <c r="K44" s="73"/>
    </row>
    <row r="45" spans="1:11" ht="14.4">
      <c r="A45" s="73" t="s">
        <v>124</v>
      </c>
      <c r="B45" s="17">
        <v>3</v>
      </c>
      <c r="C45" s="78" t="s">
        <v>125</v>
      </c>
      <c r="D45" s="73" t="s">
        <v>126</v>
      </c>
      <c r="E45" s="79" t="s">
        <v>21</v>
      </c>
      <c r="F45" s="79" t="s">
        <v>7</v>
      </c>
      <c r="G45" s="79" t="s">
        <v>57</v>
      </c>
      <c r="H45" s="79" t="s">
        <v>129</v>
      </c>
      <c r="I45" s="79"/>
      <c r="J45" s="14" t="str">
        <f>IF(E45="Invalid_Segment","Invalid",IFERROR(INDEX(Severity_Matrix!$C$3:$M$10,MATCH('Error Log'!$F45,Severity_Matrix!$B$3:$B$10,0),MATCH('Error Log'!$G45,Severity_Matrix!$C$2:$M$2,0)),"No errors"))</f>
        <v>Critical</v>
      </c>
      <c r="K45" s="73"/>
    </row>
    <row r="46" spans="1:11" ht="14.4">
      <c r="A46" s="73" t="s">
        <v>124</v>
      </c>
      <c r="B46" s="17">
        <v>4</v>
      </c>
      <c r="C46" s="78" t="s">
        <v>125</v>
      </c>
      <c r="D46" s="73" t="s">
        <v>126</v>
      </c>
      <c r="E46" s="79" t="s">
        <v>21</v>
      </c>
      <c r="F46" s="79" t="s">
        <v>7</v>
      </c>
      <c r="G46" s="79" t="s">
        <v>57</v>
      </c>
      <c r="H46" s="79" t="s">
        <v>130</v>
      </c>
      <c r="I46" s="79"/>
      <c r="J46" s="14" t="str">
        <f>IF(E46="Invalid_Segment","Invalid",IFERROR(INDEX(Severity_Matrix!$C$3:$M$10,MATCH('Error Log'!$F46,Severity_Matrix!$B$3:$B$10,0),MATCH('Error Log'!$G46,Severity_Matrix!$C$2:$M$2,0)),"No errors"))</f>
        <v>Critical</v>
      </c>
      <c r="K46" s="73"/>
    </row>
    <row r="47" spans="1:11">
      <c r="A47" s="73" t="s">
        <v>131</v>
      </c>
      <c r="B47" s="17">
        <v>1</v>
      </c>
      <c r="C47" s="73" t="s">
        <v>132</v>
      </c>
      <c r="D47" s="73" t="s">
        <v>133</v>
      </c>
      <c r="E47" s="79" t="s">
        <v>21</v>
      </c>
      <c r="F47" s="79" t="s">
        <v>22</v>
      </c>
      <c r="G47" s="79" t="s">
        <v>27</v>
      </c>
      <c r="H47" s="79" t="s">
        <v>134</v>
      </c>
      <c r="I47" s="79"/>
      <c r="J47" s="14" t="str">
        <f>IF(E47="Invalid_Segment","Invalid",IFERROR(INDEX(Severity_Matrix!$C$3:$M$10,MATCH('Error Log'!$F47,Severity_Matrix!$B$3:$B$10,0),MATCH('Error Log'!$G47,Severity_Matrix!$C$2:$M$2,0)),"No errors"))</f>
        <v>Major</v>
      </c>
      <c r="K47" s="73"/>
    </row>
    <row r="48" spans="1:11">
      <c r="A48" s="73" t="s">
        <v>131</v>
      </c>
      <c r="B48" s="17">
        <v>2</v>
      </c>
      <c r="C48" s="73" t="s">
        <v>132</v>
      </c>
      <c r="D48" s="73" t="s">
        <v>133</v>
      </c>
      <c r="E48" s="79" t="s">
        <v>2</v>
      </c>
      <c r="F48" s="79" t="s">
        <v>26</v>
      </c>
      <c r="G48" s="79" t="s">
        <v>27</v>
      </c>
      <c r="H48" s="79" t="s">
        <v>134</v>
      </c>
      <c r="I48" s="79"/>
      <c r="J48" s="14" t="str">
        <f>IF(E48="Invalid_Segment","Invalid",IFERROR(INDEX(Severity_Matrix!$C$3:$M$10,MATCH('Error Log'!$F48,Severity_Matrix!$B$3:$B$10,0),MATCH('Error Log'!$G48,Severity_Matrix!$C$2:$M$2,0)),"No errors"))</f>
        <v>Major</v>
      </c>
      <c r="K48" s="73"/>
    </row>
    <row r="49" spans="1:11">
      <c r="A49" s="73" t="s">
        <v>131</v>
      </c>
      <c r="B49" s="17">
        <v>3</v>
      </c>
      <c r="C49" s="73" t="s">
        <v>132</v>
      </c>
      <c r="D49" s="73" t="s">
        <v>133</v>
      </c>
      <c r="E49" s="79" t="s">
        <v>2</v>
      </c>
      <c r="F49" s="79" t="s">
        <v>26</v>
      </c>
      <c r="G49" s="79" t="s">
        <v>27</v>
      </c>
      <c r="H49" s="79" t="s">
        <v>134</v>
      </c>
      <c r="I49" s="79"/>
      <c r="J49" s="14" t="str">
        <f>IF(E49="Invalid_Segment","Invalid",IFERROR(INDEX(Severity_Matrix!$C$3:$M$10,MATCH('Error Log'!$F49,Severity_Matrix!$B$3:$B$10,0),MATCH('Error Log'!$G49,Severity_Matrix!$C$2:$M$2,0)),"No errors"))</f>
        <v>Major</v>
      </c>
      <c r="K49" s="73"/>
    </row>
    <row r="50" spans="1:11">
      <c r="A50" s="73" t="s">
        <v>131</v>
      </c>
      <c r="B50" s="17">
        <v>4</v>
      </c>
      <c r="C50" s="73" t="s">
        <v>132</v>
      </c>
      <c r="D50" s="73" t="s">
        <v>133</v>
      </c>
      <c r="E50" s="79" t="s">
        <v>2</v>
      </c>
      <c r="F50" s="79" t="s">
        <v>26</v>
      </c>
      <c r="G50" s="79" t="s">
        <v>27</v>
      </c>
      <c r="H50" s="79" t="s">
        <v>134</v>
      </c>
      <c r="I50" s="79"/>
      <c r="J50" s="14" t="str">
        <f>IF(E50="Invalid_Segment","Invalid",IFERROR(INDEX(Severity_Matrix!$C$3:$M$10,MATCH('Error Log'!$F50,Severity_Matrix!$B$3:$B$10,0),MATCH('Error Log'!$G50,Severity_Matrix!$C$2:$M$2,0)),"No errors"))</f>
        <v>Major</v>
      </c>
      <c r="K50" s="73"/>
    </row>
    <row r="51" spans="1:11">
      <c r="A51" s="73" t="s">
        <v>131</v>
      </c>
      <c r="B51" s="17">
        <v>5</v>
      </c>
      <c r="C51" s="73" t="s">
        <v>132</v>
      </c>
      <c r="D51" s="73" t="s">
        <v>133</v>
      </c>
      <c r="E51" s="79" t="s">
        <v>2</v>
      </c>
      <c r="F51" s="79" t="s">
        <v>26</v>
      </c>
      <c r="G51" s="79" t="s">
        <v>27</v>
      </c>
      <c r="H51" s="79" t="s">
        <v>134</v>
      </c>
      <c r="I51" s="79"/>
      <c r="J51" s="14" t="str">
        <f>IF(E51="Invalid_Segment","Invalid",IFERROR(INDEX(Severity_Matrix!$C$3:$M$10,MATCH('Error Log'!$F51,Severity_Matrix!$B$3:$B$10,0),MATCH('Error Log'!$G51,Severity_Matrix!$C$2:$M$2,0)),"No errors"))</f>
        <v>Major</v>
      </c>
      <c r="K51" s="73"/>
    </row>
    <row r="52" spans="1:11">
      <c r="A52" s="73" t="s">
        <v>131</v>
      </c>
      <c r="B52" s="17">
        <v>6</v>
      </c>
      <c r="C52" s="73" t="s">
        <v>132</v>
      </c>
      <c r="D52" s="73" t="s">
        <v>133</v>
      </c>
      <c r="E52" s="79" t="s">
        <v>2</v>
      </c>
      <c r="F52" s="79" t="s">
        <v>26</v>
      </c>
      <c r="G52" s="79" t="s">
        <v>27</v>
      </c>
      <c r="H52" s="79" t="s">
        <v>134</v>
      </c>
      <c r="I52" s="79"/>
      <c r="J52" s="14" t="str">
        <f>IF(E52="Invalid_Segment","Invalid",IFERROR(INDEX(Severity_Matrix!$C$3:$M$10,MATCH('Error Log'!$F52,Severity_Matrix!$B$3:$B$10,0),MATCH('Error Log'!$G52,Severity_Matrix!$C$2:$M$2,0)),"No errors"))</f>
        <v>Major</v>
      </c>
      <c r="K52" s="73"/>
    </row>
    <row r="53" spans="1:11">
      <c r="A53" s="73" t="s">
        <v>131</v>
      </c>
      <c r="B53" s="17">
        <v>7</v>
      </c>
      <c r="C53" s="73" t="s">
        <v>132</v>
      </c>
      <c r="D53" s="73" t="s">
        <v>133</v>
      </c>
      <c r="E53" s="79" t="s">
        <v>2</v>
      </c>
      <c r="F53" s="79" t="s">
        <v>26</v>
      </c>
      <c r="G53" s="79" t="s">
        <v>27</v>
      </c>
      <c r="H53" s="79" t="s">
        <v>134</v>
      </c>
      <c r="I53" s="79"/>
      <c r="J53" s="14" t="str">
        <f>IF(E53="Invalid_Segment","Invalid",IFERROR(INDEX(Severity_Matrix!$C$3:$M$10,MATCH('Error Log'!$F53,Severity_Matrix!$B$3:$B$10,0),MATCH('Error Log'!$G53,Severity_Matrix!$C$2:$M$2,0)),"No errors"))</f>
        <v>Major</v>
      </c>
      <c r="K53" s="74"/>
    </row>
    <row r="54" spans="1:11">
      <c r="A54" s="73" t="s">
        <v>131</v>
      </c>
      <c r="B54" s="17">
        <v>8</v>
      </c>
      <c r="C54" s="73" t="s">
        <v>132</v>
      </c>
      <c r="D54" s="73" t="s">
        <v>133</v>
      </c>
      <c r="E54" s="79" t="s">
        <v>2</v>
      </c>
      <c r="F54" s="79" t="s">
        <v>26</v>
      </c>
      <c r="G54" s="79" t="s">
        <v>27</v>
      </c>
      <c r="H54" s="79" t="s">
        <v>134</v>
      </c>
      <c r="I54" s="79"/>
      <c r="J54" s="14" t="str">
        <f>IF(E54="Invalid_Segment","Invalid",IFERROR(INDEX(Severity_Matrix!$C$3:$M$10,MATCH('Error Log'!$F54,Severity_Matrix!$B$3:$B$10,0),MATCH('Error Log'!$G54,Severity_Matrix!$C$2:$M$2,0)),"No errors"))</f>
        <v>Major</v>
      </c>
      <c r="K54" s="74"/>
    </row>
    <row r="55" spans="1:11">
      <c r="A55" s="73" t="s">
        <v>131</v>
      </c>
      <c r="B55" s="17">
        <v>9</v>
      </c>
      <c r="C55" s="73" t="s">
        <v>132</v>
      </c>
      <c r="D55" s="73" t="s">
        <v>133</v>
      </c>
      <c r="E55" s="79" t="s">
        <v>2</v>
      </c>
      <c r="F55" s="79" t="s">
        <v>26</v>
      </c>
      <c r="G55" s="79" t="s">
        <v>27</v>
      </c>
      <c r="H55" s="79" t="s">
        <v>134</v>
      </c>
      <c r="I55" s="79"/>
      <c r="J55" s="14" t="str">
        <f>IF(E55="Invalid_Segment","Invalid",IFERROR(INDEX(Severity_Matrix!$C$3:$M$10,MATCH('Error Log'!$F55,Severity_Matrix!$B$3:$B$10,0),MATCH('Error Log'!$G55,Severity_Matrix!$C$2:$M$2,0)),"No errors"))</f>
        <v>Major</v>
      </c>
      <c r="K55" s="74"/>
    </row>
    <row r="56" spans="1:11">
      <c r="A56" s="73" t="s">
        <v>131</v>
      </c>
      <c r="B56" s="17">
        <v>10</v>
      </c>
      <c r="C56" s="73" t="s">
        <v>132</v>
      </c>
      <c r="D56" s="73" t="s">
        <v>133</v>
      </c>
      <c r="E56" s="79" t="s">
        <v>2</v>
      </c>
      <c r="F56" s="79" t="s">
        <v>26</v>
      </c>
      <c r="G56" s="79" t="s">
        <v>27</v>
      </c>
      <c r="H56" s="79" t="s">
        <v>134</v>
      </c>
      <c r="I56" s="79"/>
      <c r="J56" s="14" t="str">
        <f>IF(E56="Invalid_Segment","Invalid",IFERROR(INDEX(Severity_Matrix!$C$3:$M$10,MATCH('Error Log'!$F56,Severity_Matrix!$B$3:$B$10,0),MATCH('Error Log'!$G56,Severity_Matrix!$C$2:$M$2,0)),"No errors"))</f>
        <v>Major</v>
      </c>
      <c r="K56" s="74"/>
    </row>
    <row r="57" spans="1:11">
      <c r="A57" s="73" t="s">
        <v>131</v>
      </c>
      <c r="B57" s="17">
        <v>11</v>
      </c>
      <c r="C57" s="73" t="s">
        <v>132</v>
      </c>
      <c r="D57" s="73" t="s">
        <v>133</v>
      </c>
      <c r="E57" s="79" t="s">
        <v>2</v>
      </c>
      <c r="F57" s="79" t="s">
        <v>26</v>
      </c>
      <c r="G57" s="79" t="s">
        <v>27</v>
      </c>
      <c r="H57" s="79" t="s">
        <v>134</v>
      </c>
      <c r="I57" s="79"/>
      <c r="J57" s="14" t="str">
        <f>IF(E57="Invalid_Segment","Invalid",IFERROR(INDEX(Severity_Matrix!$C$3:$M$10,MATCH('Error Log'!$F57,Severity_Matrix!$B$3:$B$10,0),MATCH('Error Log'!$G57,Severity_Matrix!$C$2:$M$2,0)),"No errors"))</f>
        <v>Major</v>
      </c>
      <c r="K57" s="74"/>
    </row>
    <row r="58" spans="1:11">
      <c r="A58" s="73" t="s">
        <v>131</v>
      </c>
      <c r="B58" s="17">
        <v>12</v>
      </c>
      <c r="C58" s="73" t="s">
        <v>132</v>
      </c>
      <c r="D58" s="73" t="s">
        <v>133</v>
      </c>
      <c r="E58" s="79" t="s">
        <v>2</v>
      </c>
      <c r="F58" s="79" t="s">
        <v>26</v>
      </c>
      <c r="G58" s="79" t="s">
        <v>27</v>
      </c>
      <c r="H58" s="79" t="s">
        <v>134</v>
      </c>
      <c r="I58" s="79"/>
      <c r="J58" s="14" t="str">
        <f>IF(E58="Invalid_Segment","Invalid",IFERROR(INDEX(Severity_Matrix!$C$3:$M$10,MATCH('Error Log'!$F58,Severity_Matrix!$B$3:$B$10,0),MATCH('Error Log'!$G58,Severity_Matrix!$C$2:$M$2,0)),"No errors"))</f>
        <v>Major</v>
      </c>
      <c r="K58" s="74"/>
    </row>
    <row r="59" spans="1:11">
      <c r="A59" s="73" t="s">
        <v>131</v>
      </c>
      <c r="B59" s="17">
        <v>13</v>
      </c>
      <c r="C59" s="73" t="s">
        <v>132</v>
      </c>
      <c r="D59" s="73" t="s">
        <v>133</v>
      </c>
      <c r="E59" s="79" t="s">
        <v>2</v>
      </c>
      <c r="F59" s="79" t="s">
        <v>26</v>
      </c>
      <c r="G59" s="79" t="s">
        <v>27</v>
      </c>
      <c r="H59" s="79" t="s">
        <v>134</v>
      </c>
      <c r="I59" s="79"/>
      <c r="J59" s="14" t="str">
        <f>IF(E59="Invalid_Segment","Invalid",IFERROR(INDEX(Severity_Matrix!$C$3:$M$10,MATCH('Error Log'!$F59,Severity_Matrix!$B$3:$B$10,0),MATCH('Error Log'!$G59,Severity_Matrix!$C$2:$M$2,0)),"No errors"))</f>
        <v>Major</v>
      </c>
      <c r="K59" s="74"/>
    </row>
    <row r="60" spans="1:11">
      <c r="A60" s="73" t="s">
        <v>131</v>
      </c>
      <c r="B60" s="17">
        <v>14</v>
      </c>
      <c r="C60" s="73" t="s">
        <v>132</v>
      </c>
      <c r="D60" s="73" t="s">
        <v>133</v>
      </c>
      <c r="E60" s="79" t="s">
        <v>2</v>
      </c>
      <c r="F60" s="79" t="s">
        <v>26</v>
      </c>
      <c r="G60" s="79" t="s">
        <v>27</v>
      </c>
      <c r="H60" s="79" t="s">
        <v>134</v>
      </c>
      <c r="I60" s="79"/>
      <c r="J60" s="14" t="str">
        <f>IF(E60="Invalid_Segment","Invalid",IFERROR(INDEX(Severity_Matrix!$C$3:$M$10,MATCH('Error Log'!$F60,Severity_Matrix!$B$3:$B$10,0),MATCH('Error Log'!$G60,Severity_Matrix!$C$2:$M$2,0)),"No errors"))</f>
        <v>Major</v>
      </c>
      <c r="K60" s="74"/>
    </row>
    <row r="61" spans="1:11">
      <c r="A61" s="73" t="s">
        <v>131</v>
      </c>
      <c r="B61" s="17">
        <v>15</v>
      </c>
      <c r="C61" s="73" t="s">
        <v>132</v>
      </c>
      <c r="D61" s="73" t="s">
        <v>133</v>
      </c>
      <c r="E61" s="79" t="s">
        <v>2</v>
      </c>
      <c r="F61" s="79" t="s">
        <v>26</v>
      </c>
      <c r="G61" s="79" t="s">
        <v>27</v>
      </c>
      <c r="H61" s="79" t="s">
        <v>134</v>
      </c>
      <c r="I61" s="79"/>
      <c r="J61" s="14" t="str">
        <f>IF(E61="Invalid_Segment","Invalid",IFERROR(INDEX(Severity_Matrix!$C$3:$M$10,MATCH('Error Log'!$F61,Severity_Matrix!$B$3:$B$10,0),MATCH('Error Log'!$G61,Severity_Matrix!$C$2:$M$2,0)),"No errors"))</f>
        <v>Major</v>
      </c>
      <c r="K61" s="74"/>
    </row>
    <row r="62" spans="1:11">
      <c r="A62" s="73" t="s">
        <v>131</v>
      </c>
      <c r="B62" s="17">
        <v>16</v>
      </c>
      <c r="C62" s="73" t="s">
        <v>132</v>
      </c>
      <c r="D62" s="73" t="s">
        <v>133</v>
      </c>
      <c r="E62" s="79" t="s">
        <v>2</v>
      </c>
      <c r="F62" s="79" t="s">
        <v>26</v>
      </c>
      <c r="G62" s="79" t="s">
        <v>27</v>
      </c>
      <c r="H62" s="79" t="s">
        <v>134</v>
      </c>
      <c r="I62" s="79"/>
      <c r="J62" s="14" t="str">
        <f>IF(E62="Invalid_Segment","Invalid",IFERROR(INDEX(Severity_Matrix!$C$3:$M$10,MATCH('Error Log'!$F62,Severity_Matrix!$B$3:$B$10,0),MATCH('Error Log'!$G62,Severity_Matrix!$C$2:$M$2,0)),"No errors"))</f>
        <v>Major</v>
      </c>
      <c r="K62" s="74"/>
    </row>
    <row r="63" spans="1:11">
      <c r="A63" s="73" t="s">
        <v>131</v>
      </c>
      <c r="B63" s="17">
        <v>17</v>
      </c>
      <c r="C63" s="73" t="s">
        <v>132</v>
      </c>
      <c r="D63" s="73" t="s">
        <v>133</v>
      </c>
      <c r="E63" s="79" t="s">
        <v>2</v>
      </c>
      <c r="F63" s="79" t="s">
        <v>26</v>
      </c>
      <c r="G63" s="79" t="s">
        <v>27</v>
      </c>
      <c r="H63" s="79" t="s">
        <v>134</v>
      </c>
      <c r="I63" s="79"/>
      <c r="J63" s="14" t="str">
        <f>IF(E63="Invalid_Segment","Invalid",IFERROR(INDEX(Severity_Matrix!$C$3:$M$10,MATCH('Error Log'!$F63,Severity_Matrix!$B$3:$B$10,0),MATCH('Error Log'!$G63,Severity_Matrix!$C$2:$M$2,0)),"No errors"))</f>
        <v>Major</v>
      </c>
      <c r="K63" s="74"/>
    </row>
    <row r="64" spans="1:11">
      <c r="A64" s="73" t="s">
        <v>131</v>
      </c>
      <c r="B64" s="17">
        <v>18</v>
      </c>
      <c r="C64" s="73" t="s">
        <v>132</v>
      </c>
      <c r="D64" s="73" t="s">
        <v>133</v>
      </c>
      <c r="E64" s="79" t="s">
        <v>2</v>
      </c>
      <c r="F64" s="79" t="s">
        <v>26</v>
      </c>
      <c r="G64" s="79" t="s">
        <v>27</v>
      </c>
      <c r="H64" s="79" t="s">
        <v>134</v>
      </c>
      <c r="I64" s="79"/>
      <c r="J64" s="14" t="str">
        <f>IF(E64="Invalid_Segment","Invalid",IFERROR(INDEX(Severity_Matrix!$C$3:$M$10,MATCH('Error Log'!$F64,Severity_Matrix!$B$3:$B$10,0),MATCH('Error Log'!$G64,Severity_Matrix!$C$2:$M$2,0)),"No errors"))</f>
        <v>Major</v>
      </c>
      <c r="K64" s="74"/>
    </row>
    <row r="65" spans="1:11">
      <c r="A65" s="73" t="s">
        <v>131</v>
      </c>
      <c r="B65" s="17">
        <v>19</v>
      </c>
      <c r="C65" s="73" t="s">
        <v>132</v>
      </c>
      <c r="D65" s="73" t="s">
        <v>133</v>
      </c>
      <c r="E65" s="79" t="s">
        <v>2</v>
      </c>
      <c r="F65" s="79" t="s">
        <v>26</v>
      </c>
      <c r="G65" s="79" t="s">
        <v>27</v>
      </c>
      <c r="H65" s="79" t="s">
        <v>134</v>
      </c>
      <c r="I65" s="79"/>
      <c r="J65" s="14" t="str">
        <f>IF(E65="Invalid_Segment","Invalid",IFERROR(INDEX(Severity_Matrix!$C$3:$M$10,MATCH('Error Log'!$F65,Severity_Matrix!$B$3:$B$10,0),MATCH('Error Log'!$G65,Severity_Matrix!$C$2:$M$2,0)),"No errors"))</f>
        <v>Major</v>
      </c>
      <c r="K65" s="74"/>
    </row>
    <row r="66" spans="1:11">
      <c r="A66" s="73" t="s">
        <v>131</v>
      </c>
      <c r="B66" s="17">
        <v>20</v>
      </c>
      <c r="C66" s="73" t="s">
        <v>132</v>
      </c>
      <c r="D66" s="73" t="s">
        <v>133</v>
      </c>
      <c r="E66" s="79" t="s">
        <v>2</v>
      </c>
      <c r="F66" s="79" t="s">
        <v>26</v>
      </c>
      <c r="G66" s="79" t="s">
        <v>27</v>
      </c>
      <c r="H66" s="79" t="s">
        <v>134</v>
      </c>
      <c r="I66" s="79"/>
      <c r="J66" s="14" t="str">
        <f>IF(E66="Invalid_Segment","Invalid",IFERROR(INDEX(Severity_Matrix!$C$3:$M$10,MATCH('Error Log'!$F66,Severity_Matrix!$B$3:$B$10,0),MATCH('Error Log'!$G66,Severity_Matrix!$C$2:$M$2,0)),"No errors"))</f>
        <v>Major</v>
      </c>
      <c r="K66" s="74"/>
    </row>
    <row r="67" spans="1:11">
      <c r="A67" s="73" t="s">
        <v>131</v>
      </c>
      <c r="B67" s="17">
        <v>21</v>
      </c>
      <c r="C67" s="73" t="s">
        <v>132</v>
      </c>
      <c r="D67" s="73" t="s">
        <v>133</v>
      </c>
      <c r="E67" s="79" t="s">
        <v>2</v>
      </c>
      <c r="F67" s="79" t="s">
        <v>26</v>
      </c>
      <c r="G67" s="79" t="s">
        <v>27</v>
      </c>
      <c r="H67" s="79" t="s">
        <v>134</v>
      </c>
      <c r="I67" s="79"/>
      <c r="J67" s="14" t="str">
        <f>IF(E67="Invalid_Segment","Invalid",IFERROR(INDEX(Severity_Matrix!$C$3:$M$10,MATCH('Error Log'!$F67,Severity_Matrix!$B$3:$B$10,0),MATCH('Error Log'!$G67,Severity_Matrix!$C$2:$M$2,0)),"No errors"))</f>
        <v>Major</v>
      </c>
      <c r="K67" s="74"/>
    </row>
    <row r="68" spans="1:11">
      <c r="A68" s="73" t="s">
        <v>131</v>
      </c>
      <c r="B68" s="17">
        <v>22</v>
      </c>
      <c r="C68" s="73" t="s">
        <v>132</v>
      </c>
      <c r="D68" s="73" t="s">
        <v>133</v>
      </c>
      <c r="E68" s="79" t="s">
        <v>2</v>
      </c>
      <c r="F68" s="79" t="s">
        <v>26</v>
      </c>
      <c r="G68" s="79" t="s">
        <v>27</v>
      </c>
      <c r="H68" s="79" t="s">
        <v>134</v>
      </c>
      <c r="I68" s="79"/>
      <c r="J68" s="14" t="str">
        <f>IF(E68="Invalid_Segment","Invalid",IFERROR(INDEX(Severity_Matrix!$C$3:$M$10,MATCH('Error Log'!$F68,Severity_Matrix!$B$3:$B$10,0),MATCH('Error Log'!$G68,Severity_Matrix!$C$2:$M$2,0)),"No errors"))</f>
        <v>Major</v>
      </c>
      <c r="K68" s="74"/>
    </row>
    <row r="69" spans="1:11">
      <c r="A69" s="73" t="s">
        <v>131</v>
      </c>
      <c r="B69" s="17">
        <v>23</v>
      </c>
      <c r="C69" s="73" t="s">
        <v>132</v>
      </c>
      <c r="D69" s="73" t="s">
        <v>133</v>
      </c>
      <c r="E69" s="79" t="s">
        <v>2</v>
      </c>
      <c r="F69" s="79" t="s">
        <v>26</v>
      </c>
      <c r="G69" s="79" t="s">
        <v>27</v>
      </c>
      <c r="H69" s="79" t="s">
        <v>134</v>
      </c>
      <c r="I69" s="79"/>
      <c r="J69" s="14" t="str">
        <f>IF(E69="Invalid_Segment","Invalid",IFERROR(INDEX(Severity_Matrix!$C$3:$M$10,MATCH('Error Log'!$F69,Severity_Matrix!$B$3:$B$10,0),MATCH('Error Log'!$G69,Severity_Matrix!$C$2:$M$2,0)),"No errors"))</f>
        <v>Major</v>
      </c>
      <c r="K69" s="74"/>
    </row>
    <row r="70" spans="1:11">
      <c r="A70" s="73" t="s">
        <v>131</v>
      </c>
      <c r="B70" s="17">
        <v>24</v>
      </c>
      <c r="C70" s="73" t="s">
        <v>132</v>
      </c>
      <c r="D70" s="73" t="s">
        <v>133</v>
      </c>
      <c r="E70" s="79" t="s">
        <v>21</v>
      </c>
      <c r="F70" s="79" t="s">
        <v>22</v>
      </c>
      <c r="G70" s="79" t="s">
        <v>27</v>
      </c>
      <c r="H70" s="79" t="s">
        <v>135</v>
      </c>
      <c r="I70" s="79"/>
      <c r="J70" s="14" t="str">
        <f>IF(E70="Invalid_Segment","Invalid",IFERROR(INDEX(Severity_Matrix!$C$3:$M$10,MATCH('Error Log'!$F70,Severity_Matrix!$B$3:$B$10,0),MATCH('Error Log'!$G70,Severity_Matrix!$C$2:$M$2,0)),"No errors"))</f>
        <v>Major</v>
      </c>
      <c r="K70" s="74"/>
    </row>
    <row r="71" spans="1:11">
      <c r="A71" s="73" t="s">
        <v>131</v>
      </c>
      <c r="B71" s="17">
        <v>25</v>
      </c>
      <c r="C71" s="73" t="s">
        <v>132</v>
      </c>
      <c r="D71" s="73" t="s">
        <v>133</v>
      </c>
      <c r="E71" s="79" t="s">
        <v>21</v>
      </c>
      <c r="F71" s="79" t="s">
        <v>63</v>
      </c>
      <c r="G71" s="79" t="s">
        <v>54</v>
      </c>
      <c r="H71" s="79" t="s">
        <v>136</v>
      </c>
      <c r="I71" s="79"/>
      <c r="J71" s="14" t="str">
        <f>IF(E71="Invalid_Segment","Invalid",IFERROR(INDEX(Severity_Matrix!$C$3:$M$10,MATCH('Error Log'!$F71,Severity_Matrix!$B$3:$B$10,0),MATCH('Error Log'!$G71,Severity_Matrix!$C$2:$M$2,0)),"No errors"))</f>
        <v>Critical</v>
      </c>
      <c r="K71" s="74"/>
    </row>
    <row r="72" spans="1:11">
      <c r="A72" s="73" t="s">
        <v>131</v>
      </c>
      <c r="B72" s="17">
        <v>26</v>
      </c>
      <c r="C72" s="73" t="s">
        <v>132</v>
      </c>
      <c r="D72" s="73" t="s">
        <v>133</v>
      </c>
      <c r="E72" s="79" t="s">
        <v>21</v>
      </c>
      <c r="F72" s="79" t="s">
        <v>63</v>
      </c>
      <c r="G72" s="79" t="s">
        <v>56</v>
      </c>
      <c r="H72" s="79" t="s">
        <v>137</v>
      </c>
      <c r="I72" s="79"/>
      <c r="J72" s="14" t="str">
        <f>IF(E72="Invalid_Segment","Invalid",IFERROR(INDEX(Severity_Matrix!$C$3:$M$10,MATCH('Error Log'!$F72,Severity_Matrix!$B$3:$B$10,0),MATCH('Error Log'!$G72,Severity_Matrix!$C$2:$M$2,0)),"No errors"))</f>
        <v>Critical</v>
      </c>
      <c r="K72" s="74"/>
    </row>
    <row r="73" spans="1:11">
      <c r="A73" s="73" t="s">
        <v>131</v>
      </c>
      <c r="B73" s="17">
        <v>27</v>
      </c>
      <c r="C73" s="73" t="s">
        <v>132</v>
      </c>
      <c r="D73" s="73" t="s">
        <v>133</v>
      </c>
      <c r="E73" s="79" t="s">
        <v>21</v>
      </c>
      <c r="F73" s="79" t="s">
        <v>63</v>
      </c>
      <c r="G73" s="79" t="s">
        <v>55</v>
      </c>
      <c r="H73" s="79" t="s">
        <v>136</v>
      </c>
      <c r="I73" s="79"/>
      <c r="J73" s="14" t="str">
        <f>IF(E73="Invalid_Segment","Invalid",IFERROR(INDEX(Severity_Matrix!$C$3:$M$10,MATCH('Error Log'!$F73,Severity_Matrix!$B$3:$B$10,0),MATCH('Error Log'!$G73,Severity_Matrix!$C$2:$M$2,0)),"No errors"))</f>
        <v>Critical</v>
      </c>
      <c r="K73" s="74"/>
    </row>
    <row r="74" spans="1:11">
      <c r="A74" s="73" t="s">
        <v>131</v>
      </c>
      <c r="B74" s="17">
        <v>28</v>
      </c>
      <c r="C74" s="73" t="s">
        <v>132</v>
      </c>
      <c r="D74" s="73" t="s">
        <v>133</v>
      </c>
      <c r="E74" s="79" t="s">
        <v>21</v>
      </c>
      <c r="F74" s="79" t="s">
        <v>64</v>
      </c>
      <c r="G74" s="79" t="s">
        <v>29</v>
      </c>
      <c r="H74" s="82" t="s">
        <v>138</v>
      </c>
      <c r="I74" s="79"/>
      <c r="J74" s="14" t="str">
        <f>IF(E74="Invalid_Segment","Invalid",IFERROR(INDEX(Severity_Matrix!$C$3:$M$10,MATCH('Error Log'!$F74,Severity_Matrix!$B$3:$B$10,0),MATCH('Error Log'!$G74,Severity_Matrix!$C$2:$M$2,0)),"No errors"))</f>
        <v>Critical</v>
      </c>
      <c r="K74" s="74"/>
    </row>
    <row r="75" spans="1:11">
      <c r="A75" s="73" t="s">
        <v>131</v>
      </c>
      <c r="B75" s="17">
        <v>29</v>
      </c>
      <c r="C75" s="73" t="s">
        <v>132</v>
      </c>
      <c r="D75" s="73" t="s">
        <v>133</v>
      </c>
      <c r="E75" s="79" t="s">
        <v>21</v>
      </c>
      <c r="F75" s="79" t="s">
        <v>63</v>
      </c>
      <c r="G75" s="79" t="s">
        <v>58</v>
      </c>
      <c r="H75" s="79" t="s">
        <v>139</v>
      </c>
      <c r="I75" s="79"/>
      <c r="J75" s="14" t="str">
        <f>IF(E75="Invalid_Segment","Invalid",IFERROR(INDEX(Severity_Matrix!$C$3:$M$10,MATCH('Error Log'!$F75,Severity_Matrix!$B$3:$B$10,0),MATCH('Error Log'!$G75,Severity_Matrix!$C$2:$M$2,0)),"No errors"))</f>
        <v>Minor</v>
      </c>
      <c r="K75" s="74"/>
    </row>
    <row r="76" spans="1:11">
      <c r="A76" s="73" t="s">
        <v>131</v>
      </c>
      <c r="B76" s="17">
        <v>30</v>
      </c>
      <c r="C76" s="73" t="s">
        <v>132</v>
      </c>
      <c r="D76" s="73" t="s">
        <v>133</v>
      </c>
      <c r="E76" s="79" t="s">
        <v>21</v>
      </c>
      <c r="F76" s="79" t="s">
        <v>63</v>
      </c>
      <c r="G76" s="79" t="s">
        <v>27</v>
      </c>
      <c r="H76" s="79" t="s">
        <v>140</v>
      </c>
      <c r="I76" s="79"/>
      <c r="J76" s="14" t="str">
        <f>IF(E76="Invalid_Segment","Invalid",IFERROR(INDEX(Severity_Matrix!$C$3:$M$10,MATCH('Error Log'!$F76,Severity_Matrix!$B$3:$B$10,0),MATCH('Error Log'!$G76,Severity_Matrix!$C$2:$M$2,0)),"No errors"))</f>
        <v>Critical</v>
      </c>
      <c r="K76" s="74"/>
    </row>
    <row r="77" spans="1:11">
      <c r="A77" s="73" t="s">
        <v>131</v>
      </c>
      <c r="B77" s="17">
        <v>31</v>
      </c>
      <c r="C77" s="73" t="s">
        <v>132</v>
      </c>
      <c r="D77" s="73" t="s">
        <v>133</v>
      </c>
      <c r="E77" s="79" t="s">
        <v>21</v>
      </c>
      <c r="F77" s="79" t="s">
        <v>63</v>
      </c>
      <c r="G77" s="79" t="s">
        <v>58</v>
      </c>
      <c r="H77" s="79" t="s">
        <v>115</v>
      </c>
      <c r="I77" s="79"/>
      <c r="J77" s="14" t="str">
        <f>IF(E77="Invalid_Segment","Invalid",IFERROR(INDEX(Severity_Matrix!$C$3:$M$10,MATCH('Error Log'!$F77,Severity_Matrix!$B$3:$B$10,0),MATCH('Error Log'!$G77,Severity_Matrix!$C$2:$M$2,0)),"No errors"))</f>
        <v>Minor</v>
      </c>
      <c r="K77" s="74"/>
    </row>
    <row r="78" spans="1:11">
      <c r="A78" s="73" t="s">
        <v>131</v>
      </c>
      <c r="B78" s="17">
        <v>32</v>
      </c>
      <c r="C78" s="73" t="s">
        <v>132</v>
      </c>
      <c r="D78" s="73" t="s">
        <v>133</v>
      </c>
      <c r="E78" s="79" t="s">
        <v>21</v>
      </c>
      <c r="F78" s="79" t="s">
        <v>63</v>
      </c>
      <c r="G78" s="79" t="s">
        <v>58</v>
      </c>
      <c r="H78" s="79" t="s">
        <v>116</v>
      </c>
      <c r="I78" s="79"/>
      <c r="J78" s="14" t="str">
        <f>IF(E78="Invalid_Segment","Invalid",IFERROR(INDEX(Severity_Matrix!$C$3:$M$10,MATCH('Error Log'!$F78,Severity_Matrix!$B$3:$B$10,0),MATCH('Error Log'!$G78,Severity_Matrix!$C$2:$M$2,0)),"No errors"))</f>
        <v>Minor</v>
      </c>
      <c r="K78" s="74"/>
    </row>
    <row r="79" spans="1:11">
      <c r="A79" s="73" t="s">
        <v>131</v>
      </c>
      <c r="B79" s="17">
        <v>33</v>
      </c>
      <c r="C79" s="73" t="s">
        <v>132</v>
      </c>
      <c r="D79" s="73" t="s">
        <v>133</v>
      </c>
      <c r="E79" s="79" t="s">
        <v>21</v>
      </c>
      <c r="F79" s="79" t="s">
        <v>64</v>
      </c>
      <c r="G79" s="79" t="s">
        <v>28</v>
      </c>
      <c r="H79" s="79" t="s">
        <v>141</v>
      </c>
      <c r="I79" s="79"/>
      <c r="J79" s="14" t="str">
        <f>IF(E79="Invalid_Segment","Invalid",IFERROR(INDEX(Severity_Matrix!$C$3:$M$10,MATCH('Error Log'!$F79,Severity_Matrix!$B$3:$B$10,0),MATCH('Error Log'!$G79,Severity_Matrix!$C$2:$M$2,0)),"No errors"))</f>
        <v>Critical</v>
      </c>
      <c r="K79" s="74"/>
    </row>
    <row r="80" spans="1:11">
      <c r="A80" s="73" t="s">
        <v>131</v>
      </c>
      <c r="B80" s="17">
        <v>34</v>
      </c>
      <c r="C80" s="73" t="s">
        <v>132</v>
      </c>
      <c r="D80" s="73" t="s">
        <v>133</v>
      </c>
      <c r="E80" s="79" t="s">
        <v>21</v>
      </c>
      <c r="F80" s="79" t="s">
        <v>64</v>
      </c>
      <c r="G80" s="79" t="s">
        <v>28</v>
      </c>
      <c r="H80" s="79" t="s">
        <v>142</v>
      </c>
      <c r="I80" s="79"/>
      <c r="J80" s="14" t="str">
        <f>IF(E80="Invalid_Segment","Invalid",IFERROR(INDEX(Severity_Matrix!$C$3:$M$10,MATCH('Error Log'!$F80,Severity_Matrix!$B$3:$B$10,0),MATCH('Error Log'!$G80,Severity_Matrix!$C$2:$M$2,0)),"No errors"))</f>
        <v>Critical</v>
      </c>
      <c r="K80" s="74"/>
    </row>
    <row r="81" spans="1:11">
      <c r="A81" s="73" t="s">
        <v>131</v>
      </c>
      <c r="B81" s="17">
        <v>35</v>
      </c>
      <c r="C81" s="73" t="s">
        <v>132</v>
      </c>
      <c r="D81" s="73" t="s">
        <v>133</v>
      </c>
      <c r="E81" s="79" t="s">
        <v>21</v>
      </c>
      <c r="F81" s="79" t="s">
        <v>7</v>
      </c>
      <c r="G81" s="79" t="s">
        <v>57</v>
      </c>
      <c r="H81" s="79" t="s">
        <v>143</v>
      </c>
      <c r="I81" s="79"/>
      <c r="J81" s="14" t="str">
        <f>IF(E81="Invalid_Segment","Invalid",IFERROR(INDEX(Severity_Matrix!$C$3:$M$10,MATCH('Error Log'!$F81,Severity_Matrix!$B$3:$B$10,0),MATCH('Error Log'!$G81,Severity_Matrix!$C$2:$M$2,0)),"No errors"))</f>
        <v>Critical</v>
      </c>
      <c r="K81" s="74"/>
    </row>
    <row r="82" spans="1:11">
      <c r="A82" s="73" t="s">
        <v>131</v>
      </c>
      <c r="B82" s="17">
        <v>36</v>
      </c>
      <c r="C82" s="73" t="s">
        <v>132</v>
      </c>
      <c r="D82" s="73" t="s">
        <v>133</v>
      </c>
      <c r="E82" s="79" t="s">
        <v>21</v>
      </c>
      <c r="F82" s="79" t="s">
        <v>7</v>
      </c>
      <c r="G82" s="79" t="s">
        <v>57</v>
      </c>
      <c r="H82" s="79" t="s">
        <v>144</v>
      </c>
      <c r="I82" s="79"/>
      <c r="J82" s="14" t="str">
        <f>IF(E82="Invalid_Segment","Invalid",IFERROR(INDEX(Severity_Matrix!$C$3:$M$10,MATCH('Error Log'!$F82,Severity_Matrix!$B$3:$B$10,0),MATCH('Error Log'!$G82,Severity_Matrix!$C$2:$M$2,0)),"No errors"))</f>
        <v>Critical</v>
      </c>
      <c r="K82" s="74"/>
    </row>
    <row r="83" spans="1:11">
      <c r="A83" s="73" t="s">
        <v>131</v>
      </c>
      <c r="B83" s="17">
        <v>37</v>
      </c>
      <c r="C83" s="73" t="s">
        <v>132</v>
      </c>
      <c r="D83" s="73" t="s">
        <v>133</v>
      </c>
      <c r="E83" s="79" t="s">
        <v>21</v>
      </c>
      <c r="F83" s="79" t="s">
        <v>7</v>
      </c>
      <c r="G83" s="79" t="s">
        <v>57</v>
      </c>
      <c r="H83" s="79" t="s">
        <v>145</v>
      </c>
      <c r="I83" s="79"/>
      <c r="J83" s="14" t="str">
        <f>IF(E83="Invalid_Segment","Invalid",IFERROR(INDEX(Severity_Matrix!$C$3:$M$10,MATCH('Error Log'!$F83,Severity_Matrix!$B$3:$B$10,0),MATCH('Error Log'!$G83,Severity_Matrix!$C$2:$M$2,0)),"No errors"))</f>
        <v>Critical</v>
      </c>
      <c r="K83" s="74"/>
    </row>
    <row r="84" spans="1:11">
      <c r="A84" s="73" t="s">
        <v>146</v>
      </c>
      <c r="B84" s="17">
        <v>1</v>
      </c>
      <c r="C84" s="73" t="s">
        <v>147</v>
      </c>
      <c r="D84" s="73" t="s">
        <v>148</v>
      </c>
      <c r="E84" s="79" t="s">
        <v>21</v>
      </c>
      <c r="F84" s="79" t="s">
        <v>63</v>
      </c>
      <c r="G84" s="79" t="s">
        <v>56</v>
      </c>
      <c r="H84" s="79" t="s">
        <v>149</v>
      </c>
      <c r="I84" s="79"/>
      <c r="J84" s="14" t="str">
        <f>IF(E84="Invalid_Segment","Invalid",IFERROR(INDEX(Severity_Matrix!$C$3:$M$10,MATCH('Error Log'!$F84,Severity_Matrix!$B$3:$B$10,0),MATCH('Error Log'!$G84,Severity_Matrix!$C$2:$M$2,0)),"No errors"))</f>
        <v>Critical</v>
      </c>
      <c r="K84" s="74"/>
    </row>
    <row r="85" spans="1:11">
      <c r="A85" s="73" t="s">
        <v>146</v>
      </c>
      <c r="B85" s="17">
        <v>2</v>
      </c>
      <c r="C85" s="73" t="s">
        <v>147</v>
      </c>
      <c r="D85" s="73" t="s">
        <v>148</v>
      </c>
      <c r="E85" s="79" t="s">
        <v>21</v>
      </c>
      <c r="F85" s="79" t="s">
        <v>63</v>
      </c>
      <c r="G85" s="79" t="s">
        <v>55</v>
      </c>
      <c r="H85" s="79" t="s">
        <v>149</v>
      </c>
      <c r="I85" s="79"/>
      <c r="J85" s="14" t="str">
        <f>IF(E85="Invalid_Segment","Invalid",IFERROR(INDEX(Severity_Matrix!$C$3:$M$10,MATCH('Error Log'!$F85,Severity_Matrix!$B$3:$B$10,0),MATCH('Error Log'!$G85,Severity_Matrix!$C$2:$M$2,0)),"No errors"))</f>
        <v>Critical</v>
      </c>
      <c r="K85" s="74"/>
    </row>
    <row r="86" spans="1:11">
      <c r="A86" s="73" t="s">
        <v>146</v>
      </c>
      <c r="B86" s="17">
        <v>3</v>
      </c>
      <c r="C86" s="73" t="s">
        <v>147</v>
      </c>
      <c r="D86" s="73" t="s">
        <v>148</v>
      </c>
      <c r="E86" s="79" t="s">
        <v>2</v>
      </c>
      <c r="F86" s="79" t="s">
        <v>26</v>
      </c>
      <c r="G86" s="79" t="s">
        <v>57</v>
      </c>
      <c r="H86" s="79" t="s">
        <v>150</v>
      </c>
      <c r="I86" s="79"/>
      <c r="J86" s="14" t="str">
        <f>IF(E86="Invalid_Segment","Invalid",IFERROR(INDEX(Severity_Matrix!$C$3:$M$10,MATCH('Error Log'!$F86,Severity_Matrix!$B$3:$B$10,0),MATCH('Error Log'!$G86,Severity_Matrix!$C$2:$M$2,0)),"No errors"))</f>
        <v>Major</v>
      </c>
      <c r="K86" s="74"/>
    </row>
    <row r="87" spans="1:11">
      <c r="A87" s="73" t="s">
        <v>146</v>
      </c>
      <c r="B87" s="17">
        <v>4</v>
      </c>
      <c r="C87" s="73" t="s">
        <v>147</v>
      </c>
      <c r="D87" s="73" t="s">
        <v>148</v>
      </c>
      <c r="E87" s="79" t="s">
        <v>2</v>
      </c>
      <c r="F87" s="79" t="s">
        <v>26</v>
      </c>
      <c r="G87" s="79" t="s">
        <v>57</v>
      </c>
      <c r="H87" s="79" t="s">
        <v>151</v>
      </c>
      <c r="I87" s="79"/>
      <c r="J87" s="14" t="str">
        <f>IF(E87="Invalid_Segment","Invalid",IFERROR(INDEX(Severity_Matrix!$C$3:$M$10,MATCH('Error Log'!$F87,Severity_Matrix!$B$3:$B$10,0),MATCH('Error Log'!$G87,Severity_Matrix!$C$2:$M$2,0)),"No errors"))</f>
        <v>Major</v>
      </c>
      <c r="K87" s="74"/>
    </row>
    <row r="88" spans="1:11">
      <c r="A88" s="73" t="s">
        <v>152</v>
      </c>
      <c r="B88" s="17">
        <v>5</v>
      </c>
      <c r="C88" s="73" t="s">
        <v>147</v>
      </c>
      <c r="D88" s="73" t="s">
        <v>153</v>
      </c>
      <c r="E88" s="79" t="s">
        <v>21</v>
      </c>
      <c r="F88" s="79" t="s">
        <v>7</v>
      </c>
      <c r="G88" s="79" t="s">
        <v>57</v>
      </c>
      <c r="H88" s="79" t="s">
        <v>154</v>
      </c>
      <c r="I88" s="79"/>
      <c r="J88" s="14" t="str">
        <f>IF(E88="Invalid_Segment","Invalid",IFERROR(INDEX(Severity_Matrix!$C$3:$M$10,MATCH('Error Log'!$F88,Severity_Matrix!$B$3:$B$10,0),MATCH('Error Log'!$G88,Severity_Matrix!$C$2:$M$2,0)),"No errors"))</f>
        <v>Critical</v>
      </c>
      <c r="K88" s="74"/>
    </row>
    <row r="89" spans="1:11">
      <c r="A89" s="73" t="s">
        <v>152</v>
      </c>
      <c r="B89" s="17">
        <v>6</v>
      </c>
      <c r="C89" s="73" t="s">
        <v>147</v>
      </c>
      <c r="D89" s="73" t="s">
        <v>153</v>
      </c>
      <c r="E89" s="79" t="s">
        <v>21</v>
      </c>
      <c r="F89" s="79" t="s">
        <v>7</v>
      </c>
      <c r="G89" s="79" t="s">
        <v>57</v>
      </c>
      <c r="H89" s="79" t="s">
        <v>155</v>
      </c>
      <c r="I89" s="79"/>
      <c r="J89" s="14" t="str">
        <f>IF(E89="Invalid_Segment","Invalid",IFERROR(INDEX(Severity_Matrix!$C$3:$M$10,MATCH('Error Log'!$F89,Severity_Matrix!$B$3:$B$10,0),MATCH('Error Log'!$G89,Severity_Matrix!$C$2:$M$2,0)),"No errors"))</f>
        <v>Critical</v>
      </c>
      <c r="K89" s="74"/>
    </row>
    <row r="90" spans="1:11">
      <c r="A90" s="73" t="s">
        <v>152</v>
      </c>
      <c r="B90" s="17">
        <v>7</v>
      </c>
      <c r="C90" s="73" t="s">
        <v>147</v>
      </c>
      <c r="D90" s="73" t="s">
        <v>153</v>
      </c>
      <c r="E90" s="79" t="s">
        <v>21</v>
      </c>
      <c r="F90" s="79" t="s">
        <v>7</v>
      </c>
      <c r="G90" s="79" t="s">
        <v>57</v>
      </c>
      <c r="H90" s="79" t="s">
        <v>156</v>
      </c>
      <c r="I90" s="79"/>
      <c r="J90" s="14" t="str">
        <f>IF(E90="Invalid_Segment","Invalid",IFERROR(INDEX(Severity_Matrix!$C$3:$M$10,MATCH('Error Log'!$F90,Severity_Matrix!$B$3:$B$10,0),MATCH('Error Log'!$G90,Severity_Matrix!$C$2:$M$2,0)),"No errors"))</f>
        <v>Critical</v>
      </c>
      <c r="K90" s="74"/>
    </row>
    <row r="91" spans="1:11">
      <c r="A91" s="73" t="s">
        <v>157</v>
      </c>
      <c r="B91" s="17">
        <v>1</v>
      </c>
      <c r="C91" s="73" t="s">
        <v>158</v>
      </c>
      <c r="D91" s="73" t="s">
        <v>159</v>
      </c>
      <c r="E91" s="79" t="s">
        <v>21</v>
      </c>
      <c r="F91" s="79" t="s">
        <v>63</v>
      </c>
      <c r="G91" s="79" t="s">
        <v>28</v>
      </c>
      <c r="H91" s="79" t="s">
        <v>160</v>
      </c>
      <c r="I91" s="79"/>
      <c r="J91" s="14" t="str">
        <f>IF(E91="Invalid_Segment","Invalid",IFERROR(INDEX(Severity_Matrix!$C$3:$M$10,MATCH('Error Log'!$F91,Severity_Matrix!$B$3:$B$10,0),MATCH('Error Log'!$G91,Severity_Matrix!$C$2:$M$2,0)),"No errors"))</f>
        <v>Major</v>
      </c>
      <c r="K91" s="74"/>
    </row>
    <row r="92" spans="1:11">
      <c r="A92" s="73" t="s">
        <v>157</v>
      </c>
      <c r="B92" s="17">
        <v>2</v>
      </c>
      <c r="C92" s="73" t="s">
        <v>158</v>
      </c>
      <c r="D92" s="73" t="s">
        <v>159</v>
      </c>
      <c r="E92" s="79" t="s">
        <v>21</v>
      </c>
      <c r="F92" s="79" t="s">
        <v>63</v>
      </c>
      <c r="G92" s="79" t="s">
        <v>54</v>
      </c>
      <c r="H92" s="79" t="s">
        <v>161</v>
      </c>
      <c r="I92" s="79"/>
      <c r="J92" s="14" t="str">
        <f>IF(E92="Invalid_Segment","Invalid",IFERROR(INDEX(Severity_Matrix!$C$3:$M$10,MATCH('Error Log'!$F92,Severity_Matrix!$B$3:$B$10,0),MATCH('Error Log'!$G92,Severity_Matrix!$C$2:$M$2,0)),"No errors"))</f>
        <v>Critical</v>
      </c>
      <c r="K92" s="74"/>
    </row>
    <row r="93" spans="1:11">
      <c r="A93" s="73" t="s">
        <v>162</v>
      </c>
      <c r="B93" s="17">
        <v>3</v>
      </c>
      <c r="C93" s="73" t="s">
        <v>158</v>
      </c>
      <c r="D93" s="73" t="s">
        <v>159</v>
      </c>
      <c r="E93" s="79" t="s">
        <v>21</v>
      </c>
      <c r="F93" s="79" t="s">
        <v>63</v>
      </c>
      <c r="G93" s="79" t="s">
        <v>28</v>
      </c>
      <c r="H93" s="79" t="s">
        <v>149</v>
      </c>
      <c r="I93" s="79"/>
      <c r="J93" s="14" t="str">
        <f>IF(E93="Invalid_Segment","Invalid",IFERROR(INDEX(Severity_Matrix!$C$3:$M$10,MATCH('Error Log'!$F93,Severity_Matrix!$B$3:$B$10,0),MATCH('Error Log'!$G93,Severity_Matrix!$C$2:$M$2,0)),"No errors"))</f>
        <v>Major</v>
      </c>
      <c r="K93" s="74"/>
    </row>
    <row r="94" spans="1:11">
      <c r="A94" s="73" t="s">
        <v>162</v>
      </c>
      <c r="B94" s="17">
        <v>4</v>
      </c>
      <c r="C94" s="73" t="s">
        <v>158</v>
      </c>
      <c r="D94" s="73" t="s">
        <v>159</v>
      </c>
      <c r="E94" s="79" t="s">
        <v>21</v>
      </c>
      <c r="F94" s="79" t="s">
        <v>63</v>
      </c>
      <c r="G94" s="79" t="s">
        <v>28</v>
      </c>
      <c r="H94" s="79" t="s">
        <v>160</v>
      </c>
      <c r="I94" s="79"/>
      <c r="J94" s="14" t="str">
        <f>IF(E94="Invalid_Segment","Invalid",IFERROR(INDEX(Severity_Matrix!$C$3:$M$10,MATCH('Error Log'!$F94,Severity_Matrix!$B$3:$B$10,0),MATCH('Error Log'!$G94,Severity_Matrix!$C$2:$M$2,0)),"No errors"))</f>
        <v>Major</v>
      </c>
      <c r="K94" s="74"/>
    </row>
    <row r="95" spans="1:11">
      <c r="A95" s="73" t="s">
        <v>162</v>
      </c>
      <c r="B95" s="17">
        <v>5</v>
      </c>
      <c r="C95" s="73" t="s">
        <v>158</v>
      </c>
      <c r="D95" s="73" t="s">
        <v>159</v>
      </c>
      <c r="E95" s="79" t="s">
        <v>21</v>
      </c>
      <c r="F95" s="79" t="s">
        <v>63</v>
      </c>
      <c r="G95" s="79" t="s">
        <v>54</v>
      </c>
      <c r="H95" s="79" t="s">
        <v>161</v>
      </c>
      <c r="I95" s="79"/>
      <c r="J95" s="14" t="str">
        <f>IF(E95="Invalid_Segment","Invalid",IFERROR(INDEX(Severity_Matrix!$C$3:$M$10,MATCH('Error Log'!$F95,Severity_Matrix!$B$3:$B$10,0),MATCH('Error Log'!$G95,Severity_Matrix!$C$2:$M$2,0)),"No errors"))</f>
        <v>Critical</v>
      </c>
      <c r="K95" s="74"/>
    </row>
    <row r="96" spans="1:11">
      <c r="A96" s="73" t="s">
        <v>162</v>
      </c>
      <c r="B96" s="17">
        <v>6</v>
      </c>
      <c r="C96" s="73" t="s">
        <v>158</v>
      </c>
      <c r="D96" s="73" t="s">
        <v>163</v>
      </c>
      <c r="E96" s="79" t="s">
        <v>21</v>
      </c>
      <c r="F96" s="79" t="s">
        <v>45</v>
      </c>
      <c r="G96" s="79" t="s">
        <v>56</v>
      </c>
      <c r="H96" s="79" t="s">
        <v>164</v>
      </c>
      <c r="I96" s="79"/>
      <c r="J96" s="14" t="str">
        <f>IF(E96="Invalid_Segment","Invalid",IFERROR(INDEX(Severity_Matrix!$C$3:$M$10,MATCH('Error Log'!$F96,Severity_Matrix!$B$3:$B$10,0),MATCH('Error Log'!$G96,Severity_Matrix!$C$2:$M$2,0)),"No errors"))</f>
        <v>Critical</v>
      </c>
      <c r="K96" s="74"/>
    </row>
    <row r="97" spans="1:11">
      <c r="A97" s="73" t="s">
        <v>162</v>
      </c>
      <c r="B97" s="17">
        <v>7</v>
      </c>
      <c r="C97" s="73" t="s">
        <v>158</v>
      </c>
      <c r="D97" s="73" t="s">
        <v>163</v>
      </c>
      <c r="E97" s="79" t="s">
        <v>21</v>
      </c>
      <c r="F97" s="79" t="s">
        <v>63</v>
      </c>
      <c r="G97" s="79" t="s">
        <v>29</v>
      </c>
      <c r="H97" s="79" t="s">
        <v>165</v>
      </c>
      <c r="I97" s="79"/>
      <c r="J97" s="14" t="str">
        <f>IF(E97="Invalid_Segment","Invalid",IFERROR(INDEX(Severity_Matrix!$C$3:$M$10,MATCH('Error Log'!$F97,Severity_Matrix!$B$3:$B$10,0),MATCH('Error Log'!$G97,Severity_Matrix!$C$2:$M$2,0)),"No errors"))</f>
        <v>Critical</v>
      </c>
      <c r="K97" s="74"/>
    </row>
    <row r="98" spans="1:11">
      <c r="A98" s="73" t="s">
        <v>162</v>
      </c>
      <c r="B98" s="17">
        <v>8</v>
      </c>
      <c r="C98" s="73" t="s">
        <v>158</v>
      </c>
      <c r="D98" s="73" t="s">
        <v>163</v>
      </c>
      <c r="E98" s="79" t="s">
        <v>21</v>
      </c>
      <c r="F98" s="79" t="s">
        <v>64</v>
      </c>
      <c r="G98" s="79" t="s">
        <v>29</v>
      </c>
      <c r="H98" s="79">
        <v>99</v>
      </c>
      <c r="I98" s="79"/>
      <c r="J98" s="14" t="str">
        <f>IF(E98="Invalid_Segment","Invalid",IFERROR(INDEX(Severity_Matrix!$C$3:$M$10,MATCH('Error Log'!$F98,Severity_Matrix!$B$3:$B$10,0),MATCH('Error Log'!$G98,Severity_Matrix!$C$2:$M$2,0)),"No errors"))</f>
        <v>Critical</v>
      </c>
      <c r="K98" s="74"/>
    </row>
    <row r="99" spans="1:11">
      <c r="A99" s="73" t="s">
        <v>162</v>
      </c>
      <c r="B99" s="17">
        <v>9</v>
      </c>
      <c r="C99" s="73" t="s">
        <v>158</v>
      </c>
      <c r="D99" s="73" t="s">
        <v>163</v>
      </c>
      <c r="E99" s="79" t="s">
        <v>21</v>
      </c>
      <c r="F99" s="79" t="s">
        <v>63</v>
      </c>
      <c r="G99" s="79" t="s">
        <v>28</v>
      </c>
      <c r="H99" s="79" t="s">
        <v>166</v>
      </c>
      <c r="I99" s="79"/>
      <c r="J99" s="14" t="str">
        <f>IF(E99="Invalid_Segment","Invalid",IFERROR(INDEX(Severity_Matrix!$C$3:$M$10,MATCH('Error Log'!$F99,Severity_Matrix!$B$3:$B$10,0),MATCH('Error Log'!$G99,Severity_Matrix!$C$2:$M$2,0)),"No errors"))</f>
        <v>Major</v>
      </c>
      <c r="K99" s="74"/>
    </row>
    <row r="100" spans="1:11">
      <c r="A100" s="73" t="s">
        <v>162</v>
      </c>
      <c r="B100" s="17">
        <v>10</v>
      </c>
      <c r="C100" s="73" t="s">
        <v>158</v>
      </c>
      <c r="D100" s="73" t="s">
        <v>163</v>
      </c>
      <c r="E100" s="79" t="s">
        <v>21</v>
      </c>
      <c r="F100" s="79" t="s">
        <v>63</v>
      </c>
      <c r="G100" s="79" t="s">
        <v>58</v>
      </c>
      <c r="H100" s="79" t="s">
        <v>167</v>
      </c>
      <c r="I100" s="79"/>
      <c r="J100" s="14" t="str">
        <f>IF(E100="Invalid_Segment","Invalid",IFERROR(INDEX(Severity_Matrix!$C$3:$M$10,MATCH('Error Log'!$F100,Severity_Matrix!$B$3:$B$10,0),MATCH('Error Log'!$G100,Severity_Matrix!$C$2:$M$2,0)),"No errors"))</f>
        <v>Minor</v>
      </c>
      <c r="K100" s="74"/>
    </row>
    <row r="101" spans="1:11">
      <c r="A101" s="73" t="s">
        <v>162</v>
      </c>
      <c r="B101" s="17">
        <v>11</v>
      </c>
      <c r="C101" s="73" t="s">
        <v>158</v>
      </c>
      <c r="D101" s="73" t="s">
        <v>163</v>
      </c>
      <c r="E101" s="79" t="s">
        <v>21</v>
      </c>
      <c r="F101" s="79" t="s">
        <v>63</v>
      </c>
      <c r="G101" s="79" t="s">
        <v>28</v>
      </c>
      <c r="H101" s="79" t="s">
        <v>160</v>
      </c>
      <c r="I101" s="79"/>
      <c r="J101" s="14" t="str">
        <f>IF(E101="Invalid_Segment","Invalid",IFERROR(INDEX(Severity_Matrix!$C$3:$M$10,MATCH('Error Log'!$F101,Severity_Matrix!$B$3:$B$10,0),MATCH('Error Log'!$G101,Severity_Matrix!$C$2:$M$2,0)),"No errors"))</f>
        <v>Major</v>
      </c>
      <c r="K101" s="74"/>
    </row>
    <row r="102" spans="1:11">
      <c r="A102" s="73" t="s">
        <v>162</v>
      </c>
      <c r="B102" s="17">
        <v>12</v>
      </c>
      <c r="C102" s="73" t="s">
        <v>158</v>
      </c>
      <c r="D102" s="73" t="s">
        <v>163</v>
      </c>
      <c r="E102" s="79" t="s">
        <v>21</v>
      </c>
      <c r="F102" s="79" t="s">
        <v>63</v>
      </c>
      <c r="G102" s="79" t="s">
        <v>28</v>
      </c>
      <c r="H102" s="79" t="s">
        <v>161</v>
      </c>
      <c r="I102" s="79"/>
      <c r="J102" s="14" t="str">
        <f>IF(E102="Invalid_Segment","Invalid",IFERROR(INDEX(Severity_Matrix!$C$3:$M$10,MATCH('Error Log'!$F102,Severity_Matrix!$B$3:$B$10,0),MATCH('Error Log'!$G102,Severity_Matrix!$C$2:$M$2,0)),"No errors"))</f>
        <v>Major</v>
      </c>
      <c r="K102" s="74"/>
    </row>
    <row r="103" spans="1:11">
      <c r="A103" s="73" t="s">
        <v>162</v>
      </c>
      <c r="B103" s="17">
        <v>13</v>
      </c>
      <c r="C103" s="73" t="s">
        <v>158</v>
      </c>
      <c r="D103" s="73" t="s">
        <v>163</v>
      </c>
      <c r="E103" s="79" t="s">
        <v>21</v>
      </c>
      <c r="F103" s="79" t="s">
        <v>63</v>
      </c>
      <c r="G103" s="79" t="s">
        <v>55</v>
      </c>
      <c r="H103" s="79" t="s">
        <v>168</v>
      </c>
      <c r="I103" s="79"/>
      <c r="J103" s="14" t="str">
        <f>IF(E103="Invalid_Segment","Invalid",IFERROR(INDEX(Severity_Matrix!$C$3:$M$10,MATCH('Error Log'!$F103,Severity_Matrix!$B$3:$B$10,0),MATCH('Error Log'!$G103,Severity_Matrix!$C$2:$M$2,0)),"No errors"))</f>
        <v>Critical</v>
      </c>
      <c r="K103" s="74"/>
    </row>
    <row r="104" spans="1:11">
      <c r="A104" s="73" t="s">
        <v>162</v>
      </c>
      <c r="B104" s="17">
        <v>14</v>
      </c>
      <c r="C104" s="73" t="s">
        <v>158</v>
      </c>
      <c r="D104" s="73" t="s">
        <v>169</v>
      </c>
      <c r="E104" s="79" t="s">
        <v>21</v>
      </c>
      <c r="F104" s="79" t="s">
        <v>7</v>
      </c>
      <c r="G104" s="79" t="s">
        <v>57</v>
      </c>
      <c r="H104" s="79" t="s">
        <v>170</v>
      </c>
      <c r="I104" s="79"/>
      <c r="J104" s="14" t="str">
        <f>IF(E104="Invalid_Segment","Invalid",IFERROR(INDEX(Severity_Matrix!$C$3:$M$10,MATCH('Error Log'!$F104,Severity_Matrix!$B$3:$B$10,0),MATCH('Error Log'!$G104,Severity_Matrix!$C$2:$M$2,0)),"No errors"))</f>
        <v>Critical</v>
      </c>
      <c r="K104" s="74"/>
    </row>
    <row r="105" spans="1:11">
      <c r="A105" s="73" t="s">
        <v>162</v>
      </c>
      <c r="B105" s="17">
        <v>15</v>
      </c>
      <c r="C105" s="73" t="s">
        <v>158</v>
      </c>
      <c r="D105" s="73" t="s">
        <v>163</v>
      </c>
      <c r="E105" s="79" t="s">
        <v>21</v>
      </c>
      <c r="F105" s="79" t="s">
        <v>7</v>
      </c>
      <c r="G105" s="79" t="s">
        <v>57</v>
      </c>
      <c r="H105" s="79" t="s">
        <v>171</v>
      </c>
      <c r="I105" s="79"/>
      <c r="J105" s="14" t="str">
        <f>IF(E105="Invalid_Segment","Invalid",IFERROR(INDEX(Severity_Matrix!$C$3:$M$10,MATCH('Error Log'!$F105,Severity_Matrix!$B$3:$B$10,0),MATCH('Error Log'!$G105,Severity_Matrix!$C$2:$M$2,0)),"No errors"))</f>
        <v>Critical</v>
      </c>
      <c r="K105" s="74"/>
    </row>
    <row r="106" spans="1:11">
      <c r="A106" s="73" t="s">
        <v>162</v>
      </c>
      <c r="B106" s="17">
        <v>16</v>
      </c>
      <c r="C106" s="73" t="s">
        <v>158</v>
      </c>
      <c r="D106" s="73" t="s">
        <v>163</v>
      </c>
      <c r="E106" s="79" t="s">
        <v>21</v>
      </c>
      <c r="F106" s="79" t="s">
        <v>7</v>
      </c>
      <c r="G106" s="79" t="s">
        <v>57</v>
      </c>
      <c r="H106" s="79" t="s">
        <v>172</v>
      </c>
      <c r="I106" s="79"/>
      <c r="J106" s="14" t="str">
        <f>IF(E106="Invalid_Segment","Invalid",IFERROR(INDEX(Severity_Matrix!$C$3:$M$10,MATCH('Error Log'!$F106,Severity_Matrix!$B$3:$B$10,0),MATCH('Error Log'!$G106,Severity_Matrix!$C$2:$M$2,0)),"No errors"))</f>
        <v>Critical</v>
      </c>
      <c r="K106" s="74"/>
    </row>
    <row r="107" spans="1:11">
      <c r="A107" s="73" t="s">
        <v>162</v>
      </c>
      <c r="B107" s="17">
        <v>17</v>
      </c>
      <c r="C107" s="73" t="s">
        <v>158</v>
      </c>
      <c r="D107" s="73" t="s">
        <v>163</v>
      </c>
      <c r="E107" s="79" t="s">
        <v>21</v>
      </c>
      <c r="F107" s="79" t="s">
        <v>7</v>
      </c>
      <c r="G107" s="79" t="s">
        <v>57</v>
      </c>
      <c r="H107" s="79" t="s">
        <v>173</v>
      </c>
      <c r="I107" s="79"/>
      <c r="J107" s="14" t="str">
        <f>IF(E107="Invalid_Segment","Invalid",IFERROR(INDEX(Severity_Matrix!$C$3:$M$10,MATCH('Error Log'!$F107,Severity_Matrix!$B$3:$B$10,0),MATCH('Error Log'!$G107,Severity_Matrix!$C$2:$M$2,0)),"No errors"))</f>
        <v>Critical</v>
      </c>
      <c r="K107" s="74"/>
    </row>
    <row r="108" spans="1:11">
      <c r="A108" s="73" t="s">
        <v>174</v>
      </c>
      <c r="B108" s="17">
        <v>1</v>
      </c>
      <c r="C108" s="73" t="s">
        <v>175</v>
      </c>
      <c r="D108" s="73" t="s">
        <v>176</v>
      </c>
      <c r="E108" s="79" t="s">
        <v>2</v>
      </c>
      <c r="F108" s="79" t="s">
        <v>26</v>
      </c>
      <c r="G108" s="79" t="s">
        <v>57</v>
      </c>
      <c r="H108" s="79" t="s">
        <v>177</v>
      </c>
      <c r="I108" s="79"/>
      <c r="J108" s="14" t="str">
        <f>IF(E108="Invalid_Segment","Invalid",IFERROR(INDEX(Severity_Matrix!$C$3:$M$10,MATCH('Error Log'!$F108,Severity_Matrix!$B$3:$B$10,0),MATCH('Error Log'!$G108,Severity_Matrix!$C$2:$M$2,0)),"No errors"))</f>
        <v>Major</v>
      </c>
      <c r="K108" s="74"/>
    </row>
    <row r="109" spans="1:11">
      <c r="A109" s="73" t="s">
        <v>174</v>
      </c>
      <c r="B109" s="17">
        <v>2</v>
      </c>
      <c r="C109" s="73" t="s">
        <v>175</v>
      </c>
      <c r="D109" s="73" t="s">
        <v>176</v>
      </c>
      <c r="E109" s="79" t="s">
        <v>21</v>
      </c>
      <c r="F109" s="79" t="s">
        <v>7</v>
      </c>
      <c r="G109" s="79" t="s">
        <v>57</v>
      </c>
      <c r="H109" s="79" t="s">
        <v>178</v>
      </c>
      <c r="I109" s="79"/>
      <c r="J109" s="14" t="str">
        <f>IF(E109="Invalid_Segment","Invalid",IFERROR(INDEX(Severity_Matrix!$C$3:$M$10,MATCH('Error Log'!$F109,Severity_Matrix!$B$3:$B$10,0),MATCH('Error Log'!$G109,Severity_Matrix!$C$2:$M$2,0)),"No errors"))</f>
        <v>Critical</v>
      </c>
      <c r="K109" s="74"/>
    </row>
    <row r="110" spans="1:11">
      <c r="A110" s="73" t="s">
        <v>174</v>
      </c>
      <c r="B110" s="17">
        <v>3</v>
      </c>
      <c r="C110" s="73" t="s">
        <v>175</v>
      </c>
      <c r="D110" s="73" t="s">
        <v>176</v>
      </c>
      <c r="E110" s="79" t="s">
        <v>21</v>
      </c>
      <c r="F110" s="79" t="s">
        <v>7</v>
      </c>
      <c r="G110" s="79" t="s">
        <v>57</v>
      </c>
      <c r="H110" s="79" t="s">
        <v>179</v>
      </c>
      <c r="I110" s="79"/>
      <c r="J110" s="14" t="str">
        <f>IF(E110="Invalid_Segment","Invalid",IFERROR(INDEX(Severity_Matrix!$C$3:$M$10,MATCH('Error Log'!$F110,Severity_Matrix!$B$3:$B$10,0),MATCH('Error Log'!$G110,Severity_Matrix!$C$2:$M$2,0)),"No errors"))</f>
        <v>Critical</v>
      </c>
      <c r="K110" s="74"/>
    </row>
    <row r="111" spans="1:11">
      <c r="A111" s="73" t="s">
        <v>174</v>
      </c>
      <c r="B111" s="17">
        <v>4</v>
      </c>
      <c r="C111" s="73" t="s">
        <v>175</v>
      </c>
      <c r="D111" s="73" t="s">
        <v>176</v>
      </c>
      <c r="E111" s="79" t="s">
        <v>21</v>
      </c>
      <c r="F111" s="79" t="s">
        <v>7</v>
      </c>
      <c r="G111" s="79" t="s">
        <v>57</v>
      </c>
      <c r="H111" s="79" t="s">
        <v>180</v>
      </c>
      <c r="I111" s="79"/>
      <c r="J111" s="14" t="str">
        <f>IF(E111="Invalid_Segment","Invalid",IFERROR(INDEX(Severity_Matrix!$C$3:$M$10,MATCH('Error Log'!$F111,Severity_Matrix!$B$3:$B$10,0),MATCH('Error Log'!$G111,Severity_Matrix!$C$2:$M$2,0)),"No errors"))</f>
        <v>Critical</v>
      </c>
      <c r="K111" s="74"/>
    </row>
    <row r="112" spans="1:11">
      <c r="A112" s="73" t="s">
        <v>181</v>
      </c>
      <c r="B112" s="17">
        <v>1</v>
      </c>
      <c r="C112" s="73" t="s">
        <v>182</v>
      </c>
      <c r="D112" s="73" t="s">
        <v>183</v>
      </c>
      <c r="E112" s="79" t="s">
        <v>21</v>
      </c>
      <c r="F112" s="79" t="s">
        <v>63</v>
      </c>
      <c r="G112" s="79" t="s">
        <v>54</v>
      </c>
      <c r="H112" s="79" t="s">
        <v>149</v>
      </c>
      <c r="I112" s="79"/>
      <c r="J112" s="14" t="str">
        <f>IF(E112="Invalid_Segment","Invalid",IFERROR(INDEX(Severity_Matrix!$C$3:$M$10,MATCH('Error Log'!$F112,Severity_Matrix!$B$3:$B$10,0),MATCH('Error Log'!$G112,Severity_Matrix!$C$2:$M$2,0)),"No errors"))</f>
        <v>Critical</v>
      </c>
      <c r="K112" s="74"/>
    </row>
    <row r="113" spans="1:11">
      <c r="A113" s="73" t="s">
        <v>181</v>
      </c>
      <c r="B113" s="17">
        <v>2</v>
      </c>
      <c r="C113" s="73" t="s">
        <v>182</v>
      </c>
      <c r="D113" s="73" t="s">
        <v>183</v>
      </c>
      <c r="E113" s="79" t="s">
        <v>21</v>
      </c>
      <c r="F113" s="79" t="s">
        <v>63</v>
      </c>
      <c r="G113" s="79" t="s">
        <v>55</v>
      </c>
      <c r="H113" s="79" t="s">
        <v>149</v>
      </c>
      <c r="I113" s="79"/>
      <c r="J113" s="14" t="str">
        <f>IF(E113="Invalid_Segment","Invalid",IFERROR(INDEX(Severity_Matrix!$C$3:$M$10,MATCH('Error Log'!$F113,Severity_Matrix!$B$3:$B$10,0),MATCH('Error Log'!$G113,Severity_Matrix!$C$2:$M$2,0)),"No errors"))</f>
        <v>Critical</v>
      </c>
      <c r="K113" s="74"/>
    </row>
    <row r="114" spans="1:11">
      <c r="A114" s="73" t="s">
        <v>181</v>
      </c>
      <c r="B114" s="17">
        <v>3</v>
      </c>
      <c r="C114" s="73" t="s">
        <v>182</v>
      </c>
      <c r="D114" s="73" t="s">
        <v>183</v>
      </c>
      <c r="E114" s="79" t="s">
        <v>21</v>
      </c>
      <c r="F114" s="79" t="s">
        <v>7</v>
      </c>
      <c r="G114" s="79" t="s">
        <v>57</v>
      </c>
      <c r="H114" s="79" t="s">
        <v>184</v>
      </c>
      <c r="I114" s="79"/>
      <c r="J114" s="14" t="str">
        <f>IF(E114="Invalid_Segment","Invalid",IFERROR(INDEX(Severity_Matrix!$C$3:$M$10,MATCH('Error Log'!$F114,Severity_Matrix!$B$3:$B$10,0),MATCH('Error Log'!$G114,Severity_Matrix!$C$2:$M$2,0)),"No errors"))</f>
        <v>Critical</v>
      </c>
      <c r="K114" s="74"/>
    </row>
    <row r="115" spans="1:11">
      <c r="A115" s="73" t="s">
        <v>181</v>
      </c>
      <c r="B115" s="17">
        <v>4</v>
      </c>
      <c r="C115" s="73" t="s">
        <v>182</v>
      </c>
      <c r="D115" s="73" t="s">
        <v>183</v>
      </c>
      <c r="E115" s="79" t="s">
        <v>21</v>
      </c>
      <c r="F115" s="79" t="s">
        <v>7</v>
      </c>
      <c r="G115" s="79" t="s">
        <v>57</v>
      </c>
      <c r="H115" s="79" t="s">
        <v>185</v>
      </c>
      <c r="I115" s="79"/>
      <c r="J115" s="14" t="str">
        <f>IF(E115="Invalid_Segment","Invalid",IFERROR(INDEX(Severity_Matrix!$C$3:$M$10,MATCH('Error Log'!$F115,Severity_Matrix!$B$3:$B$10,0),MATCH('Error Log'!$G115,Severity_Matrix!$C$2:$M$2,0)),"No errors"))</f>
        <v>Critical</v>
      </c>
      <c r="K115" s="74"/>
    </row>
    <row r="116" spans="1:11">
      <c r="A116" s="73" t="s">
        <v>186</v>
      </c>
      <c r="B116" s="17">
        <v>1</v>
      </c>
      <c r="C116" s="73" t="s">
        <v>187</v>
      </c>
      <c r="D116" s="73" t="s">
        <v>188</v>
      </c>
      <c r="E116" s="79" t="s">
        <v>2</v>
      </c>
      <c r="F116" s="79" t="s">
        <v>66</v>
      </c>
      <c r="G116" s="79" t="s">
        <v>54</v>
      </c>
      <c r="H116" s="79" t="s">
        <v>189</v>
      </c>
      <c r="I116" s="79"/>
      <c r="J116" s="14" t="str">
        <f>IF(E116="Invalid_Segment","Invalid",IFERROR(INDEX(Severity_Matrix!$C$3:$M$10,MATCH('Error Log'!$F116,Severity_Matrix!$B$3:$B$10,0),MATCH('Error Log'!$G116,Severity_Matrix!$C$2:$M$2,0)),"No errors"))</f>
        <v>Minor</v>
      </c>
      <c r="K116" s="74"/>
    </row>
    <row r="117" spans="1:11">
      <c r="A117" s="73" t="s">
        <v>186</v>
      </c>
      <c r="B117" s="17">
        <v>2</v>
      </c>
      <c r="C117" s="73" t="s">
        <v>187</v>
      </c>
      <c r="D117" s="73" t="s">
        <v>188</v>
      </c>
      <c r="E117" s="79" t="s">
        <v>21</v>
      </c>
      <c r="F117" s="79" t="s">
        <v>7</v>
      </c>
      <c r="G117" s="79" t="s">
        <v>28</v>
      </c>
      <c r="H117" s="79" t="s">
        <v>190</v>
      </c>
      <c r="I117" s="79"/>
      <c r="J117" s="14" t="str">
        <f>IF(E117="Invalid_Segment","Invalid",IFERROR(INDEX(Severity_Matrix!$C$3:$M$10,MATCH('Error Log'!$F117,Severity_Matrix!$B$3:$B$10,0),MATCH('Error Log'!$G117,Severity_Matrix!$C$2:$M$2,0)),"No errors"))</f>
        <v>Major</v>
      </c>
      <c r="K117" s="74"/>
    </row>
    <row r="118" spans="1:11">
      <c r="A118" s="73" t="s">
        <v>186</v>
      </c>
      <c r="B118" s="17">
        <v>3</v>
      </c>
      <c r="C118" s="73" t="s">
        <v>187</v>
      </c>
      <c r="D118" s="73" t="s">
        <v>188</v>
      </c>
      <c r="E118" s="79" t="s">
        <v>21</v>
      </c>
      <c r="F118" s="79" t="s">
        <v>63</v>
      </c>
      <c r="G118" s="79" t="s">
        <v>29</v>
      </c>
      <c r="H118" s="79" t="s">
        <v>191</v>
      </c>
      <c r="I118" s="79"/>
      <c r="J118" s="14" t="str">
        <f>IF(E118="Invalid_Segment","Invalid",IFERROR(INDEX(Severity_Matrix!$C$3:$M$10,MATCH('Error Log'!$F118,Severity_Matrix!$B$3:$B$10,0),MATCH('Error Log'!$G118,Severity_Matrix!$C$2:$M$2,0)),"No errors"))</f>
        <v>Critical</v>
      </c>
      <c r="K118" s="74"/>
    </row>
    <row r="119" spans="1:11">
      <c r="A119" s="73" t="s">
        <v>186</v>
      </c>
      <c r="B119" s="17">
        <v>4</v>
      </c>
      <c r="C119" s="73" t="s">
        <v>187</v>
      </c>
      <c r="D119" s="73" t="s">
        <v>188</v>
      </c>
      <c r="E119" s="79" t="s">
        <v>21</v>
      </c>
      <c r="F119" s="79" t="s">
        <v>64</v>
      </c>
      <c r="G119" s="79" t="s">
        <v>54</v>
      </c>
      <c r="H119" s="79" t="s">
        <v>192</v>
      </c>
      <c r="I119" s="79"/>
      <c r="J119" s="14" t="str">
        <f>IF(E119="Invalid_Segment","Invalid",IFERROR(INDEX(Severity_Matrix!$C$3:$M$10,MATCH('Error Log'!$F119,Severity_Matrix!$B$3:$B$10,0),MATCH('Error Log'!$G119,Severity_Matrix!$C$2:$M$2,0)),"No errors"))</f>
        <v>Critical</v>
      </c>
      <c r="K119" s="74"/>
    </row>
    <row r="120" spans="1:11">
      <c r="A120" s="73" t="s">
        <v>186</v>
      </c>
      <c r="B120" s="17">
        <v>5</v>
      </c>
      <c r="C120" s="73" t="s">
        <v>187</v>
      </c>
      <c r="D120" s="73" t="s">
        <v>188</v>
      </c>
      <c r="E120" s="79" t="s">
        <v>21</v>
      </c>
      <c r="F120" s="79" t="s">
        <v>63</v>
      </c>
      <c r="G120" s="79" t="s">
        <v>56</v>
      </c>
      <c r="H120" s="79" t="s">
        <v>193</v>
      </c>
      <c r="I120" s="79"/>
      <c r="J120" s="14" t="str">
        <f>IF(E120="Invalid_Segment","Invalid",IFERROR(INDEX(Severity_Matrix!$C$3:$M$10,MATCH('Error Log'!$F120,Severity_Matrix!$B$3:$B$10,0),MATCH('Error Log'!$G120,Severity_Matrix!$C$2:$M$2,0)),"No errors"))</f>
        <v>Critical</v>
      </c>
      <c r="K120" s="74"/>
    </row>
    <row r="121" spans="1:11">
      <c r="A121" s="73" t="s">
        <v>186</v>
      </c>
      <c r="B121" s="17">
        <v>6</v>
      </c>
      <c r="C121" s="73" t="s">
        <v>187</v>
      </c>
      <c r="D121" s="73" t="s">
        <v>188</v>
      </c>
      <c r="E121" s="79" t="s">
        <v>21</v>
      </c>
      <c r="F121" s="79" t="s">
        <v>63</v>
      </c>
      <c r="G121" s="79" t="s">
        <v>28</v>
      </c>
      <c r="H121" s="79" t="s">
        <v>194</v>
      </c>
      <c r="I121" s="79"/>
      <c r="J121" s="14" t="str">
        <f>IF(E121="Invalid_Segment","Invalid",IFERROR(INDEX(Severity_Matrix!$C$3:$M$10,MATCH('Error Log'!$F121,Severity_Matrix!$B$3:$B$10,0),MATCH('Error Log'!$G121,Severity_Matrix!$C$2:$M$2,0)),"No errors"))</f>
        <v>Major</v>
      </c>
      <c r="K121" s="74"/>
    </row>
    <row r="122" spans="1:11">
      <c r="A122" s="73" t="s">
        <v>195</v>
      </c>
      <c r="B122" s="17">
        <v>7</v>
      </c>
      <c r="C122" s="73" t="s">
        <v>187</v>
      </c>
      <c r="D122" s="73" t="s">
        <v>196</v>
      </c>
      <c r="E122" s="79" t="s">
        <v>21</v>
      </c>
      <c r="F122" s="79" t="s">
        <v>63</v>
      </c>
      <c r="G122" s="79" t="s">
        <v>28</v>
      </c>
      <c r="H122" s="79" t="s">
        <v>197</v>
      </c>
      <c r="I122" s="79"/>
      <c r="J122" s="14" t="str">
        <f>IF(E122="Invalid_Segment","Invalid",IFERROR(INDEX(Severity_Matrix!$C$3:$M$10,MATCH('Error Log'!$F122,Severity_Matrix!$B$3:$B$10,0),MATCH('Error Log'!$G122,Severity_Matrix!$C$2:$M$2,0)),"No errors"))</f>
        <v>Major</v>
      </c>
      <c r="K122" s="74"/>
    </row>
    <row r="123" spans="1:11">
      <c r="A123" s="73" t="s">
        <v>195</v>
      </c>
      <c r="B123" s="17">
        <v>8</v>
      </c>
      <c r="C123" s="73" t="s">
        <v>187</v>
      </c>
      <c r="D123" s="73" t="s">
        <v>198</v>
      </c>
      <c r="E123" s="79" t="s">
        <v>21</v>
      </c>
      <c r="F123" s="79" t="s">
        <v>63</v>
      </c>
      <c r="G123" s="79" t="s">
        <v>55</v>
      </c>
      <c r="H123" s="79" t="s">
        <v>199</v>
      </c>
      <c r="I123" s="79"/>
      <c r="J123" s="14" t="str">
        <f>IF(E123="Invalid_Segment","Invalid",IFERROR(INDEX(Severity_Matrix!$C$3:$M$10,MATCH('Error Log'!$F123,Severity_Matrix!$B$3:$B$10,0),MATCH('Error Log'!$G123,Severity_Matrix!$C$2:$M$2,0)),"No errors"))</f>
        <v>Critical</v>
      </c>
      <c r="K123" s="74"/>
    </row>
    <row r="124" spans="1:11">
      <c r="A124" s="73" t="s">
        <v>195</v>
      </c>
      <c r="B124" s="17">
        <v>9</v>
      </c>
      <c r="C124" s="73" t="s">
        <v>187</v>
      </c>
      <c r="D124" s="73" t="s">
        <v>200</v>
      </c>
      <c r="E124" s="79" t="s">
        <v>21</v>
      </c>
      <c r="F124" s="79" t="s">
        <v>63</v>
      </c>
      <c r="G124" s="79" t="s">
        <v>58</v>
      </c>
      <c r="H124" s="79" t="s">
        <v>201</v>
      </c>
      <c r="I124" s="79"/>
      <c r="J124" s="14" t="str">
        <f>IF(E124="Invalid_Segment","Invalid",IFERROR(INDEX(Severity_Matrix!$C$3:$M$10,MATCH('Error Log'!$F124,Severity_Matrix!$B$3:$B$10,0),MATCH('Error Log'!$G124,Severity_Matrix!$C$2:$M$2,0)),"No errors"))</f>
        <v>Minor</v>
      </c>
      <c r="K124" s="74"/>
    </row>
    <row r="125" spans="1:11">
      <c r="A125" s="73" t="s">
        <v>195</v>
      </c>
      <c r="B125" s="17">
        <v>10</v>
      </c>
      <c r="C125" s="73" t="s">
        <v>187</v>
      </c>
      <c r="D125" s="73" t="s">
        <v>202</v>
      </c>
      <c r="E125" s="79" t="s">
        <v>21</v>
      </c>
      <c r="F125" s="79" t="s">
        <v>63</v>
      </c>
      <c r="G125" s="79" t="s">
        <v>58</v>
      </c>
      <c r="H125" s="79" t="s">
        <v>203</v>
      </c>
      <c r="I125" s="79"/>
      <c r="J125" s="14" t="str">
        <f>IF(E125="Invalid_Segment","Invalid",IFERROR(INDEX(Severity_Matrix!$C$3:$M$10,MATCH('Error Log'!$F125,Severity_Matrix!$B$3:$B$10,0),MATCH('Error Log'!$G125,Severity_Matrix!$C$2:$M$2,0)),"No errors"))</f>
        <v>Minor</v>
      </c>
      <c r="K125" s="74"/>
    </row>
    <row r="126" spans="1:11">
      <c r="A126" s="73" t="s">
        <v>195</v>
      </c>
      <c r="B126" s="17">
        <v>11</v>
      </c>
      <c r="C126" s="73" t="s">
        <v>187</v>
      </c>
      <c r="D126" s="73" t="s">
        <v>204</v>
      </c>
      <c r="E126" s="79" t="s">
        <v>21</v>
      </c>
      <c r="F126" s="79" t="s">
        <v>64</v>
      </c>
      <c r="G126" s="79" t="s">
        <v>55</v>
      </c>
      <c r="H126" s="79" t="s">
        <v>205</v>
      </c>
      <c r="I126" s="79"/>
      <c r="J126" s="14" t="str">
        <f>IF(E126="Invalid_Segment","Invalid",IFERROR(INDEX(Severity_Matrix!$C$3:$M$10,MATCH('Error Log'!$F126,Severity_Matrix!$B$3:$B$10,0),MATCH('Error Log'!$G126,Severity_Matrix!$C$2:$M$2,0)),"No errors"))</f>
        <v>Critical</v>
      </c>
      <c r="K126" s="74"/>
    </row>
    <row r="127" spans="1:11">
      <c r="A127" s="73" t="s">
        <v>195</v>
      </c>
      <c r="B127" s="17">
        <v>12</v>
      </c>
      <c r="C127" s="73" t="s">
        <v>187</v>
      </c>
      <c r="D127" s="73" t="s">
        <v>206</v>
      </c>
      <c r="E127" s="79" t="s">
        <v>21</v>
      </c>
      <c r="F127" s="79" t="s">
        <v>63</v>
      </c>
      <c r="G127" s="79" t="s">
        <v>58</v>
      </c>
      <c r="H127" s="79" t="s">
        <v>207</v>
      </c>
      <c r="I127" s="79"/>
      <c r="J127" s="14" t="str">
        <f>IF(E127="Invalid_Segment","Invalid",IFERROR(INDEX(Severity_Matrix!$C$3:$M$10,MATCH('Error Log'!$F127,Severity_Matrix!$B$3:$B$10,0),MATCH('Error Log'!$G127,Severity_Matrix!$C$2:$M$2,0)),"No errors"))</f>
        <v>Minor</v>
      </c>
      <c r="K127" s="74"/>
    </row>
    <row r="128" spans="1:11">
      <c r="A128" s="73" t="s">
        <v>195</v>
      </c>
      <c r="B128" s="17">
        <v>13</v>
      </c>
      <c r="C128" s="73" t="s">
        <v>187</v>
      </c>
      <c r="D128" s="73" t="s">
        <v>208</v>
      </c>
      <c r="E128" s="79" t="s">
        <v>21</v>
      </c>
      <c r="F128" s="79" t="s">
        <v>63</v>
      </c>
      <c r="G128" s="79" t="s">
        <v>58</v>
      </c>
      <c r="H128" s="79" t="s">
        <v>203</v>
      </c>
      <c r="I128" s="79"/>
      <c r="J128" s="14" t="str">
        <f>IF(E128="Invalid_Segment","Invalid",IFERROR(INDEX(Severity_Matrix!$C$3:$M$10,MATCH('Error Log'!$F128,Severity_Matrix!$B$3:$B$10,0),MATCH('Error Log'!$G128,Severity_Matrix!$C$2:$M$2,0)),"No errors"))</f>
        <v>Minor</v>
      </c>
      <c r="K128" s="74"/>
    </row>
    <row r="129" spans="1:10">
      <c r="A129" s="73" t="s">
        <v>195</v>
      </c>
      <c r="B129" s="17">
        <v>14</v>
      </c>
      <c r="C129" s="73" t="s">
        <v>187</v>
      </c>
      <c r="D129" s="73" t="s">
        <v>209</v>
      </c>
      <c r="E129" s="79" t="s">
        <v>21</v>
      </c>
      <c r="F129" s="79" t="s">
        <v>63</v>
      </c>
      <c r="G129" s="79" t="s">
        <v>27</v>
      </c>
      <c r="H129" s="79" t="s">
        <v>210</v>
      </c>
      <c r="I129" s="79"/>
      <c r="J129" s="14" t="str">
        <f>IF(E129="Invalid_Segment","Invalid",IFERROR(INDEX(Severity_Matrix!$C$3:$M$10,MATCH('Error Log'!$F129,Severity_Matrix!$B$3:$B$10,0),MATCH('Error Log'!$G129,Severity_Matrix!$C$2:$M$2,0)),"No errors"))</f>
        <v>Critical</v>
      </c>
    </row>
    <row r="130" spans="1:10">
      <c r="A130" s="73" t="s">
        <v>195</v>
      </c>
      <c r="B130" s="17">
        <v>15</v>
      </c>
      <c r="C130" s="73" t="s">
        <v>187</v>
      </c>
      <c r="D130" s="73" t="s">
        <v>209</v>
      </c>
      <c r="E130" s="79" t="s">
        <v>21</v>
      </c>
      <c r="F130" s="79" t="s">
        <v>64</v>
      </c>
      <c r="G130" s="79" t="s">
        <v>54</v>
      </c>
      <c r="H130" s="79" t="s">
        <v>211</v>
      </c>
      <c r="I130" s="79"/>
      <c r="J130" s="14" t="str">
        <f>IF(E130="Invalid_Segment","Invalid",IFERROR(INDEX(Severity_Matrix!$C$3:$M$10,MATCH('Error Log'!$F130,Severity_Matrix!$B$3:$B$10,0),MATCH('Error Log'!$G130,Severity_Matrix!$C$2:$M$2,0)),"No errors"))</f>
        <v>Critical</v>
      </c>
    </row>
    <row r="131" spans="1:10">
      <c r="A131" s="73" t="s">
        <v>195</v>
      </c>
      <c r="B131" s="17">
        <v>16</v>
      </c>
      <c r="C131" s="73" t="s">
        <v>187</v>
      </c>
      <c r="D131" s="73" t="s">
        <v>209</v>
      </c>
      <c r="E131" s="79" t="s">
        <v>21</v>
      </c>
      <c r="F131" s="79" t="s">
        <v>63</v>
      </c>
      <c r="G131" s="79" t="s">
        <v>56</v>
      </c>
      <c r="H131" s="79" t="s">
        <v>193</v>
      </c>
      <c r="I131" s="79"/>
      <c r="J131" s="14" t="str">
        <f>IF(E131="Invalid_Segment","Invalid",IFERROR(INDEX(Severity_Matrix!$C$3:$M$10,MATCH('Error Log'!$F131,Severity_Matrix!$B$3:$B$10,0),MATCH('Error Log'!$G131,Severity_Matrix!$C$2:$M$2,0)),"No errors"))</f>
        <v>Critical</v>
      </c>
    </row>
    <row r="132" spans="1:10">
      <c r="A132" s="73" t="s">
        <v>195</v>
      </c>
      <c r="B132" s="17">
        <v>17</v>
      </c>
      <c r="C132" s="73" t="s">
        <v>187</v>
      </c>
      <c r="D132" s="73" t="s">
        <v>209</v>
      </c>
      <c r="E132" s="79" t="s">
        <v>21</v>
      </c>
      <c r="F132" s="79" t="s">
        <v>63</v>
      </c>
      <c r="G132" s="79" t="s">
        <v>28</v>
      </c>
      <c r="H132" s="79" t="s">
        <v>194</v>
      </c>
      <c r="I132" s="79"/>
      <c r="J132" s="14" t="str">
        <f>IF(E132="Invalid_Segment","Invalid",IFERROR(INDEX(Severity_Matrix!$C$3:$M$10,MATCH('Error Log'!$F132,Severity_Matrix!$B$3:$B$10,0),MATCH('Error Log'!$G132,Severity_Matrix!$C$2:$M$2,0)),"No errors"))</f>
        <v>Major</v>
      </c>
    </row>
    <row r="133" spans="1:10">
      <c r="A133" s="73" t="s">
        <v>195</v>
      </c>
      <c r="B133" s="17">
        <v>18</v>
      </c>
      <c r="C133" s="73" t="s">
        <v>187</v>
      </c>
      <c r="D133" s="73" t="s">
        <v>209</v>
      </c>
      <c r="E133" s="79" t="s">
        <v>21</v>
      </c>
      <c r="F133" s="79" t="s">
        <v>63</v>
      </c>
      <c r="G133" s="79" t="s">
        <v>28</v>
      </c>
      <c r="H133" s="79" t="s">
        <v>197</v>
      </c>
      <c r="I133" s="79"/>
      <c r="J133" s="14" t="str">
        <f>IF(E133="Invalid_Segment","Invalid",IFERROR(INDEX(Severity_Matrix!$C$3:$M$10,MATCH('Error Log'!$F133,Severity_Matrix!$B$3:$B$10,0),MATCH('Error Log'!$G133,Severity_Matrix!$C$2:$M$2,0)),"No errors"))</f>
        <v>Major</v>
      </c>
    </row>
    <row r="134" spans="1:10">
      <c r="A134" s="73" t="s">
        <v>195</v>
      </c>
      <c r="B134" s="17">
        <v>19</v>
      </c>
      <c r="C134" s="73" t="s">
        <v>187</v>
      </c>
      <c r="D134" s="73" t="s">
        <v>209</v>
      </c>
      <c r="E134" s="79" t="s">
        <v>21</v>
      </c>
      <c r="F134" s="79" t="s">
        <v>63</v>
      </c>
      <c r="G134" s="79" t="s">
        <v>55</v>
      </c>
      <c r="H134" s="79" t="s">
        <v>199</v>
      </c>
      <c r="I134" s="79"/>
      <c r="J134" s="14" t="str">
        <f>IF(E134="Invalid_Segment","Invalid",IFERROR(INDEX(Severity_Matrix!$C$3:$M$10,MATCH('Error Log'!$F134,Severity_Matrix!$B$3:$B$10,0),MATCH('Error Log'!$G134,Severity_Matrix!$C$2:$M$2,0)),"No errors"))</f>
        <v>Critical</v>
      </c>
    </row>
    <row r="135" spans="1:10">
      <c r="A135" s="73" t="s">
        <v>195</v>
      </c>
      <c r="B135" s="17">
        <v>20</v>
      </c>
      <c r="C135" s="73" t="s">
        <v>187</v>
      </c>
      <c r="D135" s="73" t="s">
        <v>209</v>
      </c>
      <c r="E135" s="79" t="s">
        <v>21</v>
      </c>
      <c r="F135" s="79" t="s">
        <v>63</v>
      </c>
      <c r="G135" s="79" t="s">
        <v>56</v>
      </c>
      <c r="H135" s="79" t="s">
        <v>212</v>
      </c>
      <c r="I135" s="79"/>
      <c r="J135" s="14" t="str">
        <f>IF(E135="Invalid_Segment","Invalid",IFERROR(INDEX(Severity_Matrix!$C$3:$M$10,MATCH('Error Log'!$F135,Severity_Matrix!$B$3:$B$10,0),MATCH('Error Log'!$G135,Severity_Matrix!$C$2:$M$2,0)),"No errors"))</f>
        <v>Critical</v>
      </c>
    </row>
    <row r="136" spans="1:10">
      <c r="A136" s="73" t="s">
        <v>195</v>
      </c>
      <c r="B136" s="17">
        <v>21</v>
      </c>
      <c r="C136" s="73" t="s">
        <v>187</v>
      </c>
      <c r="D136" s="73" t="s">
        <v>209</v>
      </c>
      <c r="E136" s="79" t="s">
        <v>21</v>
      </c>
      <c r="F136" s="79" t="s">
        <v>63</v>
      </c>
      <c r="G136" s="79" t="s">
        <v>27</v>
      </c>
      <c r="H136" s="79" t="s">
        <v>213</v>
      </c>
      <c r="I136" s="79"/>
      <c r="J136" s="14" t="str">
        <f>IF(E136="Invalid_Segment","Invalid",IFERROR(INDEX(Severity_Matrix!$C$3:$M$10,MATCH('Error Log'!$F136,Severity_Matrix!$B$3:$B$10,0),MATCH('Error Log'!$G136,Severity_Matrix!$C$2:$M$2,0)),"No errors"))</f>
        <v>Critical</v>
      </c>
    </row>
    <row r="137" spans="1:10">
      <c r="A137" s="73" t="s">
        <v>195</v>
      </c>
      <c r="B137" s="17">
        <v>22</v>
      </c>
      <c r="C137" s="73" t="s">
        <v>187</v>
      </c>
      <c r="D137" s="73" t="s">
        <v>209</v>
      </c>
      <c r="E137" s="79" t="s">
        <v>21</v>
      </c>
      <c r="F137" s="79" t="s">
        <v>63</v>
      </c>
      <c r="G137" s="79" t="s">
        <v>58</v>
      </c>
      <c r="H137" s="79" t="s">
        <v>207</v>
      </c>
      <c r="I137" s="79"/>
      <c r="J137" s="14" t="str">
        <f>IF(E137="Invalid_Segment","Invalid",IFERROR(INDEX(Severity_Matrix!$C$3:$M$10,MATCH('Error Log'!$F137,Severity_Matrix!$B$3:$B$10,0),MATCH('Error Log'!$G137,Severity_Matrix!$C$2:$M$2,0)),"No errors"))</f>
        <v>Minor</v>
      </c>
    </row>
    <row r="138" spans="1:10">
      <c r="A138" s="73" t="s">
        <v>195</v>
      </c>
      <c r="B138" s="17">
        <v>23</v>
      </c>
      <c r="C138" s="73" t="s">
        <v>187</v>
      </c>
      <c r="D138" s="73" t="s">
        <v>209</v>
      </c>
      <c r="E138" s="79" t="s">
        <v>21</v>
      </c>
      <c r="F138" s="79" t="s">
        <v>63</v>
      </c>
      <c r="G138" s="79" t="s">
        <v>58</v>
      </c>
      <c r="H138" s="79" t="s">
        <v>203</v>
      </c>
      <c r="I138" s="79"/>
      <c r="J138" s="14" t="str">
        <f>IF(E138="Invalid_Segment","Invalid",IFERROR(INDEX(Severity_Matrix!$C$3:$M$10,MATCH('Error Log'!$F138,Severity_Matrix!$B$3:$B$10,0),MATCH('Error Log'!$G138,Severity_Matrix!$C$2:$M$2,0)),"No errors"))</f>
        <v>Minor</v>
      </c>
    </row>
    <row r="139" spans="1:10">
      <c r="A139" s="73" t="s">
        <v>195</v>
      </c>
      <c r="B139" s="17">
        <v>24</v>
      </c>
      <c r="C139" s="73" t="s">
        <v>187</v>
      </c>
      <c r="D139" s="73" t="s">
        <v>209</v>
      </c>
      <c r="E139" s="79" t="s">
        <v>21</v>
      </c>
      <c r="F139" s="79" t="s">
        <v>63</v>
      </c>
      <c r="G139" s="79" t="s">
        <v>27</v>
      </c>
      <c r="H139" s="79" t="s">
        <v>210</v>
      </c>
      <c r="I139" s="79"/>
      <c r="J139" s="14" t="str">
        <f>IF(E139="Invalid_Segment","Invalid",IFERROR(INDEX(Severity_Matrix!$C$3:$M$10,MATCH('Error Log'!$F139,Severity_Matrix!$B$3:$B$10,0),MATCH('Error Log'!$G139,Severity_Matrix!$C$2:$M$2,0)),"No errors"))</f>
        <v>Critical</v>
      </c>
    </row>
    <row r="140" spans="1:10">
      <c r="A140" s="73" t="s">
        <v>195</v>
      </c>
      <c r="B140" s="17">
        <v>25</v>
      </c>
      <c r="C140" s="73" t="s">
        <v>187</v>
      </c>
      <c r="D140" s="73" t="s">
        <v>209</v>
      </c>
      <c r="E140" s="79" t="s">
        <v>21</v>
      </c>
      <c r="F140" s="79" t="s">
        <v>7</v>
      </c>
      <c r="G140" s="79" t="s">
        <v>57</v>
      </c>
      <c r="H140" s="79" t="s">
        <v>214</v>
      </c>
      <c r="I140" s="79"/>
      <c r="J140" s="14" t="str">
        <f>IF(E140="Invalid_Segment","Invalid",IFERROR(INDEX(Severity_Matrix!$C$3:$M$10,MATCH('Error Log'!$F140,Severity_Matrix!$B$3:$B$10,0),MATCH('Error Log'!$G140,Severity_Matrix!$C$2:$M$2,0)),"No errors"))</f>
        <v>Critical</v>
      </c>
    </row>
    <row r="141" spans="1:10">
      <c r="A141" s="73" t="s">
        <v>195</v>
      </c>
      <c r="B141" s="17">
        <v>26</v>
      </c>
      <c r="C141" s="73" t="s">
        <v>187</v>
      </c>
      <c r="D141" s="73" t="s">
        <v>209</v>
      </c>
      <c r="E141" s="79" t="s">
        <v>21</v>
      </c>
      <c r="F141" s="79" t="s">
        <v>7</v>
      </c>
      <c r="G141" s="79" t="s">
        <v>57</v>
      </c>
      <c r="H141" s="79" t="s">
        <v>215</v>
      </c>
      <c r="I141" s="79"/>
      <c r="J141" s="14" t="str">
        <f>IF(E141="Invalid_Segment","Invalid",IFERROR(INDEX(Severity_Matrix!$C$3:$M$10,MATCH('Error Log'!$F141,Severity_Matrix!$B$3:$B$10,0),MATCH('Error Log'!$G141,Severity_Matrix!$C$2:$M$2,0)),"No errors"))</f>
        <v>Critical</v>
      </c>
    </row>
    <row r="142" spans="1:10">
      <c r="A142" s="73" t="s">
        <v>195</v>
      </c>
      <c r="B142" s="17">
        <v>27</v>
      </c>
      <c r="C142" s="73" t="s">
        <v>187</v>
      </c>
      <c r="D142" s="73" t="s">
        <v>209</v>
      </c>
      <c r="E142" s="79" t="s">
        <v>21</v>
      </c>
      <c r="F142" s="79" t="s">
        <v>7</v>
      </c>
      <c r="G142" s="79" t="s">
        <v>57</v>
      </c>
      <c r="H142" s="79" t="s">
        <v>216</v>
      </c>
      <c r="I142" s="79"/>
      <c r="J142" s="14" t="str">
        <f>IF(E142="Invalid_Segment","Invalid",IFERROR(INDEX(Severity_Matrix!$C$3:$M$10,MATCH('Error Log'!$F142,Severity_Matrix!$B$3:$B$10,0),MATCH('Error Log'!$G142,Severity_Matrix!$C$2:$M$2,0)),"No errors"))</f>
        <v>Critical</v>
      </c>
    </row>
    <row r="143" spans="1:10">
      <c r="A143" s="73" t="s">
        <v>217</v>
      </c>
      <c r="B143" s="17">
        <v>1</v>
      </c>
      <c r="C143" s="73" t="s">
        <v>218</v>
      </c>
      <c r="D143" s="73" t="s">
        <v>219</v>
      </c>
      <c r="E143" s="79" t="s">
        <v>21</v>
      </c>
      <c r="F143" s="79" t="s">
        <v>22</v>
      </c>
      <c r="G143" s="79" t="s">
        <v>57</v>
      </c>
      <c r="H143" s="79" t="s">
        <v>220</v>
      </c>
      <c r="I143" s="79"/>
      <c r="J143" s="14" t="str">
        <f>IF(E143="Invalid_Segment","Invalid",IFERROR(INDEX(Severity_Matrix!$C$3:$M$10,MATCH('Error Log'!$F143,Severity_Matrix!$B$3:$B$10,0),MATCH('Error Log'!$G143,Severity_Matrix!$C$2:$M$2,0)),"No errors"))</f>
        <v>Major</v>
      </c>
    </row>
    <row r="144" spans="1:10">
      <c r="A144" s="73" t="s">
        <v>217</v>
      </c>
      <c r="B144" s="17">
        <v>2</v>
      </c>
      <c r="C144" s="73" t="s">
        <v>218</v>
      </c>
      <c r="D144" s="73" t="s">
        <v>219</v>
      </c>
      <c r="E144" s="79" t="s">
        <v>2</v>
      </c>
      <c r="F144" s="79" t="s">
        <v>26</v>
      </c>
      <c r="G144" s="79" t="s">
        <v>57</v>
      </c>
      <c r="H144" s="79" t="s">
        <v>221</v>
      </c>
      <c r="I144" s="79"/>
      <c r="J144" s="14" t="str">
        <f>IF(E144="Invalid_Segment","Invalid",IFERROR(INDEX(Severity_Matrix!$C$3:$M$10,MATCH('Error Log'!$F144,Severity_Matrix!$B$3:$B$10,0),MATCH('Error Log'!$G144,Severity_Matrix!$C$2:$M$2,0)),"No errors"))</f>
        <v>Major</v>
      </c>
    </row>
    <row r="145" spans="1:10">
      <c r="A145" s="73" t="s">
        <v>217</v>
      </c>
      <c r="B145" s="17">
        <v>3</v>
      </c>
      <c r="C145" s="73" t="s">
        <v>218</v>
      </c>
      <c r="D145" s="73" t="s">
        <v>219</v>
      </c>
      <c r="E145" s="79" t="s">
        <v>21</v>
      </c>
      <c r="F145" s="79" t="s">
        <v>64</v>
      </c>
      <c r="G145" s="79" t="s">
        <v>55</v>
      </c>
      <c r="H145" s="79" t="s">
        <v>222</v>
      </c>
      <c r="I145" s="79"/>
      <c r="J145" s="14" t="str">
        <f>IF(E145="Invalid_Segment","Invalid",IFERROR(INDEX(Severity_Matrix!$C$3:$M$10,MATCH('Error Log'!$F145,Severity_Matrix!$B$3:$B$10,0),MATCH('Error Log'!$G145,Severity_Matrix!$C$2:$M$2,0)),"No errors"))</f>
        <v>Critical</v>
      </c>
    </row>
    <row r="146" spans="1:10">
      <c r="A146" s="73" t="s">
        <v>217</v>
      </c>
      <c r="B146" s="17">
        <v>4</v>
      </c>
      <c r="C146" s="73" t="s">
        <v>218</v>
      </c>
      <c r="D146" s="73" t="s">
        <v>219</v>
      </c>
      <c r="E146" s="79" t="s">
        <v>21</v>
      </c>
      <c r="F146" s="79" t="s">
        <v>22</v>
      </c>
      <c r="G146" s="79" t="s">
        <v>57</v>
      </c>
      <c r="H146" s="79" t="s">
        <v>223</v>
      </c>
      <c r="I146" s="79"/>
      <c r="J146" s="14" t="str">
        <f>IF(E146="Invalid_Segment","Invalid",IFERROR(INDEX(Severity_Matrix!$C$3:$M$10,MATCH('Error Log'!$F146,Severity_Matrix!$B$3:$B$10,0),MATCH('Error Log'!$G146,Severity_Matrix!$C$2:$M$2,0)),"No errors"))</f>
        <v>Major</v>
      </c>
    </row>
    <row r="147" spans="1:10">
      <c r="A147" s="73" t="s">
        <v>224</v>
      </c>
      <c r="B147" s="17">
        <v>5</v>
      </c>
      <c r="C147" s="73" t="s">
        <v>218</v>
      </c>
      <c r="D147" s="73" t="s">
        <v>219</v>
      </c>
      <c r="E147" s="79" t="s">
        <v>21</v>
      </c>
      <c r="F147" s="79" t="s">
        <v>7</v>
      </c>
      <c r="G147" s="79" t="s">
        <v>57</v>
      </c>
      <c r="H147" s="79" t="s">
        <v>225</v>
      </c>
      <c r="I147" s="79"/>
      <c r="J147" s="14" t="str">
        <f>IF(E147="Invalid_Segment","Invalid",IFERROR(INDEX(Severity_Matrix!$C$3:$M$10,MATCH('Error Log'!$F147,Severity_Matrix!$B$3:$B$10,0),MATCH('Error Log'!$G147,Severity_Matrix!$C$2:$M$2,0)),"No errors"))</f>
        <v>Critical</v>
      </c>
    </row>
    <row r="148" spans="1:10">
      <c r="A148" s="73" t="s">
        <v>224</v>
      </c>
      <c r="B148" s="17">
        <v>6</v>
      </c>
      <c r="C148" s="73" t="s">
        <v>218</v>
      </c>
      <c r="D148" s="73" t="s">
        <v>219</v>
      </c>
      <c r="E148" s="79" t="s">
        <v>21</v>
      </c>
      <c r="F148" s="79" t="s">
        <v>7</v>
      </c>
      <c r="G148" s="79" t="s">
        <v>57</v>
      </c>
      <c r="H148" s="79" t="s">
        <v>226</v>
      </c>
      <c r="I148" s="79"/>
      <c r="J148" s="14" t="str">
        <f>IF(E148="Invalid_Segment","Invalid",IFERROR(INDEX(Severity_Matrix!$C$3:$M$10,MATCH('Error Log'!$F148,Severity_Matrix!$B$3:$B$10,0),MATCH('Error Log'!$G148,Severity_Matrix!$C$2:$M$2,0)),"No errors"))</f>
        <v>Critical</v>
      </c>
    </row>
    <row r="149" spans="1:10">
      <c r="A149" s="73" t="s">
        <v>224</v>
      </c>
      <c r="B149" s="17">
        <v>7</v>
      </c>
      <c r="C149" s="73" t="s">
        <v>218</v>
      </c>
      <c r="D149" s="73" t="s">
        <v>219</v>
      </c>
      <c r="E149" s="79" t="s">
        <v>21</v>
      </c>
      <c r="F149" s="79" t="s">
        <v>7</v>
      </c>
      <c r="G149" s="79" t="s">
        <v>57</v>
      </c>
      <c r="H149" s="79" t="s">
        <v>227</v>
      </c>
      <c r="I149" s="79"/>
      <c r="J149" s="14" t="str">
        <f>IF(E149="Invalid_Segment","Invalid",IFERROR(INDEX(Severity_Matrix!$C$3:$M$10,MATCH('Error Log'!$F149,Severity_Matrix!$B$3:$B$10,0),MATCH('Error Log'!$G149,Severity_Matrix!$C$2:$M$2,0)),"No errors"))</f>
        <v>Critical</v>
      </c>
    </row>
    <row r="150" spans="1:10">
      <c r="A150" s="73" t="s">
        <v>224</v>
      </c>
      <c r="B150" s="17">
        <v>8</v>
      </c>
      <c r="C150" s="73" t="s">
        <v>218</v>
      </c>
      <c r="D150" s="73" t="s">
        <v>219</v>
      </c>
      <c r="E150" s="79" t="s">
        <v>21</v>
      </c>
      <c r="F150" s="79" t="s">
        <v>7</v>
      </c>
      <c r="G150" s="79" t="s">
        <v>57</v>
      </c>
      <c r="H150" s="79" t="s">
        <v>228</v>
      </c>
      <c r="I150" s="79"/>
      <c r="J150" s="14" t="str">
        <f>IF(E150="Invalid_Segment","Invalid",IFERROR(INDEX(Severity_Matrix!$C$3:$M$10,MATCH('Error Log'!$F150,Severity_Matrix!$B$3:$B$10,0),MATCH('Error Log'!$G150,Severity_Matrix!$C$2:$M$2,0)),"No errors"))</f>
        <v>Critical</v>
      </c>
    </row>
    <row r="151" spans="1:10">
      <c r="A151" s="73" t="s">
        <v>224</v>
      </c>
      <c r="B151" s="17">
        <v>9</v>
      </c>
      <c r="C151" s="73" t="s">
        <v>218</v>
      </c>
      <c r="D151" s="73" t="s">
        <v>219</v>
      </c>
      <c r="E151" s="79" t="s">
        <v>21</v>
      </c>
      <c r="F151" s="79" t="s">
        <v>7</v>
      </c>
      <c r="G151" s="79" t="s">
        <v>57</v>
      </c>
      <c r="H151" s="79" t="s">
        <v>229</v>
      </c>
      <c r="I151" s="79"/>
      <c r="J151" s="14" t="str">
        <f>IF(E151="Invalid_Segment","Invalid",IFERROR(INDEX(Severity_Matrix!$C$3:$M$10,MATCH('Error Log'!$F151,Severity_Matrix!$B$3:$B$10,0),MATCH('Error Log'!$G151,Severity_Matrix!$C$2:$M$2,0)),"No errors"))</f>
        <v>Critical</v>
      </c>
    </row>
    <row r="152" spans="1:10">
      <c r="A152" s="73" t="s">
        <v>230</v>
      </c>
      <c r="B152" s="17">
        <v>1</v>
      </c>
      <c r="C152" s="73" t="s">
        <v>231</v>
      </c>
      <c r="D152" s="73" t="s">
        <v>232</v>
      </c>
      <c r="E152" s="79" t="s">
        <v>21</v>
      </c>
      <c r="F152" s="79" t="s">
        <v>63</v>
      </c>
      <c r="G152" s="79" t="s">
        <v>27</v>
      </c>
      <c r="H152" s="79" t="s">
        <v>149</v>
      </c>
      <c r="I152" s="79"/>
      <c r="J152" s="14" t="str">
        <f>IF(E152="Invalid_Segment","Invalid",IFERROR(INDEX(Severity_Matrix!$C$3:$M$10,MATCH('Error Log'!$F152,Severity_Matrix!$B$3:$B$10,0),MATCH('Error Log'!$G152,Severity_Matrix!$C$2:$M$2,0)),"No errors"))</f>
        <v>Critical</v>
      </c>
    </row>
    <row r="153" spans="1:10">
      <c r="A153" s="73" t="s">
        <v>230</v>
      </c>
      <c r="B153" s="17">
        <v>2</v>
      </c>
      <c r="C153" s="73" t="s">
        <v>231</v>
      </c>
      <c r="D153" s="73" t="s">
        <v>232</v>
      </c>
      <c r="E153" s="79" t="s">
        <v>21</v>
      </c>
      <c r="F153" s="79" t="s">
        <v>63</v>
      </c>
      <c r="G153" s="79" t="s">
        <v>27</v>
      </c>
      <c r="H153" s="79" t="s">
        <v>149</v>
      </c>
      <c r="I153" s="79"/>
      <c r="J153" s="14" t="str">
        <f>IF(E153="Invalid_Segment","Invalid",IFERROR(INDEX(Severity_Matrix!$C$3:$M$10,MATCH('Error Log'!$F153,Severity_Matrix!$B$3:$B$10,0),MATCH('Error Log'!$G153,Severity_Matrix!$C$2:$M$2,0)),"No errors"))</f>
        <v>Critical</v>
      </c>
    </row>
    <row r="154" spans="1:10">
      <c r="A154" s="73" t="s">
        <v>230</v>
      </c>
      <c r="B154" s="17">
        <v>3</v>
      </c>
      <c r="C154" s="73" t="s">
        <v>231</v>
      </c>
      <c r="D154" s="73" t="s">
        <v>232</v>
      </c>
      <c r="E154" s="79" t="s">
        <v>21</v>
      </c>
      <c r="F154" s="79" t="s">
        <v>22</v>
      </c>
      <c r="G154" s="79" t="s">
        <v>57</v>
      </c>
      <c r="H154" s="79" t="s">
        <v>233</v>
      </c>
      <c r="I154" s="79"/>
      <c r="J154" s="14" t="str">
        <f>IF(E154="Invalid_Segment","Invalid",IFERROR(INDEX(Severity_Matrix!$C$3:$M$10,MATCH('Error Log'!$F154,Severity_Matrix!$B$3:$B$10,0),MATCH('Error Log'!$G154,Severity_Matrix!$C$2:$M$2,0)),"No errors"))</f>
        <v>Major</v>
      </c>
    </row>
    <row r="155" spans="1:10">
      <c r="A155" s="73" t="s">
        <v>230</v>
      </c>
      <c r="B155" s="17">
        <v>4</v>
      </c>
      <c r="C155" s="73" t="s">
        <v>231</v>
      </c>
      <c r="D155" s="73" t="s">
        <v>232</v>
      </c>
      <c r="E155" s="79" t="s">
        <v>21</v>
      </c>
      <c r="F155" s="79" t="s">
        <v>7</v>
      </c>
      <c r="G155" s="79" t="s">
        <v>57</v>
      </c>
      <c r="H155" s="79" t="s">
        <v>234</v>
      </c>
      <c r="I155" s="79"/>
      <c r="J155" s="14" t="str">
        <f>IF(E155="Invalid_Segment","Invalid",IFERROR(INDEX(Severity_Matrix!$C$3:$M$10,MATCH('Error Log'!$F155,Severity_Matrix!$B$3:$B$10,0),MATCH('Error Log'!$G155,Severity_Matrix!$C$2:$M$2,0)),"No errors"))</f>
        <v>Critical</v>
      </c>
    </row>
    <row r="156" spans="1:10">
      <c r="A156" s="73" t="s">
        <v>230</v>
      </c>
      <c r="B156" s="17">
        <v>5</v>
      </c>
      <c r="C156" s="73" t="s">
        <v>231</v>
      </c>
      <c r="D156" s="73" t="s">
        <v>232</v>
      </c>
      <c r="E156" s="79" t="s">
        <v>21</v>
      </c>
      <c r="F156" s="79" t="s">
        <v>7</v>
      </c>
      <c r="G156" s="79" t="s">
        <v>57</v>
      </c>
      <c r="H156" s="79" t="s">
        <v>235</v>
      </c>
      <c r="I156" s="79"/>
      <c r="J156" s="14" t="str">
        <f>IF(E156="Invalid_Segment","Invalid",IFERROR(INDEX(Severity_Matrix!$C$3:$M$10,MATCH('Error Log'!$F156,Severity_Matrix!$B$3:$B$10,0),MATCH('Error Log'!$G156,Severity_Matrix!$C$2:$M$2,0)),"No errors"))</f>
        <v>Critical</v>
      </c>
    </row>
    <row r="157" spans="1:10">
      <c r="A157" s="73" t="s">
        <v>236</v>
      </c>
      <c r="B157" s="17">
        <v>1</v>
      </c>
      <c r="C157" s="73" t="s">
        <v>237</v>
      </c>
      <c r="D157" s="73" t="s">
        <v>238</v>
      </c>
      <c r="E157" s="79" t="s">
        <v>21</v>
      </c>
      <c r="F157" s="79" t="s">
        <v>63</v>
      </c>
      <c r="G157" s="79" t="s">
        <v>28</v>
      </c>
      <c r="H157" s="79" t="s">
        <v>149</v>
      </c>
      <c r="I157" s="79"/>
      <c r="J157" s="14" t="str">
        <f>IF(E157="Invalid_Segment","Invalid",IFERROR(INDEX(Severity_Matrix!$C$3:$M$10,MATCH('Error Log'!$F157,Severity_Matrix!$B$3:$B$10,0),MATCH('Error Log'!$G157,Severity_Matrix!$C$2:$M$2,0)),"No errors"))</f>
        <v>Major</v>
      </c>
    </row>
    <row r="158" spans="1:10">
      <c r="A158" s="73" t="s">
        <v>236</v>
      </c>
      <c r="B158" s="17">
        <v>2</v>
      </c>
      <c r="C158" s="73" t="s">
        <v>237</v>
      </c>
      <c r="D158" s="73" t="s">
        <v>238</v>
      </c>
      <c r="E158" s="79" t="s">
        <v>21</v>
      </c>
      <c r="F158" s="79" t="s">
        <v>63</v>
      </c>
      <c r="G158" s="79" t="s">
        <v>28</v>
      </c>
      <c r="H158" s="79" t="s">
        <v>149</v>
      </c>
      <c r="I158" s="79"/>
      <c r="J158" s="14" t="str">
        <f>IF(E158="Invalid_Segment","Invalid",IFERROR(INDEX(Severity_Matrix!$C$3:$M$10,MATCH('Error Log'!$F158,Severity_Matrix!$B$3:$B$10,0),MATCH('Error Log'!$G158,Severity_Matrix!$C$2:$M$2,0)),"No errors"))</f>
        <v>Major</v>
      </c>
    </row>
    <row r="159" spans="1:10">
      <c r="A159" s="73" t="s">
        <v>239</v>
      </c>
      <c r="B159" s="17">
        <v>3</v>
      </c>
      <c r="C159" s="73" t="s">
        <v>237</v>
      </c>
      <c r="D159" s="73" t="s">
        <v>238</v>
      </c>
      <c r="E159" s="79" t="s">
        <v>21</v>
      </c>
      <c r="F159" s="79" t="s">
        <v>63</v>
      </c>
      <c r="G159" s="79" t="s">
        <v>28</v>
      </c>
      <c r="H159" s="79" t="s">
        <v>149</v>
      </c>
      <c r="I159" s="79"/>
      <c r="J159" s="14" t="str">
        <f>IF(E159="Invalid_Segment","Invalid",IFERROR(INDEX(Severity_Matrix!$C$3:$M$10,MATCH('Error Log'!$F159,Severity_Matrix!$B$3:$B$10,0),MATCH('Error Log'!$G159,Severity_Matrix!$C$2:$M$2,0)),"No errors"))</f>
        <v>Major</v>
      </c>
    </row>
    <row r="160" spans="1:10">
      <c r="A160" s="73" t="s">
        <v>239</v>
      </c>
      <c r="B160" s="17">
        <v>4</v>
      </c>
      <c r="C160" s="73" t="s">
        <v>237</v>
      </c>
      <c r="D160" s="73" t="s">
        <v>238</v>
      </c>
      <c r="E160" s="79" t="s">
        <v>21</v>
      </c>
      <c r="F160" s="79" t="s">
        <v>63</v>
      </c>
      <c r="G160" s="79" t="s">
        <v>28</v>
      </c>
      <c r="H160" s="79" t="s">
        <v>149</v>
      </c>
      <c r="I160" s="79"/>
      <c r="J160" s="14" t="str">
        <f>IF(E160="Invalid_Segment","Invalid",IFERROR(INDEX(Severity_Matrix!$C$3:$M$10,MATCH('Error Log'!$F160,Severity_Matrix!$B$3:$B$10,0),MATCH('Error Log'!$G160,Severity_Matrix!$C$2:$M$2,0)),"No errors"))</f>
        <v>Major</v>
      </c>
    </row>
    <row r="161" spans="1:10">
      <c r="A161" s="73" t="s">
        <v>239</v>
      </c>
      <c r="B161" s="17">
        <v>5</v>
      </c>
      <c r="C161" s="73" t="s">
        <v>237</v>
      </c>
      <c r="D161" s="73" t="s">
        <v>238</v>
      </c>
      <c r="E161" s="79" t="s">
        <v>21</v>
      </c>
      <c r="F161" s="79" t="s">
        <v>63</v>
      </c>
      <c r="G161" s="79" t="s">
        <v>28</v>
      </c>
      <c r="H161" s="79" t="s">
        <v>149</v>
      </c>
      <c r="I161" s="79"/>
      <c r="J161" s="14" t="str">
        <f>IF(E161="Invalid_Segment","Invalid",IFERROR(INDEX(Severity_Matrix!$C$3:$M$10,MATCH('Error Log'!$F161,Severity_Matrix!$B$3:$B$10,0),MATCH('Error Log'!$G161,Severity_Matrix!$C$2:$M$2,0)),"No errors"))</f>
        <v>Major</v>
      </c>
    </row>
    <row r="162" spans="1:10">
      <c r="A162" s="73" t="s">
        <v>239</v>
      </c>
      <c r="B162" s="17">
        <v>6</v>
      </c>
      <c r="C162" s="73" t="s">
        <v>237</v>
      </c>
      <c r="D162" s="73" t="s">
        <v>238</v>
      </c>
      <c r="E162" s="79" t="s">
        <v>21</v>
      </c>
      <c r="F162" s="79" t="s">
        <v>63</v>
      </c>
      <c r="G162" s="79" t="s">
        <v>28</v>
      </c>
      <c r="H162" s="79" t="s">
        <v>149</v>
      </c>
      <c r="I162" s="79"/>
      <c r="J162" s="14" t="str">
        <f>IF(E162="Invalid_Segment","Invalid",IFERROR(INDEX(Severity_Matrix!$C$3:$M$10,MATCH('Error Log'!$F162,Severity_Matrix!$B$3:$B$10,0),MATCH('Error Log'!$G162,Severity_Matrix!$C$2:$M$2,0)),"No errors"))</f>
        <v>Major</v>
      </c>
    </row>
    <row r="163" spans="1:10">
      <c r="A163" s="73" t="s">
        <v>239</v>
      </c>
      <c r="B163" s="17">
        <v>7</v>
      </c>
      <c r="C163" s="73" t="s">
        <v>237</v>
      </c>
      <c r="D163" s="73" t="s">
        <v>238</v>
      </c>
      <c r="E163" s="79" t="s">
        <v>21</v>
      </c>
      <c r="F163" s="79" t="s">
        <v>63</v>
      </c>
      <c r="G163" s="79" t="s">
        <v>28</v>
      </c>
      <c r="H163" s="79" t="s">
        <v>149</v>
      </c>
      <c r="I163" s="79"/>
      <c r="J163" s="14" t="str">
        <f>IF(E163="Invalid_Segment","Invalid",IFERROR(INDEX(Severity_Matrix!$C$3:$M$10,MATCH('Error Log'!$F163,Severity_Matrix!$B$3:$B$10,0),MATCH('Error Log'!$G163,Severity_Matrix!$C$2:$M$2,0)),"No errors"))</f>
        <v>Major</v>
      </c>
    </row>
    <row r="164" spans="1:10">
      <c r="A164" s="73" t="s">
        <v>239</v>
      </c>
      <c r="B164" s="17">
        <v>8</v>
      </c>
      <c r="C164" s="73" t="s">
        <v>237</v>
      </c>
      <c r="D164" s="73" t="s">
        <v>238</v>
      </c>
      <c r="E164" s="79" t="s">
        <v>21</v>
      </c>
      <c r="F164" s="79" t="s">
        <v>63</v>
      </c>
      <c r="G164" s="79" t="s">
        <v>28</v>
      </c>
      <c r="H164" s="79" t="s">
        <v>149</v>
      </c>
      <c r="I164" s="79"/>
      <c r="J164" s="14" t="str">
        <f>IF(E164="Invalid_Segment","Invalid",IFERROR(INDEX(Severity_Matrix!$C$3:$M$10,MATCH('Error Log'!$F164,Severity_Matrix!$B$3:$B$10,0),MATCH('Error Log'!$G164,Severity_Matrix!$C$2:$M$2,0)),"No errors"))</f>
        <v>Major</v>
      </c>
    </row>
    <row r="165" spans="1:10">
      <c r="A165" s="73" t="s">
        <v>239</v>
      </c>
      <c r="B165" s="17">
        <v>9</v>
      </c>
      <c r="C165" s="73" t="s">
        <v>237</v>
      </c>
      <c r="D165" s="73" t="s">
        <v>238</v>
      </c>
      <c r="E165" s="79" t="s">
        <v>21</v>
      </c>
      <c r="F165" s="79" t="s">
        <v>63</v>
      </c>
      <c r="G165" s="79" t="s">
        <v>28</v>
      </c>
      <c r="H165" s="79" t="s">
        <v>149</v>
      </c>
      <c r="I165" s="79"/>
      <c r="J165" s="14" t="str">
        <f>IF(E165="Invalid_Segment","Invalid",IFERROR(INDEX(Severity_Matrix!$C$3:$M$10,MATCH('Error Log'!$F165,Severity_Matrix!$B$3:$B$10,0),MATCH('Error Log'!$G165,Severity_Matrix!$C$2:$M$2,0)),"No errors"))</f>
        <v>Major</v>
      </c>
    </row>
    <row r="166" spans="1:10">
      <c r="A166" s="73" t="s">
        <v>239</v>
      </c>
      <c r="B166" s="17">
        <v>10</v>
      </c>
      <c r="C166" s="73" t="s">
        <v>237</v>
      </c>
      <c r="D166" s="73" t="s">
        <v>238</v>
      </c>
      <c r="E166" s="79" t="s">
        <v>21</v>
      </c>
      <c r="F166" s="79" t="s">
        <v>63</v>
      </c>
      <c r="G166" s="79" t="s">
        <v>28</v>
      </c>
      <c r="H166" s="79" t="s">
        <v>149</v>
      </c>
      <c r="I166" s="79"/>
      <c r="J166" s="14" t="str">
        <f>IF(E166="Invalid_Segment","Invalid",IFERROR(INDEX(Severity_Matrix!$C$3:$M$10,MATCH('Error Log'!$F166,Severity_Matrix!$B$3:$B$10,0),MATCH('Error Log'!$G166,Severity_Matrix!$C$2:$M$2,0)),"No errors"))</f>
        <v>Major</v>
      </c>
    </row>
    <row r="167" spans="1:10">
      <c r="A167" s="73" t="s">
        <v>239</v>
      </c>
      <c r="B167" s="17">
        <v>11</v>
      </c>
      <c r="C167" s="73" t="s">
        <v>237</v>
      </c>
      <c r="D167" s="73" t="s">
        <v>238</v>
      </c>
      <c r="E167" s="79" t="s">
        <v>21</v>
      </c>
      <c r="F167" s="79" t="s">
        <v>63</v>
      </c>
      <c r="G167" s="79" t="s">
        <v>28</v>
      </c>
      <c r="H167" s="79" t="s">
        <v>149</v>
      </c>
      <c r="I167" s="79"/>
      <c r="J167" s="14" t="str">
        <f>IF(E167="Invalid_Segment","Invalid",IFERROR(INDEX(Severity_Matrix!$C$3:$M$10,MATCH('Error Log'!$F167,Severity_Matrix!$B$3:$B$10,0),MATCH('Error Log'!$G167,Severity_Matrix!$C$2:$M$2,0)),"No errors"))</f>
        <v>Major</v>
      </c>
    </row>
    <row r="168" spans="1:10">
      <c r="A168" s="73" t="s">
        <v>239</v>
      </c>
      <c r="B168" s="17">
        <v>12</v>
      </c>
      <c r="C168" s="73" t="s">
        <v>237</v>
      </c>
      <c r="D168" s="73" t="s">
        <v>238</v>
      </c>
      <c r="E168" s="79" t="s">
        <v>21</v>
      </c>
      <c r="F168" s="79" t="s">
        <v>63</v>
      </c>
      <c r="G168" s="79" t="s">
        <v>28</v>
      </c>
      <c r="H168" s="79" t="s">
        <v>149</v>
      </c>
      <c r="I168" s="79"/>
      <c r="J168" s="14" t="str">
        <f>IF(E168="Invalid_Segment","Invalid",IFERROR(INDEX(Severity_Matrix!$C$3:$M$10,MATCH('Error Log'!$F168,Severity_Matrix!$B$3:$B$10,0),MATCH('Error Log'!$G168,Severity_Matrix!$C$2:$M$2,0)),"No errors"))</f>
        <v>Major</v>
      </c>
    </row>
    <row r="169" spans="1:10">
      <c r="A169" s="73" t="s">
        <v>239</v>
      </c>
      <c r="B169" s="17">
        <v>13</v>
      </c>
      <c r="C169" s="73" t="s">
        <v>237</v>
      </c>
      <c r="D169" s="73" t="s">
        <v>238</v>
      </c>
      <c r="E169" s="79" t="s">
        <v>21</v>
      </c>
      <c r="F169" s="79" t="s">
        <v>7</v>
      </c>
      <c r="G169" s="79" t="s">
        <v>57</v>
      </c>
      <c r="H169" s="79" t="s">
        <v>240</v>
      </c>
      <c r="I169" s="79"/>
      <c r="J169" s="14" t="str">
        <f>IF(E169="Invalid_Segment","Invalid",IFERROR(INDEX(Severity_Matrix!$C$3:$M$10,MATCH('Error Log'!$F169,Severity_Matrix!$B$3:$B$10,0),MATCH('Error Log'!$G169,Severity_Matrix!$C$2:$M$2,0)),"No errors"))</f>
        <v>Critical</v>
      </c>
    </row>
    <row r="170" spans="1:10">
      <c r="A170" s="73" t="s">
        <v>239</v>
      </c>
      <c r="B170" s="17">
        <v>14</v>
      </c>
      <c r="C170" s="73" t="s">
        <v>237</v>
      </c>
      <c r="D170" s="73" t="s">
        <v>238</v>
      </c>
      <c r="E170" s="79" t="s">
        <v>21</v>
      </c>
      <c r="F170" s="79" t="s">
        <v>7</v>
      </c>
      <c r="G170" s="79" t="s">
        <v>57</v>
      </c>
      <c r="H170" s="79" t="s">
        <v>241</v>
      </c>
      <c r="I170" s="79"/>
      <c r="J170" s="14" t="str">
        <f>IF(E170="Invalid_Segment","Invalid",IFERROR(INDEX(Severity_Matrix!$C$3:$M$10,MATCH('Error Log'!$F170,Severity_Matrix!$B$3:$B$10,0),MATCH('Error Log'!$G170,Severity_Matrix!$C$2:$M$2,0)),"No errors"))</f>
        <v>Critical</v>
      </c>
    </row>
    <row r="171" spans="1:10">
      <c r="A171" s="73" t="s">
        <v>239</v>
      </c>
      <c r="B171" s="17">
        <v>15</v>
      </c>
      <c r="C171" s="73" t="s">
        <v>237</v>
      </c>
      <c r="D171" s="73" t="s">
        <v>238</v>
      </c>
      <c r="E171" s="79" t="s">
        <v>21</v>
      </c>
      <c r="F171" s="79" t="s">
        <v>7</v>
      </c>
      <c r="G171" s="79" t="s">
        <v>57</v>
      </c>
      <c r="H171" s="79" t="s">
        <v>242</v>
      </c>
      <c r="I171" s="79"/>
      <c r="J171" s="14" t="str">
        <f>IF(E171="Invalid_Segment","Invalid",IFERROR(INDEX(Severity_Matrix!$C$3:$M$10,MATCH('Error Log'!$F171,Severity_Matrix!$B$3:$B$10,0),MATCH('Error Log'!$G171,Severity_Matrix!$C$2:$M$2,0)),"No errors"))</f>
        <v>Critical</v>
      </c>
    </row>
    <row r="172" spans="1:10">
      <c r="A172" s="73" t="s">
        <v>243</v>
      </c>
      <c r="B172" s="17">
        <v>1</v>
      </c>
      <c r="C172" s="73" t="s">
        <v>244</v>
      </c>
      <c r="D172" s="73" t="s">
        <v>245</v>
      </c>
      <c r="E172" s="79" t="s">
        <v>21</v>
      </c>
      <c r="F172" s="79" t="s">
        <v>63</v>
      </c>
      <c r="G172" s="79" t="s">
        <v>27</v>
      </c>
      <c r="H172" s="79" t="s">
        <v>149</v>
      </c>
      <c r="I172" s="79"/>
      <c r="J172" s="14" t="str">
        <f>IF(E172="Invalid_Segment","Invalid",IFERROR(INDEX(Severity_Matrix!$C$3:$M$10,MATCH('Error Log'!$F172,Severity_Matrix!$B$3:$B$10,0),MATCH('Error Log'!$G172,Severity_Matrix!$C$2:$M$2,0)),"No errors"))</f>
        <v>Critical</v>
      </c>
    </row>
    <row r="173" spans="1:10">
      <c r="A173" s="73" t="s">
        <v>243</v>
      </c>
      <c r="B173" s="17">
        <v>2</v>
      </c>
      <c r="C173" s="73" t="s">
        <v>244</v>
      </c>
      <c r="D173" s="73" t="s">
        <v>245</v>
      </c>
      <c r="E173" s="79" t="s">
        <v>21</v>
      </c>
      <c r="F173" s="79" t="s">
        <v>63</v>
      </c>
      <c r="G173" s="79" t="s">
        <v>27</v>
      </c>
      <c r="H173" s="79" t="s">
        <v>149</v>
      </c>
      <c r="I173" s="79"/>
      <c r="J173" s="14" t="str">
        <f>IF(E173="Invalid_Segment","Invalid",IFERROR(INDEX(Severity_Matrix!$C$3:$M$10,MATCH('Error Log'!$F173,Severity_Matrix!$B$3:$B$10,0),MATCH('Error Log'!$G173,Severity_Matrix!$C$2:$M$2,0)),"No errors"))</f>
        <v>Critical</v>
      </c>
    </row>
    <row r="174" spans="1:10">
      <c r="A174" s="73" t="s">
        <v>243</v>
      </c>
      <c r="B174" s="17">
        <v>3</v>
      </c>
      <c r="C174" s="73" t="s">
        <v>244</v>
      </c>
      <c r="D174" s="73" t="s">
        <v>245</v>
      </c>
      <c r="E174" s="79" t="s">
        <v>21</v>
      </c>
      <c r="F174" s="79" t="s">
        <v>22</v>
      </c>
      <c r="G174" s="79" t="s">
        <v>57</v>
      </c>
      <c r="H174" s="79" t="s">
        <v>246</v>
      </c>
      <c r="I174" s="79"/>
      <c r="J174" s="14" t="str">
        <f>IF(E174="Invalid_Segment","Invalid",IFERROR(INDEX(Severity_Matrix!$C$3:$M$10,MATCH('Error Log'!$F174,Severity_Matrix!$B$3:$B$10,0),MATCH('Error Log'!$G174,Severity_Matrix!$C$2:$M$2,0)),"No errors"))</f>
        <v>Major</v>
      </c>
    </row>
    <row r="175" spans="1:10">
      <c r="A175" s="73" t="s">
        <v>243</v>
      </c>
      <c r="B175" s="17">
        <v>4</v>
      </c>
      <c r="C175" s="73" t="s">
        <v>244</v>
      </c>
      <c r="D175" s="73" t="s">
        <v>245</v>
      </c>
      <c r="E175" s="79" t="s">
        <v>2</v>
      </c>
      <c r="F175" s="79" t="s">
        <v>26</v>
      </c>
      <c r="G175" s="79" t="s">
        <v>57</v>
      </c>
      <c r="H175" s="79" t="s">
        <v>247</v>
      </c>
      <c r="I175" s="79"/>
      <c r="J175" s="14" t="str">
        <f>IF(E175="Invalid_Segment","Invalid",IFERROR(INDEX(Severity_Matrix!$C$3:$M$10,MATCH('Error Log'!$F175,Severity_Matrix!$B$3:$B$10,0),MATCH('Error Log'!$G175,Severity_Matrix!$C$2:$M$2,0)),"No errors"))</f>
        <v>Major</v>
      </c>
    </row>
    <row r="176" spans="1:10">
      <c r="A176" s="73" t="s">
        <v>243</v>
      </c>
      <c r="B176" s="17">
        <v>5</v>
      </c>
      <c r="C176" s="73" t="s">
        <v>244</v>
      </c>
      <c r="D176" s="73" t="s">
        <v>245</v>
      </c>
      <c r="E176" s="79" t="s">
        <v>21</v>
      </c>
      <c r="F176" s="79" t="s">
        <v>7</v>
      </c>
      <c r="G176" s="79" t="s">
        <v>57</v>
      </c>
      <c r="H176" s="79" t="s">
        <v>248</v>
      </c>
      <c r="I176" s="79"/>
      <c r="J176" s="14" t="str">
        <f>IF(E176="Invalid_Segment","Invalid",IFERROR(INDEX(Severity_Matrix!$C$3:$M$10,MATCH('Error Log'!$F176,Severity_Matrix!$B$3:$B$10,0),MATCH('Error Log'!$G176,Severity_Matrix!$C$2:$M$2,0)),"No errors"))</f>
        <v>Critical</v>
      </c>
    </row>
    <row r="177" spans="1:10">
      <c r="A177" s="73" t="s">
        <v>249</v>
      </c>
      <c r="B177" s="17">
        <v>6</v>
      </c>
      <c r="C177" s="73" t="s">
        <v>244</v>
      </c>
      <c r="D177" s="73" t="s">
        <v>245</v>
      </c>
      <c r="E177" s="79" t="s">
        <v>21</v>
      </c>
      <c r="F177" s="79" t="s">
        <v>7</v>
      </c>
      <c r="G177" s="79" t="s">
        <v>57</v>
      </c>
      <c r="H177" s="79" t="s">
        <v>250</v>
      </c>
      <c r="I177" s="79"/>
      <c r="J177" s="14" t="str">
        <f>IF(E177="Invalid_Segment","Invalid",IFERROR(INDEX(Severity_Matrix!$C$3:$M$10,MATCH('Error Log'!$F177,Severity_Matrix!$B$3:$B$10,0),MATCH('Error Log'!$G177,Severity_Matrix!$C$2:$M$2,0)),"No errors"))</f>
        <v>Critical</v>
      </c>
    </row>
    <row r="178" spans="1:10">
      <c r="A178" s="73" t="s">
        <v>249</v>
      </c>
      <c r="B178" s="17">
        <v>7</v>
      </c>
      <c r="C178" s="73" t="s">
        <v>244</v>
      </c>
      <c r="D178" s="73" t="s">
        <v>245</v>
      </c>
      <c r="E178" s="79" t="s">
        <v>21</v>
      </c>
      <c r="F178" s="79" t="s">
        <v>7</v>
      </c>
      <c r="G178" s="79" t="s">
        <v>57</v>
      </c>
      <c r="H178" s="79" t="s">
        <v>251</v>
      </c>
      <c r="I178" s="79"/>
      <c r="J178" s="14" t="str">
        <f>IF(E178="Invalid_Segment","Invalid",IFERROR(INDEX(Severity_Matrix!$C$3:$M$10,MATCH('Error Log'!$F178,Severity_Matrix!$B$3:$B$10,0),MATCH('Error Log'!$G178,Severity_Matrix!$C$2:$M$2,0)),"No errors"))</f>
        <v>Critical</v>
      </c>
    </row>
    <row r="179" spans="1:10">
      <c r="A179" s="73" t="s">
        <v>249</v>
      </c>
      <c r="B179" s="17">
        <v>8</v>
      </c>
      <c r="C179" s="73" t="s">
        <v>244</v>
      </c>
      <c r="D179" s="73" t="s">
        <v>245</v>
      </c>
      <c r="E179" s="79" t="s">
        <v>21</v>
      </c>
      <c r="F179" s="79" t="s">
        <v>7</v>
      </c>
      <c r="G179" s="79" t="s">
        <v>57</v>
      </c>
      <c r="H179" s="79" t="s">
        <v>252</v>
      </c>
      <c r="I179" s="79"/>
      <c r="J179" s="14" t="str">
        <f>IF(E179="Invalid_Segment","Invalid",IFERROR(INDEX(Severity_Matrix!$C$3:$M$10,MATCH('Error Log'!$F179,Severity_Matrix!$B$3:$B$10,0),MATCH('Error Log'!$G179,Severity_Matrix!$C$2:$M$2,0)),"No errors"))</f>
        <v>Critical</v>
      </c>
    </row>
    <row r="180" spans="1:10">
      <c r="A180" s="73" t="s">
        <v>253</v>
      </c>
      <c r="B180" s="17">
        <v>1</v>
      </c>
      <c r="C180" s="17" t="s">
        <v>254</v>
      </c>
      <c r="D180" s="73" t="s">
        <v>255</v>
      </c>
      <c r="E180" s="79" t="s">
        <v>21</v>
      </c>
      <c r="F180" s="79" t="s">
        <v>22</v>
      </c>
      <c r="G180" s="79" t="s">
        <v>56</v>
      </c>
      <c r="H180" s="79" t="s">
        <v>256</v>
      </c>
      <c r="I180" s="79"/>
      <c r="J180" s="14" t="str">
        <f>IF(E180="Invalid_Segment","Invalid",IFERROR(INDEX(Severity_Matrix!$C$3:$M$10,MATCH('Error Log'!$F180,Severity_Matrix!$B$3:$B$10,0),MATCH('Error Log'!$G180,Severity_Matrix!$C$2:$M$2,0)),"No errors"))</f>
        <v>Critical</v>
      </c>
    </row>
    <row r="181" spans="1:10">
      <c r="A181" s="73" t="s">
        <v>253</v>
      </c>
      <c r="B181" s="17">
        <v>2</v>
      </c>
      <c r="C181" s="17" t="s">
        <v>254</v>
      </c>
      <c r="D181" s="73" t="s">
        <v>255</v>
      </c>
      <c r="E181" s="79" t="s">
        <v>21</v>
      </c>
      <c r="F181" s="79" t="s">
        <v>63</v>
      </c>
      <c r="G181" s="79" t="s">
        <v>28</v>
      </c>
      <c r="H181" s="79" t="s">
        <v>149</v>
      </c>
      <c r="I181" s="79"/>
      <c r="J181" s="14" t="str">
        <f>IF(E181="Invalid_Segment","Invalid",IFERROR(INDEX(Severity_Matrix!$C$3:$M$10,MATCH('Error Log'!$F181,Severity_Matrix!$B$3:$B$10,0),MATCH('Error Log'!$G181,Severity_Matrix!$C$2:$M$2,0)),"No errors"))</f>
        <v>Major</v>
      </c>
    </row>
    <row r="182" spans="1:10">
      <c r="A182" s="73" t="s">
        <v>253</v>
      </c>
      <c r="B182" s="17">
        <v>3</v>
      </c>
      <c r="C182" s="17" t="s">
        <v>254</v>
      </c>
      <c r="D182" s="73" t="s">
        <v>255</v>
      </c>
      <c r="E182" s="79" t="s">
        <v>21</v>
      </c>
      <c r="F182" s="79" t="s">
        <v>64</v>
      </c>
      <c r="G182" s="79" t="s">
        <v>55</v>
      </c>
      <c r="H182" s="79" t="s">
        <v>257</v>
      </c>
      <c r="I182" s="79"/>
      <c r="J182" s="14" t="str">
        <f>IF(E182="Invalid_Segment","Invalid",IFERROR(INDEX(Severity_Matrix!$C$3:$M$10,MATCH('Error Log'!$F182,Severity_Matrix!$B$3:$B$10,0),MATCH('Error Log'!$G182,Severity_Matrix!$C$2:$M$2,0)),"No errors"))</f>
        <v>Critical</v>
      </c>
    </row>
    <row r="183" spans="1:10">
      <c r="A183" s="73" t="s">
        <v>253</v>
      </c>
      <c r="B183" s="17">
        <v>4</v>
      </c>
      <c r="C183" s="17" t="s">
        <v>254</v>
      </c>
      <c r="D183" s="73" t="s">
        <v>255</v>
      </c>
      <c r="E183" s="79" t="s">
        <v>21</v>
      </c>
      <c r="F183" s="79" t="s">
        <v>7</v>
      </c>
      <c r="G183" s="79" t="s">
        <v>57</v>
      </c>
      <c r="H183" s="79" t="s">
        <v>258</v>
      </c>
      <c r="I183" s="79"/>
      <c r="J183" s="14" t="str">
        <f>IF(E183="Invalid_Segment","Invalid",IFERROR(INDEX(Severity_Matrix!$C$3:$M$10,MATCH('Error Log'!$F183,Severity_Matrix!$B$3:$B$10,0),MATCH('Error Log'!$G183,Severity_Matrix!$C$2:$M$2,0)),"No errors"))</f>
        <v>Critical</v>
      </c>
    </row>
    <row r="184" spans="1:10">
      <c r="A184" s="73" t="s">
        <v>259</v>
      </c>
      <c r="B184" s="17">
        <v>1</v>
      </c>
      <c r="C184" s="73" t="s">
        <v>260</v>
      </c>
      <c r="D184" s="73" t="s">
        <v>261</v>
      </c>
      <c r="E184" s="79" t="s">
        <v>21</v>
      </c>
      <c r="F184" s="79" t="s">
        <v>22</v>
      </c>
      <c r="G184" s="79" t="s">
        <v>57</v>
      </c>
      <c r="H184" s="79" t="s">
        <v>262</v>
      </c>
      <c r="I184" s="79"/>
      <c r="J184" s="14" t="str">
        <f>IF(E184="Invalid_Segment","Invalid",IFERROR(INDEX(Severity_Matrix!$C$3:$M$10,MATCH('Error Log'!$F184,Severity_Matrix!$B$3:$B$10,0),MATCH('Error Log'!$G184,Severity_Matrix!$C$2:$M$2,0)),"No errors"))</f>
        <v>Major</v>
      </c>
    </row>
    <row r="185" spans="1:10">
      <c r="A185" s="73" t="s">
        <v>259</v>
      </c>
      <c r="B185" s="17">
        <v>2</v>
      </c>
      <c r="C185" s="73" t="s">
        <v>260</v>
      </c>
      <c r="D185" s="73" t="s">
        <v>261</v>
      </c>
      <c r="E185" s="79" t="s">
        <v>2</v>
      </c>
      <c r="F185" s="79" t="s">
        <v>26</v>
      </c>
      <c r="G185" s="79" t="s">
        <v>57</v>
      </c>
      <c r="H185" s="79" t="s">
        <v>262</v>
      </c>
      <c r="I185" s="79"/>
      <c r="J185" s="14" t="str">
        <f>IF(E185="Invalid_Segment","Invalid",IFERROR(INDEX(Severity_Matrix!$C$3:$M$10,MATCH('Error Log'!$F185,Severity_Matrix!$B$3:$B$10,0),MATCH('Error Log'!$G185,Severity_Matrix!$C$2:$M$2,0)),"No errors"))</f>
        <v>Major</v>
      </c>
    </row>
    <row r="186" spans="1:10">
      <c r="A186" s="73" t="s">
        <v>259</v>
      </c>
      <c r="B186" s="17">
        <v>3</v>
      </c>
      <c r="C186" s="73" t="s">
        <v>260</v>
      </c>
      <c r="D186" s="73" t="s">
        <v>261</v>
      </c>
      <c r="E186" s="79" t="s">
        <v>21</v>
      </c>
      <c r="F186" s="79" t="s">
        <v>22</v>
      </c>
      <c r="G186" s="79" t="s">
        <v>54</v>
      </c>
      <c r="H186" s="79" t="s">
        <v>263</v>
      </c>
      <c r="I186" s="79"/>
      <c r="J186" s="14" t="str">
        <f>IF(E186="Invalid_Segment","Invalid",IFERROR(INDEX(Severity_Matrix!$C$3:$M$10,MATCH('Error Log'!$F186,Severity_Matrix!$B$3:$B$10,0),MATCH('Error Log'!$G186,Severity_Matrix!$C$2:$M$2,0)),"No errors"))</f>
        <v>Critical</v>
      </c>
    </row>
    <row r="187" spans="1:10">
      <c r="A187" s="73" t="s">
        <v>264</v>
      </c>
      <c r="B187" s="17">
        <v>2</v>
      </c>
      <c r="C187" s="73" t="s">
        <v>265</v>
      </c>
      <c r="D187" s="73" t="s">
        <v>266</v>
      </c>
      <c r="E187" s="79" t="s">
        <v>21</v>
      </c>
      <c r="F187" s="79" t="s">
        <v>63</v>
      </c>
      <c r="G187" s="79" t="s">
        <v>27</v>
      </c>
      <c r="H187" s="79" t="s">
        <v>149</v>
      </c>
      <c r="I187" s="79"/>
      <c r="J187" s="14" t="str">
        <f>IF(E187="Invalid_Segment","Invalid",IFERROR(INDEX(Severity_Matrix!$C$3:$M$10,MATCH('Error Log'!$F187,Severity_Matrix!$B$3:$B$10,0),MATCH('Error Log'!$G187,Severity_Matrix!$C$2:$M$2,0)),"No errors"))</f>
        <v>Critical</v>
      </c>
    </row>
    <row r="188" spans="1:10">
      <c r="A188" s="73" t="s">
        <v>264</v>
      </c>
      <c r="B188" s="17">
        <v>3</v>
      </c>
      <c r="C188" s="73" t="s">
        <v>265</v>
      </c>
      <c r="D188" s="73" t="s">
        <v>266</v>
      </c>
      <c r="E188" s="79" t="s">
        <v>21</v>
      </c>
      <c r="F188" s="79" t="s">
        <v>7</v>
      </c>
      <c r="G188" s="79" t="s">
        <v>57</v>
      </c>
      <c r="H188" s="79" t="s">
        <v>267</v>
      </c>
      <c r="I188" s="79"/>
      <c r="J188" s="14" t="str">
        <f>IF(E188="Invalid_Segment","Invalid",IFERROR(INDEX(Severity_Matrix!$C$3:$M$10,MATCH('Error Log'!$F188,Severity_Matrix!$B$3:$B$10,0),MATCH('Error Log'!$G188,Severity_Matrix!$C$2:$M$2,0)),"No errors"))</f>
        <v>Critical</v>
      </c>
    </row>
    <row r="189" spans="1:10">
      <c r="A189" s="73" t="s">
        <v>264</v>
      </c>
      <c r="B189" s="17">
        <v>4</v>
      </c>
      <c r="C189" s="73" t="s">
        <v>265</v>
      </c>
      <c r="D189" s="73" t="s">
        <v>266</v>
      </c>
      <c r="E189" s="79" t="s">
        <v>21</v>
      </c>
      <c r="F189" s="79" t="s">
        <v>7</v>
      </c>
      <c r="G189" s="79" t="s">
        <v>57</v>
      </c>
      <c r="H189" s="79" t="s">
        <v>268</v>
      </c>
      <c r="I189" s="79"/>
      <c r="J189" s="14" t="str">
        <f>IF(E189="Invalid_Segment","Invalid",IFERROR(INDEX(Severity_Matrix!$C$3:$M$10,MATCH('Error Log'!$F189,Severity_Matrix!$B$3:$B$10,0),MATCH('Error Log'!$G189,Severity_Matrix!$C$2:$M$2,0)),"No errors"))</f>
        <v>Critical</v>
      </c>
    </row>
    <row r="190" spans="1:10">
      <c r="A190" s="73" t="s">
        <v>264</v>
      </c>
      <c r="B190" s="17">
        <v>5</v>
      </c>
      <c r="C190" s="73" t="s">
        <v>265</v>
      </c>
      <c r="D190" s="73" t="s">
        <v>266</v>
      </c>
      <c r="E190" s="79" t="s">
        <v>21</v>
      </c>
      <c r="F190" s="79" t="s">
        <v>7</v>
      </c>
      <c r="G190" s="79" t="s">
        <v>54</v>
      </c>
      <c r="H190" s="79" t="s">
        <v>269</v>
      </c>
      <c r="I190" s="79"/>
      <c r="J190" s="14" t="str">
        <f>IF(E190="Invalid_Segment","Invalid",IFERROR(INDEX(Severity_Matrix!$C$3:$M$10,MATCH('Error Log'!$F190,Severity_Matrix!$B$3:$B$10,0),MATCH('Error Log'!$G190,Severity_Matrix!$C$2:$M$2,0)),"No errors"))</f>
        <v>Critical</v>
      </c>
    </row>
    <row r="191" spans="1:10">
      <c r="A191" s="73" t="s">
        <v>264</v>
      </c>
      <c r="B191" s="17">
        <v>6</v>
      </c>
      <c r="C191" s="73" t="s">
        <v>265</v>
      </c>
      <c r="D191" s="73" t="s">
        <v>266</v>
      </c>
      <c r="E191" s="79" t="s">
        <v>21</v>
      </c>
      <c r="F191" s="79" t="s">
        <v>7</v>
      </c>
      <c r="G191" s="79" t="s">
        <v>56</v>
      </c>
      <c r="H191" s="79" t="s">
        <v>270</v>
      </c>
      <c r="I191" s="79"/>
      <c r="J191" s="14" t="str">
        <f>IF(E191="Invalid_Segment","Invalid",IFERROR(INDEX(Severity_Matrix!$C$3:$M$10,MATCH('Error Log'!$F191,Severity_Matrix!$B$3:$B$10,0),MATCH('Error Log'!$G191,Severity_Matrix!$C$2:$M$2,0)),"No errors"))</f>
        <v>Critical</v>
      </c>
    </row>
    <row r="192" spans="1:10">
      <c r="A192" s="73" t="s">
        <v>264</v>
      </c>
      <c r="B192" s="17">
        <v>7</v>
      </c>
      <c r="C192" s="73" t="s">
        <v>265</v>
      </c>
      <c r="D192" s="73" t="s">
        <v>266</v>
      </c>
      <c r="E192" s="79" t="s">
        <v>21</v>
      </c>
      <c r="F192" s="79" t="s">
        <v>7</v>
      </c>
      <c r="G192" s="79" t="s">
        <v>57</v>
      </c>
      <c r="H192" s="79" t="s">
        <v>271</v>
      </c>
      <c r="I192" s="79"/>
      <c r="J192" s="14" t="str">
        <f>IF(E192="Invalid_Segment","Invalid",IFERROR(INDEX(Severity_Matrix!$C$3:$M$10,MATCH('Error Log'!$F192,Severity_Matrix!$B$3:$B$10,0),MATCH('Error Log'!$G192,Severity_Matrix!$C$2:$M$2,0)),"No errors"))</f>
        <v>Critical</v>
      </c>
    </row>
    <row r="193" spans="1:10">
      <c r="A193" s="73" t="s">
        <v>264</v>
      </c>
      <c r="B193" s="17">
        <v>8</v>
      </c>
      <c r="C193" s="73" t="s">
        <v>265</v>
      </c>
      <c r="D193" s="73" t="s">
        <v>266</v>
      </c>
      <c r="E193" s="79" t="s">
        <v>2</v>
      </c>
      <c r="F193" s="79" t="s">
        <v>26</v>
      </c>
      <c r="G193" s="79" t="s">
        <v>57</v>
      </c>
      <c r="H193" s="79" t="s">
        <v>272</v>
      </c>
      <c r="I193" s="79"/>
      <c r="J193" s="14" t="str">
        <f>IF(E193="Invalid_Segment","Invalid",IFERROR(INDEX(Severity_Matrix!$C$3:$M$10,MATCH('Error Log'!$F193,Severity_Matrix!$B$3:$B$10,0),MATCH('Error Log'!$G193,Severity_Matrix!$C$2:$M$2,0)),"No errors"))</f>
        <v>Major</v>
      </c>
    </row>
    <row r="194" spans="1:10">
      <c r="A194" s="73" t="s">
        <v>273</v>
      </c>
      <c r="B194" s="17">
        <v>1</v>
      </c>
      <c r="C194" s="73" t="s">
        <v>274</v>
      </c>
      <c r="D194" s="73" t="s">
        <v>275</v>
      </c>
      <c r="E194" s="79" t="s">
        <v>21</v>
      </c>
      <c r="F194" s="79" t="s">
        <v>22</v>
      </c>
      <c r="G194" s="79" t="s">
        <v>28</v>
      </c>
      <c r="H194" s="79" t="s">
        <v>276</v>
      </c>
      <c r="I194" s="79"/>
      <c r="J194" s="14" t="str">
        <f>IF(E194="Invalid_Segment","Invalid",IFERROR(INDEX(Severity_Matrix!$C$3:$M$10,MATCH('Error Log'!$F194,Severity_Matrix!$B$3:$B$10,0),MATCH('Error Log'!$G194,Severity_Matrix!$C$2:$M$2,0)),"No errors"))</f>
        <v>Major</v>
      </c>
    </row>
    <row r="195" spans="1:10">
      <c r="A195" s="73" t="s">
        <v>273</v>
      </c>
      <c r="B195" s="17">
        <v>2</v>
      </c>
      <c r="C195" s="73" t="s">
        <v>274</v>
      </c>
      <c r="D195" s="73" t="s">
        <v>275</v>
      </c>
      <c r="E195" s="79" t="s">
        <v>21</v>
      </c>
      <c r="F195" s="79" t="s">
        <v>7</v>
      </c>
      <c r="G195" s="79" t="s">
        <v>58</v>
      </c>
      <c r="H195" s="79" t="s">
        <v>277</v>
      </c>
      <c r="I195" s="79"/>
      <c r="J195" s="14" t="str">
        <f>IF(E195="Invalid_Segment","Invalid",IFERROR(INDEX(Severity_Matrix!$C$3:$M$10,MATCH('Error Log'!$F195,Severity_Matrix!$B$3:$B$10,0),MATCH('Error Log'!$G195,Severity_Matrix!$C$2:$M$2,0)),"No errors"))</f>
        <v>Minor</v>
      </c>
    </row>
    <row r="196" spans="1:10">
      <c r="A196" s="73" t="s">
        <v>278</v>
      </c>
      <c r="B196" s="17">
        <v>3</v>
      </c>
      <c r="C196" s="73" t="s">
        <v>274</v>
      </c>
      <c r="D196" s="73" t="s">
        <v>275</v>
      </c>
      <c r="E196" s="79" t="s">
        <v>21</v>
      </c>
      <c r="F196" s="79" t="s">
        <v>7</v>
      </c>
      <c r="G196" s="79" t="s">
        <v>28</v>
      </c>
      <c r="H196" s="79" t="s">
        <v>279</v>
      </c>
      <c r="I196" s="79"/>
      <c r="J196" s="14" t="str">
        <f>IF(E196="Invalid_Segment","Invalid",IFERROR(INDEX(Severity_Matrix!$C$3:$M$10,MATCH('Error Log'!$F196,Severity_Matrix!$B$3:$B$10,0),MATCH('Error Log'!$G196,Severity_Matrix!$C$2:$M$2,0)),"No errors"))</f>
        <v>Major</v>
      </c>
    </row>
    <row r="197" spans="1:10">
      <c r="A197" s="73" t="s">
        <v>278</v>
      </c>
      <c r="B197" s="17">
        <v>4</v>
      </c>
      <c r="C197" s="73" t="s">
        <v>274</v>
      </c>
      <c r="D197" s="73" t="s">
        <v>275</v>
      </c>
      <c r="E197" s="79" t="s">
        <v>21</v>
      </c>
      <c r="F197" s="79" t="s">
        <v>7</v>
      </c>
      <c r="G197" s="79" t="s">
        <v>58</v>
      </c>
      <c r="H197" s="79" t="s">
        <v>280</v>
      </c>
      <c r="I197" s="79"/>
      <c r="J197" s="14" t="str">
        <f>IF(E197="Invalid_Segment","Invalid",IFERROR(INDEX(Severity_Matrix!$C$3:$M$10,MATCH('Error Log'!$F197,Severity_Matrix!$B$3:$B$10,0),MATCH('Error Log'!$G197,Severity_Matrix!$C$2:$M$2,0)),"No errors"))</f>
        <v>Minor</v>
      </c>
    </row>
    <row r="198" spans="1:10">
      <c r="A198" s="73" t="s">
        <v>278</v>
      </c>
      <c r="B198" s="17">
        <v>5</v>
      </c>
      <c r="C198" s="73" t="s">
        <v>274</v>
      </c>
      <c r="D198" s="73" t="s">
        <v>275</v>
      </c>
      <c r="E198" s="79" t="s">
        <v>21</v>
      </c>
      <c r="F198" s="79" t="s">
        <v>7</v>
      </c>
      <c r="G198" s="79" t="s">
        <v>58</v>
      </c>
      <c r="H198" s="79" t="s">
        <v>281</v>
      </c>
      <c r="I198" s="79"/>
      <c r="J198" s="14" t="str">
        <f>IF(E198="Invalid_Segment","Invalid",IFERROR(INDEX(Severity_Matrix!$C$3:$M$10,MATCH('Error Log'!$F198,Severity_Matrix!$B$3:$B$10,0),MATCH('Error Log'!$G198,Severity_Matrix!$C$2:$M$2,0)),"No errors"))</f>
        <v>Minor</v>
      </c>
    </row>
    <row r="199" spans="1:10">
      <c r="A199" s="73" t="s">
        <v>278</v>
      </c>
      <c r="B199" s="17">
        <v>6</v>
      </c>
      <c r="C199" s="73" t="s">
        <v>274</v>
      </c>
      <c r="D199" s="73" t="s">
        <v>275</v>
      </c>
      <c r="E199" s="79" t="s">
        <v>21</v>
      </c>
      <c r="F199" s="79" t="s">
        <v>7</v>
      </c>
      <c r="G199" s="79" t="s">
        <v>55</v>
      </c>
      <c r="H199" s="79" t="s">
        <v>282</v>
      </c>
      <c r="I199" s="79"/>
      <c r="J199" s="14" t="str">
        <f>IF(E199="Invalid_Segment","Invalid",IFERROR(INDEX(Severity_Matrix!$C$3:$M$10,MATCH('Error Log'!$F199,Severity_Matrix!$B$3:$B$10,0),MATCH('Error Log'!$G199,Severity_Matrix!$C$2:$M$2,0)),"No errors"))</f>
        <v>Critical</v>
      </c>
    </row>
    <row r="200" spans="1:10">
      <c r="A200" s="73" t="s">
        <v>278</v>
      </c>
      <c r="B200" s="17">
        <v>7</v>
      </c>
      <c r="C200" s="73" t="s">
        <v>274</v>
      </c>
      <c r="D200" s="73" t="s">
        <v>275</v>
      </c>
      <c r="E200" s="79" t="s">
        <v>2</v>
      </c>
      <c r="F200" s="79" t="s">
        <v>26</v>
      </c>
      <c r="G200" s="79" t="s">
        <v>57</v>
      </c>
      <c r="H200" s="79" t="s">
        <v>283</v>
      </c>
      <c r="I200" s="79"/>
      <c r="J200" s="14" t="str">
        <f>IF(E200="Invalid_Segment","Invalid",IFERROR(INDEX(Severity_Matrix!$C$3:$M$10,MATCH('Error Log'!$F200,Severity_Matrix!$B$3:$B$10,0),MATCH('Error Log'!$G200,Severity_Matrix!$C$2:$M$2,0)),"No errors"))</f>
        <v>Major</v>
      </c>
    </row>
    <row r="201" spans="1:10">
      <c r="A201" s="73" t="s">
        <v>278</v>
      </c>
      <c r="B201" s="17">
        <v>8</v>
      </c>
      <c r="C201" s="73" t="s">
        <v>274</v>
      </c>
      <c r="D201" s="73" t="s">
        <v>275</v>
      </c>
      <c r="E201" s="79" t="s">
        <v>21</v>
      </c>
      <c r="F201" s="79" t="s">
        <v>7</v>
      </c>
      <c r="G201" s="79" t="s">
        <v>57</v>
      </c>
      <c r="H201" s="79" t="s">
        <v>284</v>
      </c>
      <c r="I201" s="79"/>
      <c r="J201" s="14" t="str">
        <f>IF(E201="Invalid_Segment","Invalid",IFERROR(INDEX(Severity_Matrix!$C$3:$M$10,MATCH('Error Log'!$F201,Severity_Matrix!$B$3:$B$10,0),MATCH('Error Log'!$G201,Severity_Matrix!$C$2:$M$2,0)),"No errors"))</f>
        <v>Critical</v>
      </c>
    </row>
    <row r="202" spans="1:10">
      <c r="A202" s="74" t="s">
        <v>285</v>
      </c>
      <c r="B202" s="17">
        <v>1</v>
      </c>
      <c r="C202" s="73" t="s">
        <v>286</v>
      </c>
      <c r="D202" s="83" t="s">
        <v>287</v>
      </c>
      <c r="E202" s="79" t="s">
        <v>21</v>
      </c>
      <c r="F202" s="79" t="s">
        <v>22</v>
      </c>
      <c r="G202" s="79" t="s">
        <v>28</v>
      </c>
      <c r="H202" s="79" t="s">
        <v>288</v>
      </c>
      <c r="I202" s="79"/>
      <c r="J202" s="14" t="str">
        <f>IF(E202="Invalid_Segment","Invalid",IFERROR(INDEX(Severity_Matrix!$C$3:$M$10,MATCH('Error Log'!$F202,Severity_Matrix!$B$3:$B$10,0),MATCH('Error Log'!$G202,Severity_Matrix!$C$2:$M$2,0)),"No errors"))</f>
        <v>Major</v>
      </c>
    </row>
    <row r="203" spans="1:10">
      <c r="A203" s="74" t="s">
        <v>285</v>
      </c>
      <c r="B203" s="17">
        <v>2</v>
      </c>
      <c r="C203" s="73" t="s">
        <v>286</v>
      </c>
      <c r="D203" s="83" t="s">
        <v>287</v>
      </c>
      <c r="E203" s="79" t="s">
        <v>2</v>
      </c>
      <c r="F203" s="79" t="s">
        <v>26</v>
      </c>
      <c r="G203" s="79" t="s">
        <v>57</v>
      </c>
      <c r="H203" s="79" t="s">
        <v>289</v>
      </c>
      <c r="I203" s="79"/>
      <c r="J203" s="14" t="str">
        <f>IF(E203="Invalid_Segment","Invalid",IFERROR(INDEX(Severity_Matrix!$C$3:$M$10,MATCH('Error Log'!$F203,Severity_Matrix!$B$3:$B$10,0),MATCH('Error Log'!$G203,Severity_Matrix!$C$2:$M$2,0)),"No errors"))</f>
        <v>Major</v>
      </c>
    </row>
    <row r="204" spans="1:10">
      <c r="A204" s="74" t="s">
        <v>285</v>
      </c>
      <c r="B204" s="17">
        <v>3</v>
      </c>
      <c r="C204" s="73" t="s">
        <v>286</v>
      </c>
      <c r="D204" s="83" t="s">
        <v>287</v>
      </c>
      <c r="E204" s="79" t="s">
        <v>21</v>
      </c>
      <c r="F204" s="79" t="s">
        <v>63</v>
      </c>
      <c r="G204" s="79" t="s">
        <v>56</v>
      </c>
      <c r="H204" s="79" t="s">
        <v>290</v>
      </c>
      <c r="I204" s="79"/>
      <c r="J204" s="14" t="str">
        <f>IF(E204="Invalid_Segment","Invalid",IFERROR(INDEX(Severity_Matrix!$C$3:$M$10,MATCH('Error Log'!$F204,Severity_Matrix!$B$3:$B$10,0),MATCH('Error Log'!$G204,Severity_Matrix!$C$2:$M$2,0)),"No errors"))</f>
        <v>Critical</v>
      </c>
    </row>
    <row r="205" spans="1:10">
      <c r="A205" s="74" t="s">
        <v>291</v>
      </c>
      <c r="B205" s="17">
        <v>4</v>
      </c>
      <c r="C205" s="73" t="s">
        <v>286</v>
      </c>
      <c r="D205" s="83" t="s">
        <v>287</v>
      </c>
      <c r="E205" s="79" t="s">
        <v>21</v>
      </c>
      <c r="F205" s="79" t="s">
        <v>63</v>
      </c>
      <c r="G205" s="79" t="s">
        <v>29</v>
      </c>
      <c r="H205" s="79">
        <v>70</v>
      </c>
      <c r="I205" s="79"/>
      <c r="J205" s="14" t="str">
        <f>IF(E205="Invalid_Segment","Invalid",IFERROR(INDEX(Severity_Matrix!$C$3:$M$10,MATCH('Error Log'!$F205,Severity_Matrix!$B$3:$B$10,0),MATCH('Error Log'!$G205,Severity_Matrix!$C$2:$M$2,0)),"No errors"))</f>
        <v>Critical</v>
      </c>
    </row>
    <row r="206" spans="1:10">
      <c r="A206" s="74" t="s">
        <v>291</v>
      </c>
      <c r="B206" s="17">
        <v>5</v>
      </c>
      <c r="C206" s="73" t="s">
        <v>286</v>
      </c>
      <c r="D206" s="83" t="s">
        <v>287</v>
      </c>
      <c r="E206" s="79" t="s">
        <v>21</v>
      </c>
      <c r="F206" s="79" t="s">
        <v>63</v>
      </c>
      <c r="G206" s="79" t="s">
        <v>28</v>
      </c>
      <c r="H206" s="79" t="s">
        <v>292</v>
      </c>
      <c r="I206" s="79"/>
      <c r="J206" s="14" t="str">
        <f>IF(E206="Invalid_Segment","Invalid",IFERROR(INDEX(Severity_Matrix!$C$3:$M$10,MATCH('Error Log'!$F206,Severity_Matrix!$B$3:$B$10,0),MATCH('Error Log'!$G206,Severity_Matrix!$C$2:$M$2,0)),"No errors"))</f>
        <v>Major</v>
      </c>
    </row>
    <row r="207" spans="1:10">
      <c r="A207" s="74" t="s">
        <v>291</v>
      </c>
      <c r="B207" s="17">
        <v>6</v>
      </c>
      <c r="C207" s="73" t="s">
        <v>293</v>
      </c>
      <c r="D207" s="83" t="s">
        <v>294</v>
      </c>
      <c r="E207" s="79" t="s">
        <v>21</v>
      </c>
      <c r="F207" s="79" t="s">
        <v>7</v>
      </c>
      <c r="G207" s="79" t="s">
        <v>57</v>
      </c>
      <c r="H207" s="79" t="s">
        <v>295</v>
      </c>
      <c r="I207" s="79"/>
      <c r="J207" s="14" t="str">
        <f>IF(E207="Invalid_Segment","Invalid",IFERROR(INDEX(Severity_Matrix!$C$3:$M$10,MATCH('Error Log'!$F207,Severity_Matrix!$B$3:$B$10,0),MATCH('Error Log'!$G207,Severity_Matrix!$C$2:$M$2,0)),"No errors"))</f>
        <v>Critical</v>
      </c>
    </row>
    <row r="208" spans="1:10">
      <c r="A208" s="74" t="s">
        <v>291</v>
      </c>
      <c r="B208" s="17">
        <v>7</v>
      </c>
      <c r="C208" s="73" t="s">
        <v>296</v>
      </c>
      <c r="D208" s="83" t="s">
        <v>297</v>
      </c>
      <c r="E208" s="79" t="s">
        <v>21</v>
      </c>
      <c r="F208" s="79" t="s">
        <v>7</v>
      </c>
      <c r="G208" s="79" t="s">
        <v>57</v>
      </c>
      <c r="H208" s="79" t="s">
        <v>298</v>
      </c>
      <c r="I208" s="79"/>
      <c r="J208" s="14" t="str">
        <f>IF(E208="Invalid_Segment","Invalid",IFERROR(INDEX(Severity_Matrix!$C$3:$M$10,MATCH('Error Log'!$F208,Severity_Matrix!$B$3:$B$10,0),MATCH('Error Log'!$G208,Severity_Matrix!$C$2:$M$2,0)),"No errors"))</f>
        <v>Critical</v>
      </c>
    </row>
    <row r="209" spans="1:10">
      <c r="A209" s="74" t="s">
        <v>299</v>
      </c>
      <c r="B209" s="17">
        <v>1</v>
      </c>
      <c r="C209" s="83" t="s">
        <v>300</v>
      </c>
      <c r="D209" s="83" t="s">
        <v>301</v>
      </c>
      <c r="E209" s="79" t="s">
        <v>21</v>
      </c>
      <c r="F209" s="79" t="s">
        <v>63</v>
      </c>
      <c r="G209" s="79" t="s">
        <v>54</v>
      </c>
      <c r="H209" s="79" t="s">
        <v>302</v>
      </c>
      <c r="I209" s="79"/>
      <c r="J209" s="14" t="str">
        <f>IF(E209="Invalid_Segment","Invalid",IFERROR(INDEX(Severity_Matrix!$C$3:$M$10,MATCH('Error Log'!$F209,Severity_Matrix!$B$3:$B$10,0),MATCH('Error Log'!$G209,Severity_Matrix!$C$2:$M$2,0)),"No errors"))</f>
        <v>Critical</v>
      </c>
    </row>
    <row r="210" spans="1:10">
      <c r="A210" s="74" t="s">
        <v>299</v>
      </c>
      <c r="B210" s="17">
        <v>2</v>
      </c>
      <c r="C210" s="83" t="s">
        <v>300</v>
      </c>
      <c r="D210" s="83" t="s">
        <v>301</v>
      </c>
      <c r="E210" s="79" t="s">
        <v>21</v>
      </c>
      <c r="F210" s="79" t="s">
        <v>63</v>
      </c>
      <c r="G210" s="79" t="s">
        <v>27</v>
      </c>
      <c r="H210" s="79" t="s">
        <v>303</v>
      </c>
      <c r="I210" s="79"/>
      <c r="J210" s="14" t="str">
        <f>IF(E210="Invalid_Segment","Invalid",IFERROR(INDEX(Severity_Matrix!$C$3:$M$10,MATCH('Error Log'!$F210,Severity_Matrix!$B$3:$B$10,0),MATCH('Error Log'!$G210,Severity_Matrix!$C$2:$M$2,0)),"No errors"))</f>
        <v>Critical</v>
      </c>
    </row>
    <row r="211" spans="1:10">
      <c r="A211" s="74" t="s">
        <v>304</v>
      </c>
      <c r="B211" s="17">
        <v>3</v>
      </c>
      <c r="C211" s="83" t="s">
        <v>300</v>
      </c>
      <c r="D211" s="83" t="s">
        <v>301</v>
      </c>
      <c r="E211" s="79" t="s">
        <v>21</v>
      </c>
      <c r="F211" s="79" t="s">
        <v>63</v>
      </c>
      <c r="G211" s="79" t="s">
        <v>27</v>
      </c>
      <c r="H211" s="79" t="s">
        <v>303</v>
      </c>
      <c r="I211" s="79"/>
      <c r="J211" s="14" t="str">
        <f>IF(E211="Invalid_Segment","Invalid",IFERROR(INDEX(Severity_Matrix!$C$3:$M$10,MATCH('Error Log'!$F211,Severity_Matrix!$B$3:$B$10,0),MATCH('Error Log'!$G211,Severity_Matrix!$C$2:$M$2,0)),"No errors"))</f>
        <v>Critical</v>
      </c>
    </row>
    <row r="212" spans="1:10">
      <c r="A212" s="74" t="s">
        <v>304</v>
      </c>
      <c r="B212" s="17">
        <v>4</v>
      </c>
      <c r="C212" s="83" t="s">
        <v>300</v>
      </c>
      <c r="D212" s="83" t="s">
        <v>301</v>
      </c>
      <c r="E212" s="79" t="s">
        <v>21</v>
      </c>
      <c r="F212" s="79" t="s">
        <v>63</v>
      </c>
      <c r="G212" s="79" t="s">
        <v>58</v>
      </c>
      <c r="H212" s="79" t="s">
        <v>167</v>
      </c>
      <c r="I212" s="79"/>
      <c r="J212" s="14" t="str">
        <f>IF(E212="Invalid_Segment","Invalid",IFERROR(INDEX(Severity_Matrix!$C$3:$M$10,MATCH('Error Log'!$F212,Severity_Matrix!$B$3:$B$10,0),MATCH('Error Log'!$G212,Severity_Matrix!$C$2:$M$2,0)),"No errors"))</f>
        <v>Minor</v>
      </c>
    </row>
    <row r="213" spans="1:10">
      <c r="A213" s="74" t="s">
        <v>304</v>
      </c>
      <c r="B213" s="17">
        <v>5</v>
      </c>
      <c r="C213" s="83" t="s">
        <v>300</v>
      </c>
      <c r="D213" s="83" t="s">
        <v>301</v>
      </c>
      <c r="E213" s="79" t="s">
        <v>21</v>
      </c>
      <c r="F213" s="79" t="s">
        <v>64</v>
      </c>
      <c r="G213" s="79" t="s">
        <v>29</v>
      </c>
      <c r="H213" s="79" t="s">
        <v>305</v>
      </c>
      <c r="I213" s="79"/>
      <c r="J213" s="14" t="str">
        <f>IF(E213="Invalid_Segment","Invalid",IFERROR(INDEX(Severity_Matrix!$C$3:$M$10,MATCH('Error Log'!$F213,Severity_Matrix!$B$3:$B$10,0),MATCH('Error Log'!$G213,Severity_Matrix!$C$2:$M$2,0)),"No errors"))</f>
        <v>Critical</v>
      </c>
    </row>
    <row r="214" spans="1:10">
      <c r="A214" s="74" t="s">
        <v>304</v>
      </c>
      <c r="B214" s="17">
        <v>6</v>
      </c>
      <c r="C214" s="83" t="s">
        <v>300</v>
      </c>
      <c r="D214" s="83" t="s">
        <v>301</v>
      </c>
      <c r="E214" s="79" t="s">
        <v>2</v>
      </c>
      <c r="F214" s="79" t="s">
        <v>26</v>
      </c>
      <c r="G214" s="79" t="s">
        <v>57</v>
      </c>
      <c r="H214" s="79" t="s">
        <v>306</v>
      </c>
      <c r="I214" s="79"/>
      <c r="J214" s="14" t="str">
        <f>IF(E214="Invalid_Segment","Invalid",IFERROR(INDEX(Severity_Matrix!$C$3:$M$10,MATCH('Error Log'!$F214,Severity_Matrix!$B$3:$B$10,0),MATCH('Error Log'!$G214,Severity_Matrix!$C$2:$M$2,0)),"No errors"))</f>
        <v>Major</v>
      </c>
    </row>
    <row r="215" spans="1:10">
      <c r="A215" s="74" t="s">
        <v>304</v>
      </c>
      <c r="B215" s="17">
        <v>7</v>
      </c>
      <c r="C215" s="83" t="s">
        <v>300</v>
      </c>
      <c r="D215" s="83" t="s">
        <v>301</v>
      </c>
      <c r="E215" s="79" t="s">
        <v>21</v>
      </c>
      <c r="F215" s="79" t="s">
        <v>22</v>
      </c>
      <c r="G215" s="79" t="s">
        <v>57</v>
      </c>
      <c r="H215" s="79" t="s">
        <v>307</v>
      </c>
      <c r="I215" s="79"/>
      <c r="J215" s="14" t="str">
        <f>IF(E215="Invalid_Segment","Invalid",IFERROR(INDEX(Severity_Matrix!$C$3:$M$10,MATCH('Error Log'!$F215,Severity_Matrix!$B$3:$B$10,0),MATCH('Error Log'!$G215,Severity_Matrix!$C$2:$M$2,0)),"No errors"))</f>
        <v>Major</v>
      </c>
    </row>
    <row r="216" spans="1:10">
      <c r="A216" s="74" t="s">
        <v>304</v>
      </c>
      <c r="B216" s="17">
        <v>8</v>
      </c>
      <c r="C216" s="83" t="s">
        <v>300</v>
      </c>
      <c r="D216" s="83" t="s">
        <v>301</v>
      </c>
      <c r="E216" s="79" t="s">
        <v>21</v>
      </c>
      <c r="F216" s="79" t="s">
        <v>7</v>
      </c>
      <c r="G216" s="79" t="s">
        <v>57</v>
      </c>
      <c r="H216" s="79" t="s">
        <v>308</v>
      </c>
      <c r="I216" s="79"/>
      <c r="J216" s="14" t="str">
        <f>IF(E216="Invalid_Segment","Invalid",IFERROR(INDEX(Severity_Matrix!$C$3:$M$10,MATCH('Error Log'!$F216,Severity_Matrix!$B$3:$B$10,0),MATCH('Error Log'!$G216,Severity_Matrix!$C$2:$M$2,0)),"No errors"))</f>
        <v>Critical</v>
      </c>
    </row>
    <row r="217" spans="1:10">
      <c r="A217" s="74" t="s">
        <v>304</v>
      </c>
      <c r="B217" s="17">
        <v>9</v>
      </c>
      <c r="C217" s="83" t="s">
        <v>300</v>
      </c>
      <c r="D217" s="83" t="s">
        <v>301</v>
      </c>
      <c r="E217" s="79" t="s">
        <v>21</v>
      </c>
      <c r="F217" s="79" t="s">
        <v>7</v>
      </c>
      <c r="G217" s="79" t="s">
        <v>57</v>
      </c>
      <c r="H217" s="79" t="s">
        <v>309</v>
      </c>
      <c r="I217" s="79"/>
      <c r="J217" s="14" t="str">
        <f>IF(E217="Invalid_Segment","Invalid",IFERROR(INDEX(Severity_Matrix!$C$3:$M$10,MATCH('Error Log'!$F217,Severity_Matrix!$B$3:$B$10,0),MATCH('Error Log'!$G217,Severity_Matrix!$C$2:$M$2,0)),"No errors"))</f>
        <v>Critical</v>
      </c>
    </row>
    <row r="218" spans="1:10">
      <c r="A218" s="74" t="s">
        <v>304</v>
      </c>
      <c r="B218" s="17">
        <v>10</v>
      </c>
      <c r="C218" s="83" t="s">
        <v>300</v>
      </c>
      <c r="D218" s="83" t="s">
        <v>301</v>
      </c>
      <c r="E218" s="79" t="s">
        <v>21</v>
      </c>
      <c r="F218" s="79" t="s">
        <v>7</v>
      </c>
      <c r="G218" s="79" t="s">
        <v>57</v>
      </c>
      <c r="H218" s="79" t="s">
        <v>310</v>
      </c>
      <c r="I218" s="79"/>
      <c r="J218" s="14" t="str">
        <f>IF(E218="Invalid_Segment","Invalid",IFERROR(INDEX(Severity_Matrix!$C$3:$M$10,MATCH('Error Log'!$F218,Severity_Matrix!$B$3:$B$10,0),MATCH('Error Log'!$G218,Severity_Matrix!$C$2:$M$2,0)),"No errors"))</f>
        <v>Critical</v>
      </c>
    </row>
    <row r="219" spans="1:10">
      <c r="A219" s="74" t="s">
        <v>304</v>
      </c>
      <c r="B219" s="17">
        <v>11</v>
      </c>
      <c r="C219" s="83" t="s">
        <v>300</v>
      </c>
      <c r="D219" s="83" t="s">
        <v>301</v>
      </c>
      <c r="E219" s="79" t="s">
        <v>21</v>
      </c>
      <c r="F219" s="79" t="s">
        <v>7</v>
      </c>
      <c r="G219" s="79" t="s">
        <v>57</v>
      </c>
      <c r="H219" s="79" t="s">
        <v>311</v>
      </c>
      <c r="I219" s="79"/>
      <c r="J219" s="14" t="str">
        <f>IF(E219="Invalid_Segment","Invalid",IFERROR(INDEX(Severity_Matrix!$C$3:$M$10,MATCH('Error Log'!$F219,Severity_Matrix!$B$3:$B$10,0),MATCH('Error Log'!$G219,Severity_Matrix!$C$2:$M$2,0)),"No errors"))</f>
        <v>Critical</v>
      </c>
    </row>
    <row r="220" spans="1:10">
      <c r="A220" s="74" t="s">
        <v>312</v>
      </c>
      <c r="B220" s="17">
        <v>1</v>
      </c>
      <c r="C220" s="83" t="s">
        <v>313</v>
      </c>
      <c r="D220" s="83" t="s">
        <v>314</v>
      </c>
      <c r="E220" s="79" t="s">
        <v>21</v>
      </c>
      <c r="F220" s="79" t="s">
        <v>63</v>
      </c>
      <c r="G220" s="79" t="s">
        <v>56</v>
      </c>
      <c r="H220" s="79" t="s">
        <v>149</v>
      </c>
      <c r="I220" s="79"/>
      <c r="J220" s="14" t="str">
        <f>IF(E220="Invalid_Segment","Invalid",IFERROR(INDEX(Severity_Matrix!$C$3:$M$10,MATCH('Error Log'!$F220,Severity_Matrix!$B$3:$B$10,0),MATCH('Error Log'!$G220,Severity_Matrix!$C$2:$M$2,0)),"No errors"))</f>
        <v>Critical</v>
      </c>
    </row>
    <row r="221" spans="1:10">
      <c r="A221" s="74" t="s">
        <v>312</v>
      </c>
      <c r="B221" s="17">
        <v>2</v>
      </c>
      <c r="C221" s="83" t="s">
        <v>313</v>
      </c>
      <c r="D221" s="83" t="s">
        <v>314</v>
      </c>
      <c r="E221" s="79" t="s">
        <v>21</v>
      </c>
      <c r="F221" s="79" t="s">
        <v>63</v>
      </c>
      <c r="G221" s="79" t="s">
        <v>58</v>
      </c>
      <c r="H221" s="79" t="s">
        <v>167</v>
      </c>
      <c r="I221" s="79"/>
      <c r="J221" s="14" t="str">
        <f>IF(E221="Invalid_Segment","Invalid",IFERROR(INDEX(Severity_Matrix!$C$3:$M$10,MATCH('Error Log'!$F221,Severity_Matrix!$B$3:$B$10,0),MATCH('Error Log'!$G221,Severity_Matrix!$C$2:$M$2,0)),"No errors"))</f>
        <v>Minor</v>
      </c>
    </row>
    <row r="222" spans="1:10">
      <c r="A222" s="74" t="s">
        <v>315</v>
      </c>
      <c r="B222" s="17">
        <v>3</v>
      </c>
      <c r="C222" s="83" t="s">
        <v>313</v>
      </c>
      <c r="D222" s="83" t="s">
        <v>314</v>
      </c>
      <c r="E222" s="79" t="s">
        <v>21</v>
      </c>
      <c r="F222" s="79" t="s">
        <v>63</v>
      </c>
      <c r="G222" s="79" t="s">
        <v>27</v>
      </c>
      <c r="H222" s="79" t="s">
        <v>316</v>
      </c>
      <c r="I222" s="79"/>
      <c r="J222" s="14" t="str">
        <f>IF(E222="Invalid_Segment","Invalid",IFERROR(INDEX(Severity_Matrix!$C$3:$M$10,MATCH('Error Log'!$F222,Severity_Matrix!$B$3:$B$10,0),MATCH('Error Log'!$G222,Severity_Matrix!$C$2:$M$2,0)),"No errors"))</f>
        <v>Critical</v>
      </c>
    </row>
    <row r="223" spans="1:10">
      <c r="A223" s="74" t="s">
        <v>315</v>
      </c>
      <c r="B223" s="17">
        <v>4</v>
      </c>
      <c r="C223" s="83" t="s">
        <v>313</v>
      </c>
      <c r="D223" s="83" t="s">
        <v>314</v>
      </c>
      <c r="E223" s="79" t="s">
        <v>21</v>
      </c>
      <c r="F223" s="79" t="s">
        <v>63</v>
      </c>
      <c r="G223" s="79" t="s">
        <v>58</v>
      </c>
      <c r="H223" s="79" t="s">
        <v>317</v>
      </c>
      <c r="I223" s="79"/>
      <c r="J223" s="14" t="str">
        <f>IF(E223="Invalid_Segment","Invalid",IFERROR(INDEX(Severity_Matrix!$C$3:$M$10,MATCH('Error Log'!$F223,Severity_Matrix!$B$3:$B$10,0),MATCH('Error Log'!$G223,Severity_Matrix!$C$2:$M$2,0)),"No errors"))</f>
        <v>Minor</v>
      </c>
    </row>
    <row r="224" spans="1:10">
      <c r="A224" s="74" t="s">
        <v>315</v>
      </c>
      <c r="B224" s="17">
        <v>5</v>
      </c>
      <c r="C224" s="83" t="s">
        <v>313</v>
      </c>
      <c r="D224" s="83" t="s">
        <v>314</v>
      </c>
      <c r="E224" s="79" t="s">
        <v>21</v>
      </c>
      <c r="F224" s="79" t="s">
        <v>63</v>
      </c>
      <c r="G224" s="79" t="s">
        <v>29</v>
      </c>
      <c r="H224" s="79" t="s">
        <v>318</v>
      </c>
      <c r="I224" s="79"/>
      <c r="J224" s="14" t="str">
        <f>IF(E224="Invalid_Segment","Invalid",IFERROR(INDEX(Severity_Matrix!$C$3:$M$10,MATCH('Error Log'!$F224,Severity_Matrix!$B$3:$B$10,0),MATCH('Error Log'!$G224,Severity_Matrix!$C$2:$M$2,0)),"No errors"))</f>
        <v>Critical</v>
      </c>
    </row>
    <row r="225" spans="1:10">
      <c r="A225" s="74" t="s">
        <v>315</v>
      </c>
      <c r="B225" s="17">
        <v>6</v>
      </c>
      <c r="C225" s="83" t="s">
        <v>313</v>
      </c>
      <c r="D225" s="83" t="s">
        <v>314</v>
      </c>
      <c r="E225" s="79" t="s">
        <v>2</v>
      </c>
      <c r="F225" s="79" t="s">
        <v>26</v>
      </c>
      <c r="G225" s="79" t="s">
        <v>57</v>
      </c>
      <c r="H225" s="79" t="s">
        <v>319</v>
      </c>
      <c r="I225" s="79"/>
      <c r="J225" s="14" t="str">
        <f>IF(E225="Invalid_Segment","Invalid",IFERROR(INDEX(Severity_Matrix!$C$3:$M$10,MATCH('Error Log'!$F225,Severity_Matrix!$B$3:$B$10,0),MATCH('Error Log'!$G225,Severity_Matrix!$C$2:$M$2,0)),"No errors"))</f>
        <v>Major</v>
      </c>
    </row>
    <row r="226" spans="1:10">
      <c r="A226" s="74" t="s">
        <v>315</v>
      </c>
      <c r="B226" s="17">
        <v>7</v>
      </c>
      <c r="C226" s="83" t="s">
        <v>313</v>
      </c>
      <c r="D226" s="83" t="s">
        <v>314</v>
      </c>
      <c r="E226" s="79" t="s">
        <v>2</v>
      </c>
      <c r="F226" s="79" t="s">
        <v>26</v>
      </c>
      <c r="G226" s="79" t="s">
        <v>57</v>
      </c>
      <c r="H226" s="79" t="s">
        <v>320</v>
      </c>
      <c r="I226" s="79"/>
      <c r="J226" s="14" t="str">
        <f>IF(E226="Invalid_Segment","Invalid",IFERROR(INDEX(Severity_Matrix!$C$3:$M$10,MATCH('Error Log'!$F226,Severity_Matrix!$B$3:$B$10,0),MATCH('Error Log'!$G226,Severity_Matrix!$C$2:$M$2,0)),"No errors"))</f>
        <v>Major</v>
      </c>
    </row>
    <row r="227" spans="1:10">
      <c r="A227" s="74" t="s">
        <v>315</v>
      </c>
      <c r="B227" s="17">
        <v>8</v>
      </c>
      <c r="C227" s="83" t="s">
        <v>313</v>
      </c>
      <c r="D227" s="83" t="s">
        <v>314</v>
      </c>
      <c r="E227" s="79" t="s">
        <v>21</v>
      </c>
      <c r="F227" s="79" t="s">
        <v>7</v>
      </c>
      <c r="G227" s="79" t="s">
        <v>57</v>
      </c>
      <c r="H227" s="79" t="s">
        <v>321</v>
      </c>
      <c r="I227" s="79"/>
      <c r="J227" s="14" t="str">
        <f>IF(E227="Invalid_Segment","Invalid",IFERROR(INDEX(Severity_Matrix!$C$3:$M$10,MATCH('Error Log'!$F227,Severity_Matrix!$B$3:$B$10,0),MATCH('Error Log'!$G227,Severity_Matrix!$C$2:$M$2,0)),"No errors"))</f>
        <v>Critical</v>
      </c>
    </row>
    <row r="228" spans="1:10">
      <c r="A228" s="74" t="s">
        <v>322</v>
      </c>
      <c r="B228" s="17">
        <v>1</v>
      </c>
      <c r="C228" s="83" t="s">
        <v>323</v>
      </c>
      <c r="D228" s="83" t="s">
        <v>324</v>
      </c>
      <c r="E228" s="79" t="s">
        <v>21</v>
      </c>
      <c r="F228" s="79" t="s">
        <v>63</v>
      </c>
      <c r="G228" s="79" t="s">
        <v>54</v>
      </c>
      <c r="H228" s="79" t="s">
        <v>325</v>
      </c>
      <c r="I228" s="79"/>
      <c r="J228" s="14" t="str">
        <f>IF(E228="Invalid_Segment","Invalid",IFERROR(INDEX(Severity_Matrix!$C$3:$M$10,MATCH('Error Log'!$F228,Severity_Matrix!$B$3:$B$10,0),MATCH('Error Log'!$G228,Severity_Matrix!$C$2:$M$2,0)),"No errors"))</f>
        <v>Critical</v>
      </c>
    </row>
    <row r="229" spans="1:10">
      <c r="A229" s="74" t="s">
        <v>322</v>
      </c>
      <c r="B229" s="17">
        <v>2</v>
      </c>
      <c r="C229" s="83" t="s">
        <v>323</v>
      </c>
      <c r="D229" s="83" t="s">
        <v>324</v>
      </c>
      <c r="E229" s="79" t="s">
        <v>21</v>
      </c>
      <c r="F229" s="79" t="s">
        <v>63</v>
      </c>
      <c r="G229" s="79" t="s">
        <v>27</v>
      </c>
      <c r="H229" s="79" t="s">
        <v>326</v>
      </c>
      <c r="I229" s="79"/>
      <c r="J229" s="14" t="str">
        <f>IF(E229="Invalid_Segment","Invalid",IFERROR(INDEX(Severity_Matrix!$C$3:$M$10,MATCH('Error Log'!$F229,Severity_Matrix!$B$3:$B$10,0),MATCH('Error Log'!$G229,Severity_Matrix!$C$2:$M$2,0)),"No errors"))</f>
        <v>Critical</v>
      </c>
    </row>
    <row r="230" spans="1:10">
      <c r="A230" s="74" t="s">
        <v>322</v>
      </c>
      <c r="B230" s="17">
        <v>3</v>
      </c>
      <c r="C230" s="83" t="s">
        <v>323</v>
      </c>
      <c r="D230" s="83" t="s">
        <v>324</v>
      </c>
      <c r="E230" s="79" t="s">
        <v>21</v>
      </c>
      <c r="F230" s="79" t="s">
        <v>63</v>
      </c>
      <c r="G230" s="79" t="s">
        <v>54</v>
      </c>
      <c r="H230" s="79" t="s">
        <v>327</v>
      </c>
      <c r="I230" s="79"/>
      <c r="J230" s="14" t="str">
        <f>IF(E230="Invalid_Segment","Invalid",IFERROR(INDEX(Severity_Matrix!$C$3:$M$10,MATCH('Error Log'!$F230,Severity_Matrix!$B$3:$B$10,0),MATCH('Error Log'!$G230,Severity_Matrix!$C$2:$M$2,0)),"No errors"))</f>
        <v>Critical</v>
      </c>
    </row>
    <row r="231" spans="1:10">
      <c r="A231" s="74" t="s">
        <v>322</v>
      </c>
      <c r="B231" s="17">
        <v>4</v>
      </c>
      <c r="C231" s="83" t="s">
        <v>323</v>
      </c>
      <c r="D231" s="83" t="s">
        <v>324</v>
      </c>
      <c r="E231" s="79" t="s">
        <v>21</v>
      </c>
      <c r="F231" s="79" t="s">
        <v>22</v>
      </c>
      <c r="G231" s="79" t="s">
        <v>57</v>
      </c>
      <c r="H231" s="79" t="s">
        <v>328</v>
      </c>
      <c r="I231" s="79"/>
      <c r="J231" s="14" t="str">
        <f>IF(E231="Invalid_Segment","Invalid",IFERROR(INDEX(Severity_Matrix!$C$3:$M$10,MATCH('Error Log'!$F231,Severity_Matrix!$B$3:$B$10,0),MATCH('Error Log'!$G231,Severity_Matrix!$C$2:$M$2,0)),"No errors"))</f>
        <v>Major</v>
      </c>
    </row>
    <row r="232" spans="1:10">
      <c r="A232" s="74" t="s">
        <v>329</v>
      </c>
      <c r="B232" s="17">
        <v>5</v>
      </c>
      <c r="C232" s="83" t="s">
        <v>323</v>
      </c>
      <c r="D232" s="83" t="s">
        <v>324</v>
      </c>
      <c r="E232" s="79" t="s">
        <v>21</v>
      </c>
      <c r="F232" s="79" t="s">
        <v>7</v>
      </c>
      <c r="G232" s="79" t="s">
        <v>57</v>
      </c>
      <c r="H232" s="79" t="s">
        <v>330</v>
      </c>
      <c r="I232" s="79"/>
      <c r="J232" s="14" t="str">
        <f>IF(E232="Invalid_Segment","Invalid",IFERROR(INDEX(Severity_Matrix!$C$3:$M$10,MATCH('Error Log'!$F232,Severity_Matrix!$B$3:$B$10,0),MATCH('Error Log'!$G232,Severity_Matrix!$C$2:$M$2,0)),"No errors"))</f>
        <v>Critical</v>
      </c>
    </row>
    <row r="233" spans="1:10">
      <c r="A233" s="74" t="s">
        <v>329</v>
      </c>
      <c r="B233" s="17">
        <v>6</v>
      </c>
      <c r="C233" s="83" t="s">
        <v>323</v>
      </c>
      <c r="D233" s="83" t="s">
        <v>324</v>
      </c>
      <c r="E233" s="79" t="s">
        <v>21</v>
      </c>
      <c r="F233" s="79" t="s">
        <v>7</v>
      </c>
      <c r="G233" s="79" t="s">
        <v>57</v>
      </c>
      <c r="H233" s="79" t="s">
        <v>331</v>
      </c>
      <c r="I233" s="79"/>
      <c r="J233" s="14" t="str">
        <f>IF(E233="Invalid_Segment","Invalid",IFERROR(INDEX(Severity_Matrix!$C$3:$M$10,MATCH('Error Log'!$F233,Severity_Matrix!$B$3:$B$10,0),MATCH('Error Log'!$G233,Severity_Matrix!$C$2:$M$2,0)),"No errors"))</f>
        <v>Critical</v>
      </c>
    </row>
    <row r="234" spans="1:10">
      <c r="A234" s="74" t="s">
        <v>329</v>
      </c>
      <c r="B234" s="17">
        <v>7</v>
      </c>
      <c r="C234" s="83" t="s">
        <v>323</v>
      </c>
      <c r="D234" s="83" t="s">
        <v>324</v>
      </c>
      <c r="E234" s="79" t="s">
        <v>21</v>
      </c>
      <c r="F234" s="79" t="s">
        <v>7</v>
      </c>
      <c r="G234" s="79" t="s">
        <v>57</v>
      </c>
      <c r="H234" s="79" t="s">
        <v>332</v>
      </c>
      <c r="I234" s="79"/>
      <c r="J234" s="14" t="str">
        <f>IF(E234="Invalid_Segment","Invalid",IFERROR(INDEX(Severity_Matrix!$C$3:$M$10,MATCH('Error Log'!$F234,Severity_Matrix!$B$3:$B$10,0),MATCH('Error Log'!$G234,Severity_Matrix!$C$2:$M$2,0)),"No errors"))</f>
        <v>Critical</v>
      </c>
    </row>
    <row r="235" spans="1:10">
      <c r="A235" s="74" t="s">
        <v>329</v>
      </c>
      <c r="B235" s="17">
        <v>8</v>
      </c>
      <c r="C235" s="83" t="s">
        <v>323</v>
      </c>
      <c r="D235" s="83" t="s">
        <v>324</v>
      </c>
      <c r="E235" s="79" t="s">
        <v>21</v>
      </c>
      <c r="F235" s="79" t="s">
        <v>7</v>
      </c>
      <c r="G235" s="79" t="s">
        <v>57</v>
      </c>
      <c r="H235" s="79" t="s">
        <v>333</v>
      </c>
      <c r="I235" s="79"/>
      <c r="J235" s="14" t="str">
        <f>IF(E235="Invalid_Segment","Invalid",IFERROR(INDEX(Severity_Matrix!$C$3:$M$10,MATCH('Error Log'!$F235,Severity_Matrix!$B$3:$B$10,0),MATCH('Error Log'!$G235,Severity_Matrix!$C$2:$M$2,0)),"No errors"))</f>
        <v>Critical</v>
      </c>
    </row>
    <row r="236" spans="1:10">
      <c r="A236" s="74" t="s">
        <v>334</v>
      </c>
      <c r="B236" s="17">
        <v>1</v>
      </c>
      <c r="C236" s="83" t="s">
        <v>335</v>
      </c>
      <c r="D236" s="83" t="s">
        <v>336</v>
      </c>
      <c r="E236" s="79" t="s">
        <v>21</v>
      </c>
      <c r="F236" s="79" t="s">
        <v>63</v>
      </c>
      <c r="G236" s="79" t="s">
        <v>28</v>
      </c>
      <c r="H236" s="79" t="s">
        <v>337</v>
      </c>
      <c r="I236" s="79"/>
      <c r="J236" s="14" t="str">
        <f>IF(E236="Invalid_Segment","Invalid",IFERROR(INDEX(Severity_Matrix!$C$3:$M$10,MATCH('Error Log'!$F236,Severity_Matrix!$B$3:$B$10,0),MATCH('Error Log'!$G236,Severity_Matrix!$C$2:$M$2,0)),"No errors"))</f>
        <v>Major</v>
      </c>
    </row>
    <row r="237" spans="1:10">
      <c r="A237" s="74" t="s">
        <v>334</v>
      </c>
      <c r="B237" s="17">
        <v>2</v>
      </c>
      <c r="C237" s="83" t="s">
        <v>335</v>
      </c>
      <c r="D237" s="83" t="s">
        <v>336</v>
      </c>
      <c r="E237" s="79" t="s">
        <v>21</v>
      </c>
      <c r="F237" s="79" t="s">
        <v>63</v>
      </c>
      <c r="G237" s="79" t="s">
        <v>54</v>
      </c>
      <c r="H237" s="79" t="s">
        <v>338</v>
      </c>
      <c r="I237" s="79"/>
      <c r="J237" s="14" t="str">
        <f>IF(E237="Invalid_Segment","Invalid",IFERROR(INDEX(Severity_Matrix!$C$3:$M$10,MATCH('Error Log'!$F237,Severity_Matrix!$B$3:$B$10,0),MATCH('Error Log'!$G237,Severity_Matrix!$C$2:$M$2,0)),"No errors"))</f>
        <v>Critical</v>
      </c>
    </row>
    <row r="238" spans="1:10">
      <c r="A238" s="74" t="s">
        <v>339</v>
      </c>
      <c r="B238" s="17">
        <v>3</v>
      </c>
      <c r="C238" s="83" t="s">
        <v>335</v>
      </c>
      <c r="D238" s="83" t="s">
        <v>336</v>
      </c>
      <c r="E238" s="79" t="s">
        <v>21</v>
      </c>
      <c r="F238" s="79" t="s">
        <v>63</v>
      </c>
      <c r="G238" s="79" t="s">
        <v>58</v>
      </c>
      <c r="H238" s="79" t="s">
        <v>280</v>
      </c>
      <c r="I238" s="79"/>
      <c r="J238" s="14" t="str">
        <f>IF(E238="Invalid_Segment","Invalid",IFERROR(INDEX(Severity_Matrix!$C$3:$M$10,MATCH('Error Log'!$F238,Severity_Matrix!$B$3:$B$10,0),MATCH('Error Log'!$G238,Severity_Matrix!$C$2:$M$2,0)),"No errors"))</f>
        <v>Minor</v>
      </c>
    </row>
    <row r="239" spans="1:10">
      <c r="A239" s="74" t="s">
        <v>339</v>
      </c>
      <c r="B239" s="17">
        <v>4</v>
      </c>
      <c r="C239" s="83" t="s">
        <v>335</v>
      </c>
      <c r="D239" s="83" t="s">
        <v>336</v>
      </c>
      <c r="E239" s="79" t="s">
        <v>21</v>
      </c>
      <c r="F239" s="79" t="s">
        <v>63</v>
      </c>
      <c r="G239" s="79" t="s">
        <v>28</v>
      </c>
      <c r="H239" s="79" t="s">
        <v>337</v>
      </c>
      <c r="I239" s="79"/>
      <c r="J239" s="14" t="str">
        <f>IF(E239="Invalid_Segment","Invalid",IFERROR(INDEX(Severity_Matrix!$C$3:$M$10,MATCH('Error Log'!$F239,Severity_Matrix!$B$3:$B$10,0),MATCH('Error Log'!$G239,Severity_Matrix!$C$2:$M$2,0)),"No errors"))</f>
        <v>Major</v>
      </c>
    </row>
    <row r="240" spans="1:10">
      <c r="A240" s="74" t="s">
        <v>339</v>
      </c>
      <c r="B240" s="17">
        <v>5</v>
      </c>
      <c r="C240" s="83" t="s">
        <v>335</v>
      </c>
      <c r="D240" s="83" t="s">
        <v>336</v>
      </c>
      <c r="E240" s="79" t="s">
        <v>21</v>
      </c>
      <c r="F240" s="79" t="s">
        <v>63</v>
      </c>
      <c r="G240" s="79" t="s">
        <v>54</v>
      </c>
      <c r="H240" s="79" t="s">
        <v>338</v>
      </c>
      <c r="I240" s="79"/>
      <c r="J240" s="14" t="str">
        <f>IF(E240="Invalid_Segment","Invalid",IFERROR(INDEX(Severity_Matrix!$C$3:$M$10,MATCH('Error Log'!$F240,Severity_Matrix!$B$3:$B$10,0),MATCH('Error Log'!$G240,Severity_Matrix!$C$2:$M$2,0)),"No errors"))</f>
        <v>Critical</v>
      </c>
    </row>
    <row r="241" spans="1:10">
      <c r="A241" s="74" t="s">
        <v>339</v>
      </c>
      <c r="B241" s="17">
        <v>6</v>
      </c>
      <c r="C241" s="83" t="s">
        <v>335</v>
      </c>
      <c r="D241" s="83" t="s">
        <v>336</v>
      </c>
      <c r="E241" s="79" t="s">
        <v>21</v>
      </c>
      <c r="F241" s="79" t="s">
        <v>63</v>
      </c>
      <c r="G241" s="79" t="s">
        <v>58</v>
      </c>
      <c r="H241" s="79" t="s">
        <v>317</v>
      </c>
      <c r="I241" s="79"/>
      <c r="J241" s="14" t="str">
        <f>IF(E241="Invalid_Segment","Invalid",IFERROR(INDEX(Severity_Matrix!$C$3:$M$10,MATCH('Error Log'!$F241,Severity_Matrix!$B$3:$B$10,0),MATCH('Error Log'!$G241,Severity_Matrix!$C$2:$M$2,0)),"No errors"))</f>
        <v>Minor</v>
      </c>
    </row>
    <row r="242" spans="1:10">
      <c r="A242" s="74" t="s">
        <v>339</v>
      </c>
      <c r="B242" s="17">
        <v>7</v>
      </c>
      <c r="C242" s="83" t="s">
        <v>335</v>
      </c>
      <c r="D242" s="83" t="s">
        <v>336</v>
      </c>
      <c r="E242" s="79" t="s">
        <v>21</v>
      </c>
      <c r="F242" s="79" t="s">
        <v>63</v>
      </c>
      <c r="G242" s="79" t="s">
        <v>28</v>
      </c>
      <c r="H242" s="79" t="s">
        <v>340</v>
      </c>
      <c r="I242" s="79"/>
      <c r="J242" s="14" t="str">
        <f>IF(E242="Invalid_Segment","Invalid",IFERROR(INDEX(Severity_Matrix!$C$3:$M$10,MATCH('Error Log'!$F242,Severity_Matrix!$B$3:$B$10,0),MATCH('Error Log'!$G242,Severity_Matrix!$C$2:$M$2,0)),"No errors"))</f>
        <v>Major</v>
      </c>
    </row>
    <row r="243" spans="1:10">
      <c r="A243" s="74" t="s">
        <v>339</v>
      </c>
      <c r="B243" s="17">
        <v>8</v>
      </c>
      <c r="C243" s="83" t="s">
        <v>335</v>
      </c>
      <c r="D243" s="83" t="s">
        <v>336</v>
      </c>
      <c r="E243" s="79" t="s">
        <v>21</v>
      </c>
      <c r="F243" s="79" t="s">
        <v>63</v>
      </c>
      <c r="G243" s="79" t="s">
        <v>55</v>
      </c>
      <c r="H243" s="79" t="s">
        <v>341</v>
      </c>
      <c r="I243" s="79"/>
      <c r="J243" s="14" t="str">
        <f>IF(E243="Invalid_Segment","Invalid",IFERROR(INDEX(Severity_Matrix!$C$3:$M$10,MATCH('Error Log'!$F243,Severity_Matrix!$B$3:$B$10,0),MATCH('Error Log'!$G243,Severity_Matrix!$C$2:$M$2,0)),"No errors"))</f>
        <v>Critical</v>
      </c>
    </row>
    <row r="244" spans="1:10">
      <c r="A244" s="74" t="s">
        <v>339</v>
      </c>
      <c r="B244" s="17">
        <v>9</v>
      </c>
      <c r="C244" s="83" t="s">
        <v>335</v>
      </c>
      <c r="D244" s="83" t="s">
        <v>336</v>
      </c>
      <c r="E244" s="79" t="s">
        <v>21</v>
      </c>
      <c r="F244" s="79" t="s">
        <v>63</v>
      </c>
      <c r="G244" s="79" t="s">
        <v>54</v>
      </c>
      <c r="H244" s="79" t="s">
        <v>342</v>
      </c>
      <c r="I244" s="79"/>
      <c r="J244" s="14" t="str">
        <f>IF(E244="Invalid_Segment","Invalid",IFERROR(INDEX(Severity_Matrix!$C$3:$M$10,MATCH('Error Log'!$F244,Severity_Matrix!$B$3:$B$10,0),MATCH('Error Log'!$G244,Severity_Matrix!$C$2:$M$2,0)),"No errors"))</f>
        <v>Critical</v>
      </c>
    </row>
    <row r="245" spans="1:10">
      <c r="A245" s="74" t="s">
        <v>339</v>
      </c>
      <c r="B245" s="17">
        <v>10</v>
      </c>
      <c r="C245" s="83" t="s">
        <v>335</v>
      </c>
      <c r="D245" s="83" t="s">
        <v>336</v>
      </c>
      <c r="E245" s="79" t="s">
        <v>21</v>
      </c>
      <c r="F245" s="79" t="s">
        <v>63</v>
      </c>
      <c r="G245" s="79" t="s">
        <v>56</v>
      </c>
      <c r="H245" s="79" t="s">
        <v>303</v>
      </c>
      <c r="I245" s="79"/>
      <c r="J245" s="14" t="str">
        <f>IF(E245="Invalid_Segment","Invalid",IFERROR(INDEX(Severity_Matrix!$C$3:$M$10,MATCH('Error Log'!$F245,Severity_Matrix!$B$3:$B$10,0),MATCH('Error Log'!$G245,Severity_Matrix!$C$2:$M$2,0)),"No errors"))</f>
        <v>Critical</v>
      </c>
    </row>
    <row r="246" spans="1:10">
      <c r="A246" s="74" t="s">
        <v>339</v>
      </c>
      <c r="B246" s="17">
        <v>11</v>
      </c>
      <c r="C246" s="83" t="s">
        <v>335</v>
      </c>
      <c r="D246" s="83" t="s">
        <v>336</v>
      </c>
      <c r="E246" s="79" t="s">
        <v>21</v>
      </c>
      <c r="F246" s="79" t="s">
        <v>63</v>
      </c>
      <c r="G246" s="79" t="s">
        <v>56</v>
      </c>
      <c r="H246" s="79" t="s">
        <v>203</v>
      </c>
      <c r="I246" s="79"/>
      <c r="J246" s="14" t="str">
        <f>IF(E246="Invalid_Segment","Invalid",IFERROR(INDEX(Severity_Matrix!$C$3:$M$10,MATCH('Error Log'!$F246,Severity_Matrix!$B$3:$B$10,0),MATCH('Error Log'!$G246,Severity_Matrix!$C$2:$M$2,0)),"No errors"))</f>
        <v>Critical</v>
      </c>
    </row>
    <row r="247" spans="1:10">
      <c r="A247" s="74" t="s">
        <v>339</v>
      </c>
      <c r="B247" s="17">
        <v>12</v>
      </c>
      <c r="C247" s="83" t="s">
        <v>335</v>
      </c>
      <c r="D247" s="83" t="s">
        <v>336</v>
      </c>
      <c r="E247" s="79" t="s">
        <v>21</v>
      </c>
      <c r="F247" s="79" t="s">
        <v>63</v>
      </c>
      <c r="G247" s="79" t="s">
        <v>55</v>
      </c>
      <c r="H247" s="79" t="s">
        <v>343</v>
      </c>
      <c r="I247" s="79"/>
      <c r="J247" s="14" t="str">
        <f>IF(E247="Invalid_Segment","Invalid",IFERROR(INDEX(Severity_Matrix!$C$3:$M$10,MATCH('Error Log'!$F247,Severity_Matrix!$B$3:$B$10,0),MATCH('Error Log'!$G247,Severity_Matrix!$C$2:$M$2,0)),"No errors"))</f>
        <v>Critical</v>
      </c>
    </row>
    <row r="248" spans="1:10">
      <c r="A248" s="74" t="s">
        <v>339</v>
      </c>
      <c r="B248" s="17">
        <v>13</v>
      </c>
      <c r="C248" s="83" t="s">
        <v>335</v>
      </c>
      <c r="D248" s="83" t="s">
        <v>336</v>
      </c>
      <c r="E248" s="79" t="s">
        <v>21</v>
      </c>
      <c r="F248" s="79" t="s">
        <v>63</v>
      </c>
      <c r="G248" s="79" t="s">
        <v>54</v>
      </c>
      <c r="H248" s="79" t="s">
        <v>342</v>
      </c>
      <c r="I248" s="79"/>
      <c r="J248" s="14" t="str">
        <f>IF(E248="Invalid_Segment","Invalid",IFERROR(INDEX(Severity_Matrix!$C$3:$M$10,MATCH('Error Log'!$F248,Severity_Matrix!$B$3:$B$10,0),MATCH('Error Log'!$G248,Severity_Matrix!$C$2:$M$2,0)),"No errors"))</f>
        <v>Critical</v>
      </c>
    </row>
    <row r="249" spans="1:10">
      <c r="A249" s="74" t="s">
        <v>339</v>
      </c>
      <c r="B249" s="17">
        <v>14</v>
      </c>
      <c r="C249" s="83" t="s">
        <v>335</v>
      </c>
      <c r="D249" s="83" t="s">
        <v>336</v>
      </c>
      <c r="E249" s="79" t="s">
        <v>21</v>
      </c>
      <c r="F249" s="79" t="s">
        <v>63</v>
      </c>
      <c r="G249" s="79" t="s">
        <v>56</v>
      </c>
      <c r="H249" s="79" t="s">
        <v>303</v>
      </c>
      <c r="I249" s="79"/>
      <c r="J249" s="14" t="str">
        <f>IF(E249="Invalid_Segment","Invalid",IFERROR(INDEX(Severity_Matrix!$C$3:$M$10,MATCH('Error Log'!$F249,Severity_Matrix!$B$3:$B$10,0),MATCH('Error Log'!$G249,Severity_Matrix!$C$2:$M$2,0)),"No errors"))</f>
        <v>Critical</v>
      </c>
    </row>
    <row r="250" spans="1:10">
      <c r="A250" s="74" t="s">
        <v>339</v>
      </c>
      <c r="B250" s="17">
        <v>15</v>
      </c>
      <c r="C250" s="83" t="s">
        <v>335</v>
      </c>
      <c r="D250" s="83" t="s">
        <v>336</v>
      </c>
      <c r="E250" s="79" t="s">
        <v>21</v>
      </c>
      <c r="F250" s="79" t="s">
        <v>63</v>
      </c>
      <c r="G250" s="79" t="s">
        <v>58</v>
      </c>
      <c r="H250" s="79" t="s">
        <v>203</v>
      </c>
      <c r="I250" s="79"/>
      <c r="J250" s="14" t="str">
        <f>IF(E250="Invalid_Segment","Invalid",IFERROR(INDEX(Severity_Matrix!$C$3:$M$10,MATCH('Error Log'!$F250,Severity_Matrix!$B$3:$B$10,0),MATCH('Error Log'!$G250,Severity_Matrix!$C$2:$M$2,0)),"No errors"))</f>
        <v>Minor</v>
      </c>
    </row>
    <row r="251" spans="1:10">
      <c r="A251" s="74" t="s">
        <v>339</v>
      </c>
      <c r="B251" s="17">
        <v>16</v>
      </c>
      <c r="C251" s="83" t="s">
        <v>335</v>
      </c>
      <c r="D251" s="83" t="s">
        <v>336</v>
      </c>
      <c r="E251" s="79" t="s">
        <v>21</v>
      </c>
      <c r="F251" s="79" t="s">
        <v>63</v>
      </c>
      <c r="G251" s="79" t="s">
        <v>28</v>
      </c>
      <c r="H251" s="79" t="s">
        <v>344</v>
      </c>
      <c r="I251" s="79"/>
      <c r="J251" s="14" t="str">
        <f>IF(E251="Invalid_Segment","Invalid",IFERROR(INDEX(Severity_Matrix!$C$3:$M$10,MATCH('Error Log'!$F251,Severity_Matrix!$B$3:$B$10,0),MATCH('Error Log'!$G251,Severity_Matrix!$C$2:$M$2,0)),"No errors"))</f>
        <v>Major</v>
      </c>
    </row>
    <row r="252" spans="1:10">
      <c r="A252" s="74" t="s">
        <v>339</v>
      </c>
      <c r="B252" s="17">
        <v>17</v>
      </c>
      <c r="C252" s="83" t="s">
        <v>335</v>
      </c>
      <c r="D252" s="83" t="s">
        <v>336</v>
      </c>
      <c r="E252" s="79" t="s">
        <v>21</v>
      </c>
      <c r="F252" s="79" t="s">
        <v>63</v>
      </c>
      <c r="G252" s="79" t="s">
        <v>54</v>
      </c>
      <c r="H252" s="79" t="s">
        <v>341</v>
      </c>
      <c r="I252" s="79"/>
      <c r="J252" s="14" t="str">
        <f>IF(E252="Invalid_Segment","Invalid",IFERROR(INDEX(Severity_Matrix!$C$3:$M$10,MATCH('Error Log'!$F252,Severity_Matrix!$B$3:$B$10,0),MATCH('Error Log'!$G252,Severity_Matrix!$C$2:$M$2,0)),"No errors"))</f>
        <v>Critical</v>
      </c>
    </row>
    <row r="253" spans="1:10">
      <c r="A253" s="74" t="s">
        <v>339</v>
      </c>
      <c r="B253" s="17">
        <v>18</v>
      </c>
      <c r="C253" s="83" t="s">
        <v>335</v>
      </c>
      <c r="D253" s="83" t="s">
        <v>336</v>
      </c>
      <c r="E253" s="79" t="s">
        <v>21</v>
      </c>
      <c r="F253" s="79" t="s">
        <v>63</v>
      </c>
      <c r="G253" s="79" t="s">
        <v>56</v>
      </c>
      <c r="H253" s="79" t="s">
        <v>303</v>
      </c>
      <c r="I253" s="79"/>
      <c r="J253" s="14" t="str">
        <f>IF(E253="Invalid_Segment","Invalid",IFERROR(INDEX(Severity_Matrix!$C$3:$M$10,MATCH('Error Log'!$F253,Severity_Matrix!$B$3:$B$10,0),MATCH('Error Log'!$G253,Severity_Matrix!$C$2:$M$2,0)),"No errors"))</f>
        <v>Critical</v>
      </c>
    </row>
    <row r="254" spans="1:10">
      <c r="A254" s="74" t="s">
        <v>339</v>
      </c>
      <c r="B254" s="17">
        <v>19</v>
      </c>
      <c r="C254" s="83" t="s">
        <v>335</v>
      </c>
      <c r="D254" s="83" t="s">
        <v>336</v>
      </c>
      <c r="E254" s="79" t="s">
        <v>21</v>
      </c>
      <c r="F254" s="79" t="s">
        <v>22</v>
      </c>
      <c r="G254" s="79" t="s">
        <v>57</v>
      </c>
      <c r="H254" s="79" t="s">
        <v>345</v>
      </c>
      <c r="I254" s="79"/>
      <c r="J254" s="14" t="str">
        <f>IF(E254="Invalid_Segment","Invalid",IFERROR(INDEX(Severity_Matrix!$C$3:$M$10,MATCH('Error Log'!$F254,Severity_Matrix!$B$3:$B$10,0),MATCH('Error Log'!$G254,Severity_Matrix!$C$2:$M$2,0)),"No errors"))</f>
        <v>Major</v>
      </c>
    </row>
    <row r="255" spans="1:10">
      <c r="A255" s="74" t="s">
        <v>339</v>
      </c>
      <c r="B255" s="17">
        <v>20</v>
      </c>
      <c r="C255" s="83" t="s">
        <v>335</v>
      </c>
      <c r="D255" s="83" t="s">
        <v>336</v>
      </c>
      <c r="E255" s="79" t="s">
        <v>21</v>
      </c>
      <c r="F255" s="79" t="s">
        <v>22</v>
      </c>
      <c r="G255" s="79" t="s">
        <v>57</v>
      </c>
      <c r="H255" s="79" t="s">
        <v>346</v>
      </c>
      <c r="I255" s="79"/>
      <c r="J255" s="14" t="str">
        <f>IF(E255="Invalid_Segment","Invalid",IFERROR(INDEX(Severity_Matrix!$C$3:$M$10,MATCH('Error Log'!$F255,Severity_Matrix!$B$3:$B$10,0),MATCH('Error Log'!$G255,Severity_Matrix!$C$2:$M$2,0)),"No errors"))</f>
        <v>Major</v>
      </c>
    </row>
    <row r="256" spans="1:10">
      <c r="A256" s="74" t="s">
        <v>334</v>
      </c>
      <c r="B256" s="17">
        <v>21</v>
      </c>
      <c r="C256" s="83" t="s">
        <v>335</v>
      </c>
      <c r="D256" s="83" t="s">
        <v>336</v>
      </c>
      <c r="E256" s="79" t="s">
        <v>21</v>
      </c>
      <c r="F256" s="79" t="s">
        <v>22</v>
      </c>
      <c r="G256" s="79" t="s">
        <v>57</v>
      </c>
      <c r="H256" s="79" t="s">
        <v>347</v>
      </c>
      <c r="I256" s="79"/>
      <c r="J256" s="14" t="str">
        <f>IF(E256="Invalid_Segment","Invalid",IFERROR(INDEX(Severity_Matrix!$C$3:$M$10,MATCH('Error Log'!$F256,Severity_Matrix!$B$3:$B$10,0),MATCH('Error Log'!$G256,Severity_Matrix!$C$2:$M$2,0)),"No errors"))</f>
        <v>Major</v>
      </c>
    </row>
    <row r="257" spans="1:10">
      <c r="A257" s="74" t="s">
        <v>334</v>
      </c>
      <c r="B257" s="17">
        <v>22</v>
      </c>
      <c r="C257" s="83" t="s">
        <v>335</v>
      </c>
      <c r="D257" s="83" t="s">
        <v>336</v>
      </c>
      <c r="E257" s="79" t="s">
        <v>21</v>
      </c>
      <c r="F257" s="79" t="s">
        <v>7</v>
      </c>
      <c r="G257" s="79" t="s">
        <v>57</v>
      </c>
      <c r="H257" s="79" t="s">
        <v>348</v>
      </c>
      <c r="I257" s="79"/>
      <c r="J257" s="14" t="str">
        <f>IF(E257="Invalid_Segment","Invalid",IFERROR(INDEX(Severity_Matrix!$C$3:$M$10,MATCH('Error Log'!$F257,Severity_Matrix!$B$3:$B$10,0),MATCH('Error Log'!$G257,Severity_Matrix!$C$2:$M$2,0)),"No errors"))</f>
        <v>Critical</v>
      </c>
    </row>
    <row r="258" spans="1:10">
      <c r="A258" s="74" t="s">
        <v>339</v>
      </c>
      <c r="B258" s="17">
        <v>23</v>
      </c>
      <c r="C258" s="83" t="s">
        <v>335</v>
      </c>
      <c r="D258" s="83" t="s">
        <v>336</v>
      </c>
      <c r="E258" s="79" t="s">
        <v>21</v>
      </c>
      <c r="F258" s="79" t="s">
        <v>7</v>
      </c>
      <c r="G258" s="79" t="s">
        <v>57</v>
      </c>
      <c r="H258" s="79" t="s">
        <v>349</v>
      </c>
      <c r="I258" s="79"/>
      <c r="J258" s="14" t="str">
        <f>IF(E258="Invalid_Segment","Invalid",IFERROR(INDEX(Severity_Matrix!$C$3:$M$10,MATCH('Error Log'!$F258,Severity_Matrix!$B$3:$B$10,0),MATCH('Error Log'!$G258,Severity_Matrix!$C$2:$M$2,0)),"No errors"))</f>
        <v>Critical</v>
      </c>
    </row>
    <row r="259" spans="1:10">
      <c r="A259" s="74" t="s">
        <v>339</v>
      </c>
      <c r="B259" s="17">
        <v>24</v>
      </c>
      <c r="C259" s="83" t="s">
        <v>335</v>
      </c>
      <c r="D259" s="83" t="s">
        <v>336</v>
      </c>
      <c r="E259" s="79" t="s">
        <v>21</v>
      </c>
      <c r="F259" s="79" t="s">
        <v>7</v>
      </c>
      <c r="G259" s="79" t="s">
        <v>57</v>
      </c>
      <c r="H259" s="79" t="s">
        <v>350</v>
      </c>
      <c r="I259" s="79"/>
      <c r="J259" s="14" t="str">
        <f>IF(E259="Invalid_Segment","Invalid",IFERROR(INDEX(Severity_Matrix!$C$3:$M$10,MATCH('Error Log'!$F259,Severity_Matrix!$B$3:$B$10,0),MATCH('Error Log'!$G259,Severity_Matrix!$C$2:$M$2,0)),"No errors"))</f>
        <v>Critical</v>
      </c>
    </row>
    <row r="260" spans="1:10">
      <c r="A260" s="74" t="s">
        <v>339</v>
      </c>
      <c r="B260" s="17">
        <v>25</v>
      </c>
      <c r="C260" s="83" t="s">
        <v>335</v>
      </c>
      <c r="D260" s="83" t="s">
        <v>336</v>
      </c>
      <c r="E260" s="79" t="s">
        <v>21</v>
      </c>
      <c r="F260" s="79" t="s">
        <v>7</v>
      </c>
      <c r="G260" s="79" t="s">
        <v>57</v>
      </c>
      <c r="H260" s="79" t="s">
        <v>351</v>
      </c>
      <c r="I260" s="79"/>
      <c r="J260" s="14" t="str">
        <f>IF(E260="Invalid_Segment","Invalid",IFERROR(INDEX(Severity_Matrix!$C$3:$M$10,MATCH('Error Log'!$F260,Severity_Matrix!$B$3:$B$10,0),MATCH('Error Log'!$G260,Severity_Matrix!$C$2:$M$2,0)),"No errors"))</f>
        <v>Critical</v>
      </c>
    </row>
    <row r="261" spans="1:10">
      <c r="A261" s="74" t="s">
        <v>352</v>
      </c>
      <c r="B261" s="17">
        <v>1</v>
      </c>
      <c r="C261" s="83" t="s">
        <v>353</v>
      </c>
      <c r="D261" s="83" t="s">
        <v>354</v>
      </c>
      <c r="E261" s="79" t="s">
        <v>21</v>
      </c>
      <c r="F261" s="79" t="s">
        <v>22</v>
      </c>
      <c r="G261" s="79" t="s">
        <v>57</v>
      </c>
      <c r="H261" s="79" t="s">
        <v>355</v>
      </c>
      <c r="I261" s="79"/>
      <c r="J261" s="14" t="str">
        <f>IF(E261="Invalid_Segment","Invalid",IFERROR(INDEX(Severity_Matrix!$C$3:$M$10,MATCH('Error Log'!$F261,Severity_Matrix!$B$3:$B$10,0),MATCH('Error Log'!$G261,Severity_Matrix!$C$2:$M$2,0)),"No errors"))</f>
        <v>Major</v>
      </c>
    </row>
    <row r="262" spans="1:10">
      <c r="A262" s="74" t="s">
        <v>352</v>
      </c>
      <c r="B262" s="17">
        <v>2</v>
      </c>
      <c r="C262" s="83" t="s">
        <v>353</v>
      </c>
      <c r="D262" s="83" t="s">
        <v>354</v>
      </c>
      <c r="E262" s="79" t="s">
        <v>21</v>
      </c>
      <c r="F262" s="79" t="s">
        <v>64</v>
      </c>
      <c r="G262" s="79" t="s">
        <v>27</v>
      </c>
      <c r="H262" s="79" t="s">
        <v>356</v>
      </c>
      <c r="I262" s="79"/>
      <c r="J262" s="14" t="str">
        <f>IF(E262="Invalid_Segment","Invalid",IFERROR(INDEX(Severity_Matrix!$C$3:$M$10,MATCH('Error Log'!$F262,Severity_Matrix!$B$3:$B$10,0),MATCH('Error Log'!$G262,Severity_Matrix!$C$2:$M$2,0)),"No errors"))</f>
        <v>Critical</v>
      </c>
    </row>
    <row r="263" spans="1:10">
      <c r="A263" s="74" t="s">
        <v>357</v>
      </c>
      <c r="B263" s="17">
        <v>3</v>
      </c>
      <c r="C263" s="83" t="s">
        <v>353</v>
      </c>
      <c r="D263" s="83" t="s">
        <v>354</v>
      </c>
      <c r="E263" s="79" t="s">
        <v>21</v>
      </c>
      <c r="F263" s="79" t="s">
        <v>7</v>
      </c>
      <c r="G263" s="79" t="s">
        <v>57</v>
      </c>
      <c r="H263" s="79" t="s">
        <v>358</v>
      </c>
      <c r="I263" s="79"/>
      <c r="J263" s="14" t="str">
        <f>IF(E263="Invalid_Segment","Invalid",IFERROR(INDEX(Severity_Matrix!$C$3:$M$10,MATCH('Error Log'!$F263,Severity_Matrix!$B$3:$B$10,0),MATCH('Error Log'!$G263,Severity_Matrix!$C$2:$M$2,0)),"No errors"))</f>
        <v>Critical</v>
      </c>
    </row>
    <row r="264" spans="1:10">
      <c r="A264" s="74" t="s">
        <v>357</v>
      </c>
      <c r="B264" s="17">
        <v>4</v>
      </c>
      <c r="C264" s="83" t="s">
        <v>353</v>
      </c>
      <c r="D264" s="83" t="s">
        <v>354</v>
      </c>
      <c r="E264" s="79" t="s">
        <v>21</v>
      </c>
      <c r="F264" s="79" t="s">
        <v>7</v>
      </c>
      <c r="G264" s="79" t="s">
        <v>57</v>
      </c>
      <c r="H264" s="79" t="s">
        <v>359</v>
      </c>
      <c r="I264" s="79"/>
      <c r="J264" s="14" t="str">
        <f>IF(E264="Invalid_Segment","Invalid",IFERROR(INDEX(Severity_Matrix!$C$3:$M$10,MATCH('Error Log'!$F264,Severity_Matrix!$B$3:$B$10,0),MATCH('Error Log'!$G264,Severity_Matrix!$C$2:$M$2,0)),"No errors"))</f>
        <v>Critical</v>
      </c>
    </row>
    <row r="265" spans="1:10">
      <c r="A265" s="74" t="s">
        <v>357</v>
      </c>
      <c r="B265" s="17">
        <v>5</v>
      </c>
      <c r="C265" s="83" t="s">
        <v>353</v>
      </c>
      <c r="D265" s="83" t="s">
        <v>354</v>
      </c>
      <c r="E265" s="79" t="s">
        <v>21</v>
      </c>
      <c r="F265" s="79" t="s">
        <v>7</v>
      </c>
      <c r="G265" s="79" t="s">
        <v>57</v>
      </c>
      <c r="H265" s="79" t="s">
        <v>360</v>
      </c>
      <c r="I265" s="79"/>
      <c r="J265" s="14" t="str">
        <f>IF(E265="Invalid_Segment","Invalid",IFERROR(INDEX(Severity_Matrix!$C$3:$M$10,MATCH('Error Log'!$F265,Severity_Matrix!$B$3:$B$10,0),MATCH('Error Log'!$G265,Severity_Matrix!$C$2:$M$2,0)),"No errors"))</f>
        <v>Critical</v>
      </c>
    </row>
    <row r="266" spans="1:10">
      <c r="A266" s="74" t="s">
        <v>357</v>
      </c>
      <c r="B266" s="17">
        <v>6</v>
      </c>
      <c r="C266" s="83" t="s">
        <v>353</v>
      </c>
      <c r="D266" s="83" t="s">
        <v>354</v>
      </c>
      <c r="E266" s="79" t="s">
        <v>21</v>
      </c>
      <c r="F266" s="79" t="s">
        <v>7</v>
      </c>
      <c r="G266" s="79" t="s">
        <v>57</v>
      </c>
      <c r="H266" s="79" t="s">
        <v>361</v>
      </c>
      <c r="I266" s="79"/>
      <c r="J266" s="14" t="str">
        <f>IF(E266="Invalid_Segment","Invalid",IFERROR(INDEX(Severity_Matrix!$C$3:$M$10,MATCH('Error Log'!$F266,Severity_Matrix!$B$3:$B$10,0),MATCH('Error Log'!$G266,Severity_Matrix!$C$2:$M$2,0)),"No errors"))</f>
        <v>Critical</v>
      </c>
    </row>
    <row r="267" spans="1:10">
      <c r="A267" s="74" t="s">
        <v>357</v>
      </c>
      <c r="B267" s="17">
        <v>7</v>
      </c>
      <c r="C267" s="83" t="s">
        <v>353</v>
      </c>
      <c r="D267" s="83" t="s">
        <v>354</v>
      </c>
      <c r="E267" s="79" t="s">
        <v>21</v>
      </c>
      <c r="F267" s="79" t="s">
        <v>7</v>
      </c>
      <c r="G267" s="79" t="s">
        <v>57</v>
      </c>
      <c r="H267" s="79" t="s">
        <v>362</v>
      </c>
      <c r="I267" s="79"/>
      <c r="J267" s="14" t="str">
        <f>IF(E267="Invalid_Segment","Invalid",IFERROR(INDEX(Severity_Matrix!$C$3:$M$10,MATCH('Error Log'!$F267,Severity_Matrix!$B$3:$B$10,0),MATCH('Error Log'!$G267,Severity_Matrix!$C$2:$M$2,0)),"No errors"))</f>
        <v>Critical</v>
      </c>
    </row>
    <row r="268" spans="1:10">
      <c r="A268" s="74" t="s">
        <v>363</v>
      </c>
      <c r="B268" s="17">
        <v>1</v>
      </c>
      <c r="C268" s="83" t="s">
        <v>364</v>
      </c>
      <c r="D268" s="83" t="s">
        <v>365</v>
      </c>
      <c r="E268" s="79" t="s">
        <v>21</v>
      </c>
      <c r="F268" s="79" t="s">
        <v>63</v>
      </c>
      <c r="G268" s="79" t="s">
        <v>54</v>
      </c>
      <c r="H268" s="79" t="s">
        <v>366</v>
      </c>
      <c r="I268" s="79"/>
      <c r="J268" s="14" t="str">
        <f>IF(E268="Invalid_Segment","Invalid",IFERROR(INDEX(Severity_Matrix!$C$3:$M$10,MATCH('Error Log'!$F268,Severity_Matrix!$B$3:$B$10,0),MATCH('Error Log'!$G268,Severity_Matrix!$C$2:$M$2,0)),"No errors"))</f>
        <v>Critical</v>
      </c>
    </row>
    <row r="269" spans="1:10">
      <c r="A269" s="74" t="s">
        <v>363</v>
      </c>
      <c r="B269" s="17">
        <v>2</v>
      </c>
      <c r="C269" s="83" t="s">
        <v>364</v>
      </c>
      <c r="D269" s="83" t="s">
        <v>365</v>
      </c>
      <c r="E269" s="79" t="s">
        <v>2</v>
      </c>
      <c r="F269" s="79" t="s">
        <v>26</v>
      </c>
      <c r="G269" s="79" t="s">
        <v>57</v>
      </c>
      <c r="H269" s="79" t="s">
        <v>367</v>
      </c>
      <c r="I269" s="79"/>
      <c r="J269" s="14" t="str">
        <f>IF(E269="Invalid_Segment","Invalid",IFERROR(INDEX(Severity_Matrix!$C$3:$M$10,MATCH('Error Log'!$F269,Severity_Matrix!$B$3:$B$10,0),MATCH('Error Log'!$G269,Severity_Matrix!$C$2:$M$2,0)),"No errors"))</f>
        <v>Major</v>
      </c>
    </row>
    <row r="270" spans="1:10">
      <c r="A270" s="74" t="s">
        <v>368</v>
      </c>
      <c r="B270" s="17">
        <v>3</v>
      </c>
      <c r="C270" s="83" t="s">
        <v>364</v>
      </c>
      <c r="D270" s="83" t="s">
        <v>365</v>
      </c>
      <c r="E270" s="79" t="s">
        <v>21</v>
      </c>
      <c r="F270" s="79" t="s">
        <v>7</v>
      </c>
      <c r="G270" s="79" t="s">
        <v>57</v>
      </c>
      <c r="H270" s="79" t="s">
        <v>369</v>
      </c>
      <c r="I270" s="79"/>
      <c r="J270" s="14" t="str">
        <f>IF(E270="Invalid_Segment","Invalid",IFERROR(INDEX(Severity_Matrix!$C$3:$M$10,MATCH('Error Log'!$F270,Severity_Matrix!$B$3:$B$10,0),MATCH('Error Log'!$G270,Severity_Matrix!$C$2:$M$2,0)),"No errors"))</f>
        <v>Critical</v>
      </c>
    </row>
    <row r="271" spans="1:10">
      <c r="A271" s="74" t="s">
        <v>368</v>
      </c>
      <c r="B271" s="17">
        <v>4</v>
      </c>
      <c r="C271" s="83" t="s">
        <v>364</v>
      </c>
      <c r="D271" s="83" t="s">
        <v>365</v>
      </c>
      <c r="E271" s="79" t="s">
        <v>21</v>
      </c>
      <c r="F271" s="79" t="s">
        <v>7</v>
      </c>
      <c r="G271" s="79" t="s">
        <v>57</v>
      </c>
      <c r="H271" s="79" t="s">
        <v>370</v>
      </c>
      <c r="I271" s="79"/>
      <c r="J271" s="14" t="str">
        <f>IF(E271="Invalid_Segment","Invalid",IFERROR(INDEX(Severity_Matrix!$C$3:$M$10,MATCH('Error Log'!$F271,Severity_Matrix!$B$3:$B$10,0),MATCH('Error Log'!$G271,Severity_Matrix!$C$2:$M$2,0)),"No errors"))</f>
        <v>Critical</v>
      </c>
    </row>
    <row r="272" spans="1:10">
      <c r="A272" s="74" t="s">
        <v>368</v>
      </c>
      <c r="B272" s="17">
        <v>5</v>
      </c>
      <c r="C272" s="83" t="s">
        <v>364</v>
      </c>
      <c r="D272" s="83" t="s">
        <v>365</v>
      </c>
      <c r="E272" s="79" t="s">
        <v>21</v>
      </c>
      <c r="F272" s="79" t="s">
        <v>7</v>
      </c>
      <c r="G272" s="79" t="s">
        <v>57</v>
      </c>
      <c r="H272" s="79" t="s">
        <v>371</v>
      </c>
      <c r="I272" s="79"/>
      <c r="J272" s="14" t="str">
        <f>IF(E272="Invalid_Segment","Invalid",IFERROR(INDEX(Severity_Matrix!$C$3:$M$10,MATCH('Error Log'!$F272,Severity_Matrix!$B$3:$B$10,0),MATCH('Error Log'!$G272,Severity_Matrix!$C$2:$M$2,0)),"No errors"))</f>
        <v>Critical</v>
      </c>
    </row>
    <row r="273" spans="1:10">
      <c r="A273" s="74" t="s">
        <v>368</v>
      </c>
      <c r="B273" s="17">
        <v>6</v>
      </c>
      <c r="C273" s="83" t="s">
        <v>364</v>
      </c>
      <c r="D273" s="83" t="s">
        <v>365</v>
      </c>
      <c r="E273" s="79" t="s">
        <v>21</v>
      </c>
      <c r="F273" s="79" t="s">
        <v>22</v>
      </c>
      <c r="G273" s="79" t="s">
        <v>57</v>
      </c>
      <c r="H273" s="79" t="s">
        <v>372</v>
      </c>
      <c r="I273" s="79"/>
      <c r="J273" s="14" t="str">
        <f>IF(E273="Invalid_Segment","Invalid",IFERROR(INDEX(Severity_Matrix!$C$3:$M$10,MATCH('Error Log'!$F273,Severity_Matrix!$B$3:$B$10,0),MATCH('Error Log'!$G273,Severity_Matrix!$C$2:$M$2,0)),"No errors"))</f>
        <v>Major</v>
      </c>
    </row>
    <row r="274" spans="1:10">
      <c r="A274" s="74" t="s">
        <v>373</v>
      </c>
      <c r="B274" s="17">
        <v>1</v>
      </c>
      <c r="C274" s="83" t="s">
        <v>374</v>
      </c>
      <c r="D274" s="83" t="s">
        <v>375</v>
      </c>
      <c r="E274" s="79" t="s">
        <v>21</v>
      </c>
      <c r="F274" s="79" t="s">
        <v>63</v>
      </c>
      <c r="G274" s="79" t="s">
        <v>27</v>
      </c>
      <c r="H274" s="79" t="s">
        <v>77</v>
      </c>
      <c r="I274" s="79"/>
      <c r="J274" s="14" t="str">
        <f>IF(E274="Invalid_Segment","Invalid",IFERROR(INDEX(Severity_Matrix!$C$3:$M$10,MATCH('Error Log'!$F274,Severity_Matrix!$B$3:$B$10,0),MATCH('Error Log'!$G274,Severity_Matrix!$C$2:$M$2,0)),"No errors"))</f>
        <v>Critical</v>
      </c>
    </row>
    <row r="275" spans="1:10">
      <c r="A275" s="74" t="s">
        <v>373</v>
      </c>
      <c r="B275" s="17">
        <v>2</v>
      </c>
      <c r="C275" s="83" t="s">
        <v>374</v>
      </c>
      <c r="D275" s="83" t="s">
        <v>375</v>
      </c>
      <c r="E275" s="79" t="s">
        <v>21</v>
      </c>
      <c r="F275" s="79" t="s">
        <v>63</v>
      </c>
      <c r="G275" s="79" t="s">
        <v>27</v>
      </c>
      <c r="H275" s="79" t="s">
        <v>77</v>
      </c>
      <c r="I275" s="79"/>
      <c r="J275" s="14" t="str">
        <f>IF(E275="Invalid_Segment","Invalid",IFERROR(INDEX(Severity_Matrix!$C$3:$M$10,MATCH('Error Log'!$F275,Severity_Matrix!$B$3:$B$10,0),MATCH('Error Log'!$G275,Severity_Matrix!$C$2:$M$2,0)),"No errors"))</f>
        <v>Critical</v>
      </c>
    </row>
    <row r="276" spans="1:10">
      <c r="A276" s="74" t="s">
        <v>376</v>
      </c>
      <c r="B276" s="17">
        <v>3</v>
      </c>
      <c r="C276" s="83" t="s">
        <v>374</v>
      </c>
      <c r="D276" s="83" t="s">
        <v>375</v>
      </c>
      <c r="E276" s="79" t="s">
        <v>21</v>
      </c>
      <c r="F276" s="79" t="s">
        <v>7</v>
      </c>
      <c r="G276" s="79" t="s">
        <v>57</v>
      </c>
      <c r="H276" s="79" t="s">
        <v>377</v>
      </c>
      <c r="I276" s="79"/>
      <c r="J276" s="14" t="str">
        <f>IF(E276="Invalid_Segment","Invalid",IFERROR(INDEX(Severity_Matrix!$C$3:$M$10,MATCH('Error Log'!$F276,Severity_Matrix!$B$3:$B$10,0),MATCH('Error Log'!$G276,Severity_Matrix!$C$2:$M$2,0)),"No errors"))</f>
        <v>Critical</v>
      </c>
    </row>
    <row r="277" spans="1:10">
      <c r="A277" s="74" t="s">
        <v>376</v>
      </c>
      <c r="B277" s="17">
        <v>4</v>
      </c>
      <c r="C277" s="83" t="s">
        <v>374</v>
      </c>
      <c r="D277" s="83" t="s">
        <v>375</v>
      </c>
      <c r="E277" s="79" t="s">
        <v>21</v>
      </c>
      <c r="F277" s="79" t="s">
        <v>7</v>
      </c>
      <c r="G277" s="79" t="s">
        <v>57</v>
      </c>
      <c r="H277" s="79" t="s">
        <v>378</v>
      </c>
      <c r="I277" s="79"/>
      <c r="J277" s="14" t="str">
        <f>IF(E277="Invalid_Segment","Invalid",IFERROR(INDEX(Severity_Matrix!$C$3:$M$10,MATCH('Error Log'!$F277,Severity_Matrix!$B$3:$B$10,0),MATCH('Error Log'!$G277,Severity_Matrix!$C$2:$M$2,0)),"No errors"))</f>
        <v>Critical</v>
      </c>
    </row>
    <row r="278" spans="1:10">
      <c r="A278" s="74" t="s">
        <v>376</v>
      </c>
      <c r="B278" s="17">
        <v>5</v>
      </c>
      <c r="C278" s="83" t="s">
        <v>374</v>
      </c>
      <c r="D278" s="83" t="s">
        <v>375</v>
      </c>
      <c r="E278" s="79" t="s">
        <v>21</v>
      </c>
      <c r="F278" s="79" t="s">
        <v>7</v>
      </c>
      <c r="G278" s="79" t="s">
        <v>57</v>
      </c>
      <c r="H278" s="79" t="s">
        <v>379</v>
      </c>
      <c r="I278" s="79"/>
      <c r="J278" s="14" t="str">
        <f>IF(E278="Invalid_Segment","Invalid",IFERROR(INDEX(Severity_Matrix!$C$3:$M$10,MATCH('Error Log'!$F278,Severity_Matrix!$B$3:$B$10,0),MATCH('Error Log'!$G278,Severity_Matrix!$C$2:$M$2,0)),"No errors"))</f>
        <v>Critical</v>
      </c>
    </row>
    <row r="279" spans="1:10">
      <c r="A279" s="74" t="s">
        <v>376</v>
      </c>
      <c r="B279" s="17">
        <v>6</v>
      </c>
      <c r="C279" s="83" t="s">
        <v>374</v>
      </c>
      <c r="D279" s="83" t="s">
        <v>375</v>
      </c>
      <c r="E279" s="79" t="s">
        <v>21</v>
      </c>
      <c r="F279" s="79" t="s">
        <v>7</v>
      </c>
      <c r="G279" s="79" t="s">
        <v>57</v>
      </c>
      <c r="H279" s="79" t="s">
        <v>380</v>
      </c>
      <c r="I279" s="79"/>
      <c r="J279" s="14" t="str">
        <f>IF(E279="Invalid_Segment","Invalid",IFERROR(INDEX(Severity_Matrix!$C$3:$M$10,MATCH('Error Log'!$F279,Severity_Matrix!$B$3:$B$10,0),MATCH('Error Log'!$G279,Severity_Matrix!$C$2:$M$2,0)),"No errors"))</f>
        <v>Critical</v>
      </c>
    </row>
    <row r="280" spans="1:10">
      <c r="A280" s="74" t="s">
        <v>381</v>
      </c>
      <c r="B280" s="17">
        <v>1</v>
      </c>
      <c r="C280" s="83" t="s">
        <v>382</v>
      </c>
      <c r="D280" s="83" t="s">
        <v>383</v>
      </c>
      <c r="E280" s="79" t="s">
        <v>21</v>
      </c>
      <c r="F280" s="79" t="s">
        <v>7</v>
      </c>
      <c r="G280" s="79" t="s">
        <v>57</v>
      </c>
      <c r="H280" s="79" t="s">
        <v>384</v>
      </c>
      <c r="I280" s="79"/>
      <c r="J280" s="14" t="str">
        <f>IF(E280="Invalid_Segment","Invalid",IFERROR(INDEX(Severity_Matrix!$C$3:$M$10,MATCH('Error Log'!$F280,Severity_Matrix!$B$3:$B$10,0),MATCH('Error Log'!$G280,Severity_Matrix!$C$2:$M$2,0)),"No errors"))</f>
        <v>Critical</v>
      </c>
    </row>
    <row r="281" spans="1:10">
      <c r="A281" s="74" t="s">
        <v>381</v>
      </c>
      <c r="B281" s="17">
        <v>2</v>
      </c>
      <c r="C281" s="83" t="s">
        <v>382</v>
      </c>
      <c r="D281" s="83" t="s">
        <v>383</v>
      </c>
      <c r="E281" s="79" t="s">
        <v>21</v>
      </c>
      <c r="F281" s="79" t="s">
        <v>7</v>
      </c>
      <c r="G281" s="79" t="s">
        <v>57</v>
      </c>
      <c r="H281" s="79" t="s">
        <v>385</v>
      </c>
      <c r="I281" s="79"/>
      <c r="J281" s="14" t="str">
        <f>IF(E281="Invalid_Segment","Invalid",IFERROR(INDEX(Severity_Matrix!$C$3:$M$10,MATCH('Error Log'!$F281,Severity_Matrix!$B$3:$B$10,0),MATCH('Error Log'!$G281,Severity_Matrix!$C$2:$M$2,0)),"No errors"))</f>
        <v>Critical</v>
      </c>
    </row>
    <row r="282" spans="1:10">
      <c r="A282" s="74" t="s">
        <v>386</v>
      </c>
      <c r="B282" s="17">
        <v>1</v>
      </c>
      <c r="C282" s="83" t="s">
        <v>387</v>
      </c>
      <c r="D282" s="83" t="s">
        <v>388</v>
      </c>
      <c r="E282" s="79" t="s">
        <v>21</v>
      </c>
      <c r="F282" s="79" t="s">
        <v>22</v>
      </c>
      <c r="G282" s="79" t="s">
        <v>57</v>
      </c>
      <c r="H282" s="79" t="s">
        <v>389</v>
      </c>
      <c r="I282" s="79"/>
      <c r="J282" s="14" t="str">
        <f>IF(E282="Invalid_Segment","Invalid",IFERROR(INDEX(Severity_Matrix!$C$3:$M$10,MATCH('Error Log'!$F282,Severity_Matrix!$B$3:$B$10,0),MATCH('Error Log'!$G282,Severity_Matrix!$C$2:$M$2,0)),"No errors"))</f>
        <v>Major</v>
      </c>
    </row>
    <row r="283" spans="1:10">
      <c r="A283" s="74" t="s">
        <v>386</v>
      </c>
      <c r="B283" s="17">
        <v>2</v>
      </c>
      <c r="C283" s="83" t="s">
        <v>387</v>
      </c>
      <c r="D283" s="83" t="s">
        <v>388</v>
      </c>
      <c r="E283" s="79" t="s">
        <v>21</v>
      </c>
      <c r="F283" s="79" t="s">
        <v>22</v>
      </c>
      <c r="G283" s="79" t="s">
        <v>57</v>
      </c>
      <c r="H283" s="79" t="s">
        <v>390</v>
      </c>
      <c r="I283" s="79"/>
      <c r="J283" s="14" t="str">
        <f>IF(E283="Invalid_Segment","Invalid",IFERROR(INDEX(Severity_Matrix!$C$3:$M$10,MATCH('Error Log'!$F283,Severity_Matrix!$B$3:$B$10,0),MATCH('Error Log'!$G283,Severity_Matrix!$C$2:$M$2,0)),"No errors"))</f>
        <v>Major</v>
      </c>
    </row>
    <row r="284" spans="1:10">
      <c r="A284" s="74" t="s">
        <v>391</v>
      </c>
      <c r="B284" s="17">
        <v>3</v>
      </c>
      <c r="C284" s="83" t="s">
        <v>387</v>
      </c>
      <c r="D284" s="83" t="s">
        <v>388</v>
      </c>
      <c r="E284" s="79" t="s">
        <v>2</v>
      </c>
      <c r="F284" s="79" t="s">
        <v>26</v>
      </c>
      <c r="G284" s="79" t="s">
        <v>57</v>
      </c>
      <c r="H284" s="79" t="s">
        <v>390</v>
      </c>
      <c r="I284" s="79"/>
      <c r="J284" s="14" t="str">
        <f>IF(E284="Invalid_Segment","Invalid",IFERROR(INDEX(Severity_Matrix!$C$3:$M$10,MATCH('Error Log'!$F284,Severity_Matrix!$B$3:$B$10,0),MATCH('Error Log'!$G284,Severity_Matrix!$C$2:$M$2,0)),"No errors"))</f>
        <v>Major</v>
      </c>
    </row>
    <row r="285" spans="1:10">
      <c r="A285" s="74" t="s">
        <v>391</v>
      </c>
      <c r="B285" s="17">
        <v>4</v>
      </c>
      <c r="C285" s="83" t="s">
        <v>387</v>
      </c>
      <c r="D285" s="83" t="s">
        <v>388</v>
      </c>
      <c r="E285" s="79" t="s">
        <v>21</v>
      </c>
      <c r="F285" s="79" t="s">
        <v>7</v>
      </c>
      <c r="G285" s="79" t="s">
        <v>57</v>
      </c>
      <c r="H285" s="79" t="s">
        <v>392</v>
      </c>
      <c r="I285" s="79"/>
      <c r="J285" s="14" t="str">
        <f>IF(E285="Invalid_Segment","Invalid",IFERROR(INDEX(Severity_Matrix!$C$3:$M$10,MATCH('Error Log'!$F285,Severity_Matrix!$B$3:$B$10,0),MATCH('Error Log'!$G285,Severity_Matrix!$C$2:$M$2,0)),"No errors"))</f>
        <v>Critical</v>
      </c>
    </row>
    <row r="286" spans="1:10">
      <c r="A286" s="74" t="s">
        <v>391</v>
      </c>
      <c r="B286" s="17">
        <v>5</v>
      </c>
      <c r="C286" s="83" t="s">
        <v>387</v>
      </c>
      <c r="D286" s="83" t="s">
        <v>388</v>
      </c>
      <c r="E286" s="79" t="s">
        <v>21</v>
      </c>
      <c r="F286" s="79" t="s">
        <v>7</v>
      </c>
      <c r="G286" s="79" t="s">
        <v>57</v>
      </c>
      <c r="H286" s="79" t="s">
        <v>393</v>
      </c>
      <c r="I286" s="79"/>
      <c r="J286" s="14" t="str">
        <f>IF(E286="Invalid_Segment","Invalid",IFERROR(INDEX(Severity_Matrix!$C$3:$M$10,MATCH('Error Log'!$F286,Severity_Matrix!$B$3:$B$10,0),MATCH('Error Log'!$G286,Severity_Matrix!$C$2:$M$2,0)),"No errors"))</f>
        <v>Critical</v>
      </c>
    </row>
    <row r="287" spans="1:10">
      <c r="A287" s="74" t="s">
        <v>391</v>
      </c>
      <c r="B287" s="17">
        <v>6</v>
      </c>
      <c r="C287" s="83" t="s">
        <v>387</v>
      </c>
      <c r="D287" s="83" t="s">
        <v>388</v>
      </c>
      <c r="E287" s="79" t="s">
        <v>21</v>
      </c>
      <c r="F287" s="79" t="s">
        <v>7</v>
      </c>
      <c r="G287" s="79" t="s">
        <v>57</v>
      </c>
      <c r="H287" s="79" t="s">
        <v>394</v>
      </c>
      <c r="I287" s="79"/>
      <c r="J287" s="14" t="str">
        <f>IF(E287="Invalid_Segment","Invalid",IFERROR(INDEX(Severity_Matrix!$C$3:$M$10,MATCH('Error Log'!$F287,Severity_Matrix!$B$3:$B$10,0),MATCH('Error Log'!$G287,Severity_Matrix!$C$2:$M$2,0)),"No errors"))</f>
        <v>Critical</v>
      </c>
    </row>
    <row r="288" spans="1:10">
      <c r="A288" s="74" t="s">
        <v>391</v>
      </c>
      <c r="B288" s="17">
        <v>7</v>
      </c>
      <c r="C288" s="83" t="s">
        <v>387</v>
      </c>
      <c r="D288" s="83" t="s">
        <v>388</v>
      </c>
      <c r="E288" s="79" t="s">
        <v>21</v>
      </c>
      <c r="F288" s="79" t="s">
        <v>7</v>
      </c>
      <c r="G288" s="79" t="s">
        <v>57</v>
      </c>
      <c r="H288" s="79" t="s">
        <v>395</v>
      </c>
      <c r="I288" s="79"/>
      <c r="J288" s="14" t="str">
        <f>IF(E288="Invalid_Segment","Invalid",IFERROR(INDEX(Severity_Matrix!$C$3:$M$10,MATCH('Error Log'!$F288,Severity_Matrix!$B$3:$B$10,0),MATCH('Error Log'!$G288,Severity_Matrix!$C$2:$M$2,0)),"No errors"))</f>
        <v>Critical</v>
      </c>
    </row>
    <row r="289" spans="1:10">
      <c r="A289" s="74" t="s">
        <v>396</v>
      </c>
      <c r="B289" s="17">
        <v>1</v>
      </c>
      <c r="C289" s="83" t="s">
        <v>397</v>
      </c>
      <c r="D289" s="83" t="s">
        <v>398</v>
      </c>
      <c r="E289" s="79" t="s">
        <v>21</v>
      </c>
      <c r="F289" s="79" t="s">
        <v>63</v>
      </c>
      <c r="G289" s="79" t="s">
        <v>54</v>
      </c>
      <c r="H289" s="79" t="s">
        <v>399</v>
      </c>
      <c r="I289" s="79"/>
      <c r="J289" s="14" t="str">
        <f>IF(E289="Invalid_Segment","Invalid",IFERROR(INDEX(Severity_Matrix!$C$3:$M$10,MATCH('Error Log'!$F289,Severity_Matrix!$B$3:$B$10,0),MATCH('Error Log'!$G289,Severity_Matrix!$C$2:$M$2,0)),"No errors"))</f>
        <v>Critical</v>
      </c>
    </row>
    <row r="290" spans="1:10">
      <c r="A290" s="74" t="s">
        <v>396</v>
      </c>
      <c r="B290" s="17">
        <v>2</v>
      </c>
      <c r="C290" s="83" t="s">
        <v>397</v>
      </c>
      <c r="D290" s="83" t="s">
        <v>398</v>
      </c>
      <c r="E290" s="79" t="s">
        <v>21</v>
      </c>
      <c r="F290" s="79" t="s">
        <v>63</v>
      </c>
      <c r="G290" s="79" t="s">
        <v>29</v>
      </c>
      <c r="H290" s="79" t="s">
        <v>149</v>
      </c>
      <c r="I290" s="79"/>
      <c r="J290" s="14" t="str">
        <f>IF(E290="Invalid_Segment","Invalid",IFERROR(INDEX(Severity_Matrix!$C$3:$M$10,MATCH('Error Log'!$F290,Severity_Matrix!$B$3:$B$10,0),MATCH('Error Log'!$G290,Severity_Matrix!$C$2:$M$2,0)),"No errors"))</f>
        <v>Critical</v>
      </c>
    </row>
    <row r="291" spans="1:10">
      <c r="A291" s="74" t="s">
        <v>396</v>
      </c>
      <c r="B291" s="17">
        <v>3</v>
      </c>
      <c r="C291" s="83" t="s">
        <v>397</v>
      </c>
      <c r="D291" s="83" t="s">
        <v>398</v>
      </c>
      <c r="E291" s="79" t="s">
        <v>21</v>
      </c>
      <c r="F291" s="79" t="s">
        <v>63</v>
      </c>
      <c r="G291" s="79" t="s">
        <v>27</v>
      </c>
      <c r="H291" s="79" t="s">
        <v>149</v>
      </c>
      <c r="I291" s="79"/>
      <c r="J291" s="14" t="str">
        <f>IF(E291="Invalid_Segment","Invalid",IFERROR(INDEX(Severity_Matrix!$C$3:$M$10,MATCH('Error Log'!$F291,Severity_Matrix!$B$3:$B$10,0),MATCH('Error Log'!$G291,Severity_Matrix!$C$2:$M$2,0)),"No errors"))</f>
        <v>Critical</v>
      </c>
    </row>
    <row r="292" spans="1:10">
      <c r="A292" s="74" t="s">
        <v>396</v>
      </c>
      <c r="B292" s="17">
        <v>4</v>
      </c>
      <c r="C292" s="83" t="s">
        <v>397</v>
      </c>
      <c r="D292" s="83" t="s">
        <v>398</v>
      </c>
      <c r="E292" s="79" t="s">
        <v>21</v>
      </c>
      <c r="F292" s="79" t="s">
        <v>63</v>
      </c>
      <c r="G292" s="79" t="s">
        <v>27</v>
      </c>
      <c r="H292" s="79" t="s">
        <v>149</v>
      </c>
      <c r="I292" s="79"/>
      <c r="J292" s="14" t="str">
        <f>IF(E292="Invalid_Segment","Invalid",IFERROR(INDEX(Severity_Matrix!$C$3:$M$10,MATCH('Error Log'!$F292,Severity_Matrix!$B$3:$B$10,0),MATCH('Error Log'!$G292,Severity_Matrix!$C$2:$M$2,0)),"No errors"))</f>
        <v>Critical</v>
      </c>
    </row>
    <row r="293" spans="1:10">
      <c r="A293" s="74" t="s">
        <v>396</v>
      </c>
      <c r="B293" s="17">
        <v>5</v>
      </c>
      <c r="C293" s="83" t="s">
        <v>397</v>
      </c>
      <c r="D293" s="83" t="s">
        <v>398</v>
      </c>
      <c r="E293" s="79" t="s">
        <v>21</v>
      </c>
      <c r="F293" s="79" t="s">
        <v>7</v>
      </c>
      <c r="G293" s="79" t="s">
        <v>28</v>
      </c>
      <c r="H293" s="79" t="s">
        <v>400</v>
      </c>
      <c r="I293" s="79"/>
      <c r="J293" s="14" t="str">
        <f>IF(E293="Invalid_Segment","Invalid",IFERROR(INDEX(Severity_Matrix!$C$3:$M$10,MATCH('Error Log'!$F293,Severity_Matrix!$B$3:$B$10,0),MATCH('Error Log'!$G293,Severity_Matrix!$C$2:$M$2,0)),"No errors"))</f>
        <v>Major</v>
      </c>
    </row>
    <row r="294" spans="1:10">
      <c r="A294" s="74" t="s">
        <v>396</v>
      </c>
      <c r="B294" s="17">
        <v>6</v>
      </c>
      <c r="C294" s="83" t="s">
        <v>397</v>
      </c>
      <c r="D294" s="83" t="s">
        <v>398</v>
      </c>
      <c r="E294" s="79" t="s">
        <v>21</v>
      </c>
      <c r="F294" s="79" t="s">
        <v>63</v>
      </c>
      <c r="G294" s="79" t="s">
        <v>27</v>
      </c>
      <c r="H294" s="79" t="s">
        <v>149</v>
      </c>
      <c r="I294" s="79"/>
      <c r="J294" s="14" t="str">
        <f>IF(E294="Invalid_Segment","Invalid",IFERROR(INDEX(Severity_Matrix!$C$3:$M$10,MATCH('Error Log'!$F294,Severity_Matrix!$B$3:$B$10,0),MATCH('Error Log'!$G294,Severity_Matrix!$C$2:$M$2,0)),"No errors"))</f>
        <v>Critical</v>
      </c>
    </row>
    <row r="295" spans="1:10">
      <c r="A295" s="74" t="s">
        <v>396</v>
      </c>
      <c r="B295" s="17">
        <v>7</v>
      </c>
      <c r="C295" s="83" t="s">
        <v>397</v>
      </c>
      <c r="D295" s="83" t="s">
        <v>398</v>
      </c>
      <c r="E295" s="79" t="s">
        <v>21</v>
      </c>
      <c r="F295" s="79" t="s">
        <v>22</v>
      </c>
      <c r="G295" s="79" t="s">
        <v>57</v>
      </c>
      <c r="H295" s="79" t="s">
        <v>401</v>
      </c>
      <c r="I295" s="79"/>
      <c r="J295" s="14" t="str">
        <f>IF(E295="Invalid_Segment","Invalid",IFERROR(INDEX(Severity_Matrix!$C$3:$M$10,MATCH('Error Log'!$F295,Severity_Matrix!$B$3:$B$10,0),MATCH('Error Log'!$G295,Severity_Matrix!$C$2:$M$2,0)),"No errors"))</f>
        <v>Major</v>
      </c>
    </row>
    <row r="296" spans="1:10">
      <c r="A296" s="74" t="s">
        <v>396</v>
      </c>
      <c r="B296" s="17">
        <v>8</v>
      </c>
      <c r="C296" s="83" t="s">
        <v>397</v>
      </c>
      <c r="D296" s="83" t="s">
        <v>398</v>
      </c>
      <c r="E296" s="79" t="s">
        <v>21</v>
      </c>
      <c r="F296" s="79" t="s">
        <v>7</v>
      </c>
      <c r="G296" s="79" t="s">
        <v>57</v>
      </c>
      <c r="H296" s="79" t="s">
        <v>402</v>
      </c>
      <c r="I296" s="79"/>
      <c r="J296" s="14" t="str">
        <f>IF(E296="Invalid_Segment","Invalid",IFERROR(INDEX(Severity_Matrix!$C$3:$M$10,MATCH('Error Log'!$F296,Severity_Matrix!$B$3:$B$10,0),MATCH('Error Log'!$G296,Severity_Matrix!$C$2:$M$2,0)),"No errors"))</f>
        <v>Critical</v>
      </c>
    </row>
    <row r="297" spans="1:10">
      <c r="A297" s="74" t="s">
        <v>396</v>
      </c>
      <c r="B297" s="17">
        <v>9</v>
      </c>
      <c r="C297" s="83" t="s">
        <v>397</v>
      </c>
      <c r="D297" s="83" t="s">
        <v>398</v>
      </c>
      <c r="E297" s="79" t="s">
        <v>21</v>
      </c>
      <c r="F297" s="79" t="s">
        <v>7</v>
      </c>
      <c r="G297" s="79" t="s">
        <v>57</v>
      </c>
      <c r="H297" s="79" t="s">
        <v>403</v>
      </c>
      <c r="I297" s="79"/>
      <c r="J297" s="14" t="str">
        <f>IF(E297="Invalid_Segment","Invalid",IFERROR(INDEX(Severity_Matrix!$C$3:$M$10,MATCH('Error Log'!$F297,Severity_Matrix!$B$3:$B$10,0),MATCH('Error Log'!$G297,Severity_Matrix!$C$2:$M$2,0)),"No errors"))</f>
        <v>Critical</v>
      </c>
    </row>
    <row r="298" spans="1:10">
      <c r="A298" s="74" t="s">
        <v>404</v>
      </c>
      <c r="B298" s="17">
        <v>1</v>
      </c>
      <c r="C298" s="83" t="s">
        <v>405</v>
      </c>
      <c r="D298" s="83" t="s">
        <v>406</v>
      </c>
      <c r="E298" s="79" t="s">
        <v>21</v>
      </c>
      <c r="F298" s="79" t="s">
        <v>22</v>
      </c>
      <c r="G298" s="79" t="s">
        <v>28</v>
      </c>
      <c r="H298" s="79" t="s">
        <v>407</v>
      </c>
      <c r="I298" s="79"/>
      <c r="J298" s="14" t="str">
        <f>IF(E298="Invalid_Segment","Invalid",IFERROR(INDEX(Severity_Matrix!$C$3:$M$10,MATCH('Error Log'!$F298,Severity_Matrix!$B$3:$B$10,0),MATCH('Error Log'!$G298,Severity_Matrix!$C$2:$M$2,0)),"No errors"))</f>
        <v>Major</v>
      </c>
    </row>
    <row r="299" spans="1:10">
      <c r="A299" s="74" t="s">
        <v>404</v>
      </c>
      <c r="B299" s="17">
        <v>2</v>
      </c>
      <c r="C299" s="83" t="s">
        <v>405</v>
      </c>
      <c r="D299" s="83" t="s">
        <v>406</v>
      </c>
      <c r="E299" s="79" t="s">
        <v>21</v>
      </c>
      <c r="F299" s="79" t="s">
        <v>22</v>
      </c>
      <c r="G299" s="79" t="s">
        <v>28</v>
      </c>
      <c r="H299" s="79" t="s">
        <v>408</v>
      </c>
      <c r="I299" s="79"/>
      <c r="J299" s="14" t="str">
        <f>IF(E299="Invalid_Segment","Invalid",IFERROR(INDEX(Severity_Matrix!$C$3:$M$10,MATCH('Error Log'!$F299,Severity_Matrix!$B$3:$B$10,0),MATCH('Error Log'!$G299,Severity_Matrix!$C$2:$M$2,0)),"No errors"))</f>
        <v>Major</v>
      </c>
    </row>
    <row r="300" spans="1:10">
      <c r="A300" s="74" t="s">
        <v>409</v>
      </c>
      <c r="B300" s="17">
        <v>3</v>
      </c>
      <c r="C300" s="83" t="s">
        <v>405</v>
      </c>
      <c r="D300" s="83" t="s">
        <v>406</v>
      </c>
      <c r="E300" s="79" t="s">
        <v>21</v>
      </c>
      <c r="F300" s="79" t="s">
        <v>22</v>
      </c>
      <c r="G300" s="79" t="s">
        <v>58</v>
      </c>
      <c r="H300" s="79" t="s">
        <v>167</v>
      </c>
      <c r="I300" s="79"/>
      <c r="J300" s="14" t="str">
        <f>IF(E300="Invalid_Segment","Invalid",IFERROR(INDEX(Severity_Matrix!$C$3:$M$10,MATCH('Error Log'!$F300,Severity_Matrix!$B$3:$B$10,0),MATCH('Error Log'!$G300,Severity_Matrix!$C$2:$M$2,0)),"No errors"))</f>
        <v>Minor</v>
      </c>
    </row>
    <row r="301" spans="1:10">
      <c r="A301" s="74" t="s">
        <v>409</v>
      </c>
      <c r="B301" s="17">
        <v>4</v>
      </c>
      <c r="C301" s="83" t="s">
        <v>405</v>
      </c>
      <c r="D301" s="83" t="s">
        <v>406</v>
      </c>
      <c r="E301" s="79" t="s">
        <v>21</v>
      </c>
      <c r="F301" s="79" t="s">
        <v>64</v>
      </c>
      <c r="G301" s="79" t="s">
        <v>27</v>
      </c>
      <c r="H301" s="79" t="s">
        <v>410</v>
      </c>
      <c r="I301" s="79"/>
      <c r="J301" s="14" t="str">
        <f>IF(E301="Invalid_Segment","Invalid",IFERROR(INDEX(Severity_Matrix!$C$3:$M$10,MATCH('Error Log'!$F301,Severity_Matrix!$B$3:$B$10,0),MATCH('Error Log'!$G301,Severity_Matrix!$C$2:$M$2,0)),"No errors"))</f>
        <v>Critical</v>
      </c>
    </row>
    <row r="302" spans="1:10">
      <c r="A302" s="74" t="s">
        <v>409</v>
      </c>
      <c r="B302" s="17">
        <v>5</v>
      </c>
      <c r="C302" s="83" t="s">
        <v>405</v>
      </c>
      <c r="D302" s="83" t="s">
        <v>406</v>
      </c>
      <c r="E302" s="79" t="s">
        <v>21</v>
      </c>
      <c r="F302" s="79" t="s">
        <v>63</v>
      </c>
      <c r="G302" s="79" t="s">
        <v>27</v>
      </c>
      <c r="H302" s="79" t="s">
        <v>77</v>
      </c>
      <c r="I302" s="79"/>
      <c r="J302" s="14" t="str">
        <f>IF(E302="Invalid_Segment","Invalid",IFERROR(INDEX(Severity_Matrix!$C$3:$M$10,MATCH('Error Log'!$F302,Severity_Matrix!$B$3:$B$10,0),MATCH('Error Log'!$G302,Severity_Matrix!$C$2:$M$2,0)),"No errors"))</f>
        <v>Critical</v>
      </c>
    </row>
    <row r="303" spans="1:10">
      <c r="A303" s="74" t="s">
        <v>409</v>
      </c>
      <c r="B303" s="17">
        <v>6</v>
      </c>
      <c r="C303" s="83" t="s">
        <v>405</v>
      </c>
      <c r="D303" s="83" t="s">
        <v>406</v>
      </c>
      <c r="E303" s="79" t="s">
        <v>21</v>
      </c>
      <c r="F303" s="79" t="s">
        <v>22</v>
      </c>
      <c r="G303" s="79" t="s">
        <v>57</v>
      </c>
      <c r="H303" s="79" t="s">
        <v>411</v>
      </c>
      <c r="I303" s="79"/>
      <c r="J303" s="14" t="str">
        <f>IF(E303="Invalid_Segment","Invalid",IFERROR(INDEX(Severity_Matrix!$C$3:$M$10,MATCH('Error Log'!$F303,Severity_Matrix!$B$3:$B$10,0),MATCH('Error Log'!$G303,Severity_Matrix!$C$2:$M$2,0)),"No errors"))</f>
        <v>Major</v>
      </c>
    </row>
    <row r="304" spans="1:10">
      <c r="A304" s="74" t="s">
        <v>409</v>
      </c>
      <c r="B304" s="17">
        <v>7</v>
      </c>
      <c r="C304" s="83" t="s">
        <v>405</v>
      </c>
      <c r="D304" s="83" t="s">
        <v>406</v>
      </c>
      <c r="E304" s="79" t="s">
        <v>21</v>
      </c>
      <c r="F304" s="79" t="s">
        <v>7</v>
      </c>
      <c r="G304" s="79" t="s">
        <v>57</v>
      </c>
      <c r="H304" s="79" t="s">
        <v>412</v>
      </c>
      <c r="I304" s="79"/>
      <c r="J304" s="14" t="str">
        <f>IF(E304="Invalid_Segment","Invalid",IFERROR(INDEX(Severity_Matrix!$C$3:$M$10,MATCH('Error Log'!$F304,Severity_Matrix!$B$3:$B$10,0),MATCH('Error Log'!$G304,Severity_Matrix!$C$2:$M$2,0)),"No errors"))</f>
        <v>Critical</v>
      </c>
    </row>
    <row r="305" spans="1:10">
      <c r="A305" s="74" t="s">
        <v>409</v>
      </c>
      <c r="B305" s="17">
        <v>8</v>
      </c>
      <c r="C305" s="83" t="s">
        <v>405</v>
      </c>
      <c r="D305" s="83" t="s">
        <v>406</v>
      </c>
      <c r="E305" s="79" t="s">
        <v>21</v>
      </c>
      <c r="F305" s="79" t="s">
        <v>7</v>
      </c>
      <c r="G305" s="79" t="s">
        <v>57</v>
      </c>
      <c r="H305" s="79" t="s">
        <v>413</v>
      </c>
      <c r="I305" s="79"/>
      <c r="J305" s="14" t="str">
        <f>IF(E305="Invalid_Segment","Invalid",IFERROR(INDEX(Severity_Matrix!$C$3:$M$10,MATCH('Error Log'!$F305,Severity_Matrix!$B$3:$B$10,0),MATCH('Error Log'!$G305,Severity_Matrix!$C$2:$M$2,0)),"No errors"))</f>
        <v>Critical</v>
      </c>
    </row>
    <row r="306" spans="1:10">
      <c r="A306" s="74" t="s">
        <v>409</v>
      </c>
      <c r="B306" s="17">
        <v>9</v>
      </c>
      <c r="C306" s="83" t="s">
        <v>405</v>
      </c>
      <c r="D306" s="83" t="s">
        <v>406</v>
      </c>
      <c r="E306" s="79" t="s">
        <v>21</v>
      </c>
      <c r="F306" s="79" t="s">
        <v>7</v>
      </c>
      <c r="G306" s="79" t="s">
        <v>57</v>
      </c>
      <c r="H306" s="79" t="s">
        <v>414</v>
      </c>
      <c r="I306" s="79"/>
      <c r="J306" s="14" t="str">
        <f>IF(E306="Invalid_Segment","Invalid",IFERROR(INDEX(Severity_Matrix!$C$3:$M$10,MATCH('Error Log'!$F306,Severity_Matrix!$B$3:$B$10,0),MATCH('Error Log'!$G306,Severity_Matrix!$C$2:$M$2,0)),"No errors"))</f>
        <v>Critical</v>
      </c>
    </row>
    <row r="307" spans="1:10">
      <c r="A307" s="74" t="s">
        <v>409</v>
      </c>
      <c r="B307" s="17">
        <v>10</v>
      </c>
      <c r="C307" s="83" t="s">
        <v>405</v>
      </c>
      <c r="D307" s="83" t="s">
        <v>406</v>
      </c>
      <c r="E307" s="79" t="s">
        <v>21</v>
      </c>
      <c r="F307" s="79" t="s">
        <v>7</v>
      </c>
      <c r="G307" s="79" t="s">
        <v>57</v>
      </c>
      <c r="H307" s="79" t="s">
        <v>415</v>
      </c>
      <c r="I307" s="79"/>
      <c r="J307" s="14" t="str">
        <f>IF(E307="Invalid_Segment","Invalid",IFERROR(INDEX(Severity_Matrix!$C$3:$M$10,MATCH('Error Log'!$F307,Severity_Matrix!$B$3:$B$10,0),MATCH('Error Log'!$G307,Severity_Matrix!$C$2:$M$2,0)),"No errors"))</f>
        <v>Critical</v>
      </c>
    </row>
    <row r="308" spans="1:10">
      <c r="A308" s="74" t="s">
        <v>409</v>
      </c>
      <c r="B308" s="17">
        <v>11</v>
      </c>
      <c r="C308" s="83" t="s">
        <v>405</v>
      </c>
      <c r="D308" s="83" t="s">
        <v>406</v>
      </c>
      <c r="E308" s="79" t="s">
        <v>21</v>
      </c>
      <c r="F308" s="79" t="s">
        <v>7</v>
      </c>
      <c r="G308" s="79" t="s">
        <v>57</v>
      </c>
      <c r="H308" s="79" t="s">
        <v>416</v>
      </c>
      <c r="I308" s="79"/>
      <c r="J308" s="14" t="str">
        <f>IF(E308="Invalid_Segment","Invalid",IFERROR(INDEX(Severity_Matrix!$C$3:$M$10,MATCH('Error Log'!$F308,Severity_Matrix!$B$3:$B$10,0),MATCH('Error Log'!$G308,Severity_Matrix!$C$2:$M$2,0)),"No errors"))</f>
        <v>Critical</v>
      </c>
    </row>
    <row r="309" spans="1:10">
      <c r="A309" s="74" t="s">
        <v>409</v>
      </c>
      <c r="B309" s="17">
        <v>12</v>
      </c>
      <c r="C309" s="83" t="s">
        <v>405</v>
      </c>
      <c r="D309" s="83" t="s">
        <v>406</v>
      </c>
      <c r="E309" s="79" t="s">
        <v>21</v>
      </c>
      <c r="F309" s="79" t="s">
        <v>7</v>
      </c>
      <c r="G309" s="79" t="s">
        <v>57</v>
      </c>
      <c r="H309" s="79" t="s">
        <v>417</v>
      </c>
      <c r="I309" s="79"/>
      <c r="J309" s="14" t="str">
        <f>IF(E309="Invalid_Segment","Invalid",IFERROR(INDEX(Severity_Matrix!$C$3:$M$10,MATCH('Error Log'!$F309,Severity_Matrix!$B$3:$B$10,0),MATCH('Error Log'!$G309,Severity_Matrix!$C$2:$M$2,0)),"No errors"))</f>
        <v>Critical</v>
      </c>
    </row>
    <row r="310" spans="1:10">
      <c r="A310" s="74" t="s">
        <v>418</v>
      </c>
      <c r="B310" s="17">
        <v>1</v>
      </c>
      <c r="C310" s="83" t="s">
        <v>419</v>
      </c>
      <c r="D310" s="83" t="s">
        <v>420</v>
      </c>
      <c r="E310" s="79" t="s">
        <v>2</v>
      </c>
      <c r="F310" s="79" t="s">
        <v>26</v>
      </c>
      <c r="G310" s="79" t="s">
        <v>57</v>
      </c>
      <c r="H310" s="79" t="s">
        <v>421</v>
      </c>
      <c r="I310" s="79"/>
      <c r="J310" s="14" t="str">
        <f>IF(E310="Invalid_Segment","Invalid",IFERROR(INDEX(Severity_Matrix!$C$3:$M$10,MATCH('Error Log'!$F310,Severity_Matrix!$B$3:$B$10,0),MATCH('Error Log'!$G310,Severity_Matrix!$C$2:$M$2,0)),"No errors"))</f>
        <v>Major</v>
      </c>
    </row>
    <row r="311" spans="1:10">
      <c r="A311" s="74" t="s">
        <v>418</v>
      </c>
      <c r="B311" s="17">
        <v>2</v>
      </c>
      <c r="C311" s="83" t="s">
        <v>419</v>
      </c>
      <c r="D311" s="83" t="s">
        <v>420</v>
      </c>
      <c r="E311" s="79" t="s">
        <v>21</v>
      </c>
      <c r="F311" s="79" t="s">
        <v>7</v>
      </c>
      <c r="G311" s="79" t="s">
        <v>57</v>
      </c>
      <c r="H311" s="79" t="s">
        <v>422</v>
      </c>
      <c r="I311" s="79"/>
      <c r="J311" s="14" t="str">
        <f>IF(E311="Invalid_Segment","Invalid",IFERROR(INDEX(Severity_Matrix!$C$3:$M$10,MATCH('Error Log'!$F311,Severity_Matrix!$B$3:$B$10,0),MATCH('Error Log'!$G311,Severity_Matrix!$C$2:$M$2,0)),"No errors"))</f>
        <v>Critical</v>
      </c>
    </row>
    <row r="312" spans="1:10">
      <c r="A312" s="74" t="s">
        <v>418</v>
      </c>
      <c r="B312" s="17">
        <v>3</v>
      </c>
      <c r="C312" s="83" t="s">
        <v>419</v>
      </c>
      <c r="D312" s="83" t="s">
        <v>420</v>
      </c>
      <c r="E312" s="79" t="s">
        <v>21</v>
      </c>
      <c r="F312" s="79" t="s">
        <v>7</v>
      </c>
      <c r="G312" s="79" t="s">
        <v>57</v>
      </c>
      <c r="H312" s="79" t="s">
        <v>423</v>
      </c>
      <c r="I312" s="79"/>
      <c r="J312" s="14" t="str">
        <f>IF(E312="Invalid_Segment","Invalid",IFERROR(INDEX(Severity_Matrix!$C$3:$M$10,MATCH('Error Log'!$F312,Severity_Matrix!$B$3:$B$10,0),MATCH('Error Log'!$G312,Severity_Matrix!$C$2:$M$2,0)),"No errors"))</f>
        <v>Critical</v>
      </c>
    </row>
    <row r="313" spans="1:10">
      <c r="A313" s="74" t="s">
        <v>424</v>
      </c>
      <c r="B313" s="17">
        <v>1</v>
      </c>
      <c r="C313" s="83" t="s">
        <v>425</v>
      </c>
      <c r="D313" s="83" t="s">
        <v>426</v>
      </c>
      <c r="E313" s="79" t="s">
        <v>21</v>
      </c>
      <c r="F313" s="79" t="s">
        <v>63</v>
      </c>
      <c r="G313" s="79" t="s">
        <v>27</v>
      </c>
      <c r="H313" s="79" t="s">
        <v>149</v>
      </c>
      <c r="I313" s="79"/>
      <c r="J313" s="14" t="str">
        <f>IF(E313="Invalid_Segment","Invalid",IFERROR(INDEX(Severity_Matrix!$C$3:$M$10,MATCH('Error Log'!$F313,Severity_Matrix!$B$3:$B$10,0),MATCH('Error Log'!$G313,Severity_Matrix!$C$2:$M$2,0)),"No errors"))</f>
        <v>Critical</v>
      </c>
    </row>
    <row r="314" spans="1:10">
      <c r="A314" s="74" t="s">
        <v>424</v>
      </c>
      <c r="B314" s="17">
        <v>2</v>
      </c>
      <c r="C314" s="83" t="s">
        <v>425</v>
      </c>
      <c r="D314" s="83" t="s">
        <v>426</v>
      </c>
      <c r="E314" s="79" t="s">
        <v>21</v>
      </c>
      <c r="F314" s="79" t="s">
        <v>63</v>
      </c>
      <c r="G314" s="79" t="s">
        <v>27</v>
      </c>
      <c r="H314" s="79" t="s">
        <v>149</v>
      </c>
      <c r="I314" s="79"/>
      <c r="J314" s="14" t="str">
        <f>IF(E314="Invalid_Segment","Invalid",IFERROR(INDEX(Severity_Matrix!$C$3:$M$10,MATCH('Error Log'!$F314,Severity_Matrix!$B$3:$B$10,0),MATCH('Error Log'!$G314,Severity_Matrix!$C$2:$M$2,0)),"No errors"))</f>
        <v>Critical</v>
      </c>
    </row>
    <row r="315" spans="1:10">
      <c r="A315" s="74" t="s">
        <v>427</v>
      </c>
      <c r="B315" s="17">
        <v>3</v>
      </c>
      <c r="C315" s="83" t="s">
        <v>425</v>
      </c>
      <c r="D315" s="83" t="s">
        <v>426</v>
      </c>
      <c r="E315" s="79" t="s">
        <v>21</v>
      </c>
      <c r="F315" s="79" t="s">
        <v>63</v>
      </c>
      <c r="G315" s="79" t="s">
        <v>27</v>
      </c>
      <c r="H315" s="79" t="s">
        <v>149</v>
      </c>
      <c r="I315" s="79"/>
      <c r="J315" s="14" t="str">
        <f>IF(E315="Invalid_Segment","Invalid",IFERROR(INDEX(Severity_Matrix!$C$3:$M$10,MATCH('Error Log'!$F315,Severity_Matrix!$B$3:$B$10,0),MATCH('Error Log'!$G315,Severity_Matrix!$C$2:$M$2,0)),"No errors"))</f>
        <v>Critical</v>
      </c>
    </row>
    <row r="316" spans="1:10">
      <c r="A316" s="74" t="s">
        <v>427</v>
      </c>
      <c r="B316" s="17">
        <v>4</v>
      </c>
      <c r="C316" s="83" t="s">
        <v>425</v>
      </c>
      <c r="D316" s="83" t="s">
        <v>426</v>
      </c>
      <c r="E316" s="79" t="s">
        <v>21</v>
      </c>
      <c r="F316" s="79" t="s">
        <v>22</v>
      </c>
      <c r="G316" s="79" t="s">
        <v>57</v>
      </c>
      <c r="H316" s="79" t="s">
        <v>428</v>
      </c>
      <c r="I316" s="79"/>
      <c r="J316" s="14" t="str">
        <f>IF(E316="Invalid_Segment","Invalid",IFERROR(INDEX(Severity_Matrix!$C$3:$M$10,MATCH('Error Log'!$F316,Severity_Matrix!$B$3:$B$10,0),MATCH('Error Log'!$G316,Severity_Matrix!$C$2:$M$2,0)),"No errors"))</f>
        <v>Major</v>
      </c>
    </row>
    <row r="317" spans="1:10">
      <c r="A317" s="74" t="s">
        <v>427</v>
      </c>
      <c r="B317" s="17">
        <v>5</v>
      </c>
      <c r="C317" s="83" t="s">
        <v>425</v>
      </c>
      <c r="D317" s="83" t="s">
        <v>426</v>
      </c>
      <c r="E317" s="79" t="s">
        <v>21</v>
      </c>
      <c r="F317" s="79" t="s">
        <v>64</v>
      </c>
      <c r="G317" s="79" t="s">
        <v>27</v>
      </c>
      <c r="H317" s="79" t="s">
        <v>429</v>
      </c>
      <c r="I317" s="79"/>
      <c r="J317" s="14" t="str">
        <f>IF(E317="Invalid_Segment","Invalid",IFERROR(INDEX(Severity_Matrix!$C$3:$M$10,MATCH('Error Log'!$F317,Severity_Matrix!$B$3:$B$10,0),MATCH('Error Log'!$G317,Severity_Matrix!$C$2:$M$2,0)),"No errors"))</f>
        <v>Critical</v>
      </c>
    </row>
    <row r="318" spans="1:10">
      <c r="A318" s="74" t="s">
        <v>427</v>
      </c>
      <c r="B318" s="17">
        <v>6</v>
      </c>
      <c r="C318" s="83" t="s">
        <v>425</v>
      </c>
      <c r="D318" s="83" t="s">
        <v>426</v>
      </c>
      <c r="E318" s="79" t="s">
        <v>2</v>
      </c>
      <c r="F318" s="79" t="s">
        <v>26</v>
      </c>
      <c r="G318" s="79" t="s">
        <v>27</v>
      </c>
      <c r="H318" s="79" t="s">
        <v>429</v>
      </c>
      <c r="I318" s="79"/>
      <c r="J318" s="14" t="str">
        <f>IF(E318="Invalid_Segment","Invalid",IFERROR(INDEX(Severity_Matrix!$C$3:$M$10,MATCH('Error Log'!$F318,Severity_Matrix!$B$3:$B$10,0),MATCH('Error Log'!$G318,Severity_Matrix!$C$2:$M$2,0)),"No errors"))</f>
        <v>Major</v>
      </c>
    </row>
    <row r="319" spans="1:10">
      <c r="A319" s="74" t="s">
        <v>427</v>
      </c>
      <c r="B319" s="17">
        <v>7</v>
      </c>
      <c r="C319" s="83" t="s">
        <v>425</v>
      </c>
      <c r="D319" s="83" t="s">
        <v>426</v>
      </c>
      <c r="E319" s="79" t="s">
        <v>2</v>
      </c>
      <c r="F319" s="79" t="s">
        <v>26</v>
      </c>
      <c r="G319" s="79" t="s">
        <v>27</v>
      </c>
      <c r="H319" s="79" t="s">
        <v>430</v>
      </c>
      <c r="I319" s="79"/>
      <c r="J319" s="14" t="str">
        <f>IF(E319="Invalid_Segment","Invalid",IFERROR(INDEX(Severity_Matrix!$C$3:$M$10,MATCH('Error Log'!$F319,Severity_Matrix!$B$3:$B$10,0),MATCH('Error Log'!$G319,Severity_Matrix!$C$2:$M$2,0)),"No errors"))</f>
        <v>Major</v>
      </c>
    </row>
    <row r="320" spans="1:10">
      <c r="A320" s="74" t="s">
        <v>427</v>
      </c>
      <c r="B320" s="17">
        <v>8</v>
      </c>
      <c r="C320" s="83" t="s">
        <v>425</v>
      </c>
      <c r="D320" s="83" t="s">
        <v>426</v>
      </c>
      <c r="E320" s="79" t="s">
        <v>2</v>
      </c>
      <c r="F320" s="79" t="s">
        <v>26</v>
      </c>
      <c r="G320" s="79" t="s">
        <v>27</v>
      </c>
      <c r="H320" s="79" t="s">
        <v>431</v>
      </c>
      <c r="I320" s="79"/>
      <c r="J320" s="14" t="str">
        <f>IF(E320="Invalid_Segment","Invalid",IFERROR(INDEX(Severity_Matrix!$C$3:$M$10,MATCH('Error Log'!$F320,Severity_Matrix!$B$3:$B$10,0),MATCH('Error Log'!$G320,Severity_Matrix!$C$2:$M$2,0)),"No errors"))</f>
        <v>Major</v>
      </c>
    </row>
    <row r="321" spans="1:10">
      <c r="A321" s="74" t="s">
        <v>427</v>
      </c>
      <c r="B321" s="17">
        <v>9</v>
      </c>
      <c r="C321" s="83" t="s">
        <v>425</v>
      </c>
      <c r="D321" s="83" t="s">
        <v>426</v>
      </c>
      <c r="E321" s="79" t="s">
        <v>21</v>
      </c>
      <c r="F321" s="79" t="s">
        <v>64</v>
      </c>
      <c r="G321" s="79" t="s">
        <v>27</v>
      </c>
      <c r="H321" s="79" t="s">
        <v>432</v>
      </c>
      <c r="I321" s="79"/>
      <c r="J321" s="14" t="str">
        <f>IF(E321="Invalid_Segment","Invalid",IFERROR(INDEX(Severity_Matrix!$C$3:$M$10,MATCH('Error Log'!$F321,Severity_Matrix!$B$3:$B$10,0),MATCH('Error Log'!$G321,Severity_Matrix!$C$2:$M$2,0)),"No errors"))</f>
        <v>Critical</v>
      </c>
    </row>
    <row r="322" spans="1:10">
      <c r="A322" s="74" t="s">
        <v>427</v>
      </c>
      <c r="B322" s="17">
        <v>10</v>
      </c>
      <c r="C322" s="83" t="s">
        <v>425</v>
      </c>
      <c r="D322" s="83" t="s">
        <v>426</v>
      </c>
      <c r="E322" s="79" t="s">
        <v>21</v>
      </c>
      <c r="F322" s="79" t="s">
        <v>64</v>
      </c>
      <c r="G322" s="79" t="s">
        <v>27</v>
      </c>
      <c r="H322" s="79" t="s">
        <v>433</v>
      </c>
      <c r="I322" s="79"/>
      <c r="J322" s="14" t="str">
        <f>IF(E322="Invalid_Segment","Invalid",IFERROR(INDEX(Severity_Matrix!$C$3:$M$10,MATCH('Error Log'!$F322,Severity_Matrix!$B$3:$B$10,0),MATCH('Error Log'!$G322,Severity_Matrix!$C$2:$M$2,0)),"No errors"))</f>
        <v>Critical</v>
      </c>
    </row>
    <row r="323" spans="1:10">
      <c r="A323" s="74" t="s">
        <v>427</v>
      </c>
      <c r="B323" s="17">
        <v>11</v>
      </c>
      <c r="C323" s="83" t="s">
        <v>425</v>
      </c>
      <c r="D323" s="83" t="s">
        <v>426</v>
      </c>
      <c r="E323" s="79" t="s">
        <v>21</v>
      </c>
      <c r="F323" s="79" t="s">
        <v>22</v>
      </c>
      <c r="G323" s="79" t="s">
        <v>434</v>
      </c>
      <c r="H323" s="79" t="s">
        <v>435</v>
      </c>
      <c r="I323" s="79"/>
      <c r="J323" s="14" t="str">
        <f>IF(E323="Invalid_Segment","Invalid",IFERROR(INDEX(Severity_Matrix!$C$3:$M$10,MATCH('Error Log'!$F323,Severity_Matrix!$B$3:$B$10,0),MATCH('Error Log'!$G323,Severity_Matrix!$C$2:$M$2,0)),"No errors"))</f>
        <v>Major</v>
      </c>
    </row>
    <row r="324" spans="1:10">
      <c r="A324" s="74" t="s">
        <v>427</v>
      </c>
      <c r="B324" s="17">
        <v>12</v>
      </c>
      <c r="C324" s="83" t="s">
        <v>425</v>
      </c>
      <c r="D324" s="83" t="s">
        <v>426</v>
      </c>
      <c r="E324" s="79" t="s">
        <v>21</v>
      </c>
      <c r="F324" s="79" t="s">
        <v>7</v>
      </c>
      <c r="G324" s="79" t="s">
        <v>57</v>
      </c>
      <c r="H324" s="79" t="s">
        <v>436</v>
      </c>
      <c r="I324" s="79"/>
      <c r="J324" s="14" t="str">
        <f>IF(E324="Invalid_Segment","Invalid",IFERROR(INDEX(Severity_Matrix!$C$3:$M$10,MATCH('Error Log'!$F324,Severity_Matrix!$B$3:$B$10,0),MATCH('Error Log'!$G324,Severity_Matrix!$C$2:$M$2,0)),"No errors"))</f>
        <v>Critical</v>
      </c>
    </row>
    <row r="325" spans="1:10">
      <c r="A325" s="74" t="s">
        <v>427</v>
      </c>
      <c r="B325" s="17">
        <v>13</v>
      </c>
      <c r="C325" s="83" t="s">
        <v>425</v>
      </c>
      <c r="D325" s="83" t="s">
        <v>426</v>
      </c>
      <c r="E325" s="79" t="s">
        <v>21</v>
      </c>
      <c r="F325" s="79" t="s">
        <v>7</v>
      </c>
      <c r="G325" s="79" t="s">
        <v>57</v>
      </c>
      <c r="H325" s="79" t="s">
        <v>437</v>
      </c>
      <c r="I325" s="79"/>
      <c r="J325" s="14" t="str">
        <f>IF(E325="Invalid_Segment","Invalid",IFERROR(INDEX(Severity_Matrix!$C$3:$M$10,MATCH('Error Log'!$F325,Severity_Matrix!$B$3:$B$10,0),MATCH('Error Log'!$G325,Severity_Matrix!$C$2:$M$2,0)),"No errors"))</f>
        <v>Critical</v>
      </c>
    </row>
    <row r="326" spans="1:10">
      <c r="A326" s="74" t="s">
        <v>438</v>
      </c>
      <c r="B326" s="17">
        <v>1</v>
      </c>
      <c r="C326" s="83" t="s">
        <v>439</v>
      </c>
      <c r="D326" s="83" t="s">
        <v>440</v>
      </c>
      <c r="E326" s="79" t="s">
        <v>21</v>
      </c>
      <c r="F326" s="79" t="s">
        <v>63</v>
      </c>
      <c r="G326" s="79" t="s">
        <v>27</v>
      </c>
      <c r="H326" s="79" t="s">
        <v>149</v>
      </c>
      <c r="I326" s="79"/>
      <c r="J326" s="14" t="str">
        <f>IF(E326="Invalid_Segment","Invalid",IFERROR(INDEX(Severity_Matrix!$C$3:$M$10,MATCH('Error Log'!$F326,Severity_Matrix!$B$3:$B$10,0),MATCH('Error Log'!$G326,Severity_Matrix!$C$2:$M$2,0)),"No errors"))</f>
        <v>Critical</v>
      </c>
    </row>
    <row r="327" spans="1:10">
      <c r="A327" s="74" t="s">
        <v>438</v>
      </c>
      <c r="B327" s="17">
        <v>2</v>
      </c>
      <c r="C327" s="83" t="s">
        <v>439</v>
      </c>
      <c r="D327" s="83" t="s">
        <v>440</v>
      </c>
      <c r="E327" s="79" t="s">
        <v>2</v>
      </c>
      <c r="F327" s="79" t="s">
        <v>26</v>
      </c>
      <c r="G327" s="79" t="s">
        <v>57</v>
      </c>
      <c r="H327" s="79" t="s">
        <v>441</v>
      </c>
      <c r="I327" s="79"/>
      <c r="J327" s="14" t="str">
        <f>IF(E327="Invalid_Segment","Invalid",IFERROR(INDEX(Severity_Matrix!$C$3:$M$10,MATCH('Error Log'!$F327,Severity_Matrix!$B$3:$B$10,0),MATCH('Error Log'!$G327,Severity_Matrix!$C$2:$M$2,0)),"No errors"))</f>
        <v>Major</v>
      </c>
    </row>
    <row r="328" spans="1:10">
      <c r="A328" s="74" t="s">
        <v>442</v>
      </c>
      <c r="B328" s="17">
        <v>3</v>
      </c>
      <c r="C328" s="83" t="s">
        <v>439</v>
      </c>
      <c r="D328" s="83" t="s">
        <v>440</v>
      </c>
      <c r="E328" s="79" t="s">
        <v>21</v>
      </c>
      <c r="F328" s="79" t="s">
        <v>7</v>
      </c>
      <c r="G328" s="79" t="s">
        <v>57</v>
      </c>
      <c r="H328" s="79" t="s">
        <v>443</v>
      </c>
      <c r="I328" s="79"/>
      <c r="J328" s="14" t="str">
        <f>IF(E328="Invalid_Segment","Invalid",IFERROR(INDEX(Severity_Matrix!$C$3:$M$10,MATCH('Error Log'!$F328,Severity_Matrix!$B$3:$B$10,0),MATCH('Error Log'!$G328,Severity_Matrix!$C$2:$M$2,0)),"No errors"))</f>
        <v>Critical</v>
      </c>
    </row>
    <row r="329" spans="1:10">
      <c r="A329" s="74" t="s">
        <v>442</v>
      </c>
      <c r="B329" s="17">
        <v>4</v>
      </c>
      <c r="C329" s="83" t="s">
        <v>439</v>
      </c>
      <c r="D329" s="83" t="s">
        <v>440</v>
      </c>
      <c r="E329" s="79" t="s">
        <v>21</v>
      </c>
      <c r="F329" s="79" t="s">
        <v>7</v>
      </c>
      <c r="G329" s="79" t="s">
        <v>57</v>
      </c>
      <c r="H329" s="79" t="s">
        <v>444</v>
      </c>
      <c r="I329" s="79"/>
      <c r="J329" s="14" t="str">
        <f>IF(E329="Invalid_Segment","Invalid",IFERROR(INDEX(Severity_Matrix!$C$3:$M$10,MATCH('Error Log'!$F329,Severity_Matrix!$B$3:$B$10,0),MATCH('Error Log'!$G329,Severity_Matrix!$C$2:$M$2,0)),"No errors"))</f>
        <v>Critical</v>
      </c>
    </row>
    <row r="330" spans="1:10">
      <c r="A330" s="74" t="s">
        <v>445</v>
      </c>
      <c r="B330" s="17">
        <v>1</v>
      </c>
      <c r="C330" s="83" t="s">
        <v>446</v>
      </c>
      <c r="D330" s="83" t="s">
        <v>447</v>
      </c>
      <c r="E330" s="79" t="s">
        <v>21</v>
      </c>
      <c r="F330" s="79" t="s">
        <v>22</v>
      </c>
      <c r="G330" s="79" t="s">
        <v>57</v>
      </c>
      <c r="H330" s="79" t="s">
        <v>448</v>
      </c>
      <c r="I330" s="79"/>
      <c r="J330" s="14" t="str">
        <f>IF(E330="Invalid_Segment","Invalid",IFERROR(INDEX(Severity_Matrix!$C$3:$M$10,MATCH('Error Log'!$F330,Severity_Matrix!$B$3:$B$10,0),MATCH('Error Log'!$G330,Severity_Matrix!$C$2:$M$2,0)),"No errors"))</f>
        <v>Major</v>
      </c>
    </row>
    <row r="331" spans="1:10">
      <c r="A331" s="74" t="s">
        <v>445</v>
      </c>
      <c r="B331" s="17">
        <v>2</v>
      </c>
      <c r="C331" s="83" t="s">
        <v>446</v>
      </c>
      <c r="D331" s="83" t="s">
        <v>447</v>
      </c>
      <c r="E331" s="79" t="s">
        <v>2</v>
      </c>
      <c r="F331" s="79" t="s">
        <v>26</v>
      </c>
      <c r="G331" s="79" t="s">
        <v>57</v>
      </c>
      <c r="H331" s="79" t="s">
        <v>449</v>
      </c>
      <c r="I331" s="79"/>
      <c r="J331" s="14" t="str">
        <f>IF(E331="Invalid_Segment","Invalid",IFERROR(INDEX(Severity_Matrix!$C$3:$M$10,MATCH('Error Log'!$F331,Severity_Matrix!$B$3:$B$10,0),MATCH('Error Log'!$G331,Severity_Matrix!$C$2:$M$2,0)),"No errors"))</f>
        <v>Major</v>
      </c>
    </row>
    <row r="332" spans="1:10">
      <c r="A332" s="74" t="s">
        <v>445</v>
      </c>
      <c r="B332" s="17">
        <v>3</v>
      </c>
      <c r="C332" s="83" t="s">
        <v>446</v>
      </c>
      <c r="D332" s="83" t="s">
        <v>447</v>
      </c>
      <c r="E332" s="79" t="s">
        <v>2</v>
      </c>
      <c r="F332" s="79" t="s">
        <v>26</v>
      </c>
      <c r="G332" s="79" t="s">
        <v>57</v>
      </c>
      <c r="H332" s="79" t="s">
        <v>449</v>
      </c>
      <c r="I332" s="79"/>
      <c r="J332" s="14" t="str">
        <f>IF(E332="Invalid_Segment","Invalid",IFERROR(INDEX(Severity_Matrix!$C$3:$M$10,MATCH('Error Log'!$F332,Severity_Matrix!$B$3:$B$10,0),MATCH('Error Log'!$G332,Severity_Matrix!$C$2:$M$2,0)),"No errors"))</f>
        <v>Major</v>
      </c>
    </row>
    <row r="333" spans="1:10">
      <c r="A333" s="74" t="s">
        <v>445</v>
      </c>
      <c r="B333" s="17">
        <v>4</v>
      </c>
      <c r="C333" s="83" t="s">
        <v>446</v>
      </c>
      <c r="D333" s="83" t="s">
        <v>447</v>
      </c>
      <c r="E333" s="79" t="s">
        <v>21</v>
      </c>
      <c r="F333" s="79" t="s">
        <v>7</v>
      </c>
      <c r="G333" s="79" t="s">
        <v>57</v>
      </c>
      <c r="H333" s="79" t="s">
        <v>450</v>
      </c>
      <c r="I333" s="79"/>
      <c r="J333" s="14" t="str">
        <f>IF(E333="Invalid_Segment","Invalid",IFERROR(INDEX(Severity_Matrix!$C$3:$M$10,MATCH('Error Log'!$F333,Severity_Matrix!$B$3:$B$10,0),MATCH('Error Log'!$G333,Severity_Matrix!$C$2:$M$2,0)),"No errors"))</f>
        <v>Critical</v>
      </c>
    </row>
    <row r="334" spans="1:10">
      <c r="A334" s="74" t="s">
        <v>445</v>
      </c>
      <c r="B334" s="17">
        <v>5</v>
      </c>
      <c r="C334" s="83" t="s">
        <v>446</v>
      </c>
      <c r="D334" s="83" t="s">
        <v>447</v>
      </c>
      <c r="E334" s="79" t="s">
        <v>21</v>
      </c>
      <c r="F334" s="79" t="s">
        <v>7</v>
      </c>
      <c r="G334" s="79" t="s">
        <v>57</v>
      </c>
      <c r="H334" s="79" t="s">
        <v>451</v>
      </c>
      <c r="I334" s="79"/>
      <c r="J334" s="14" t="str">
        <f>IF(E334="Invalid_Segment","Invalid",IFERROR(INDEX(Severity_Matrix!$C$3:$M$10,MATCH('Error Log'!$F334,Severity_Matrix!$B$3:$B$10,0),MATCH('Error Log'!$G334,Severity_Matrix!$C$2:$M$2,0)),"No errors"))</f>
        <v>Critical</v>
      </c>
    </row>
    <row r="335" spans="1:10">
      <c r="A335" s="74" t="s">
        <v>445</v>
      </c>
      <c r="B335" s="17">
        <v>6</v>
      </c>
      <c r="C335" s="83" t="s">
        <v>446</v>
      </c>
      <c r="D335" s="83" t="s">
        <v>447</v>
      </c>
      <c r="E335" s="79" t="s">
        <v>21</v>
      </c>
      <c r="F335" s="79" t="s">
        <v>7</v>
      </c>
      <c r="G335" s="79" t="s">
        <v>57</v>
      </c>
      <c r="H335" s="79" t="s">
        <v>452</v>
      </c>
      <c r="I335" s="79"/>
      <c r="J335" s="14" t="str">
        <f>IF(E335="Invalid_Segment","Invalid",IFERROR(INDEX(Severity_Matrix!$C$3:$M$10,MATCH('Error Log'!$F335,Severity_Matrix!$B$3:$B$10,0),MATCH('Error Log'!$G335,Severity_Matrix!$C$2:$M$2,0)),"No errors"))</f>
        <v>Critical</v>
      </c>
    </row>
    <row r="336" spans="1:10">
      <c r="A336" s="74" t="s">
        <v>445</v>
      </c>
      <c r="B336" s="17">
        <v>7</v>
      </c>
      <c r="C336" s="83" t="s">
        <v>446</v>
      </c>
      <c r="D336" s="83" t="s">
        <v>447</v>
      </c>
      <c r="E336" s="79" t="s">
        <v>21</v>
      </c>
      <c r="F336" s="79" t="s">
        <v>63</v>
      </c>
      <c r="G336" s="79" t="s">
        <v>29</v>
      </c>
      <c r="H336" s="79">
        <v>31</v>
      </c>
      <c r="I336" s="79"/>
      <c r="J336" s="14" t="str">
        <f>IF(E336="Invalid_Segment","Invalid",IFERROR(INDEX(Severity_Matrix!$C$3:$M$10,MATCH('Error Log'!$F336,Severity_Matrix!$B$3:$B$10,0),MATCH('Error Log'!$G336,Severity_Matrix!$C$2:$M$2,0)),"No errors"))</f>
        <v>Critical</v>
      </c>
    </row>
    <row r="337" spans="1:10">
      <c r="A337" s="74" t="s">
        <v>453</v>
      </c>
      <c r="B337" s="17">
        <v>1</v>
      </c>
      <c r="C337" s="83" t="s">
        <v>454</v>
      </c>
      <c r="D337" s="83" t="s">
        <v>455</v>
      </c>
      <c r="E337" s="79" t="s">
        <v>21</v>
      </c>
      <c r="F337" s="79" t="s">
        <v>22</v>
      </c>
      <c r="G337" s="79" t="s">
        <v>57</v>
      </c>
      <c r="H337" s="79" t="s">
        <v>456</v>
      </c>
      <c r="I337" s="79"/>
      <c r="J337" s="14" t="str">
        <f>IF(E337="Invalid_Segment","Invalid",IFERROR(INDEX(Severity_Matrix!$C$3:$M$10,MATCH('Error Log'!$F337,Severity_Matrix!$B$3:$B$10,0),MATCH('Error Log'!$G337,Severity_Matrix!$C$2:$M$2,0)),"No errors"))</f>
        <v>Major</v>
      </c>
    </row>
    <row r="338" spans="1:10">
      <c r="A338" s="74" t="s">
        <v>453</v>
      </c>
      <c r="B338" s="17">
        <v>2</v>
      </c>
      <c r="C338" s="83" t="s">
        <v>454</v>
      </c>
      <c r="D338" s="83" t="s">
        <v>455</v>
      </c>
      <c r="E338" s="79" t="s">
        <v>21</v>
      </c>
      <c r="F338" s="79" t="s">
        <v>22</v>
      </c>
      <c r="G338" s="79" t="s">
        <v>57</v>
      </c>
      <c r="H338" s="79" t="s">
        <v>457</v>
      </c>
      <c r="I338" s="79"/>
      <c r="J338" s="14" t="str">
        <f>IF(E338="Invalid_Segment","Invalid",IFERROR(INDEX(Severity_Matrix!$C$3:$M$10,MATCH('Error Log'!$F338,Severity_Matrix!$B$3:$B$10,0),MATCH('Error Log'!$G338,Severity_Matrix!$C$2:$M$2,0)),"No errors"))</f>
        <v>Major</v>
      </c>
    </row>
    <row r="339" spans="1:10">
      <c r="A339" s="74" t="s">
        <v>458</v>
      </c>
      <c r="B339" s="17">
        <v>3</v>
      </c>
      <c r="C339" s="83" t="s">
        <v>454</v>
      </c>
      <c r="D339" s="83" t="s">
        <v>455</v>
      </c>
      <c r="E339" s="79" t="s">
        <v>21</v>
      </c>
      <c r="F339" s="79" t="s">
        <v>7</v>
      </c>
      <c r="G339" s="79" t="s">
        <v>57</v>
      </c>
      <c r="H339" s="79" t="s">
        <v>459</v>
      </c>
      <c r="I339" s="79"/>
      <c r="J339" s="14" t="str">
        <f>IF(E339="Invalid_Segment","Invalid",IFERROR(INDEX(Severity_Matrix!$C$3:$M$10,MATCH('Error Log'!$F339,Severity_Matrix!$B$3:$B$10,0),MATCH('Error Log'!$G339,Severity_Matrix!$C$2:$M$2,0)),"No errors"))</f>
        <v>Critical</v>
      </c>
    </row>
    <row r="340" spans="1:10">
      <c r="A340" s="74" t="s">
        <v>460</v>
      </c>
      <c r="B340" s="17">
        <v>1</v>
      </c>
      <c r="C340" s="83" t="s">
        <v>461</v>
      </c>
      <c r="D340" s="83" t="s">
        <v>462</v>
      </c>
      <c r="E340" s="79" t="s">
        <v>21</v>
      </c>
      <c r="F340" s="79" t="s">
        <v>63</v>
      </c>
      <c r="G340" s="79" t="s">
        <v>27</v>
      </c>
      <c r="H340" s="79" t="s">
        <v>463</v>
      </c>
      <c r="I340" s="79"/>
      <c r="J340" s="14" t="str">
        <f>IF(E340="Invalid_Segment","Invalid",IFERROR(INDEX(Severity_Matrix!$C$3:$M$10,MATCH('Error Log'!$F340,Severity_Matrix!$B$3:$B$10,0),MATCH('Error Log'!$G340,Severity_Matrix!$C$2:$M$2,0)),"No errors"))</f>
        <v>Critical</v>
      </c>
    </row>
    <row r="341" spans="1:10">
      <c r="A341" s="74" t="s">
        <v>460</v>
      </c>
      <c r="B341" s="17">
        <v>2</v>
      </c>
      <c r="C341" s="83" t="s">
        <v>461</v>
      </c>
      <c r="D341" s="83" t="s">
        <v>462</v>
      </c>
      <c r="E341" s="79" t="s">
        <v>21</v>
      </c>
      <c r="F341" s="79" t="s">
        <v>63</v>
      </c>
      <c r="G341" s="79" t="s">
        <v>27</v>
      </c>
      <c r="H341" s="79" t="s">
        <v>463</v>
      </c>
      <c r="I341" s="79"/>
      <c r="J341" s="14" t="str">
        <f>IF(E341="Invalid_Segment","Invalid",IFERROR(INDEX(Severity_Matrix!$C$3:$M$10,MATCH('Error Log'!$F341,Severity_Matrix!$B$3:$B$10,0),MATCH('Error Log'!$G341,Severity_Matrix!$C$2:$M$2,0)),"No errors"))</f>
        <v>Critical</v>
      </c>
    </row>
    <row r="342" spans="1:10">
      <c r="A342" s="74" t="s">
        <v>460</v>
      </c>
      <c r="B342" s="17">
        <v>3</v>
      </c>
      <c r="C342" s="83" t="s">
        <v>461</v>
      </c>
      <c r="D342" s="83" t="s">
        <v>462</v>
      </c>
      <c r="E342" s="79" t="s">
        <v>21</v>
      </c>
      <c r="F342" s="79" t="s">
        <v>64</v>
      </c>
      <c r="G342" s="79" t="s">
        <v>29</v>
      </c>
      <c r="H342" s="79" t="s">
        <v>464</v>
      </c>
      <c r="I342" s="79"/>
      <c r="J342" s="14" t="str">
        <f>IF(E342="Invalid_Segment","Invalid",IFERROR(INDEX(Severity_Matrix!$C$3:$M$10,MATCH('Error Log'!$F342,Severity_Matrix!$B$3:$B$10,0),MATCH('Error Log'!$G342,Severity_Matrix!$C$2:$M$2,0)),"No errors"))</f>
        <v>Critical</v>
      </c>
    </row>
    <row r="343" spans="1:10">
      <c r="A343" s="74" t="s">
        <v>460</v>
      </c>
      <c r="B343" s="17">
        <v>4</v>
      </c>
      <c r="C343" s="83" t="s">
        <v>461</v>
      </c>
      <c r="D343" s="83" t="s">
        <v>462</v>
      </c>
      <c r="E343" s="79" t="s">
        <v>21</v>
      </c>
      <c r="F343" s="79" t="s">
        <v>63</v>
      </c>
      <c r="G343" s="79" t="s">
        <v>29</v>
      </c>
      <c r="H343" s="84">
        <v>43623</v>
      </c>
      <c r="I343" s="79"/>
      <c r="J343" s="14" t="str">
        <f>IF(E343="Invalid_Segment","Invalid",IFERROR(INDEX(Severity_Matrix!$C$3:$M$10,MATCH('Error Log'!$F343,Severity_Matrix!$B$3:$B$10,0),MATCH('Error Log'!$G343,Severity_Matrix!$C$2:$M$2,0)),"No errors"))</f>
        <v>Critical</v>
      </c>
    </row>
    <row r="344" spans="1:10">
      <c r="A344" s="74" t="s">
        <v>460</v>
      </c>
      <c r="B344" s="17">
        <v>5</v>
      </c>
      <c r="C344" s="83" t="s">
        <v>461</v>
      </c>
      <c r="D344" s="83" t="s">
        <v>462</v>
      </c>
      <c r="E344" s="79" t="s">
        <v>21</v>
      </c>
      <c r="F344" s="79" t="s">
        <v>63</v>
      </c>
      <c r="G344" s="79" t="s">
        <v>55</v>
      </c>
      <c r="H344" s="79" t="s">
        <v>465</v>
      </c>
      <c r="I344" s="79"/>
      <c r="J344" s="14" t="str">
        <f>IF(E344="Invalid_Segment","Invalid",IFERROR(INDEX(Severity_Matrix!$C$3:$M$10,MATCH('Error Log'!$F344,Severity_Matrix!$B$3:$B$10,0),MATCH('Error Log'!$G344,Severity_Matrix!$C$2:$M$2,0)),"No errors"))</f>
        <v>Critical</v>
      </c>
    </row>
    <row r="345" spans="1:10">
      <c r="A345" s="74" t="s">
        <v>460</v>
      </c>
      <c r="B345" s="17">
        <v>6</v>
      </c>
      <c r="C345" s="83" t="s">
        <v>461</v>
      </c>
      <c r="D345" s="83" t="s">
        <v>462</v>
      </c>
      <c r="E345" s="79" t="s">
        <v>21</v>
      </c>
      <c r="F345" s="79" t="s">
        <v>7</v>
      </c>
      <c r="G345" s="79" t="s">
        <v>57</v>
      </c>
      <c r="H345" s="79" t="s">
        <v>466</v>
      </c>
      <c r="I345" s="79"/>
      <c r="J345" s="14" t="str">
        <f>IF(E345="Invalid_Segment","Invalid",IFERROR(INDEX(Severity_Matrix!$C$3:$M$10,MATCH('Error Log'!$F345,Severity_Matrix!$B$3:$B$10,0),MATCH('Error Log'!$G345,Severity_Matrix!$C$2:$M$2,0)),"No errors"))</f>
        <v>Critical</v>
      </c>
    </row>
    <row r="346" spans="1:10">
      <c r="A346" s="74" t="s">
        <v>460</v>
      </c>
      <c r="B346" s="17">
        <v>7</v>
      </c>
      <c r="C346" s="83" t="s">
        <v>461</v>
      </c>
      <c r="D346" s="83" t="s">
        <v>462</v>
      </c>
      <c r="E346" s="79" t="s">
        <v>21</v>
      </c>
      <c r="F346" s="79" t="s">
        <v>7</v>
      </c>
      <c r="G346" s="79" t="s">
        <v>57</v>
      </c>
      <c r="H346" s="79" t="s">
        <v>467</v>
      </c>
      <c r="I346" s="79"/>
      <c r="J346" s="14" t="str">
        <f>IF(E346="Invalid_Segment","Invalid",IFERROR(INDEX(Severity_Matrix!$C$3:$M$10,MATCH('Error Log'!$F346,Severity_Matrix!$B$3:$B$10,0),MATCH('Error Log'!$G346,Severity_Matrix!$C$2:$M$2,0)),"No errors"))</f>
        <v>Critical</v>
      </c>
    </row>
    <row r="347" spans="1:10">
      <c r="A347" s="74" t="s">
        <v>460</v>
      </c>
      <c r="B347" s="17">
        <v>8</v>
      </c>
      <c r="C347" s="83" t="s">
        <v>461</v>
      </c>
      <c r="D347" s="83" t="s">
        <v>462</v>
      </c>
      <c r="E347" s="79" t="s">
        <v>21</v>
      </c>
      <c r="F347" s="79" t="s">
        <v>7</v>
      </c>
      <c r="G347" s="79" t="s">
        <v>57</v>
      </c>
      <c r="H347" s="79" t="s">
        <v>468</v>
      </c>
      <c r="I347" s="79"/>
      <c r="J347" s="14" t="str">
        <f>IF(E347="Invalid_Segment","Invalid",IFERROR(INDEX(Severity_Matrix!$C$3:$M$10,MATCH('Error Log'!$F347,Severity_Matrix!$B$3:$B$10,0),MATCH('Error Log'!$G347,Severity_Matrix!$C$2:$M$2,0)),"No errors"))</f>
        <v>Critical</v>
      </c>
    </row>
    <row r="348" spans="1:10">
      <c r="A348" s="74" t="s">
        <v>469</v>
      </c>
      <c r="B348" s="17">
        <v>1</v>
      </c>
      <c r="C348" s="83" t="s">
        <v>470</v>
      </c>
      <c r="D348" s="83" t="s">
        <v>471</v>
      </c>
      <c r="E348" s="79" t="s">
        <v>21</v>
      </c>
      <c r="F348" s="79" t="s">
        <v>63</v>
      </c>
      <c r="G348" s="79" t="s">
        <v>54</v>
      </c>
      <c r="H348" s="79" t="s">
        <v>472</v>
      </c>
      <c r="I348" s="79"/>
      <c r="J348" s="14" t="str">
        <f>IF(E348="Invalid_Segment","Invalid",IFERROR(INDEX(Severity_Matrix!$C$3:$M$10,MATCH('Error Log'!$F348,Severity_Matrix!$B$3:$B$10,0),MATCH('Error Log'!$G348,Severity_Matrix!$C$2:$M$2,0)),"No errors"))</f>
        <v>Critical</v>
      </c>
    </row>
    <row r="349" spans="1:10">
      <c r="A349" s="74" t="s">
        <v>469</v>
      </c>
      <c r="B349" s="17">
        <v>2</v>
      </c>
      <c r="C349" s="83" t="s">
        <v>470</v>
      </c>
      <c r="D349" s="83" t="s">
        <v>471</v>
      </c>
      <c r="E349" s="79" t="s">
        <v>2</v>
      </c>
      <c r="F349" s="79" t="s">
        <v>26</v>
      </c>
      <c r="G349" s="79" t="s">
        <v>57</v>
      </c>
      <c r="H349" s="79" t="s">
        <v>473</v>
      </c>
      <c r="I349" s="79"/>
      <c r="J349" s="14" t="str">
        <f>IF(E349="Invalid_Segment","Invalid",IFERROR(INDEX(Severity_Matrix!$C$3:$M$10,MATCH('Error Log'!$F349,Severity_Matrix!$B$3:$B$10,0),MATCH('Error Log'!$G349,Severity_Matrix!$C$2:$M$2,0)),"No errors"))</f>
        <v>Major</v>
      </c>
    </row>
    <row r="350" spans="1:10">
      <c r="A350" s="74" t="s">
        <v>469</v>
      </c>
      <c r="B350" s="17">
        <v>3</v>
      </c>
      <c r="C350" s="83" t="s">
        <v>470</v>
      </c>
      <c r="D350" s="83" t="s">
        <v>471</v>
      </c>
      <c r="E350" s="79" t="s">
        <v>21</v>
      </c>
      <c r="F350" s="79" t="s">
        <v>22</v>
      </c>
      <c r="G350" s="79" t="s">
        <v>29</v>
      </c>
      <c r="H350" s="79">
        <v>272</v>
      </c>
      <c r="I350" s="79"/>
      <c r="J350" s="14" t="str">
        <f>IF(E350="Invalid_Segment","Invalid",IFERROR(INDEX(Severity_Matrix!$C$3:$M$10,MATCH('Error Log'!$F350,Severity_Matrix!$B$3:$B$10,0),MATCH('Error Log'!$G350,Severity_Matrix!$C$2:$M$2,0)),"No errors"))</f>
        <v>Major</v>
      </c>
    </row>
    <row r="351" spans="1:10">
      <c r="A351" s="74" t="s">
        <v>474</v>
      </c>
      <c r="B351" s="17">
        <v>4</v>
      </c>
      <c r="C351" s="83" t="s">
        <v>470</v>
      </c>
      <c r="D351" s="83" t="s">
        <v>471</v>
      </c>
      <c r="E351" s="79" t="s">
        <v>21</v>
      </c>
      <c r="F351" s="79" t="s">
        <v>22</v>
      </c>
      <c r="G351" s="79" t="s">
        <v>28</v>
      </c>
      <c r="H351" s="79" t="s">
        <v>475</v>
      </c>
      <c r="I351" s="79"/>
      <c r="J351" s="14" t="str">
        <f>IF(E351="Invalid_Segment","Invalid",IFERROR(INDEX(Severity_Matrix!$C$3:$M$10,MATCH('Error Log'!$F351,Severity_Matrix!$B$3:$B$10,0),MATCH('Error Log'!$G351,Severity_Matrix!$C$2:$M$2,0)),"No errors"))</f>
        <v>Major</v>
      </c>
    </row>
    <row r="352" spans="1:10">
      <c r="A352" s="74" t="s">
        <v>474</v>
      </c>
      <c r="B352" s="17">
        <v>5</v>
      </c>
      <c r="C352" s="83" t="s">
        <v>470</v>
      </c>
      <c r="D352" s="83" t="s">
        <v>471</v>
      </c>
      <c r="E352" s="79" t="s">
        <v>21</v>
      </c>
      <c r="F352" s="79" t="s">
        <v>22</v>
      </c>
      <c r="G352" s="79" t="s">
        <v>28</v>
      </c>
      <c r="H352" s="79" t="s">
        <v>476</v>
      </c>
      <c r="I352" s="79"/>
      <c r="J352" s="14" t="str">
        <f>IF(E352="Invalid_Segment","Invalid",IFERROR(INDEX(Severity_Matrix!$C$3:$M$10,MATCH('Error Log'!$F352,Severity_Matrix!$B$3:$B$10,0),MATCH('Error Log'!$G352,Severity_Matrix!$C$2:$M$2,0)),"No errors"))</f>
        <v>Major</v>
      </c>
    </row>
    <row r="353" spans="1:10">
      <c r="A353" s="74" t="s">
        <v>474</v>
      </c>
      <c r="B353" s="17">
        <v>6</v>
      </c>
      <c r="C353" s="83" t="s">
        <v>470</v>
      </c>
      <c r="D353" s="83" t="s">
        <v>471</v>
      </c>
      <c r="E353" s="79" t="s">
        <v>21</v>
      </c>
      <c r="F353" s="79" t="s">
        <v>22</v>
      </c>
      <c r="G353" s="79" t="s">
        <v>58</v>
      </c>
      <c r="H353" s="79" t="s">
        <v>477</v>
      </c>
      <c r="I353" s="79"/>
      <c r="J353" s="14" t="str">
        <f>IF(E353="Invalid_Segment","Invalid",IFERROR(INDEX(Severity_Matrix!$C$3:$M$10,MATCH('Error Log'!$F353,Severity_Matrix!$B$3:$B$10,0),MATCH('Error Log'!$G353,Severity_Matrix!$C$2:$M$2,0)),"No errors"))</f>
        <v>Minor</v>
      </c>
    </row>
    <row r="354" spans="1:10">
      <c r="A354" s="74" t="s">
        <v>474</v>
      </c>
      <c r="B354" s="17">
        <v>7</v>
      </c>
      <c r="C354" s="83" t="s">
        <v>470</v>
      </c>
      <c r="D354" s="83" t="s">
        <v>471</v>
      </c>
      <c r="E354" s="79" t="s">
        <v>21</v>
      </c>
      <c r="F354" s="79" t="s">
        <v>22</v>
      </c>
      <c r="G354" s="79" t="s">
        <v>28</v>
      </c>
      <c r="H354" s="79" t="s">
        <v>478</v>
      </c>
      <c r="I354" s="79"/>
      <c r="J354" s="14" t="str">
        <f>IF(E354="Invalid_Segment","Invalid",IFERROR(INDEX(Severity_Matrix!$C$3:$M$10,MATCH('Error Log'!$F354,Severity_Matrix!$B$3:$B$10,0),MATCH('Error Log'!$G354,Severity_Matrix!$C$2:$M$2,0)),"No errors"))</f>
        <v>Major</v>
      </c>
    </row>
    <row r="355" spans="1:10">
      <c r="A355" s="74" t="s">
        <v>474</v>
      </c>
      <c r="B355" s="17">
        <v>8</v>
      </c>
      <c r="C355" s="83" t="s">
        <v>470</v>
      </c>
      <c r="D355" s="83" t="s">
        <v>471</v>
      </c>
      <c r="E355" s="79" t="s">
        <v>21</v>
      </c>
      <c r="F355" s="79" t="s">
        <v>22</v>
      </c>
      <c r="G355" s="79" t="s">
        <v>28</v>
      </c>
      <c r="H355" s="79" t="s">
        <v>479</v>
      </c>
      <c r="I355" s="79"/>
      <c r="J355" s="14" t="str">
        <f>IF(E355="Invalid_Segment","Invalid",IFERROR(INDEX(Severity_Matrix!$C$3:$M$10,MATCH('Error Log'!$F355,Severity_Matrix!$B$3:$B$10,0),MATCH('Error Log'!$G355,Severity_Matrix!$C$2:$M$2,0)),"No errors"))</f>
        <v>Major</v>
      </c>
    </row>
    <row r="356" spans="1:10">
      <c r="A356" s="74" t="s">
        <v>474</v>
      </c>
      <c r="B356" s="17">
        <v>9</v>
      </c>
      <c r="C356" s="83" t="s">
        <v>470</v>
      </c>
      <c r="D356" s="83" t="s">
        <v>471</v>
      </c>
      <c r="E356" s="79" t="s">
        <v>21</v>
      </c>
      <c r="F356" s="79" t="s">
        <v>7</v>
      </c>
      <c r="G356" s="79" t="s">
        <v>57</v>
      </c>
      <c r="H356" s="79" t="s">
        <v>480</v>
      </c>
      <c r="I356" s="79"/>
      <c r="J356" s="14" t="str">
        <f>IF(E356="Invalid_Segment","Invalid",IFERROR(INDEX(Severity_Matrix!$C$3:$M$10,MATCH('Error Log'!$F356,Severity_Matrix!$B$3:$B$10,0),MATCH('Error Log'!$G356,Severity_Matrix!$C$2:$M$2,0)),"No errors"))</f>
        <v>Critical</v>
      </c>
    </row>
    <row r="357" spans="1:10">
      <c r="A357" s="74" t="s">
        <v>474</v>
      </c>
      <c r="B357" s="17">
        <v>10</v>
      </c>
      <c r="C357" s="83" t="s">
        <v>470</v>
      </c>
      <c r="D357" s="83" t="s">
        <v>471</v>
      </c>
      <c r="E357" s="79" t="s">
        <v>21</v>
      </c>
      <c r="F357" s="79" t="s">
        <v>7</v>
      </c>
      <c r="G357" s="79" t="s">
        <v>57</v>
      </c>
      <c r="H357" s="79" t="s">
        <v>481</v>
      </c>
      <c r="I357" s="79"/>
      <c r="J357" s="14" t="str">
        <f>IF(E357="Invalid_Segment","Invalid",IFERROR(INDEX(Severity_Matrix!$C$3:$M$10,MATCH('Error Log'!$F357,Severity_Matrix!$B$3:$B$10,0),MATCH('Error Log'!$G357,Severity_Matrix!$C$2:$M$2,0)),"No errors"))</f>
        <v>Critical</v>
      </c>
    </row>
    <row r="358" spans="1:10">
      <c r="A358" s="74" t="s">
        <v>482</v>
      </c>
      <c r="B358" s="17">
        <v>1</v>
      </c>
      <c r="C358" s="83" t="s">
        <v>483</v>
      </c>
      <c r="D358" s="83" t="s">
        <v>484</v>
      </c>
      <c r="E358" s="79" t="s">
        <v>21</v>
      </c>
      <c r="F358" s="79" t="s">
        <v>64</v>
      </c>
      <c r="G358" s="79" t="s">
        <v>27</v>
      </c>
      <c r="H358" s="79" t="s">
        <v>485</v>
      </c>
      <c r="I358" s="79"/>
      <c r="J358" s="14" t="str">
        <f>IF(E358="Invalid_Segment","Invalid",IFERROR(INDEX(Severity_Matrix!$C$3:$M$10,MATCH('Error Log'!$F358,Severity_Matrix!$B$3:$B$10,0),MATCH('Error Log'!$G358,Severity_Matrix!$C$2:$M$2,0)),"No errors"))</f>
        <v>Critical</v>
      </c>
    </row>
    <row r="359" spans="1:10">
      <c r="A359" s="74" t="s">
        <v>482</v>
      </c>
      <c r="B359" s="17">
        <v>2</v>
      </c>
      <c r="C359" s="83" t="s">
        <v>483</v>
      </c>
      <c r="D359" s="83" t="s">
        <v>484</v>
      </c>
      <c r="E359" s="79" t="s">
        <v>21</v>
      </c>
      <c r="F359" s="79" t="s">
        <v>63</v>
      </c>
      <c r="G359" s="79" t="s">
        <v>55</v>
      </c>
      <c r="H359" s="79" t="s">
        <v>486</v>
      </c>
      <c r="I359" s="79"/>
      <c r="J359" s="14" t="str">
        <f>IF(E359="Invalid_Segment","Invalid",IFERROR(INDEX(Severity_Matrix!$C$3:$M$10,MATCH('Error Log'!$F359,Severity_Matrix!$B$3:$B$10,0),MATCH('Error Log'!$G359,Severity_Matrix!$C$2:$M$2,0)),"No errors"))</f>
        <v>Critical</v>
      </c>
    </row>
    <row r="360" spans="1:10">
      <c r="A360" s="74" t="s">
        <v>482</v>
      </c>
      <c r="B360" s="17">
        <v>3</v>
      </c>
      <c r="C360" s="83" t="s">
        <v>483</v>
      </c>
      <c r="D360" s="83" t="s">
        <v>484</v>
      </c>
      <c r="E360" s="79" t="s">
        <v>21</v>
      </c>
      <c r="F360" s="79" t="s">
        <v>22</v>
      </c>
      <c r="G360" s="79" t="s">
        <v>57</v>
      </c>
      <c r="H360" s="79" t="s">
        <v>487</v>
      </c>
      <c r="I360" s="79"/>
      <c r="J360" s="14" t="str">
        <f>IF(E360="Invalid_Segment","Invalid",IFERROR(INDEX(Severity_Matrix!$C$3:$M$10,MATCH('Error Log'!$F360,Severity_Matrix!$B$3:$B$10,0),MATCH('Error Log'!$G360,Severity_Matrix!$C$2:$M$2,0)),"No errors"))</f>
        <v>Major</v>
      </c>
    </row>
    <row r="361" spans="1:10">
      <c r="A361" s="74" t="s">
        <v>482</v>
      </c>
      <c r="B361" s="17">
        <v>4</v>
      </c>
      <c r="C361" s="83" t="s">
        <v>483</v>
      </c>
      <c r="D361" s="83" t="s">
        <v>484</v>
      </c>
      <c r="E361" s="79" t="s">
        <v>2</v>
      </c>
      <c r="F361" s="79" t="s">
        <v>26</v>
      </c>
      <c r="G361" s="79" t="s">
        <v>57</v>
      </c>
      <c r="H361" s="79" t="s">
        <v>488</v>
      </c>
      <c r="I361" s="79"/>
      <c r="J361" s="14" t="str">
        <f>IF(E361="Invalid_Segment","Invalid",IFERROR(INDEX(Severity_Matrix!$C$3:$M$10,MATCH('Error Log'!$F361,Severity_Matrix!$B$3:$B$10,0),MATCH('Error Log'!$G361,Severity_Matrix!$C$2:$M$2,0)),"No errors"))</f>
        <v>Major</v>
      </c>
    </row>
    <row r="362" spans="1:10">
      <c r="A362" s="74" t="s">
        <v>489</v>
      </c>
      <c r="B362" s="17">
        <v>5</v>
      </c>
      <c r="C362" s="83" t="s">
        <v>483</v>
      </c>
      <c r="D362" s="83" t="s">
        <v>484</v>
      </c>
      <c r="E362" s="79" t="s">
        <v>21</v>
      </c>
      <c r="F362" s="79" t="s">
        <v>7</v>
      </c>
      <c r="G362" s="79" t="s">
        <v>57</v>
      </c>
      <c r="H362" s="79" t="s">
        <v>490</v>
      </c>
      <c r="I362" s="79"/>
      <c r="J362" s="14" t="str">
        <f>IF(E362="Invalid_Segment","Invalid",IFERROR(INDEX(Severity_Matrix!$C$3:$M$10,MATCH('Error Log'!$F362,Severity_Matrix!$B$3:$B$10,0),MATCH('Error Log'!$G362,Severity_Matrix!$C$2:$M$2,0)),"No errors"))</f>
        <v>Critical</v>
      </c>
    </row>
    <row r="363" spans="1:10">
      <c r="A363" s="74" t="s">
        <v>489</v>
      </c>
      <c r="B363" s="17">
        <v>6</v>
      </c>
      <c r="C363" s="83" t="s">
        <v>483</v>
      </c>
      <c r="D363" s="83" t="s">
        <v>484</v>
      </c>
      <c r="E363" s="79" t="s">
        <v>21</v>
      </c>
      <c r="F363" s="79" t="s">
        <v>7</v>
      </c>
      <c r="G363" s="79" t="s">
        <v>57</v>
      </c>
      <c r="H363" s="79" t="s">
        <v>491</v>
      </c>
      <c r="I363" s="79"/>
      <c r="J363" s="14" t="str">
        <f>IF(E363="Invalid_Segment","Invalid",IFERROR(INDEX(Severity_Matrix!$C$3:$M$10,MATCH('Error Log'!$F363,Severity_Matrix!$B$3:$B$10,0),MATCH('Error Log'!$G363,Severity_Matrix!$C$2:$M$2,0)),"No errors"))</f>
        <v>Critical</v>
      </c>
    </row>
    <row r="364" spans="1:10">
      <c r="A364" s="74" t="s">
        <v>489</v>
      </c>
      <c r="B364" s="17">
        <v>7</v>
      </c>
      <c r="C364" s="83" t="s">
        <v>483</v>
      </c>
      <c r="D364" s="83" t="s">
        <v>484</v>
      </c>
      <c r="E364" s="79" t="s">
        <v>21</v>
      </c>
      <c r="F364" s="79" t="s">
        <v>7</v>
      </c>
      <c r="G364" s="79" t="s">
        <v>57</v>
      </c>
      <c r="H364" s="79" t="s">
        <v>492</v>
      </c>
      <c r="I364" s="79"/>
      <c r="J364" s="14" t="str">
        <f>IF(E364="Invalid_Segment","Invalid",IFERROR(INDEX(Severity_Matrix!$C$3:$M$10,MATCH('Error Log'!$F364,Severity_Matrix!$B$3:$B$10,0),MATCH('Error Log'!$G364,Severity_Matrix!$C$2:$M$2,0)),"No errors"))</f>
        <v>Critical</v>
      </c>
    </row>
    <row r="365" spans="1:10">
      <c r="A365" s="74" t="s">
        <v>493</v>
      </c>
      <c r="B365" s="17">
        <v>1</v>
      </c>
      <c r="C365" s="83" t="s">
        <v>494</v>
      </c>
      <c r="D365" s="83" t="s">
        <v>495</v>
      </c>
      <c r="E365" s="79" t="s">
        <v>21</v>
      </c>
      <c r="F365" s="79" t="s">
        <v>63</v>
      </c>
      <c r="G365" s="79" t="s">
        <v>27</v>
      </c>
      <c r="H365" s="79" t="s">
        <v>77</v>
      </c>
      <c r="I365" s="79"/>
      <c r="J365" s="14" t="str">
        <f>IF(E365="Invalid_Segment","Invalid",IFERROR(INDEX(Severity_Matrix!$C$3:$M$10,MATCH('Error Log'!$F365,Severity_Matrix!$B$3:$B$10,0),MATCH('Error Log'!$G365,Severity_Matrix!$C$2:$M$2,0)),"No errors"))</f>
        <v>Critical</v>
      </c>
    </row>
    <row r="366" spans="1:10">
      <c r="A366" s="74" t="s">
        <v>493</v>
      </c>
      <c r="B366" s="17">
        <v>2</v>
      </c>
      <c r="C366" s="83" t="s">
        <v>494</v>
      </c>
      <c r="D366" s="83" t="s">
        <v>495</v>
      </c>
      <c r="E366" s="79" t="s">
        <v>21</v>
      </c>
      <c r="F366" s="79" t="s">
        <v>63</v>
      </c>
      <c r="G366" s="79" t="s">
        <v>27</v>
      </c>
      <c r="H366" s="79" t="s">
        <v>496</v>
      </c>
      <c r="I366" s="79"/>
      <c r="J366" s="14" t="str">
        <f>IF(E366="Invalid_Segment","Invalid",IFERROR(INDEX(Severity_Matrix!$C$3:$M$10,MATCH('Error Log'!$F366,Severity_Matrix!$B$3:$B$10,0),MATCH('Error Log'!$G366,Severity_Matrix!$C$2:$M$2,0)),"No errors"))</f>
        <v>Critical</v>
      </c>
    </row>
    <row r="367" spans="1:10">
      <c r="A367" s="74" t="s">
        <v>497</v>
      </c>
      <c r="B367" s="17">
        <v>3</v>
      </c>
      <c r="C367" s="83" t="s">
        <v>494</v>
      </c>
      <c r="D367" s="83" t="s">
        <v>495</v>
      </c>
      <c r="E367" s="79" t="s">
        <v>21</v>
      </c>
      <c r="F367" s="79" t="s">
        <v>63</v>
      </c>
      <c r="G367" s="79" t="s">
        <v>27</v>
      </c>
      <c r="H367" s="79" t="s">
        <v>77</v>
      </c>
      <c r="I367" s="79"/>
      <c r="J367" s="14" t="str">
        <f>IF(E367="Invalid_Segment","Invalid",IFERROR(INDEX(Severity_Matrix!$C$3:$M$10,MATCH('Error Log'!$F367,Severity_Matrix!$B$3:$B$10,0),MATCH('Error Log'!$G367,Severity_Matrix!$C$2:$M$2,0)),"No errors"))</f>
        <v>Critical</v>
      </c>
    </row>
    <row r="368" spans="1:10">
      <c r="A368" s="74" t="s">
        <v>497</v>
      </c>
      <c r="B368" s="17">
        <v>4</v>
      </c>
      <c r="C368" s="83" t="s">
        <v>494</v>
      </c>
      <c r="D368" s="83" t="s">
        <v>495</v>
      </c>
      <c r="E368" s="79" t="s">
        <v>21</v>
      </c>
      <c r="F368" s="79" t="s">
        <v>63</v>
      </c>
      <c r="G368" s="79" t="s">
        <v>27</v>
      </c>
      <c r="H368" s="79" t="s">
        <v>77</v>
      </c>
      <c r="I368" s="79"/>
      <c r="J368" s="14" t="str">
        <f>IF(E368="Invalid_Segment","Invalid",IFERROR(INDEX(Severity_Matrix!$C$3:$M$10,MATCH('Error Log'!$F368,Severity_Matrix!$B$3:$B$10,0),MATCH('Error Log'!$G368,Severity_Matrix!$C$2:$M$2,0)),"No errors"))</f>
        <v>Critical</v>
      </c>
    </row>
    <row r="369" spans="1:10">
      <c r="A369" s="74" t="s">
        <v>497</v>
      </c>
      <c r="B369" s="17">
        <v>5</v>
      </c>
      <c r="C369" s="83" t="s">
        <v>494</v>
      </c>
      <c r="D369" s="83" t="s">
        <v>495</v>
      </c>
      <c r="E369" s="79" t="s">
        <v>2</v>
      </c>
      <c r="F369" s="79" t="s">
        <v>26</v>
      </c>
      <c r="G369" s="79" t="s">
        <v>57</v>
      </c>
      <c r="H369" s="79" t="s">
        <v>498</v>
      </c>
      <c r="I369" s="79"/>
      <c r="J369" s="14" t="str">
        <f>IF(E369="Invalid_Segment","Invalid",IFERROR(INDEX(Severity_Matrix!$C$3:$M$10,MATCH('Error Log'!$F369,Severity_Matrix!$B$3:$B$10,0),MATCH('Error Log'!$G369,Severity_Matrix!$C$2:$M$2,0)),"No errors"))</f>
        <v>Major</v>
      </c>
    </row>
    <row r="370" spans="1:10">
      <c r="A370" s="74" t="s">
        <v>497</v>
      </c>
      <c r="B370" s="17">
        <v>6</v>
      </c>
      <c r="C370" s="83" t="s">
        <v>494</v>
      </c>
      <c r="D370" s="83" t="s">
        <v>495</v>
      </c>
      <c r="E370" s="79" t="s">
        <v>2</v>
      </c>
      <c r="F370" s="79" t="s">
        <v>26</v>
      </c>
      <c r="G370" s="79" t="s">
        <v>57</v>
      </c>
      <c r="H370" s="79" t="s">
        <v>498</v>
      </c>
      <c r="I370" s="79"/>
      <c r="J370" s="14" t="str">
        <f>IF(E370="Invalid_Segment","Invalid",IFERROR(INDEX(Severity_Matrix!$C$3:$M$10,MATCH('Error Log'!$F370,Severity_Matrix!$B$3:$B$10,0),MATCH('Error Log'!$G370,Severity_Matrix!$C$2:$M$2,0)),"No errors"))</f>
        <v>Major</v>
      </c>
    </row>
    <row r="371" spans="1:10">
      <c r="A371" s="74" t="s">
        <v>497</v>
      </c>
      <c r="B371" s="17">
        <v>7</v>
      </c>
      <c r="C371" s="83" t="s">
        <v>494</v>
      </c>
      <c r="D371" s="83" t="s">
        <v>495</v>
      </c>
      <c r="E371" s="79" t="s">
        <v>21</v>
      </c>
      <c r="F371" s="79" t="s">
        <v>7</v>
      </c>
      <c r="G371" s="79" t="s">
        <v>57</v>
      </c>
      <c r="H371" s="79" t="s">
        <v>499</v>
      </c>
      <c r="I371" s="79"/>
      <c r="J371" s="14" t="str">
        <f>IF(E371="Invalid_Segment","Invalid",IFERROR(INDEX(Severity_Matrix!$C$3:$M$10,MATCH('Error Log'!$F371,Severity_Matrix!$B$3:$B$10,0),MATCH('Error Log'!$G371,Severity_Matrix!$C$2:$M$2,0)),"No errors"))</f>
        <v>Critical</v>
      </c>
    </row>
    <row r="372" spans="1:10">
      <c r="A372" s="74" t="s">
        <v>497</v>
      </c>
      <c r="B372" s="17">
        <v>8</v>
      </c>
      <c r="C372" s="83" t="s">
        <v>494</v>
      </c>
      <c r="D372" s="83" t="s">
        <v>495</v>
      </c>
      <c r="E372" s="79" t="s">
        <v>21</v>
      </c>
      <c r="F372" s="79" t="s">
        <v>7</v>
      </c>
      <c r="G372" s="79" t="s">
        <v>57</v>
      </c>
      <c r="H372" s="79" t="s">
        <v>500</v>
      </c>
      <c r="I372" s="79"/>
      <c r="J372" s="14" t="str">
        <f>IF(E372="Invalid_Segment","Invalid",IFERROR(INDEX(Severity_Matrix!$C$3:$M$10,MATCH('Error Log'!$F372,Severity_Matrix!$B$3:$B$10,0),MATCH('Error Log'!$G372,Severity_Matrix!$C$2:$M$2,0)),"No errors"))</f>
        <v>Critical</v>
      </c>
    </row>
    <row r="373" spans="1:10">
      <c r="A373" s="74" t="s">
        <v>501</v>
      </c>
      <c r="B373" s="17">
        <v>1</v>
      </c>
      <c r="C373" s="83" t="s">
        <v>502</v>
      </c>
      <c r="D373" s="83" t="s">
        <v>503</v>
      </c>
      <c r="E373" s="79" t="s">
        <v>21</v>
      </c>
      <c r="F373" s="79" t="s">
        <v>63</v>
      </c>
      <c r="G373" s="79" t="s">
        <v>27</v>
      </c>
      <c r="H373" s="79" t="s">
        <v>303</v>
      </c>
      <c r="I373" s="79"/>
      <c r="J373" s="14" t="str">
        <f>IF(E373="Invalid_Segment","Invalid",IFERROR(INDEX(Severity_Matrix!$C$3:$M$10,MATCH('Error Log'!$F373,Severity_Matrix!$B$3:$B$10,0),MATCH('Error Log'!$G373,Severity_Matrix!$C$2:$M$2,0)),"No errors"))</f>
        <v>Critical</v>
      </c>
    </row>
    <row r="374" spans="1:10">
      <c r="A374" s="74" t="s">
        <v>501</v>
      </c>
      <c r="B374" s="17">
        <v>2</v>
      </c>
      <c r="C374" s="83" t="s">
        <v>502</v>
      </c>
      <c r="D374" s="83" t="s">
        <v>503</v>
      </c>
      <c r="E374" s="79" t="s">
        <v>21</v>
      </c>
      <c r="F374" s="79" t="s">
        <v>22</v>
      </c>
      <c r="G374" s="79" t="s">
        <v>57</v>
      </c>
      <c r="H374" s="79" t="s">
        <v>504</v>
      </c>
      <c r="I374" s="79"/>
      <c r="J374" s="14" t="str">
        <f>IF(E374="Invalid_Segment","Invalid",IFERROR(INDEX(Severity_Matrix!$C$3:$M$10,MATCH('Error Log'!$F374,Severity_Matrix!$B$3:$B$10,0),MATCH('Error Log'!$G374,Severity_Matrix!$C$2:$M$2,0)),"No errors"))</f>
        <v>Major</v>
      </c>
    </row>
    <row r="375" spans="1:10">
      <c r="A375" s="74" t="s">
        <v>505</v>
      </c>
      <c r="B375" s="17">
        <v>3</v>
      </c>
      <c r="C375" s="83" t="s">
        <v>502</v>
      </c>
      <c r="D375" s="83" t="s">
        <v>503</v>
      </c>
      <c r="E375" s="79" t="s">
        <v>21</v>
      </c>
      <c r="F375" s="79" t="s">
        <v>22</v>
      </c>
      <c r="G375" s="79" t="s">
        <v>57</v>
      </c>
      <c r="H375" s="79" t="s">
        <v>506</v>
      </c>
      <c r="I375" s="79"/>
      <c r="J375" s="14" t="str">
        <f>IF(E375="Invalid_Segment","Invalid",IFERROR(INDEX(Severity_Matrix!$C$3:$M$10,MATCH('Error Log'!$F375,Severity_Matrix!$B$3:$B$10,0),MATCH('Error Log'!$G375,Severity_Matrix!$C$2:$M$2,0)),"No errors"))</f>
        <v>Major</v>
      </c>
    </row>
    <row r="376" spans="1:10">
      <c r="A376" s="74" t="s">
        <v>505</v>
      </c>
      <c r="B376" s="17">
        <v>4</v>
      </c>
      <c r="C376" s="83" t="s">
        <v>502</v>
      </c>
      <c r="D376" s="83" t="s">
        <v>503</v>
      </c>
      <c r="E376" s="79" t="s">
        <v>2</v>
      </c>
      <c r="F376" s="79" t="s">
        <v>26</v>
      </c>
      <c r="G376" s="79" t="s">
        <v>57</v>
      </c>
      <c r="H376" s="79" t="s">
        <v>507</v>
      </c>
      <c r="I376" s="79"/>
      <c r="J376" s="14" t="str">
        <f>IF(E376="Invalid_Segment","Invalid",IFERROR(INDEX(Severity_Matrix!$C$3:$M$10,MATCH('Error Log'!$F376,Severity_Matrix!$B$3:$B$10,0),MATCH('Error Log'!$G376,Severity_Matrix!$C$2:$M$2,0)),"No errors"))</f>
        <v>Major</v>
      </c>
    </row>
    <row r="377" spans="1:10">
      <c r="A377" s="74" t="s">
        <v>505</v>
      </c>
      <c r="B377" s="17">
        <v>5</v>
      </c>
      <c r="C377" s="83" t="s">
        <v>502</v>
      </c>
      <c r="D377" s="83" t="s">
        <v>503</v>
      </c>
      <c r="E377" s="79" t="s">
        <v>21</v>
      </c>
      <c r="F377" s="79" t="s">
        <v>7</v>
      </c>
      <c r="G377" s="79" t="s">
        <v>57</v>
      </c>
      <c r="H377" s="79" t="s">
        <v>508</v>
      </c>
      <c r="I377" s="79"/>
      <c r="J377" s="14" t="str">
        <f>IF(E377="Invalid_Segment","Invalid",IFERROR(INDEX(Severity_Matrix!$C$3:$M$10,MATCH('Error Log'!$F377,Severity_Matrix!$B$3:$B$10,0),MATCH('Error Log'!$G377,Severity_Matrix!$C$2:$M$2,0)),"No errors"))</f>
        <v>Critical</v>
      </c>
    </row>
    <row r="378" spans="1:10">
      <c r="A378" s="74" t="s">
        <v>505</v>
      </c>
      <c r="B378" s="17">
        <v>6</v>
      </c>
      <c r="C378" s="83" t="s">
        <v>502</v>
      </c>
      <c r="D378" s="83" t="s">
        <v>503</v>
      </c>
      <c r="E378" s="79" t="s">
        <v>21</v>
      </c>
      <c r="F378" s="79" t="s">
        <v>7</v>
      </c>
      <c r="G378" s="79" t="s">
        <v>57</v>
      </c>
      <c r="H378" s="79" t="s">
        <v>509</v>
      </c>
      <c r="I378" s="79"/>
      <c r="J378" s="14" t="str">
        <f>IF(E378="Invalid_Segment","Invalid",IFERROR(INDEX(Severity_Matrix!$C$3:$M$10,MATCH('Error Log'!$F378,Severity_Matrix!$B$3:$B$10,0),MATCH('Error Log'!$G378,Severity_Matrix!$C$2:$M$2,0)),"No errors"))</f>
        <v>Critical</v>
      </c>
    </row>
    <row r="379" spans="1:10">
      <c r="A379" s="74" t="s">
        <v>505</v>
      </c>
      <c r="B379" s="17">
        <v>7</v>
      </c>
      <c r="C379" s="83" t="s">
        <v>502</v>
      </c>
      <c r="D379" s="83" t="s">
        <v>503</v>
      </c>
      <c r="E379" s="79" t="s">
        <v>21</v>
      </c>
      <c r="F379" s="79" t="s">
        <v>7</v>
      </c>
      <c r="G379" s="79" t="s">
        <v>57</v>
      </c>
      <c r="H379" s="79" t="s">
        <v>510</v>
      </c>
      <c r="I379" s="79"/>
      <c r="J379" s="14" t="str">
        <f>IF(E379="Invalid_Segment","Invalid",IFERROR(INDEX(Severity_Matrix!$C$3:$M$10,MATCH('Error Log'!$F379,Severity_Matrix!$B$3:$B$10,0),MATCH('Error Log'!$G379,Severity_Matrix!$C$2:$M$2,0)),"No errors"))</f>
        <v>Critical</v>
      </c>
    </row>
    <row r="380" spans="1:10">
      <c r="A380" s="74" t="s">
        <v>511</v>
      </c>
      <c r="B380" s="17">
        <v>1</v>
      </c>
      <c r="C380" s="83" t="s">
        <v>512</v>
      </c>
      <c r="D380" s="83" t="s">
        <v>513</v>
      </c>
      <c r="E380" s="79" t="s">
        <v>21</v>
      </c>
      <c r="F380" s="79" t="s">
        <v>63</v>
      </c>
      <c r="G380" s="79" t="s">
        <v>27</v>
      </c>
      <c r="H380" s="79" t="s">
        <v>514</v>
      </c>
      <c r="I380" s="79"/>
      <c r="J380" s="14" t="str">
        <f>IF(E380="Invalid_Segment","Invalid",IFERROR(INDEX(Severity_Matrix!$C$3:$M$10,MATCH('Error Log'!$F380,Severity_Matrix!$B$3:$B$10,0),MATCH('Error Log'!$G380,Severity_Matrix!$C$2:$M$2,0)),"No errors"))</f>
        <v>Critical</v>
      </c>
    </row>
    <row r="381" spans="1:10">
      <c r="A381" s="74" t="s">
        <v>511</v>
      </c>
      <c r="B381" s="17">
        <v>2</v>
      </c>
      <c r="C381" s="83" t="s">
        <v>512</v>
      </c>
      <c r="D381" s="83" t="s">
        <v>513</v>
      </c>
      <c r="E381" s="79" t="s">
        <v>21</v>
      </c>
      <c r="F381" s="79" t="s">
        <v>63</v>
      </c>
      <c r="G381" s="79" t="s">
        <v>27</v>
      </c>
      <c r="H381" s="79" t="s">
        <v>515</v>
      </c>
      <c r="I381" s="79"/>
      <c r="J381" s="14" t="str">
        <f>IF(E381="Invalid_Segment","Invalid",IFERROR(INDEX(Severity_Matrix!$C$3:$M$10,MATCH('Error Log'!$F381,Severity_Matrix!$B$3:$B$10,0),MATCH('Error Log'!$G381,Severity_Matrix!$C$2:$M$2,0)),"No errors"))</f>
        <v>Critical</v>
      </c>
    </row>
    <row r="382" spans="1:10">
      <c r="A382" s="74" t="s">
        <v>516</v>
      </c>
      <c r="B382" s="17">
        <v>3</v>
      </c>
      <c r="C382" s="83" t="s">
        <v>512</v>
      </c>
      <c r="D382" s="83" t="s">
        <v>513</v>
      </c>
      <c r="E382" s="79" t="s">
        <v>2</v>
      </c>
      <c r="F382" s="79" t="s">
        <v>26</v>
      </c>
      <c r="G382" s="79" t="s">
        <v>57</v>
      </c>
      <c r="H382" s="79" t="s">
        <v>517</v>
      </c>
      <c r="I382" s="79"/>
      <c r="J382" s="14" t="str">
        <f>IF(E382="Invalid_Segment","Invalid",IFERROR(INDEX(Severity_Matrix!$C$3:$M$10,MATCH('Error Log'!$F382,Severity_Matrix!$B$3:$B$10,0),MATCH('Error Log'!$G382,Severity_Matrix!$C$2:$M$2,0)),"No errors"))</f>
        <v>Major</v>
      </c>
    </row>
    <row r="383" spans="1:10">
      <c r="A383" s="74" t="s">
        <v>516</v>
      </c>
      <c r="B383" s="17">
        <v>4</v>
      </c>
      <c r="C383" s="83" t="s">
        <v>512</v>
      </c>
      <c r="D383" s="83" t="s">
        <v>513</v>
      </c>
      <c r="E383" s="79" t="s">
        <v>2</v>
      </c>
      <c r="F383" s="79" t="s">
        <v>26</v>
      </c>
      <c r="G383" s="79" t="s">
        <v>57</v>
      </c>
      <c r="H383" s="79" t="s">
        <v>518</v>
      </c>
      <c r="I383" s="79"/>
      <c r="J383" s="14" t="str">
        <f>IF(E383="Invalid_Segment","Invalid",IFERROR(INDEX(Severity_Matrix!$C$3:$M$10,MATCH('Error Log'!$F383,Severity_Matrix!$B$3:$B$10,0),MATCH('Error Log'!$G383,Severity_Matrix!$C$2:$M$2,0)),"No errors"))</f>
        <v>Major</v>
      </c>
    </row>
    <row r="384" spans="1:10">
      <c r="A384" s="74" t="s">
        <v>516</v>
      </c>
      <c r="B384" s="17">
        <v>5</v>
      </c>
      <c r="C384" s="83" t="s">
        <v>512</v>
      </c>
      <c r="D384" s="83" t="s">
        <v>513</v>
      </c>
      <c r="E384" s="79" t="s">
        <v>21</v>
      </c>
      <c r="F384" s="79" t="s">
        <v>22</v>
      </c>
      <c r="G384" s="79" t="s">
        <v>57</v>
      </c>
      <c r="H384" s="79" t="s">
        <v>519</v>
      </c>
      <c r="I384" s="79"/>
      <c r="J384" s="14" t="str">
        <f>IF(E384="Invalid_Segment","Invalid",IFERROR(INDEX(Severity_Matrix!$C$3:$M$10,MATCH('Error Log'!$F384,Severity_Matrix!$B$3:$B$10,0),MATCH('Error Log'!$G384,Severity_Matrix!$C$2:$M$2,0)),"No errors"))</f>
        <v>Major</v>
      </c>
    </row>
    <row r="385" spans="1:10">
      <c r="A385" s="74" t="s">
        <v>516</v>
      </c>
      <c r="B385" s="17">
        <v>6</v>
      </c>
      <c r="C385" s="83" t="s">
        <v>512</v>
      </c>
      <c r="D385" s="83" t="s">
        <v>513</v>
      </c>
      <c r="E385" s="79" t="s">
        <v>21</v>
      </c>
      <c r="F385" s="79" t="s">
        <v>63</v>
      </c>
      <c r="G385" s="79" t="s">
        <v>27</v>
      </c>
      <c r="H385" s="79" t="s">
        <v>303</v>
      </c>
      <c r="I385" s="79"/>
      <c r="J385" s="14" t="str">
        <f>IF(E385="Invalid_Segment","Invalid",IFERROR(INDEX(Severity_Matrix!$C$3:$M$10,MATCH('Error Log'!$F385,Severity_Matrix!$B$3:$B$10,0),MATCH('Error Log'!$G385,Severity_Matrix!$C$2:$M$2,0)),"No errors"))</f>
        <v>Critical</v>
      </c>
    </row>
    <row r="386" spans="1:10">
      <c r="A386" s="74" t="s">
        <v>516</v>
      </c>
      <c r="B386" s="17">
        <v>7</v>
      </c>
      <c r="C386" s="83" t="s">
        <v>512</v>
      </c>
      <c r="D386" s="83" t="s">
        <v>513</v>
      </c>
      <c r="E386" s="79" t="s">
        <v>21</v>
      </c>
      <c r="F386" s="79" t="s">
        <v>22</v>
      </c>
      <c r="G386" s="79" t="s">
        <v>57</v>
      </c>
      <c r="H386" s="79" t="s">
        <v>520</v>
      </c>
      <c r="I386" s="79"/>
      <c r="J386" s="14" t="str">
        <f>IF(E386="Invalid_Segment","Invalid",IFERROR(INDEX(Severity_Matrix!$C$3:$M$10,MATCH('Error Log'!$F386,Severity_Matrix!$B$3:$B$10,0),MATCH('Error Log'!$G386,Severity_Matrix!$C$2:$M$2,0)),"No errors"))</f>
        <v>Major</v>
      </c>
    </row>
    <row r="387" spans="1:10" ht="14.4">
      <c r="A387" s="73" t="s">
        <v>521</v>
      </c>
      <c r="B387" s="17">
        <v>1</v>
      </c>
      <c r="C387" s="78" t="s">
        <v>522</v>
      </c>
      <c r="D387" s="73" t="s">
        <v>523</v>
      </c>
      <c r="E387" s="79" t="s">
        <v>21</v>
      </c>
      <c r="F387" s="79" t="s">
        <v>63</v>
      </c>
      <c r="G387" s="79" t="s">
        <v>27</v>
      </c>
      <c r="H387" s="80" t="s">
        <v>303</v>
      </c>
      <c r="I387" s="79"/>
      <c r="J387" s="14" t="str">
        <f>IF(E387="Invalid_Segment","Invalid",IFERROR(INDEX(Severity_Matrix!$C$3:$M$10,MATCH('Error Log'!$F387,Severity_Matrix!$B$3:$B$10,0),MATCH('Error Log'!$G387,Severity_Matrix!$C$2:$M$2,0)),"No errors"))</f>
        <v>Critical</v>
      </c>
    </row>
    <row r="388" spans="1:10" ht="14.4">
      <c r="A388" s="73" t="s">
        <v>521</v>
      </c>
      <c r="B388" s="17">
        <v>2</v>
      </c>
      <c r="C388" s="78" t="s">
        <v>522</v>
      </c>
      <c r="D388" s="73" t="s">
        <v>523</v>
      </c>
      <c r="E388" s="79" t="s">
        <v>21</v>
      </c>
      <c r="F388" s="79" t="s">
        <v>63</v>
      </c>
      <c r="G388" s="79" t="s">
        <v>27</v>
      </c>
      <c r="H388" s="80" t="s">
        <v>303</v>
      </c>
      <c r="I388" s="79"/>
      <c r="J388" s="14" t="str">
        <f>IF(E388="Invalid_Segment","Invalid",IFERROR(INDEX(Severity_Matrix!$C$3:$M$10,MATCH('Error Log'!$F388,Severity_Matrix!$B$3:$B$10,0),MATCH('Error Log'!$G388,Severity_Matrix!$C$2:$M$2,0)),"No errors"))</f>
        <v>Critical</v>
      </c>
    </row>
    <row r="389" spans="1:10" ht="14.4">
      <c r="A389" s="73" t="s">
        <v>521</v>
      </c>
      <c r="B389" s="17">
        <v>3</v>
      </c>
      <c r="C389" s="78" t="s">
        <v>522</v>
      </c>
      <c r="D389" s="73" t="s">
        <v>523</v>
      </c>
      <c r="E389" s="79" t="s">
        <v>21</v>
      </c>
      <c r="F389" s="79" t="s">
        <v>63</v>
      </c>
      <c r="G389" s="79" t="s">
        <v>27</v>
      </c>
      <c r="H389" s="80" t="s">
        <v>303</v>
      </c>
      <c r="I389" s="79"/>
      <c r="J389" s="14" t="str">
        <f>IF(E389="Invalid_Segment","Invalid",IFERROR(INDEX(Severity_Matrix!$C$3:$M$10,MATCH('Error Log'!$F389,Severity_Matrix!$B$3:$B$10,0),MATCH('Error Log'!$G389,Severity_Matrix!$C$2:$M$2,0)),"No errors"))</f>
        <v>Critical</v>
      </c>
    </row>
    <row r="390" spans="1:10" ht="14.4">
      <c r="A390" s="73" t="s">
        <v>521</v>
      </c>
      <c r="B390" s="17">
        <v>4</v>
      </c>
      <c r="C390" s="78" t="s">
        <v>522</v>
      </c>
      <c r="D390" s="73" t="s">
        <v>523</v>
      </c>
      <c r="E390" s="79" t="s">
        <v>21</v>
      </c>
      <c r="F390" s="79" t="s">
        <v>63</v>
      </c>
      <c r="G390" s="79" t="s">
        <v>27</v>
      </c>
      <c r="H390" s="80" t="s">
        <v>303</v>
      </c>
      <c r="I390" s="79"/>
      <c r="J390" s="14" t="str">
        <f>IF(E390="Invalid_Segment","Invalid",IFERROR(INDEX(Severity_Matrix!$C$3:$M$10,MATCH('Error Log'!$F390,Severity_Matrix!$B$3:$B$10,0),MATCH('Error Log'!$G390,Severity_Matrix!$C$2:$M$2,0)),"No errors"))</f>
        <v>Critical</v>
      </c>
    </row>
    <row r="391" spans="1:10" ht="14.4">
      <c r="A391" s="73" t="s">
        <v>524</v>
      </c>
      <c r="B391" s="17">
        <v>5</v>
      </c>
      <c r="C391" s="78" t="s">
        <v>522</v>
      </c>
      <c r="D391" s="73" t="s">
        <v>523</v>
      </c>
      <c r="E391" s="79" t="s">
        <v>21</v>
      </c>
      <c r="F391" s="79" t="s">
        <v>63</v>
      </c>
      <c r="G391" s="79" t="s">
        <v>27</v>
      </c>
      <c r="H391" s="80" t="s">
        <v>303</v>
      </c>
      <c r="I391" s="79"/>
      <c r="J391" s="14" t="str">
        <f>IF(E391="Invalid_Segment","Invalid",IFERROR(INDEX(Severity_Matrix!$C$3:$M$10,MATCH('Error Log'!$F391,Severity_Matrix!$B$3:$B$10,0),MATCH('Error Log'!$G391,Severity_Matrix!$C$2:$M$2,0)),"No errors"))</f>
        <v>Critical</v>
      </c>
    </row>
    <row r="392" spans="1:10" ht="14.4">
      <c r="A392" s="73" t="s">
        <v>524</v>
      </c>
      <c r="B392" s="17">
        <v>6</v>
      </c>
      <c r="C392" s="78" t="s">
        <v>522</v>
      </c>
      <c r="D392" s="73" t="s">
        <v>523</v>
      </c>
      <c r="E392" s="79" t="s">
        <v>21</v>
      </c>
      <c r="F392" s="79" t="s">
        <v>22</v>
      </c>
      <c r="G392" s="79" t="s">
        <v>57</v>
      </c>
      <c r="H392" s="80" t="s">
        <v>525</v>
      </c>
      <c r="I392" s="79"/>
      <c r="J392" s="14" t="str">
        <f>IF(E392="Invalid_Segment","Invalid",IFERROR(INDEX(Severity_Matrix!$C$3:$M$10,MATCH('Error Log'!$F392,Severity_Matrix!$B$3:$B$10,0),MATCH('Error Log'!$G392,Severity_Matrix!$C$2:$M$2,0)),"No errors"))</f>
        <v>Major</v>
      </c>
    </row>
    <row r="393" spans="1:10" ht="14.4">
      <c r="A393" s="73" t="s">
        <v>524</v>
      </c>
      <c r="B393" s="17">
        <v>7</v>
      </c>
      <c r="C393" s="78" t="s">
        <v>522</v>
      </c>
      <c r="D393" s="73" t="s">
        <v>523</v>
      </c>
      <c r="E393" s="79" t="s">
        <v>21</v>
      </c>
      <c r="F393" s="79" t="s">
        <v>22</v>
      </c>
      <c r="G393" s="79" t="s">
        <v>57</v>
      </c>
      <c r="H393" s="79" t="s">
        <v>526</v>
      </c>
      <c r="I393" s="79"/>
      <c r="J393" s="14" t="str">
        <f>IF(E393="Invalid_Segment","Invalid",IFERROR(INDEX(Severity_Matrix!$C$3:$M$10,MATCH('Error Log'!$F393,Severity_Matrix!$B$3:$B$10,0),MATCH('Error Log'!$G393,Severity_Matrix!$C$2:$M$2,0)),"No errors"))</f>
        <v>Major</v>
      </c>
    </row>
    <row r="394" spans="1:10" ht="14.4">
      <c r="A394" s="73" t="s">
        <v>524</v>
      </c>
      <c r="B394" s="17">
        <v>8</v>
      </c>
      <c r="C394" s="78" t="s">
        <v>522</v>
      </c>
      <c r="D394" s="73" t="s">
        <v>523</v>
      </c>
      <c r="E394" s="79" t="s">
        <v>21</v>
      </c>
      <c r="F394" s="79" t="s">
        <v>7</v>
      </c>
      <c r="G394" s="79" t="s">
        <v>57</v>
      </c>
      <c r="H394" s="79" t="s">
        <v>527</v>
      </c>
      <c r="I394" s="79"/>
      <c r="J394" s="14" t="str">
        <f>IF(E394="Invalid_Segment","Invalid",IFERROR(INDEX(Severity_Matrix!$C$3:$M$10,MATCH('Error Log'!$F394,Severity_Matrix!$B$3:$B$10,0),MATCH('Error Log'!$G394,Severity_Matrix!$C$2:$M$2,0)),"No errors"))</f>
        <v>Critical</v>
      </c>
    </row>
    <row r="395" spans="1:10" ht="14.4">
      <c r="A395" s="73" t="s">
        <v>524</v>
      </c>
      <c r="B395" s="17">
        <v>9</v>
      </c>
      <c r="C395" s="78" t="s">
        <v>522</v>
      </c>
      <c r="D395" s="73" t="s">
        <v>523</v>
      </c>
      <c r="E395" s="79" t="s">
        <v>21</v>
      </c>
      <c r="F395" s="79" t="s">
        <v>7</v>
      </c>
      <c r="G395" s="79" t="s">
        <v>57</v>
      </c>
      <c r="H395" s="79" t="s">
        <v>528</v>
      </c>
      <c r="I395" s="79"/>
      <c r="J395" s="14" t="str">
        <f>IF(E395="Invalid_Segment","Invalid",IFERROR(INDEX(Severity_Matrix!$C$3:$M$10,MATCH('Error Log'!$F395,Severity_Matrix!$B$3:$B$10,0),MATCH('Error Log'!$G395,Severity_Matrix!$C$2:$M$2,0)),"No errors"))</f>
        <v>Critical</v>
      </c>
    </row>
    <row r="396" spans="1:10" ht="14.4">
      <c r="A396" s="73" t="s">
        <v>524</v>
      </c>
      <c r="B396" s="17">
        <v>10</v>
      </c>
      <c r="C396" s="78" t="s">
        <v>522</v>
      </c>
      <c r="D396" s="73" t="s">
        <v>523</v>
      </c>
      <c r="E396" s="79" t="s">
        <v>21</v>
      </c>
      <c r="F396" s="79" t="s">
        <v>7</v>
      </c>
      <c r="G396" s="79" t="s">
        <v>57</v>
      </c>
      <c r="H396" s="79" t="s">
        <v>529</v>
      </c>
      <c r="I396" s="79"/>
      <c r="J396" s="14" t="str">
        <f>IF(E396="Invalid_Segment","Invalid",IFERROR(INDEX(Severity_Matrix!$C$3:$M$10,MATCH('Error Log'!$F396,Severity_Matrix!$B$3:$B$10,0),MATCH('Error Log'!$G396,Severity_Matrix!$C$2:$M$2,0)),"No errors"))</f>
        <v>Critical</v>
      </c>
    </row>
    <row r="397" spans="1:10" ht="14.4">
      <c r="A397" s="73" t="s">
        <v>530</v>
      </c>
      <c r="B397" s="17">
        <v>1</v>
      </c>
      <c r="C397" s="78" t="s">
        <v>531</v>
      </c>
      <c r="D397" s="73" t="s">
        <v>532</v>
      </c>
      <c r="E397" s="79" t="s">
        <v>21</v>
      </c>
      <c r="F397" s="79" t="s">
        <v>63</v>
      </c>
      <c r="G397" s="79" t="s">
        <v>27</v>
      </c>
      <c r="H397" s="79" t="s">
        <v>303</v>
      </c>
      <c r="I397" s="79"/>
      <c r="J397" s="14" t="str">
        <f>IF(E397="Invalid_Segment","Invalid",IFERROR(INDEX(Severity_Matrix!$C$3:$M$10,MATCH('Error Log'!$F397,Severity_Matrix!$B$3:$B$10,0),MATCH('Error Log'!$G397,Severity_Matrix!$C$2:$M$2,0)),"No errors"))</f>
        <v>Critical</v>
      </c>
    </row>
    <row r="398" spans="1:10" ht="14.4">
      <c r="A398" s="73" t="s">
        <v>530</v>
      </c>
      <c r="B398" s="17">
        <v>2</v>
      </c>
      <c r="C398" s="78" t="s">
        <v>531</v>
      </c>
      <c r="D398" s="73" t="s">
        <v>532</v>
      </c>
      <c r="E398" s="79" t="s">
        <v>21</v>
      </c>
      <c r="F398" s="79" t="s">
        <v>63</v>
      </c>
      <c r="G398" s="79" t="s">
        <v>27</v>
      </c>
      <c r="H398" s="79" t="s">
        <v>303</v>
      </c>
      <c r="I398" s="79"/>
      <c r="J398" s="14" t="str">
        <f>IF(E398="Invalid_Segment","Invalid",IFERROR(INDEX(Severity_Matrix!$C$3:$M$10,MATCH('Error Log'!$F398,Severity_Matrix!$B$3:$B$10,0),MATCH('Error Log'!$G398,Severity_Matrix!$C$2:$M$2,0)),"No errors"))</f>
        <v>Critical</v>
      </c>
    </row>
    <row r="399" spans="1:10" ht="14.4">
      <c r="A399" s="73" t="s">
        <v>533</v>
      </c>
      <c r="B399" s="17">
        <v>3</v>
      </c>
      <c r="C399" s="78" t="s">
        <v>531</v>
      </c>
      <c r="D399" s="73" t="s">
        <v>532</v>
      </c>
      <c r="E399" s="79" t="s">
        <v>2</v>
      </c>
      <c r="F399" s="79" t="s">
        <v>26</v>
      </c>
      <c r="G399" s="79" t="s">
        <v>57</v>
      </c>
      <c r="H399" s="79" t="s">
        <v>534</v>
      </c>
      <c r="I399" s="79"/>
      <c r="J399" s="14" t="str">
        <f>IF(E399="Invalid_Segment","Invalid",IFERROR(INDEX(Severity_Matrix!$C$3:$M$10,MATCH('Error Log'!$F399,Severity_Matrix!$B$3:$B$10,0),MATCH('Error Log'!$G399,Severity_Matrix!$C$2:$M$2,0)),"No errors"))</f>
        <v>Major</v>
      </c>
    </row>
    <row r="400" spans="1:10" ht="14.4">
      <c r="A400" s="73" t="s">
        <v>533</v>
      </c>
      <c r="B400" s="17">
        <v>4</v>
      </c>
      <c r="C400" s="78" t="s">
        <v>531</v>
      </c>
      <c r="D400" s="73" t="s">
        <v>532</v>
      </c>
      <c r="E400" s="79" t="s">
        <v>21</v>
      </c>
      <c r="F400" s="79" t="s">
        <v>63</v>
      </c>
      <c r="G400" s="79" t="s">
        <v>27</v>
      </c>
      <c r="H400" s="79" t="s">
        <v>303</v>
      </c>
      <c r="I400" s="79"/>
      <c r="J400" s="14" t="str">
        <f>IF(E400="Invalid_Segment","Invalid",IFERROR(INDEX(Severity_Matrix!$C$3:$M$10,MATCH('Error Log'!$F400,Severity_Matrix!$B$3:$B$10,0),MATCH('Error Log'!$G400,Severity_Matrix!$C$2:$M$2,0)),"No errors"))</f>
        <v>Critical</v>
      </c>
    </row>
    <row r="401" spans="1:10" ht="14.4">
      <c r="A401" s="73" t="s">
        <v>533</v>
      </c>
      <c r="B401" s="17">
        <v>5</v>
      </c>
      <c r="C401" s="78" t="s">
        <v>531</v>
      </c>
      <c r="D401" s="73" t="s">
        <v>532</v>
      </c>
      <c r="E401" s="79" t="s">
        <v>2</v>
      </c>
      <c r="F401" s="79" t="s">
        <v>26</v>
      </c>
      <c r="G401" s="79" t="s">
        <v>57</v>
      </c>
      <c r="H401" s="79" t="s">
        <v>534</v>
      </c>
      <c r="I401" s="79"/>
      <c r="J401" s="14" t="str">
        <f>IF(E401="Invalid_Segment","Invalid",IFERROR(INDEX(Severity_Matrix!$C$3:$M$10,MATCH('Error Log'!$F401,Severity_Matrix!$B$3:$B$10,0),MATCH('Error Log'!$G401,Severity_Matrix!$C$2:$M$2,0)),"No errors"))</f>
        <v>Major</v>
      </c>
    </row>
    <row r="402" spans="1:10" ht="14.4">
      <c r="A402" s="73" t="s">
        <v>533</v>
      </c>
      <c r="B402" s="17">
        <v>6</v>
      </c>
      <c r="C402" s="78" t="s">
        <v>531</v>
      </c>
      <c r="D402" s="73" t="s">
        <v>532</v>
      </c>
      <c r="E402" s="79" t="s">
        <v>21</v>
      </c>
      <c r="F402" s="79" t="s">
        <v>7</v>
      </c>
      <c r="G402" s="79" t="s">
        <v>57</v>
      </c>
      <c r="H402" s="79" t="s">
        <v>535</v>
      </c>
      <c r="I402" s="79"/>
      <c r="J402" s="14" t="str">
        <f>IF(E402="Invalid_Segment","Invalid",IFERROR(INDEX(Severity_Matrix!$C$3:$M$10,MATCH('Error Log'!$F402,Severity_Matrix!$B$3:$B$10,0),MATCH('Error Log'!$G402,Severity_Matrix!$C$2:$M$2,0)),"No errors"))</f>
        <v>Critical</v>
      </c>
    </row>
    <row r="403" spans="1:10" ht="14.4">
      <c r="A403" s="73" t="s">
        <v>533</v>
      </c>
      <c r="B403" s="17">
        <v>7</v>
      </c>
      <c r="C403" s="78" t="s">
        <v>531</v>
      </c>
      <c r="D403" s="73" t="s">
        <v>532</v>
      </c>
      <c r="E403" s="79" t="s">
        <v>21</v>
      </c>
      <c r="F403" s="79" t="s">
        <v>7</v>
      </c>
      <c r="G403" s="79" t="s">
        <v>57</v>
      </c>
      <c r="H403" s="79" t="s">
        <v>536</v>
      </c>
      <c r="I403" s="79"/>
      <c r="J403" s="14" t="str">
        <f>IF(E403="Invalid_Segment","Invalid",IFERROR(INDEX(Severity_Matrix!$C$3:$M$10,MATCH('Error Log'!$F403,Severity_Matrix!$B$3:$B$10,0),MATCH('Error Log'!$G403,Severity_Matrix!$C$2:$M$2,0)),"No errors"))</f>
        <v>Critical</v>
      </c>
    </row>
    <row r="404" spans="1:10" ht="14.4">
      <c r="A404" s="73" t="s">
        <v>533</v>
      </c>
      <c r="B404" s="17">
        <v>8</v>
      </c>
      <c r="C404" s="78" t="s">
        <v>531</v>
      </c>
      <c r="D404" s="73" t="s">
        <v>532</v>
      </c>
      <c r="E404" s="79" t="s">
        <v>21</v>
      </c>
      <c r="F404" s="79" t="s">
        <v>7</v>
      </c>
      <c r="G404" s="79" t="s">
        <v>57</v>
      </c>
      <c r="H404" s="79" t="s">
        <v>537</v>
      </c>
      <c r="I404" s="79"/>
      <c r="J404" s="14" t="str">
        <f>IF(E404="Invalid_Segment","Invalid",IFERROR(INDEX(Severity_Matrix!$C$3:$M$10,MATCH('Error Log'!$F404,Severity_Matrix!$B$3:$B$10,0),MATCH('Error Log'!$G404,Severity_Matrix!$C$2:$M$2,0)),"No errors"))</f>
        <v>Critical</v>
      </c>
    </row>
    <row r="405" spans="1:10" ht="14.4">
      <c r="A405" s="73" t="s">
        <v>538</v>
      </c>
      <c r="B405" s="17">
        <v>1</v>
      </c>
      <c r="C405" s="78" t="s">
        <v>539</v>
      </c>
      <c r="D405" s="73" t="s">
        <v>540</v>
      </c>
      <c r="E405" s="79" t="s">
        <v>21</v>
      </c>
      <c r="F405" s="79" t="s">
        <v>63</v>
      </c>
      <c r="G405" s="79" t="s">
        <v>54</v>
      </c>
      <c r="H405" s="79" t="s">
        <v>541</v>
      </c>
      <c r="I405" s="79"/>
      <c r="J405" s="14" t="str">
        <f>IF(E405="Invalid_Segment","Invalid",IFERROR(INDEX(Severity_Matrix!$C$3:$M$10,MATCH('Error Log'!$F405,Severity_Matrix!$B$3:$B$10,0),MATCH('Error Log'!$G405,Severity_Matrix!$C$2:$M$2,0)),"No errors"))</f>
        <v>Critical</v>
      </c>
    </row>
    <row r="406" spans="1:10" ht="14.4">
      <c r="A406" s="73" t="s">
        <v>538</v>
      </c>
      <c r="B406" s="17">
        <v>2</v>
      </c>
      <c r="C406" s="78" t="s">
        <v>539</v>
      </c>
      <c r="D406" s="73" t="s">
        <v>540</v>
      </c>
      <c r="E406" s="79" t="s">
        <v>21</v>
      </c>
      <c r="F406" s="79" t="s">
        <v>63</v>
      </c>
      <c r="G406" s="79" t="s">
        <v>56</v>
      </c>
      <c r="H406" s="79" t="s">
        <v>542</v>
      </c>
      <c r="I406" s="79"/>
      <c r="J406" s="14" t="str">
        <f>IF(E406="Invalid_Segment","Invalid",IFERROR(INDEX(Severity_Matrix!$C$3:$M$10,MATCH('Error Log'!$F406,Severity_Matrix!$B$3:$B$10,0),MATCH('Error Log'!$G406,Severity_Matrix!$C$2:$M$2,0)),"No errors"))</f>
        <v>Critical</v>
      </c>
    </row>
    <row r="407" spans="1:10" ht="14.4">
      <c r="A407" s="73" t="s">
        <v>543</v>
      </c>
      <c r="B407" s="17">
        <v>3</v>
      </c>
      <c r="C407" s="78" t="s">
        <v>539</v>
      </c>
      <c r="D407" s="73" t="s">
        <v>540</v>
      </c>
      <c r="E407" s="79" t="s">
        <v>21</v>
      </c>
      <c r="F407" s="79" t="s">
        <v>63</v>
      </c>
      <c r="G407" s="79" t="s">
        <v>55</v>
      </c>
      <c r="H407" s="79" t="s">
        <v>544</v>
      </c>
      <c r="I407" s="79"/>
      <c r="J407" s="14" t="str">
        <f>IF(E407="Invalid_Segment","Invalid",IFERROR(INDEX(Severity_Matrix!$C$3:$M$10,MATCH('Error Log'!$F407,Severity_Matrix!$B$3:$B$10,0),MATCH('Error Log'!$G407,Severity_Matrix!$C$2:$M$2,0)),"No errors"))</f>
        <v>Critical</v>
      </c>
    </row>
    <row r="408" spans="1:10" ht="14.4">
      <c r="A408" s="73" t="s">
        <v>543</v>
      </c>
      <c r="B408" s="17">
        <v>4</v>
      </c>
      <c r="C408" s="78" t="s">
        <v>539</v>
      </c>
      <c r="D408" s="73" t="s">
        <v>540</v>
      </c>
      <c r="E408" s="79" t="s">
        <v>21</v>
      </c>
      <c r="F408" s="79" t="s">
        <v>63</v>
      </c>
      <c r="G408" s="79" t="s">
        <v>58</v>
      </c>
      <c r="H408" s="79" t="s">
        <v>167</v>
      </c>
      <c r="I408" s="79"/>
      <c r="J408" s="14" t="str">
        <f>IF(E408="Invalid_Segment","Invalid",IFERROR(INDEX(Severity_Matrix!$C$3:$M$10,MATCH('Error Log'!$F408,Severity_Matrix!$B$3:$B$10,0),MATCH('Error Log'!$G408,Severity_Matrix!$C$2:$M$2,0)),"No errors"))</f>
        <v>Minor</v>
      </c>
    </row>
    <row r="409" spans="1:10" ht="14.4">
      <c r="A409" s="73" t="s">
        <v>543</v>
      </c>
      <c r="B409" s="17">
        <v>5</v>
      </c>
      <c r="C409" s="78" t="s">
        <v>539</v>
      </c>
      <c r="D409" s="73" t="s">
        <v>540</v>
      </c>
      <c r="E409" s="79" t="s">
        <v>21</v>
      </c>
      <c r="F409" s="79" t="s">
        <v>63</v>
      </c>
      <c r="G409" s="79" t="s">
        <v>58</v>
      </c>
      <c r="H409" s="79" t="s">
        <v>203</v>
      </c>
      <c r="I409" s="79"/>
      <c r="J409" s="14" t="str">
        <f>IF(E409="Invalid_Segment","Invalid",IFERROR(INDEX(Severity_Matrix!$C$3:$M$10,MATCH('Error Log'!$F409,Severity_Matrix!$B$3:$B$10,0),MATCH('Error Log'!$G409,Severity_Matrix!$C$2:$M$2,0)),"No errors"))</f>
        <v>Minor</v>
      </c>
    </row>
    <row r="410" spans="1:10" ht="14.4">
      <c r="A410" s="73" t="s">
        <v>543</v>
      </c>
      <c r="B410" s="17">
        <v>6</v>
      </c>
      <c r="C410" s="78" t="s">
        <v>539</v>
      </c>
      <c r="D410" s="73" t="s">
        <v>540</v>
      </c>
      <c r="E410" s="79" t="s">
        <v>21</v>
      </c>
      <c r="F410" s="79" t="s">
        <v>63</v>
      </c>
      <c r="G410" s="79" t="s">
        <v>55</v>
      </c>
      <c r="H410" s="79" t="s">
        <v>545</v>
      </c>
      <c r="I410" s="79"/>
      <c r="J410" s="14" t="str">
        <f>IF(E410="Invalid_Segment","Invalid",IFERROR(INDEX(Severity_Matrix!$C$3:$M$10,MATCH('Error Log'!$F410,Severity_Matrix!$B$3:$B$10,0),MATCH('Error Log'!$G410,Severity_Matrix!$C$2:$M$2,0)),"No errors"))</f>
        <v>Critical</v>
      </c>
    </row>
    <row r="411" spans="1:10" ht="14.4">
      <c r="A411" s="73" t="s">
        <v>543</v>
      </c>
      <c r="B411" s="17">
        <v>7</v>
      </c>
      <c r="C411" s="78" t="s">
        <v>539</v>
      </c>
      <c r="D411" s="73" t="s">
        <v>540</v>
      </c>
      <c r="E411" s="79" t="s">
        <v>21</v>
      </c>
      <c r="F411" s="79" t="s">
        <v>63</v>
      </c>
      <c r="G411" s="79" t="s">
        <v>28</v>
      </c>
      <c r="H411" s="79" t="s">
        <v>546</v>
      </c>
      <c r="I411" s="79"/>
      <c r="J411" s="14" t="str">
        <f>IF(E411="Invalid_Segment","Invalid",IFERROR(INDEX(Severity_Matrix!$C$3:$M$10,MATCH('Error Log'!$F411,Severity_Matrix!$B$3:$B$10,0),MATCH('Error Log'!$G411,Severity_Matrix!$C$2:$M$2,0)),"No errors"))</f>
        <v>Major</v>
      </c>
    </row>
    <row r="412" spans="1:10" ht="14.4">
      <c r="A412" s="73" t="s">
        <v>543</v>
      </c>
      <c r="B412" s="17">
        <v>8</v>
      </c>
      <c r="C412" s="78" t="s">
        <v>539</v>
      </c>
      <c r="D412" s="73" t="s">
        <v>540</v>
      </c>
      <c r="E412" s="79" t="s">
        <v>21</v>
      </c>
      <c r="F412" s="79" t="s">
        <v>63</v>
      </c>
      <c r="G412" s="79" t="s">
        <v>58</v>
      </c>
      <c r="H412" s="79" t="s">
        <v>317</v>
      </c>
      <c r="I412" s="79"/>
      <c r="J412" s="14" t="str">
        <f>IF(E412="Invalid_Segment","Invalid",IFERROR(INDEX(Severity_Matrix!$C$3:$M$10,MATCH('Error Log'!$F412,Severity_Matrix!$B$3:$B$10,0),MATCH('Error Log'!$G412,Severity_Matrix!$C$2:$M$2,0)),"No errors"))</f>
        <v>Minor</v>
      </c>
    </row>
    <row r="413" spans="1:10" ht="14.4">
      <c r="A413" s="73" t="s">
        <v>543</v>
      </c>
      <c r="B413" s="17">
        <v>9</v>
      </c>
      <c r="C413" s="78" t="s">
        <v>539</v>
      </c>
      <c r="D413" s="73" t="s">
        <v>540</v>
      </c>
      <c r="E413" s="79" t="s">
        <v>21</v>
      </c>
      <c r="F413" s="79" t="s">
        <v>63</v>
      </c>
      <c r="G413" s="79" t="s">
        <v>29</v>
      </c>
      <c r="H413" s="79" t="s">
        <v>547</v>
      </c>
      <c r="I413" s="79"/>
      <c r="J413" s="14" t="str">
        <f>IF(E413="Invalid_Segment","Invalid",IFERROR(INDEX(Severity_Matrix!$C$3:$M$10,MATCH('Error Log'!$F413,Severity_Matrix!$B$3:$B$10,0),MATCH('Error Log'!$G413,Severity_Matrix!$C$2:$M$2,0)),"No errors"))</f>
        <v>Critical</v>
      </c>
    </row>
    <row r="414" spans="1:10" ht="14.4">
      <c r="A414" s="73" t="s">
        <v>543</v>
      </c>
      <c r="B414" s="17">
        <v>10</v>
      </c>
      <c r="C414" s="78" t="s">
        <v>539</v>
      </c>
      <c r="D414" s="73" t="s">
        <v>540</v>
      </c>
      <c r="E414" s="79" t="s">
        <v>21</v>
      </c>
      <c r="F414" s="79" t="s">
        <v>22</v>
      </c>
      <c r="G414" s="79" t="s">
        <v>57</v>
      </c>
      <c r="H414" s="79" t="s">
        <v>548</v>
      </c>
      <c r="I414" s="79"/>
      <c r="J414" s="14" t="str">
        <f>IF(E414="Invalid_Segment","Invalid",IFERROR(INDEX(Severity_Matrix!$C$3:$M$10,MATCH('Error Log'!$F414,Severity_Matrix!$B$3:$B$10,0),MATCH('Error Log'!$G414,Severity_Matrix!$C$2:$M$2,0)),"No errors"))</f>
        <v>Major</v>
      </c>
    </row>
    <row r="415" spans="1:10" ht="14.4">
      <c r="A415" s="73" t="s">
        <v>543</v>
      </c>
      <c r="B415" s="17">
        <v>11</v>
      </c>
      <c r="C415" s="78" t="s">
        <v>539</v>
      </c>
      <c r="D415" s="73" t="s">
        <v>540</v>
      </c>
      <c r="E415" s="79" t="s">
        <v>21</v>
      </c>
      <c r="F415" s="79" t="s">
        <v>63</v>
      </c>
      <c r="G415" s="81" t="s">
        <v>58</v>
      </c>
      <c r="H415" s="79" t="s">
        <v>203</v>
      </c>
      <c r="I415" s="79"/>
      <c r="J415" s="14" t="str">
        <f>IF(E415="Invalid_Segment","Invalid",IFERROR(INDEX(Severity_Matrix!$C$3:$M$10,MATCH('Error Log'!$F415,Severity_Matrix!$B$3:$B$10,0),MATCH('Error Log'!$G415,Severity_Matrix!$C$2:$M$2,0)),"No errors"))</f>
        <v>Minor</v>
      </c>
    </row>
    <row r="416" spans="1:10" ht="14.4">
      <c r="A416" s="73" t="s">
        <v>543</v>
      </c>
      <c r="B416" s="17">
        <v>12</v>
      </c>
      <c r="C416" s="78" t="s">
        <v>539</v>
      </c>
      <c r="D416" s="73" t="s">
        <v>540</v>
      </c>
      <c r="E416" s="79" t="s">
        <v>21</v>
      </c>
      <c r="F416" s="79" t="s">
        <v>63</v>
      </c>
      <c r="G416" s="81" t="s">
        <v>54</v>
      </c>
      <c r="H416" s="79" t="s">
        <v>549</v>
      </c>
      <c r="I416" s="79"/>
      <c r="J416" s="14" t="str">
        <f>IF(E416="Invalid_Segment","Invalid",IFERROR(INDEX(Severity_Matrix!$C$3:$M$10,MATCH('Error Log'!$F416,Severity_Matrix!$B$3:$B$10,0),MATCH('Error Log'!$G416,Severity_Matrix!$C$2:$M$2,0)),"No errors"))</f>
        <v>Critical</v>
      </c>
    </row>
    <row r="417" spans="1:10" ht="14.4">
      <c r="A417" s="73" t="s">
        <v>543</v>
      </c>
      <c r="B417" s="17">
        <v>13</v>
      </c>
      <c r="C417" s="78" t="s">
        <v>539</v>
      </c>
      <c r="D417" s="73" t="s">
        <v>540</v>
      </c>
      <c r="E417" s="79" t="s">
        <v>21</v>
      </c>
      <c r="F417" s="79" t="s">
        <v>63</v>
      </c>
      <c r="G417" s="81" t="s">
        <v>56</v>
      </c>
      <c r="H417" s="79" t="s">
        <v>550</v>
      </c>
      <c r="I417" s="79"/>
      <c r="J417" s="14" t="str">
        <f>IF(E417="Invalid_Segment","Invalid",IFERROR(INDEX(Severity_Matrix!$C$3:$M$10,MATCH('Error Log'!$F417,Severity_Matrix!$B$3:$B$10,0),MATCH('Error Log'!$G417,Severity_Matrix!$C$2:$M$2,0)),"No errors"))</f>
        <v>Critical</v>
      </c>
    </row>
    <row r="418" spans="1:10" ht="14.4">
      <c r="A418" s="73" t="s">
        <v>543</v>
      </c>
      <c r="B418" s="17">
        <v>14</v>
      </c>
      <c r="C418" s="78" t="s">
        <v>539</v>
      </c>
      <c r="D418" s="73" t="s">
        <v>540</v>
      </c>
      <c r="E418" s="79" t="s">
        <v>21</v>
      </c>
      <c r="F418" s="79" t="s">
        <v>63</v>
      </c>
      <c r="G418" s="81" t="s">
        <v>28</v>
      </c>
      <c r="H418" s="79" t="s">
        <v>551</v>
      </c>
      <c r="I418" s="79"/>
      <c r="J418" s="14" t="str">
        <f>IF(E418="Invalid_Segment","Invalid",IFERROR(INDEX(Severity_Matrix!$C$3:$M$10,MATCH('Error Log'!$F418,Severity_Matrix!$B$3:$B$10,0),MATCH('Error Log'!$G418,Severity_Matrix!$C$2:$M$2,0)),"No errors"))</f>
        <v>Major</v>
      </c>
    </row>
    <row r="419" spans="1:10" ht="14.4">
      <c r="A419" s="73" t="s">
        <v>543</v>
      </c>
      <c r="B419" s="17">
        <v>15</v>
      </c>
      <c r="C419" s="78" t="s">
        <v>539</v>
      </c>
      <c r="D419" s="73" t="s">
        <v>540</v>
      </c>
      <c r="E419" s="79" t="s">
        <v>21</v>
      </c>
      <c r="F419" s="79" t="s">
        <v>63</v>
      </c>
      <c r="G419" s="81" t="s">
        <v>56</v>
      </c>
      <c r="H419" s="79" t="s">
        <v>552</v>
      </c>
      <c r="I419" s="79"/>
      <c r="J419" s="14" t="str">
        <f>IF(E419="Invalid_Segment","Invalid",IFERROR(INDEX(Severity_Matrix!$C$3:$M$10,MATCH('Error Log'!$F419,Severity_Matrix!$B$3:$B$10,0),MATCH('Error Log'!$G419,Severity_Matrix!$C$2:$M$2,0)),"No errors"))</f>
        <v>Critical</v>
      </c>
    </row>
    <row r="420" spans="1:10" ht="14.4">
      <c r="A420" s="73" t="s">
        <v>543</v>
      </c>
      <c r="B420" s="17">
        <v>16</v>
      </c>
      <c r="C420" s="78" t="s">
        <v>539</v>
      </c>
      <c r="D420" s="73" t="s">
        <v>540</v>
      </c>
      <c r="E420" s="79" t="s">
        <v>21</v>
      </c>
      <c r="F420" s="79" t="s">
        <v>63</v>
      </c>
      <c r="G420" s="79" t="s">
        <v>28</v>
      </c>
      <c r="H420" s="79" t="s">
        <v>553</v>
      </c>
      <c r="I420" s="79"/>
      <c r="J420" s="14" t="str">
        <f>IF(E420="Invalid_Segment","Invalid",IFERROR(INDEX(Severity_Matrix!$C$3:$M$10,MATCH('Error Log'!$F420,Severity_Matrix!$B$3:$B$10,0),MATCH('Error Log'!$G420,Severity_Matrix!$C$2:$M$2,0)),"No errors"))</f>
        <v>Major</v>
      </c>
    </row>
    <row r="421" spans="1:10" ht="14.4">
      <c r="A421" s="73" t="s">
        <v>543</v>
      </c>
      <c r="B421" s="17">
        <v>17</v>
      </c>
      <c r="C421" s="78" t="s">
        <v>539</v>
      </c>
      <c r="D421" s="73" t="s">
        <v>540</v>
      </c>
      <c r="E421" s="79" t="s">
        <v>21</v>
      </c>
      <c r="F421" s="79" t="s">
        <v>63</v>
      </c>
      <c r="G421" s="79" t="s">
        <v>58</v>
      </c>
      <c r="H421" s="79" t="s">
        <v>203</v>
      </c>
      <c r="I421" s="79"/>
      <c r="J421" s="14" t="str">
        <f>IF(E421="Invalid_Segment","Invalid",IFERROR(INDEX(Severity_Matrix!$C$3:$M$10,MATCH('Error Log'!$F421,Severity_Matrix!$B$3:$B$10,0),MATCH('Error Log'!$G421,Severity_Matrix!$C$2:$M$2,0)),"No errors"))</f>
        <v>Minor</v>
      </c>
    </row>
    <row r="422" spans="1:10" ht="14.4">
      <c r="A422" s="73" t="s">
        <v>543</v>
      </c>
      <c r="B422" s="17">
        <v>18</v>
      </c>
      <c r="C422" s="78" t="s">
        <v>539</v>
      </c>
      <c r="D422" s="73" t="s">
        <v>540</v>
      </c>
      <c r="E422" s="79" t="s">
        <v>21</v>
      </c>
      <c r="F422" s="79" t="s">
        <v>63</v>
      </c>
      <c r="G422" s="79" t="s">
        <v>55</v>
      </c>
      <c r="H422" s="79" t="s">
        <v>549</v>
      </c>
      <c r="I422" s="79"/>
      <c r="J422" s="14" t="str">
        <f>IF(E422="Invalid_Segment","Invalid",IFERROR(INDEX(Severity_Matrix!$C$3:$M$10,MATCH('Error Log'!$F422,Severity_Matrix!$B$3:$B$10,0),MATCH('Error Log'!$G422,Severity_Matrix!$C$2:$M$2,0)),"No errors"))</f>
        <v>Critical</v>
      </c>
    </row>
    <row r="423" spans="1:10" ht="14.4">
      <c r="A423" s="73" t="s">
        <v>543</v>
      </c>
      <c r="B423" s="17">
        <v>19</v>
      </c>
      <c r="C423" s="78" t="s">
        <v>539</v>
      </c>
      <c r="D423" s="73" t="s">
        <v>540</v>
      </c>
      <c r="E423" s="79" t="s">
        <v>21</v>
      </c>
      <c r="F423" s="79" t="s">
        <v>7</v>
      </c>
      <c r="G423" s="79" t="s">
        <v>57</v>
      </c>
      <c r="H423" s="79" t="s">
        <v>554</v>
      </c>
      <c r="I423" s="79"/>
      <c r="J423" s="14" t="str">
        <f>IF(E423="Invalid_Segment","Invalid",IFERROR(INDEX(Severity_Matrix!$C$3:$M$10,MATCH('Error Log'!$F423,Severity_Matrix!$B$3:$B$10,0),MATCH('Error Log'!$G423,Severity_Matrix!$C$2:$M$2,0)),"No errors"))</f>
        <v>Critical</v>
      </c>
    </row>
    <row r="424" spans="1:10" ht="14.4">
      <c r="A424" s="73" t="s">
        <v>543</v>
      </c>
      <c r="B424" s="17">
        <v>20</v>
      </c>
      <c r="C424" s="78" t="s">
        <v>539</v>
      </c>
      <c r="D424" s="73" t="s">
        <v>540</v>
      </c>
      <c r="E424" s="79" t="s">
        <v>21</v>
      </c>
      <c r="F424" s="79" t="s">
        <v>7</v>
      </c>
      <c r="G424" s="79" t="s">
        <v>57</v>
      </c>
      <c r="H424" s="79" t="s">
        <v>555</v>
      </c>
      <c r="I424" s="79"/>
      <c r="J424" s="14" t="str">
        <f>IF(E424="Invalid_Segment","Invalid",IFERROR(INDEX(Severity_Matrix!$C$3:$M$10,MATCH('Error Log'!$F424,Severity_Matrix!$B$3:$B$10,0),MATCH('Error Log'!$G424,Severity_Matrix!$C$2:$M$2,0)),"No errors"))</f>
        <v>Critical</v>
      </c>
    </row>
    <row r="425" spans="1:10" ht="14.4">
      <c r="A425" s="73" t="s">
        <v>556</v>
      </c>
      <c r="B425" s="17">
        <v>1</v>
      </c>
      <c r="C425" s="78" t="s">
        <v>557</v>
      </c>
      <c r="D425" s="73" t="s">
        <v>558</v>
      </c>
      <c r="E425" s="79" t="s">
        <v>21</v>
      </c>
      <c r="F425" s="79" t="s">
        <v>63</v>
      </c>
      <c r="G425" s="79" t="s">
        <v>56</v>
      </c>
      <c r="H425" s="79" t="s">
        <v>559</v>
      </c>
      <c r="I425" s="79"/>
      <c r="J425" s="14" t="str">
        <f>IF(E425="Invalid_Segment","Invalid",IFERROR(INDEX(Severity_Matrix!$C$3:$M$10,MATCH('Error Log'!$F425,Severity_Matrix!$B$3:$B$10,0),MATCH('Error Log'!$G425,Severity_Matrix!$C$2:$M$2,0)),"No errors"))</f>
        <v>Critical</v>
      </c>
    </row>
    <row r="426" spans="1:10" ht="14.4">
      <c r="A426" s="73" t="s">
        <v>556</v>
      </c>
      <c r="B426" s="17">
        <v>2</v>
      </c>
      <c r="C426" s="78" t="s">
        <v>557</v>
      </c>
      <c r="D426" s="73" t="s">
        <v>558</v>
      </c>
      <c r="E426" s="79" t="s">
        <v>21</v>
      </c>
      <c r="F426" s="79" t="s">
        <v>64</v>
      </c>
      <c r="G426" s="79" t="s">
        <v>27</v>
      </c>
      <c r="H426" s="79" t="s">
        <v>560</v>
      </c>
      <c r="I426" s="79"/>
      <c r="J426" s="14" t="str">
        <f>IF(E426="Invalid_Segment","Invalid",IFERROR(INDEX(Severity_Matrix!$C$3:$M$10,MATCH('Error Log'!$F426,Severity_Matrix!$B$3:$B$10,0),MATCH('Error Log'!$G426,Severity_Matrix!$C$2:$M$2,0)),"No errors"))</f>
        <v>Critical</v>
      </c>
    </row>
    <row r="427" spans="1:10" ht="14.4">
      <c r="A427" s="73" t="s">
        <v>561</v>
      </c>
      <c r="B427" s="17">
        <v>3</v>
      </c>
      <c r="C427" s="78" t="s">
        <v>557</v>
      </c>
      <c r="D427" s="73" t="s">
        <v>558</v>
      </c>
      <c r="E427" s="79" t="s">
        <v>21</v>
      </c>
      <c r="F427" s="79" t="s">
        <v>63</v>
      </c>
      <c r="G427" s="79" t="s">
        <v>27</v>
      </c>
      <c r="H427" s="79" t="s">
        <v>303</v>
      </c>
      <c r="I427" s="79"/>
      <c r="J427" s="14" t="str">
        <f>IF(E427="Invalid_Segment","Invalid",IFERROR(INDEX(Severity_Matrix!$C$3:$M$10,MATCH('Error Log'!$F427,Severity_Matrix!$B$3:$B$10,0),MATCH('Error Log'!$G427,Severity_Matrix!$C$2:$M$2,0)),"No errors"))</f>
        <v>Critical</v>
      </c>
    </row>
    <row r="428" spans="1:10" ht="14.4">
      <c r="A428" s="73" t="s">
        <v>561</v>
      </c>
      <c r="B428" s="17">
        <v>4</v>
      </c>
      <c r="C428" s="78" t="s">
        <v>557</v>
      </c>
      <c r="D428" s="73" t="s">
        <v>558</v>
      </c>
      <c r="E428" s="79" t="s">
        <v>21</v>
      </c>
      <c r="F428" s="79" t="s">
        <v>7</v>
      </c>
      <c r="G428" s="79" t="s">
        <v>58</v>
      </c>
      <c r="H428" s="79" t="s">
        <v>562</v>
      </c>
      <c r="I428" s="79"/>
      <c r="J428" s="14" t="str">
        <f>IF(E428="Invalid_Segment","Invalid",IFERROR(INDEX(Severity_Matrix!$C$3:$M$10,MATCH('Error Log'!$F428,Severity_Matrix!$B$3:$B$10,0),MATCH('Error Log'!$G428,Severity_Matrix!$C$2:$M$2,0)),"No errors"))</f>
        <v>Minor</v>
      </c>
    </row>
    <row r="429" spans="1:10" ht="14.4">
      <c r="A429" s="73" t="s">
        <v>561</v>
      </c>
      <c r="B429" s="17">
        <v>5</v>
      </c>
      <c r="C429" s="78" t="s">
        <v>557</v>
      </c>
      <c r="D429" s="73" t="s">
        <v>558</v>
      </c>
      <c r="E429" s="79" t="s">
        <v>2</v>
      </c>
      <c r="F429" s="79" t="s">
        <v>26</v>
      </c>
      <c r="G429" s="79" t="s">
        <v>57</v>
      </c>
      <c r="H429" s="79" t="s">
        <v>563</v>
      </c>
      <c r="I429" s="79"/>
      <c r="J429" s="14" t="str">
        <f>IF(E429="Invalid_Segment","Invalid",IFERROR(INDEX(Severity_Matrix!$C$3:$M$10,MATCH('Error Log'!$F429,Severity_Matrix!$B$3:$B$10,0),MATCH('Error Log'!$G429,Severity_Matrix!$C$2:$M$2,0)),"No errors"))</f>
        <v>Major</v>
      </c>
    </row>
    <row r="430" spans="1:10" ht="14.4">
      <c r="A430" s="73" t="s">
        <v>561</v>
      </c>
      <c r="B430" s="17">
        <v>6</v>
      </c>
      <c r="C430" s="78" t="s">
        <v>557</v>
      </c>
      <c r="D430" s="73" t="s">
        <v>558</v>
      </c>
      <c r="E430" s="79" t="s">
        <v>21</v>
      </c>
      <c r="F430" s="79" t="s">
        <v>7</v>
      </c>
      <c r="G430" s="79" t="s">
        <v>57</v>
      </c>
      <c r="H430" s="79" t="s">
        <v>564</v>
      </c>
      <c r="I430" s="79"/>
      <c r="J430" s="14" t="str">
        <f>IF(E430="Invalid_Segment","Invalid",IFERROR(INDEX(Severity_Matrix!$C$3:$M$10,MATCH('Error Log'!$F430,Severity_Matrix!$B$3:$B$10,0),MATCH('Error Log'!$G430,Severity_Matrix!$C$2:$M$2,0)),"No errors"))</f>
        <v>Critical</v>
      </c>
    </row>
    <row r="431" spans="1:10">
      <c r="A431" s="73" t="s">
        <v>565</v>
      </c>
      <c r="B431" s="17">
        <v>1</v>
      </c>
      <c r="C431" s="73" t="s">
        <v>566</v>
      </c>
      <c r="D431" s="73" t="s">
        <v>567</v>
      </c>
      <c r="E431" s="79" t="s">
        <v>21</v>
      </c>
      <c r="F431" s="79" t="s">
        <v>63</v>
      </c>
      <c r="G431" s="79" t="s">
        <v>27</v>
      </c>
      <c r="H431" s="79" t="s">
        <v>77</v>
      </c>
      <c r="I431" s="79"/>
      <c r="J431" s="14" t="str">
        <f>IF(E431="Invalid_Segment","Invalid",IFERROR(INDEX(Severity_Matrix!$C$3:$M$10,MATCH('Error Log'!$F431,Severity_Matrix!$B$3:$B$10,0),MATCH('Error Log'!$G431,Severity_Matrix!$C$2:$M$2,0)),"No errors"))</f>
        <v>Critical</v>
      </c>
    </row>
    <row r="432" spans="1:10">
      <c r="A432" s="73" t="s">
        <v>565</v>
      </c>
      <c r="B432" s="17">
        <v>2</v>
      </c>
      <c r="C432" s="73" t="s">
        <v>566</v>
      </c>
      <c r="D432" s="73" t="s">
        <v>567</v>
      </c>
      <c r="E432" s="79" t="s">
        <v>21</v>
      </c>
      <c r="F432" s="79" t="s">
        <v>63</v>
      </c>
      <c r="G432" s="79" t="s">
        <v>27</v>
      </c>
      <c r="H432" s="79" t="s">
        <v>77</v>
      </c>
      <c r="I432" s="79"/>
      <c r="J432" s="14" t="str">
        <f>IF(E432="Invalid_Segment","Invalid",IFERROR(INDEX(Severity_Matrix!$C$3:$M$10,MATCH('Error Log'!$F432,Severity_Matrix!$B$3:$B$10,0),MATCH('Error Log'!$G432,Severity_Matrix!$C$2:$M$2,0)),"No errors"))</f>
        <v>Critical</v>
      </c>
    </row>
    <row r="433" spans="1:10">
      <c r="A433" s="73" t="s">
        <v>568</v>
      </c>
      <c r="B433" s="17">
        <v>3</v>
      </c>
      <c r="C433" s="73" t="s">
        <v>566</v>
      </c>
      <c r="D433" s="73" t="s">
        <v>567</v>
      </c>
      <c r="E433" s="79" t="s">
        <v>21</v>
      </c>
      <c r="F433" s="79" t="s">
        <v>63</v>
      </c>
      <c r="G433" s="79" t="s">
        <v>27</v>
      </c>
      <c r="H433" s="79" t="s">
        <v>77</v>
      </c>
      <c r="I433" s="79"/>
      <c r="J433" s="14" t="str">
        <f>IF(E433="Invalid_Segment","Invalid",IFERROR(INDEX(Severity_Matrix!$C$3:$M$10,MATCH('Error Log'!$F433,Severity_Matrix!$B$3:$B$10,0),MATCH('Error Log'!$G433,Severity_Matrix!$C$2:$M$2,0)),"No errors"))</f>
        <v>Critical</v>
      </c>
    </row>
    <row r="434" spans="1:10">
      <c r="A434" s="73" t="s">
        <v>568</v>
      </c>
      <c r="B434" s="17">
        <v>4</v>
      </c>
      <c r="C434" s="73" t="s">
        <v>566</v>
      </c>
      <c r="D434" s="73" t="s">
        <v>567</v>
      </c>
      <c r="E434" s="79" t="s">
        <v>21</v>
      </c>
      <c r="F434" s="79" t="s">
        <v>22</v>
      </c>
      <c r="G434" s="79" t="s">
        <v>434</v>
      </c>
      <c r="H434" s="79" t="s">
        <v>569</v>
      </c>
      <c r="I434" s="79"/>
      <c r="J434" s="14" t="str">
        <f>IF(E434="Invalid_Segment","Invalid",IFERROR(INDEX(Severity_Matrix!$C$3:$M$10,MATCH('Error Log'!$F434,Severity_Matrix!$B$3:$B$10,0),MATCH('Error Log'!$G434,Severity_Matrix!$C$2:$M$2,0)),"No errors"))</f>
        <v>Major</v>
      </c>
    </row>
    <row r="435" spans="1:10">
      <c r="A435" s="73" t="s">
        <v>568</v>
      </c>
      <c r="B435" s="17">
        <v>5</v>
      </c>
      <c r="C435" s="73" t="s">
        <v>566</v>
      </c>
      <c r="D435" s="73" t="s">
        <v>567</v>
      </c>
      <c r="E435" s="79" t="s">
        <v>21</v>
      </c>
      <c r="F435" s="79" t="s">
        <v>7</v>
      </c>
      <c r="G435" s="79" t="s">
        <v>57</v>
      </c>
      <c r="H435" s="79" t="s">
        <v>570</v>
      </c>
      <c r="I435" s="79"/>
      <c r="J435" s="14" t="str">
        <f>IF(E435="Invalid_Segment","Invalid",IFERROR(INDEX(Severity_Matrix!$C$3:$M$10,MATCH('Error Log'!$F435,Severity_Matrix!$B$3:$B$10,0),MATCH('Error Log'!$G435,Severity_Matrix!$C$2:$M$2,0)),"No errors"))</f>
        <v>Critical</v>
      </c>
    </row>
    <row r="436" spans="1:10">
      <c r="A436" s="73" t="s">
        <v>568</v>
      </c>
      <c r="B436" s="17">
        <v>6</v>
      </c>
      <c r="C436" s="73" t="s">
        <v>566</v>
      </c>
      <c r="D436" s="73" t="s">
        <v>567</v>
      </c>
      <c r="E436" s="79" t="s">
        <v>21</v>
      </c>
      <c r="F436" s="79" t="s">
        <v>7</v>
      </c>
      <c r="G436" s="79" t="s">
        <v>57</v>
      </c>
      <c r="H436" s="79" t="s">
        <v>571</v>
      </c>
      <c r="I436" s="79"/>
      <c r="J436" s="14" t="str">
        <f>IF(E436="Invalid_Segment","Invalid",IFERROR(INDEX(Severity_Matrix!$C$3:$M$10,MATCH('Error Log'!$F436,Severity_Matrix!$B$3:$B$10,0),MATCH('Error Log'!$G436,Severity_Matrix!$C$2:$M$2,0)),"No errors"))</f>
        <v>Critical</v>
      </c>
    </row>
    <row r="437" spans="1:10">
      <c r="A437" s="73" t="s">
        <v>568</v>
      </c>
      <c r="B437" s="17">
        <v>7</v>
      </c>
      <c r="C437" s="73" t="s">
        <v>566</v>
      </c>
      <c r="D437" s="73" t="s">
        <v>567</v>
      </c>
      <c r="E437" s="79" t="s">
        <v>21</v>
      </c>
      <c r="F437" s="79" t="s">
        <v>7</v>
      </c>
      <c r="G437" s="79" t="s">
        <v>57</v>
      </c>
      <c r="H437" s="79" t="s">
        <v>572</v>
      </c>
      <c r="I437" s="79"/>
      <c r="J437" s="14" t="str">
        <f>IF(E437="Invalid_Segment","Invalid",IFERROR(INDEX(Severity_Matrix!$C$3:$M$10,MATCH('Error Log'!$F437,Severity_Matrix!$B$3:$B$10,0),MATCH('Error Log'!$G437,Severity_Matrix!$C$2:$M$2,0)),"No errors"))</f>
        <v>Critical</v>
      </c>
    </row>
    <row r="438" spans="1:10">
      <c r="A438" s="73" t="s">
        <v>573</v>
      </c>
      <c r="B438" s="17">
        <v>1</v>
      </c>
      <c r="C438" s="73" t="s">
        <v>574</v>
      </c>
      <c r="D438" s="73" t="s">
        <v>575</v>
      </c>
      <c r="E438" s="79" t="s">
        <v>21</v>
      </c>
      <c r="F438" s="79" t="s">
        <v>64</v>
      </c>
      <c r="G438" s="79" t="s">
        <v>28</v>
      </c>
      <c r="H438" s="79" t="s">
        <v>576</v>
      </c>
      <c r="I438" s="79"/>
      <c r="J438" s="14" t="str">
        <f>IF(E438="Invalid_Segment","Invalid",IFERROR(INDEX(Severity_Matrix!$C$3:$M$10,MATCH('Error Log'!$F438,Severity_Matrix!$B$3:$B$10,0),MATCH('Error Log'!$G438,Severity_Matrix!$C$2:$M$2,0)),"No errors"))</f>
        <v>Critical</v>
      </c>
    </row>
    <row r="439" spans="1:10">
      <c r="A439" s="73" t="s">
        <v>573</v>
      </c>
      <c r="B439" s="17">
        <v>2</v>
      </c>
      <c r="C439" s="73" t="s">
        <v>574</v>
      </c>
      <c r="D439" s="73" t="s">
        <v>575</v>
      </c>
      <c r="E439" s="79" t="s">
        <v>21</v>
      </c>
      <c r="F439" s="79" t="s">
        <v>22</v>
      </c>
      <c r="G439" s="79" t="s">
        <v>57</v>
      </c>
      <c r="H439" s="79" t="s">
        <v>577</v>
      </c>
      <c r="I439" s="79"/>
      <c r="J439" s="14" t="str">
        <f>IF(E439="Invalid_Segment","Invalid",IFERROR(INDEX(Severity_Matrix!$C$3:$M$10,MATCH('Error Log'!$F439,Severity_Matrix!$B$3:$B$10,0),MATCH('Error Log'!$G439,Severity_Matrix!$C$2:$M$2,0)),"No errors"))</f>
        <v>Major</v>
      </c>
    </row>
    <row r="440" spans="1:10">
      <c r="A440" s="73" t="s">
        <v>578</v>
      </c>
      <c r="B440" s="17">
        <v>3</v>
      </c>
      <c r="C440" s="73" t="s">
        <v>574</v>
      </c>
      <c r="D440" s="73" t="s">
        <v>575</v>
      </c>
      <c r="E440" s="79" t="s">
        <v>2</v>
      </c>
      <c r="F440" s="79" t="s">
        <v>26</v>
      </c>
      <c r="G440" s="79" t="s">
        <v>57</v>
      </c>
      <c r="H440" s="79" t="s">
        <v>579</v>
      </c>
      <c r="I440" s="79"/>
      <c r="J440" s="14" t="str">
        <f>IF(E440="Invalid_Segment","Invalid",IFERROR(INDEX(Severity_Matrix!$C$3:$M$10,MATCH('Error Log'!$F440,Severity_Matrix!$B$3:$B$10,0),MATCH('Error Log'!$G440,Severity_Matrix!$C$2:$M$2,0)),"No errors"))</f>
        <v>Major</v>
      </c>
    </row>
    <row r="441" spans="1:10">
      <c r="A441" s="73" t="s">
        <v>578</v>
      </c>
      <c r="B441" s="17">
        <v>4</v>
      </c>
      <c r="C441" s="73" t="s">
        <v>574</v>
      </c>
      <c r="D441" s="73" t="s">
        <v>575</v>
      </c>
      <c r="E441" s="79" t="s">
        <v>21</v>
      </c>
      <c r="F441" s="79" t="s">
        <v>7</v>
      </c>
      <c r="G441" s="79" t="s">
        <v>57</v>
      </c>
      <c r="H441" s="79" t="s">
        <v>580</v>
      </c>
      <c r="I441" s="79"/>
      <c r="J441" s="14" t="str">
        <f>IF(E441="Invalid_Segment","Invalid",IFERROR(INDEX(Severity_Matrix!$C$3:$M$10,MATCH('Error Log'!$F441,Severity_Matrix!$B$3:$B$10,0),MATCH('Error Log'!$G441,Severity_Matrix!$C$2:$M$2,0)),"No errors"))</f>
        <v>Critical</v>
      </c>
    </row>
    <row r="442" spans="1:10">
      <c r="A442" s="73" t="s">
        <v>578</v>
      </c>
      <c r="B442" s="17">
        <v>5</v>
      </c>
      <c r="C442" s="73" t="s">
        <v>574</v>
      </c>
      <c r="D442" s="73" t="s">
        <v>575</v>
      </c>
      <c r="E442" s="79" t="s">
        <v>21</v>
      </c>
      <c r="F442" s="79" t="s">
        <v>7</v>
      </c>
      <c r="G442" s="79" t="s">
        <v>57</v>
      </c>
      <c r="H442" s="79" t="s">
        <v>581</v>
      </c>
      <c r="I442" s="79"/>
      <c r="J442" s="14" t="str">
        <f>IF(E442="Invalid_Segment","Invalid",IFERROR(INDEX(Severity_Matrix!$C$3:$M$10,MATCH('Error Log'!$F442,Severity_Matrix!$B$3:$B$10,0),MATCH('Error Log'!$G442,Severity_Matrix!$C$2:$M$2,0)),"No errors"))</f>
        <v>Critical</v>
      </c>
    </row>
    <row r="443" spans="1:10">
      <c r="A443" s="73" t="s">
        <v>578</v>
      </c>
      <c r="B443" s="17">
        <v>6</v>
      </c>
      <c r="C443" s="73" t="s">
        <v>574</v>
      </c>
      <c r="D443" s="73" t="s">
        <v>575</v>
      </c>
      <c r="E443" s="79" t="s">
        <v>21</v>
      </c>
      <c r="F443" s="79" t="s">
        <v>7</v>
      </c>
      <c r="G443" s="79" t="s">
        <v>57</v>
      </c>
      <c r="H443" s="79" t="s">
        <v>582</v>
      </c>
      <c r="I443" s="79"/>
      <c r="J443" s="14" t="str">
        <f>IF(E443="Invalid_Segment","Invalid",IFERROR(INDEX(Severity_Matrix!$C$3:$M$10,MATCH('Error Log'!$F443,Severity_Matrix!$B$3:$B$10,0),MATCH('Error Log'!$G443,Severity_Matrix!$C$2:$M$2,0)),"No errors"))</f>
        <v>Critical</v>
      </c>
    </row>
    <row r="444" spans="1:10">
      <c r="A444" s="73" t="s">
        <v>583</v>
      </c>
      <c r="B444" s="17">
        <v>1</v>
      </c>
      <c r="C444" s="73" t="s">
        <v>584</v>
      </c>
      <c r="D444" s="73" t="s">
        <v>585</v>
      </c>
      <c r="E444" s="79" t="s">
        <v>21</v>
      </c>
      <c r="F444" s="79" t="s">
        <v>64</v>
      </c>
      <c r="G444" s="79" t="s">
        <v>27</v>
      </c>
      <c r="H444" s="79" t="s">
        <v>586</v>
      </c>
      <c r="I444" s="79"/>
      <c r="J444" s="14" t="str">
        <f>IF(E444="Invalid_Segment","Invalid",IFERROR(INDEX(Severity_Matrix!$C$3:$M$10,MATCH('Error Log'!$F444,Severity_Matrix!$B$3:$B$10,0),MATCH('Error Log'!$G444,Severity_Matrix!$C$2:$M$2,0)),"No errors"))</f>
        <v>Critical</v>
      </c>
    </row>
    <row r="445" spans="1:10">
      <c r="A445" s="73" t="s">
        <v>583</v>
      </c>
      <c r="B445" s="17">
        <v>2</v>
      </c>
      <c r="C445" s="73" t="s">
        <v>584</v>
      </c>
      <c r="D445" s="73" t="s">
        <v>585</v>
      </c>
      <c r="E445" s="79" t="s">
        <v>21</v>
      </c>
      <c r="F445" s="79" t="s">
        <v>7</v>
      </c>
      <c r="G445" s="79" t="s">
        <v>58</v>
      </c>
      <c r="H445" s="79" t="s">
        <v>587</v>
      </c>
      <c r="I445" s="79"/>
      <c r="J445" s="14" t="str">
        <f>IF(E445="Invalid_Segment","Invalid",IFERROR(INDEX(Severity_Matrix!$C$3:$M$10,MATCH('Error Log'!$F445,Severity_Matrix!$B$3:$B$10,0),MATCH('Error Log'!$G445,Severity_Matrix!$C$2:$M$2,0)),"No errors"))</f>
        <v>Minor</v>
      </c>
    </row>
    <row r="446" spans="1:10">
      <c r="A446" s="73" t="s">
        <v>588</v>
      </c>
      <c r="B446" s="17">
        <v>3</v>
      </c>
      <c r="C446" s="73" t="s">
        <v>584</v>
      </c>
      <c r="D446" s="73" t="s">
        <v>585</v>
      </c>
      <c r="E446" s="79" t="s">
        <v>21</v>
      </c>
      <c r="F446" s="79" t="s">
        <v>63</v>
      </c>
      <c r="G446" s="79" t="s">
        <v>28</v>
      </c>
      <c r="H446" s="79" t="s">
        <v>303</v>
      </c>
      <c r="I446" s="79"/>
      <c r="J446" s="14" t="str">
        <f>IF(E446="Invalid_Segment","Invalid",IFERROR(INDEX(Severity_Matrix!$C$3:$M$10,MATCH('Error Log'!$F446,Severity_Matrix!$B$3:$B$10,0),MATCH('Error Log'!$G446,Severity_Matrix!$C$2:$M$2,0)),"No errors"))</f>
        <v>Major</v>
      </c>
    </row>
    <row r="447" spans="1:10">
      <c r="A447" s="73" t="s">
        <v>588</v>
      </c>
      <c r="B447" s="17">
        <v>4</v>
      </c>
      <c r="C447" s="73" t="s">
        <v>584</v>
      </c>
      <c r="D447" s="73" t="s">
        <v>585</v>
      </c>
      <c r="E447" s="79" t="s">
        <v>21</v>
      </c>
      <c r="F447" s="79" t="s">
        <v>22</v>
      </c>
      <c r="G447" s="79" t="s">
        <v>57</v>
      </c>
      <c r="H447" s="79" t="s">
        <v>589</v>
      </c>
      <c r="I447" s="79"/>
      <c r="J447" s="14" t="str">
        <f>IF(E447="Invalid_Segment","Invalid",IFERROR(INDEX(Severity_Matrix!$C$3:$M$10,MATCH('Error Log'!$F447,Severity_Matrix!$B$3:$B$10,0),MATCH('Error Log'!$G447,Severity_Matrix!$C$2:$M$2,0)),"No errors"))</f>
        <v>Major</v>
      </c>
    </row>
    <row r="448" spans="1:10">
      <c r="A448" s="73" t="s">
        <v>588</v>
      </c>
      <c r="B448" s="17">
        <v>5</v>
      </c>
      <c r="C448" s="73" t="s">
        <v>584</v>
      </c>
      <c r="D448" s="73" t="s">
        <v>585</v>
      </c>
      <c r="E448" s="79" t="s">
        <v>21</v>
      </c>
      <c r="F448" s="79" t="s">
        <v>63</v>
      </c>
      <c r="G448" s="79" t="s">
        <v>28</v>
      </c>
      <c r="H448" s="79" t="s">
        <v>303</v>
      </c>
      <c r="I448" s="79"/>
      <c r="J448" s="14" t="str">
        <f>IF(E448="Invalid_Segment","Invalid",IFERROR(INDEX(Severity_Matrix!$C$3:$M$10,MATCH('Error Log'!$F448,Severity_Matrix!$B$3:$B$10,0),MATCH('Error Log'!$G448,Severity_Matrix!$C$2:$M$2,0)),"No errors"))</f>
        <v>Major</v>
      </c>
    </row>
    <row r="449" spans="1:10">
      <c r="A449" s="73" t="s">
        <v>588</v>
      </c>
      <c r="B449" s="17">
        <v>6</v>
      </c>
      <c r="C449" s="73" t="s">
        <v>584</v>
      </c>
      <c r="D449" s="73" t="s">
        <v>585</v>
      </c>
      <c r="E449" s="79" t="s">
        <v>2</v>
      </c>
      <c r="F449" s="79" t="s">
        <v>26</v>
      </c>
      <c r="G449" s="79" t="s">
        <v>57</v>
      </c>
      <c r="H449" s="79" t="s">
        <v>590</v>
      </c>
      <c r="I449" s="79"/>
      <c r="J449" s="14" t="str">
        <f>IF(E449="Invalid_Segment","Invalid",IFERROR(INDEX(Severity_Matrix!$C$3:$M$10,MATCH('Error Log'!$F449,Severity_Matrix!$B$3:$B$10,0),MATCH('Error Log'!$G449,Severity_Matrix!$C$2:$M$2,0)),"No errors"))</f>
        <v>Major</v>
      </c>
    </row>
    <row r="450" spans="1:10">
      <c r="A450" s="73" t="s">
        <v>588</v>
      </c>
      <c r="B450" s="17">
        <v>7</v>
      </c>
      <c r="C450" s="73" t="s">
        <v>584</v>
      </c>
      <c r="D450" s="73" t="s">
        <v>585</v>
      </c>
      <c r="E450" s="79" t="s">
        <v>21</v>
      </c>
      <c r="F450" s="79" t="s">
        <v>7</v>
      </c>
      <c r="G450" s="79" t="s">
        <v>57</v>
      </c>
      <c r="H450" s="79" t="s">
        <v>591</v>
      </c>
      <c r="I450" s="79"/>
      <c r="J450" s="14" t="str">
        <f>IF(E450="Invalid_Segment","Invalid",IFERROR(INDEX(Severity_Matrix!$C$3:$M$10,MATCH('Error Log'!$F450,Severity_Matrix!$B$3:$B$10,0),MATCH('Error Log'!$G450,Severity_Matrix!$C$2:$M$2,0)),"No errors"))</f>
        <v>Critical</v>
      </c>
    </row>
    <row r="451" spans="1:10">
      <c r="A451" s="73" t="s">
        <v>588</v>
      </c>
      <c r="B451" s="17">
        <v>8</v>
      </c>
      <c r="C451" s="73" t="s">
        <v>584</v>
      </c>
      <c r="D451" s="73" t="s">
        <v>585</v>
      </c>
      <c r="E451" s="79" t="s">
        <v>21</v>
      </c>
      <c r="F451" s="79" t="s">
        <v>7</v>
      </c>
      <c r="G451" s="79" t="s">
        <v>57</v>
      </c>
      <c r="H451" s="79" t="s">
        <v>592</v>
      </c>
      <c r="I451" s="79"/>
      <c r="J451" s="14" t="str">
        <f>IF(E451="Invalid_Segment","Invalid",IFERROR(INDEX(Severity_Matrix!$C$3:$M$10,MATCH('Error Log'!$F451,Severity_Matrix!$B$3:$B$10,0),MATCH('Error Log'!$G451,Severity_Matrix!$C$2:$M$2,0)),"No errors"))</f>
        <v>Critical</v>
      </c>
    </row>
    <row r="452" spans="1:10">
      <c r="A452" s="73" t="s">
        <v>593</v>
      </c>
      <c r="B452" s="17">
        <v>1</v>
      </c>
      <c r="C452" s="73" t="s">
        <v>594</v>
      </c>
      <c r="D452" s="73" t="s">
        <v>595</v>
      </c>
      <c r="E452" s="79" t="s">
        <v>2</v>
      </c>
      <c r="F452" s="79" t="s">
        <v>26</v>
      </c>
      <c r="G452" s="79" t="s">
        <v>27</v>
      </c>
      <c r="H452" s="79" t="s">
        <v>596</v>
      </c>
      <c r="I452" s="79"/>
      <c r="J452" s="14" t="str">
        <f>IF(E452="Invalid_Segment","Invalid",IFERROR(INDEX(Severity_Matrix!$C$3:$M$10,MATCH('Error Log'!$F452,Severity_Matrix!$B$3:$B$10,0),MATCH('Error Log'!$G452,Severity_Matrix!$C$2:$M$2,0)),"No errors"))</f>
        <v>Major</v>
      </c>
    </row>
    <row r="453" spans="1:10">
      <c r="A453" s="73" t="s">
        <v>593</v>
      </c>
      <c r="B453" s="17">
        <v>2</v>
      </c>
      <c r="C453" s="73" t="s">
        <v>594</v>
      </c>
      <c r="D453" s="73" t="s">
        <v>595</v>
      </c>
      <c r="E453" s="79" t="s">
        <v>2</v>
      </c>
      <c r="F453" s="79" t="s">
        <v>26</v>
      </c>
      <c r="G453" s="79" t="s">
        <v>27</v>
      </c>
      <c r="H453" s="79" t="s">
        <v>597</v>
      </c>
      <c r="I453" s="79"/>
      <c r="J453" s="14" t="str">
        <f>IF(E453="Invalid_Segment","Invalid",IFERROR(INDEX(Severity_Matrix!$C$3:$M$10,MATCH('Error Log'!$F453,Severity_Matrix!$B$3:$B$10,0),MATCH('Error Log'!$G453,Severity_Matrix!$C$2:$M$2,0)),"No errors"))</f>
        <v>Major</v>
      </c>
    </row>
    <row r="454" spans="1:10">
      <c r="A454" s="73" t="s">
        <v>598</v>
      </c>
      <c r="B454" s="17">
        <v>1</v>
      </c>
      <c r="C454" s="73" t="s">
        <v>599</v>
      </c>
      <c r="D454" s="73" t="s">
        <v>600</v>
      </c>
      <c r="E454" s="79" t="s">
        <v>21</v>
      </c>
      <c r="F454" s="79" t="s">
        <v>22</v>
      </c>
      <c r="G454" s="79" t="s">
        <v>57</v>
      </c>
      <c r="H454" s="79" t="s">
        <v>601</v>
      </c>
      <c r="I454" s="79"/>
      <c r="J454" s="14" t="str">
        <f>IF(E454="Invalid_Segment","Invalid",IFERROR(INDEX(Severity_Matrix!$C$3:$M$10,MATCH('Error Log'!$F454,Severity_Matrix!$B$3:$B$10,0),MATCH('Error Log'!$G454,Severity_Matrix!$C$2:$M$2,0)),"No errors"))</f>
        <v>Major</v>
      </c>
    </row>
    <row r="455" spans="1:10">
      <c r="A455" s="73" t="s">
        <v>598</v>
      </c>
      <c r="B455" s="17">
        <v>2</v>
      </c>
      <c r="C455" s="73" t="s">
        <v>599</v>
      </c>
      <c r="D455" s="73" t="s">
        <v>600</v>
      </c>
      <c r="E455" s="79" t="s">
        <v>21</v>
      </c>
      <c r="F455" s="79" t="s">
        <v>63</v>
      </c>
      <c r="G455" s="79" t="s">
        <v>54</v>
      </c>
      <c r="H455" s="79" t="s">
        <v>601</v>
      </c>
      <c r="I455" s="79"/>
      <c r="J455" s="14" t="str">
        <f>IF(E455="Invalid_Segment","Invalid",IFERROR(INDEX(Severity_Matrix!$C$3:$M$10,MATCH('Error Log'!$F455,Severity_Matrix!$B$3:$B$10,0),MATCH('Error Log'!$G455,Severity_Matrix!$C$2:$M$2,0)),"No errors"))</f>
        <v>Critical</v>
      </c>
    </row>
    <row r="456" spans="1:10">
      <c r="A456" s="73" t="s">
        <v>602</v>
      </c>
      <c r="B456" s="17">
        <v>3</v>
      </c>
      <c r="C456" s="73" t="s">
        <v>599</v>
      </c>
      <c r="D456" s="73" t="s">
        <v>600</v>
      </c>
      <c r="E456" s="79" t="s">
        <v>21</v>
      </c>
      <c r="F456" s="79" t="s">
        <v>22</v>
      </c>
      <c r="G456" s="79" t="s">
        <v>57</v>
      </c>
      <c r="H456" s="79" t="s">
        <v>603</v>
      </c>
      <c r="I456" s="79"/>
      <c r="J456" s="14" t="str">
        <f>IF(E456="Invalid_Segment","Invalid",IFERROR(INDEX(Severity_Matrix!$C$3:$M$10,MATCH('Error Log'!$F456,Severity_Matrix!$B$3:$B$10,0),MATCH('Error Log'!$G456,Severity_Matrix!$C$2:$M$2,0)),"No errors"))</f>
        <v>Major</v>
      </c>
    </row>
    <row r="457" spans="1:10">
      <c r="A457" s="73" t="s">
        <v>602</v>
      </c>
      <c r="B457" s="17">
        <v>4</v>
      </c>
      <c r="C457" s="73" t="s">
        <v>599</v>
      </c>
      <c r="D457" s="73" t="s">
        <v>600</v>
      </c>
      <c r="E457" s="79" t="s">
        <v>21</v>
      </c>
      <c r="F457" s="79" t="s">
        <v>22</v>
      </c>
      <c r="G457" s="79" t="s">
        <v>57</v>
      </c>
      <c r="H457" s="79" t="s">
        <v>604</v>
      </c>
      <c r="I457" s="79"/>
      <c r="J457" s="14" t="str">
        <f>IF(E457="Invalid_Segment","Invalid",IFERROR(INDEX(Severity_Matrix!$C$3:$M$10,MATCH('Error Log'!$F457,Severity_Matrix!$B$3:$B$10,0),MATCH('Error Log'!$G457,Severity_Matrix!$C$2:$M$2,0)),"No errors"))</f>
        <v>Major</v>
      </c>
    </row>
    <row r="458" spans="1:10">
      <c r="A458" s="73" t="s">
        <v>602</v>
      </c>
      <c r="B458" s="17">
        <v>5</v>
      </c>
      <c r="C458" s="73" t="s">
        <v>599</v>
      </c>
      <c r="D458" s="73" t="s">
        <v>600</v>
      </c>
      <c r="E458" s="79" t="s">
        <v>2</v>
      </c>
      <c r="F458" s="79" t="s">
        <v>26</v>
      </c>
      <c r="G458" s="79" t="s">
        <v>57</v>
      </c>
      <c r="H458" s="79" t="s">
        <v>604</v>
      </c>
      <c r="I458" s="79"/>
      <c r="J458" s="14" t="str">
        <f>IF(E458="Invalid_Segment","Invalid",IFERROR(INDEX(Severity_Matrix!$C$3:$M$10,MATCH('Error Log'!$F458,Severity_Matrix!$B$3:$B$10,0),MATCH('Error Log'!$G458,Severity_Matrix!$C$2:$M$2,0)),"No errors"))</f>
        <v>Major</v>
      </c>
    </row>
    <row r="459" spans="1:10">
      <c r="A459" s="73" t="s">
        <v>605</v>
      </c>
      <c r="B459" s="17">
        <v>1</v>
      </c>
      <c r="C459" s="73" t="s">
        <v>606</v>
      </c>
      <c r="D459" s="73" t="s">
        <v>607</v>
      </c>
      <c r="E459" s="79" t="s">
        <v>21</v>
      </c>
      <c r="F459" s="79" t="s">
        <v>63</v>
      </c>
      <c r="G459" s="79" t="s">
        <v>27</v>
      </c>
      <c r="H459" s="79" t="s">
        <v>303</v>
      </c>
      <c r="I459" s="79"/>
      <c r="J459" s="14" t="str">
        <f>IF(E459="Invalid_Segment","Invalid",IFERROR(INDEX(Severity_Matrix!$C$3:$M$10,MATCH('Error Log'!$F459,Severity_Matrix!$B$3:$B$10,0),MATCH('Error Log'!$G459,Severity_Matrix!$C$2:$M$2,0)),"No errors"))</f>
        <v>Critical</v>
      </c>
    </row>
    <row r="460" spans="1:10">
      <c r="A460" s="73" t="s">
        <v>605</v>
      </c>
      <c r="B460" s="17">
        <v>2</v>
      </c>
      <c r="C460" s="73" t="s">
        <v>606</v>
      </c>
      <c r="D460" s="73" t="s">
        <v>607</v>
      </c>
      <c r="E460" s="79" t="s">
        <v>21</v>
      </c>
      <c r="F460" s="79" t="s">
        <v>63</v>
      </c>
      <c r="G460" s="79" t="s">
        <v>27</v>
      </c>
      <c r="H460" s="79" t="s">
        <v>303</v>
      </c>
      <c r="I460" s="79"/>
      <c r="J460" s="14" t="str">
        <f>IF(E460="Invalid_Segment","Invalid",IFERROR(INDEX(Severity_Matrix!$C$3:$M$10,MATCH('Error Log'!$F460,Severity_Matrix!$B$3:$B$10,0),MATCH('Error Log'!$G460,Severity_Matrix!$C$2:$M$2,0)),"No errors"))</f>
        <v>Critical</v>
      </c>
    </row>
    <row r="461" spans="1:10">
      <c r="A461" s="73" t="s">
        <v>608</v>
      </c>
      <c r="B461" s="17">
        <v>3</v>
      </c>
      <c r="C461" s="73" t="s">
        <v>606</v>
      </c>
      <c r="D461" s="73" t="s">
        <v>607</v>
      </c>
      <c r="E461" s="79" t="s">
        <v>2</v>
      </c>
      <c r="F461" s="79" t="s">
        <v>26</v>
      </c>
      <c r="G461" s="79" t="s">
        <v>57</v>
      </c>
      <c r="H461" s="79" t="s">
        <v>609</v>
      </c>
      <c r="I461" s="79"/>
      <c r="J461" s="14" t="str">
        <f>IF(E461="Invalid_Segment","Invalid",IFERROR(INDEX(Severity_Matrix!$C$3:$M$10,MATCH('Error Log'!$F461,Severity_Matrix!$B$3:$B$10,0),MATCH('Error Log'!$G461,Severity_Matrix!$C$2:$M$2,0)),"No errors"))</f>
        <v>Major</v>
      </c>
    </row>
    <row r="462" spans="1:10">
      <c r="A462" s="73" t="s">
        <v>608</v>
      </c>
      <c r="B462" s="17">
        <v>4</v>
      </c>
      <c r="C462" s="73" t="s">
        <v>606</v>
      </c>
      <c r="D462" s="73" t="s">
        <v>607</v>
      </c>
      <c r="E462" s="79" t="s">
        <v>21</v>
      </c>
      <c r="F462" s="79" t="s">
        <v>63</v>
      </c>
      <c r="G462" s="79" t="s">
        <v>27</v>
      </c>
      <c r="H462" s="79" t="s">
        <v>303</v>
      </c>
      <c r="I462" s="79"/>
      <c r="J462" s="14" t="str">
        <f>IF(E462="Invalid_Segment","Invalid",IFERROR(INDEX(Severity_Matrix!$C$3:$M$10,MATCH('Error Log'!$F462,Severity_Matrix!$B$3:$B$10,0),MATCH('Error Log'!$G462,Severity_Matrix!$C$2:$M$2,0)),"No errors"))</f>
        <v>Critical</v>
      </c>
    </row>
    <row r="463" spans="1:10">
      <c r="A463" s="73" t="s">
        <v>608</v>
      </c>
      <c r="B463" s="17">
        <v>5</v>
      </c>
      <c r="C463" s="73" t="s">
        <v>606</v>
      </c>
      <c r="D463" s="73" t="s">
        <v>607</v>
      </c>
      <c r="E463" s="79" t="s">
        <v>2</v>
      </c>
      <c r="F463" s="79" t="s">
        <v>26</v>
      </c>
      <c r="G463" s="79" t="s">
        <v>57</v>
      </c>
      <c r="H463" s="79" t="s">
        <v>610</v>
      </c>
      <c r="I463" s="79"/>
      <c r="J463" s="14" t="str">
        <f>IF(E463="Invalid_Segment","Invalid",IFERROR(INDEX(Severity_Matrix!$C$3:$M$10,MATCH('Error Log'!$F463,Severity_Matrix!$B$3:$B$10,0),MATCH('Error Log'!$G463,Severity_Matrix!$C$2:$M$2,0)),"No errors"))</f>
        <v>Major</v>
      </c>
    </row>
    <row r="464" spans="1:10">
      <c r="A464" s="73" t="s">
        <v>608</v>
      </c>
      <c r="B464" s="17">
        <v>6</v>
      </c>
      <c r="C464" s="73" t="s">
        <v>606</v>
      </c>
      <c r="D464" s="73" t="s">
        <v>607</v>
      </c>
      <c r="E464" s="79" t="s">
        <v>21</v>
      </c>
      <c r="F464" s="79" t="s">
        <v>7</v>
      </c>
      <c r="G464" s="79" t="s">
        <v>57</v>
      </c>
      <c r="H464" s="79" t="s">
        <v>611</v>
      </c>
      <c r="I464" s="79"/>
      <c r="J464" s="14" t="str">
        <f>IF(E464="Invalid_Segment","Invalid",IFERROR(INDEX(Severity_Matrix!$C$3:$M$10,MATCH('Error Log'!$F464,Severity_Matrix!$B$3:$B$10,0),MATCH('Error Log'!$G464,Severity_Matrix!$C$2:$M$2,0)),"No errors"))</f>
        <v>Critical</v>
      </c>
    </row>
    <row r="465" spans="1:10">
      <c r="A465" s="74" t="s">
        <v>612</v>
      </c>
      <c r="B465" s="17">
        <v>1</v>
      </c>
      <c r="C465" s="83" t="s">
        <v>613</v>
      </c>
      <c r="D465" s="83" t="s">
        <v>614</v>
      </c>
      <c r="E465" s="79" t="s">
        <v>21</v>
      </c>
      <c r="F465" s="79" t="s">
        <v>63</v>
      </c>
      <c r="G465" s="79" t="s">
        <v>27</v>
      </c>
      <c r="H465" s="79" t="s">
        <v>77</v>
      </c>
      <c r="I465" s="79"/>
      <c r="J465" s="14" t="str">
        <f>IF(E465="Invalid_Segment","Invalid",IFERROR(INDEX(Severity_Matrix!$C$3:$M$10,MATCH('Error Log'!$F465,Severity_Matrix!$B$3:$B$10,0),MATCH('Error Log'!$G465,Severity_Matrix!$C$2:$M$2,0)),"No errors"))</f>
        <v>Critical</v>
      </c>
    </row>
    <row r="466" spans="1:10">
      <c r="A466" s="74" t="s">
        <v>612</v>
      </c>
      <c r="B466" s="17">
        <v>2</v>
      </c>
      <c r="C466" s="83" t="s">
        <v>613</v>
      </c>
      <c r="D466" s="83" t="s">
        <v>614</v>
      </c>
      <c r="E466" s="79" t="s">
        <v>21</v>
      </c>
      <c r="F466" s="79" t="s">
        <v>63</v>
      </c>
      <c r="G466" s="79" t="s">
        <v>27</v>
      </c>
      <c r="H466" s="79" t="s">
        <v>77</v>
      </c>
      <c r="I466" s="79"/>
      <c r="J466" s="14" t="str">
        <f>IF(E466="Invalid_Segment","Invalid",IFERROR(INDEX(Severity_Matrix!$C$3:$M$10,MATCH('Error Log'!$F466,Severity_Matrix!$B$3:$B$10,0),MATCH('Error Log'!$G466,Severity_Matrix!$C$2:$M$2,0)),"No errors"))</f>
        <v>Critical</v>
      </c>
    </row>
    <row r="467" spans="1:10">
      <c r="A467" s="74" t="s">
        <v>615</v>
      </c>
      <c r="B467" s="17">
        <v>3</v>
      </c>
      <c r="C467" s="83" t="s">
        <v>613</v>
      </c>
      <c r="D467" s="83" t="s">
        <v>614</v>
      </c>
      <c r="E467" s="79" t="s">
        <v>2</v>
      </c>
      <c r="F467" s="79" t="s">
        <v>26</v>
      </c>
      <c r="G467" s="79" t="s">
        <v>57</v>
      </c>
      <c r="H467" s="79" t="s">
        <v>616</v>
      </c>
      <c r="I467" s="79"/>
      <c r="J467" s="14" t="str">
        <f>IF(E467="Invalid_Segment","Invalid",IFERROR(INDEX(Severity_Matrix!$C$3:$M$10,MATCH('Error Log'!$F467,Severity_Matrix!$B$3:$B$10,0),MATCH('Error Log'!$G467,Severity_Matrix!$C$2:$M$2,0)),"No errors"))</f>
        <v>Major</v>
      </c>
    </row>
    <row r="468" spans="1:10">
      <c r="A468" s="74" t="s">
        <v>615</v>
      </c>
      <c r="B468" s="17">
        <v>4</v>
      </c>
      <c r="C468" s="83" t="s">
        <v>613</v>
      </c>
      <c r="D468" s="83" t="s">
        <v>614</v>
      </c>
      <c r="E468" s="79" t="s">
        <v>21</v>
      </c>
      <c r="F468" s="79" t="s">
        <v>7</v>
      </c>
      <c r="G468" s="79" t="s">
        <v>57</v>
      </c>
      <c r="H468" s="79" t="s">
        <v>617</v>
      </c>
      <c r="I468" s="79"/>
      <c r="J468" s="14" t="str">
        <f>IF(E468="Invalid_Segment","Invalid",IFERROR(INDEX(Severity_Matrix!$C$3:$M$10,MATCH('Error Log'!$F468,Severity_Matrix!$B$3:$B$10,0),MATCH('Error Log'!$G468,Severity_Matrix!$C$2:$M$2,0)),"No errors"))</f>
        <v>Critical</v>
      </c>
    </row>
    <row r="469" spans="1:10">
      <c r="A469" s="74" t="s">
        <v>615</v>
      </c>
      <c r="B469" s="17">
        <v>5</v>
      </c>
      <c r="C469" s="83" t="s">
        <v>613</v>
      </c>
      <c r="D469" s="83" t="s">
        <v>614</v>
      </c>
      <c r="E469" s="79" t="s">
        <v>21</v>
      </c>
      <c r="F469" s="79" t="s">
        <v>7</v>
      </c>
      <c r="G469" s="79" t="s">
        <v>57</v>
      </c>
      <c r="H469" s="79" t="s">
        <v>618</v>
      </c>
      <c r="I469" s="79"/>
      <c r="J469" s="14" t="str">
        <f>IF(E469="Invalid_Segment","Invalid",IFERROR(INDEX(Severity_Matrix!$C$3:$M$10,MATCH('Error Log'!$F469,Severity_Matrix!$B$3:$B$10,0),MATCH('Error Log'!$G469,Severity_Matrix!$C$2:$M$2,0)),"No errors"))</f>
        <v>Critical</v>
      </c>
    </row>
    <row r="470" spans="1:10">
      <c r="A470" s="74" t="s">
        <v>615</v>
      </c>
      <c r="B470" s="17">
        <v>6</v>
      </c>
      <c r="C470" s="83" t="s">
        <v>613</v>
      </c>
      <c r="D470" s="83" t="s">
        <v>614</v>
      </c>
      <c r="E470" s="79" t="s">
        <v>21</v>
      </c>
      <c r="F470" s="79" t="s">
        <v>7</v>
      </c>
      <c r="G470" s="79" t="s">
        <v>57</v>
      </c>
      <c r="H470" s="79" t="s">
        <v>619</v>
      </c>
      <c r="I470" s="79"/>
      <c r="J470" s="14" t="str">
        <f>IF(E470="Invalid_Segment","Invalid",IFERROR(INDEX(Severity_Matrix!$C$3:$M$10,MATCH('Error Log'!$F470,Severity_Matrix!$B$3:$B$10,0),MATCH('Error Log'!$G470,Severity_Matrix!$C$2:$M$2,0)),"No errors"))</f>
        <v>Critical</v>
      </c>
    </row>
    <row r="471" spans="1:10">
      <c r="A471" s="74" t="s">
        <v>615</v>
      </c>
      <c r="B471" s="17">
        <v>7</v>
      </c>
      <c r="C471" s="83" t="s">
        <v>613</v>
      </c>
      <c r="D471" s="83" t="s">
        <v>614</v>
      </c>
      <c r="E471" s="79" t="s">
        <v>21</v>
      </c>
      <c r="F471" s="79" t="s">
        <v>7</v>
      </c>
      <c r="G471" s="79" t="s">
        <v>57</v>
      </c>
      <c r="H471" s="79" t="s">
        <v>620</v>
      </c>
      <c r="I471" s="79"/>
      <c r="J471" s="14" t="str">
        <f>IF(E471="Invalid_Segment","Invalid",IFERROR(INDEX(Severity_Matrix!$C$3:$M$10,MATCH('Error Log'!$F471,Severity_Matrix!$B$3:$B$10,0),MATCH('Error Log'!$G471,Severity_Matrix!$C$2:$M$2,0)),"No errors"))</f>
        <v>Critical</v>
      </c>
    </row>
    <row r="472" spans="1:10">
      <c r="A472" s="74" t="s">
        <v>621</v>
      </c>
      <c r="B472" s="17">
        <v>1</v>
      </c>
      <c r="C472" s="83" t="s">
        <v>622</v>
      </c>
      <c r="D472" s="83" t="s">
        <v>623</v>
      </c>
      <c r="E472" s="79" t="s">
        <v>2</v>
      </c>
      <c r="F472" s="79" t="s">
        <v>26</v>
      </c>
      <c r="G472" s="79" t="s">
        <v>57</v>
      </c>
      <c r="H472" s="79" t="s">
        <v>624</v>
      </c>
      <c r="I472" s="79"/>
      <c r="J472" s="14" t="str">
        <f>IF(E472="Invalid_Segment","Invalid",IFERROR(INDEX(Severity_Matrix!$C$3:$M$10,MATCH('Error Log'!$F472,Severity_Matrix!$B$3:$B$10,0),MATCH('Error Log'!$G472,Severity_Matrix!$C$2:$M$2,0)),"No errors"))</f>
        <v>Major</v>
      </c>
    </row>
    <row r="473" spans="1:10">
      <c r="A473" s="74" t="s">
        <v>621</v>
      </c>
      <c r="B473" s="17">
        <v>2</v>
      </c>
      <c r="C473" s="83" t="s">
        <v>622</v>
      </c>
      <c r="D473" s="83" t="s">
        <v>623</v>
      </c>
      <c r="E473" s="79" t="s">
        <v>2</v>
      </c>
      <c r="F473" s="79" t="s">
        <v>26</v>
      </c>
      <c r="G473" s="79" t="s">
        <v>57</v>
      </c>
      <c r="H473" s="79" t="s">
        <v>624</v>
      </c>
      <c r="I473" s="79"/>
      <c r="J473" s="14" t="str">
        <f>IF(E473="Invalid_Segment","Invalid",IFERROR(INDEX(Severity_Matrix!$C$3:$M$10,MATCH('Error Log'!$F473,Severity_Matrix!$B$3:$B$10,0),MATCH('Error Log'!$G473,Severity_Matrix!$C$2:$M$2,0)),"No errors"))</f>
        <v>Major</v>
      </c>
    </row>
    <row r="474" spans="1:10">
      <c r="A474" s="74" t="s">
        <v>625</v>
      </c>
      <c r="B474" s="17">
        <v>3</v>
      </c>
      <c r="C474" s="83" t="s">
        <v>622</v>
      </c>
      <c r="D474" s="83" t="s">
        <v>623</v>
      </c>
      <c r="E474" s="79" t="s">
        <v>21</v>
      </c>
      <c r="F474" s="79" t="s">
        <v>7</v>
      </c>
      <c r="G474" s="79" t="s">
        <v>57</v>
      </c>
      <c r="H474" s="79" t="s">
        <v>626</v>
      </c>
      <c r="I474" s="79"/>
      <c r="J474" s="14" t="str">
        <f>IF(E474="Invalid_Segment","Invalid",IFERROR(INDEX(Severity_Matrix!$C$3:$M$10,MATCH('Error Log'!$F474,Severity_Matrix!$B$3:$B$10,0),MATCH('Error Log'!$G474,Severity_Matrix!$C$2:$M$2,0)),"No errors"))</f>
        <v>Critical</v>
      </c>
    </row>
    <row r="475" spans="1:10">
      <c r="A475" s="74" t="s">
        <v>625</v>
      </c>
      <c r="B475" s="17">
        <v>4</v>
      </c>
      <c r="C475" s="83" t="s">
        <v>622</v>
      </c>
      <c r="D475" s="83" t="s">
        <v>623</v>
      </c>
      <c r="E475" s="79" t="s">
        <v>21</v>
      </c>
      <c r="F475" s="79" t="s">
        <v>7</v>
      </c>
      <c r="G475" s="79" t="s">
        <v>57</v>
      </c>
      <c r="H475" s="79" t="s">
        <v>627</v>
      </c>
      <c r="I475" s="79"/>
      <c r="J475" s="14" t="str">
        <f>IF(E475="Invalid_Segment","Invalid",IFERROR(INDEX(Severity_Matrix!$C$3:$M$10,MATCH('Error Log'!$F475,Severity_Matrix!$B$3:$B$10,0),MATCH('Error Log'!$G475,Severity_Matrix!$C$2:$M$2,0)),"No errors"))</f>
        <v>Critical</v>
      </c>
    </row>
    <row r="476" spans="1:10">
      <c r="A476" s="74" t="s">
        <v>625</v>
      </c>
      <c r="B476" s="17">
        <v>5</v>
      </c>
      <c r="C476" s="83" t="s">
        <v>622</v>
      </c>
      <c r="D476" s="83" t="s">
        <v>623</v>
      </c>
      <c r="E476" s="79" t="s">
        <v>21</v>
      </c>
      <c r="F476" s="79" t="s">
        <v>7</v>
      </c>
      <c r="G476" s="79" t="s">
        <v>57</v>
      </c>
      <c r="H476" s="79" t="s">
        <v>628</v>
      </c>
      <c r="I476" s="79"/>
      <c r="J476" s="14" t="str">
        <f>IF(E476="Invalid_Segment","Invalid",IFERROR(INDEX(Severity_Matrix!$C$3:$M$10,MATCH('Error Log'!$F476,Severity_Matrix!$B$3:$B$10,0),MATCH('Error Log'!$G476,Severity_Matrix!$C$2:$M$2,0)),"No errors"))</f>
        <v>Critical</v>
      </c>
    </row>
    <row r="477" spans="1:10">
      <c r="A477" s="74" t="s">
        <v>629</v>
      </c>
      <c r="B477" s="17">
        <v>1</v>
      </c>
      <c r="C477" s="83" t="s">
        <v>630</v>
      </c>
      <c r="D477" s="83" t="s">
        <v>631</v>
      </c>
      <c r="E477" s="79" t="s">
        <v>21</v>
      </c>
      <c r="F477" s="79" t="s">
        <v>63</v>
      </c>
      <c r="G477" s="79" t="s">
        <v>27</v>
      </c>
      <c r="H477" s="79" t="s">
        <v>77</v>
      </c>
      <c r="I477" s="79"/>
      <c r="J477" s="14" t="str">
        <f>IF(E477="Invalid_Segment","Invalid",IFERROR(INDEX(Severity_Matrix!$C$3:$M$10,MATCH('Error Log'!$F477,Severity_Matrix!$B$3:$B$10,0),MATCH('Error Log'!$G477,Severity_Matrix!$C$2:$M$2,0)),"No errors"))</f>
        <v>Critical</v>
      </c>
    </row>
    <row r="478" spans="1:10">
      <c r="A478" s="74" t="s">
        <v>629</v>
      </c>
      <c r="B478" s="17">
        <v>2</v>
      </c>
      <c r="C478" s="83" t="s">
        <v>630</v>
      </c>
      <c r="D478" s="83" t="s">
        <v>631</v>
      </c>
      <c r="E478" s="79" t="s">
        <v>21</v>
      </c>
      <c r="F478" s="79" t="s">
        <v>63</v>
      </c>
      <c r="G478" s="79" t="s">
        <v>27</v>
      </c>
      <c r="H478" s="79" t="s">
        <v>77</v>
      </c>
      <c r="I478" s="79"/>
      <c r="J478" s="14" t="str">
        <f>IF(E478="Invalid_Segment","Invalid",IFERROR(INDEX(Severity_Matrix!$C$3:$M$10,MATCH('Error Log'!$F478,Severity_Matrix!$B$3:$B$10,0),MATCH('Error Log'!$G478,Severity_Matrix!$C$2:$M$2,0)),"No errors"))</f>
        <v>Critical</v>
      </c>
    </row>
    <row r="479" spans="1:10">
      <c r="A479" s="74" t="s">
        <v>632</v>
      </c>
      <c r="B479" s="17">
        <v>3</v>
      </c>
      <c r="C479" s="83" t="s">
        <v>630</v>
      </c>
      <c r="D479" s="83" t="s">
        <v>631</v>
      </c>
      <c r="E479" s="79" t="s">
        <v>21</v>
      </c>
      <c r="F479" s="79" t="s">
        <v>63</v>
      </c>
      <c r="G479" s="79" t="s">
        <v>27</v>
      </c>
      <c r="H479" s="79" t="s">
        <v>77</v>
      </c>
      <c r="I479" s="79"/>
      <c r="J479" s="14" t="str">
        <f>IF(E479="Invalid_Segment","Invalid",IFERROR(INDEX(Severity_Matrix!$C$3:$M$10,MATCH('Error Log'!$F479,Severity_Matrix!$B$3:$B$10,0),MATCH('Error Log'!$G479,Severity_Matrix!$C$2:$M$2,0)),"No errors"))</f>
        <v>Critical</v>
      </c>
    </row>
    <row r="480" spans="1:10">
      <c r="A480" s="74" t="s">
        <v>632</v>
      </c>
      <c r="B480" s="17">
        <v>4</v>
      </c>
      <c r="C480" s="83" t="s">
        <v>630</v>
      </c>
      <c r="D480" s="83" t="s">
        <v>631</v>
      </c>
      <c r="E480" s="79" t="s">
        <v>21</v>
      </c>
      <c r="F480" s="79" t="s">
        <v>63</v>
      </c>
      <c r="G480" s="79" t="s">
        <v>27</v>
      </c>
      <c r="H480" s="79" t="s">
        <v>77</v>
      </c>
      <c r="I480" s="79"/>
      <c r="J480" s="14" t="str">
        <f>IF(E480="Invalid_Segment","Invalid",IFERROR(INDEX(Severity_Matrix!$C$3:$M$10,MATCH('Error Log'!$F480,Severity_Matrix!$B$3:$B$10,0),MATCH('Error Log'!$G480,Severity_Matrix!$C$2:$M$2,0)),"No errors"))</f>
        <v>Critical</v>
      </c>
    </row>
    <row r="481" spans="1:10">
      <c r="A481" s="74" t="s">
        <v>632</v>
      </c>
      <c r="B481" s="17">
        <v>5</v>
      </c>
      <c r="C481" s="83" t="s">
        <v>630</v>
      </c>
      <c r="D481" s="83" t="s">
        <v>631</v>
      </c>
      <c r="E481" s="79" t="s">
        <v>21</v>
      </c>
      <c r="F481" s="79" t="s">
        <v>63</v>
      </c>
      <c r="G481" s="79" t="s">
        <v>27</v>
      </c>
      <c r="H481" s="79" t="s">
        <v>77</v>
      </c>
      <c r="I481" s="79"/>
      <c r="J481" s="14" t="str">
        <f>IF(E481="Invalid_Segment","Invalid",IFERROR(INDEX(Severity_Matrix!$C$3:$M$10,MATCH('Error Log'!$F481,Severity_Matrix!$B$3:$B$10,0),MATCH('Error Log'!$G481,Severity_Matrix!$C$2:$M$2,0)),"No errors"))</f>
        <v>Critical</v>
      </c>
    </row>
    <row r="482" spans="1:10">
      <c r="A482" s="74" t="s">
        <v>632</v>
      </c>
      <c r="B482" s="17">
        <v>6</v>
      </c>
      <c r="C482" s="83" t="s">
        <v>630</v>
      </c>
      <c r="D482" s="83" t="s">
        <v>631</v>
      </c>
      <c r="E482" s="79" t="s">
        <v>21</v>
      </c>
      <c r="F482" s="79" t="s">
        <v>63</v>
      </c>
      <c r="G482" s="79" t="s">
        <v>27</v>
      </c>
      <c r="H482" s="79" t="s">
        <v>77</v>
      </c>
      <c r="I482" s="79"/>
      <c r="J482" s="14" t="str">
        <f>IF(E482="Invalid_Segment","Invalid",IFERROR(INDEX(Severity_Matrix!$C$3:$M$10,MATCH('Error Log'!$F482,Severity_Matrix!$B$3:$B$10,0),MATCH('Error Log'!$G482,Severity_Matrix!$C$2:$M$2,0)),"No errors"))</f>
        <v>Critical</v>
      </c>
    </row>
    <row r="483" spans="1:10">
      <c r="A483" s="74" t="s">
        <v>632</v>
      </c>
      <c r="B483" s="17">
        <v>7</v>
      </c>
      <c r="C483" s="83" t="s">
        <v>630</v>
      </c>
      <c r="D483" s="83" t="s">
        <v>631</v>
      </c>
      <c r="E483" s="79" t="s">
        <v>2</v>
      </c>
      <c r="F483" s="79" t="s">
        <v>26</v>
      </c>
      <c r="G483" s="79" t="s">
        <v>57</v>
      </c>
      <c r="H483" s="79" t="s">
        <v>633</v>
      </c>
      <c r="I483" s="79"/>
      <c r="J483" s="14" t="str">
        <f>IF(E483="Invalid_Segment","Invalid",IFERROR(INDEX(Severity_Matrix!$C$3:$M$10,MATCH('Error Log'!$F483,Severity_Matrix!$B$3:$B$10,0),MATCH('Error Log'!$G483,Severity_Matrix!$C$2:$M$2,0)),"No errors"))</f>
        <v>Major</v>
      </c>
    </row>
    <row r="484" spans="1:10">
      <c r="A484" s="74" t="s">
        <v>632</v>
      </c>
      <c r="B484" s="17">
        <v>8</v>
      </c>
      <c r="C484" s="83" t="s">
        <v>630</v>
      </c>
      <c r="D484" s="83" t="s">
        <v>631</v>
      </c>
      <c r="E484" s="79" t="s">
        <v>21</v>
      </c>
      <c r="F484" s="79" t="s">
        <v>64</v>
      </c>
      <c r="G484" s="79" t="s">
        <v>28</v>
      </c>
      <c r="H484" s="79" t="s">
        <v>634</v>
      </c>
      <c r="I484" s="79"/>
      <c r="J484" s="14" t="str">
        <f>IF(E484="Invalid_Segment","Invalid",IFERROR(INDEX(Severity_Matrix!$C$3:$M$10,MATCH('Error Log'!$F484,Severity_Matrix!$B$3:$B$10,0),MATCH('Error Log'!$G484,Severity_Matrix!$C$2:$M$2,0)),"No errors"))</f>
        <v>Critical</v>
      </c>
    </row>
    <row r="485" spans="1:10">
      <c r="A485" s="74" t="s">
        <v>632</v>
      </c>
      <c r="B485" s="17">
        <v>9</v>
      </c>
      <c r="C485" s="83" t="s">
        <v>630</v>
      </c>
      <c r="D485" s="83" t="s">
        <v>631</v>
      </c>
      <c r="E485" s="79" t="s">
        <v>21</v>
      </c>
      <c r="F485" s="79" t="s">
        <v>64</v>
      </c>
      <c r="G485" s="79" t="s">
        <v>28</v>
      </c>
      <c r="H485" s="79" t="s">
        <v>635</v>
      </c>
      <c r="I485" s="79"/>
      <c r="J485" s="14" t="str">
        <f>IF(E485="Invalid_Segment","Invalid",IFERROR(INDEX(Severity_Matrix!$C$3:$M$10,MATCH('Error Log'!$F485,Severity_Matrix!$B$3:$B$10,0),MATCH('Error Log'!$G485,Severity_Matrix!$C$2:$M$2,0)),"No errors"))</f>
        <v>Critical</v>
      </c>
    </row>
    <row r="486" spans="1:10">
      <c r="A486" s="74" t="s">
        <v>632</v>
      </c>
      <c r="B486" s="17">
        <v>10</v>
      </c>
      <c r="C486" s="83" t="s">
        <v>630</v>
      </c>
      <c r="D486" s="83" t="s">
        <v>631</v>
      </c>
      <c r="E486" s="79" t="s">
        <v>21</v>
      </c>
      <c r="F486" s="79" t="s">
        <v>22</v>
      </c>
      <c r="G486" s="79" t="s">
        <v>57</v>
      </c>
      <c r="H486" s="79" t="s">
        <v>636</v>
      </c>
      <c r="I486" s="79"/>
      <c r="J486" s="14" t="str">
        <f>IF(E486="Invalid_Segment","Invalid",IFERROR(INDEX(Severity_Matrix!$C$3:$M$10,MATCH('Error Log'!$F486,Severity_Matrix!$B$3:$B$10,0),MATCH('Error Log'!$G486,Severity_Matrix!$C$2:$M$2,0)),"No errors"))</f>
        <v>Major</v>
      </c>
    </row>
    <row r="487" spans="1:10">
      <c r="A487" s="74" t="s">
        <v>632</v>
      </c>
      <c r="B487" s="17">
        <v>11</v>
      </c>
      <c r="C487" s="83" t="s">
        <v>630</v>
      </c>
      <c r="D487" s="83" t="s">
        <v>631</v>
      </c>
      <c r="E487" s="79" t="s">
        <v>21</v>
      </c>
      <c r="F487" s="79" t="s">
        <v>7</v>
      </c>
      <c r="G487" s="79" t="s">
        <v>57</v>
      </c>
      <c r="H487" s="79" t="s">
        <v>637</v>
      </c>
      <c r="I487" s="79"/>
      <c r="J487" s="14" t="str">
        <f>IF(E487="Invalid_Segment","Invalid",IFERROR(INDEX(Severity_Matrix!$C$3:$M$10,MATCH('Error Log'!$F487,Severity_Matrix!$B$3:$B$10,0),MATCH('Error Log'!$G487,Severity_Matrix!$C$2:$M$2,0)),"No errors"))</f>
        <v>Critical</v>
      </c>
    </row>
    <row r="488" spans="1:10">
      <c r="A488" s="74" t="s">
        <v>632</v>
      </c>
      <c r="B488" s="17">
        <v>12</v>
      </c>
      <c r="C488" s="83" t="s">
        <v>630</v>
      </c>
      <c r="D488" s="83" t="s">
        <v>631</v>
      </c>
      <c r="E488" s="79" t="s">
        <v>21</v>
      </c>
      <c r="F488" s="79" t="s">
        <v>7</v>
      </c>
      <c r="G488" s="79" t="s">
        <v>57</v>
      </c>
      <c r="H488" s="79" t="s">
        <v>638</v>
      </c>
      <c r="I488" s="79"/>
      <c r="J488" s="14" t="str">
        <f>IF(E488="Invalid_Segment","Invalid",IFERROR(INDEX(Severity_Matrix!$C$3:$M$10,MATCH('Error Log'!$F488,Severity_Matrix!$B$3:$B$10,0),MATCH('Error Log'!$G488,Severity_Matrix!$C$2:$M$2,0)),"No errors"))</f>
        <v>Critical</v>
      </c>
    </row>
    <row r="489" spans="1:10">
      <c r="A489" s="74" t="s">
        <v>632</v>
      </c>
      <c r="B489" s="17">
        <v>13</v>
      </c>
      <c r="C489" s="83" t="s">
        <v>630</v>
      </c>
      <c r="D489" s="83" t="s">
        <v>631</v>
      </c>
      <c r="E489" s="79" t="s">
        <v>21</v>
      </c>
      <c r="F489" s="79" t="s">
        <v>7</v>
      </c>
      <c r="G489" s="79" t="s">
        <v>57</v>
      </c>
      <c r="H489" s="79" t="s">
        <v>639</v>
      </c>
      <c r="I489" s="79"/>
      <c r="J489" s="14" t="str">
        <f>IF(E489="Invalid_Segment","Invalid",IFERROR(INDEX(Severity_Matrix!$C$3:$M$10,MATCH('Error Log'!$F489,Severity_Matrix!$B$3:$B$10,0),MATCH('Error Log'!$G489,Severity_Matrix!$C$2:$M$2,0)),"No errors"))</f>
        <v>Critical</v>
      </c>
    </row>
    <row r="490" spans="1:10">
      <c r="A490" s="74" t="s">
        <v>632</v>
      </c>
      <c r="B490" s="17">
        <v>14</v>
      </c>
      <c r="C490" s="83" t="s">
        <v>630</v>
      </c>
      <c r="D490" s="83" t="s">
        <v>631</v>
      </c>
      <c r="E490" s="79" t="s">
        <v>21</v>
      </c>
      <c r="F490" s="79" t="s">
        <v>7</v>
      </c>
      <c r="G490" s="79" t="s">
        <v>57</v>
      </c>
      <c r="H490" s="79" t="s">
        <v>640</v>
      </c>
      <c r="I490" s="79"/>
      <c r="J490" s="14" t="str">
        <f>IF(E490="Invalid_Segment","Invalid",IFERROR(INDEX(Severity_Matrix!$C$3:$M$10,MATCH('Error Log'!$F490,Severity_Matrix!$B$3:$B$10,0),MATCH('Error Log'!$G490,Severity_Matrix!$C$2:$M$2,0)),"No errors"))</f>
        <v>Critical</v>
      </c>
    </row>
    <row r="491" spans="1:10">
      <c r="A491" s="74" t="s">
        <v>641</v>
      </c>
      <c r="B491" s="17">
        <v>1</v>
      </c>
      <c r="C491" s="83" t="s">
        <v>642</v>
      </c>
      <c r="D491" s="83" t="s">
        <v>643</v>
      </c>
      <c r="E491" s="79" t="s">
        <v>21</v>
      </c>
      <c r="F491" s="79" t="s">
        <v>63</v>
      </c>
      <c r="G491" s="79" t="s">
        <v>27</v>
      </c>
      <c r="H491" s="79" t="s">
        <v>644</v>
      </c>
      <c r="I491" s="79"/>
      <c r="J491" s="14" t="str">
        <f>IF(E491="Invalid_Segment","Invalid",IFERROR(INDEX(Severity_Matrix!$C$3:$M$10,MATCH('Error Log'!$F491,Severity_Matrix!$B$3:$B$10,0),MATCH('Error Log'!$G491,Severity_Matrix!$C$2:$M$2,0)),"No errors"))</f>
        <v>Critical</v>
      </c>
    </row>
    <row r="492" spans="1:10">
      <c r="A492" s="74" t="s">
        <v>641</v>
      </c>
      <c r="B492" s="17">
        <v>2</v>
      </c>
      <c r="C492" s="83" t="s">
        <v>642</v>
      </c>
      <c r="D492" s="83" t="s">
        <v>643</v>
      </c>
      <c r="E492" s="79" t="s">
        <v>21</v>
      </c>
      <c r="F492" s="79" t="s">
        <v>63</v>
      </c>
      <c r="G492" s="79" t="s">
        <v>27</v>
      </c>
      <c r="H492" s="79" t="s">
        <v>645</v>
      </c>
      <c r="I492" s="79"/>
      <c r="J492" s="14" t="str">
        <f>IF(E492="Invalid_Segment","Invalid",IFERROR(INDEX(Severity_Matrix!$C$3:$M$10,MATCH('Error Log'!$F492,Severity_Matrix!$B$3:$B$10,0),MATCH('Error Log'!$G492,Severity_Matrix!$C$2:$M$2,0)),"No errors"))</f>
        <v>Critical</v>
      </c>
    </row>
    <row r="493" spans="1:10">
      <c r="A493" s="74" t="s">
        <v>646</v>
      </c>
      <c r="B493" s="17">
        <v>3</v>
      </c>
      <c r="C493" s="83" t="s">
        <v>642</v>
      </c>
      <c r="D493" s="83" t="s">
        <v>643</v>
      </c>
      <c r="E493" s="79" t="s">
        <v>21</v>
      </c>
      <c r="F493" s="79" t="s">
        <v>22</v>
      </c>
      <c r="G493" s="79" t="s">
        <v>57</v>
      </c>
      <c r="H493" s="79" t="s">
        <v>647</v>
      </c>
      <c r="I493" s="79"/>
      <c r="J493" s="14" t="str">
        <f>IF(E493="Invalid_Segment","Invalid",IFERROR(INDEX(Severity_Matrix!$C$3:$M$10,MATCH('Error Log'!$F493,Severity_Matrix!$B$3:$B$10,0),MATCH('Error Log'!$G493,Severity_Matrix!$C$2:$M$2,0)),"No errors"))</f>
        <v>Major</v>
      </c>
    </row>
    <row r="494" spans="1:10">
      <c r="A494" s="74" t="s">
        <v>646</v>
      </c>
      <c r="B494" s="17">
        <v>4</v>
      </c>
      <c r="C494" s="83" t="s">
        <v>642</v>
      </c>
      <c r="D494" s="83" t="s">
        <v>643</v>
      </c>
      <c r="E494" s="79" t="s">
        <v>2</v>
      </c>
      <c r="F494" s="79" t="s">
        <v>26</v>
      </c>
      <c r="G494" s="79" t="s">
        <v>57</v>
      </c>
      <c r="H494" s="79" t="s">
        <v>648</v>
      </c>
      <c r="I494" s="79"/>
      <c r="J494" s="14" t="str">
        <f>IF(E494="Invalid_Segment","Invalid",IFERROR(INDEX(Severity_Matrix!$C$3:$M$10,MATCH('Error Log'!$F494,Severity_Matrix!$B$3:$B$10,0),MATCH('Error Log'!$G494,Severity_Matrix!$C$2:$M$2,0)),"No errors"))</f>
        <v>Major</v>
      </c>
    </row>
    <row r="495" spans="1:10">
      <c r="A495" s="74" t="s">
        <v>646</v>
      </c>
      <c r="B495" s="17">
        <v>5</v>
      </c>
      <c r="C495" s="83" t="s">
        <v>642</v>
      </c>
      <c r="D495" s="83" t="s">
        <v>643</v>
      </c>
      <c r="E495" s="79" t="s">
        <v>21</v>
      </c>
      <c r="F495" s="79" t="s">
        <v>64</v>
      </c>
      <c r="G495" s="79" t="s">
        <v>28</v>
      </c>
      <c r="H495" s="79" t="s">
        <v>649</v>
      </c>
      <c r="I495" s="79"/>
      <c r="J495" s="14" t="str">
        <f>IF(E495="Invalid_Segment","Invalid",IFERROR(INDEX(Severity_Matrix!$C$3:$M$10,MATCH('Error Log'!$F495,Severity_Matrix!$B$3:$B$10,0),MATCH('Error Log'!$G495,Severity_Matrix!$C$2:$M$2,0)),"No errors"))</f>
        <v>Critical</v>
      </c>
    </row>
    <row r="496" spans="1:10">
      <c r="A496" s="74" t="s">
        <v>646</v>
      </c>
      <c r="B496" s="17">
        <v>6</v>
      </c>
      <c r="C496" s="83" t="s">
        <v>642</v>
      </c>
      <c r="D496" s="83" t="s">
        <v>643</v>
      </c>
      <c r="E496" s="79" t="s">
        <v>21</v>
      </c>
      <c r="F496" s="79" t="s">
        <v>7</v>
      </c>
      <c r="G496" s="79" t="s">
        <v>57</v>
      </c>
      <c r="H496" s="79" t="s">
        <v>650</v>
      </c>
      <c r="I496" s="79"/>
      <c r="J496" s="14" t="str">
        <f>IF(E496="Invalid_Segment","Invalid",IFERROR(INDEX(Severity_Matrix!$C$3:$M$10,MATCH('Error Log'!$F496,Severity_Matrix!$B$3:$B$10,0),MATCH('Error Log'!$G496,Severity_Matrix!$C$2:$M$2,0)),"No errors"))</f>
        <v>Critical</v>
      </c>
    </row>
    <row r="497" spans="1:10">
      <c r="A497" s="74" t="s">
        <v>646</v>
      </c>
      <c r="B497" s="17">
        <v>7</v>
      </c>
      <c r="C497" s="83" t="s">
        <v>642</v>
      </c>
      <c r="D497" s="83" t="s">
        <v>643</v>
      </c>
      <c r="E497" s="79" t="s">
        <v>21</v>
      </c>
      <c r="F497" s="79" t="s">
        <v>7</v>
      </c>
      <c r="G497" s="79" t="s">
        <v>57</v>
      </c>
      <c r="H497" s="79" t="s">
        <v>651</v>
      </c>
      <c r="I497" s="79"/>
      <c r="J497" s="14" t="str">
        <f>IF(E497="Invalid_Segment","Invalid",IFERROR(INDEX(Severity_Matrix!$C$3:$M$10,MATCH('Error Log'!$F497,Severity_Matrix!$B$3:$B$10,0),MATCH('Error Log'!$G497,Severity_Matrix!$C$2:$M$2,0)),"No errors"))</f>
        <v>Critical</v>
      </c>
    </row>
    <row r="498" spans="1:10">
      <c r="A498" s="74" t="s">
        <v>652</v>
      </c>
      <c r="B498" s="17">
        <v>1</v>
      </c>
      <c r="C498" s="83" t="s">
        <v>653</v>
      </c>
      <c r="D498" s="83" t="s">
        <v>654</v>
      </c>
      <c r="E498" s="79" t="s">
        <v>21</v>
      </c>
      <c r="F498" s="79" t="s">
        <v>63</v>
      </c>
      <c r="G498" s="79" t="s">
        <v>27</v>
      </c>
      <c r="H498" s="79" t="s">
        <v>303</v>
      </c>
      <c r="I498" s="79"/>
      <c r="J498" s="14" t="str">
        <f>IF(E498="Invalid_Segment","Invalid",IFERROR(INDEX(Severity_Matrix!$C$3:$M$10,MATCH('Error Log'!$F498,Severity_Matrix!$B$3:$B$10,0),MATCH('Error Log'!$G498,Severity_Matrix!$C$2:$M$2,0)),"No errors"))</f>
        <v>Critical</v>
      </c>
    </row>
    <row r="499" spans="1:10">
      <c r="A499" s="74" t="s">
        <v>652</v>
      </c>
      <c r="B499" s="17">
        <v>2</v>
      </c>
      <c r="C499" s="83" t="s">
        <v>653</v>
      </c>
      <c r="D499" s="83" t="s">
        <v>654</v>
      </c>
      <c r="E499" s="79" t="s">
        <v>21</v>
      </c>
      <c r="F499" s="79" t="s">
        <v>22</v>
      </c>
      <c r="G499" s="79" t="s">
        <v>57</v>
      </c>
      <c r="H499" s="79" t="s">
        <v>655</v>
      </c>
      <c r="I499" s="79"/>
      <c r="J499" s="14" t="str">
        <f>IF(E499="Invalid_Segment","Invalid",IFERROR(INDEX(Severity_Matrix!$C$3:$M$10,MATCH('Error Log'!$F499,Severity_Matrix!$B$3:$B$10,0),MATCH('Error Log'!$G499,Severity_Matrix!$C$2:$M$2,0)),"No errors"))</f>
        <v>Major</v>
      </c>
    </row>
    <row r="500" spans="1:10">
      <c r="A500" s="74" t="s">
        <v>656</v>
      </c>
      <c r="B500" s="17">
        <v>3</v>
      </c>
      <c r="C500" s="83" t="s">
        <v>653</v>
      </c>
      <c r="D500" s="83" t="s">
        <v>654</v>
      </c>
      <c r="E500" s="79" t="s">
        <v>21</v>
      </c>
      <c r="F500" s="79" t="s">
        <v>22</v>
      </c>
      <c r="G500" s="79" t="s">
        <v>57</v>
      </c>
      <c r="H500" s="79" t="s">
        <v>657</v>
      </c>
      <c r="I500" s="79"/>
      <c r="J500" s="14" t="str">
        <f>IF(E500="Invalid_Segment","Invalid",IFERROR(INDEX(Severity_Matrix!$C$3:$M$10,MATCH('Error Log'!$F500,Severity_Matrix!$B$3:$B$10,0),MATCH('Error Log'!$G500,Severity_Matrix!$C$2:$M$2,0)),"No errors"))</f>
        <v>Major</v>
      </c>
    </row>
    <row r="501" spans="1:10">
      <c r="A501" s="74" t="s">
        <v>656</v>
      </c>
      <c r="B501" s="17">
        <v>4</v>
      </c>
      <c r="C501" s="83" t="s">
        <v>653</v>
      </c>
      <c r="D501" s="83" t="s">
        <v>654</v>
      </c>
      <c r="E501" s="79" t="s">
        <v>21</v>
      </c>
      <c r="F501" s="79" t="s">
        <v>63</v>
      </c>
      <c r="G501" s="79" t="s">
        <v>27</v>
      </c>
      <c r="H501" s="79" t="s">
        <v>658</v>
      </c>
      <c r="I501" s="79"/>
      <c r="J501" s="14" t="str">
        <f>IF(E501="Invalid_Segment","Invalid",IFERROR(INDEX(Severity_Matrix!$C$3:$M$10,MATCH('Error Log'!$F501,Severity_Matrix!$B$3:$B$10,0),MATCH('Error Log'!$G501,Severity_Matrix!$C$2:$M$2,0)),"No errors"))</f>
        <v>Critical</v>
      </c>
    </row>
    <row r="502" spans="1:10">
      <c r="A502" s="74" t="s">
        <v>656</v>
      </c>
      <c r="B502" s="17">
        <v>5</v>
      </c>
      <c r="C502" s="83" t="s">
        <v>653</v>
      </c>
      <c r="D502" s="83" t="s">
        <v>654</v>
      </c>
      <c r="E502" s="79" t="s">
        <v>21</v>
      </c>
      <c r="F502" s="79" t="s">
        <v>22</v>
      </c>
      <c r="G502" s="79" t="s">
        <v>57</v>
      </c>
      <c r="H502" s="79" t="s">
        <v>659</v>
      </c>
      <c r="I502" s="79"/>
      <c r="J502" s="14" t="str">
        <f>IF(E502="Invalid_Segment","Invalid",IFERROR(INDEX(Severity_Matrix!$C$3:$M$10,MATCH('Error Log'!$F502,Severity_Matrix!$B$3:$B$10,0),MATCH('Error Log'!$G502,Severity_Matrix!$C$2:$M$2,0)),"No errors"))</f>
        <v>Major</v>
      </c>
    </row>
    <row r="503" spans="1:10">
      <c r="A503" s="74" t="s">
        <v>656</v>
      </c>
      <c r="B503" s="17">
        <v>6</v>
      </c>
      <c r="C503" s="83" t="s">
        <v>653</v>
      </c>
      <c r="D503" s="83" t="s">
        <v>654</v>
      </c>
      <c r="E503" s="79" t="s">
        <v>21</v>
      </c>
      <c r="F503" s="79" t="s">
        <v>22</v>
      </c>
      <c r="G503" s="79" t="s">
        <v>57</v>
      </c>
      <c r="H503" s="79" t="s">
        <v>660</v>
      </c>
      <c r="I503" s="79"/>
      <c r="J503" s="14" t="str">
        <f>IF(E503="Invalid_Segment","Invalid",IFERROR(INDEX(Severity_Matrix!$C$3:$M$10,MATCH('Error Log'!$F503,Severity_Matrix!$B$3:$B$10,0),MATCH('Error Log'!$G503,Severity_Matrix!$C$2:$M$2,0)),"No errors"))</f>
        <v>Major</v>
      </c>
    </row>
    <row r="504" spans="1:10">
      <c r="A504" s="74" t="s">
        <v>656</v>
      </c>
      <c r="B504" s="17">
        <v>7</v>
      </c>
      <c r="C504" s="83" t="s">
        <v>653</v>
      </c>
      <c r="D504" s="83" t="s">
        <v>654</v>
      </c>
      <c r="E504" s="79" t="s">
        <v>21</v>
      </c>
      <c r="F504" s="79" t="s">
        <v>22</v>
      </c>
      <c r="G504" s="79" t="s">
        <v>57</v>
      </c>
      <c r="H504" s="79" t="s">
        <v>661</v>
      </c>
      <c r="I504" s="79"/>
      <c r="J504" s="14" t="str">
        <f>IF(E504="Invalid_Segment","Invalid",IFERROR(INDEX(Severity_Matrix!$C$3:$M$10,MATCH('Error Log'!$F504,Severity_Matrix!$B$3:$B$10,0),MATCH('Error Log'!$G504,Severity_Matrix!$C$2:$M$2,0)),"No errors"))</f>
        <v>Major</v>
      </c>
    </row>
    <row r="505" spans="1:10">
      <c r="A505" s="74" t="s">
        <v>662</v>
      </c>
      <c r="B505" s="17">
        <v>1</v>
      </c>
      <c r="C505" s="83" t="s">
        <v>663</v>
      </c>
      <c r="D505" s="83" t="s">
        <v>664</v>
      </c>
      <c r="E505" s="79" t="s">
        <v>21</v>
      </c>
      <c r="F505" s="79" t="s">
        <v>64</v>
      </c>
      <c r="G505" s="79" t="s">
        <v>28</v>
      </c>
      <c r="H505" s="81" t="s">
        <v>665</v>
      </c>
      <c r="I505" s="79"/>
      <c r="J505" s="14" t="str">
        <f>IF(E505="Invalid_Segment","Invalid",IFERROR(INDEX(Severity_Matrix!$C$3:$M$10,MATCH('Error Log'!$F505,Severity_Matrix!$B$3:$B$10,0),MATCH('Error Log'!$G505,Severity_Matrix!$C$2:$M$2,0)),"No errors"))</f>
        <v>Critical</v>
      </c>
    </row>
    <row r="506" spans="1:10">
      <c r="A506" s="74" t="s">
        <v>662</v>
      </c>
      <c r="B506" s="17">
        <v>2</v>
      </c>
      <c r="C506" s="83" t="s">
        <v>663</v>
      </c>
      <c r="D506" s="83" t="s">
        <v>664</v>
      </c>
      <c r="E506" s="79" t="s">
        <v>21</v>
      </c>
      <c r="F506" s="79" t="s">
        <v>64</v>
      </c>
      <c r="G506" s="79" t="s">
        <v>28</v>
      </c>
      <c r="H506" s="79" t="s">
        <v>666</v>
      </c>
      <c r="I506" s="79"/>
      <c r="J506" s="14" t="str">
        <f>IF(E506="Invalid_Segment","Invalid",IFERROR(INDEX(Severity_Matrix!$C$3:$M$10,MATCH('Error Log'!$F506,Severity_Matrix!$B$3:$B$10,0),MATCH('Error Log'!$G506,Severity_Matrix!$C$2:$M$2,0)),"No errors"))</f>
        <v>Critical</v>
      </c>
    </row>
    <row r="507" spans="1:10">
      <c r="A507" s="74" t="s">
        <v>667</v>
      </c>
      <c r="B507" s="17">
        <v>3</v>
      </c>
      <c r="C507" s="83" t="s">
        <v>663</v>
      </c>
      <c r="D507" s="83" t="s">
        <v>664</v>
      </c>
      <c r="E507" s="79" t="s">
        <v>21</v>
      </c>
      <c r="F507" s="79" t="s">
        <v>63</v>
      </c>
      <c r="G507" s="79" t="s">
        <v>27</v>
      </c>
      <c r="H507" s="79" t="s">
        <v>668</v>
      </c>
      <c r="I507" s="79"/>
      <c r="J507" s="14" t="str">
        <f>IF(E507="Invalid_Segment","Invalid",IFERROR(INDEX(Severity_Matrix!$C$3:$M$10,MATCH('Error Log'!$F507,Severity_Matrix!$B$3:$B$10,0),MATCH('Error Log'!$G507,Severity_Matrix!$C$2:$M$2,0)),"No errors"))</f>
        <v>Critical</v>
      </c>
    </row>
    <row r="508" spans="1:10">
      <c r="A508" s="74" t="s">
        <v>667</v>
      </c>
      <c r="B508" s="17">
        <v>4</v>
      </c>
      <c r="C508" s="83" t="s">
        <v>663</v>
      </c>
      <c r="D508" s="83" t="s">
        <v>664</v>
      </c>
      <c r="E508" s="79" t="s">
        <v>21</v>
      </c>
      <c r="F508" s="79" t="s">
        <v>63</v>
      </c>
      <c r="G508" s="79" t="s">
        <v>27</v>
      </c>
      <c r="H508" s="79" t="s">
        <v>669</v>
      </c>
      <c r="I508" s="79"/>
      <c r="J508" s="14" t="str">
        <f>IF(E508="Invalid_Segment","Invalid",IFERROR(INDEX(Severity_Matrix!$C$3:$M$10,MATCH('Error Log'!$F508,Severity_Matrix!$B$3:$B$10,0),MATCH('Error Log'!$G508,Severity_Matrix!$C$2:$M$2,0)),"No errors"))</f>
        <v>Critical</v>
      </c>
    </row>
    <row r="509" spans="1:10">
      <c r="A509" s="74" t="s">
        <v>667</v>
      </c>
      <c r="B509" s="17">
        <v>5</v>
      </c>
      <c r="C509" s="83" t="s">
        <v>663</v>
      </c>
      <c r="D509" s="83" t="s">
        <v>664</v>
      </c>
      <c r="E509" s="79" t="s">
        <v>21</v>
      </c>
      <c r="F509" s="79" t="s">
        <v>63</v>
      </c>
      <c r="G509" s="79" t="s">
        <v>27</v>
      </c>
      <c r="H509" s="79" t="s">
        <v>668</v>
      </c>
      <c r="I509" s="79"/>
      <c r="J509" s="14" t="str">
        <f>IF(E509="Invalid_Segment","Invalid",IFERROR(INDEX(Severity_Matrix!$C$3:$M$10,MATCH('Error Log'!$F509,Severity_Matrix!$B$3:$B$10,0),MATCH('Error Log'!$G509,Severity_Matrix!$C$2:$M$2,0)),"No errors"))</f>
        <v>Critical</v>
      </c>
    </row>
    <row r="510" spans="1:10">
      <c r="A510" s="74" t="s">
        <v>667</v>
      </c>
      <c r="B510" s="17">
        <v>6</v>
      </c>
      <c r="C510" s="83" t="s">
        <v>663</v>
      </c>
      <c r="D510" s="83" t="s">
        <v>664</v>
      </c>
      <c r="E510" s="79" t="s">
        <v>21</v>
      </c>
      <c r="F510" s="79" t="s">
        <v>63</v>
      </c>
      <c r="G510" s="79" t="s">
        <v>27</v>
      </c>
      <c r="H510" s="79" t="s">
        <v>669</v>
      </c>
      <c r="I510" s="79"/>
      <c r="J510" s="14" t="str">
        <f>IF(E510="Invalid_Segment","Invalid",IFERROR(INDEX(Severity_Matrix!$C$3:$M$10,MATCH('Error Log'!$F510,Severity_Matrix!$B$3:$B$10,0),MATCH('Error Log'!$G510,Severity_Matrix!$C$2:$M$2,0)),"No errors"))</f>
        <v>Critical</v>
      </c>
    </row>
    <row r="511" spans="1:10">
      <c r="A511" s="74" t="s">
        <v>667</v>
      </c>
      <c r="B511" s="17">
        <v>7</v>
      </c>
      <c r="C511" s="83" t="s">
        <v>663</v>
      </c>
      <c r="D511" s="83" t="s">
        <v>664</v>
      </c>
      <c r="E511" s="79" t="s">
        <v>21</v>
      </c>
      <c r="F511" s="79" t="s">
        <v>22</v>
      </c>
      <c r="G511" s="79" t="s">
        <v>57</v>
      </c>
      <c r="H511" s="79" t="s">
        <v>670</v>
      </c>
      <c r="I511" s="79"/>
      <c r="J511" s="14" t="str">
        <f>IF(E511="Invalid_Segment","Invalid",IFERROR(INDEX(Severity_Matrix!$C$3:$M$10,MATCH('Error Log'!$F511,Severity_Matrix!$B$3:$B$10,0),MATCH('Error Log'!$G511,Severity_Matrix!$C$2:$M$2,0)),"No errors"))</f>
        <v>Major</v>
      </c>
    </row>
    <row r="512" spans="1:10">
      <c r="A512" s="74" t="s">
        <v>667</v>
      </c>
      <c r="B512" s="17">
        <v>8</v>
      </c>
      <c r="C512" s="83" t="s">
        <v>663</v>
      </c>
      <c r="D512" s="83" t="s">
        <v>664</v>
      </c>
      <c r="E512" s="79" t="s">
        <v>21</v>
      </c>
      <c r="F512" s="79" t="s">
        <v>22</v>
      </c>
      <c r="G512" s="79" t="s">
        <v>57</v>
      </c>
      <c r="H512" s="79" t="s">
        <v>671</v>
      </c>
      <c r="I512" s="79"/>
      <c r="J512" s="14" t="str">
        <f>IF(E512="Invalid_Segment","Invalid",IFERROR(INDEX(Severity_Matrix!$C$3:$M$10,MATCH('Error Log'!$F512,Severity_Matrix!$B$3:$B$10,0),MATCH('Error Log'!$G512,Severity_Matrix!$C$2:$M$2,0)),"No errors"))</f>
        <v>Major</v>
      </c>
    </row>
    <row r="513" spans="1:10">
      <c r="A513" s="74" t="s">
        <v>667</v>
      </c>
      <c r="B513" s="17">
        <v>9</v>
      </c>
      <c r="C513" s="83" t="s">
        <v>663</v>
      </c>
      <c r="D513" s="83" t="s">
        <v>664</v>
      </c>
      <c r="E513" s="79" t="s">
        <v>21</v>
      </c>
      <c r="F513" s="79" t="s">
        <v>7</v>
      </c>
      <c r="G513" s="79" t="s">
        <v>57</v>
      </c>
      <c r="H513" s="79" t="s">
        <v>672</v>
      </c>
      <c r="I513" s="79"/>
      <c r="J513" s="14" t="str">
        <f>IF(E513="Invalid_Segment","Invalid",IFERROR(INDEX(Severity_Matrix!$C$3:$M$10,MATCH('Error Log'!$F513,Severity_Matrix!$B$3:$B$10,0),MATCH('Error Log'!$G513,Severity_Matrix!$C$2:$M$2,0)),"No errors"))</f>
        <v>Critical</v>
      </c>
    </row>
    <row r="514" spans="1:10">
      <c r="A514" s="74" t="s">
        <v>667</v>
      </c>
      <c r="B514" s="17">
        <v>10</v>
      </c>
      <c r="C514" s="83" t="s">
        <v>663</v>
      </c>
      <c r="D514" s="83" t="s">
        <v>664</v>
      </c>
      <c r="E514" s="79" t="s">
        <v>21</v>
      </c>
      <c r="F514" s="79" t="s">
        <v>7</v>
      </c>
      <c r="G514" s="79" t="s">
        <v>57</v>
      </c>
      <c r="H514" s="79" t="s">
        <v>673</v>
      </c>
      <c r="I514" s="79"/>
      <c r="J514" s="14" t="str">
        <f>IF(E514="Invalid_Segment","Invalid",IFERROR(INDEX(Severity_Matrix!$C$3:$M$10,MATCH('Error Log'!$F514,Severity_Matrix!$B$3:$B$10,0),MATCH('Error Log'!$G514,Severity_Matrix!$C$2:$M$2,0)),"No errors"))</f>
        <v>Critical</v>
      </c>
    </row>
    <row r="515" spans="1:10">
      <c r="A515" s="74" t="s">
        <v>674</v>
      </c>
      <c r="B515" s="17">
        <v>1</v>
      </c>
      <c r="C515" s="83" t="s">
        <v>675</v>
      </c>
      <c r="D515" s="83" t="s">
        <v>676</v>
      </c>
      <c r="E515" s="79" t="s">
        <v>21</v>
      </c>
      <c r="F515" s="79" t="s">
        <v>22</v>
      </c>
      <c r="G515" s="79" t="s">
        <v>57</v>
      </c>
      <c r="H515" s="79" t="s">
        <v>677</v>
      </c>
      <c r="I515" s="79"/>
      <c r="J515" s="14" t="str">
        <f>IF(E515="Invalid_Segment","Invalid",IFERROR(INDEX(Severity_Matrix!$C$3:$M$10,MATCH('Error Log'!$F515,Severity_Matrix!$B$3:$B$10,0),MATCH('Error Log'!$G515,Severity_Matrix!$C$2:$M$2,0)),"No errors"))</f>
        <v>Major</v>
      </c>
    </row>
    <row r="516" spans="1:10">
      <c r="A516" s="74" t="s">
        <v>674</v>
      </c>
      <c r="B516" s="17">
        <v>2</v>
      </c>
      <c r="C516" s="83" t="s">
        <v>675</v>
      </c>
      <c r="D516" s="83" t="s">
        <v>676</v>
      </c>
      <c r="E516" s="79" t="s">
        <v>21</v>
      </c>
      <c r="F516" s="79" t="s">
        <v>63</v>
      </c>
      <c r="G516" s="79" t="s">
        <v>27</v>
      </c>
      <c r="H516" s="79" t="s">
        <v>303</v>
      </c>
      <c r="I516" s="79"/>
      <c r="J516" s="14" t="str">
        <f>IF(E516="Invalid_Segment","Invalid",IFERROR(INDEX(Severity_Matrix!$C$3:$M$10,MATCH('Error Log'!$F516,Severity_Matrix!$B$3:$B$10,0),MATCH('Error Log'!$G516,Severity_Matrix!$C$2:$M$2,0)),"No errors"))</f>
        <v>Critical</v>
      </c>
    </row>
    <row r="517" spans="1:10">
      <c r="A517" s="74" t="s">
        <v>678</v>
      </c>
      <c r="B517" s="17">
        <v>3</v>
      </c>
      <c r="C517" s="83" t="s">
        <v>675</v>
      </c>
      <c r="D517" s="83" t="s">
        <v>676</v>
      </c>
      <c r="E517" s="79" t="s">
        <v>21</v>
      </c>
      <c r="F517" s="79" t="s">
        <v>22</v>
      </c>
      <c r="G517" s="79" t="s">
        <v>57</v>
      </c>
      <c r="H517" s="79" t="s">
        <v>679</v>
      </c>
      <c r="I517" s="79"/>
      <c r="J517" s="14" t="str">
        <f>IF(E517="Invalid_Segment","Invalid",IFERROR(INDEX(Severity_Matrix!$C$3:$M$10,MATCH('Error Log'!$F517,Severity_Matrix!$B$3:$B$10,0),MATCH('Error Log'!$G517,Severity_Matrix!$C$2:$M$2,0)),"No errors"))</f>
        <v>Major</v>
      </c>
    </row>
    <row r="518" spans="1:10">
      <c r="A518" s="74" t="s">
        <v>678</v>
      </c>
      <c r="B518" s="17">
        <v>4</v>
      </c>
      <c r="C518" s="83" t="s">
        <v>675</v>
      </c>
      <c r="D518" s="83" t="s">
        <v>676</v>
      </c>
      <c r="E518" s="79" t="s">
        <v>2</v>
      </c>
      <c r="F518" s="79" t="s">
        <v>26</v>
      </c>
      <c r="G518" s="79" t="s">
        <v>57</v>
      </c>
      <c r="H518" s="79" t="s">
        <v>679</v>
      </c>
      <c r="I518" s="79"/>
      <c r="J518" s="14" t="str">
        <f>IF(E518="Invalid_Segment","Invalid",IFERROR(INDEX(Severity_Matrix!$C$3:$M$10,MATCH('Error Log'!$F518,Severity_Matrix!$B$3:$B$10,0),MATCH('Error Log'!$G518,Severity_Matrix!$C$2:$M$2,0)),"No errors"))</f>
        <v>Major</v>
      </c>
    </row>
    <row r="519" spans="1:10">
      <c r="A519" s="74" t="s">
        <v>678</v>
      </c>
      <c r="B519" s="17">
        <v>5</v>
      </c>
      <c r="C519" s="83" t="s">
        <v>675</v>
      </c>
      <c r="D519" s="83" t="s">
        <v>676</v>
      </c>
      <c r="E519" s="79" t="s">
        <v>21</v>
      </c>
      <c r="F519" s="79" t="s">
        <v>7</v>
      </c>
      <c r="G519" s="79" t="s">
        <v>57</v>
      </c>
      <c r="H519" s="79" t="s">
        <v>680</v>
      </c>
      <c r="I519" s="79"/>
      <c r="J519" s="14" t="str">
        <f>IF(E519="Invalid_Segment","Invalid",IFERROR(INDEX(Severity_Matrix!$C$3:$M$10,MATCH('Error Log'!$F519,Severity_Matrix!$B$3:$B$10,0),MATCH('Error Log'!$G519,Severity_Matrix!$C$2:$M$2,0)),"No errors"))</f>
        <v>Critical</v>
      </c>
    </row>
    <row r="520" spans="1:10">
      <c r="A520" s="74" t="s">
        <v>678</v>
      </c>
      <c r="B520" s="17">
        <v>6</v>
      </c>
      <c r="C520" s="83" t="s">
        <v>675</v>
      </c>
      <c r="D520" s="83" t="s">
        <v>676</v>
      </c>
      <c r="E520" s="79" t="s">
        <v>21</v>
      </c>
      <c r="F520" s="79" t="s">
        <v>7</v>
      </c>
      <c r="G520" s="79" t="s">
        <v>57</v>
      </c>
      <c r="H520" s="79" t="s">
        <v>681</v>
      </c>
      <c r="I520" s="79"/>
      <c r="J520" s="14" t="str">
        <f>IF(E520="Invalid_Segment","Invalid",IFERROR(INDEX(Severity_Matrix!$C$3:$M$10,MATCH('Error Log'!$F520,Severity_Matrix!$B$3:$B$10,0),MATCH('Error Log'!$G520,Severity_Matrix!$C$2:$M$2,0)),"No errors"))</f>
        <v>Critical</v>
      </c>
    </row>
    <row r="521" spans="1:10">
      <c r="A521" s="74" t="s">
        <v>678</v>
      </c>
      <c r="B521" s="17">
        <v>7</v>
      </c>
      <c r="C521" s="83" t="s">
        <v>675</v>
      </c>
      <c r="D521" s="83" t="s">
        <v>676</v>
      </c>
      <c r="E521" s="79" t="s">
        <v>21</v>
      </c>
      <c r="F521" s="79" t="s">
        <v>7</v>
      </c>
      <c r="G521" s="79" t="s">
        <v>57</v>
      </c>
      <c r="H521" s="79" t="s">
        <v>682</v>
      </c>
      <c r="I521" s="79"/>
      <c r="J521" s="14" t="str">
        <f>IF(E521="Invalid_Segment","Invalid",IFERROR(INDEX(Severity_Matrix!$C$3:$M$10,MATCH('Error Log'!$F521,Severity_Matrix!$B$3:$B$10,0),MATCH('Error Log'!$G521,Severity_Matrix!$C$2:$M$2,0)),"No errors"))</f>
        <v>Critical</v>
      </c>
    </row>
    <row r="522" spans="1:10">
      <c r="A522" s="74" t="s">
        <v>678</v>
      </c>
      <c r="B522" s="17">
        <v>8</v>
      </c>
      <c r="C522" s="83" t="s">
        <v>675</v>
      </c>
      <c r="D522" s="83" t="s">
        <v>676</v>
      </c>
      <c r="E522" s="79" t="s">
        <v>21</v>
      </c>
      <c r="F522" s="79" t="s">
        <v>7</v>
      </c>
      <c r="G522" s="79" t="s">
        <v>57</v>
      </c>
      <c r="H522" s="79" t="s">
        <v>683</v>
      </c>
      <c r="I522" s="79"/>
      <c r="J522" s="14" t="str">
        <f>IF(E522="Invalid_Segment","Invalid",IFERROR(INDEX(Severity_Matrix!$C$3:$M$10,MATCH('Error Log'!$F522,Severity_Matrix!$B$3:$B$10,0),MATCH('Error Log'!$G522,Severity_Matrix!$C$2:$M$2,0)),"No errors"))</f>
        <v>Critical</v>
      </c>
    </row>
    <row r="523" spans="1:10">
      <c r="A523" s="74" t="s">
        <v>684</v>
      </c>
      <c r="B523" s="17">
        <v>1</v>
      </c>
      <c r="C523" s="83" t="s">
        <v>685</v>
      </c>
      <c r="D523" s="83" t="s">
        <v>686</v>
      </c>
      <c r="E523" s="79" t="s">
        <v>21</v>
      </c>
      <c r="F523" s="79" t="s">
        <v>22</v>
      </c>
      <c r="G523" s="79" t="s">
        <v>57</v>
      </c>
      <c r="H523" s="79" t="s">
        <v>687</v>
      </c>
      <c r="I523" s="79"/>
      <c r="J523" s="14" t="str">
        <f>IF(E523="Invalid_Segment","Invalid",IFERROR(INDEX(Severity_Matrix!$C$3:$M$10,MATCH('Error Log'!$F523,Severity_Matrix!$B$3:$B$10,0),MATCH('Error Log'!$G523,Severity_Matrix!$C$2:$M$2,0)),"No errors"))</f>
        <v>Major</v>
      </c>
    </row>
    <row r="524" spans="1:10">
      <c r="A524" s="74" t="s">
        <v>684</v>
      </c>
      <c r="B524" s="17">
        <v>2</v>
      </c>
      <c r="C524" s="83" t="s">
        <v>685</v>
      </c>
      <c r="D524" s="83" t="s">
        <v>686</v>
      </c>
      <c r="E524" s="79" t="s">
        <v>2</v>
      </c>
      <c r="F524" s="79" t="s">
        <v>26</v>
      </c>
      <c r="G524" s="79" t="s">
        <v>57</v>
      </c>
      <c r="H524" s="79" t="s">
        <v>688</v>
      </c>
      <c r="I524" s="79"/>
      <c r="J524" s="14" t="str">
        <f>IF(E524="Invalid_Segment","Invalid",IFERROR(INDEX(Severity_Matrix!$C$3:$M$10,MATCH('Error Log'!$F524,Severity_Matrix!$B$3:$B$10,0),MATCH('Error Log'!$G524,Severity_Matrix!$C$2:$M$2,0)),"No errors"))</f>
        <v>Major</v>
      </c>
    </row>
    <row r="525" spans="1:10">
      <c r="A525" s="74" t="s">
        <v>689</v>
      </c>
      <c r="B525" s="17">
        <v>3</v>
      </c>
      <c r="C525" s="83" t="s">
        <v>685</v>
      </c>
      <c r="D525" s="83" t="s">
        <v>686</v>
      </c>
      <c r="E525" s="79" t="s">
        <v>21</v>
      </c>
      <c r="F525" s="79" t="s">
        <v>63</v>
      </c>
      <c r="G525" s="79" t="s">
        <v>54</v>
      </c>
      <c r="H525" s="79" t="s">
        <v>263</v>
      </c>
      <c r="I525" s="79"/>
      <c r="J525" s="14" t="str">
        <f>IF(E525="Invalid_Segment","Invalid",IFERROR(INDEX(Severity_Matrix!$C$3:$M$10,MATCH('Error Log'!$F525,Severity_Matrix!$B$3:$B$10,0),MATCH('Error Log'!$G525,Severity_Matrix!$C$2:$M$2,0)),"No errors"))</f>
        <v>Critical</v>
      </c>
    </row>
    <row r="526" spans="1:10">
      <c r="A526" s="74" t="s">
        <v>689</v>
      </c>
      <c r="B526" s="17">
        <v>4</v>
      </c>
      <c r="C526" s="83" t="s">
        <v>685</v>
      </c>
      <c r="D526" s="83" t="s">
        <v>686</v>
      </c>
      <c r="E526" s="79" t="s">
        <v>21</v>
      </c>
      <c r="F526" s="79" t="s">
        <v>22</v>
      </c>
      <c r="G526" s="79" t="s">
        <v>57</v>
      </c>
      <c r="H526" s="79" t="s">
        <v>690</v>
      </c>
      <c r="I526" s="79"/>
      <c r="J526" s="14" t="str">
        <f>IF(E526="Invalid_Segment","Invalid",IFERROR(INDEX(Severity_Matrix!$C$3:$M$10,MATCH('Error Log'!$F526,Severity_Matrix!$B$3:$B$10,0),MATCH('Error Log'!$G526,Severity_Matrix!$C$2:$M$2,0)),"No errors"))</f>
        <v>Major</v>
      </c>
    </row>
    <row r="527" spans="1:10">
      <c r="A527" s="74" t="s">
        <v>689</v>
      </c>
      <c r="B527" s="17">
        <v>5</v>
      </c>
      <c r="C527" s="83" t="s">
        <v>685</v>
      </c>
      <c r="D527" s="83" t="s">
        <v>686</v>
      </c>
      <c r="E527" s="79" t="s">
        <v>21</v>
      </c>
      <c r="F527" s="79" t="s">
        <v>63</v>
      </c>
      <c r="G527" s="79" t="s">
        <v>27</v>
      </c>
      <c r="H527" s="79" t="s">
        <v>303</v>
      </c>
      <c r="I527" s="79"/>
      <c r="J527" s="14" t="str">
        <f>IF(E527="Invalid_Segment","Invalid",IFERROR(INDEX(Severity_Matrix!$C$3:$M$10,MATCH('Error Log'!$F527,Severity_Matrix!$B$3:$B$10,0),MATCH('Error Log'!$G527,Severity_Matrix!$C$2:$M$2,0)),"No errors"))</f>
        <v>Critical</v>
      </c>
    </row>
    <row r="528" spans="1:10">
      <c r="A528" s="74" t="s">
        <v>689</v>
      </c>
      <c r="B528" s="17">
        <v>6</v>
      </c>
      <c r="C528" s="83" t="s">
        <v>685</v>
      </c>
      <c r="D528" s="83" t="s">
        <v>686</v>
      </c>
      <c r="E528" s="79" t="s">
        <v>21</v>
      </c>
      <c r="F528" s="79" t="s">
        <v>63</v>
      </c>
      <c r="G528" s="79" t="s">
        <v>27</v>
      </c>
      <c r="H528" s="79" t="s">
        <v>303</v>
      </c>
      <c r="I528" s="79"/>
      <c r="J528" s="14" t="str">
        <f>IF(E528="Invalid_Segment","Invalid",IFERROR(INDEX(Severity_Matrix!$C$3:$M$10,MATCH('Error Log'!$F528,Severity_Matrix!$B$3:$B$10,0),MATCH('Error Log'!$G528,Severity_Matrix!$C$2:$M$2,0)),"No errors"))</f>
        <v>Critical</v>
      </c>
    </row>
    <row r="529" spans="1:10">
      <c r="A529" s="74" t="s">
        <v>689</v>
      </c>
      <c r="B529" s="17">
        <v>7</v>
      </c>
      <c r="C529" s="83" t="s">
        <v>685</v>
      </c>
      <c r="D529" s="83" t="s">
        <v>686</v>
      </c>
      <c r="E529" s="79" t="s">
        <v>21</v>
      </c>
      <c r="F529" s="79" t="s">
        <v>7</v>
      </c>
      <c r="G529" s="79" t="s">
        <v>57</v>
      </c>
      <c r="H529" s="79" t="s">
        <v>691</v>
      </c>
      <c r="I529" s="79"/>
      <c r="J529" s="14" t="str">
        <f>IF(E529="Invalid_Segment","Invalid",IFERROR(INDEX(Severity_Matrix!$C$3:$M$10,MATCH('Error Log'!$F529,Severity_Matrix!$B$3:$B$10,0),MATCH('Error Log'!$G529,Severity_Matrix!$C$2:$M$2,0)),"No errors"))</f>
        <v>Critical</v>
      </c>
    </row>
    <row r="530" spans="1:10">
      <c r="A530" s="74" t="s">
        <v>689</v>
      </c>
      <c r="B530" s="17">
        <v>8</v>
      </c>
      <c r="C530" s="83" t="s">
        <v>685</v>
      </c>
      <c r="D530" s="83" t="s">
        <v>686</v>
      </c>
      <c r="E530" s="79" t="s">
        <v>21</v>
      </c>
      <c r="F530" s="79" t="s">
        <v>7</v>
      </c>
      <c r="G530" s="79" t="s">
        <v>57</v>
      </c>
      <c r="H530" s="79" t="s">
        <v>692</v>
      </c>
      <c r="I530" s="79"/>
      <c r="J530" s="14" t="str">
        <f>IF(E530="Invalid_Segment","Invalid",IFERROR(INDEX(Severity_Matrix!$C$3:$M$10,MATCH('Error Log'!$F530,Severity_Matrix!$B$3:$B$10,0),MATCH('Error Log'!$G530,Severity_Matrix!$C$2:$M$2,0)),"No errors"))</f>
        <v>Critical</v>
      </c>
    </row>
    <row r="531" spans="1:10">
      <c r="A531" s="74" t="s">
        <v>689</v>
      </c>
      <c r="B531" s="17">
        <v>9</v>
      </c>
      <c r="C531" s="83" t="s">
        <v>685</v>
      </c>
      <c r="D531" s="83" t="s">
        <v>686</v>
      </c>
      <c r="E531" s="79" t="s">
        <v>21</v>
      </c>
      <c r="F531" s="79" t="s">
        <v>7</v>
      </c>
      <c r="G531" s="79" t="s">
        <v>57</v>
      </c>
      <c r="H531" s="79" t="s">
        <v>693</v>
      </c>
      <c r="I531" s="79"/>
      <c r="J531" s="14" t="str">
        <f>IF(E531="Invalid_Segment","Invalid",IFERROR(INDEX(Severity_Matrix!$C$3:$M$10,MATCH('Error Log'!$F531,Severity_Matrix!$B$3:$B$10,0),MATCH('Error Log'!$G531,Severity_Matrix!$C$2:$M$2,0)),"No errors"))</f>
        <v>Critical</v>
      </c>
    </row>
    <row r="532" spans="1:10">
      <c r="A532" s="74" t="s">
        <v>694</v>
      </c>
      <c r="B532" s="17">
        <v>1</v>
      </c>
      <c r="C532" s="83" t="s">
        <v>695</v>
      </c>
      <c r="D532" s="83" t="s">
        <v>696</v>
      </c>
      <c r="E532" s="79" t="s">
        <v>21</v>
      </c>
      <c r="F532" s="79" t="s">
        <v>22</v>
      </c>
      <c r="G532" s="79" t="s">
        <v>28</v>
      </c>
      <c r="H532" s="79" t="s">
        <v>697</v>
      </c>
      <c r="I532" s="79"/>
      <c r="J532" s="14" t="str">
        <f>IF(E532="Invalid_Segment","Invalid",IFERROR(INDEX(Severity_Matrix!$C$3:$M$10,MATCH('Error Log'!$F532,Severity_Matrix!$B$3:$B$10,0),MATCH('Error Log'!$G532,Severity_Matrix!$C$2:$M$2,0)),"No errors"))</f>
        <v>Major</v>
      </c>
    </row>
    <row r="533" spans="1:10">
      <c r="A533" s="74" t="s">
        <v>694</v>
      </c>
      <c r="B533" s="17">
        <v>2</v>
      </c>
      <c r="C533" s="83" t="s">
        <v>695</v>
      </c>
      <c r="D533" s="83" t="s">
        <v>696</v>
      </c>
      <c r="E533" s="79" t="s">
        <v>21</v>
      </c>
      <c r="F533" s="79" t="s">
        <v>7</v>
      </c>
      <c r="G533" s="79" t="s">
        <v>29</v>
      </c>
      <c r="H533" s="79">
        <v>0.4</v>
      </c>
      <c r="I533" s="79"/>
      <c r="J533" s="14" t="str">
        <f>IF(E533="Invalid_Segment","Invalid",IFERROR(INDEX(Severity_Matrix!$C$3:$M$10,MATCH('Error Log'!$F533,Severity_Matrix!$B$3:$B$10,0),MATCH('Error Log'!$G533,Severity_Matrix!$C$2:$M$2,0)),"No errors"))</f>
        <v>Critical</v>
      </c>
    </row>
    <row r="534" spans="1:10">
      <c r="A534" s="74" t="s">
        <v>698</v>
      </c>
      <c r="B534" s="17">
        <v>3</v>
      </c>
      <c r="C534" s="83" t="s">
        <v>695</v>
      </c>
      <c r="D534" s="83" t="s">
        <v>696</v>
      </c>
      <c r="E534" s="79" t="s">
        <v>21</v>
      </c>
      <c r="F534" s="79" t="s">
        <v>7</v>
      </c>
      <c r="G534" s="79" t="s">
        <v>57</v>
      </c>
      <c r="H534" s="79" t="s">
        <v>699</v>
      </c>
      <c r="I534" s="79"/>
      <c r="J534" s="14" t="str">
        <f>IF(E534="Invalid_Segment","Invalid",IFERROR(INDEX(Severity_Matrix!$C$3:$M$10,MATCH('Error Log'!$F534,Severity_Matrix!$B$3:$B$10,0),MATCH('Error Log'!$G534,Severity_Matrix!$C$2:$M$2,0)),"No errors"))</f>
        <v>Critical</v>
      </c>
    </row>
    <row r="535" spans="1:10">
      <c r="A535" s="74" t="s">
        <v>700</v>
      </c>
      <c r="B535" s="17">
        <v>1</v>
      </c>
      <c r="C535" s="83" t="s">
        <v>701</v>
      </c>
      <c r="D535" s="83" t="s">
        <v>702</v>
      </c>
      <c r="E535" s="79" t="s">
        <v>21</v>
      </c>
      <c r="F535" s="79" t="s">
        <v>63</v>
      </c>
      <c r="G535" s="79" t="s">
        <v>54</v>
      </c>
      <c r="H535" s="79" t="s">
        <v>703</v>
      </c>
      <c r="I535" s="79"/>
      <c r="J535" s="14" t="str">
        <f>IF(E535="Invalid_Segment","Invalid",IFERROR(INDEX(Severity_Matrix!$C$3:$M$10,MATCH('Error Log'!$F535,Severity_Matrix!$B$3:$B$10,0),MATCH('Error Log'!$G535,Severity_Matrix!$C$2:$M$2,0)),"No errors"))</f>
        <v>Critical</v>
      </c>
    </row>
    <row r="536" spans="1:10">
      <c r="A536" s="74" t="s">
        <v>700</v>
      </c>
      <c r="B536" s="17">
        <v>2</v>
      </c>
      <c r="C536" s="83" t="s">
        <v>701</v>
      </c>
      <c r="D536" s="83" t="s">
        <v>702</v>
      </c>
      <c r="E536" s="79" t="s">
        <v>21</v>
      </c>
      <c r="F536" s="79" t="s">
        <v>64</v>
      </c>
      <c r="G536" s="79" t="s">
        <v>27</v>
      </c>
      <c r="H536" s="79" t="s">
        <v>704</v>
      </c>
      <c r="I536" s="79"/>
      <c r="J536" s="14" t="str">
        <f>IF(E536="Invalid_Segment","Invalid",IFERROR(INDEX(Severity_Matrix!$C$3:$M$10,MATCH('Error Log'!$F536,Severity_Matrix!$B$3:$B$10,0),MATCH('Error Log'!$G536,Severity_Matrix!$C$2:$M$2,0)),"No errors"))</f>
        <v>Critical</v>
      </c>
    </row>
    <row r="537" spans="1:10">
      <c r="A537" s="74" t="s">
        <v>705</v>
      </c>
      <c r="B537" s="17">
        <v>3</v>
      </c>
      <c r="C537" s="83" t="s">
        <v>701</v>
      </c>
      <c r="D537" s="83" t="s">
        <v>702</v>
      </c>
      <c r="E537" s="79" t="s">
        <v>21</v>
      </c>
      <c r="F537" s="79" t="s">
        <v>64</v>
      </c>
      <c r="G537" s="79" t="s">
        <v>28</v>
      </c>
      <c r="H537" s="79" t="s">
        <v>706</v>
      </c>
      <c r="I537" s="79"/>
      <c r="J537" s="14" t="str">
        <f>IF(E537="Invalid_Segment","Invalid",IFERROR(INDEX(Severity_Matrix!$C$3:$M$10,MATCH('Error Log'!$F537,Severity_Matrix!$B$3:$B$10,0),MATCH('Error Log'!$G537,Severity_Matrix!$C$2:$M$2,0)),"No errors"))</f>
        <v>Critical</v>
      </c>
    </row>
    <row r="538" spans="1:10">
      <c r="A538" s="74" t="s">
        <v>705</v>
      </c>
      <c r="B538" s="17">
        <v>4</v>
      </c>
      <c r="C538" s="83" t="s">
        <v>701</v>
      </c>
      <c r="D538" s="83" t="s">
        <v>702</v>
      </c>
      <c r="E538" s="79" t="s">
        <v>21</v>
      </c>
      <c r="F538" s="79" t="s">
        <v>63</v>
      </c>
      <c r="G538" s="79" t="s">
        <v>56</v>
      </c>
      <c r="H538" s="79" t="s">
        <v>303</v>
      </c>
      <c r="I538" s="79"/>
      <c r="J538" s="14" t="str">
        <f>IF(E538="Invalid_Segment","Invalid",IFERROR(INDEX(Severity_Matrix!$C$3:$M$10,MATCH('Error Log'!$F538,Severity_Matrix!$B$3:$B$10,0),MATCH('Error Log'!$G538,Severity_Matrix!$C$2:$M$2,0)),"No errors"))</f>
        <v>Critical</v>
      </c>
    </row>
    <row r="539" spans="1:10">
      <c r="A539" s="74" t="s">
        <v>705</v>
      </c>
      <c r="B539" s="17">
        <v>5</v>
      </c>
      <c r="C539" s="83" t="s">
        <v>701</v>
      </c>
      <c r="D539" s="83" t="s">
        <v>702</v>
      </c>
      <c r="E539" s="79" t="s">
        <v>21</v>
      </c>
      <c r="F539" s="79" t="s">
        <v>7</v>
      </c>
      <c r="G539" s="79" t="s">
        <v>57</v>
      </c>
      <c r="H539" s="79" t="s">
        <v>707</v>
      </c>
      <c r="I539" s="79"/>
      <c r="J539" s="14" t="str">
        <f>IF(E539="Invalid_Segment","Invalid",IFERROR(INDEX(Severity_Matrix!$C$3:$M$10,MATCH('Error Log'!$F539,Severity_Matrix!$B$3:$B$10,0),MATCH('Error Log'!$G539,Severity_Matrix!$C$2:$M$2,0)),"No errors"))</f>
        <v>Critical</v>
      </c>
    </row>
    <row r="540" spans="1:10">
      <c r="A540" s="73" t="s">
        <v>708</v>
      </c>
      <c r="B540" s="17">
        <v>1</v>
      </c>
      <c r="C540" s="73" t="s">
        <v>709</v>
      </c>
      <c r="D540" s="73" t="s">
        <v>710</v>
      </c>
      <c r="E540" s="79" t="s">
        <v>21</v>
      </c>
      <c r="F540" s="79" t="s">
        <v>63</v>
      </c>
      <c r="G540" s="79" t="s">
        <v>54</v>
      </c>
      <c r="H540" s="79" t="s">
        <v>711</v>
      </c>
      <c r="I540" s="79"/>
      <c r="J540" s="14" t="str">
        <f>IF(E540="Invalid_Segment","Invalid",IFERROR(INDEX(Severity_Matrix!$C$3:$M$10,MATCH('Error Log'!$F540,Severity_Matrix!$B$3:$B$10,0),MATCH('Error Log'!$G540,Severity_Matrix!$C$2:$M$2,0)),"No errors"))</f>
        <v>Critical</v>
      </c>
    </row>
    <row r="541" spans="1:10">
      <c r="A541" s="73" t="s">
        <v>708</v>
      </c>
      <c r="B541" s="17">
        <v>2</v>
      </c>
      <c r="C541" s="73" t="s">
        <v>712</v>
      </c>
      <c r="D541" s="73" t="s">
        <v>710</v>
      </c>
      <c r="E541" s="79" t="s">
        <v>21</v>
      </c>
      <c r="F541" s="79" t="s">
        <v>63</v>
      </c>
      <c r="G541" s="79" t="s">
        <v>56</v>
      </c>
      <c r="H541" s="79" t="s">
        <v>713</v>
      </c>
      <c r="I541" s="79"/>
      <c r="J541" s="14" t="str">
        <f>IF(E541="Invalid_Segment","Invalid",IFERROR(INDEX(Severity_Matrix!$C$3:$M$10,MATCH('Error Log'!$F541,Severity_Matrix!$B$3:$B$10,0),MATCH('Error Log'!$G541,Severity_Matrix!$C$2:$M$2,0)),"No errors"))</f>
        <v>Critical</v>
      </c>
    </row>
    <row r="542" spans="1:10">
      <c r="A542" s="73" t="s">
        <v>714</v>
      </c>
      <c r="B542" s="17">
        <v>3</v>
      </c>
      <c r="C542" s="73" t="s">
        <v>715</v>
      </c>
      <c r="D542" s="73" t="s">
        <v>710</v>
      </c>
      <c r="E542" s="79" t="s">
        <v>21</v>
      </c>
      <c r="F542" s="79" t="s">
        <v>63</v>
      </c>
      <c r="G542" s="79" t="s">
        <v>55</v>
      </c>
      <c r="H542" s="79" t="s">
        <v>716</v>
      </c>
      <c r="I542" s="79"/>
      <c r="J542" s="14" t="str">
        <f>IF(E542="Invalid_Segment","Invalid",IFERROR(INDEX(Severity_Matrix!$C$3:$M$10,MATCH('Error Log'!$F542,Severity_Matrix!$B$3:$B$10,0),MATCH('Error Log'!$G542,Severity_Matrix!$C$2:$M$2,0)),"No errors"))</f>
        <v>Critical</v>
      </c>
    </row>
    <row r="543" spans="1:10">
      <c r="A543" s="73" t="s">
        <v>714</v>
      </c>
      <c r="B543" s="17">
        <v>4</v>
      </c>
      <c r="C543" s="73" t="s">
        <v>717</v>
      </c>
      <c r="D543" s="73" t="s">
        <v>710</v>
      </c>
      <c r="E543" s="79" t="s">
        <v>21</v>
      </c>
      <c r="F543" s="79" t="s">
        <v>63</v>
      </c>
      <c r="G543" s="79" t="s">
        <v>56</v>
      </c>
      <c r="H543" s="79" t="s">
        <v>713</v>
      </c>
      <c r="I543" s="79"/>
      <c r="J543" s="14" t="str">
        <f>IF(E543="Invalid_Segment","Invalid",IFERROR(INDEX(Severity_Matrix!$C$3:$M$10,MATCH('Error Log'!$F543,Severity_Matrix!$B$3:$B$10,0),MATCH('Error Log'!$G543,Severity_Matrix!$C$2:$M$2,0)),"No errors"))</f>
        <v>Critical</v>
      </c>
    </row>
    <row r="544" spans="1:10">
      <c r="A544" s="73" t="s">
        <v>714</v>
      </c>
      <c r="B544" s="17">
        <v>5</v>
      </c>
      <c r="C544" s="73" t="s">
        <v>718</v>
      </c>
      <c r="D544" s="73" t="s">
        <v>710</v>
      </c>
      <c r="E544" s="79" t="s">
        <v>21</v>
      </c>
      <c r="F544" s="79" t="s">
        <v>63</v>
      </c>
      <c r="G544" s="79" t="s">
        <v>55</v>
      </c>
      <c r="H544" s="79" t="s">
        <v>716</v>
      </c>
      <c r="I544" s="79"/>
      <c r="J544" s="14" t="str">
        <f>IF(E544="Invalid_Segment","Invalid",IFERROR(INDEX(Severity_Matrix!$C$3:$M$10,MATCH('Error Log'!$F544,Severity_Matrix!$B$3:$B$10,0),MATCH('Error Log'!$G544,Severity_Matrix!$C$2:$M$2,0)),"No errors"))</f>
        <v>Critical</v>
      </c>
    </row>
    <row r="545" spans="1:10">
      <c r="A545" s="73" t="s">
        <v>714</v>
      </c>
      <c r="B545" s="17">
        <v>6</v>
      </c>
      <c r="C545" s="73" t="s">
        <v>719</v>
      </c>
      <c r="D545" s="73" t="s">
        <v>710</v>
      </c>
      <c r="E545" s="79" t="s">
        <v>2</v>
      </c>
      <c r="F545" s="79" t="s">
        <v>26</v>
      </c>
      <c r="G545" s="79" t="s">
        <v>57</v>
      </c>
      <c r="H545" s="79" t="s">
        <v>720</v>
      </c>
      <c r="I545" s="79"/>
      <c r="J545" s="14" t="str">
        <f>IF(E545="Invalid_Segment","Invalid",IFERROR(INDEX(Severity_Matrix!$C$3:$M$10,MATCH('Error Log'!$F545,Severity_Matrix!$B$3:$B$10,0),MATCH('Error Log'!$G545,Severity_Matrix!$C$2:$M$2,0)),"No errors"))</f>
        <v>Major</v>
      </c>
    </row>
    <row r="546" spans="1:10">
      <c r="A546" s="73" t="s">
        <v>714</v>
      </c>
      <c r="B546" s="17">
        <v>7</v>
      </c>
      <c r="C546" s="73" t="s">
        <v>721</v>
      </c>
      <c r="D546" s="73" t="s">
        <v>710</v>
      </c>
      <c r="E546" s="79" t="s">
        <v>2</v>
      </c>
      <c r="F546" s="79" t="s">
        <v>26</v>
      </c>
      <c r="G546" s="79" t="s">
        <v>57</v>
      </c>
      <c r="H546" s="79" t="s">
        <v>722</v>
      </c>
      <c r="I546" s="79"/>
      <c r="J546" s="14" t="str">
        <f>IF(E546="Invalid_Segment","Invalid",IFERROR(INDEX(Severity_Matrix!$C$3:$M$10,MATCH('Error Log'!$F546,Severity_Matrix!$B$3:$B$10,0),MATCH('Error Log'!$G546,Severity_Matrix!$C$2:$M$2,0)),"No errors"))</f>
        <v>Major</v>
      </c>
    </row>
    <row r="547" spans="1:10">
      <c r="A547" s="73" t="s">
        <v>714</v>
      </c>
      <c r="B547" s="17">
        <v>8</v>
      </c>
      <c r="C547" s="73" t="s">
        <v>723</v>
      </c>
      <c r="D547" s="73" t="s">
        <v>710</v>
      </c>
      <c r="E547" s="79" t="s">
        <v>21</v>
      </c>
      <c r="F547" s="79" t="s">
        <v>7</v>
      </c>
      <c r="G547" s="79" t="s">
        <v>57</v>
      </c>
      <c r="H547" s="79" t="s">
        <v>724</v>
      </c>
      <c r="I547" s="79"/>
      <c r="J547" s="14" t="str">
        <f>IF(E547="Invalid_Segment","Invalid",IFERROR(INDEX(Severity_Matrix!$C$3:$M$10,MATCH('Error Log'!$F547,Severity_Matrix!$B$3:$B$10,0),MATCH('Error Log'!$G547,Severity_Matrix!$C$2:$M$2,0)),"No errors"))</f>
        <v>Critical</v>
      </c>
    </row>
    <row r="548" spans="1:10">
      <c r="A548" s="73" t="s">
        <v>714</v>
      </c>
      <c r="B548" s="17">
        <v>9</v>
      </c>
      <c r="C548" s="73" t="s">
        <v>725</v>
      </c>
      <c r="D548" s="73" t="s">
        <v>710</v>
      </c>
      <c r="E548" s="79" t="s">
        <v>21</v>
      </c>
      <c r="F548" s="79" t="s">
        <v>7</v>
      </c>
      <c r="G548" s="79" t="s">
        <v>57</v>
      </c>
      <c r="H548" s="79" t="s">
        <v>726</v>
      </c>
      <c r="I548" s="79"/>
      <c r="J548" s="14" t="str">
        <f>IF(E548="Invalid_Segment","Invalid",IFERROR(INDEX(Severity_Matrix!$C$3:$M$10,MATCH('Error Log'!$F548,Severity_Matrix!$B$3:$B$10,0),MATCH('Error Log'!$G548,Severity_Matrix!$C$2:$M$2,0)),"No errors"))</f>
        <v>Critical</v>
      </c>
    </row>
    <row r="549" spans="1:10">
      <c r="A549" s="73" t="s">
        <v>727</v>
      </c>
      <c r="B549" s="17">
        <v>1</v>
      </c>
      <c r="C549" s="73" t="s">
        <v>728</v>
      </c>
      <c r="D549" s="73" t="s">
        <v>729</v>
      </c>
      <c r="E549" s="79" t="s">
        <v>21</v>
      </c>
      <c r="F549" s="79" t="s">
        <v>63</v>
      </c>
      <c r="G549" s="79" t="s">
        <v>27</v>
      </c>
      <c r="H549" s="79" t="s">
        <v>303</v>
      </c>
      <c r="I549" s="79"/>
      <c r="J549" s="14" t="str">
        <f>IF(E549="Invalid_Segment","Invalid",IFERROR(INDEX(Severity_Matrix!$C$3:$M$10,MATCH('Error Log'!$F549,Severity_Matrix!$B$3:$B$10,0),MATCH('Error Log'!$G549,Severity_Matrix!$C$2:$M$2,0)),"No errors"))</f>
        <v>Critical</v>
      </c>
    </row>
    <row r="550" spans="1:10">
      <c r="A550" s="73" t="s">
        <v>727</v>
      </c>
      <c r="B550" s="17">
        <v>2</v>
      </c>
      <c r="C550" s="73" t="s">
        <v>728</v>
      </c>
      <c r="D550" s="73" t="s">
        <v>729</v>
      </c>
      <c r="E550" s="79" t="s">
        <v>21</v>
      </c>
      <c r="F550" s="79" t="s">
        <v>7</v>
      </c>
      <c r="G550" s="79" t="s">
        <v>29</v>
      </c>
      <c r="H550" s="79" t="s">
        <v>730</v>
      </c>
      <c r="I550" s="79"/>
      <c r="J550" s="14" t="str">
        <f>IF(E550="Invalid_Segment","Invalid",IFERROR(INDEX(Severity_Matrix!$C$3:$M$10,MATCH('Error Log'!$F550,Severity_Matrix!$B$3:$B$10,0),MATCH('Error Log'!$G550,Severity_Matrix!$C$2:$M$2,0)),"No errors"))</f>
        <v>Critical</v>
      </c>
    </row>
    <row r="551" spans="1:10">
      <c r="A551" s="73" t="s">
        <v>731</v>
      </c>
      <c r="B551" s="17">
        <v>3</v>
      </c>
      <c r="C551" s="73" t="s">
        <v>732</v>
      </c>
      <c r="D551" s="73" t="s">
        <v>733</v>
      </c>
      <c r="E551" s="79" t="s">
        <v>21</v>
      </c>
      <c r="F551" s="79" t="s">
        <v>7</v>
      </c>
      <c r="G551" s="79" t="s">
        <v>29</v>
      </c>
      <c r="H551" s="79">
        <v>1000</v>
      </c>
      <c r="I551" s="79"/>
      <c r="J551" s="14" t="str">
        <f>IF(E551="Invalid_Segment","Invalid",IFERROR(INDEX(Severity_Matrix!$C$3:$M$10,MATCH('Error Log'!$F551,Severity_Matrix!$B$3:$B$10,0),MATCH('Error Log'!$G551,Severity_Matrix!$C$2:$M$2,0)),"No errors"))</f>
        <v>Critical</v>
      </c>
    </row>
    <row r="552" spans="1:10">
      <c r="A552" s="73" t="s">
        <v>731</v>
      </c>
      <c r="B552" s="17">
        <v>4</v>
      </c>
      <c r="C552" s="73" t="s">
        <v>732</v>
      </c>
      <c r="D552" s="73" t="s">
        <v>733</v>
      </c>
      <c r="E552" s="79" t="s">
        <v>21</v>
      </c>
      <c r="F552" s="79" t="s">
        <v>7</v>
      </c>
      <c r="G552" s="79" t="s">
        <v>58</v>
      </c>
      <c r="H552" s="79" t="s">
        <v>167</v>
      </c>
      <c r="I552" s="79"/>
      <c r="J552" s="14" t="str">
        <f>IF(E552="Invalid_Segment","Invalid",IFERROR(INDEX(Severity_Matrix!$C$3:$M$10,MATCH('Error Log'!$F552,Severity_Matrix!$B$3:$B$10,0),MATCH('Error Log'!$G552,Severity_Matrix!$C$2:$M$2,0)),"No errors"))</f>
        <v>Minor</v>
      </c>
    </row>
    <row r="553" spans="1:10">
      <c r="A553" s="73" t="s">
        <v>731</v>
      </c>
      <c r="B553" s="17">
        <v>5</v>
      </c>
      <c r="C553" s="73" t="s">
        <v>732</v>
      </c>
      <c r="D553" s="73" t="s">
        <v>733</v>
      </c>
      <c r="E553" s="79" t="s">
        <v>2</v>
      </c>
      <c r="F553" s="79" t="s">
        <v>26</v>
      </c>
      <c r="G553" s="79" t="s">
        <v>57</v>
      </c>
      <c r="H553" s="79" t="s">
        <v>734</v>
      </c>
      <c r="I553" s="79"/>
      <c r="J553" s="14" t="str">
        <f>IF(E553="Invalid_Segment","Invalid",IFERROR(INDEX(Severity_Matrix!$C$3:$M$10,MATCH('Error Log'!$F553,Severity_Matrix!$B$3:$B$10,0),MATCH('Error Log'!$G553,Severity_Matrix!$C$2:$M$2,0)),"No errors"))</f>
        <v>Major</v>
      </c>
    </row>
    <row r="554" spans="1:10">
      <c r="A554" s="73" t="s">
        <v>731</v>
      </c>
      <c r="B554" s="17">
        <v>6</v>
      </c>
      <c r="C554" s="73" t="s">
        <v>732</v>
      </c>
      <c r="D554" s="73" t="s">
        <v>733</v>
      </c>
      <c r="E554" s="79" t="s">
        <v>21</v>
      </c>
      <c r="F554" s="79" t="s">
        <v>7</v>
      </c>
      <c r="G554" s="79" t="s">
        <v>57</v>
      </c>
      <c r="H554" s="79" t="s">
        <v>735</v>
      </c>
      <c r="I554" s="79"/>
      <c r="J554" s="14" t="str">
        <f>IF(E554="Invalid_Segment","Invalid",IFERROR(INDEX(Severity_Matrix!$C$3:$M$10,MATCH('Error Log'!$F554,Severity_Matrix!$B$3:$B$10,0),MATCH('Error Log'!$G554,Severity_Matrix!$C$2:$M$2,0)),"No errors"))</f>
        <v>Critical</v>
      </c>
    </row>
    <row r="555" spans="1:10">
      <c r="A555" s="73" t="s">
        <v>731</v>
      </c>
      <c r="B555" s="17">
        <v>7</v>
      </c>
      <c r="C555" s="73" t="s">
        <v>732</v>
      </c>
      <c r="D555" s="73" t="s">
        <v>733</v>
      </c>
      <c r="E555" s="79" t="s">
        <v>21</v>
      </c>
      <c r="F555" s="79" t="s">
        <v>7</v>
      </c>
      <c r="G555" s="79" t="s">
        <v>57</v>
      </c>
      <c r="H555" s="79" t="s">
        <v>736</v>
      </c>
      <c r="I555" s="79"/>
      <c r="J555" s="14" t="str">
        <f>IF(E555="Invalid_Segment","Invalid",IFERROR(INDEX(Severity_Matrix!$C$3:$M$10,MATCH('Error Log'!$F555,Severity_Matrix!$B$3:$B$10,0),MATCH('Error Log'!$G555,Severity_Matrix!$C$2:$M$2,0)),"No errors"))</f>
        <v>Critical</v>
      </c>
    </row>
    <row r="556" spans="1:10">
      <c r="A556" s="73" t="s">
        <v>731</v>
      </c>
      <c r="B556" s="17">
        <v>8</v>
      </c>
      <c r="C556" s="73" t="s">
        <v>732</v>
      </c>
      <c r="D556" s="73" t="s">
        <v>733</v>
      </c>
      <c r="E556" s="79" t="s">
        <v>21</v>
      </c>
      <c r="F556" s="79" t="s">
        <v>7</v>
      </c>
      <c r="G556" s="79" t="s">
        <v>57</v>
      </c>
      <c r="H556" s="79" t="s">
        <v>737</v>
      </c>
      <c r="I556" s="79"/>
      <c r="J556" s="14" t="str">
        <f>IF(E556="Invalid_Segment","Invalid",IFERROR(INDEX(Severity_Matrix!$C$3:$M$10,MATCH('Error Log'!$F556,Severity_Matrix!$B$3:$B$10,0),MATCH('Error Log'!$G556,Severity_Matrix!$C$2:$M$2,0)),"No errors"))</f>
        <v>Critical</v>
      </c>
    </row>
    <row r="557" spans="1:10">
      <c r="A557" s="73" t="s">
        <v>738</v>
      </c>
      <c r="B557" s="17">
        <v>1</v>
      </c>
      <c r="C557" s="73" t="s">
        <v>739</v>
      </c>
      <c r="D557" s="73" t="s">
        <v>740</v>
      </c>
      <c r="E557" s="79" t="s">
        <v>21</v>
      </c>
      <c r="F557" s="79" t="s">
        <v>22</v>
      </c>
      <c r="G557" s="79" t="s">
        <v>56</v>
      </c>
      <c r="H557" s="79" t="s">
        <v>741</v>
      </c>
      <c r="I557" s="79"/>
      <c r="J557" s="14" t="str">
        <f>IF(E557="Invalid_Segment","Invalid",IFERROR(INDEX(Severity_Matrix!$C$3:$M$10,MATCH('Error Log'!$F557,Severity_Matrix!$B$3:$B$10,0),MATCH('Error Log'!$G557,Severity_Matrix!$C$2:$M$2,0)),"No errors"))</f>
        <v>Critical</v>
      </c>
    </row>
    <row r="558" spans="1:10">
      <c r="A558" s="73" t="s">
        <v>738</v>
      </c>
      <c r="B558" s="17">
        <v>2</v>
      </c>
      <c r="C558" s="73" t="s">
        <v>742</v>
      </c>
      <c r="D558" s="73" t="s">
        <v>740</v>
      </c>
      <c r="E558" s="79" t="s">
        <v>21</v>
      </c>
      <c r="F558" s="79" t="s">
        <v>22</v>
      </c>
      <c r="G558" s="79" t="s">
        <v>55</v>
      </c>
      <c r="H558" s="79" t="s">
        <v>743</v>
      </c>
      <c r="I558" s="79"/>
      <c r="J558" s="14" t="str">
        <f>IF(E558="Invalid_Segment","Invalid",IFERROR(INDEX(Severity_Matrix!$C$3:$M$10,MATCH('Error Log'!$F558,Severity_Matrix!$B$3:$B$10,0),MATCH('Error Log'!$G558,Severity_Matrix!$C$2:$M$2,0)),"No errors"))</f>
        <v>Critical</v>
      </c>
    </row>
    <row r="559" spans="1:10">
      <c r="A559" s="73" t="s">
        <v>744</v>
      </c>
      <c r="B559" s="17">
        <v>3</v>
      </c>
      <c r="C559" s="73" t="s">
        <v>745</v>
      </c>
      <c r="D559" s="73" t="s">
        <v>740</v>
      </c>
      <c r="E559" s="79" t="s">
        <v>21</v>
      </c>
      <c r="F559" s="79" t="s">
        <v>63</v>
      </c>
      <c r="G559" s="79" t="s">
        <v>27</v>
      </c>
      <c r="H559" s="79" t="s">
        <v>303</v>
      </c>
      <c r="I559" s="79"/>
      <c r="J559" s="14" t="str">
        <f>IF(E559="Invalid_Segment","Invalid",IFERROR(INDEX(Severity_Matrix!$C$3:$M$10,MATCH('Error Log'!$F559,Severity_Matrix!$B$3:$B$10,0),MATCH('Error Log'!$G559,Severity_Matrix!$C$2:$M$2,0)),"No errors"))</f>
        <v>Critical</v>
      </c>
    </row>
    <row r="560" spans="1:10">
      <c r="A560" s="73" t="s">
        <v>744</v>
      </c>
      <c r="B560" s="17">
        <v>4</v>
      </c>
      <c r="C560" s="73" t="s">
        <v>746</v>
      </c>
      <c r="D560" s="73" t="s">
        <v>740</v>
      </c>
      <c r="E560" s="79" t="s">
        <v>21</v>
      </c>
      <c r="F560" s="79" t="s">
        <v>63</v>
      </c>
      <c r="G560" s="79" t="s">
        <v>27</v>
      </c>
      <c r="H560" s="79" t="s">
        <v>303</v>
      </c>
      <c r="I560" s="79"/>
      <c r="J560" s="14" t="str">
        <f>IF(E560="Invalid_Segment","Invalid",IFERROR(INDEX(Severity_Matrix!$C$3:$M$10,MATCH('Error Log'!$F560,Severity_Matrix!$B$3:$B$10,0),MATCH('Error Log'!$G560,Severity_Matrix!$C$2:$M$2,0)),"No errors"))</f>
        <v>Critical</v>
      </c>
    </row>
    <row r="561" spans="1:10">
      <c r="A561" s="73" t="s">
        <v>744</v>
      </c>
      <c r="B561" s="17">
        <v>5</v>
      </c>
      <c r="C561" s="73" t="s">
        <v>747</v>
      </c>
      <c r="D561" s="73" t="s">
        <v>740</v>
      </c>
      <c r="E561" s="79" t="s">
        <v>21</v>
      </c>
      <c r="F561" s="79" t="s">
        <v>22</v>
      </c>
      <c r="G561" s="79" t="s">
        <v>57</v>
      </c>
      <c r="H561" s="79" t="s">
        <v>748</v>
      </c>
      <c r="I561" s="79"/>
      <c r="J561" s="14" t="str">
        <f>IF(E561="Invalid_Segment","Invalid",IFERROR(INDEX(Severity_Matrix!$C$3:$M$10,MATCH('Error Log'!$F561,Severity_Matrix!$B$3:$B$10,0),MATCH('Error Log'!$G561,Severity_Matrix!$C$2:$M$2,0)),"No errors"))</f>
        <v>Major</v>
      </c>
    </row>
    <row r="562" spans="1:10">
      <c r="A562" s="73" t="s">
        <v>744</v>
      </c>
      <c r="B562" s="17">
        <v>6</v>
      </c>
      <c r="C562" s="73" t="s">
        <v>749</v>
      </c>
      <c r="D562" s="73" t="s">
        <v>740</v>
      </c>
      <c r="E562" s="79" t="s">
        <v>2</v>
      </c>
      <c r="F562" s="79" t="s">
        <v>26</v>
      </c>
      <c r="G562" s="79" t="s">
        <v>57</v>
      </c>
      <c r="H562" s="79" t="s">
        <v>748</v>
      </c>
      <c r="I562" s="79"/>
      <c r="J562" s="14" t="str">
        <f>IF(E562="Invalid_Segment","Invalid",IFERROR(INDEX(Severity_Matrix!$C$3:$M$10,MATCH('Error Log'!$F562,Severity_Matrix!$B$3:$B$10,0),MATCH('Error Log'!$G562,Severity_Matrix!$C$2:$M$2,0)),"No errors"))</f>
        <v>Major</v>
      </c>
    </row>
    <row r="563" spans="1:10">
      <c r="A563" s="73" t="s">
        <v>744</v>
      </c>
      <c r="B563" s="17">
        <v>7</v>
      </c>
      <c r="C563" s="73" t="s">
        <v>750</v>
      </c>
      <c r="D563" s="73" t="s">
        <v>740</v>
      </c>
      <c r="E563" s="79" t="s">
        <v>21</v>
      </c>
      <c r="F563" s="79" t="s">
        <v>22</v>
      </c>
      <c r="G563" s="79" t="s">
        <v>57</v>
      </c>
      <c r="H563" s="79" t="s">
        <v>751</v>
      </c>
      <c r="I563" s="79"/>
      <c r="J563" s="14" t="str">
        <f>IF(E563="Invalid_Segment","Invalid",IFERROR(INDEX(Severity_Matrix!$C$3:$M$10,MATCH('Error Log'!$F563,Severity_Matrix!$B$3:$B$10,0),MATCH('Error Log'!$G563,Severity_Matrix!$C$2:$M$2,0)),"No errors"))</f>
        <v>Major</v>
      </c>
    </row>
    <row r="564" spans="1:10">
      <c r="A564" s="73" t="s">
        <v>744</v>
      </c>
      <c r="B564" s="17">
        <v>8</v>
      </c>
      <c r="C564" s="73" t="s">
        <v>752</v>
      </c>
      <c r="D564" s="73" t="s">
        <v>740</v>
      </c>
      <c r="E564" s="79" t="s">
        <v>21</v>
      </c>
      <c r="F564" s="79" t="s">
        <v>7</v>
      </c>
      <c r="G564" s="79" t="s">
        <v>57</v>
      </c>
      <c r="H564" s="79" t="s">
        <v>753</v>
      </c>
      <c r="I564" s="79"/>
      <c r="J564" s="14" t="str">
        <f>IF(E564="Invalid_Segment","Invalid",IFERROR(INDEX(Severity_Matrix!$C$3:$M$10,MATCH('Error Log'!$F564,Severity_Matrix!$B$3:$B$10,0),MATCH('Error Log'!$G564,Severity_Matrix!$C$2:$M$2,0)),"No errors"))</f>
        <v>Critical</v>
      </c>
    </row>
    <row r="565" spans="1:10">
      <c r="A565" s="73" t="s">
        <v>744</v>
      </c>
      <c r="B565" s="17">
        <v>9</v>
      </c>
      <c r="C565" s="73" t="s">
        <v>754</v>
      </c>
      <c r="D565" s="73" t="s">
        <v>740</v>
      </c>
      <c r="E565" s="79" t="s">
        <v>21</v>
      </c>
      <c r="F565" s="79" t="s">
        <v>7</v>
      </c>
      <c r="G565" s="79" t="s">
        <v>57</v>
      </c>
      <c r="H565" s="79" t="s">
        <v>755</v>
      </c>
      <c r="I565" s="79"/>
      <c r="J565" s="14" t="str">
        <f>IF(E565="Invalid_Segment","Invalid",IFERROR(INDEX(Severity_Matrix!$C$3:$M$10,MATCH('Error Log'!$F565,Severity_Matrix!$B$3:$B$10,0),MATCH('Error Log'!$G565,Severity_Matrix!$C$2:$M$2,0)),"No errors"))</f>
        <v>Critical</v>
      </c>
    </row>
    <row r="566" spans="1:10">
      <c r="A566" s="73" t="s">
        <v>756</v>
      </c>
      <c r="B566" s="17">
        <v>1</v>
      </c>
      <c r="C566" s="73" t="s">
        <v>757</v>
      </c>
      <c r="D566" s="73" t="s">
        <v>758</v>
      </c>
      <c r="E566" s="79" t="s">
        <v>21</v>
      </c>
      <c r="F566" s="79" t="s">
        <v>63</v>
      </c>
      <c r="G566" s="79" t="s">
        <v>27</v>
      </c>
      <c r="H566" s="79" t="s">
        <v>303</v>
      </c>
      <c r="I566" s="79"/>
      <c r="J566" s="14" t="str">
        <f>IF(E566="Invalid_Segment","Invalid",IFERROR(INDEX(Severity_Matrix!$C$3:$M$10,MATCH('Error Log'!$F566,Severity_Matrix!$B$3:$B$10,0),MATCH('Error Log'!$G566,Severity_Matrix!$C$2:$M$2,0)),"No errors"))</f>
        <v>Critical</v>
      </c>
    </row>
    <row r="567" spans="1:10">
      <c r="A567" s="73" t="s">
        <v>756</v>
      </c>
      <c r="B567" s="17">
        <v>2</v>
      </c>
      <c r="C567" s="73" t="s">
        <v>757</v>
      </c>
      <c r="D567" s="73" t="s">
        <v>758</v>
      </c>
      <c r="E567" s="79" t="s">
        <v>2</v>
      </c>
      <c r="F567" s="79" t="s">
        <v>26</v>
      </c>
      <c r="G567" s="79" t="s">
        <v>57</v>
      </c>
      <c r="H567" s="79" t="s">
        <v>759</v>
      </c>
      <c r="I567" s="79"/>
      <c r="J567" s="14" t="str">
        <f>IF(E567="Invalid_Segment","Invalid",IFERROR(INDEX(Severity_Matrix!$C$3:$M$10,MATCH('Error Log'!$F567,Severity_Matrix!$B$3:$B$10,0),MATCH('Error Log'!$G567,Severity_Matrix!$C$2:$M$2,0)),"No errors"))</f>
        <v>Major</v>
      </c>
    </row>
    <row r="568" spans="1:10">
      <c r="A568" s="73" t="s">
        <v>760</v>
      </c>
      <c r="B568" s="17">
        <v>3</v>
      </c>
      <c r="C568" s="73" t="s">
        <v>757</v>
      </c>
      <c r="D568" s="73" t="s">
        <v>758</v>
      </c>
      <c r="E568" s="79" t="s">
        <v>21</v>
      </c>
      <c r="F568" s="79" t="s">
        <v>7</v>
      </c>
      <c r="G568" s="79" t="s">
        <v>57</v>
      </c>
      <c r="H568" s="79" t="s">
        <v>761</v>
      </c>
      <c r="I568" s="79"/>
      <c r="J568" s="14" t="str">
        <f>IF(E568="Invalid_Segment","Invalid",IFERROR(INDEX(Severity_Matrix!$C$3:$M$10,MATCH('Error Log'!$F568,Severity_Matrix!$B$3:$B$10,0),MATCH('Error Log'!$G568,Severity_Matrix!$C$2:$M$2,0)),"No errors"))</f>
        <v>Critical</v>
      </c>
    </row>
    <row r="569" spans="1:10">
      <c r="A569" s="73" t="s">
        <v>762</v>
      </c>
      <c r="B569" s="17">
        <v>1</v>
      </c>
      <c r="C569" s="73" t="s">
        <v>763</v>
      </c>
      <c r="D569" s="73" t="s">
        <v>764</v>
      </c>
      <c r="E569" s="79" t="s">
        <v>21</v>
      </c>
      <c r="F569" s="79" t="s">
        <v>64</v>
      </c>
      <c r="G569" s="79" t="s">
        <v>27</v>
      </c>
      <c r="H569" s="79" t="s">
        <v>765</v>
      </c>
      <c r="I569" s="79"/>
      <c r="J569" s="14" t="str">
        <f>IF(E569="Invalid_Segment","Invalid",IFERROR(INDEX(Severity_Matrix!$C$3:$M$10,MATCH('Error Log'!$F569,Severity_Matrix!$B$3:$B$10,0),MATCH('Error Log'!$G569,Severity_Matrix!$C$2:$M$2,0)),"No errors"))</f>
        <v>Critical</v>
      </c>
    </row>
    <row r="570" spans="1:10">
      <c r="A570" s="73" t="s">
        <v>762</v>
      </c>
      <c r="B570" s="17">
        <v>2</v>
      </c>
      <c r="C570" s="73" t="s">
        <v>763</v>
      </c>
      <c r="D570" s="73" t="s">
        <v>764</v>
      </c>
      <c r="E570" s="79" t="s">
        <v>2</v>
      </c>
      <c r="F570" s="79" t="s">
        <v>26</v>
      </c>
      <c r="G570" s="79" t="s">
        <v>57</v>
      </c>
      <c r="H570" s="79" t="s">
        <v>766</v>
      </c>
      <c r="I570" s="79"/>
      <c r="J570" s="14" t="str">
        <f>IF(E570="Invalid_Segment","Invalid",IFERROR(INDEX(Severity_Matrix!$C$3:$M$10,MATCH('Error Log'!$F570,Severity_Matrix!$B$3:$B$10,0),MATCH('Error Log'!$G570,Severity_Matrix!$C$2:$M$2,0)),"No errors"))</f>
        <v>Major</v>
      </c>
    </row>
    <row r="571" spans="1:10">
      <c r="A571" s="73" t="s">
        <v>767</v>
      </c>
      <c r="B571" s="17">
        <v>3</v>
      </c>
      <c r="C571" s="73" t="s">
        <v>763</v>
      </c>
      <c r="D571" s="73" t="s">
        <v>764</v>
      </c>
      <c r="E571" s="79" t="s">
        <v>21</v>
      </c>
      <c r="F571" s="79" t="s">
        <v>63</v>
      </c>
      <c r="G571" s="79" t="s">
        <v>27</v>
      </c>
      <c r="H571" s="79" t="s">
        <v>768</v>
      </c>
      <c r="I571" s="79"/>
      <c r="J571" s="14" t="str">
        <f>IF(E571="Invalid_Segment","Invalid",IFERROR(INDEX(Severity_Matrix!$C$3:$M$10,MATCH('Error Log'!$F571,Severity_Matrix!$B$3:$B$10,0),MATCH('Error Log'!$G571,Severity_Matrix!$C$2:$M$2,0)),"No errors"))</f>
        <v>Critical</v>
      </c>
    </row>
    <row r="572" spans="1:10">
      <c r="A572" s="73" t="s">
        <v>767</v>
      </c>
      <c r="B572" s="17">
        <v>4</v>
      </c>
      <c r="C572" s="73" t="s">
        <v>763</v>
      </c>
      <c r="D572" s="73" t="s">
        <v>764</v>
      </c>
      <c r="E572" s="79" t="s">
        <v>2</v>
      </c>
      <c r="F572" s="79" t="s">
        <v>26</v>
      </c>
      <c r="G572" s="79" t="s">
        <v>57</v>
      </c>
      <c r="H572" s="79" t="s">
        <v>769</v>
      </c>
      <c r="I572" s="79"/>
      <c r="J572" s="14" t="str">
        <f>IF(E572="Invalid_Segment","Invalid",IFERROR(INDEX(Severity_Matrix!$C$3:$M$10,MATCH('Error Log'!$F572,Severity_Matrix!$B$3:$B$10,0),MATCH('Error Log'!$G572,Severity_Matrix!$C$2:$M$2,0)),"No errors"))</f>
        <v>Major</v>
      </c>
    </row>
    <row r="573" spans="1:10">
      <c r="A573" s="73" t="s">
        <v>767</v>
      </c>
      <c r="B573" s="17">
        <v>5</v>
      </c>
      <c r="C573" s="73" t="s">
        <v>763</v>
      </c>
      <c r="D573" s="73" t="s">
        <v>764</v>
      </c>
      <c r="E573" s="79" t="s">
        <v>21</v>
      </c>
      <c r="F573" s="79" t="s">
        <v>7</v>
      </c>
      <c r="G573" s="79" t="s">
        <v>57</v>
      </c>
      <c r="H573" s="79" t="s">
        <v>770</v>
      </c>
      <c r="I573" s="79"/>
      <c r="J573" s="14" t="str">
        <f>IF(E573="Invalid_Segment","Invalid",IFERROR(INDEX(Severity_Matrix!$C$3:$M$10,MATCH('Error Log'!$F573,Severity_Matrix!$B$3:$B$10,0),MATCH('Error Log'!$G573,Severity_Matrix!$C$2:$M$2,0)),"No errors"))</f>
        <v>Critical</v>
      </c>
    </row>
    <row r="574" spans="1:10">
      <c r="A574" s="73" t="s">
        <v>767</v>
      </c>
      <c r="B574" s="17">
        <v>6</v>
      </c>
      <c r="C574" s="73" t="s">
        <v>763</v>
      </c>
      <c r="D574" s="73" t="s">
        <v>764</v>
      </c>
      <c r="E574" s="79" t="s">
        <v>21</v>
      </c>
      <c r="F574" s="79" t="s">
        <v>7</v>
      </c>
      <c r="G574" s="79" t="s">
        <v>57</v>
      </c>
      <c r="H574" s="79" t="s">
        <v>771</v>
      </c>
      <c r="I574" s="79"/>
      <c r="J574" s="14" t="str">
        <f>IF(E574="Invalid_Segment","Invalid",IFERROR(INDEX(Severity_Matrix!$C$3:$M$10,MATCH('Error Log'!$F574,Severity_Matrix!$B$3:$B$10,0),MATCH('Error Log'!$G574,Severity_Matrix!$C$2:$M$2,0)),"No errors"))</f>
        <v>Critical</v>
      </c>
    </row>
    <row r="575" spans="1:10">
      <c r="A575" s="73" t="s">
        <v>767</v>
      </c>
      <c r="B575" s="17">
        <v>7</v>
      </c>
      <c r="C575" s="73" t="s">
        <v>763</v>
      </c>
      <c r="D575" s="73" t="s">
        <v>764</v>
      </c>
      <c r="E575" s="79" t="s">
        <v>21</v>
      </c>
      <c r="F575" s="79" t="s">
        <v>7</v>
      </c>
      <c r="G575" s="79" t="s">
        <v>57</v>
      </c>
      <c r="H575" s="79" t="s">
        <v>772</v>
      </c>
      <c r="I575" s="79"/>
      <c r="J575" s="14" t="str">
        <f>IF(E575="Invalid_Segment","Invalid",IFERROR(INDEX(Severity_Matrix!$C$3:$M$10,MATCH('Error Log'!$F575,Severity_Matrix!$B$3:$B$10,0),MATCH('Error Log'!$G575,Severity_Matrix!$C$2:$M$2,0)),"No errors"))</f>
        <v>Critical</v>
      </c>
    </row>
    <row r="576" spans="1:10">
      <c r="A576" s="73" t="s">
        <v>773</v>
      </c>
      <c r="B576" s="17">
        <v>1</v>
      </c>
      <c r="C576" s="73" t="s">
        <v>774</v>
      </c>
      <c r="D576" s="73" t="s">
        <v>775</v>
      </c>
      <c r="E576" s="79" t="s">
        <v>21</v>
      </c>
      <c r="F576" s="79" t="s">
        <v>63</v>
      </c>
      <c r="G576" s="79" t="s">
        <v>27</v>
      </c>
      <c r="H576" s="79" t="s">
        <v>303</v>
      </c>
      <c r="I576" s="79"/>
      <c r="J576" s="14" t="str">
        <f>IF(E576="Invalid_Segment","Invalid",IFERROR(INDEX(Severity_Matrix!$C$3:$M$10,MATCH('Error Log'!$F576,Severity_Matrix!$B$3:$B$10,0),MATCH('Error Log'!$G576,Severity_Matrix!$C$2:$M$2,0)),"No errors"))</f>
        <v>Critical</v>
      </c>
    </row>
    <row r="577" spans="1:10">
      <c r="A577" s="73" t="s">
        <v>773</v>
      </c>
      <c r="B577" s="17">
        <v>2</v>
      </c>
      <c r="C577" s="73" t="s">
        <v>776</v>
      </c>
      <c r="D577" s="73" t="s">
        <v>775</v>
      </c>
      <c r="E577" s="79" t="s">
        <v>21</v>
      </c>
      <c r="F577" s="79" t="s">
        <v>64</v>
      </c>
      <c r="G577" s="79" t="s">
        <v>27</v>
      </c>
      <c r="H577" s="79" t="s">
        <v>777</v>
      </c>
      <c r="I577" s="79"/>
      <c r="J577" s="14" t="str">
        <f>IF(E577="Invalid_Segment","Invalid",IFERROR(INDEX(Severity_Matrix!$C$3:$M$10,MATCH('Error Log'!$F577,Severity_Matrix!$B$3:$B$10,0),MATCH('Error Log'!$G577,Severity_Matrix!$C$2:$M$2,0)),"No errors"))</f>
        <v>Critical</v>
      </c>
    </row>
    <row r="578" spans="1:10">
      <c r="A578" s="73" t="s">
        <v>778</v>
      </c>
      <c r="B578" s="17">
        <v>3</v>
      </c>
      <c r="C578" s="73" t="s">
        <v>779</v>
      </c>
      <c r="D578" s="73" t="s">
        <v>775</v>
      </c>
      <c r="E578" s="79" t="s">
        <v>21</v>
      </c>
      <c r="F578" s="79" t="s">
        <v>63</v>
      </c>
      <c r="G578" s="79" t="s">
        <v>27</v>
      </c>
      <c r="H578" s="79" t="s">
        <v>780</v>
      </c>
      <c r="I578" s="79"/>
      <c r="J578" s="14" t="str">
        <f>IF(E578="Invalid_Segment","Invalid",IFERROR(INDEX(Severity_Matrix!$C$3:$M$10,MATCH('Error Log'!$F578,Severity_Matrix!$B$3:$B$10,0),MATCH('Error Log'!$G578,Severity_Matrix!$C$2:$M$2,0)),"No errors"))</f>
        <v>Critical</v>
      </c>
    </row>
    <row r="579" spans="1:10">
      <c r="A579" s="73" t="s">
        <v>778</v>
      </c>
      <c r="B579" s="17">
        <v>4</v>
      </c>
      <c r="C579" s="73" t="s">
        <v>781</v>
      </c>
      <c r="D579" s="73" t="s">
        <v>775</v>
      </c>
      <c r="E579" s="79" t="s">
        <v>21</v>
      </c>
      <c r="F579" s="79" t="s">
        <v>64</v>
      </c>
      <c r="G579" s="79" t="s">
        <v>29</v>
      </c>
      <c r="H579" s="79" t="s">
        <v>782</v>
      </c>
      <c r="I579" s="79"/>
      <c r="J579" s="14" t="str">
        <f>IF(E579="Invalid_Segment","Invalid",IFERROR(INDEX(Severity_Matrix!$C$3:$M$10,MATCH('Error Log'!$F579,Severity_Matrix!$B$3:$B$10,0),MATCH('Error Log'!$G579,Severity_Matrix!$C$2:$M$2,0)),"No errors"))</f>
        <v>Critical</v>
      </c>
    </row>
    <row r="580" spans="1:10">
      <c r="A580" s="73" t="s">
        <v>778</v>
      </c>
      <c r="B580" s="17">
        <v>5</v>
      </c>
      <c r="C580" s="73" t="s">
        <v>783</v>
      </c>
      <c r="D580" s="73" t="s">
        <v>775</v>
      </c>
      <c r="E580" s="79" t="s">
        <v>2</v>
      </c>
      <c r="F580" s="79" t="s">
        <v>26</v>
      </c>
      <c r="G580" s="79" t="s">
        <v>57</v>
      </c>
      <c r="H580" s="79" t="s">
        <v>784</v>
      </c>
      <c r="I580" s="79"/>
      <c r="J580" s="14" t="str">
        <f>IF(E580="Invalid_Segment","Invalid",IFERROR(INDEX(Severity_Matrix!$C$3:$M$10,MATCH('Error Log'!$F580,Severity_Matrix!$B$3:$B$10,0),MATCH('Error Log'!$G580,Severity_Matrix!$C$2:$M$2,0)),"No errors"))</f>
        <v>Major</v>
      </c>
    </row>
    <row r="581" spans="1:10">
      <c r="A581" s="73" t="s">
        <v>778</v>
      </c>
      <c r="B581" s="17">
        <v>6</v>
      </c>
      <c r="C581" s="73" t="s">
        <v>785</v>
      </c>
      <c r="D581" s="73" t="s">
        <v>775</v>
      </c>
      <c r="E581" s="79" t="s">
        <v>21</v>
      </c>
      <c r="F581" s="79" t="s">
        <v>7</v>
      </c>
      <c r="G581" s="79" t="s">
        <v>57</v>
      </c>
      <c r="H581" s="79" t="s">
        <v>786</v>
      </c>
      <c r="I581" s="79"/>
      <c r="J581" s="14" t="str">
        <f>IF(E581="Invalid_Segment","Invalid",IFERROR(INDEX(Severity_Matrix!$C$3:$M$10,MATCH('Error Log'!$F581,Severity_Matrix!$B$3:$B$10,0),MATCH('Error Log'!$G581,Severity_Matrix!$C$2:$M$2,0)),"No errors"))</f>
        <v>Critical</v>
      </c>
    </row>
    <row r="582" spans="1:10">
      <c r="A582" s="73" t="s">
        <v>778</v>
      </c>
      <c r="B582" s="17">
        <v>7</v>
      </c>
      <c r="C582" s="73" t="s">
        <v>787</v>
      </c>
      <c r="D582" s="73" t="s">
        <v>775</v>
      </c>
      <c r="E582" s="79" t="s">
        <v>21</v>
      </c>
      <c r="F582" s="79" t="s">
        <v>7</v>
      </c>
      <c r="G582" s="79" t="s">
        <v>57</v>
      </c>
      <c r="H582" s="79" t="s">
        <v>788</v>
      </c>
      <c r="I582" s="79"/>
      <c r="J582" s="14" t="str">
        <f>IF(E582="Invalid_Segment","Invalid",IFERROR(INDEX(Severity_Matrix!$C$3:$M$10,MATCH('Error Log'!$F582,Severity_Matrix!$B$3:$B$10,0),MATCH('Error Log'!$G582,Severity_Matrix!$C$2:$M$2,0)),"No errors"))</f>
        <v>Critical</v>
      </c>
    </row>
    <row r="583" spans="1:10">
      <c r="A583" s="73" t="s">
        <v>778</v>
      </c>
      <c r="B583" s="17">
        <v>8</v>
      </c>
      <c r="C583" s="73" t="s">
        <v>789</v>
      </c>
      <c r="D583" s="73" t="s">
        <v>775</v>
      </c>
      <c r="E583" s="79" t="s">
        <v>21</v>
      </c>
      <c r="F583" s="79" t="s">
        <v>7</v>
      </c>
      <c r="G583" s="79" t="s">
        <v>57</v>
      </c>
      <c r="H583" s="79" t="s">
        <v>790</v>
      </c>
      <c r="I583" s="79"/>
      <c r="J583" s="14" t="str">
        <f>IF(E583="Invalid_Segment","Invalid",IFERROR(INDEX(Severity_Matrix!$C$3:$M$10,MATCH('Error Log'!$F583,Severity_Matrix!$B$3:$B$10,0),MATCH('Error Log'!$G583,Severity_Matrix!$C$2:$M$2,0)),"No errors"))</f>
        <v>Critical</v>
      </c>
    </row>
    <row r="584" spans="1:10">
      <c r="A584" s="73" t="s">
        <v>791</v>
      </c>
      <c r="B584" s="17">
        <v>1</v>
      </c>
      <c r="C584" s="73" t="s">
        <v>792</v>
      </c>
      <c r="D584" s="73" t="s">
        <v>793</v>
      </c>
      <c r="E584" s="79" t="s">
        <v>21</v>
      </c>
      <c r="F584" s="79" t="s">
        <v>63</v>
      </c>
      <c r="G584" s="79" t="s">
        <v>55</v>
      </c>
      <c r="H584" s="79" t="s">
        <v>794</v>
      </c>
      <c r="I584" s="79"/>
      <c r="J584" s="14" t="str">
        <f>IF(E584="Invalid_Segment","Invalid",IFERROR(INDEX(Severity_Matrix!$C$3:$M$10,MATCH('Error Log'!$F584,Severity_Matrix!$B$3:$B$10,0),MATCH('Error Log'!$G584,Severity_Matrix!$C$2:$M$2,0)),"No errors"))</f>
        <v>Critical</v>
      </c>
    </row>
    <row r="585" spans="1:10">
      <c r="A585" s="73" t="s">
        <v>791</v>
      </c>
      <c r="B585" s="17">
        <v>2</v>
      </c>
      <c r="C585" s="73" t="s">
        <v>795</v>
      </c>
      <c r="D585" s="73" t="s">
        <v>796</v>
      </c>
      <c r="E585" s="79" t="s">
        <v>21</v>
      </c>
      <c r="F585" s="79" t="s">
        <v>64</v>
      </c>
      <c r="G585" s="79" t="s">
        <v>28</v>
      </c>
      <c r="H585" s="79" t="s">
        <v>141</v>
      </c>
      <c r="I585" s="79"/>
      <c r="J585" s="14" t="str">
        <f>IF(E585="Invalid_Segment","Invalid",IFERROR(INDEX(Severity_Matrix!$C$3:$M$10,MATCH('Error Log'!$F585,Severity_Matrix!$B$3:$B$10,0),MATCH('Error Log'!$G585,Severity_Matrix!$C$2:$M$2,0)),"No errors"))</f>
        <v>Critical</v>
      </c>
    </row>
    <row r="586" spans="1:10">
      <c r="A586" s="73" t="s">
        <v>797</v>
      </c>
      <c r="B586" s="17">
        <v>3</v>
      </c>
      <c r="C586" s="73" t="s">
        <v>798</v>
      </c>
      <c r="D586" s="73" t="s">
        <v>799</v>
      </c>
      <c r="E586" s="79" t="s">
        <v>21</v>
      </c>
      <c r="F586" s="79" t="s">
        <v>64</v>
      </c>
      <c r="G586" s="79" t="s">
        <v>27</v>
      </c>
      <c r="H586" s="79" t="s">
        <v>800</v>
      </c>
      <c r="I586" s="79"/>
      <c r="J586" s="14" t="str">
        <f>IF(E586="Invalid_Segment","Invalid",IFERROR(INDEX(Severity_Matrix!$C$3:$M$10,MATCH('Error Log'!$F586,Severity_Matrix!$B$3:$B$10,0),MATCH('Error Log'!$G586,Severity_Matrix!$C$2:$M$2,0)),"No errors"))</f>
        <v>Critical</v>
      </c>
    </row>
    <row r="587" spans="1:10">
      <c r="A587" s="73" t="s">
        <v>797</v>
      </c>
      <c r="B587" s="17">
        <v>4</v>
      </c>
      <c r="C587" s="73" t="s">
        <v>801</v>
      </c>
      <c r="D587" s="73" t="s">
        <v>802</v>
      </c>
      <c r="E587" s="79" t="s">
        <v>21</v>
      </c>
      <c r="F587" s="79" t="s">
        <v>64</v>
      </c>
      <c r="G587" s="79" t="s">
        <v>29</v>
      </c>
      <c r="H587" s="79" t="s">
        <v>730</v>
      </c>
      <c r="I587" s="79"/>
      <c r="J587" s="14" t="str">
        <f>IF(E587="Invalid_Segment","Invalid",IFERROR(INDEX(Severity_Matrix!$C$3:$M$10,MATCH('Error Log'!$F587,Severity_Matrix!$B$3:$B$10,0),MATCH('Error Log'!$G587,Severity_Matrix!$C$2:$M$2,0)),"No errors"))</f>
        <v>Critical</v>
      </c>
    </row>
    <row r="588" spans="1:10">
      <c r="A588" s="73" t="s">
        <v>797</v>
      </c>
      <c r="B588" s="17">
        <v>5</v>
      </c>
      <c r="C588" s="73" t="s">
        <v>803</v>
      </c>
      <c r="D588" s="73" t="s">
        <v>804</v>
      </c>
      <c r="E588" s="79" t="s">
        <v>21</v>
      </c>
      <c r="F588" s="79" t="s">
        <v>63</v>
      </c>
      <c r="G588" s="79" t="s">
        <v>58</v>
      </c>
      <c r="H588" s="79" t="s">
        <v>167</v>
      </c>
      <c r="I588" s="79"/>
      <c r="J588" s="14" t="str">
        <f>IF(E588="Invalid_Segment","Invalid",IFERROR(INDEX(Severity_Matrix!$C$3:$M$10,MATCH('Error Log'!$F588,Severity_Matrix!$B$3:$B$10,0),MATCH('Error Log'!$G588,Severity_Matrix!$C$2:$M$2,0)),"No errors"))</f>
        <v>Minor</v>
      </c>
    </row>
    <row r="589" spans="1:10">
      <c r="A589" s="73" t="s">
        <v>797</v>
      </c>
      <c r="B589" s="17">
        <v>6</v>
      </c>
      <c r="C589" s="73" t="s">
        <v>805</v>
      </c>
      <c r="D589" s="73" t="s">
        <v>806</v>
      </c>
      <c r="E589" s="79" t="s">
        <v>21</v>
      </c>
      <c r="F589" s="79" t="s">
        <v>63</v>
      </c>
      <c r="G589" s="79" t="s">
        <v>58</v>
      </c>
      <c r="H589" s="79" t="s">
        <v>203</v>
      </c>
      <c r="I589" s="79"/>
      <c r="J589" s="14" t="str">
        <f>IF(E589="Invalid_Segment","Invalid",IFERROR(INDEX(Severity_Matrix!$C$3:$M$10,MATCH('Error Log'!$F589,Severity_Matrix!$B$3:$B$10,0),MATCH('Error Log'!$G589,Severity_Matrix!$C$2:$M$2,0)),"No errors"))</f>
        <v>Minor</v>
      </c>
    </row>
    <row r="590" spans="1:10">
      <c r="A590" s="73" t="s">
        <v>797</v>
      </c>
      <c r="B590" s="17">
        <v>7</v>
      </c>
      <c r="C590" s="73" t="s">
        <v>807</v>
      </c>
      <c r="D590" s="73" t="s">
        <v>808</v>
      </c>
      <c r="E590" s="79" t="s">
        <v>21</v>
      </c>
      <c r="F590" s="79" t="s">
        <v>63</v>
      </c>
      <c r="G590" s="79" t="s">
        <v>58</v>
      </c>
      <c r="H590" s="79" t="s">
        <v>317</v>
      </c>
      <c r="I590" s="79"/>
      <c r="J590" s="14" t="str">
        <f>IF(E590="Invalid_Segment","Invalid",IFERROR(INDEX(Severity_Matrix!$C$3:$M$10,MATCH('Error Log'!$F590,Severity_Matrix!$B$3:$B$10,0),MATCH('Error Log'!$G590,Severity_Matrix!$C$2:$M$2,0)),"No errors"))</f>
        <v>Minor</v>
      </c>
    </row>
    <row r="591" spans="1:10">
      <c r="A591" s="73" t="s">
        <v>797</v>
      </c>
      <c r="B591" s="17">
        <v>8</v>
      </c>
      <c r="C591" s="73" t="s">
        <v>809</v>
      </c>
      <c r="D591" s="73" t="s">
        <v>810</v>
      </c>
      <c r="E591" s="79" t="s">
        <v>21</v>
      </c>
      <c r="F591" s="79" t="s">
        <v>63</v>
      </c>
      <c r="G591" s="79" t="s">
        <v>55</v>
      </c>
      <c r="H591" s="79" t="s">
        <v>811</v>
      </c>
      <c r="I591" s="79"/>
      <c r="J591" s="14" t="str">
        <f>IF(E591="Invalid_Segment","Invalid",IFERROR(INDEX(Severity_Matrix!$C$3:$M$10,MATCH('Error Log'!$F591,Severity_Matrix!$B$3:$B$10,0),MATCH('Error Log'!$G591,Severity_Matrix!$C$2:$M$2,0)),"No errors"))</f>
        <v>Critical</v>
      </c>
    </row>
    <row r="592" spans="1:10">
      <c r="A592" s="73" t="s">
        <v>797</v>
      </c>
      <c r="B592" s="17">
        <v>9</v>
      </c>
      <c r="C592" s="73" t="s">
        <v>812</v>
      </c>
      <c r="D592" s="73" t="s">
        <v>813</v>
      </c>
      <c r="E592" s="79" t="s">
        <v>2</v>
      </c>
      <c r="F592" s="79" t="s">
        <v>26</v>
      </c>
      <c r="G592" s="79" t="s">
        <v>57</v>
      </c>
      <c r="H592" s="79" t="s">
        <v>814</v>
      </c>
      <c r="I592" s="79"/>
      <c r="J592" s="14" t="str">
        <f>IF(E592="Invalid_Segment","Invalid",IFERROR(INDEX(Severity_Matrix!$C$3:$M$10,MATCH('Error Log'!$F592,Severity_Matrix!$B$3:$B$10,0),MATCH('Error Log'!$G592,Severity_Matrix!$C$2:$M$2,0)),"No errors"))</f>
        <v>Major</v>
      </c>
    </row>
    <row r="593" spans="1:10">
      <c r="A593" s="73" t="s">
        <v>797</v>
      </c>
      <c r="B593" s="17">
        <v>10</v>
      </c>
      <c r="C593" s="73" t="s">
        <v>815</v>
      </c>
      <c r="D593" s="73" t="s">
        <v>816</v>
      </c>
      <c r="E593" s="79" t="s">
        <v>21</v>
      </c>
      <c r="F593" s="79" t="s">
        <v>7</v>
      </c>
      <c r="G593" s="79" t="s">
        <v>57</v>
      </c>
      <c r="H593" s="79" t="s">
        <v>817</v>
      </c>
      <c r="I593" s="79"/>
      <c r="J593" s="14" t="str">
        <f>IF(E593="Invalid_Segment","Invalid",IFERROR(INDEX(Severity_Matrix!$C$3:$M$10,MATCH('Error Log'!$F593,Severity_Matrix!$B$3:$B$10,0),MATCH('Error Log'!$G593,Severity_Matrix!$C$2:$M$2,0)),"No errors"))</f>
        <v>Critical</v>
      </c>
    </row>
    <row r="594" spans="1:10">
      <c r="A594" s="73" t="s">
        <v>797</v>
      </c>
      <c r="B594" s="17">
        <v>11</v>
      </c>
      <c r="C594" s="73" t="s">
        <v>818</v>
      </c>
      <c r="D594" s="73" t="s">
        <v>819</v>
      </c>
      <c r="E594" s="79" t="s">
        <v>21</v>
      </c>
      <c r="F594" s="79" t="s">
        <v>7</v>
      </c>
      <c r="G594" s="79" t="s">
        <v>57</v>
      </c>
      <c r="H594" s="79" t="s">
        <v>820</v>
      </c>
      <c r="I594" s="79"/>
      <c r="J594" s="14" t="str">
        <f>IF(E594="Invalid_Segment","Invalid",IFERROR(INDEX(Severity_Matrix!$C$3:$M$10,MATCH('Error Log'!$F594,Severity_Matrix!$B$3:$B$10,0),MATCH('Error Log'!$G594,Severity_Matrix!$C$2:$M$2,0)),"No errors"))</f>
        <v>Critical</v>
      </c>
    </row>
    <row r="595" spans="1:10">
      <c r="A595" s="73" t="s">
        <v>821</v>
      </c>
      <c r="B595" s="17">
        <v>1</v>
      </c>
      <c r="C595" s="73" t="s">
        <v>822</v>
      </c>
      <c r="D595" s="73" t="s">
        <v>823</v>
      </c>
      <c r="E595" s="79" t="s">
        <v>21</v>
      </c>
      <c r="F595" s="79" t="s">
        <v>64</v>
      </c>
      <c r="G595" s="79" t="s">
        <v>27</v>
      </c>
      <c r="H595" s="79" t="s">
        <v>824</v>
      </c>
      <c r="I595" s="79"/>
      <c r="J595" s="14" t="str">
        <f>IF(E595="Invalid_Segment","Invalid",IFERROR(INDEX(Severity_Matrix!$C$3:$M$10,MATCH('Error Log'!$F595,Severity_Matrix!$B$3:$B$10,0),MATCH('Error Log'!$G595,Severity_Matrix!$C$2:$M$2,0)),"No errors"))</f>
        <v>Critical</v>
      </c>
    </row>
    <row r="596" spans="1:10">
      <c r="A596" s="73" t="s">
        <v>821</v>
      </c>
      <c r="B596" s="17">
        <v>2</v>
      </c>
      <c r="C596" s="73" t="s">
        <v>825</v>
      </c>
      <c r="D596" s="73" t="s">
        <v>823</v>
      </c>
      <c r="E596" s="79" t="s">
        <v>21</v>
      </c>
      <c r="F596" s="79" t="s">
        <v>64</v>
      </c>
      <c r="G596" s="79" t="s">
        <v>54</v>
      </c>
      <c r="H596" s="79" t="s">
        <v>826</v>
      </c>
      <c r="I596" s="79"/>
      <c r="J596" s="14" t="str">
        <f>IF(E596="Invalid_Segment","Invalid",IFERROR(INDEX(Severity_Matrix!$C$3:$M$10,MATCH('Error Log'!$F596,Severity_Matrix!$B$3:$B$10,0),MATCH('Error Log'!$G596,Severity_Matrix!$C$2:$M$2,0)),"No errors"))</f>
        <v>Critical</v>
      </c>
    </row>
    <row r="597" spans="1:10">
      <c r="A597" s="73" t="s">
        <v>827</v>
      </c>
      <c r="B597" s="17">
        <v>3</v>
      </c>
      <c r="C597" s="73" t="s">
        <v>828</v>
      </c>
      <c r="D597" s="73" t="s">
        <v>823</v>
      </c>
      <c r="E597" s="79" t="s">
        <v>21</v>
      </c>
      <c r="F597" s="79" t="s">
        <v>64</v>
      </c>
      <c r="G597" s="79" t="s">
        <v>27</v>
      </c>
      <c r="H597" s="79" t="s">
        <v>829</v>
      </c>
      <c r="I597" s="79"/>
      <c r="J597" s="14" t="str">
        <f>IF(E597="Invalid_Segment","Invalid",IFERROR(INDEX(Severity_Matrix!$C$3:$M$10,MATCH('Error Log'!$F597,Severity_Matrix!$B$3:$B$10,0),MATCH('Error Log'!$G597,Severity_Matrix!$C$2:$M$2,0)),"No errors"))</f>
        <v>Critical</v>
      </c>
    </row>
    <row r="598" spans="1:10">
      <c r="A598" s="73" t="s">
        <v>827</v>
      </c>
      <c r="B598" s="17">
        <v>4</v>
      </c>
      <c r="C598" s="73" t="s">
        <v>830</v>
      </c>
      <c r="D598" s="73" t="s">
        <v>823</v>
      </c>
      <c r="E598" s="79" t="s">
        <v>21</v>
      </c>
      <c r="F598" s="79" t="s">
        <v>22</v>
      </c>
      <c r="G598" s="79" t="s">
        <v>56</v>
      </c>
      <c r="H598" s="79" t="s">
        <v>831</v>
      </c>
      <c r="I598" s="79"/>
      <c r="J598" s="14" t="str">
        <f>IF(E598="Invalid_Segment","Invalid",IFERROR(INDEX(Severity_Matrix!$C$3:$M$10,MATCH('Error Log'!$F598,Severity_Matrix!$B$3:$B$10,0),MATCH('Error Log'!$G598,Severity_Matrix!$C$2:$M$2,0)),"No errors"))</f>
        <v>Critical</v>
      </c>
    </row>
    <row r="599" spans="1:10">
      <c r="A599" s="73" t="s">
        <v>827</v>
      </c>
      <c r="B599" s="17">
        <v>5</v>
      </c>
      <c r="C599" s="73" t="s">
        <v>832</v>
      </c>
      <c r="D599" s="73" t="s">
        <v>823</v>
      </c>
      <c r="E599" s="79" t="s">
        <v>21</v>
      </c>
      <c r="F599" s="79" t="s">
        <v>22</v>
      </c>
      <c r="G599" s="79" t="s">
        <v>57</v>
      </c>
      <c r="H599" s="79" t="s">
        <v>833</v>
      </c>
      <c r="I599" s="79"/>
      <c r="J599" s="14" t="str">
        <f>IF(E599="Invalid_Segment","Invalid",IFERROR(INDEX(Severity_Matrix!$C$3:$M$10,MATCH('Error Log'!$F599,Severity_Matrix!$B$3:$B$10,0),MATCH('Error Log'!$G599,Severity_Matrix!$C$2:$M$2,0)),"No errors"))</f>
        <v>Major</v>
      </c>
    </row>
    <row r="600" spans="1:10">
      <c r="A600" s="73" t="s">
        <v>827</v>
      </c>
      <c r="B600" s="17">
        <v>6</v>
      </c>
      <c r="C600" s="73" t="s">
        <v>834</v>
      </c>
      <c r="D600" s="73" t="s">
        <v>823</v>
      </c>
      <c r="E600" s="79" t="s">
        <v>21</v>
      </c>
      <c r="F600" s="79" t="s">
        <v>22</v>
      </c>
      <c r="G600" s="79" t="s">
        <v>57</v>
      </c>
      <c r="H600" s="79" t="s">
        <v>835</v>
      </c>
      <c r="I600" s="79"/>
      <c r="J600" s="14" t="str">
        <f>IF(E600="Invalid_Segment","Invalid",IFERROR(INDEX(Severity_Matrix!$C$3:$M$10,MATCH('Error Log'!$F600,Severity_Matrix!$B$3:$B$10,0),MATCH('Error Log'!$G600,Severity_Matrix!$C$2:$M$2,0)),"No errors"))</f>
        <v>Major</v>
      </c>
    </row>
    <row r="601" spans="1:10">
      <c r="A601" s="73" t="s">
        <v>827</v>
      </c>
      <c r="B601" s="17">
        <v>7</v>
      </c>
      <c r="C601" s="73" t="s">
        <v>836</v>
      </c>
      <c r="D601" s="73" t="s">
        <v>823</v>
      </c>
      <c r="E601" s="79" t="s">
        <v>21</v>
      </c>
      <c r="F601" s="79" t="s">
        <v>22</v>
      </c>
      <c r="G601" s="79" t="s">
        <v>57</v>
      </c>
      <c r="H601" s="79" t="s">
        <v>837</v>
      </c>
      <c r="I601" s="79"/>
      <c r="J601" s="14" t="str">
        <f>IF(E601="Invalid_Segment","Invalid",IFERROR(INDEX(Severity_Matrix!$C$3:$M$10,MATCH('Error Log'!$F601,Severity_Matrix!$B$3:$B$10,0),MATCH('Error Log'!$G601,Severity_Matrix!$C$2:$M$2,0)),"No errors"))</f>
        <v>Major</v>
      </c>
    </row>
    <row r="602" spans="1:10">
      <c r="A602" s="73" t="s">
        <v>827</v>
      </c>
      <c r="B602" s="17">
        <v>8</v>
      </c>
      <c r="C602" s="73" t="s">
        <v>838</v>
      </c>
      <c r="D602" s="73" t="s">
        <v>823</v>
      </c>
      <c r="E602" s="79" t="s">
        <v>21</v>
      </c>
      <c r="F602" s="79" t="s">
        <v>7</v>
      </c>
      <c r="G602" s="79" t="s">
        <v>57</v>
      </c>
      <c r="H602" s="79" t="s">
        <v>839</v>
      </c>
      <c r="I602" s="79"/>
      <c r="J602" s="14" t="str">
        <f>IF(E602="Invalid_Segment","Invalid",IFERROR(INDEX(Severity_Matrix!$C$3:$M$10,MATCH('Error Log'!$F602,Severity_Matrix!$B$3:$B$10,0),MATCH('Error Log'!$G602,Severity_Matrix!$C$2:$M$2,0)),"No errors"))</f>
        <v>Critical</v>
      </c>
    </row>
    <row r="603" spans="1:10">
      <c r="A603" s="73" t="s">
        <v>827</v>
      </c>
      <c r="B603" s="17">
        <v>9</v>
      </c>
      <c r="C603" s="73" t="s">
        <v>840</v>
      </c>
      <c r="D603" s="73" t="s">
        <v>823</v>
      </c>
      <c r="E603" s="79" t="s">
        <v>21</v>
      </c>
      <c r="F603" s="79" t="s">
        <v>7</v>
      </c>
      <c r="G603" s="79" t="s">
        <v>57</v>
      </c>
      <c r="H603" s="79" t="s">
        <v>841</v>
      </c>
      <c r="I603" s="79"/>
      <c r="J603" s="14" t="str">
        <f>IF(E603="Invalid_Segment","Invalid",IFERROR(INDEX(Severity_Matrix!$C$3:$M$10,MATCH('Error Log'!$F603,Severity_Matrix!$B$3:$B$10,0),MATCH('Error Log'!$G603,Severity_Matrix!$C$2:$M$2,0)),"No errors"))</f>
        <v>Critical</v>
      </c>
    </row>
    <row r="604" spans="1:10">
      <c r="A604" s="73" t="s">
        <v>842</v>
      </c>
      <c r="B604" s="17">
        <v>1</v>
      </c>
      <c r="C604" s="73" t="s">
        <v>843</v>
      </c>
      <c r="D604" s="73" t="s">
        <v>844</v>
      </c>
      <c r="E604" s="79" t="s">
        <v>21</v>
      </c>
      <c r="F604" s="79" t="s">
        <v>22</v>
      </c>
      <c r="G604" s="79" t="s">
        <v>57</v>
      </c>
      <c r="H604" s="79" t="s">
        <v>845</v>
      </c>
      <c r="I604" s="79"/>
      <c r="J604" s="14" t="str">
        <f>IF(E604="Invalid_Segment","Invalid",IFERROR(INDEX(Severity_Matrix!$C$3:$M$10,MATCH('Error Log'!$F604,Severity_Matrix!$B$3:$B$10,0),MATCH('Error Log'!$G604,Severity_Matrix!$C$2:$M$2,0)),"No errors"))</f>
        <v>Major</v>
      </c>
    </row>
    <row r="605" spans="1:10">
      <c r="A605" s="73" t="s">
        <v>842</v>
      </c>
      <c r="B605" s="17">
        <v>2</v>
      </c>
      <c r="C605" s="73" t="s">
        <v>846</v>
      </c>
      <c r="D605" s="73" t="s">
        <v>844</v>
      </c>
      <c r="E605" s="79" t="s">
        <v>21</v>
      </c>
      <c r="F605" s="79" t="s">
        <v>7</v>
      </c>
      <c r="G605" s="79" t="s">
        <v>57</v>
      </c>
      <c r="H605" s="79" t="s">
        <v>847</v>
      </c>
      <c r="I605" s="79"/>
      <c r="J605" s="14" t="str">
        <f>IF(E605="Invalid_Segment","Invalid",IFERROR(INDEX(Severity_Matrix!$C$3:$M$10,MATCH('Error Log'!$F605,Severity_Matrix!$B$3:$B$10,0),MATCH('Error Log'!$G605,Severity_Matrix!$C$2:$M$2,0)),"No errors"))</f>
        <v>Critical</v>
      </c>
    </row>
    <row r="606" spans="1:10">
      <c r="A606" s="73" t="s">
        <v>848</v>
      </c>
      <c r="B606" s="17">
        <v>3</v>
      </c>
      <c r="C606" s="73" t="s">
        <v>849</v>
      </c>
      <c r="D606" s="73" t="s">
        <v>844</v>
      </c>
      <c r="E606" s="79" t="s">
        <v>21</v>
      </c>
      <c r="F606" s="79" t="s">
        <v>7</v>
      </c>
      <c r="G606" s="79" t="s">
        <v>57</v>
      </c>
      <c r="H606" s="79" t="s">
        <v>850</v>
      </c>
      <c r="I606" s="79"/>
      <c r="J606" s="14" t="str">
        <f>IF(E606="Invalid_Segment","Invalid",IFERROR(INDEX(Severity_Matrix!$C$3:$M$10,MATCH('Error Log'!$F606,Severity_Matrix!$B$3:$B$10,0),MATCH('Error Log'!$G606,Severity_Matrix!$C$2:$M$2,0)),"No errors"))</f>
        <v>Critical</v>
      </c>
    </row>
    <row r="607" spans="1:10">
      <c r="A607" s="73" t="s">
        <v>851</v>
      </c>
      <c r="B607" s="17">
        <v>1</v>
      </c>
      <c r="C607" s="73" t="s">
        <v>852</v>
      </c>
      <c r="D607" s="73" t="s">
        <v>853</v>
      </c>
      <c r="E607" s="79" t="s">
        <v>21</v>
      </c>
      <c r="F607" s="79" t="s">
        <v>63</v>
      </c>
      <c r="G607" s="79" t="s">
        <v>27</v>
      </c>
      <c r="H607" s="79" t="s">
        <v>303</v>
      </c>
      <c r="I607" s="79"/>
      <c r="J607" s="14" t="str">
        <f>IF(E607="Invalid_Segment","Invalid",IFERROR(INDEX(Severity_Matrix!$C$3:$M$10,MATCH('Error Log'!$F607,Severity_Matrix!$B$3:$B$10,0),MATCH('Error Log'!$G607,Severity_Matrix!$C$2:$M$2,0)),"No errors"))</f>
        <v>Critical</v>
      </c>
    </row>
    <row r="608" spans="1:10">
      <c r="A608" s="73" t="s">
        <v>851</v>
      </c>
      <c r="B608" s="17">
        <v>2</v>
      </c>
      <c r="C608" s="73" t="s">
        <v>854</v>
      </c>
      <c r="D608" s="73" t="s">
        <v>853</v>
      </c>
      <c r="E608" s="79" t="s">
        <v>21</v>
      </c>
      <c r="F608" s="79" t="s">
        <v>63</v>
      </c>
      <c r="G608" s="79" t="s">
        <v>27</v>
      </c>
      <c r="H608" s="79" t="s">
        <v>303</v>
      </c>
      <c r="I608" s="79"/>
      <c r="J608" s="14" t="str">
        <f>IF(E608="Invalid_Segment","Invalid",IFERROR(INDEX(Severity_Matrix!$C$3:$M$10,MATCH('Error Log'!$F608,Severity_Matrix!$B$3:$B$10,0),MATCH('Error Log'!$G608,Severity_Matrix!$C$2:$M$2,0)),"No errors"))</f>
        <v>Critical</v>
      </c>
    </row>
    <row r="609" spans="1:10">
      <c r="A609" s="73" t="s">
        <v>855</v>
      </c>
      <c r="B609" s="17">
        <v>3</v>
      </c>
      <c r="C609" s="73" t="s">
        <v>856</v>
      </c>
      <c r="D609" s="73" t="s">
        <v>853</v>
      </c>
      <c r="E609" s="79" t="s">
        <v>21</v>
      </c>
      <c r="F609" s="79" t="s">
        <v>63</v>
      </c>
      <c r="G609" s="79" t="s">
        <v>27</v>
      </c>
      <c r="H609" s="79" t="s">
        <v>303</v>
      </c>
      <c r="I609" s="79"/>
      <c r="J609" s="14" t="str">
        <f>IF(E609="Invalid_Segment","Invalid",IFERROR(INDEX(Severity_Matrix!$C$3:$M$10,MATCH('Error Log'!$F609,Severity_Matrix!$B$3:$B$10,0),MATCH('Error Log'!$G609,Severity_Matrix!$C$2:$M$2,0)),"No errors"))</f>
        <v>Critical</v>
      </c>
    </row>
    <row r="610" spans="1:10">
      <c r="A610" s="73" t="s">
        <v>855</v>
      </c>
      <c r="B610" s="17">
        <v>4</v>
      </c>
      <c r="C610" s="73" t="s">
        <v>857</v>
      </c>
      <c r="D610" s="73" t="s">
        <v>853</v>
      </c>
      <c r="E610" s="79" t="s">
        <v>2</v>
      </c>
      <c r="F610" s="79" t="s">
        <v>26</v>
      </c>
      <c r="G610" s="79" t="s">
        <v>57</v>
      </c>
      <c r="H610" s="79" t="s">
        <v>858</v>
      </c>
      <c r="I610" s="79"/>
      <c r="J610" s="14" t="str">
        <f>IF(E610="Invalid_Segment","Invalid",IFERROR(INDEX(Severity_Matrix!$C$3:$M$10,MATCH('Error Log'!$F610,Severity_Matrix!$B$3:$B$10,0),MATCH('Error Log'!$G610,Severity_Matrix!$C$2:$M$2,0)),"No errors"))</f>
        <v>Major</v>
      </c>
    </row>
    <row r="611" spans="1:10">
      <c r="A611" s="73" t="s">
        <v>855</v>
      </c>
      <c r="B611" s="17">
        <v>5</v>
      </c>
      <c r="C611" s="73" t="s">
        <v>859</v>
      </c>
      <c r="D611" s="73" t="s">
        <v>853</v>
      </c>
      <c r="E611" s="85" t="s">
        <v>21</v>
      </c>
      <c r="F611" s="85" t="s">
        <v>7</v>
      </c>
      <c r="G611" s="85" t="s">
        <v>57</v>
      </c>
      <c r="H611" s="85" t="s">
        <v>860</v>
      </c>
      <c r="I611" s="79"/>
      <c r="J611" s="14" t="str">
        <f>IF(E611="Invalid_Segment","Invalid",IFERROR(INDEX(Severity_Matrix!$C$3:$M$10,MATCH('Error Log'!$F611,Severity_Matrix!$B$3:$B$10,0),MATCH('Error Log'!$G611,Severity_Matrix!$C$2:$M$2,0)),"No errors"))</f>
        <v>Critical</v>
      </c>
    </row>
    <row r="612" spans="1:10">
      <c r="A612" s="74" t="s">
        <v>861</v>
      </c>
      <c r="B612" s="17">
        <v>1</v>
      </c>
      <c r="C612" s="83" t="s">
        <v>862</v>
      </c>
      <c r="D612" s="83" t="s">
        <v>863</v>
      </c>
      <c r="E612" s="79" t="s">
        <v>21</v>
      </c>
      <c r="F612" s="79" t="s">
        <v>63</v>
      </c>
      <c r="G612" s="79" t="s">
        <v>27</v>
      </c>
      <c r="H612" s="79" t="s">
        <v>303</v>
      </c>
      <c r="I612" s="79"/>
      <c r="J612" s="14" t="str">
        <f>IF(E612="Invalid_Segment","Invalid",IFERROR(INDEX(Severity_Matrix!$C$3:$M$10,MATCH('Error Log'!$F612,Severity_Matrix!$B$3:$B$10,0),MATCH('Error Log'!$G612,Severity_Matrix!$C$2:$M$2,0)),"No errors"))</f>
        <v>Critical</v>
      </c>
    </row>
    <row r="613" spans="1:10">
      <c r="A613" s="74" t="s">
        <v>861</v>
      </c>
      <c r="B613" s="17">
        <v>2</v>
      </c>
      <c r="C613" s="83" t="s">
        <v>864</v>
      </c>
      <c r="D613" s="83" t="s">
        <v>865</v>
      </c>
      <c r="E613" s="79" t="s">
        <v>21</v>
      </c>
      <c r="F613" s="79" t="s">
        <v>63</v>
      </c>
      <c r="G613" s="79" t="s">
        <v>27</v>
      </c>
      <c r="H613" s="79" t="s">
        <v>303</v>
      </c>
      <c r="I613" s="79"/>
      <c r="J613" s="14" t="str">
        <f>IF(E613="Invalid_Segment","Invalid",IFERROR(INDEX(Severity_Matrix!$C$3:$M$10,MATCH('Error Log'!$F613,Severity_Matrix!$B$3:$B$10,0),MATCH('Error Log'!$G613,Severity_Matrix!$C$2:$M$2,0)),"No errors"))</f>
        <v>Critical</v>
      </c>
    </row>
    <row r="614" spans="1:10">
      <c r="A614" s="74" t="s">
        <v>866</v>
      </c>
      <c r="B614" s="17">
        <v>3</v>
      </c>
      <c r="C614" s="83" t="s">
        <v>867</v>
      </c>
      <c r="D614" s="83" t="s">
        <v>868</v>
      </c>
      <c r="E614" s="79" t="s">
        <v>21</v>
      </c>
      <c r="F614" s="79" t="s">
        <v>22</v>
      </c>
      <c r="G614" s="79" t="s">
        <v>57</v>
      </c>
      <c r="H614" s="79" t="s">
        <v>869</v>
      </c>
      <c r="I614" s="79"/>
      <c r="J614" s="14" t="str">
        <f>IF(E614="Invalid_Segment","Invalid",IFERROR(INDEX(Severity_Matrix!$C$3:$M$10,MATCH('Error Log'!$F614,Severity_Matrix!$B$3:$B$10,0),MATCH('Error Log'!$G614,Severity_Matrix!$C$2:$M$2,0)),"No errors"))</f>
        <v>Major</v>
      </c>
    </row>
    <row r="615" spans="1:10">
      <c r="A615" s="74" t="s">
        <v>866</v>
      </c>
      <c r="B615" s="17">
        <v>4</v>
      </c>
      <c r="C615" s="83" t="s">
        <v>870</v>
      </c>
      <c r="D615" s="83" t="s">
        <v>871</v>
      </c>
      <c r="E615" s="79" t="s">
        <v>21</v>
      </c>
      <c r="F615" s="79" t="s">
        <v>22</v>
      </c>
      <c r="G615" s="79" t="s">
        <v>57</v>
      </c>
      <c r="H615" s="79" t="s">
        <v>872</v>
      </c>
      <c r="I615" s="79"/>
      <c r="J615" s="14" t="str">
        <f>IF(E615="Invalid_Segment","Invalid",IFERROR(INDEX(Severity_Matrix!$C$3:$M$10,MATCH('Error Log'!$F615,Severity_Matrix!$B$3:$B$10,0),MATCH('Error Log'!$G615,Severity_Matrix!$C$2:$M$2,0)),"No errors"))</f>
        <v>Major</v>
      </c>
    </row>
    <row r="616" spans="1:10">
      <c r="A616" s="74" t="s">
        <v>866</v>
      </c>
      <c r="B616" s="17">
        <v>5</v>
      </c>
      <c r="C616" s="83" t="s">
        <v>873</v>
      </c>
      <c r="D616" s="83" t="s">
        <v>874</v>
      </c>
      <c r="E616" s="79" t="s">
        <v>21</v>
      </c>
      <c r="F616" s="79" t="s">
        <v>64</v>
      </c>
      <c r="G616" s="79" t="s">
        <v>55</v>
      </c>
      <c r="H616" s="79" t="s">
        <v>875</v>
      </c>
      <c r="I616" s="79"/>
      <c r="J616" s="14" t="str">
        <f>IF(E616="Invalid_Segment","Invalid",IFERROR(INDEX(Severity_Matrix!$C$3:$M$10,MATCH('Error Log'!$F616,Severity_Matrix!$B$3:$B$10,0),MATCH('Error Log'!$G616,Severity_Matrix!$C$2:$M$2,0)),"No errors"))</f>
        <v>Critical</v>
      </c>
    </row>
    <row r="617" spans="1:10">
      <c r="A617" s="74" t="s">
        <v>866</v>
      </c>
      <c r="B617" s="17">
        <v>6</v>
      </c>
      <c r="C617" s="83" t="s">
        <v>876</v>
      </c>
      <c r="D617" s="83" t="s">
        <v>877</v>
      </c>
      <c r="E617" s="79" t="s">
        <v>21</v>
      </c>
      <c r="F617" s="79" t="s">
        <v>22</v>
      </c>
      <c r="G617" s="79" t="s">
        <v>57</v>
      </c>
      <c r="H617" s="79" t="s">
        <v>878</v>
      </c>
      <c r="I617" s="79"/>
      <c r="J617" s="14" t="str">
        <f>IF(E617="Invalid_Segment","Invalid",IFERROR(INDEX(Severity_Matrix!$C$3:$M$10,MATCH('Error Log'!$F617,Severity_Matrix!$B$3:$B$10,0),MATCH('Error Log'!$G617,Severity_Matrix!$C$2:$M$2,0)),"No errors"))</f>
        <v>Major</v>
      </c>
    </row>
    <row r="618" spans="1:10">
      <c r="A618" s="74" t="s">
        <v>866</v>
      </c>
      <c r="B618" s="17">
        <v>7</v>
      </c>
      <c r="C618" s="83" t="s">
        <v>879</v>
      </c>
      <c r="D618" s="83" t="s">
        <v>880</v>
      </c>
      <c r="E618" s="79" t="s">
        <v>21</v>
      </c>
      <c r="F618" s="79" t="s">
        <v>7</v>
      </c>
      <c r="G618" s="79" t="s">
        <v>57</v>
      </c>
      <c r="H618" s="79" t="s">
        <v>881</v>
      </c>
      <c r="I618" s="79"/>
      <c r="J618" s="14" t="str">
        <f>IF(E618="Invalid_Segment","Invalid",IFERROR(INDEX(Severity_Matrix!$C$3:$M$10,MATCH('Error Log'!$F618,Severity_Matrix!$B$3:$B$10,0),MATCH('Error Log'!$G618,Severity_Matrix!$C$2:$M$2,0)),"No errors"))</f>
        <v>Critical</v>
      </c>
    </row>
    <row r="619" spans="1:10">
      <c r="A619" s="74" t="s">
        <v>866</v>
      </c>
      <c r="B619" s="17">
        <v>8</v>
      </c>
      <c r="C619" s="83" t="s">
        <v>882</v>
      </c>
      <c r="D619" s="83" t="s">
        <v>883</v>
      </c>
      <c r="E619" s="79" t="s">
        <v>21</v>
      </c>
      <c r="F619" s="79" t="s">
        <v>7</v>
      </c>
      <c r="G619" s="79" t="s">
        <v>57</v>
      </c>
      <c r="H619" s="79" t="s">
        <v>884</v>
      </c>
      <c r="I619" s="79"/>
      <c r="J619" s="14" t="str">
        <f>IF(E619="Invalid_Segment","Invalid",IFERROR(INDEX(Severity_Matrix!$C$3:$M$10,MATCH('Error Log'!$F619,Severity_Matrix!$B$3:$B$10,0),MATCH('Error Log'!$G619,Severity_Matrix!$C$2:$M$2,0)),"No errors"))</f>
        <v>Critical</v>
      </c>
    </row>
    <row r="620" spans="1:10">
      <c r="A620" s="74" t="s">
        <v>866</v>
      </c>
      <c r="B620" s="17">
        <v>9</v>
      </c>
      <c r="C620" s="83" t="s">
        <v>885</v>
      </c>
      <c r="D620" s="83" t="s">
        <v>886</v>
      </c>
      <c r="E620" s="79" t="s">
        <v>21</v>
      </c>
      <c r="F620" s="79" t="s">
        <v>7</v>
      </c>
      <c r="G620" s="79" t="s">
        <v>57</v>
      </c>
      <c r="H620" s="79" t="s">
        <v>887</v>
      </c>
      <c r="I620" s="79"/>
      <c r="J620" s="14" t="str">
        <f>IF(E620="Invalid_Segment","Invalid",IFERROR(INDEX(Severity_Matrix!$C$3:$M$10,MATCH('Error Log'!$F620,Severity_Matrix!$B$3:$B$10,0),MATCH('Error Log'!$G620,Severity_Matrix!$C$2:$M$2,0)),"No errors"))</f>
        <v>Critical</v>
      </c>
    </row>
    <row r="621" spans="1:10">
      <c r="A621" s="74" t="s">
        <v>888</v>
      </c>
      <c r="B621" s="17">
        <v>1</v>
      </c>
      <c r="C621" s="83" t="s">
        <v>889</v>
      </c>
      <c r="D621" s="83" t="s">
        <v>890</v>
      </c>
      <c r="E621" s="79" t="s">
        <v>21</v>
      </c>
      <c r="F621" s="79" t="s">
        <v>63</v>
      </c>
      <c r="G621" s="79" t="s">
        <v>27</v>
      </c>
      <c r="H621" s="79" t="s">
        <v>303</v>
      </c>
      <c r="I621" s="79"/>
      <c r="J621" s="14" t="str">
        <f>IF(E621="Invalid_Segment","Invalid",IFERROR(INDEX(Severity_Matrix!$C$3:$M$10,MATCH('Error Log'!$F621,Severity_Matrix!$B$3:$B$10,0),MATCH('Error Log'!$G621,Severity_Matrix!$C$2:$M$2,0)),"No errors"))</f>
        <v>Critical</v>
      </c>
    </row>
    <row r="622" spans="1:10">
      <c r="A622" s="74" t="s">
        <v>888</v>
      </c>
      <c r="B622" s="17">
        <v>2</v>
      </c>
      <c r="C622" s="83" t="s">
        <v>891</v>
      </c>
      <c r="D622" s="83" t="s">
        <v>892</v>
      </c>
      <c r="E622" s="79" t="s">
        <v>21</v>
      </c>
      <c r="F622" s="79" t="s">
        <v>63</v>
      </c>
      <c r="G622" s="79" t="s">
        <v>29</v>
      </c>
      <c r="H622" s="79">
        <v>57</v>
      </c>
      <c r="I622" s="79"/>
      <c r="J622" s="14" t="str">
        <f>IF(E622="Invalid_Segment","Invalid",IFERROR(INDEX(Severity_Matrix!$C$3:$M$10,MATCH('Error Log'!$F622,Severity_Matrix!$B$3:$B$10,0),MATCH('Error Log'!$G622,Severity_Matrix!$C$2:$M$2,0)),"No errors"))</f>
        <v>Critical</v>
      </c>
    </row>
    <row r="623" spans="1:10">
      <c r="A623" s="74" t="s">
        <v>893</v>
      </c>
      <c r="B623" s="17">
        <v>3</v>
      </c>
      <c r="C623" s="83" t="s">
        <v>894</v>
      </c>
      <c r="D623" s="83" t="s">
        <v>895</v>
      </c>
      <c r="E623" s="79" t="s">
        <v>21</v>
      </c>
      <c r="F623" s="79" t="s">
        <v>63</v>
      </c>
      <c r="G623" s="79" t="s">
        <v>27</v>
      </c>
      <c r="H623" s="79" t="s">
        <v>303</v>
      </c>
      <c r="I623" s="79"/>
      <c r="J623" s="14" t="str">
        <f>IF(E623="Invalid_Segment","Invalid",IFERROR(INDEX(Severity_Matrix!$C$3:$M$10,MATCH('Error Log'!$F623,Severity_Matrix!$B$3:$B$10,0),MATCH('Error Log'!$G623,Severity_Matrix!$C$2:$M$2,0)),"No errors"))</f>
        <v>Critical</v>
      </c>
    </row>
    <row r="624" spans="1:10">
      <c r="A624" s="74" t="s">
        <v>893</v>
      </c>
      <c r="B624" s="17">
        <v>4</v>
      </c>
      <c r="C624" s="83" t="s">
        <v>896</v>
      </c>
      <c r="D624" s="83" t="s">
        <v>897</v>
      </c>
      <c r="E624" s="79" t="s">
        <v>21</v>
      </c>
      <c r="F624" s="79" t="s">
        <v>63</v>
      </c>
      <c r="G624" s="79" t="s">
        <v>27</v>
      </c>
      <c r="H624" s="79" t="s">
        <v>303</v>
      </c>
      <c r="I624" s="79"/>
      <c r="J624" s="14" t="str">
        <f>IF(E624="Invalid_Segment","Invalid",IFERROR(INDEX(Severity_Matrix!$C$3:$M$10,MATCH('Error Log'!$F624,Severity_Matrix!$B$3:$B$10,0),MATCH('Error Log'!$G624,Severity_Matrix!$C$2:$M$2,0)),"No errors"))</f>
        <v>Critical</v>
      </c>
    </row>
    <row r="625" spans="1:10">
      <c r="A625" s="74" t="s">
        <v>893</v>
      </c>
      <c r="B625" s="17">
        <v>5</v>
      </c>
      <c r="C625" s="83" t="s">
        <v>898</v>
      </c>
      <c r="D625" s="83" t="s">
        <v>899</v>
      </c>
      <c r="E625" s="79" t="s">
        <v>21</v>
      </c>
      <c r="F625" s="79" t="s">
        <v>63</v>
      </c>
      <c r="G625" s="79" t="s">
        <v>27</v>
      </c>
      <c r="H625" s="79" t="s">
        <v>303</v>
      </c>
      <c r="I625" s="79"/>
      <c r="J625" s="14" t="str">
        <f>IF(E625="Invalid_Segment","Invalid",IFERROR(INDEX(Severity_Matrix!$C$3:$M$10,MATCH('Error Log'!$F625,Severity_Matrix!$B$3:$B$10,0),MATCH('Error Log'!$G625,Severity_Matrix!$C$2:$M$2,0)),"No errors"))</f>
        <v>Critical</v>
      </c>
    </row>
    <row r="626" spans="1:10">
      <c r="A626" s="74" t="s">
        <v>893</v>
      </c>
      <c r="B626" s="17">
        <v>6</v>
      </c>
      <c r="C626" s="83" t="s">
        <v>900</v>
      </c>
      <c r="D626" s="83" t="s">
        <v>901</v>
      </c>
      <c r="E626" s="79" t="s">
        <v>2</v>
      </c>
      <c r="F626" s="79" t="s">
        <v>26</v>
      </c>
      <c r="G626" s="79" t="s">
        <v>57</v>
      </c>
      <c r="H626" s="79" t="s">
        <v>902</v>
      </c>
      <c r="I626" s="79"/>
      <c r="J626" s="14" t="str">
        <f>IF(E626="Invalid_Segment","Invalid",IFERROR(INDEX(Severity_Matrix!$C$3:$M$10,MATCH('Error Log'!$F626,Severity_Matrix!$B$3:$B$10,0),MATCH('Error Log'!$G626,Severity_Matrix!$C$2:$M$2,0)),"No errors"))</f>
        <v>Major</v>
      </c>
    </row>
    <row r="627" spans="1:10">
      <c r="A627" s="74" t="s">
        <v>893</v>
      </c>
      <c r="B627" s="17">
        <v>7</v>
      </c>
      <c r="C627" s="83" t="s">
        <v>903</v>
      </c>
      <c r="D627" s="83" t="s">
        <v>904</v>
      </c>
      <c r="E627" s="79" t="s">
        <v>21</v>
      </c>
      <c r="F627" s="79" t="s">
        <v>7</v>
      </c>
      <c r="G627" s="79" t="s">
        <v>57</v>
      </c>
      <c r="H627" s="79" t="s">
        <v>905</v>
      </c>
      <c r="I627" s="79"/>
      <c r="J627" s="14" t="str">
        <f>IF(E627="Invalid_Segment","Invalid",IFERROR(INDEX(Severity_Matrix!$C$3:$M$10,MATCH('Error Log'!$F627,Severity_Matrix!$B$3:$B$10,0),MATCH('Error Log'!$G627,Severity_Matrix!$C$2:$M$2,0)),"No errors"))</f>
        <v>Critical</v>
      </c>
    </row>
    <row r="628" spans="1:10">
      <c r="A628" s="74" t="s">
        <v>893</v>
      </c>
      <c r="B628" s="17">
        <v>8</v>
      </c>
      <c r="C628" s="83" t="s">
        <v>906</v>
      </c>
      <c r="D628" s="83" t="s">
        <v>907</v>
      </c>
      <c r="E628" s="79" t="s">
        <v>21</v>
      </c>
      <c r="F628" s="79" t="s">
        <v>7</v>
      </c>
      <c r="G628" s="79" t="s">
        <v>57</v>
      </c>
      <c r="H628" s="79" t="s">
        <v>908</v>
      </c>
      <c r="I628" s="79"/>
      <c r="J628" s="14" t="str">
        <f>IF(E628="Invalid_Segment","Invalid",IFERROR(INDEX(Severity_Matrix!$C$3:$M$10,MATCH('Error Log'!$F628,Severity_Matrix!$B$3:$B$10,0),MATCH('Error Log'!$G628,Severity_Matrix!$C$2:$M$2,0)),"No errors"))</f>
        <v>Critical</v>
      </c>
    </row>
    <row r="629" spans="1:10">
      <c r="A629" s="74" t="s">
        <v>909</v>
      </c>
      <c r="B629" s="17">
        <v>1</v>
      </c>
      <c r="C629" s="83" t="s">
        <v>910</v>
      </c>
      <c r="D629" s="83" t="s">
        <v>911</v>
      </c>
      <c r="E629" s="79" t="s">
        <v>2</v>
      </c>
      <c r="F629" s="79" t="s">
        <v>26</v>
      </c>
      <c r="G629" s="79" t="s">
        <v>57</v>
      </c>
      <c r="H629" s="81" t="s">
        <v>912</v>
      </c>
      <c r="I629" s="79"/>
      <c r="J629" s="14" t="str">
        <f>IF(E629="Invalid_Segment","Invalid",IFERROR(INDEX(Severity_Matrix!$C$3:$M$10,MATCH('Error Log'!$F629,Severity_Matrix!$B$3:$B$10,0),MATCH('Error Log'!$G629,Severity_Matrix!$C$2:$M$2,0)),"No errors"))</f>
        <v>Major</v>
      </c>
    </row>
    <row r="630" spans="1:10">
      <c r="A630" s="74" t="s">
        <v>909</v>
      </c>
      <c r="B630" s="17">
        <v>2</v>
      </c>
      <c r="C630" s="83" t="s">
        <v>913</v>
      </c>
      <c r="D630" s="83" t="s">
        <v>911</v>
      </c>
      <c r="E630" s="79" t="s">
        <v>21</v>
      </c>
      <c r="F630" s="79" t="s">
        <v>22</v>
      </c>
      <c r="G630" s="79" t="s">
        <v>57</v>
      </c>
      <c r="H630" s="79" t="s">
        <v>914</v>
      </c>
      <c r="I630" s="79"/>
      <c r="J630" s="14" t="str">
        <f>IF(E630="Invalid_Segment","Invalid",IFERROR(INDEX(Severity_Matrix!$C$3:$M$10,MATCH('Error Log'!$F630,Severity_Matrix!$B$3:$B$10,0),MATCH('Error Log'!$G630,Severity_Matrix!$C$2:$M$2,0)),"No errors"))</f>
        <v>Major</v>
      </c>
    </row>
    <row r="631" spans="1:10">
      <c r="A631" s="74" t="s">
        <v>915</v>
      </c>
      <c r="B631" s="17">
        <v>3</v>
      </c>
      <c r="C631" s="83" t="s">
        <v>916</v>
      </c>
      <c r="D631" s="83" t="s">
        <v>911</v>
      </c>
      <c r="E631" s="79" t="s">
        <v>21</v>
      </c>
      <c r="F631" s="79" t="s">
        <v>7</v>
      </c>
      <c r="G631" s="79" t="s">
        <v>57</v>
      </c>
      <c r="H631" s="79" t="s">
        <v>917</v>
      </c>
      <c r="I631" s="79"/>
      <c r="J631" s="14" t="str">
        <f>IF(E631="Invalid_Segment","Invalid",IFERROR(INDEX(Severity_Matrix!$C$3:$M$10,MATCH('Error Log'!$F631,Severity_Matrix!$B$3:$B$10,0),MATCH('Error Log'!$G631,Severity_Matrix!$C$2:$M$2,0)),"No errors"))</f>
        <v>Critical</v>
      </c>
    </row>
    <row r="632" spans="1:10">
      <c r="A632" s="74" t="s">
        <v>915</v>
      </c>
      <c r="B632" s="17">
        <v>4</v>
      </c>
      <c r="C632" s="83" t="s">
        <v>918</v>
      </c>
      <c r="D632" s="83" t="s">
        <v>911</v>
      </c>
      <c r="E632" s="79" t="s">
        <v>21</v>
      </c>
      <c r="F632" s="79" t="s">
        <v>7</v>
      </c>
      <c r="G632" s="79" t="s">
        <v>57</v>
      </c>
      <c r="H632" s="79" t="s">
        <v>919</v>
      </c>
      <c r="I632" s="79"/>
      <c r="J632" s="14" t="str">
        <f>IF(E632="Invalid_Segment","Invalid",IFERROR(INDEX(Severity_Matrix!$C$3:$M$10,MATCH('Error Log'!$F632,Severity_Matrix!$B$3:$B$10,0),MATCH('Error Log'!$G632,Severity_Matrix!$C$2:$M$2,0)),"No errors"))</f>
        <v>Critical</v>
      </c>
    </row>
    <row r="633" spans="1:10">
      <c r="A633" s="74" t="s">
        <v>920</v>
      </c>
      <c r="B633" s="17">
        <v>1</v>
      </c>
      <c r="C633" s="83" t="s">
        <v>921</v>
      </c>
      <c r="D633" s="83" t="s">
        <v>922</v>
      </c>
      <c r="E633" s="79" t="s">
        <v>21</v>
      </c>
      <c r="F633" s="79" t="s">
        <v>22</v>
      </c>
      <c r="G633" s="79" t="s">
        <v>57</v>
      </c>
      <c r="H633" s="79" t="s">
        <v>923</v>
      </c>
      <c r="I633" s="79"/>
      <c r="J633" s="14" t="str">
        <f>IF(E633="Invalid_Segment","Invalid",IFERROR(INDEX(Severity_Matrix!$C$3:$M$10,MATCH('Error Log'!$F633,Severity_Matrix!$B$3:$B$10,0),MATCH('Error Log'!$G633,Severity_Matrix!$C$2:$M$2,0)),"No errors"))</f>
        <v>Major</v>
      </c>
    </row>
    <row r="634" spans="1:10">
      <c r="A634" s="74" t="s">
        <v>920</v>
      </c>
      <c r="B634" s="17">
        <v>2</v>
      </c>
      <c r="C634" s="83" t="s">
        <v>924</v>
      </c>
      <c r="D634" s="83" t="s">
        <v>922</v>
      </c>
      <c r="E634" s="79" t="s">
        <v>2</v>
      </c>
      <c r="F634" s="79" t="s">
        <v>26</v>
      </c>
      <c r="G634" s="79" t="s">
        <v>57</v>
      </c>
      <c r="H634" s="79" t="s">
        <v>923</v>
      </c>
      <c r="I634" s="79"/>
      <c r="J634" s="14" t="str">
        <f>IF(E634="Invalid_Segment","Invalid",IFERROR(INDEX(Severity_Matrix!$C$3:$M$10,MATCH('Error Log'!$F634,Severity_Matrix!$B$3:$B$10,0),MATCH('Error Log'!$G634,Severity_Matrix!$C$2:$M$2,0)),"No errors"))</f>
        <v>Major</v>
      </c>
    </row>
    <row r="635" spans="1:10">
      <c r="A635" s="74" t="s">
        <v>925</v>
      </c>
      <c r="B635" s="17">
        <v>3</v>
      </c>
      <c r="C635" s="83" t="s">
        <v>926</v>
      </c>
      <c r="D635" s="83" t="s">
        <v>922</v>
      </c>
      <c r="E635" s="79" t="s">
        <v>21</v>
      </c>
      <c r="F635" s="79" t="s">
        <v>7</v>
      </c>
      <c r="G635" s="79" t="s">
        <v>57</v>
      </c>
      <c r="H635" s="79" t="s">
        <v>927</v>
      </c>
      <c r="I635" s="79"/>
      <c r="J635" s="14" t="str">
        <f>IF(E635="Invalid_Segment","Invalid",IFERROR(INDEX(Severity_Matrix!$C$3:$M$10,MATCH('Error Log'!$F635,Severity_Matrix!$B$3:$B$10,0),MATCH('Error Log'!$G635,Severity_Matrix!$C$2:$M$2,0)),"No errors"))</f>
        <v>Critical</v>
      </c>
    </row>
    <row r="636" spans="1:10">
      <c r="A636" s="74" t="s">
        <v>925</v>
      </c>
      <c r="B636" s="17">
        <v>4</v>
      </c>
      <c r="C636" s="83" t="s">
        <v>928</v>
      </c>
      <c r="D636" s="83" t="s">
        <v>922</v>
      </c>
      <c r="E636" s="79" t="s">
        <v>21</v>
      </c>
      <c r="F636" s="79" t="s">
        <v>7</v>
      </c>
      <c r="G636" s="79" t="s">
        <v>57</v>
      </c>
      <c r="H636" s="79" t="s">
        <v>929</v>
      </c>
      <c r="I636" s="79"/>
      <c r="J636" s="14" t="str">
        <f>IF(E636="Invalid_Segment","Invalid",IFERROR(INDEX(Severity_Matrix!$C$3:$M$10,MATCH('Error Log'!$F636,Severity_Matrix!$B$3:$B$10,0),MATCH('Error Log'!$G636,Severity_Matrix!$C$2:$M$2,0)),"No errors"))</f>
        <v>Critical</v>
      </c>
    </row>
    <row r="637" spans="1:10">
      <c r="A637" s="74" t="s">
        <v>930</v>
      </c>
      <c r="B637" s="17">
        <v>1</v>
      </c>
      <c r="C637" s="83" t="s">
        <v>931</v>
      </c>
      <c r="D637" s="83" t="s">
        <v>932</v>
      </c>
      <c r="E637" s="79" t="s">
        <v>21</v>
      </c>
      <c r="F637" s="79" t="s">
        <v>63</v>
      </c>
      <c r="G637" s="79" t="s">
        <v>54</v>
      </c>
      <c r="H637" s="79" t="s">
        <v>933</v>
      </c>
      <c r="I637" s="79"/>
      <c r="J637" s="14" t="str">
        <f>IF(E637="Invalid_Segment","Invalid",IFERROR(INDEX(Severity_Matrix!$C$3:$M$10,MATCH('Error Log'!$F637,Severity_Matrix!$B$3:$B$10,0),MATCH('Error Log'!$G637,Severity_Matrix!$C$2:$M$2,0)),"No errors"))</f>
        <v>Critical</v>
      </c>
    </row>
    <row r="638" spans="1:10">
      <c r="A638" s="74" t="s">
        <v>930</v>
      </c>
      <c r="B638" s="17">
        <v>2</v>
      </c>
      <c r="C638" s="83" t="s">
        <v>934</v>
      </c>
      <c r="D638" s="83" t="s">
        <v>932</v>
      </c>
      <c r="E638" s="79" t="s">
        <v>21</v>
      </c>
      <c r="F638" s="79" t="s">
        <v>63</v>
      </c>
      <c r="G638" s="79" t="s">
        <v>54</v>
      </c>
      <c r="H638" s="79" t="s">
        <v>935</v>
      </c>
      <c r="I638" s="79"/>
      <c r="J638" s="14" t="str">
        <f>IF(E638="Invalid_Segment","Invalid",IFERROR(INDEX(Severity_Matrix!$C$3:$M$10,MATCH('Error Log'!$F638,Severity_Matrix!$B$3:$B$10,0),MATCH('Error Log'!$G638,Severity_Matrix!$C$2:$M$2,0)),"No errors"))</f>
        <v>Critical</v>
      </c>
    </row>
    <row r="639" spans="1:10">
      <c r="A639" s="74" t="s">
        <v>936</v>
      </c>
      <c r="B639" s="17">
        <v>3</v>
      </c>
      <c r="C639" s="83" t="s">
        <v>937</v>
      </c>
      <c r="D639" s="83" t="s">
        <v>932</v>
      </c>
      <c r="E639" s="79" t="s">
        <v>2</v>
      </c>
      <c r="F639" s="79" t="s">
        <v>26</v>
      </c>
      <c r="G639" s="79" t="s">
        <v>57</v>
      </c>
      <c r="H639" s="79" t="s">
        <v>938</v>
      </c>
      <c r="I639" s="79"/>
      <c r="J639" s="14" t="str">
        <f>IF(E639="Invalid_Segment","Invalid",IFERROR(INDEX(Severity_Matrix!$C$3:$M$10,MATCH('Error Log'!$F639,Severity_Matrix!$B$3:$B$10,0),MATCH('Error Log'!$G639,Severity_Matrix!$C$2:$M$2,0)),"No errors"))</f>
        <v>Major</v>
      </c>
    </row>
    <row r="640" spans="1:10">
      <c r="A640" s="74" t="s">
        <v>936</v>
      </c>
      <c r="B640" s="17">
        <v>4</v>
      </c>
      <c r="C640" s="83" t="s">
        <v>939</v>
      </c>
      <c r="D640" s="83" t="s">
        <v>932</v>
      </c>
      <c r="E640" s="79" t="s">
        <v>21</v>
      </c>
      <c r="F640" s="79" t="s">
        <v>22</v>
      </c>
      <c r="G640" s="79" t="s">
        <v>57</v>
      </c>
      <c r="H640" s="79" t="s">
        <v>940</v>
      </c>
      <c r="I640" s="79"/>
      <c r="J640" s="14" t="str">
        <f>IF(E640="Invalid_Segment","Invalid",IFERROR(INDEX(Severity_Matrix!$C$3:$M$10,MATCH('Error Log'!$F640,Severity_Matrix!$B$3:$B$10,0),MATCH('Error Log'!$G640,Severity_Matrix!$C$2:$M$2,0)),"No errors"))</f>
        <v>Major</v>
      </c>
    </row>
    <row r="641" spans="1:10">
      <c r="A641" s="74" t="s">
        <v>936</v>
      </c>
      <c r="B641" s="17">
        <v>5</v>
      </c>
      <c r="C641" s="83" t="s">
        <v>941</v>
      </c>
      <c r="D641" s="83" t="s">
        <v>932</v>
      </c>
      <c r="E641" s="79" t="s">
        <v>21</v>
      </c>
      <c r="F641" s="79" t="s">
        <v>63</v>
      </c>
      <c r="G641" s="79" t="s">
        <v>54</v>
      </c>
      <c r="H641" s="79" t="s">
        <v>933</v>
      </c>
      <c r="I641" s="79"/>
      <c r="J641" s="14" t="str">
        <f>IF(E641="Invalid_Segment","Invalid",IFERROR(INDEX(Severity_Matrix!$C$3:$M$10,MATCH('Error Log'!$F641,Severity_Matrix!$B$3:$B$10,0),MATCH('Error Log'!$G641,Severity_Matrix!$C$2:$M$2,0)),"No errors"))</f>
        <v>Critical</v>
      </c>
    </row>
    <row r="642" spans="1:10">
      <c r="A642" s="74" t="s">
        <v>936</v>
      </c>
      <c r="B642" s="17">
        <v>6</v>
      </c>
      <c r="C642" s="83" t="s">
        <v>942</v>
      </c>
      <c r="D642" s="83" t="s">
        <v>932</v>
      </c>
      <c r="E642" s="79" t="s">
        <v>2</v>
      </c>
      <c r="F642" s="79" t="s">
        <v>26</v>
      </c>
      <c r="G642" s="79" t="s">
        <v>57</v>
      </c>
      <c r="H642" s="79" t="s">
        <v>943</v>
      </c>
      <c r="I642" s="79"/>
      <c r="J642" s="14" t="str">
        <f>IF(E642="Invalid_Segment","Invalid",IFERROR(INDEX(Severity_Matrix!$C$3:$M$10,MATCH('Error Log'!$F642,Severity_Matrix!$B$3:$B$10,0),MATCH('Error Log'!$G642,Severity_Matrix!$C$2:$M$2,0)),"No errors"))</f>
        <v>Major</v>
      </c>
    </row>
    <row r="643" spans="1:10">
      <c r="A643" s="74" t="s">
        <v>936</v>
      </c>
      <c r="B643" s="17">
        <v>7</v>
      </c>
      <c r="C643" s="83" t="s">
        <v>944</v>
      </c>
      <c r="D643" s="83" t="s">
        <v>932</v>
      </c>
      <c r="E643" s="79" t="s">
        <v>21</v>
      </c>
      <c r="F643" s="79" t="s">
        <v>7</v>
      </c>
      <c r="G643" s="79" t="s">
        <v>57</v>
      </c>
      <c r="H643" s="79" t="s">
        <v>945</v>
      </c>
      <c r="I643" s="79"/>
      <c r="J643" s="14" t="str">
        <f>IF(E643="Invalid_Segment","Invalid",IFERROR(INDEX(Severity_Matrix!$C$3:$M$10,MATCH('Error Log'!$F643,Severity_Matrix!$B$3:$B$10,0),MATCH('Error Log'!$G643,Severity_Matrix!$C$2:$M$2,0)),"No errors"))</f>
        <v>Critical</v>
      </c>
    </row>
    <row r="644" spans="1:10">
      <c r="A644" s="74" t="s">
        <v>936</v>
      </c>
      <c r="B644" s="17">
        <v>8</v>
      </c>
      <c r="C644" s="83" t="s">
        <v>946</v>
      </c>
      <c r="D644" s="83" t="s">
        <v>932</v>
      </c>
      <c r="E644" s="79" t="s">
        <v>21</v>
      </c>
      <c r="F644" s="79" t="s">
        <v>7</v>
      </c>
      <c r="G644" s="79" t="s">
        <v>57</v>
      </c>
      <c r="H644" s="79" t="s">
        <v>947</v>
      </c>
      <c r="I644" s="79"/>
      <c r="J644" s="14" t="str">
        <f>IF(E644="Invalid_Segment","Invalid",IFERROR(INDEX(Severity_Matrix!$C$3:$M$10,MATCH('Error Log'!$F644,Severity_Matrix!$B$3:$B$10,0),MATCH('Error Log'!$G644,Severity_Matrix!$C$2:$M$2,0)),"No errors"))</f>
        <v>Critical</v>
      </c>
    </row>
    <row r="645" spans="1:10">
      <c r="A645" s="74" t="s">
        <v>948</v>
      </c>
      <c r="B645" s="17">
        <v>1</v>
      </c>
      <c r="C645" s="83" t="s">
        <v>949</v>
      </c>
      <c r="D645" s="83" t="s">
        <v>950</v>
      </c>
      <c r="E645" s="79" t="s">
        <v>21</v>
      </c>
      <c r="F645" s="79" t="s">
        <v>63</v>
      </c>
      <c r="G645" s="79" t="s">
        <v>28</v>
      </c>
      <c r="H645" s="79" t="s">
        <v>303</v>
      </c>
      <c r="I645" s="79"/>
      <c r="J645" s="14" t="str">
        <f>IF(E645="Invalid_Segment","Invalid",IFERROR(INDEX(Severity_Matrix!$C$3:$M$10,MATCH('Error Log'!$F645,Severity_Matrix!$B$3:$B$10,0),MATCH('Error Log'!$G645,Severity_Matrix!$C$2:$M$2,0)),"No errors"))</f>
        <v>Major</v>
      </c>
    </row>
    <row r="646" spans="1:10">
      <c r="A646" s="74" t="s">
        <v>948</v>
      </c>
      <c r="B646" s="17">
        <v>2</v>
      </c>
      <c r="C646" s="83" t="s">
        <v>951</v>
      </c>
      <c r="D646" s="83" t="s">
        <v>952</v>
      </c>
      <c r="E646" s="79" t="s">
        <v>21</v>
      </c>
      <c r="F646" s="79" t="s">
        <v>22</v>
      </c>
      <c r="G646" s="79" t="s">
        <v>57</v>
      </c>
      <c r="H646" s="79" t="s">
        <v>953</v>
      </c>
      <c r="I646" s="79"/>
      <c r="J646" s="14" t="str">
        <f>IF(E646="Invalid_Segment","Invalid",IFERROR(INDEX(Severity_Matrix!$C$3:$M$10,MATCH('Error Log'!$F646,Severity_Matrix!$B$3:$B$10,0),MATCH('Error Log'!$G646,Severity_Matrix!$C$2:$M$2,0)),"No errors"))</f>
        <v>Major</v>
      </c>
    </row>
    <row r="647" spans="1:10">
      <c r="A647" s="74" t="s">
        <v>954</v>
      </c>
      <c r="B647" s="17">
        <v>3</v>
      </c>
      <c r="C647" s="83" t="s">
        <v>955</v>
      </c>
      <c r="D647" s="83" t="s">
        <v>956</v>
      </c>
      <c r="E647" s="79" t="s">
        <v>21</v>
      </c>
      <c r="F647" s="79" t="s">
        <v>63</v>
      </c>
      <c r="G647" s="79" t="s">
        <v>54</v>
      </c>
      <c r="H647" s="81" t="s">
        <v>263</v>
      </c>
      <c r="I647" s="79"/>
      <c r="J647" s="14" t="str">
        <f>IF(E647="Invalid_Segment","Invalid",IFERROR(INDEX(Severity_Matrix!$C$3:$M$10,MATCH('Error Log'!$F647,Severity_Matrix!$B$3:$B$10,0),MATCH('Error Log'!$G647,Severity_Matrix!$C$2:$M$2,0)),"No errors"))</f>
        <v>Critical</v>
      </c>
    </row>
    <row r="648" spans="1:10" ht="14.4">
      <c r="A648" s="74" t="s">
        <v>954</v>
      </c>
      <c r="B648" s="17">
        <v>4</v>
      </c>
      <c r="C648" s="83" t="s">
        <v>957</v>
      </c>
      <c r="D648" s="83" t="s">
        <v>958</v>
      </c>
      <c r="E648" s="79" t="s">
        <v>21</v>
      </c>
      <c r="F648" s="79" t="s">
        <v>7</v>
      </c>
      <c r="G648" s="79" t="s">
        <v>57</v>
      </c>
      <c r="H648" s="79" t="s">
        <v>959</v>
      </c>
      <c r="I648" s="79"/>
      <c r="J648" s="14" t="str">
        <f>IF(E648="Invalid_Segment","Invalid",IFERROR(INDEX(Severity_Matrix!$C$3:$M$10,MATCH('Error Log'!$F648,Severity_Matrix!$B$3:$B$10,0),MATCH('Error Log'!$G648,Severity_Matrix!$C$2:$M$2,0)),"No errors"))</f>
        <v>Critical</v>
      </c>
    </row>
    <row r="649" spans="1:10">
      <c r="A649" s="74" t="s">
        <v>954</v>
      </c>
      <c r="B649" s="17">
        <v>5</v>
      </c>
      <c r="C649" s="83" t="s">
        <v>960</v>
      </c>
      <c r="D649" s="83" t="s">
        <v>961</v>
      </c>
      <c r="E649" s="79" t="s">
        <v>21</v>
      </c>
      <c r="F649" s="79" t="s">
        <v>7</v>
      </c>
      <c r="G649" s="79" t="s">
        <v>57</v>
      </c>
      <c r="H649" s="79" t="s">
        <v>962</v>
      </c>
      <c r="I649" s="79"/>
      <c r="J649" s="14" t="str">
        <f>IF(E649="Invalid_Segment","Invalid",IFERROR(INDEX(Severity_Matrix!$C$3:$M$10,MATCH('Error Log'!$F649,Severity_Matrix!$B$3:$B$10,0),MATCH('Error Log'!$G649,Severity_Matrix!$C$2:$M$2,0)),"No errors"))</f>
        <v>Critical</v>
      </c>
    </row>
    <row r="650" spans="1:10">
      <c r="A650" s="74" t="s">
        <v>963</v>
      </c>
      <c r="B650" s="17">
        <v>1</v>
      </c>
      <c r="C650" s="83" t="s">
        <v>964</v>
      </c>
      <c r="D650" s="83" t="s">
        <v>965</v>
      </c>
      <c r="E650" s="79" t="s">
        <v>21</v>
      </c>
      <c r="F650" s="79" t="s">
        <v>63</v>
      </c>
      <c r="G650" s="79" t="s">
        <v>27</v>
      </c>
      <c r="H650" s="79" t="s">
        <v>303</v>
      </c>
      <c r="I650" s="79"/>
      <c r="J650" s="14" t="str">
        <f>IF(E650="Invalid_Segment","Invalid",IFERROR(INDEX(Severity_Matrix!$C$3:$M$10,MATCH('Error Log'!$F650,Severity_Matrix!$B$3:$B$10,0),MATCH('Error Log'!$G650,Severity_Matrix!$C$2:$M$2,0)),"No errors"))</f>
        <v>Critical</v>
      </c>
    </row>
    <row r="651" spans="1:10">
      <c r="A651" s="74" t="s">
        <v>963</v>
      </c>
      <c r="B651" s="17">
        <v>2</v>
      </c>
      <c r="C651" s="83" t="s">
        <v>966</v>
      </c>
      <c r="D651" s="83" t="s">
        <v>965</v>
      </c>
      <c r="E651" s="79" t="s">
        <v>21</v>
      </c>
      <c r="F651" s="79" t="s">
        <v>7</v>
      </c>
      <c r="G651" s="79" t="s">
        <v>57</v>
      </c>
      <c r="H651" s="79" t="s">
        <v>967</v>
      </c>
      <c r="I651" s="79"/>
      <c r="J651" s="14" t="str">
        <f>IF(E651="Invalid_Segment","Invalid",IFERROR(INDEX(Severity_Matrix!$C$3:$M$10,MATCH('Error Log'!$F651,Severity_Matrix!$B$3:$B$10,0),MATCH('Error Log'!$G651,Severity_Matrix!$C$2:$M$2,0)),"No errors"))</f>
        <v>Critical</v>
      </c>
    </row>
    <row r="652" spans="1:10">
      <c r="A652" s="74" t="s">
        <v>968</v>
      </c>
      <c r="B652" s="17">
        <v>3</v>
      </c>
      <c r="C652" s="83" t="s">
        <v>969</v>
      </c>
      <c r="D652" s="83" t="s">
        <v>965</v>
      </c>
      <c r="E652" s="79" t="s">
        <v>21</v>
      </c>
      <c r="F652" s="79" t="s">
        <v>22</v>
      </c>
      <c r="G652" s="79" t="s">
        <v>57</v>
      </c>
      <c r="H652" s="79" t="s">
        <v>970</v>
      </c>
      <c r="I652" s="79"/>
      <c r="J652" s="14" t="str">
        <f>IF(E652="Invalid_Segment","Invalid",IFERROR(INDEX(Severity_Matrix!$C$3:$M$10,MATCH('Error Log'!$F652,Severity_Matrix!$B$3:$B$10,0),MATCH('Error Log'!$G652,Severity_Matrix!$C$2:$M$2,0)),"No errors"))</f>
        <v>Major</v>
      </c>
    </row>
    <row r="653" spans="1:10">
      <c r="A653" s="74" t="s">
        <v>968</v>
      </c>
      <c r="B653" s="17">
        <v>4</v>
      </c>
      <c r="C653" s="83" t="s">
        <v>971</v>
      </c>
      <c r="D653" s="83" t="s">
        <v>965</v>
      </c>
      <c r="E653" s="79" t="s">
        <v>21</v>
      </c>
      <c r="F653" s="79" t="s">
        <v>7</v>
      </c>
      <c r="G653" s="79" t="s">
        <v>57</v>
      </c>
      <c r="H653" s="79" t="s">
        <v>972</v>
      </c>
      <c r="I653" s="79"/>
      <c r="J653" s="14" t="str">
        <f>IF(E653="Invalid_Segment","Invalid",IFERROR(INDEX(Severity_Matrix!$C$3:$M$10,MATCH('Error Log'!$F653,Severity_Matrix!$B$3:$B$10,0),MATCH('Error Log'!$G653,Severity_Matrix!$C$2:$M$2,0)),"No errors"))</f>
        <v>Critical</v>
      </c>
    </row>
    <row r="654" spans="1:10">
      <c r="A654" s="74" t="s">
        <v>968</v>
      </c>
      <c r="B654" s="17">
        <v>5</v>
      </c>
      <c r="C654" s="83" t="s">
        <v>973</v>
      </c>
      <c r="D654" s="83" t="s">
        <v>965</v>
      </c>
      <c r="E654" s="79" t="s">
        <v>21</v>
      </c>
      <c r="F654" s="79" t="s">
        <v>7</v>
      </c>
      <c r="G654" s="79" t="s">
        <v>54</v>
      </c>
      <c r="H654" s="79" t="s">
        <v>974</v>
      </c>
      <c r="I654" s="79"/>
      <c r="J654" s="14" t="str">
        <f>IF(E654="Invalid_Segment","Invalid",IFERROR(INDEX(Severity_Matrix!$C$3:$M$10,MATCH('Error Log'!$F654,Severity_Matrix!$B$3:$B$10,0),MATCH('Error Log'!$G654,Severity_Matrix!$C$2:$M$2,0)),"No errors"))</f>
        <v>Critical</v>
      </c>
    </row>
    <row r="655" spans="1:10">
      <c r="A655" s="74" t="s">
        <v>968</v>
      </c>
      <c r="B655" s="17">
        <v>6</v>
      </c>
      <c r="C655" s="83" t="s">
        <v>975</v>
      </c>
      <c r="D655" s="83" t="s">
        <v>965</v>
      </c>
      <c r="E655" s="79" t="s">
        <v>21</v>
      </c>
      <c r="F655" s="79" t="s">
        <v>7</v>
      </c>
      <c r="G655" s="79" t="s">
        <v>54</v>
      </c>
      <c r="H655" s="79" t="s">
        <v>974</v>
      </c>
      <c r="I655" s="79"/>
      <c r="J655" s="14" t="str">
        <f>IF(E655="Invalid_Segment","Invalid",IFERROR(INDEX(Severity_Matrix!$C$3:$M$10,MATCH('Error Log'!$F655,Severity_Matrix!$B$3:$B$10,0),MATCH('Error Log'!$G655,Severity_Matrix!$C$2:$M$2,0)),"No errors"))</f>
        <v>Critical</v>
      </c>
    </row>
    <row r="656" spans="1:10">
      <c r="A656" s="74" t="s">
        <v>976</v>
      </c>
      <c r="B656" s="17">
        <v>1</v>
      </c>
      <c r="C656" s="83" t="s">
        <v>977</v>
      </c>
      <c r="D656" s="83" t="s">
        <v>978</v>
      </c>
      <c r="E656" s="79" t="s">
        <v>21</v>
      </c>
      <c r="F656" s="79" t="s">
        <v>22</v>
      </c>
      <c r="G656" s="79" t="s">
        <v>57</v>
      </c>
      <c r="H656" s="79" t="s">
        <v>979</v>
      </c>
      <c r="I656" s="79"/>
      <c r="J656" s="14" t="str">
        <f>IF(E656="Invalid_Segment","Invalid",IFERROR(INDEX(Severity_Matrix!$C$3:$M$10,MATCH('Error Log'!$F656,Severity_Matrix!$B$3:$B$10,0),MATCH('Error Log'!$G656,Severity_Matrix!$C$2:$M$2,0)),"No errors"))</f>
        <v>Major</v>
      </c>
    </row>
    <row r="657" spans="1:10">
      <c r="A657" s="74" t="s">
        <v>976</v>
      </c>
      <c r="B657" s="17">
        <v>2</v>
      </c>
      <c r="C657" s="83" t="s">
        <v>980</v>
      </c>
      <c r="D657" s="83" t="s">
        <v>981</v>
      </c>
      <c r="E657" s="79" t="s">
        <v>21</v>
      </c>
      <c r="F657" s="79" t="s">
        <v>22</v>
      </c>
      <c r="G657" s="79" t="s">
        <v>57</v>
      </c>
      <c r="H657" s="79" t="s">
        <v>982</v>
      </c>
      <c r="I657" s="79"/>
      <c r="J657" s="14" t="str">
        <f>IF(E657="Invalid_Segment","Invalid",IFERROR(INDEX(Severity_Matrix!$C$3:$M$10,MATCH('Error Log'!$F657,Severity_Matrix!$B$3:$B$10,0),MATCH('Error Log'!$G657,Severity_Matrix!$C$2:$M$2,0)),"No errors"))</f>
        <v>Major</v>
      </c>
    </row>
    <row r="658" spans="1:10">
      <c r="A658" s="74" t="s">
        <v>983</v>
      </c>
      <c r="B658" s="17">
        <v>3</v>
      </c>
      <c r="C658" s="83" t="s">
        <v>984</v>
      </c>
      <c r="D658" s="83" t="s">
        <v>985</v>
      </c>
      <c r="E658" s="79" t="s">
        <v>2</v>
      </c>
      <c r="F658" s="79" t="s">
        <v>26</v>
      </c>
      <c r="G658" s="79" t="s">
        <v>57</v>
      </c>
      <c r="H658" s="79" t="s">
        <v>982</v>
      </c>
      <c r="I658" s="79"/>
      <c r="J658" s="14" t="str">
        <f>IF(E658="Invalid_Segment","Invalid",IFERROR(INDEX(Severity_Matrix!$C$3:$M$10,MATCH('Error Log'!$F658,Severity_Matrix!$B$3:$B$10,0),MATCH('Error Log'!$G658,Severity_Matrix!$C$2:$M$2,0)),"No errors"))</f>
        <v>Major</v>
      </c>
    </row>
    <row r="659" spans="1:10">
      <c r="A659" s="74" t="s">
        <v>983</v>
      </c>
      <c r="B659" s="17">
        <v>4</v>
      </c>
      <c r="C659" s="83" t="s">
        <v>986</v>
      </c>
      <c r="D659" s="83" t="s">
        <v>987</v>
      </c>
      <c r="E659" s="79" t="s">
        <v>2</v>
      </c>
      <c r="F659" s="79" t="s">
        <v>26</v>
      </c>
      <c r="G659" s="79" t="s">
        <v>57</v>
      </c>
      <c r="H659" s="79" t="s">
        <v>988</v>
      </c>
      <c r="I659" s="79"/>
      <c r="J659" s="14" t="str">
        <f>IF(E659="Invalid_Segment","Invalid",IFERROR(INDEX(Severity_Matrix!$C$3:$M$10,MATCH('Error Log'!$F659,Severity_Matrix!$B$3:$B$10,0),MATCH('Error Log'!$G659,Severity_Matrix!$C$2:$M$2,0)),"No errors"))</f>
        <v>Major</v>
      </c>
    </row>
    <row r="660" spans="1:10">
      <c r="A660" s="74" t="s">
        <v>983</v>
      </c>
      <c r="B660" s="17">
        <v>5</v>
      </c>
      <c r="C660" s="83" t="s">
        <v>989</v>
      </c>
      <c r="D660" s="83" t="s">
        <v>990</v>
      </c>
      <c r="E660" s="79" t="s">
        <v>2</v>
      </c>
      <c r="F660" s="79" t="s">
        <v>26</v>
      </c>
      <c r="G660" s="79" t="s">
        <v>57</v>
      </c>
      <c r="H660" s="79" t="s">
        <v>991</v>
      </c>
      <c r="I660" s="79"/>
      <c r="J660" s="14" t="str">
        <f>IF(E660="Invalid_Segment","Invalid",IFERROR(INDEX(Severity_Matrix!$C$3:$M$10,MATCH('Error Log'!$F660,Severity_Matrix!$B$3:$B$10,0),MATCH('Error Log'!$G660,Severity_Matrix!$C$2:$M$2,0)),"No errors"))</f>
        <v>Major</v>
      </c>
    </row>
    <row r="661" spans="1:10">
      <c r="A661" s="74" t="s">
        <v>983</v>
      </c>
      <c r="B661" s="17">
        <v>6</v>
      </c>
      <c r="C661" s="83" t="s">
        <v>992</v>
      </c>
      <c r="D661" s="83" t="s">
        <v>993</v>
      </c>
      <c r="E661" s="79" t="s">
        <v>21</v>
      </c>
      <c r="F661" s="79" t="s">
        <v>7</v>
      </c>
      <c r="G661" s="79" t="s">
        <v>57</v>
      </c>
      <c r="H661" s="79" t="s">
        <v>994</v>
      </c>
      <c r="I661" s="79"/>
      <c r="J661" s="14" t="str">
        <f>IF(E661="Invalid_Segment","Invalid",IFERROR(INDEX(Severity_Matrix!$C$3:$M$10,MATCH('Error Log'!$F661,Severity_Matrix!$B$3:$B$10,0),MATCH('Error Log'!$G661,Severity_Matrix!$C$2:$M$2,0)),"No errors"))</f>
        <v>Critical</v>
      </c>
    </row>
    <row r="662" spans="1:10">
      <c r="A662" s="74" t="s">
        <v>983</v>
      </c>
      <c r="B662" s="17">
        <v>7</v>
      </c>
      <c r="C662" s="83" t="s">
        <v>995</v>
      </c>
      <c r="D662" s="83" t="s">
        <v>996</v>
      </c>
      <c r="E662" s="79" t="s">
        <v>21</v>
      </c>
      <c r="F662" s="79" t="s">
        <v>7</v>
      </c>
      <c r="G662" s="79" t="s">
        <v>57</v>
      </c>
      <c r="H662" s="79" t="s">
        <v>997</v>
      </c>
      <c r="I662" s="79"/>
      <c r="J662" s="14" t="str">
        <f>IF(E662="Invalid_Segment","Invalid",IFERROR(INDEX(Severity_Matrix!$C$3:$M$10,MATCH('Error Log'!$F662,Severity_Matrix!$B$3:$B$10,0),MATCH('Error Log'!$G662,Severity_Matrix!$C$2:$M$2,0)),"No errors"))</f>
        <v>Critical</v>
      </c>
    </row>
    <row r="663" spans="1:10">
      <c r="A663" s="74" t="s">
        <v>983</v>
      </c>
      <c r="B663" s="17">
        <v>8</v>
      </c>
      <c r="C663" s="83" t="s">
        <v>998</v>
      </c>
      <c r="D663" s="83" t="s">
        <v>999</v>
      </c>
      <c r="E663" s="79" t="s">
        <v>21</v>
      </c>
      <c r="F663" s="79" t="s">
        <v>7</v>
      </c>
      <c r="G663" s="79" t="s">
        <v>57</v>
      </c>
      <c r="H663" s="79" t="s">
        <v>1000</v>
      </c>
      <c r="I663" s="79"/>
      <c r="J663" s="14" t="str">
        <f>IF(E663="Invalid_Segment","Invalid",IFERROR(INDEX(Severity_Matrix!$C$3:$M$10,MATCH('Error Log'!$F663,Severity_Matrix!$B$3:$B$10,0),MATCH('Error Log'!$G663,Severity_Matrix!$C$2:$M$2,0)),"No errors"))</f>
        <v>Critical</v>
      </c>
    </row>
    <row r="664" spans="1:10">
      <c r="A664" s="74" t="s">
        <v>1001</v>
      </c>
      <c r="B664" s="17">
        <v>1</v>
      </c>
      <c r="C664" s="83" t="s">
        <v>1002</v>
      </c>
      <c r="D664" s="83" t="s">
        <v>1003</v>
      </c>
      <c r="E664" s="79" t="s">
        <v>21</v>
      </c>
      <c r="F664" s="79" t="s">
        <v>63</v>
      </c>
      <c r="G664" s="79" t="s">
        <v>27</v>
      </c>
      <c r="H664" s="79" t="s">
        <v>303</v>
      </c>
      <c r="I664" s="79"/>
      <c r="J664" s="14" t="str">
        <f>IF(E664="Invalid_Segment","Invalid",IFERROR(INDEX(Severity_Matrix!$C$3:$M$10,MATCH('Error Log'!$F664,Severity_Matrix!$B$3:$B$10,0),MATCH('Error Log'!$G664,Severity_Matrix!$C$2:$M$2,0)),"No errors"))</f>
        <v>Critical</v>
      </c>
    </row>
    <row r="665" spans="1:10">
      <c r="A665" s="74" t="s">
        <v>1001</v>
      </c>
      <c r="B665" s="17">
        <v>2</v>
      </c>
      <c r="C665" s="83" t="s">
        <v>1004</v>
      </c>
      <c r="D665" s="83" t="s">
        <v>1003</v>
      </c>
      <c r="E665" s="79" t="s">
        <v>21</v>
      </c>
      <c r="F665" s="79" t="s">
        <v>63</v>
      </c>
      <c r="G665" s="79" t="s">
        <v>28</v>
      </c>
      <c r="H665" s="79" t="s">
        <v>303</v>
      </c>
      <c r="I665" s="79"/>
      <c r="J665" s="14" t="str">
        <f>IF(E665="Invalid_Segment","Invalid",IFERROR(INDEX(Severity_Matrix!$C$3:$M$10,MATCH('Error Log'!$F665,Severity_Matrix!$B$3:$B$10,0),MATCH('Error Log'!$G665,Severity_Matrix!$C$2:$M$2,0)),"No errors"))</f>
        <v>Major</v>
      </c>
    </row>
    <row r="666" spans="1:10">
      <c r="A666" s="74" t="s">
        <v>1005</v>
      </c>
      <c r="B666" s="17">
        <v>3</v>
      </c>
      <c r="C666" s="83" t="s">
        <v>1006</v>
      </c>
      <c r="D666" s="83" t="s">
        <v>1003</v>
      </c>
      <c r="E666" s="79" t="s">
        <v>21</v>
      </c>
      <c r="F666" s="79" t="s">
        <v>63</v>
      </c>
      <c r="G666" s="79" t="s">
        <v>27</v>
      </c>
      <c r="H666" s="79" t="s">
        <v>303</v>
      </c>
      <c r="I666" s="79"/>
      <c r="J666" s="14" t="str">
        <f>IF(E666="Invalid_Segment","Invalid",IFERROR(INDEX(Severity_Matrix!$C$3:$M$10,MATCH('Error Log'!$F666,Severity_Matrix!$B$3:$B$10,0),MATCH('Error Log'!$G666,Severity_Matrix!$C$2:$M$2,0)),"No errors"))</f>
        <v>Critical</v>
      </c>
    </row>
    <row r="667" spans="1:10">
      <c r="A667" s="74" t="s">
        <v>1005</v>
      </c>
      <c r="B667" s="17">
        <v>4</v>
      </c>
      <c r="C667" s="83" t="s">
        <v>1007</v>
      </c>
      <c r="D667" s="83" t="s">
        <v>1003</v>
      </c>
      <c r="E667" s="79" t="s">
        <v>21</v>
      </c>
      <c r="F667" s="79" t="s">
        <v>63</v>
      </c>
      <c r="G667" s="79" t="s">
        <v>54</v>
      </c>
      <c r="H667" s="79" t="s">
        <v>1008</v>
      </c>
      <c r="I667" s="79"/>
      <c r="J667" s="14" t="str">
        <f>IF(E667="Invalid_Segment","Invalid",IFERROR(INDEX(Severity_Matrix!$C$3:$M$10,MATCH('Error Log'!$F667,Severity_Matrix!$B$3:$B$10,0),MATCH('Error Log'!$G667,Severity_Matrix!$C$2:$M$2,0)),"No errors"))</f>
        <v>Critical</v>
      </c>
    </row>
    <row r="668" spans="1:10">
      <c r="A668" s="74" t="s">
        <v>1005</v>
      </c>
      <c r="B668" s="17">
        <v>5</v>
      </c>
      <c r="C668" s="83" t="s">
        <v>1009</v>
      </c>
      <c r="D668" s="83" t="s">
        <v>1003</v>
      </c>
      <c r="E668" s="79" t="s">
        <v>21</v>
      </c>
      <c r="F668" s="79" t="s">
        <v>63</v>
      </c>
      <c r="G668" s="79" t="s">
        <v>54</v>
      </c>
      <c r="H668" s="79" t="s">
        <v>1010</v>
      </c>
      <c r="I668" s="79"/>
      <c r="J668" s="14" t="str">
        <f>IF(E668="Invalid_Segment","Invalid",IFERROR(INDEX(Severity_Matrix!$C$3:$M$10,MATCH('Error Log'!$F668,Severity_Matrix!$B$3:$B$10,0),MATCH('Error Log'!$G668,Severity_Matrix!$C$2:$M$2,0)),"No errors"))</f>
        <v>Critical</v>
      </c>
    </row>
    <row r="669" spans="1:10">
      <c r="A669" s="74" t="s">
        <v>1005</v>
      </c>
      <c r="B669" s="17">
        <v>6</v>
      </c>
      <c r="C669" s="83" t="s">
        <v>1011</v>
      </c>
      <c r="D669" s="83" t="s">
        <v>1003</v>
      </c>
      <c r="E669" s="79" t="s">
        <v>21</v>
      </c>
      <c r="F669" s="79" t="s">
        <v>63</v>
      </c>
      <c r="G669" s="79" t="s">
        <v>27</v>
      </c>
      <c r="H669" s="79" t="s">
        <v>303</v>
      </c>
      <c r="I669" s="79"/>
      <c r="J669" s="14" t="str">
        <f>IF(E669="Invalid_Segment","Invalid",IFERROR(INDEX(Severity_Matrix!$C$3:$M$10,MATCH('Error Log'!$F669,Severity_Matrix!$B$3:$B$10,0),MATCH('Error Log'!$G669,Severity_Matrix!$C$2:$M$2,0)),"No errors"))</f>
        <v>Critical</v>
      </c>
    </row>
    <row r="670" spans="1:10">
      <c r="A670" s="74" t="s">
        <v>1005</v>
      </c>
      <c r="B670" s="17">
        <v>7</v>
      </c>
      <c r="C670" s="83" t="s">
        <v>1012</v>
      </c>
      <c r="D670" s="83" t="s">
        <v>1003</v>
      </c>
      <c r="E670" s="79" t="s">
        <v>21</v>
      </c>
      <c r="F670" s="79" t="s">
        <v>7</v>
      </c>
      <c r="G670" s="79" t="s">
        <v>57</v>
      </c>
      <c r="H670" s="79" t="s">
        <v>1013</v>
      </c>
      <c r="I670" s="79"/>
      <c r="J670" s="14" t="str">
        <f>IF(E670="Invalid_Segment","Invalid",IFERROR(INDEX(Severity_Matrix!$C$3:$M$10,MATCH('Error Log'!$F670,Severity_Matrix!$B$3:$B$10,0),MATCH('Error Log'!$G670,Severity_Matrix!$C$2:$M$2,0)),"No errors"))</f>
        <v>Critical</v>
      </c>
    </row>
    <row r="671" spans="1:10">
      <c r="A671" s="74" t="s">
        <v>1005</v>
      </c>
      <c r="B671" s="17">
        <v>8</v>
      </c>
      <c r="C671" s="83" t="s">
        <v>1014</v>
      </c>
      <c r="D671" s="83" t="s">
        <v>1003</v>
      </c>
      <c r="E671" s="79" t="s">
        <v>21</v>
      </c>
      <c r="F671" s="79" t="s">
        <v>7</v>
      </c>
      <c r="G671" s="79" t="s">
        <v>57</v>
      </c>
      <c r="H671" s="79" t="s">
        <v>1015</v>
      </c>
      <c r="I671" s="79"/>
      <c r="J671" s="14" t="str">
        <f>IF(E671="Invalid_Segment","Invalid",IFERROR(INDEX(Severity_Matrix!$C$3:$M$10,MATCH('Error Log'!$F671,Severity_Matrix!$B$3:$B$10,0),MATCH('Error Log'!$G671,Severity_Matrix!$C$2:$M$2,0)),"No errors"))</f>
        <v>Critical</v>
      </c>
    </row>
    <row r="672" spans="1:10">
      <c r="A672" s="74" t="s">
        <v>1016</v>
      </c>
      <c r="B672" s="17">
        <v>1</v>
      </c>
      <c r="C672" s="83" t="s">
        <v>1017</v>
      </c>
      <c r="D672" s="83" t="s">
        <v>1018</v>
      </c>
      <c r="E672" s="79" t="s">
        <v>21</v>
      </c>
      <c r="F672" s="79" t="s">
        <v>63</v>
      </c>
      <c r="G672" s="79" t="s">
        <v>27</v>
      </c>
      <c r="H672" s="79" t="s">
        <v>303</v>
      </c>
      <c r="I672" s="79"/>
      <c r="J672" s="14" t="str">
        <f>IF(E672="Invalid_Segment","Invalid",IFERROR(INDEX(Severity_Matrix!$C$3:$M$10,MATCH('Error Log'!$F672,Severity_Matrix!$B$3:$B$10,0),MATCH('Error Log'!$G672,Severity_Matrix!$C$2:$M$2,0)),"No errors"))</f>
        <v>Critical</v>
      </c>
    </row>
    <row r="673" spans="1:10">
      <c r="A673" s="74" t="s">
        <v>1016</v>
      </c>
      <c r="B673" s="17">
        <v>2</v>
      </c>
      <c r="C673" s="83" t="s">
        <v>1019</v>
      </c>
      <c r="D673" s="83" t="s">
        <v>1018</v>
      </c>
      <c r="E673" s="79" t="s">
        <v>21</v>
      </c>
      <c r="F673" s="79" t="s">
        <v>63</v>
      </c>
      <c r="G673" s="79" t="s">
        <v>29</v>
      </c>
      <c r="H673" s="79" t="s">
        <v>303</v>
      </c>
      <c r="I673" s="79"/>
      <c r="J673" s="14" t="str">
        <f>IF(E673="Invalid_Segment","Invalid",IFERROR(INDEX(Severity_Matrix!$C$3:$M$10,MATCH('Error Log'!$F673,Severity_Matrix!$B$3:$B$10,0),MATCH('Error Log'!$G673,Severity_Matrix!$C$2:$M$2,0)),"No errors"))</f>
        <v>Critical</v>
      </c>
    </row>
    <row r="674" spans="1:10">
      <c r="A674" s="74" t="s">
        <v>1016</v>
      </c>
      <c r="B674" s="17">
        <v>3</v>
      </c>
      <c r="C674" s="83" t="s">
        <v>1020</v>
      </c>
      <c r="D674" s="83" t="s">
        <v>1018</v>
      </c>
      <c r="E674" s="79" t="s">
        <v>21</v>
      </c>
      <c r="F674" s="79" t="s">
        <v>63</v>
      </c>
      <c r="G674" s="79" t="s">
        <v>29</v>
      </c>
      <c r="H674" s="79" t="s">
        <v>303</v>
      </c>
      <c r="I674" s="79"/>
      <c r="J674" s="14" t="str">
        <f>IF(E674="Invalid_Segment","Invalid",IFERROR(INDEX(Severity_Matrix!$C$3:$M$10,MATCH('Error Log'!$F674,Severity_Matrix!$B$3:$B$10,0),MATCH('Error Log'!$G674,Severity_Matrix!$C$2:$M$2,0)),"No errors"))</f>
        <v>Critical</v>
      </c>
    </row>
    <row r="675" spans="1:10">
      <c r="A675" s="74" t="s">
        <v>1016</v>
      </c>
      <c r="B675" s="17">
        <v>4</v>
      </c>
      <c r="C675" s="83" t="s">
        <v>1021</v>
      </c>
      <c r="D675" s="83" t="s">
        <v>1018</v>
      </c>
      <c r="E675" s="79" t="s">
        <v>2</v>
      </c>
      <c r="F675" s="79" t="s">
        <v>26</v>
      </c>
      <c r="G675" s="79" t="s">
        <v>57</v>
      </c>
      <c r="H675" s="79" t="s">
        <v>1022</v>
      </c>
      <c r="I675" s="79"/>
      <c r="J675" s="14" t="str">
        <f>IF(E675="Invalid_Segment","Invalid",IFERROR(INDEX(Severity_Matrix!$C$3:$M$10,MATCH('Error Log'!$F675,Severity_Matrix!$B$3:$B$10,0),MATCH('Error Log'!$G675,Severity_Matrix!$C$2:$M$2,0)),"No errors"))</f>
        <v>Major</v>
      </c>
    </row>
    <row r="676" spans="1:10">
      <c r="A676" s="74" t="s">
        <v>1023</v>
      </c>
      <c r="B676" s="17">
        <v>1</v>
      </c>
      <c r="C676" s="83" t="s">
        <v>1024</v>
      </c>
      <c r="D676" s="83" t="s">
        <v>1025</v>
      </c>
      <c r="E676" s="79" t="s">
        <v>21</v>
      </c>
      <c r="F676" s="79" t="s">
        <v>7</v>
      </c>
      <c r="G676" s="79" t="s">
        <v>57</v>
      </c>
      <c r="H676" s="79" t="s">
        <v>1026</v>
      </c>
      <c r="I676" s="79"/>
      <c r="J676" s="14" t="str">
        <f>IF(E676="Invalid_Segment","Invalid",IFERROR(INDEX(Severity_Matrix!$C$3:$M$10,MATCH('Error Log'!$F676,Severity_Matrix!$B$3:$B$10,0),MATCH('Error Log'!$G676,Severity_Matrix!$C$2:$M$2,0)),"No errors"))</f>
        <v>Critical</v>
      </c>
    </row>
    <row r="677" spans="1:10">
      <c r="A677" s="74" t="s">
        <v>1027</v>
      </c>
      <c r="B677" s="17">
        <v>1</v>
      </c>
      <c r="C677" s="83" t="s">
        <v>1028</v>
      </c>
      <c r="D677" s="83" t="s">
        <v>1029</v>
      </c>
      <c r="E677" s="79" t="s">
        <v>21</v>
      </c>
      <c r="F677" s="79" t="s">
        <v>63</v>
      </c>
      <c r="G677" s="79" t="s">
        <v>28</v>
      </c>
      <c r="H677" s="79" t="s">
        <v>77</v>
      </c>
      <c r="I677" s="79"/>
      <c r="J677" s="14" t="str">
        <f>IF(E677="Invalid_Segment","Invalid",IFERROR(INDEX(Severity_Matrix!$C$3:$M$10,MATCH('Error Log'!$F677,Severity_Matrix!$B$3:$B$10,0),MATCH('Error Log'!$G677,Severity_Matrix!$C$2:$M$2,0)),"No errors"))</f>
        <v>Major</v>
      </c>
    </row>
    <row r="678" spans="1:10">
      <c r="A678" s="74" t="s">
        <v>1027</v>
      </c>
      <c r="B678" s="17">
        <v>2</v>
      </c>
      <c r="C678" s="83" t="s">
        <v>1028</v>
      </c>
      <c r="D678" s="83" t="s">
        <v>1029</v>
      </c>
      <c r="E678" s="79" t="s">
        <v>21</v>
      </c>
      <c r="F678" s="79" t="s">
        <v>22</v>
      </c>
      <c r="G678" s="79" t="s">
        <v>57</v>
      </c>
      <c r="H678" s="81" t="s">
        <v>1030</v>
      </c>
      <c r="I678" s="79"/>
      <c r="J678" s="14" t="str">
        <f>IF(E678="Invalid_Segment","Invalid",IFERROR(INDEX(Severity_Matrix!$C$3:$M$10,MATCH('Error Log'!$F678,Severity_Matrix!$B$3:$B$10,0),MATCH('Error Log'!$G678,Severity_Matrix!$C$2:$M$2,0)),"No errors"))</f>
        <v>Major</v>
      </c>
    </row>
    <row r="679" spans="1:10">
      <c r="A679" s="74" t="s">
        <v>1031</v>
      </c>
      <c r="B679" s="17">
        <v>3</v>
      </c>
      <c r="C679" s="83" t="s">
        <v>1032</v>
      </c>
      <c r="D679" s="83" t="s">
        <v>1033</v>
      </c>
      <c r="E679" s="79" t="s">
        <v>21</v>
      </c>
      <c r="F679" s="79" t="s">
        <v>7</v>
      </c>
      <c r="G679" s="79" t="s">
        <v>57</v>
      </c>
      <c r="H679" s="79" t="s">
        <v>1034</v>
      </c>
      <c r="I679" s="79"/>
      <c r="J679" s="14" t="str">
        <f>IF(E679="Invalid_Segment","Invalid",IFERROR(INDEX(Severity_Matrix!$C$3:$M$10,MATCH('Error Log'!$F679,Severity_Matrix!$B$3:$B$10,0),MATCH('Error Log'!$G679,Severity_Matrix!$C$2:$M$2,0)),"No errors"))</f>
        <v>Critical</v>
      </c>
    </row>
    <row r="680" spans="1:10">
      <c r="A680" s="74" t="s">
        <v>1031</v>
      </c>
      <c r="B680" s="17">
        <v>4</v>
      </c>
      <c r="C680" s="83" t="s">
        <v>1035</v>
      </c>
      <c r="D680" s="83" t="s">
        <v>1036</v>
      </c>
      <c r="E680" s="79" t="s">
        <v>21</v>
      </c>
      <c r="F680" s="79" t="s">
        <v>7</v>
      </c>
      <c r="G680" s="79" t="s">
        <v>57</v>
      </c>
      <c r="H680" s="79" t="s">
        <v>1037</v>
      </c>
      <c r="I680" s="79"/>
      <c r="J680" s="14" t="str">
        <f>IF(E680="Invalid_Segment","Invalid",IFERROR(INDEX(Severity_Matrix!$C$3:$M$10,MATCH('Error Log'!$F680,Severity_Matrix!$B$3:$B$10,0),MATCH('Error Log'!$G680,Severity_Matrix!$C$2:$M$2,0)),"No errors"))</f>
        <v>Critical</v>
      </c>
    </row>
    <row r="681" spans="1:10">
      <c r="A681" s="74" t="s">
        <v>1031</v>
      </c>
      <c r="B681" s="17">
        <v>5</v>
      </c>
      <c r="C681" s="83" t="s">
        <v>1038</v>
      </c>
      <c r="D681" s="83" t="s">
        <v>1039</v>
      </c>
      <c r="E681" s="79" t="s">
        <v>21</v>
      </c>
      <c r="F681" s="79" t="s">
        <v>7</v>
      </c>
      <c r="G681" s="79" t="s">
        <v>57</v>
      </c>
      <c r="H681" s="79" t="s">
        <v>1040</v>
      </c>
      <c r="I681" s="79"/>
      <c r="J681" s="14" t="str">
        <f>IF(E681="Invalid_Segment","Invalid",IFERROR(INDEX(Severity_Matrix!$C$3:$M$10,MATCH('Error Log'!$F681,Severity_Matrix!$B$3:$B$10,0),MATCH('Error Log'!$G681,Severity_Matrix!$C$2:$M$2,0)),"No errors"))</f>
        <v>Critical</v>
      </c>
    </row>
    <row r="682" spans="1:10">
      <c r="A682" s="74" t="s">
        <v>1041</v>
      </c>
      <c r="B682" s="17">
        <v>1</v>
      </c>
      <c r="C682" s="83" t="s">
        <v>1042</v>
      </c>
      <c r="D682" s="83" t="s">
        <v>1043</v>
      </c>
      <c r="E682" s="79" t="s">
        <v>21</v>
      </c>
      <c r="F682" s="79" t="s">
        <v>63</v>
      </c>
      <c r="G682" s="79" t="s">
        <v>27</v>
      </c>
      <c r="H682" s="79" t="s">
        <v>303</v>
      </c>
      <c r="I682" s="79"/>
      <c r="J682" s="14" t="str">
        <f>IF(E682="Invalid_Segment","Invalid",IFERROR(INDEX(Severity_Matrix!$C$3:$M$10,MATCH('Error Log'!$F682,Severity_Matrix!$B$3:$B$10,0),MATCH('Error Log'!$G682,Severity_Matrix!$C$2:$M$2,0)),"No errors"))</f>
        <v>Critical</v>
      </c>
    </row>
    <row r="683" spans="1:10">
      <c r="A683" s="74" t="s">
        <v>1041</v>
      </c>
      <c r="B683" s="17">
        <v>2</v>
      </c>
      <c r="C683" s="83" t="s">
        <v>1044</v>
      </c>
      <c r="D683" s="83" t="s">
        <v>1043</v>
      </c>
      <c r="E683" s="79" t="s">
        <v>21</v>
      </c>
      <c r="F683" s="79" t="s">
        <v>63</v>
      </c>
      <c r="G683" s="79" t="s">
        <v>27</v>
      </c>
      <c r="H683" s="79" t="s">
        <v>303</v>
      </c>
      <c r="I683" s="79"/>
      <c r="J683" s="14" t="str">
        <f>IF(E683="Invalid_Segment","Invalid",IFERROR(INDEX(Severity_Matrix!$C$3:$M$10,MATCH('Error Log'!$F683,Severity_Matrix!$B$3:$B$10,0),MATCH('Error Log'!$G683,Severity_Matrix!$C$2:$M$2,0)),"No errors"))</f>
        <v>Critical</v>
      </c>
    </row>
    <row r="684" spans="1:10">
      <c r="A684" s="74" t="s">
        <v>1045</v>
      </c>
      <c r="B684" s="17">
        <v>3</v>
      </c>
      <c r="C684" s="83" t="s">
        <v>1046</v>
      </c>
      <c r="D684" s="83" t="s">
        <v>1043</v>
      </c>
      <c r="E684" s="79" t="s">
        <v>21</v>
      </c>
      <c r="F684" s="79" t="s">
        <v>63</v>
      </c>
      <c r="G684" s="79" t="s">
        <v>27</v>
      </c>
      <c r="H684" s="79" t="s">
        <v>303</v>
      </c>
      <c r="I684" s="79"/>
      <c r="J684" s="14" t="str">
        <f>IF(E684="Invalid_Segment","Invalid",IFERROR(INDEX(Severity_Matrix!$C$3:$M$10,MATCH('Error Log'!$F684,Severity_Matrix!$B$3:$B$10,0),MATCH('Error Log'!$G684,Severity_Matrix!$C$2:$M$2,0)),"No errors"))</f>
        <v>Critical</v>
      </c>
    </row>
    <row r="685" spans="1:10">
      <c r="A685" s="74" t="s">
        <v>1045</v>
      </c>
      <c r="B685" s="17">
        <v>4</v>
      </c>
      <c r="C685" s="83" t="s">
        <v>1047</v>
      </c>
      <c r="D685" s="83" t="s">
        <v>1043</v>
      </c>
      <c r="E685" s="79" t="s">
        <v>21</v>
      </c>
      <c r="F685" s="79" t="s">
        <v>22</v>
      </c>
      <c r="G685" s="79" t="s">
        <v>57</v>
      </c>
      <c r="H685" s="79" t="s">
        <v>1048</v>
      </c>
      <c r="I685" s="79"/>
      <c r="J685" s="14" t="str">
        <f>IF(E685="Invalid_Segment","Invalid",IFERROR(INDEX(Severity_Matrix!$C$3:$M$10,MATCH('Error Log'!$F685,Severity_Matrix!$B$3:$B$10,0),MATCH('Error Log'!$G685,Severity_Matrix!$C$2:$M$2,0)),"No errors"))</f>
        <v>Major</v>
      </c>
    </row>
    <row r="686" spans="1:10">
      <c r="A686" s="74" t="s">
        <v>1045</v>
      </c>
      <c r="B686" s="17">
        <v>5</v>
      </c>
      <c r="C686" s="83" t="s">
        <v>1049</v>
      </c>
      <c r="D686" s="83" t="s">
        <v>1043</v>
      </c>
      <c r="E686" s="79" t="s">
        <v>2</v>
      </c>
      <c r="F686" s="79" t="s">
        <v>26</v>
      </c>
      <c r="G686" s="79" t="s">
        <v>57</v>
      </c>
      <c r="H686" s="79" t="s">
        <v>1048</v>
      </c>
      <c r="I686" s="79"/>
      <c r="J686" s="14" t="str">
        <f>IF(E686="Invalid_Segment","Invalid",IFERROR(INDEX(Severity_Matrix!$C$3:$M$10,MATCH('Error Log'!$F686,Severity_Matrix!$B$3:$B$10,0),MATCH('Error Log'!$G686,Severity_Matrix!$C$2:$M$2,0)),"No errors"))</f>
        <v>Major</v>
      </c>
    </row>
    <row r="687" spans="1:10">
      <c r="A687" s="74" t="s">
        <v>1045</v>
      </c>
      <c r="B687" s="17">
        <v>6</v>
      </c>
      <c r="C687" s="83" t="s">
        <v>1050</v>
      </c>
      <c r="D687" s="83" t="s">
        <v>1043</v>
      </c>
      <c r="E687" s="79" t="s">
        <v>21</v>
      </c>
      <c r="F687" s="79" t="s">
        <v>7</v>
      </c>
      <c r="G687" s="79" t="s">
        <v>57</v>
      </c>
      <c r="H687" s="79" t="s">
        <v>1051</v>
      </c>
      <c r="I687" s="79"/>
      <c r="J687" s="14" t="str">
        <f>IF(E687="Invalid_Segment","Invalid",IFERROR(INDEX(Severity_Matrix!$C$3:$M$10,MATCH('Error Log'!$F687,Severity_Matrix!$B$3:$B$10,0),MATCH('Error Log'!$G687,Severity_Matrix!$C$2:$M$2,0)),"No errors"))</f>
        <v>Critical</v>
      </c>
    </row>
    <row r="688" spans="1:10">
      <c r="A688" s="74" t="s">
        <v>1045</v>
      </c>
      <c r="B688" s="17">
        <v>7</v>
      </c>
      <c r="C688" s="83" t="s">
        <v>1052</v>
      </c>
      <c r="D688" s="83" t="s">
        <v>1043</v>
      </c>
      <c r="E688" s="79" t="s">
        <v>21</v>
      </c>
      <c r="F688" s="79" t="s">
        <v>7</v>
      </c>
      <c r="G688" s="79" t="s">
        <v>57</v>
      </c>
      <c r="H688" s="79" t="s">
        <v>1053</v>
      </c>
      <c r="I688" s="79"/>
      <c r="J688" s="14" t="str">
        <f>IF(E688="Invalid_Segment","Invalid",IFERROR(INDEX(Severity_Matrix!$C$3:$M$10,MATCH('Error Log'!$F688,Severity_Matrix!$B$3:$B$10,0),MATCH('Error Log'!$G688,Severity_Matrix!$C$2:$M$2,0)),"No errors"))</f>
        <v>Critical</v>
      </c>
    </row>
    <row r="689" spans="1:10">
      <c r="A689" s="74" t="s">
        <v>1045</v>
      </c>
      <c r="B689" s="17">
        <v>8</v>
      </c>
      <c r="C689" s="83" t="s">
        <v>1054</v>
      </c>
      <c r="D689" s="83" t="s">
        <v>1043</v>
      </c>
      <c r="E689" s="79" t="s">
        <v>21</v>
      </c>
      <c r="F689" s="79" t="s">
        <v>7</v>
      </c>
      <c r="G689" s="79" t="s">
        <v>57</v>
      </c>
      <c r="H689" s="79" t="s">
        <v>1055</v>
      </c>
      <c r="I689" s="79"/>
      <c r="J689" s="14" t="str">
        <f>IF(E689="Invalid_Segment","Invalid",IFERROR(INDEX(Severity_Matrix!$C$3:$M$10,MATCH('Error Log'!$F689,Severity_Matrix!$B$3:$B$10,0),MATCH('Error Log'!$G689,Severity_Matrix!$C$2:$M$2,0)),"No errors"))</f>
        <v>Critical</v>
      </c>
    </row>
    <row r="690" spans="1:10">
      <c r="A690" s="74" t="s">
        <v>1056</v>
      </c>
      <c r="B690" s="17">
        <v>1</v>
      </c>
      <c r="C690" s="83" t="s">
        <v>1057</v>
      </c>
      <c r="D690" s="83" t="s">
        <v>1058</v>
      </c>
      <c r="E690" s="79" t="s">
        <v>2</v>
      </c>
      <c r="F690" s="79" t="s">
        <v>26</v>
      </c>
      <c r="G690" s="79" t="s">
        <v>57</v>
      </c>
      <c r="H690" s="79" t="s">
        <v>1059</v>
      </c>
      <c r="I690" s="79"/>
      <c r="J690" s="14" t="str">
        <f>IF(E690="Invalid_Segment","Invalid",IFERROR(INDEX(Severity_Matrix!$C$3:$M$10,MATCH('Error Log'!$F690,Severity_Matrix!$B$3:$B$10,0),MATCH('Error Log'!$G690,Severity_Matrix!$C$2:$M$2,0)),"No errors"))</f>
        <v>Major</v>
      </c>
    </row>
    <row r="691" spans="1:10">
      <c r="A691" s="74" t="s">
        <v>1056</v>
      </c>
      <c r="B691" s="17">
        <v>2</v>
      </c>
      <c r="C691" s="83" t="s">
        <v>1060</v>
      </c>
      <c r="D691" s="83" t="s">
        <v>1058</v>
      </c>
      <c r="E691" s="79" t="s">
        <v>21</v>
      </c>
      <c r="F691" s="79" t="s">
        <v>22</v>
      </c>
      <c r="G691" s="79" t="s">
        <v>28</v>
      </c>
      <c r="H691" s="79" t="s">
        <v>1061</v>
      </c>
      <c r="I691" s="79"/>
      <c r="J691" s="14" t="str">
        <f>IF(E691="Invalid_Segment","Invalid",IFERROR(INDEX(Severity_Matrix!$C$3:$M$10,MATCH('Error Log'!$F691,Severity_Matrix!$B$3:$B$10,0),MATCH('Error Log'!$G691,Severity_Matrix!$C$2:$M$2,0)),"No errors"))</f>
        <v>Major</v>
      </c>
    </row>
    <row r="692" spans="1:10">
      <c r="A692" s="74" t="s">
        <v>1062</v>
      </c>
      <c r="B692" s="17">
        <v>3</v>
      </c>
      <c r="C692" s="83" t="s">
        <v>1063</v>
      </c>
      <c r="D692" s="83" t="s">
        <v>1058</v>
      </c>
      <c r="E692" s="79" t="s">
        <v>21</v>
      </c>
      <c r="F692" s="79" t="s">
        <v>7</v>
      </c>
      <c r="G692" s="79" t="s">
        <v>57</v>
      </c>
      <c r="H692" s="79" t="s">
        <v>1064</v>
      </c>
      <c r="I692" s="79"/>
      <c r="J692" s="14" t="str">
        <f>IF(E692="Invalid_Segment","Invalid",IFERROR(INDEX(Severity_Matrix!$C$3:$M$10,MATCH('Error Log'!$F692,Severity_Matrix!$B$3:$B$10,0),MATCH('Error Log'!$G692,Severity_Matrix!$C$2:$M$2,0)),"No errors"))</f>
        <v>Critical</v>
      </c>
    </row>
    <row r="693" spans="1:10">
      <c r="A693" s="74" t="s">
        <v>1065</v>
      </c>
      <c r="B693" s="17">
        <v>1</v>
      </c>
      <c r="C693" s="83" t="s">
        <v>1066</v>
      </c>
      <c r="D693" s="83" t="s">
        <v>1067</v>
      </c>
      <c r="E693" s="79" t="s">
        <v>21</v>
      </c>
      <c r="F693" s="79" t="s">
        <v>7</v>
      </c>
      <c r="G693" s="79" t="s">
        <v>57</v>
      </c>
      <c r="H693" s="79" t="s">
        <v>1068</v>
      </c>
      <c r="I693" s="79"/>
      <c r="J693" s="14" t="str">
        <f>IF(E693="Invalid_Segment","Invalid",IFERROR(INDEX(Severity_Matrix!$C$3:$M$10,MATCH('Error Log'!$F693,Severity_Matrix!$B$3:$B$10,0),MATCH('Error Log'!$G693,Severity_Matrix!$C$2:$M$2,0)),"No errors"))</f>
        <v>Critical</v>
      </c>
    </row>
    <row r="694" spans="1:10">
      <c r="A694" s="74" t="s">
        <v>1065</v>
      </c>
      <c r="B694" s="17">
        <v>2</v>
      </c>
      <c r="C694" s="83" t="s">
        <v>1069</v>
      </c>
      <c r="D694" s="83" t="s">
        <v>1070</v>
      </c>
      <c r="E694" s="79" t="s">
        <v>21</v>
      </c>
      <c r="F694" s="79" t="s">
        <v>7</v>
      </c>
      <c r="G694" s="79" t="s">
        <v>57</v>
      </c>
      <c r="H694" s="79" t="s">
        <v>1071</v>
      </c>
      <c r="I694" s="79"/>
      <c r="J694" s="14" t="str">
        <f>IF(E694="Invalid_Segment","Invalid",IFERROR(INDEX(Severity_Matrix!$C$3:$M$10,MATCH('Error Log'!$F694,Severity_Matrix!$B$3:$B$10,0),MATCH('Error Log'!$G694,Severity_Matrix!$C$2:$M$2,0)),"No errors"))</f>
        <v>Critical</v>
      </c>
    </row>
    <row r="695" spans="1:10">
      <c r="A695" s="74" t="s">
        <v>1065</v>
      </c>
      <c r="B695" s="17">
        <v>3</v>
      </c>
      <c r="C695" s="83" t="s">
        <v>1072</v>
      </c>
      <c r="D695" s="83" t="s">
        <v>1073</v>
      </c>
      <c r="E695" s="79" t="s">
        <v>21</v>
      </c>
      <c r="F695" s="79" t="s">
        <v>22</v>
      </c>
      <c r="G695" s="79" t="s">
        <v>57</v>
      </c>
      <c r="H695" s="79" t="s">
        <v>1074</v>
      </c>
      <c r="I695" s="79"/>
      <c r="J695" s="14" t="str">
        <f>IF(E695="Invalid_Segment","Invalid",IFERROR(INDEX(Severity_Matrix!$C$3:$M$10,MATCH('Error Log'!$F695,Severity_Matrix!$B$3:$B$10,0),MATCH('Error Log'!$G695,Severity_Matrix!$C$2:$M$2,0)),"No errors"))</f>
        <v>Major</v>
      </c>
    </row>
    <row r="696" spans="1:10">
      <c r="A696" s="74" t="s">
        <v>1075</v>
      </c>
      <c r="B696" s="17">
        <v>1</v>
      </c>
      <c r="C696" s="83" t="s">
        <v>1076</v>
      </c>
      <c r="D696" s="83" t="s">
        <v>1077</v>
      </c>
      <c r="E696" s="79" t="s">
        <v>21</v>
      </c>
      <c r="F696" s="79" t="s">
        <v>63</v>
      </c>
      <c r="G696" s="79" t="s">
        <v>29</v>
      </c>
      <c r="H696" s="79">
        <v>1978</v>
      </c>
      <c r="I696" s="79"/>
      <c r="J696" s="14" t="str">
        <f>IF(E696="Invalid_Segment","Invalid",IFERROR(INDEX(Severity_Matrix!$C$3:$M$10,MATCH('Error Log'!$F696,Severity_Matrix!$B$3:$B$10,0),MATCH('Error Log'!$G696,Severity_Matrix!$C$2:$M$2,0)),"No errors"))</f>
        <v>Critical</v>
      </c>
    </row>
    <row r="697" spans="1:10">
      <c r="A697" s="74" t="s">
        <v>1075</v>
      </c>
      <c r="B697" s="17">
        <v>2</v>
      </c>
      <c r="C697" s="83" t="s">
        <v>1078</v>
      </c>
      <c r="D697" s="83" t="s">
        <v>1079</v>
      </c>
      <c r="E697" s="79" t="s">
        <v>21</v>
      </c>
      <c r="F697" s="79" t="s">
        <v>22</v>
      </c>
      <c r="G697" s="79" t="s">
        <v>57</v>
      </c>
      <c r="H697" s="79" t="s">
        <v>1080</v>
      </c>
      <c r="I697" s="79"/>
      <c r="J697" s="14" t="str">
        <f>IF(E697="Invalid_Segment","Invalid",IFERROR(INDEX(Severity_Matrix!$C$3:$M$10,MATCH('Error Log'!$F697,Severity_Matrix!$B$3:$B$10,0),MATCH('Error Log'!$G697,Severity_Matrix!$C$2:$M$2,0)),"No errors"))</f>
        <v>Major</v>
      </c>
    </row>
    <row r="698" spans="1:10">
      <c r="A698" s="74" t="s">
        <v>1081</v>
      </c>
      <c r="B698" s="17">
        <v>3</v>
      </c>
      <c r="C698" s="83" t="s">
        <v>1082</v>
      </c>
      <c r="D698" s="83" t="s">
        <v>1083</v>
      </c>
      <c r="E698" s="79" t="s">
        <v>21</v>
      </c>
      <c r="F698" s="79" t="s">
        <v>22</v>
      </c>
      <c r="G698" s="79" t="s">
        <v>57</v>
      </c>
      <c r="H698" s="79" t="s">
        <v>1084</v>
      </c>
      <c r="I698" s="79"/>
      <c r="J698" s="14" t="str">
        <f>IF(E698="Invalid_Segment","Invalid",IFERROR(INDEX(Severity_Matrix!$C$3:$M$10,MATCH('Error Log'!$F698,Severity_Matrix!$B$3:$B$10,0),MATCH('Error Log'!$G698,Severity_Matrix!$C$2:$M$2,0)),"No errors"))</f>
        <v>Major</v>
      </c>
    </row>
    <row r="699" spans="1:10">
      <c r="A699" s="74" t="s">
        <v>1081</v>
      </c>
      <c r="B699" s="17">
        <v>4</v>
      </c>
      <c r="C699" s="83" t="s">
        <v>1085</v>
      </c>
      <c r="D699" s="83" t="s">
        <v>1086</v>
      </c>
      <c r="E699" s="79" t="s">
        <v>21</v>
      </c>
      <c r="F699" s="79" t="s">
        <v>7</v>
      </c>
      <c r="G699" s="79" t="s">
        <v>57</v>
      </c>
      <c r="H699" s="79" t="s">
        <v>1087</v>
      </c>
      <c r="I699" s="79"/>
      <c r="J699" s="14" t="str">
        <f>IF(E699="Invalid_Segment","Invalid",IFERROR(INDEX(Severity_Matrix!$C$3:$M$10,MATCH('Error Log'!$F699,Severity_Matrix!$B$3:$B$10,0),MATCH('Error Log'!$G699,Severity_Matrix!$C$2:$M$2,0)),"No errors"))</f>
        <v>Critical</v>
      </c>
    </row>
    <row r="700" spans="1:10">
      <c r="A700" s="74" t="s">
        <v>1081</v>
      </c>
      <c r="B700" s="17">
        <v>5</v>
      </c>
      <c r="C700" s="83" t="s">
        <v>1088</v>
      </c>
      <c r="D700" s="83" t="s">
        <v>1089</v>
      </c>
      <c r="E700" s="79" t="s">
        <v>21</v>
      </c>
      <c r="F700" s="79" t="s">
        <v>7</v>
      </c>
      <c r="G700" s="79" t="s">
        <v>57</v>
      </c>
      <c r="H700" s="79" t="s">
        <v>1090</v>
      </c>
      <c r="I700" s="79"/>
      <c r="J700" s="14" t="str">
        <f>IF(E700="Invalid_Segment","Invalid",IFERROR(INDEX(Severity_Matrix!$C$3:$M$10,MATCH('Error Log'!$F700,Severity_Matrix!$B$3:$B$10,0),MATCH('Error Log'!$G700,Severity_Matrix!$C$2:$M$2,0)),"No errors"))</f>
        <v>Critical</v>
      </c>
    </row>
    <row r="701" spans="1:10">
      <c r="A701" s="74" t="s">
        <v>1081</v>
      </c>
      <c r="B701" s="17">
        <v>6</v>
      </c>
      <c r="C701" s="83" t="s">
        <v>1091</v>
      </c>
      <c r="D701" s="83" t="s">
        <v>1092</v>
      </c>
      <c r="E701" s="79" t="s">
        <v>21</v>
      </c>
      <c r="F701" s="79" t="s">
        <v>7</v>
      </c>
      <c r="G701" s="79" t="s">
        <v>57</v>
      </c>
      <c r="H701" s="79" t="s">
        <v>1093</v>
      </c>
      <c r="I701" s="79"/>
      <c r="J701" s="14" t="str">
        <f>IF(E701="Invalid_Segment","Invalid",IFERROR(INDEX(Severity_Matrix!$C$3:$M$10,MATCH('Error Log'!$F701,Severity_Matrix!$B$3:$B$10,0),MATCH('Error Log'!$G701,Severity_Matrix!$C$2:$M$2,0)),"No errors"))</f>
        <v>Critical</v>
      </c>
    </row>
    <row r="702" spans="1:10">
      <c r="A702" s="73" t="s">
        <v>1387</v>
      </c>
      <c r="B702" s="17">
        <v>1</v>
      </c>
      <c r="C702" s="73" t="s">
        <v>1094</v>
      </c>
      <c r="D702" s="73" t="s">
        <v>1095</v>
      </c>
      <c r="E702" s="79" t="s">
        <v>2</v>
      </c>
      <c r="F702" s="79" t="s">
        <v>26</v>
      </c>
      <c r="G702" s="79" t="s">
        <v>57</v>
      </c>
      <c r="H702" s="79" t="s">
        <v>1096</v>
      </c>
      <c r="I702" s="79"/>
      <c r="J702" s="14" t="str">
        <f>IF(E702="Invalid_Segment","Invalid",IFERROR(INDEX(Severity_Matrix!$C$3:$M$10,MATCH('Error Log'!$F702,Severity_Matrix!$B$3:$B$10,0),MATCH('Error Log'!$G702,Severity_Matrix!$C$2:$M$2,0)),"No errors"))</f>
        <v>Major</v>
      </c>
    </row>
    <row r="703" spans="1:10">
      <c r="A703" s="73" t="s">
        <v>1387</v>
      </c>
      <c r="B703" s="17">
        <v>2</v>
      </c>
      <c r="C703" s="73" t="s">
        <v>1094</v>
      </c>
      <c r="D703" s="73" t="s">
        <v>1095</v>
      </c>
      <c r="E703" s="79" t="s">
        <v>21</v>
      </c>
      <c r="F703" s="79" t="s">
        <v>7</v>
      </c>
      <c r="G703" s="79" t="s">
        <v>57</v>
      </c>
      <c r="H703" s="79" t="s">
        <v>1097</v>
      </c>
      <c r="I703" s="79"/>
      <c r="J703" s="14" t="str">
        <f>IF(E703="Invalid_Segment","Invalid",IFERROR(INDEX(Severity_Matrix!$C$3:$M$10,MATCH('Error Log'!$F703,Severity_Matrix!$B$3:$B$10,0),MATCH('Error Log'!$G703,Severity_Matrix!$C$2:$M$2,0)),"No errors"))</f>
        <v>Critical</v>
      </c>
    </row>
    <row r="704" spans="1:10">
      <c r="A704" s="73" t="s">
        <v>1388</v>
      </c>
      <c r="B704" s="17">
        <v>1</v>
      </c>
      <c r="C704" s="73" t="s">
        <v>1098</v>
      </c>
      <c r="D704" s="73" t="s">
        <v>1099</v>
      </c>
      <c r="E704" s="79" t="s">
        <v>2</v>
      </c>
      <c r="F704" s="79" t="s">
        <v>26</v>
      </c>
      <c r="G704" s="79" t="s">
        <v>57</v>
      </c>
      <c r="H704" s="79" t="s">
        <v>1100</v>
      </c>
      <c r="I704" s="79"/>
      <c r="J704" s="14" t="str">
        <f>IF(E704="Invalid_Segment","Invalid",IFERROR(INDEX(Severity_Matrix!$C$3:$M$10,MATCH('Error Log'!$F704,Severity_Matrix!$B$3:$B$10,0),MATCH('Error Log'!$G704,Severity_Matrix!$C$2:$M$2,0)),"No errors"))</f>
        <v>Major</v>
      </c>
    </row>
    <row r="705" spans="1:10">
      <c r="A705" s="73" t="s">
        <v>1388</v>
      </c>
      <c r="B705" s="17">
        <v>2</v>
      </c>
      <c r="C705" s="73" t="s">
        <v>1098</v>
      </c>
      <c r="D705" s="73" t="s">
        <v>1099</v>
      </c>
      <c r="E705" s="79" t="s">
        <v>21</v>
      </c>
      <c r="F705" s="79" t="s">
        <v>7</v>
      </c>
      <c r="G705" s="79" t="s">
        <v>57</v>
      </c>
      <c r="H705" s="79" t="s">
        <v>1101</v>
      </c>
      <c r="I705" s="79"/>
      <c r="J705" s="14" t="str">
        <f>IF(E705="Invalid_Segment","Invalid",IFERROR(INDEX(Severity_Matrix!$C$3:$M$10,MATCH('Error Log'!$F705,Severity_Matrix!$B$3:$B$10,0),MATCH('Error Log'!$G705,Severity_Matrix!$C$2:$M$2,0)),"No errors"))</f>
        <v>Critical</v>
      </c>
    </row>
    <row r="706" spans="1:10">
      <c r="A706" s="73" t="s">
        <v>1388</v>
      </c>
      <c r="B706" s="17">
        <v>3</v>
      </c>
      <c r="C706" s="73" t="s">
        <v>1098</v>
      </c>
      <c r="D706" s="73" t="s">
        <v>1099</v>
      </c>
      <c r="E706" s="79" t="s">
        <v>21</v>
      </c>
      <c r="F706" s="79" t="s">
        <v>7</v>
      </c>
      <c r="G706" s="79" t="s">
        <v>57</v>
      </c>
      <c r="H706" s="79" t="s">
        <v>1102</v>
      </c>
      <c r="I706" s="79"/>
      <c r="J706" s="14" t="str">
        <f>IF(E706="Invalid_Segment","Invalid",IFERROR(INDEX(Severity_Matrix!$C$3:$M$10,MATCH('Error Log'!$F706,Severity_Matrix!$B$3:$B$10,0),MATCH('Error Log'!$G706,Severity_Matrix!$C$2:$M$2,0)),"No errors"))</f>
        <v>Critical</v>
      </c>
    </row>
    <row r="707" spans="1:10">
      <c r="A707" s="73" t="s">
        <v>1388</v>
      </c>
      <c r="B707" s="17">
        <v>4</v>
      </c>
      <c r="C707" s="73" t="s">
        <v>1098</v>
      </c>
      <c r="D707" s="73" t="s">
        <v>1099</v>
      </c>
      <c r="E707" s="79" t="s">
        <v>21</v>
      </c>
      <c r="F707" s="79" t="s">
        <v>7</v>
      </c>
      <c r="G707" s="79" t="s">
        <v>57</v>
      </c>
      <c r="H707" s="79" t="s">
        <v>1103</v>
      </c>
      <c r="I707" s="79"/>
      <c r="J707" s="14" t="str">
        <f>IF(E707="Invalid_Segment","Invalid",IFERROR(INDEX(Severity_Matrix!$C$3:$M$10,MATCH('Error Log'!$F707,Severity_Matrix!$B$3:$B$10,0),MATCH('Error Log'!$G707,Severity_Matrix!$C$2:$M$2,0)),"No errors"))</f>
        <v>Critical</v>
      </c>
    </row>
    <row r="708" spans="1:10">
      <c r="A708" s="73" t="s">
        <v>1389</v>
      </c>
      <c r="B708" s="17">
        <v>1</v>
      </c>
      <c r="C708" s="73" t="s">
        <v>1104</v>
      </c>
      <c r="D708" s="73" t="s">
        <v>1105</v>
      </c>
      <c r="E708" s="79" t="s">
        <v>21</v>
      </c>
      <c r="F708" s="79" t="s">
        <v>63</v>
      </c>
      <c r="G708" s="79" t="s">
        <v>28</v>
      </c>
      <c r="H708" s="79" t="s">
        <v>149</v>
      </c>
      <c r="I708" s="79"/>
      <c r="J708" s="14" t="str">
        <f>IF(E708="Invalid_Segment","Invalid",IFERROR(INDEX(Severity_Matrix!$C$3:$M$10,MATCH('Error Log'!$F708,Severity_Matrix!$B$3:$B$10,0),MATCH('Error Log'!$G708,Severity_Matrix!$C$2:$M$2,0)),"No errors"))</f>
        <v>Major</v>
      </c>
    </row>
    <row r="709" spans="1:10">
      <c r="A709" s="73" t="s">
        <v>1389</v>
      </c>
      <c r="B709" s="17">
        <v>2</v>
      </c>
      <c r="C709" s="73" t="s">
        <v>1104</v>
      </c>
      <c r="D709" s="73" t="s">
        <v>1105</v>
      </c>
      <c r="E709" s="79" t="s">
        <v>2</v>
      </c>
      <c r="F709" s="79" t="s">
        <v>26</v>
      </c>
      <c r="G709" s="79" t="s">
        <v>57</v>
      </c>
      <c r="H709" s="79" t="s">
        <v>1106</v>
      </c>
      <c r="I709" s="79"/>
      <c r="J709" s="14" t="str">
        <f>IF(E709="Invalid_Segment","Invalid",IFERROR(INDEX(Severity_Matrix!$C$3:$M$10,MATCH('Error Log'!$F709,Severity_Matrix!$B$3:$B$10,0),MATCH('Error Log'!$G709,Severity_Matrix!$C$2:$M$2,0)),"No errors"))</f>
        <v>Major</v>
      </c>
    </row>
    <row r="710" spans="1:10">
      <c r="A710" s="73" t="s">
        <v>1390</v>
      </c>
      <c r="B710" s="17">
        <v>1</v>
      </c>
      <c r="C710" s="73" t="s">
        <v>1107</v>
      </c>
      <c r="D710" s="73" t="s">
        <v>1108</v>
      </c>
      <c r="E710" s="79" t="s">
        <v>21</v>
      </c>
      <c r="F710" s="79" t="s">
        <v>63</v>
      </c>
      <c r="G710" s="79" t="s">
        <v>28</v>
      </c>
      <c r="H710" s="79" t="s">
        <v>1109</v>
      </c>
      <c r="I710" s="79"/>
      <c r="J710" s="14" t="str">
        <f>IF(E710="Invalid_Segment","Invalid",IFERROR(INDEX(Severity_Matrix!$C$3:$M$10,MATCH('Error Log'!$F710,Severity_Matrix!$B$3:$B$10,0),MATCH('Error Log'!$G710,Severity_Matrix!$C$2:$M$2,0)),"No errors"))</f>
        <v>Major</v>
      </c>
    </row>
    <row r="711" spans="1:10">
      <c r="A711" s="73" t="s">
        <v>1390</v>
      </c>
      <c r="B711" s="17">
        <v>2</v>
      </c>
      <c r="C711" s="73" t="s">
        <v>1107</v>
      </c>
      <c r="D711" s="73" t="s">
        <v>1108</v>
      </c>
      <c r="E711" s="79" t="s">
        <v>21</v>
      </c>
      <c r="F711" s="79" t="s">
        <v>63</v>
      </c>
      <c r="G711" s="79" t="s">
        <v>27</v>
      </c>
      <c r="H711" s="79" t="s">
        <v>1109</v>
      </c>
      <c r="I711" s="79"/>
      <c r="J711" s="14" t="str">
        <f>IF(E711="Invalid_Segment","Invalid",IFERROR(INDEX(Severity_Matrix!$C$3:$M$10,MATCH('Error Log'!$F711,Severity_Matrix!$B$3:$B$10,0),MATCH('Error Log'!$G711,Severity_Matrix!$C$2:$M$2,0)),"No errors"))</f>
        <v>Critical</v>
      </c>
    </row>
    <row r="712" spans="1:10">
      <c r="A712" s="73" t="s">
        <v>1390</v>
      </c>
      <c r="B712" s="17">
        <v>3</v>
      </c>
      <c r="C712" s="73" t="s">
        <v>1107</v>
      </c>
      <c r="D712" s="73" t="s">
        <v>1108</v>
      </c>
      <c r="E712" s="79" t="s">
        <v>21</v>
      </c>
      <c r="F712" s="79" t="s">
        <v>64</v>
      </c>
      <c r="G712" s="79" t="s">
        <v>27</v>
      </c>
      <c r="H712" s="79" t="s">
        <v>1110</v>
      </c>
      <c r="I712" s="79"/>
      <c r="J712" s="14" t="str">
        <f>IF(E712="Invalid_Segment","Invalid",IFERROR(INDEX(Severity_Matrix!$C$3:$M$10,MATCH('Error Log'!$F712,Severity_Matrix!$B$3:$B$10,0),MATCH('Error Log'!$G712,Severity_Matrix!$C$2:$M$2,0)),"No errors"))</f>
        <v>Critical</v>
      </c>
    </row>
    <row r="713" spans="1:10">
      <c r="A713" s="73" t="s">
        <v>1390</v>
      </c>
      <c r="B713" s="17">
        <v>4</v>
      </c>
      <c r="C713" s="73" t="s">
        <v>1107</v>
      </c>
      <c r="D713" s="73" t="s">
        <v>1108</v>
      </c>
      <c r="E713" s="79" t="s">
        <v>21</v>
      </c>
      <c r="F713" s="79" t="s">
        <v>63</v>
      </c>
      <c r="G713" s="79" t="s">
        <v>54</v>
      </c>
      <c r="H713" s="79" t="s">
        <v>1111</v>
      </c>
      <c r="I713" s="79"/>
      <c r="J713" s="14" t="str">
        <f>IF(E713="Invalid_Segment","Invalid",IFERROR(INDEX(Severity_Matrix!$C$3:$M$10,MATCH('Error Log'!$F713,Severity_Matrix!$B$3:$B$10,0),MATCH('Error Log'!$G713,Severity_Matrix!$C$2:$M$2,0)),"No errors"))</f>
        <v>Critical</v>
      </c>
    </row>
    <row r="714" spans="1:10">
      <c r="A714" s="73" t="s">
        <v>1390</v>
      </c>
      <c r="B714" s="17">
        <v>5</v>
      </c>
      <c r="C714" s="73" t="s">
        <v>1107</v>
      </c>
      <c r="D714" s="73" t="s">
        <v>1108</v>
      </c>
      <c r="E714" s="79" t="s">
        <v>21</v>
      </c>
      <c r="F714" s="79" t="s">
        <v>22</v>
      </c>
      <c r="G714" s="79" t="s">
        <v>57</v>
      </c>
      <c r="H714" s="79" t="s">
        <v>1112</v>
      </c>
      <c r="I714" s="79"/>
      <c r="J714" s="14" t="str">
        <f>IF(E714="Invalid_Segment","Invalid",IFERROR(INDEX(Severity_Matrix!$C$3:$M$10,MATCH('Error Log'!$F714,Severity_Matrix!$B$3:$B$10,0),MATCH('Error Log'!$G714,Severity_Matrix!$C$2:$M$2,0)),"No errors"))</f>
        <v>Major</v>
      </c>
    </row>
    <row r="715" spans="1:10">
      <c r="A715" s="73" t="s">
        <v>1390</v>
      </c>
      <c r="B715" s="17">
        <v>6</v>
      </c>
      <c r="C715" s="73" t="s">
        <v>1107</v>
      </c>
      <c r="D715" s="73" t="s">
        <v>1108</v>
      </c>
      <c r="E715" s="79" t="s">
        <v>21</v>
      </c>
      <c r="F715" s="79" t="s">
        <v>7</v>
      </c>
      <c r="G715" s="79" t="s">
        <v>55</v>
      </c>
      <c r="H715" s="79" t="s">
        <v>1113</v>
      </c>
      <c r="I715" s="79"/>
      <c r="J715" s="14" t="str">
        <f>IF(E715="Invalid_Segment","Invalid",IFERROR(INDEX(Severity_Matrix!$C$3:$M$10,MATCH('Error Log'!$F715,Severity_Matrix!$B$3:$B$10,0),MATCH('Error Log'!$G715,Severity_Matrix!$C$2:$M$2,0)),"No errors"))</f>
        <v>Critical</v>
      </c>
    </row>
    <row r="716" spans="1:10">
      <c r="A716" s="73" t="s">
        <v>1390</v>
      </c>
      <c r="B716" s="17">
        <v>7</v>
      </c>
      <c r="C716" s="73" t="s">
        <v>1107</v>
      </c>
      <c r="D716" s="73" t="s">
        <v>1108</v>
      </c>
      <c r="E716" s="79" t="s">
        <v>21</v>
      </c>
      <c r="F716" s="79" t="s">
        <v>7</v>
      </c>
      <c r="G716" s="79" t="s">
        <v>57</v>
      </c>
      <c r="H716" s="79" t="s">
        <v>1114</v>
      </c>
      <c r="I716" s="79"/>
      <c r="J716" s="14" t="str">
        <f>IF(E716="Invalid_Segment","Invalid",IFERROR(INDEX(Severity_Matrix!$C$3:$M$10,MATCH('Error Log'!$F716,Severity_Matrix!$B$3:$B$10,0),MATCH('Error Log'!$G716,Severity_Matrix!$C$2:$M$2,0)),"No errors"))</f>
        <v>Critical</v>
      </c>
    </row>
    <row r="717" spans="1:10">
      <c r="A717" s="73" t="s">
        <v>1390</v>
      </c>
      <c r="B717" s="17">
        <v>8</v>
      </c>
      <c r="C717" s="73" t="s">
        <v>1107</v>
      </c>
      <c r="D717" s="73" t="s">
        <v>1108</v>
      </c>
      <c r="E717" s="79" t="s">
        <v>21</v>
      </c>
      <c r="F717" s="79" t="s">
        <v>7</v>
      </c>
      <c r="G717" s="79" t="s">
        <v>57</v>
      </c>
      <c r="H717" s="79" t="s">
        <v>1115</v>
      </c>
      <c r="I717" s="79"/>
      <c r="J717" s="14" t="str">
        <f>IF(E717="Invalid_Segment","Invalid",IFERROR(INDEX(Severity_Matrix!$C$3:$M$10,MATCH('Error Log'!$F717,Severity_Matrix!$B$3:$B$10,0),MATCH('Error Log'!$G717,Severity_Matrix!$C$2:$M$2,0)),"No errors"))</f>
        <v>Critical</v>
      </c>
    </row>
    <row r="718" spans="1:10">
      <c r="A718" s="73" t="s">
        <v>1390</v>
      </c>
      <c r="B718" s="17">
        <v>9</v>
      </c>
      <c r="C718" s="73" t="s">
        <v>1107</v>
      </c>
      <c r="D718" s="73" t="s">
        <v>1108</v>
      </c>
      <c r="E718" s="79" t="s">
        <v>21</v>
      </c>
      <c r="F718" s="79" t="s">
        <v>7</v>
      </c>
      <c r="G718" s="79" t="s">
        <v>57</v>
      </c>
      <c r="H718" s="79" t="s">
        <v>1116</v>
      </c>
      <c r="I718" s="79"/>
      <c r="J718" s="14" t="str">
        <f>IF(E718="Invalid_Segment","Invalid",IFERROR(INDEX(Severity_Matrix!$C$3:$M$10,MATCH('Error Log'!$F718,Severity_Matrix!$B$3:$B$10,0),MATCH('Error Log'!$G718,Severity_Matrix!$C$2:$M$2,0)),"No errors"))</f>
        <v>Critical</v>
      </c>
    </row>
    <row r="719" spans="1:10">
      <c r="A719" s="73" t="s">
        <v>1391</v>
      </c>
      <c r="B719" s="17">
        <v>1</v>
      </c>
      <c r="C719" s="73" t="s">
        <v>1117</v>
      </c>
      <c r="D719" s="73" t="s">
        <v>1118</v>
      </c>
      <c r="E719" s="79" t="s">
        <v>21</v>
      </c>
      <c r="F719" s="79" t="s">
        <v>63</v>
      </c>
      <c r="G719" s="79" t="s">
        <v>28</v>
      </c>
      <c r="H719" s="79" t="s">
        <v>77</v>
      </c>
      <c r="I719" s="79"/>
      <c r="J719" s="14" t="str">
        <f>IF(E719="Invalid_Segment","Invalid",IFERROR(INDEX(Severity_Matrix!$C$3:$M$10,MATCH('Error Log'!$F719,Severity_Matrix!$B$3:$B$10,0),MATCH('Error Log'!$G719,Severity_Matrix!$C$2:$M$2,0)),"No errors"))</f>
        <v>Major</v>
      </c>
    </row>
    <row r="720" spans="1:10">
      <c r="A720" s="73" t="s">
        <v>1391</v>
      </c>
      <c r="B720" s="17">
        <v>2</v>
      </c>
      <c r="C720" s="73" t="s">
        <v>1117</v>
      </c>
      <c r="D720" s="73" t="s">
        <v>1118</v>
      </c>
      <c r="E720" s="79" t="s">
        <v>21</v>
      </c>
      <c r="F720" s="79" t="s">
        <v>63</v>
      </c>
      <c r="G720" s="79" t="s">
        <v>28</v>
      </c>
      <c r="H720" s="79" t="s">
        <v>77</v>
      </c>
      <c r="I720" s="79"/>
      <c r="J720" s="14" t="str">
        <f>IF(E720="Invalid_Segment","Invalid",IFERROR(INDEX(Severity_Matrix!$C$3:$M$10,MATCH('Error Log'!$F720,Severity_Matrix!$B$3:$B$10,0),MATCH('Error Log'!$G720,Severity_Matrix!$C$2:$M$2,0)),"No errors"))</f>
        <v>Major</v>
      </c>
    </row>
    <row r="721" spans="1:10">
      <c r="A721" s="73" t="s">
        <v>1391</v>
      </c>
      <c r="B721" s="17">
        <v>3</v>
      </c>
      <c r="C721" s="73" t="s">
        <v>1117</v>
      </c>
      <c r="D721" s="73" t="s">
        <v>1118</v>
      </c>
      <c r="E721" s="79" t="s">
        <v>2</v>
      </c>
      <c r="F721" s="79" t="s">
        <v>26</v>
      </c>
      <c r="G721" s="79" t="s">
        <v>57</v>
      </c>
      <c r="H721" s="79" t="s">
        <v>1119</v>
      </c>
      <c r="I721" s="79"/>
      <c r="J721" s="14" t="str">
        <f>IF(E721="Invalid_Segment","Invalid",IFERROR(INDEX(Severity_Matrix!$C$3:$M$10,MATCH('Error Log'!$F721,Severity_Matrix!$B$3:$B$10,0),MATCH('Error Log'!$G721,Severity_Matrix!$C$2:$M$2,0)),"No errors"))</f>
        <v>Major</v>
      </c>
    </row>
    <row r="722" spans="1:10">
      <c r="A722" s="73" t="s">
        <v>1391</v>
      </c>
      <c r="B722" s="17">
        <v>4</v>
      </c>
      <c r="C722" s="73" t="s">
        <v>1117</v>
      </c>
      <c r="D722" s="73" t="s">
        <v>1118</v>
      </c>
      <c r="E722" s="79" t="s">
        <v>2</v>
      </c>
      <c r="F722" s="79" t="s">
        <v>26</v>
      </c>
      <c r="G722" s="79" t="s">
        <v>57</v>
      </c>
      <c r="H722" s="79" t="s">
        <v>1119</v>
      </c>
      <c r="I722" s="79"/>
      <c r="J722" s="14" t="str">
        <f>IF(E722="Invalid_Segment","Invalid",IFERROR(INDEX(Severity_Matrix!$C$3:$M$10,MATCH('Error Log'!$F722,Severity_Matrix!$B$3:$B$10,0),MATCH('Error Log'!$G722,Severity_Matrix!$C$2:$M$2,0)),"No errors"))</f>
        <v>Major</v>
      </c>
    </row>
    <row r="723" spans="1:10">
      <c r="A723" s="73" t="s">
        <v>1391</v>
      </c>
      <c r="B723" s="17">
        <v>5</v>
      </c>
      <c r="C723" s="73" t="s">
        <v>1117</v>
      </c>
      <c r="D723" s="73" t="s">
        <v>1118</v>
      </c>
      <c r="E723" s="79" t="s">
        <v>21</v>
      </c>
      <c r="F723" s="79" t="s">
        <v>7</v>
      </c>
      <c r="G723" s="79" t="s">
        <v>57</v>
      </c>
      <c r="H723" s="79" t="s">
        <v>1120</v>
      </c>
      <c r="I723" s="79"/>
      <c r="J723" s="14" t="str">
        <f>IF(E723="Invalid_Segment","Invalid",IFERROR(INDEX(Severity_Matrix!$C$3:$M$10,MATCH('Error Log'!$F723,Severity_Matrix!$B$3:$B$10,0),MATCH('Error Log'!$G723,Severity_Matrix!$C$2:$M$2,0)),"No errors"))</f>
        <v>Critical</v>
      </c>
    </row>
    <row r="724" spans="1:10">
      <c r="A724" s="73" t="s">
        <v>1391</v>
      </c>
      <c r="B724" s="17">
        <v>6</v>
      </c>
      <c r="C724" s="73" t="s">
        <v>1117</v>
      </c>
      <c r="D724" s="73" t="s">
        <v>1118</v>
      </c>
      <c r="E724" s="79" t="s">
        <v>21</v>
      </c>
      <c r="F724" s="79" t="s">
        <v>7</v>
      </c>
      <c r="G724" s="79" t="s">
        <v>57</v>
      </c>
      <c r="H724" s="79" t="s">
        <v>1121</v>
      </c>
      <c r="I724" s="79"/>
      <c r="J724" s="14" t="str">
        <f>IF(E724="Invalid_Segment","Invalid",IFERROR(INDEX(Severity_Matrix!$C$3:$M$10,MATCH('Error Log'!$F724,Severity_Matrix!$B$3:$B$10,0),MATCH('Error Log'!$G724,Severity_Matrix!$C$2:$M$2,0)),"No errors"))</f>
        <v>Critical</v>
      </c>
    </row>
    <row r="725" spans="1:10">
      <c r="A725" s="73" t="s">
        <v>1392</v>
      </c>
      <c r="B725" s="17">
        <v>1</v>
      </c>
      <c r="C725" s="73" t="s">
        <v>1122</v>
      </c>
      <c r="D725" s="73" t="s">
        <v>1123</v>
      </c>
      <c r="E725" s="79" t="s">
        <v>21</v>
      </c>
      <c r="F725" s="79" t="s">
        <v>64</v>
      </c>
      <c r="G725" s="79" t="s">
        <v>28</v>
      </c>
      <c r="H725" s="79" t="s">
        <v>1124</v>
      </c>
      <c r="I725" s="79"/>
      <c r="J725" s="14" t="str">
        <f>IF(E725="Invalid_Segment","Invalid",IFERROR(INDEX(Severity_Matrix!$C$3:$M$10,MATCH('Error Log'!$F725,Severity_Matrix!$B$3:$B$10,0),MATCH('Error Log'!$G725,Severity_Matrix!$C$2:$M$2,0)),"No errors"))</f>
        <v>Critical</v>
      </c>
    </row>
    <row r="726" spans="1:10">
      <c r="A726" s="73" t="s">
        <v>1392</v>
      </c>
      <c r="B726" s="17">
        <v>2</v>
      </c>
      <c r="C726" s="73" t="s">
        <v>1122</v>
      </c>
      <c r="D726" s="73" t="s">
        <v>1123</v>
      </c>
      <c r="E726" s="79" t="s">
        <v>21</v>
      </c>
      <c r="F726" s="79" t="s">
        <v>63</v>
      </c>
      <c r="G726" s="79" t="s">
        <v>58</v>
      </c>
      <c r="H726" s="79" t="s">
        <v>167</v>
      </c>
      <c r="I726" s="79"/>
      <c r="J726" s="14" t="str">
        <f>IF(E726="Invalid_Segment","Invalid",IFERROR(INDEX(Severity_Matrix!$C$3:$M$10,MATCH('Error Log'!$F726,Severity_Matrix!$B$3:$B$10,0),MATCH('Error Log'!$G726,Severity_Matrix!$C$2:$M$2,0)),"No errors"))</f>
        <v>Minor</v>
      </c>
    </row>
    <row r="727" spans="1:10">
      <c r="A727" s="73" t="s">
        <v>1392</v>
      </c>
      <c r="B727" s="17">
        <v>3</v>
      </c>
      <c r="C727" s="73" t="s">
        <v>1122</v>
      </c>
      <c r="D727" s="73" t="s">
        <v>1123</v>
      </c>
      <c r="E727" s="79" t="s">
        <v>21</v>
      </c>
      <c r="F727" s="79" t="s">
        <v>63</v>
      </c>
      <c r="G727" s="79" t="s">
        <v>29</v>
      </c>
      <c r="H727" s="87">
        <v>1961</v>
      </c>
      <c r="I727" s="79"/>
      <c r="J727" s="14" t="str">
        <f>IF(E727="Invalid_Segment","Invalid",IFERROR(INDEX(Severity_Matrix!$C$3:$M$10,MATCH('Error Log'!$F727,Severity_Matrix!$B$3:$B$10,0),MATCH('Error Log'!$G727,Severity_Matrix!$C$2:$M$2,0)),"No errors"))</f>
        <v>Critical</v>
      </c>
    </row>
    <row r="728" spans="1:10">
      <c r="A728" s="73" t="s">
        <v>1392</v>
      </c>
      <c r="B728" s="17">
        <v>4</v>
      </c>
      <c r="C728" s="73" t="s">
        <v>1122</v>
      </c>
      <c r="D728" s="73" t="s">
        <v>1123</v>
      </c>
      <c r="E728" s="79" t="s">
        <v>21</v>
      </c>
      <c r="F728" s="79" t="s">
        <v>63</v>
      </c>
      <c r="G728" s="79" t="s">
        <v>28</v>
      </c>
      <c r="H728" s="79" t="s">
        <v>1125</v>
      </c>
      <c r="I728" s="79"/>
      <c r="J728" s="14" t="str">
        <f>IF(E728="Invalid_Segment","Invalid",IFERROR(INDEX(Severity_Matrix!$C$3:$M$10,MATCH('Error Log'!$F728,Severity_Matrix!$B$3:$B$10,0),MATCH('Error Log'!$G728,Severity_Matrix!$C$2:$M$2,0)),"No errors"))</f>
        <v>Major</v>
      </c>
    </row>
    <row r="729" spans="1:10">
      <c r="A729" s="73" t="s">
        <v>1392</v>
      </c>
      <c r="B729" s="17">
        <v>5</v>
      </c>
      <c r="C729" s="73" t="s">
        <v>1122</v>
      </c>
      <c r="D729" s="73" t="s">
        <v>1123</v>
      </c>
      <c r="E729" s="79" t="s">
        <v>21</v>
      </c>
      <c r="F729" s="79" t="s">
        <v>63</v>
      </c>
      <c r="G729" s="79" t="s">
        <v>27</v>
      </c>
      <c r="H729" s="79" t="s">
        <v>77</v>
      </c>
      <c r="I729" s="79"/>
      <c r="J729" s="14" t="str">
        <f>IF(E729="Invalid_Segment","Invalid",IFERROR(INDEX(Severity_Matrix!$C$3:$M$10,MATCH('Error Log'!$F729,Severity_Matrix!$B$3:$B$10,0),MATCH('Error Log'!$G729,Severity_Matrix!$C$2:$M$2,0)),"No errors"))</f>
        <v>Critical</v>
      </c>
    </row>
    <row r="730" spans="1:10">
      <c r="A730" s="73" t="s">
        <v>1392</v>
      </c>
      <c r="B730" s="17">
        <v>6</v>
      </c>
      <c r="C730" s="73" t="s">
        <v>1122</v>
      </c>
      <c r="D730" s="73" t="s">
        <v>1123</v>
      </c>
      <c r="E730" s="79" t="s">
        <v>2</v>
      </c>
      <c r="F730" s="79" t="s">
        <v>26</v>
      </c>
      <c r="G730" s="79" t="s">
        <v>57</v>
      </c>
      <c r="H730" s="79" t="s">
        <v>1126</v>
      </c>
      <c r="I730" s="79"/>
      <c r="J730" s="14" t="str">
        <f>IF(E730="Invalid_Segment","Invalid",IFERROR(INDEX(Severity_Matrix!$C$3:$M$10,MATCH('Error Log'!$F730,Severity_Matrix!$B$3:$B$10,0),MATCH('Error Log'!$G730,Severity_Matrix!$C$2:$M$2,0)),"No errors"))</f>
        <v>Major</v>
      </c>
    </row>
    <row r="731" spans="1:10">
      <c r="A731" s="73" t="s">
        <v>1392</v>
      </c>
      <c r="B731" s="17">
        <v>7</v>
      </c>
      <c r="C731" s="73" t="s">
        <v>1122</v>
      </c>
      <c r="D731" s="73" t="s">
        <v>1123</v>
      </c>
      <c r="E731" s="79" t="s">
        <v>21</v>
      </c>
      <c r="F731" s="79" t="s">
        <v>7</v>
      </c>
      <c r="G731" s="79" t="s">
        <v>57</v>
      </c>
      <c r="H731" s="79" t="s">
        <v>1127</v>
      </c>
      <c r="I731" s="79"/>
      <c r="J731" s="14" t="str">
        <f>IF(E731="Invalid_Segment","Invalid",IFERROR(INDEX(Severity_Matrix!$C$3:$M$10,MATCH('Error Log'!$F731,Severity_Matrix!$B$3:$B$10,0),MATCH('Error Log'!$G731,Severity_Matrix!$C$2:$M$2,0)),"No errors"))</f>
        <v>Critical</v>
      </c>
    </row>
    <row r="732" spans="1:10">
      <c r="A732" s="73" t="s">
        <v>1393</v>
      </c>
      <c r="B732" s="17">
        <v>1</v>
      </c>
      <c r="C732" s="73" t="s">
        <v>1128</v>
      </c>
      <c r="D732" s="73" t="s">
        <v>1129</v>
      </c>
      <c r="E732" s="79" t="s">
        <v>21</v>
      </c>
      <c r="F732" s="79" t="s">
        <v>63</v>
      </c>
      <c r="G732" s="79" t="s">
        <v>27</v>
      </c>
      <c r="H732" s="79" t="s">
        <v>77</v>
      </c>
      <c r="I732" s="79"/>
      <c r="J732" s="14" t="str">
        <f>IF(E732="Invalid_Segment","Invalid",IFERROR(INDEX(Severity_Matrix!$C$3:$M$10,MATCH('Error Log'!$F732,Severity_Matrix!$B$3:$B$10,0),MATCH('Error Log'!$G732,Severity_Matrix!$C$2:$M$2,0)),"No errors"))</f>
        <v>Critical</v>
      </c>
    </row>
    <row r="733" spans="1:10">
      <c r="A733" s="73" t="s">
        <v>1393</v>
      </c>
      <c r="B733" s="17">
        <v>2</v>
      </c>
      <c r="C733" s="73" t="s">
        <v>1128</v>
      </c>
      <c r="D733" s="73" t="s">
        <v>1129</v>
      </c>
      <c r="E733" s="79" t="s">
        <v>21</v>
      </c>
      <c r="F733" s="79" t="s">
        <v>63</v>
      </c>
      <c r="G733" s="79" t="s">
        <v>27</v>
      </c>
      <c r="H733" s="79" t="s">
        <v>77</v>
      </c>
      <c r="I733" s="79"/>
      <c r="J733" s="14" t="str">
        <f>IF(E733="Invalid_Segment","Invalid",IFERROR(INDEX(Severity_Matrix!$C$3:$M$10,MATCH('Error Log'!$F733,Severity_Matrix!$B$3:$B$10,0),MATCH('Error Log'!$G733,Severity_Matrix!$C$2:$M$2,0)),"No errors"))</f>
        <v>Critical</v>
      </c>
    </row>
    <row r="734" spans="1:10">
      <c r="A734" s="73" t="s">
        <v>1393</v>
      </c>
      <c r="B734" s="17">
        <v>3</v>
      </c>
      <c r="C734" s="73" t="s">
        <v>1128</v>
      </c>
      <c r="D734" s="73" t="s">
        <v>1129</v>
      </c>
      <c r="E734" s="79" t="s">
        <v>21</v>
      </c>
      <c r="F734" s="79" t="s">
        <v>63</v>
      </c>
      <c r="G734" s="79" t="s">
        <v>27</v>
      </c>
      <c r="H734" s="79" t="s">
        <v>77</v>
      </c>
      <c r="I734" s="79"/>
      <c r="J734" s="14" t="str">
        <f>IF(E734="Invalid_Segment","Invalid",IFERROR(INDEX(Severity_Matrix!$C$3:$M$10,MATCH('Error Log'!$F734,Severity_Matrix!$B$3:$B$10,0),MATCH('Error Log'!$G734,Severity_Matrix!$C$2:$M$2,0)),"No errors"))</f>
        <v>Critical</v>
      </c>
    </row>
    <row r="735" spans="1:10">
      <c r="A735" s="73" t="s">
        <v>1393</v>
      </c>
      <c r="B735" s="17">
        <v>4</v>
      </c>
      <c r="C735" s="73" t="s">
        <v>1128</v>
      </c>
      <c r="D735" s="73" t="s">
        <v>1129</v>
      </c>
      <c r="E735" s="79" t="s">
        <v>21</v>
      </c>
      <c r="F735" s="79" t="s">
        <v>63</v>
      </c>
      <c r="G735" s="79" t="s">
        <v>27</v>
      </c>
      <c r="H735" s="79" t="s">
        <v>77</v>
      </c>
      <c r="I735" s="79"/>
      <c r="J735" s="14" t="str">
        <f>IF(E735="Invalid_Segment","Invalid",IFERROR(INDEX(Severity_Matrix!$C$3:$M$10,MATCH('Error Log'!$F735,Severity_Matrix!$B$3:$B$10,0),MATCH('Error Log'!$G735,Severity_Matrix!$C$2:$M$2,0)),"No errors"))</f>
        <v>Critical</v>
      </c>
    </row>
    <row r="736" spans="1:10">
      <c r="A736" s="73" t="s">
        <v>1393</v>
      </c>
      <c r="B736" s="17">
        <v>5</v>
      </c>
      <c r="C736" s="73" t="s">
        <v>1128</v>
      </c>
      <c r="D736" s="73" t="s">
        <v>1129</v>
      </c>
      <c r="E736" s="79" t="s">
        <v>2</v>
      </c>
      <c r="F736" s="79" t="s">
        <v>26</v>
      </c>
      <c r="G736" s="79" t="s">
        <v>57</v>
      </c>
      <c r="H736" s="79" t="s">
        <v>1130</v>
      </c>
      <c r="I736" s="79"/>
      <c r="J736" s="14" t="str">
        <f>IF(E736="Invalid_Segment","Invalid",IFERROR(INDEX(Severity_Matrix!$C$3:$M$10,MATCH('Error Log'!$F736,Severity_Matrix!$B$3:$B$10,0),MATCH('Error Log'!$G736,Severity_Matrix!$C$2:$M$2,0)),"No errors"))</f>
        <v>Major</v>
      </c>
    </row>
    <row r="737" spans="1:10">
      <c r="A737" s="73" t="s">
        <v>1393</v>
      </c>
      <c r="B737" s="17">
        <v>6</v>
      </c>
      <c r="C737" s="73" t="s">
        <v>1128</v>
      </c>
      <c r="D737" s="73" t="s">
        <v>1129</v>
      </c>
      <c r="E737" s="79" t="s">
        <v>21</v>
      </c>
      <c r="F737" s="79" t="s">
        <v>7</v>
      </c>
      <c r="G737" s="79" t="s">
        <v>57</v>
      </c>
      <c r="H737" s="79" t="s">
        <v>1131</v>
      </c>
      <c r="I737" s="79"/>
      <c r="J737" s="14" t="str">
        <f>IF(E737="Invalid_Segment","Invalid",IFERROR(INDEX(Severity_Matrix!$C$3:$M$10,MATCH('Error Log'!$F737,Severity_Matrix!$B$3:$B$10,0),MATCH('Error Log'!$G737,Severity_Matrix!$C$2:$M$2,0)),"No errors"))</f>
        <v>Critical</v>
      </c>
    </row>
    <row r="738" spans="1:10">
      <c r="A738" s="73" t="s">
        <v>1394</v>
      </c>
      <c r="B738" s="17">
        <v>1</v>
      </c>
      <c r="C738" s="73" t="s">
        <v>1132</v>
      </c>
      <c r="D738" s="73" t="s">
        <v>1133</v>
      </c>
      <c r="E738" s="79" t="s">
        <v>21</v>
      </c>
      <c r="F738" s="79" t="s">
        <v>63</v>
      </c>
      <c r="G738" s="79" t="s">
        <v>27</v>
      </c>
      <c r="H738" s="79" t="s">
        <v>77</v>
      </c>
      <c r="I738" s="79"/>
      <c r="J738" s="14" t="str">
        <f>IF(E738="Invalid_Segment","Invalid",IFERROR(INDEX(Severity_Matrix!$C$3:$M$10,MATCH('Error Log'!$F738,Severity_Matrix!$B$3:$B$10,0),MATCH('Error Log'!$G738,Severity_Matrix!$C$2:$M$2,0)),"No errors"))</f>
        <v>Critical</v>
      </c>
    </row>
    <row r="739" spans="1:10">
      <c r="A739" s="73" t="s">
        <v>1394</v>
      </c>
      <c r="B739" s="17">
        <v>2</v>
      </c>
      <c r="C739" s="73" t="s">
        <v>1132</v>
      </c>
      <c r="D739" s="73" t="s">
        <v>1133</v>
      </c>
      <c r="E739" s="79" t="s">
        <v>21</v>
      </c>
      <c r="F739" s="79" t="s">
        <v>63</v>
      </c>
      <c r="G739" s="79" t="s">
        <v>27</v>
      </c>
      <c r="H739" s="79" t="s">
        <v>77</v>
      </c>
      <c r="I739" s="79"/>
      <c r="J739" s="14" t="str">
        <f>IF(E739="Invalid_Segment","Invalid",IFERROR(INDEX(Severity_Matrix!$C$3:$M$10,MATCH('Error Log'!$F739,Severity_Matrix!$B$3:$B$10,0),MATCH('Error Log'!$G739,Severity_Matrix!$C$2:$M$2,0)),"No errors"))</f>
        <v>Critical</v>
      </c>
    </row>
    <row r="740" spans="1:10">
      <c r="A740" s="73" t="s">
        <v>1394</v>
      </c>
      <c r="B740" s="17">
        <v>3</v>
      </c>
      <c r="C740" s="73" t="s">
        <v>1132</v>
      </c>
      <c r="D740" s="73" t="s">
        <v>1133</v>
      </c>
      <c r="E740" s="79" t="s">
        <v>21</v>
      </c>
      <c r="F740" s="79" t="s">
        <v>63</v>
      </c>
      <c r="G740" s="79" t="s">
        <v>27</v>
      </c>
      <c r="H740" s="79" t="s">
        <v>77</v>
      </c>
      <c r="I740" s="79"/>
      <c r="J740" s="14" t="str">
        <f>IF(E740="Invalid_Segment","Invalid",IFERROR(INDEX(Severity_Matrix!$C$3:$M$10,MATCH('Error Log'!$F740,Severity_Matrix!$B$3:$B$10,0),MATCH('Error Log'!$G740,Severity_Matrix!$C$2:$M$2,0)),"No errors"))</f>
        <v>Critical</v>
      </c>
    </row>
    <row r="741" spans="1:10">
      <c r="A741" s="73" t="s">
        <v>1394</v>
      </c>
      <c r="B741" s="17">
        <v>4</v>
      </c>
      <c r="C741" s="73" t="s">
        <v>1132</v>
      </c>
      <c r="D741" s="73" t="s">
        <v>1133</v>
      </c>
      <c r="E741" s="79" t="s">
        <v>21</v>
      </c>
      <c r="F741" s="79" t="s">
        <v>63</v>
      </c>
      <c r="G741" s="79" t="s">
        <v>58</v>
      </c>
      <c r="H741" s="79" t="s">
        <v>1134</v>
      </c>
      <c r="I741" s="79"/>
      <c r="J741" s="14" t="str">
        <f>IF(E741="Invalid_Segment","Invalid",IFERROR(INDEX(Severity_Matrix!$C$3:$M$10,MATCH('Error Log'!$F741,Severity_Matrix!$B$3:$B$10,0),MATCH('Error Log'!$G741,Severity_Matrix!$C$2:$M$2,0)),"No errors"))</f>
        <v>Minor</v>
      </c>
    </row>
    <row r="742" spans="1:10">
      <c r="A742" s="73" t="s">
        <v>1394</v>
      </c>
      <c r="B742" s="17">
        <v>5</v>
      </c>
      <c r="C742" s="73" t="s">
        <v>1132</v>
      </c>
      <c r="D742" s="73" t="s">
        <v>1133</v>
      </c>
      <c r="E742" s="79" t="s">
        <v>21</v>
      </c>
      <c r="F742" s="79" t="s">
        <v>7</v>
      </c>
      <c r="G742" s="79" t="s">
        <v>54</v>
      </c>
      <c r="H742" s="79" t="s">
        <v>1135</v>
      </c>
      <c r="I742" s="79"/>
      <c r="J742" s="14" t="str">
        <f>IF(E742="Invalid_Segment","Invalid",IFERROR(INDEX(Severity_Matrix!$C$3:$M$10,MATCH('Error Log'!$F742,Severity_Matrix!$B$3:$B$10,0),MATCH('Error Log'!$G742,Severity_Matrix!$C$2:$M$2,0)),"No errors"))</f>
        <v>Critical</v>
      </c>
    </row>
    <row r="743" spans="1:10">
      <c r="A743" s="73" t="s">
        <v>1394</v>
      </c>
      <c r="B743" s="17">
        <v>6</v>
      </c>
      <c r="C743" s="73" t="s">
        <v>1132</v>
      </c>
      <c r="D743" s="73" t="s">
        <v>1133</v>
      </c>
      <c r="E743" s="79" t="s">
        <v>21</v>
      </c>
      <c r="F743" s="79" t="s">
        <v>63</v>
      </c>
      <c r="G743" s="79" t="s">
        <v>28</v>
      </c>
      <c r="H743" s="79" t="s">
        <v>1136</v>
      </c>
      <c r="I743" s="79"/>
      <c r="J743" s="14" t="str">
        <f>IF(E743="Invalid_Segment","Invalid",IFERROR(INDEX(Severity_Matrix!$C$3:$M$10,MATCH('Error Log'!$F743,Severity_Matrix!$B$3:$B$10,0),MATCH('Error Log'!$G743,Severity_Matrix!$C$2:$M$2,0)),"No errors"))</f>
        <v>Major</v>
      </c>
    </row>
    <row r="744" spans="1:10">
      <c r="A744" s="73" t="s">
        <v>1394</v>
      </c>
      <c r="B744" s="17">
        <v>7</v>
      </c>
      <c r="C744" s="73" t="s">
        <v>1132</v>
      </c>
      <c r="D744" s="73" t="s">
        <v>1133</v>
      </c>
      <c r="E744" s="79" t="s">
        <v>21</v>
      </c>
      <c r="F744" s="79" t="s">
        <v>22</v>
      </c>
      <c r="G744" s="79" t="s">
        <v>57</v>
      </c>
      <c r="H744" s="79" t="s">
        <v>1137</v>
      </c>
      <c r="I744" s="79"/>
      <c r="J744" s="14" t="str">
        <f>IF(E744="Invalid_Segment","Invalid",IFERROR(INDEX(Severity_Matrix!$C$3:$M$10,MATCH('Error Log'!$F744,Severity_Matrix!$B$3:$B$10,0),MATCH('Error Log'!$G744,Severity_Matrix!$C$2:$M$2,0)),"No errors"))</f>
        <v>Major</v>
      </c>
    </row>
    <row r="745" spans="1:10">
      <c r="A745" s="73" t="s">
        <v>1394</v>
      </c>
      <c r="B745" s="17">
        <v>8</v>
      </c>
      <c r="C745" s="73" t="s">
        <v>1132</v>
      </c>
      <c r="D745" s="73" t="s">
        <v>1133</v>
      </c>
      <c r="E745" s="79" t="s">
        <v>2</v>
      </c>
      <c r="F745" s="79" t="s">
        <v>26</v>
      </c>
      <c r="G745" s="79" t="s">
        <v>57</v>
      </c>
      <c r="H745" s="79" t="s">
        <v>1138</v>
      </c>
      <c r="I745" s="79"/>
      <c r="J745" s="14" t="str">
        <f>IF(E745="Invalid_Segment","Invalid",IFERROR(INDEX(Severity_Matrix!$C$3:$M$10,MATCH('Error Log'!$F745,Severity_Matrix!$B$3:$B$10,0),MATCH('Error Log'!$G745,Severity_Matrix!$C$2:$M$2,0)),"No errors"))</f>
        <v>Major</v>
      </c>
    </row>
    <row r="746" spans="1:10">
      <c r="A746" s="73" t="s">
        <v>1394</v>
      </c>
      <c r="B746" s="17">
        <v>9</v>
      </c>
      <c r="C746" s="73" t="s">
        <v>1132</v>
      </c>
      <c r="D746" s="73" t="s">
        <v>1133</v>
      </c>
      <c r="E746" s="79" t="s">
        <v>21</v>
      </c>
      <c r="F746" s="79" t="s">
        <v>22</v>
      </c>
      <c r="G746" s="79" t="s">
        <v>57</v>
      </c>
      <c r="H746" s="79" t="s">
        <v>1139</v>
      </c>
      <c r="I746" s="79"/>
      <c r="J746" s="14" t="str">
        <f>IF(E746="Invalid_Segment","Invalid",IFERROR(INDEX(Severity_Matrix!$C$3:$M$10,MATCH('Error Log'!$F746,Severity_Matrix!$B$3:$B$10,0),MATCH('Error Log'!$G746,Severity_Matrix!$C$2:$M$2,0)),"No errors"))</f>
        <v>Major</v>
      </c>
    </row>
    <row r="747" spans="1:10">
      <c r="A747" s="73" t="s">
        <v>1394</v>
      </c>
      <c r="B747" s="17">
        <v>10</v>
      </c>
      <c r="C747" s="73" t="s">
        <v>1132</v>
      </c>
      <c r="D747" s="73" t="s">
        <v>1133</v>
      </c>
      <c r="E747" s="79" t="s">
        <v>21</v>
      </c>
      <c r="F747" s="79" t="s">
        <v>7</v>
      </c>
      <c r="G747" s="79" t="s">
        <v>57</v>
      </c>
      <c r="H747" s="79" t="s">
        <v>1140</v>
      </c>
      <c r="I747" s="79"/>
      <c r="J747" s="14" t="str">
        <f>IF(E747="Invalid_Segment","Invalid",IFERROR(INDEX(Severity_Matrix!$C$3:$M$10,MATCH('Error Log'!$F747,Severity_Matrix!$B$3:$B$10,0),MATCH('Error Log'!$G747,Severity_Matrix!$C$2:$M$2,0)),"No errors"))</f>
        <v>Critical</v>
      </c>
    </row>
    <row r="748" spans="1:10">
      <c r="A748" s="73" t="s">
        <v>1394</v>
      </c>
      <c r="B748" s="17">
        <v>11</v>
      </c>
      <c r="C748" s="73" t="s">
        <v>1132</v>
      </c>
      <c r="D748" s="73" t="s">
        <v>1133</v>
      </c>
      <c r="E748" s="79" t="s">
        <v>21</v>
      </c>
      <c r="F748" s="79" t="s">
        <v>7</v>
      </c>
      <c r="G748" s="79" t="s">
        <v>57</v>
      </c>
      <c r="H748" s="79" t="s">
        <v>1141</v>
      </c>
      <c r="I748" s="79"/>
      <c r="J748" s="14" t="str">
        <f>IF(E748="Invalid_Segment","Invalid",IFERROR(INDEX(Severity_Matrix!$C$3:$M$10,MATCH('Error Log'!$F748,Severity_Matrix!$B$3:$B$10,0),MATCH('Error Log'!$G748,Severity_Matrix!$C$2:$M$2,0)),"No errors"))</f>
        <v>Critical</v>
      </c>
    </row>
    <row r="749" spans="1:10">
      <c r="A749" s="73" t="s">
        <v>1395</v>
      </c>
      <c r="B749" s="17">
        <v>1</v>
      </c>
      <c r="C749" s="73" t="s">
        <v>1142</v>
      </c>
      <c r="D749" s="73" t="s">
        <v>1143</v>
      </c>
      <c r="E749" s="79" t="s">
        <v>2</v>
      </c>
      <c r="F749" s="79" t="s">
        <v>26</v>
      </c>
      <c r="G749" s="79" t="s">
        <v>57</v>
      </c>
      <c r="H749" s="79" t="s">
        <v>1144</v>
      </c>
      <c r="I749" s="79"/>
      <c r="J749" s="14" t="str">
        <f>IF(E749="Invalid_Segment","Invalid",IFERROR(INDEX(Severity_Matrix!$C$3:$M$10,MATCH('Error Log'!$F749,Severity_Matrix!$B$3:$B$10,0),MATCH('Error Log'!$G749,Severity_Matrix!$C$2:$M$2,0)),"No errors"))</f>
        <v>Major</v>
      </c>
    </row>
    <row r="750" spans="1:10">
      <c r="A750" s="73" t="s">
        <v>1395</v>
      </c>
      <c r="B750" s="17">
        <v>2</v>
      </c>
      <c r="C750" s="73" t="s">
        <v>1142</v>
      </c>
      <c r="D750" s="73" t="s">
        <v>1143</v>
      </c>
      <c r="E750" s="79" t="s">
        <v>21</v>
      </c>
      <c r="F750" s="79" t="s">
        <v>7</v>
      </c>
      <c r="G750" s="79" t="s">
        <v>57</v>
      </c>
      <c r="H750" s="79" t="s">
        <v>1145</v>
      </c>
      <c r="I750" s="79"/>
      <c r="J750" s="14" t="str">
        <f>IF(E750="Invalid_Segment","Invalid",IFERROR(INDEX(Severity_Matrix!$C$3:$M$10,MATCH('Error Log'!$F750,Severity_Matrix!$B$3:$B$10,0),MATCH('Error Log'!$G750,Severity_Matrix!$C$2:$M$2,0)),"No errors"))</f>
        <v>Critical</v>
      </c>
    </row>
    <row r="751" spans="1:10">
      <c r="A751" s="73" t="s">
        <v>1395</v>
      </c>
      <c r="B751" s="17">
        <v>3</v>
      </c>
      <c r="C751" s="73" t="s">
        <v>1142</v>
      </c>
      <c r="D751" s="73" t="s">
        <v>1143</v>
      </c>
      <c r="E751" s="79" t="s">
        <v>21</v>
      </c>
      <c r="F751" s="79" t="s">
        <v>7</v>
      </c>
      <c r="G751" s="79" t="s">
        <v>57</v>
      </c>
      <c r="H751" s="79" t="s">
        <v>1146</v>
      </c>
      <c r="I751" s="79"/>
      <c r="J751" s="14" t="str">
        <f>IF(E751="Invalid_Segment","Invalid",IFERROR(INDEX(Severity_Matrix!$C$3:$M$10,MATCH('Error Log'!$F751,Severity_Matrix!$B$3:$B$10,0),MATCH('Error Log'!$G751,Severity_Matrix!$C$2:$M$2,0)),"No errors"))</f>
        <v>Critical</v>
      </c>
    </row>
    <row r="752" spans="1:10">
      <c r="A752" s="73" t="s">
        <v>1396</v>
      </c>
      <c r="B752" s="17">
        <v>1</v>
      </c>
      <c r="C752" s="73" t="s">
        <v>1147</v>
      </c>
      <c r="D752" s="73" t="s">
        <v>1148</v>
      </c>
      <c r="E752" s="79" t="s">
        <v>21</v>
      </c>
      <c r="F752" s="79" t="s">
        <v>63</v>
      </c>
      <c r="G752" s="79" t="s">
        <v>27</v>
      </c>
      <c r="H752" s="79" t="s">
        <v>1149</v>
      </c>
      <c r="I752" s="79"/>
      <c r="J752" s="14" t="str">
        <f>IF(E752="Invalid_Segment","Invalid",IFERROR(INDEX(Severity_Matrix!$C$3:$M$10,MATCH('Error Log'!$F752,Severity_Matrix!$B$3:$B$10,0),MATCH('Error Log'!$G752,Severity_Matrix!$C$2:$M$2,0)),"No errors"))</f>
        <v>Critical</v>
      </c>
    </row>
    <row r="753" spans="1:10">
      <c r="A753" s="73" t="s">
        <v>1396</v>
      </c>
      <c r="B753" s="17">
        <v>2</v>
      </c>
      <c r="C753" s="73" t="s">
        <v>1147</v>
      </c>
      <c r="D753" s="73" t="s">
        <v>1148</v>
      </c>
      <c r="E753" s="79" t="s">
        <v>21</v>
      </c>
      <c r="F753" s="79" t="s">
        <v>63</v>
      </c>
      <c r="G753" s="79" t="s">
        <v>56</v>
      </c>
      <c r="H753" s="79" t="s">
        <v>1150</v>
      </c>
      <c r="I753" s="79"/>
      <c r="J753" s="14" t="str">
        <f>IF(E753="Invalid_Segment","Invalid",IFERROR(INDEX(Severity_Matrix!$C$3:$M$10,MATCH('Error Log'!$F753,Severity_Matrix!$B$3:$B$10,0),MATCH('Error Log'!$G753,Severity_Matrix!$C$2:$M$2,0)),"No errors"))</f>
        <v>Critical</v>
      </c>
    </row>
    <row r="754" spans="1:10">
      <c r="A754" s="73" t="s">
        <v>1396</v>
      </c>
      <c r="B754" s="17">
        <v>3</v>
      </c>
      <c r="C754" s="73" t="s">
        <v>1147</v>
      </c>
      <c r="D754" s="73" t="s">
        <v>1148</v>
      </c>
      <c r="E754" s="79" t="s">
        <v>21</v>
      </c>
      <c r="F754" s="79" t="s">
        <v>22</v>
      </c>
      <c r="G754" s="79" t="s">
        <v>57</v>
      </c>
      <c r="H754" s="79" t="s">
        <v>1151</v>
      </c>
      <c r="I754" s="79"/>
      <c r="J754" s="14" t="str">
        <f>IF(E754="Invalid_Segment","Invalid",IFERROR(INDEX(Severity_Matrix!$C$3:$M$10,MATCH('Error Log'!$F754,Severity_Matrix!$B$3:$B$10,0),MATCH('Error Log'!$G754,Severity_Matrix!$C$2:$M$2,0)),"No errors"))</f>
        <v>Major</v>
      </c>
    </row>
    <row r="755" spans="1:10">
      <c r="A755" s="73" t="s">
        <v>1396</v>
      </c>
      <c r="B755" s="17">
        <v>4</v>
      </c>
      <c r="C755" s="73" t="s">
        <v>1147</v>
      </c>
      <c r="D755" s="73" t="s">
        <v>1148</v>
      </c>
      <c r="E755" s="79" t="s">
        <v>21</v>
      </c>
      <c r="F755" s="79" t="s">
        <v>22</v>
      </c>
      <c r="G755" s="79" t="s">
        <v>57</v>
      </c>
      <c r="H755" s="79" t="s">
        <v>1152</v>
      </c>
      <c r="I755" s="79"/>
      <c r="J755" s="14" t="str">
        <f>IF(E755="Invalid_Segment","Invalid",IFERROR(INDEX(Severity_Matrix!$C$3:$M$10,MATCH('Error Log'!$F755,Severity_Matrix!$B$3:$B$10,0),MATCH('Error Log'!$G755,Severity_Matrix!$C$2:$M$2,0)),"No errors"))</f>
        <v>Major</v>
      </c>
    </row>
    <row r="756" spans="1:10">
      <c r="A756" s="73" t="s">
        <v>1396</v>
      </c>
      <c r="B756" s="17">
        <v>5</v>
      </c>
      <c r="C756" s="73" t="s">
        <v>1147</v>
      </c>
      <c r="D756" s="73" t="s">
        <v>1148</v>
      </c>
      <c r="E756" s="79" t="s">
        <v>21</v>
      </c>
      <c r="F756" s="79" t="s">
        <v>7</v>
      </c>
      <c r="G756" s="79" t="s">
        <v>57</v>
      </c>
      <c r="H756" s="79" t="s">
        <v>1153</v>
      </c>
      <c r="I756" s="79"/>
      <c r="J756" s="14" t="str">
        <f>IF(E756="Invalid_Segment","Invalid",IFERROR(INDEX(Severity_Matrix!$C$3:$M$10,MATCH('Error Log'!$F756,Severity_Matrix!$B$3:$B$10,0),MATCH('Error Log'!$G756,Severity_Matrix!$C$2:$M$2,0)),"No errors"))</f>
        <v>Critical</v>
      </c>
    </row>
    <row r="757" spans="1:10">
      <c r="A757" s="73" t="s">
        <v>1397</v>
      </c>
      <c r="B757" s="17">
        <v>1</v>
      </c>
      <c r="C757" s="73" t="s">
        <v>1154</v>
      </c>
      <c r="D757" s="73" t="s">
        <v>1155</v>
      </c>
      <c r="E757" s="79" t="s">
        <v>21</v>
      </c>
      <c r="F757" s="79" t="s">
        <v>45</v>
      </c>
      <c r="G757" s="79" t="s">
        <v>28</v>
      </c>
      <c r="H757" s="79" t="s">
        <v>1156</v>
      </c>
      <c r="I757" s="79"/>
      <c r="J757" s="14" t="str">
        <f>IF(E757="Invalid_Segment","Invalid",IFERROR(INDEX(Severity_Matrix!$C$3:$M$10,MATCH('Error Log'!$F757,Severity_Matrix!$B$3:$B$10,0),MATCH('Error Log'!$G757,Severity_Matrix!$C$2:$M$2,0)),"No errors"))</f>
        <v>Critical</v>
      </c>
    </row>
    <row r="758" spans="1:10">
      <c r="A758" s="73" t="s">
        <v>1397</v>
      </c>
      <c r="B758" s="17">
        <v>2</v>
      </c>
      <c r="C758" s="73" t="s">
        <v>1154</v>
      </c>
      <c r="D758" s="73" t="s">
        <v>1155</v>
      </c>
      <c r="E758" s="79" t="s">
        <v>2</v>
      </c>
      <c r="F758" s="79" t="s">
        <v>26</v>
      </c>
      <c r="G758" s="79" t="s">
        <v>57</v>
      </c>
      <c r="H758" s="79" t="s">
        <v>1157</v>
      </c>
      <c r="I758" s="79"/>
      <c r="J758" s="14" t="str">
        <f>IF(E758="Invalid_Segment","Invalid",IFERROR(INDEX(Severity_Matrix!$C$3:$M$10,MATCH('Error Log'!$F758,Severity_Matrix!$B$3:$B$10,0),MATCH('Error Log'!$G758,Severity_Matrix!$C$2:$M$2,0)),"No errors"))</f>
        <v>Major</v>
      </c>
    </row>
    <row r="759" spans="1:10">
      <c r="A759" s="73" t="s">
        <v>1397</v>
      </c>
      <c r="B759" s="17">
        <v>3</v>
      </c>
      <c r="C759" s="73" t="s">
        <v>1154</v>
      </c>
      <c r="D759" s="73" t="s">
        <v>1155</v>
      </c>
      <c r="E759" s="79" t="s">
        <v>2</v>
      </c>
      <c r="F759" s="79" t="s">
        <v>26</v>
      </c>
      <c r="G759" s="79" t="s">
        <v>57</v>
      </c>
      <c r="H759" s="79" t="s">
        <v>1158</v>
      </c>
      <c r="I759" s="79"/>
      <c r="J759" s="14" t="str">
        <f>IF(E759="Invalid_Segment","Invalid",IFERROR(INDEX(Severity_Matrix!$C$3:$M$10,MATCH('Error Log'!$F759,Severity_Matrix!$B$3:$B$10,0),MATCH('Error Log'!$G759,Severity_Matrix!$C$2:$M$2,0)),"No errors"))</f>
        <v>Major</v>
      </c>
    </row>
    <row r="760" spans="1:10">
      <c r="A760" s="73" t="s">
        <v>1397</v>
      </c>
      <c r="B760" s="17">
        <v>4</v>
      </c>
      <c r="C760" s="73" t="s">
        <v>1154</v>
      </c>
      <c r="D760" s="73" t="s">
        <v>1155</v>
      </c>
      <c r="E760" s="79" t="s">
        <v>21</v>
      </c>
      <c r="F760" s="79" t="s">
        <v>22</v>
      </c>
      <c r="G760" s="79" t="s">
        <v>57</v>
      </c>
      <c r="H760" s="79" t="s">
        <v>1158</v>
      </c>
      <c r="I760" s="79"/>
      <c r="J760" s="14" t="str">
        <f>IF(E760="Invalid_Segment","Invalid",IFERROR(INDEX(Severity_Matrix!$C$3:$M$10,MATCH('Error Log'!$F760,Severity_Matrix!$B$3:$B$10,0),MATCH('Error Log'!$G760,Severity_Matrix!$C$2:$M$2,0)),"No errors"))</f>
        <v>Major</v>
      </c>
    </row>
    <row r="761" spans="1:10">
      <c r="A761" s="73" t="s">
        <v>1397</v>
      </c>
      <c r="B761" s="17">
        <v>5</v>
      </c>
      <c r="C761" s="73" t="s">
        <v>1154</v>
      </c>
      <c r="D761" s="73" t="s">
        <v>1155</v>
      </c>
      <c r="E761" s="79" t="s">
        <v>21</v>
      </c>
      <c r="F761" s="79" t="s">
        <v>7</v>
      </c>
      <c r="G761" s="79" t="s">
        <v>57</v>
      </c>
      <c r="H761" s="79" t="s">
        <v>1159</v>
      </c>
      <c r="I761" s="79"/>
      <c r="J761" s="14" t="str">
        <f>IF(E761="Invalid_Segment","Invalid",IFERROR(INDEX(Severity_Matrix!$C$3:$M$10,MATCH('Error Log'!$F761,Severity_Matrix!$B$3:$B$10,0),MATCH('Error Log'!$G761,Severity_Matrix!$C$2:$M$2,0)),"No errors"))</f>
        <v>Critical</v>
      </c>
    </row>
    <row r="762" spans="1:10">
      <c r="A762" s="73" t="s">
        <v>1397</v>
      </c>
      <c r="B762" s="17">
        <v>6</v>
      </c>
      <c r="C762" s="73" t="s">
        <v>1154</v>
      </c>
      <c r="D762" s="73" t="s">
        <v>1155</v>
      </c>
      <c r="E762" s="79" t="s">
        <v>21</v>
      </c>
      <c r="F762" s="79" t="s">
        <v>7</v>
      </c>
      <c r="G762" s="79" t="s">
        <v>57</v>
      </c>
      <c r="H762" s="79" t="s">
        <v>1160</v>
      </c>
      <c r="I762" s="79"/>
      <c r="J762" s="14" t="str">
        <f>IF(E762="Invalid_Segment","Invalid",IFERROR(INDEX(Severity_Matrix!$C$3:$M$10,MATCH('Error Log'!$F762,Severity_Matrix!$B$3:$B$10,0),MATCH('Error Log'!$G762,Severity_Matrix!$C$2:$M$2,0)),"No errors"))</f>
        <v>Critical</v>
      </c>
    </row>
    <row r="763" spans="1:10">
      <c r="A763" s="73" t="s">
        <v>1398</v>
      </c>
      <c r="B763" s="17">
        <v>1</v>
      </c>
      <c r="C763" s="73" t="s">
        <v>1161</v>
      </c>
      <c r="D763" s="73" t="s">
        <v>1162</v>
      </c>
      <c r="E763" s="79" t="s">
        <v>2</v>
      </c>
      <c r="F763" s="79" t="s">
        <v>26</v>
      </c>
      <c r="G763" s="79" t="s">
        <v>57</v>
      </c>
      <c r="H763" s="79" t="s">
        <v>1163</v>
      </c>
      <c r="I763" s="79"/>
      <c r="J763" s="14" t="str">
        <f>IF(E763="Invalid_Segment","Invalid",IFERROR(INDEX(Severity_Matrix!$C$3:$M$10,MATCH('Error Log'!$F763,Severity_Matrix!$B$3:$B$10,0),MATCH('Error Log'!$G763,Severity_Matrix!$C$2:$M$2,0)),"No errors"))</f>
        <v>Major</v>
      </c>
    </row>
    <row r="764" spans="1:10">
      <c r="A764" s="73" t="s">
        <v>1398</v>
      </c>
      <c r="B764" s="17">
        <v>2</v>
      </c>
      <c r="C764" s="73" t="s">
        <v>1161</v>
      </c>
      <c r="D764" s="73" t="s">
        <v>1162</v>
      </c>
      <c r="E764" s="79" t="s">
        <v>21</v>
      </c>
      <c r="F764" s="79" t="s">
        <v>7</v>
      </c>
      <c r="G764" s="79" t="s">
        <v>57</v>
      </c>
      <c r="H764" s="79" t="s">
        <v>1164</v>
      </c>
      <c r="I764" s="79"/>
      <c r="J764" s="14" t="str">
        <f>IF(E764="Invalid_Segment","Invalid",IFERROR(INDEX(Severity_Matrix!$C$3:$M$10,MATCH('Error Log'!$F764,Severity_Matrix!$B$3:$B$10,0),MATCH('Error Log'!$G764,Severity_Matrix!$C$2:$M$2,0)),"No errors"))</f>
        <v>Critical</v>
      </c>
    </row>
    <row r="765" spans="1:10">
      <c r="A765" s="73" t="s">
        <v>1398</v>
      </c>
      <c r="B765" s="17">
        <v>3</v>
      </c>
      <c r="C765" s="73" t="s">
        <v>1161</v>
      </c>
      <c r="D765" s="73" t="s">
        <v>1162</v>
      </c>
      <c r="E765" s="79" t="s">
        <v>21</v>
      </c>
      <c r="F765" s="79" t="s">
        <v>7</v>
      </c>
      <c r="G765" s="79" t="s">
        <v>57</v>
      </c>
      <c r="H765" s="79" t="s">
        <v>1165</v>
      </c>
      <c r="I765" s="79"/>
      <c r="J765" s="14" t="str">
        <f>IF(E765="Invalid_Segment","Invalid",IFERROR(INDEX(Severity_Matrix!$C$3:$M$10,MATCH('Error Log'!$F765,Severity_Matrix!$B$3:$B$10,0),MATCH('Error Log'!$G765,Severity_Matrix!$C$2:$M$2,0)),"No errors"))</f>
        <v>Critical</v>
      </c>
    </row>
    <row r="766" spans="1:10">
      <c r="A766" s="73" t="s">
        <v>1399</v>
      </c>
      <c r="B766" s="17">
        <v>1</v>
      </c>
      <c r="C766" s="73" t="s">
        <v>1166</v>
      </c>
      <c r="D766" s="73" t="s">
        <v>1167</v>
      </c>
      <c r="E766" s="79" t="s">
        <v>2</v>
      </c>
      <c r="F766" s="79" t="s">
        <v>26</v>
      </c>
      <c r="G766" s="79" t="s">
        <v>57</v>
      </c>
      <c r="H766" s="79" t="s">
        <v>1168</v>
      </c>
      <c r="I766" s="79"/>
      <c r="J766" s="14" t="str">
        <f>IF(E766="Invalid_Segment","Invalid",IFERROR(INDEX(Severity_Matrix!$C$3:$M$10,MATCH('Error Log'!$F766,Severity_Matrix!$B$3:$B$10,0),MATCH('Error Log'!$G766,Severity_Matrix!$C$2:$M$2,0)),"No errors"))</f>
        <v>Major</v>
      </c>
    </row>
    <row r="767" spans="1:10">
      <c r="A767" s="73" t="s">
        <v>1399</v>
      </c>
      <c r="B767" s="17">
        <v>2</v>
      </c>
      <c r="C767" s="73" t="s">
        <v>1166</v>
      </c>
      <c r="D767" s="73" t="s">
        <v>1167</v>
      </c>
      <c r="E767" s="79" t="s">
        <v>21</v>
      </c>
      <c r="F767" s="79" t="s">
        <v>7</v>
      </c>
      <c r="G767" s="79" t="s">
        <v>57</v>
      </c>
      <c r="H767" s="79" t="s">
        <v>1169</v>
      </c>
      <c r="I767" s="79"/>
      <c r="J767" s="14" t="str">
        <f>IF(E767="Invalid_Segment","Invalid",IFERROR(INDEX(Severity_Matrix!$C$3:$M$10,MATCH('Error Log'!$F767,Severity_Matrix!$B$3:$B$10,0),MATCH('Error Log'!$G767,Severity_Matrix!$C$2:$M$2,0)),"No errors"))</f>
        <v>Critical</v>
      </c>
    </row>
    <row r="768" spans="1:10">
      <c r="A768" s="73" t="s">
        <v>1399</v>
      </c>
      <c r="B768" s="17">
        <v>3</v>
      </c>
      <c r="C768" s="73" t="s">
        <v>1166</v>
      </c>
      <c r="D768" s="73" t="s">
        <v>1167</v>
      </c>
      <c r="E768" s="79" t="s">
        <v>21</v>
      </c>
      <c r="F768" s="79" t="s">
        <v>22</v>
      </c>
      <c r="G768" s="79" t="s">
        <v>57</v>
      </c>
      <c r="H768" s="79" t="s">
        <v>1170</v>
      </c>
      <c r="I768" s="79"/>
      <c r="J768" s="14" t="str">
        <f>IF(E768="Invalid_Segment","Invalid",IFERROR(INDEX(Severity_Matrix!$C$3:$M$10,MATCH('Error Log'!$F768,Severity_Matrix!$B$3:$B$10,0),MATCH('Error Log'!$G768,Severity_Matrix!$C$2:$M$2,0)),"No errors"))</f>
        <v>Major</v>
      </c>
    </row>
    <row r="769" spans="1:10">
      <c r="A769" s="73" t="s">
        <v>1399</v>
      </c>
      <c r="B769" s="17">
        <v>4</v>
      </c>
      <c r="C769" s="73" t="s">
        <v>1166</v>
      </c>
      <c r="D769" s="73" t="s">
        <v>1167</v>
      </c>
      <c r="E769" s="79" t="s">
        <v>21</v>
      </c>
      <c r="F769" s="79" t="s">
        <v>7</v>
      </c>
      <c r="G769" s="79" t="s">
        <v>57</v>
      </c>
      <c r="H769" s="79" t="s">
        <v>1171</v>
      </c>
      <c r="I769" s="79"/>
      <c r="J769" s="14" t="str">
        <f>IF(E769="Invalid_Segment","Invalid",IFERROR(INDEX(Severity_Matrix!$C$3:$M$10,MATCH('Error Log'!$F769,Severity_Matrix!$B$3:$B$10,0),MATCH('Error Log'!$G769,Severity_Matrix!$C$2:$M$2,0)),"No errors"))</f>
        <v>Critical</v>
      </c>
    </row>
    <row r="770" spans="1:10">
      <c r="A770" s="73" t="s">
        <v>1399</v>
      </c>
      <c r="B770" s="17">
        <v>5</v>
      </c>
      <c r="C770" s="73" t="s">
        <v>1166</v>
      </c>
      <c r="D770" s="73" t="s">
        <v>1167</v>
      </c>
      <c r="E770" s="79" t="s">
        <v>21</v>
      </c>
      <c r="F770" s="79" t="s">
        <v>7</v>
      </c>
      <c r="G770" s="79" t="s">
        <v>57</v>
      </c>
      <c r="H770" s="79" t="s">
        <v>1172</v>
      </c>
      <c r="I770" s="79"/>
      <c r="J770" s="14" t="str">
        <f>IF(E770="Invalid_Segment","Invalid",IFERROR(INDEX(Severity_Matrix!$C$3:$M$10,MATCH('Error Log'!$F770,Severity_Matrix!$B$3:$B$10,0),MATCH('Error Log'!$G770,Severity_Matrix!$C$2:$M$2,0)),"No errors"))</f>
        <v>Critical</v>
      </c>
    </row>
    <row r="771" spans="1:10">
      <c r="A771" s="74" t="s">
        <v>1400</v>
      </c>
      <c r="B771" s="17">
        <v>1</v>
      </c>
      <c r="C771" s="73" t="s">
        <v>1173</v>
      </c>
      <c r="D771" s="83" t="s">
        <v>1174</v>
      </c>
      <c r="E771" s="85" t="s">
        <v>21</v>
      </c>
      <c r="F771" s="85" t="s">
        <v>7</v>
      </c>
      <c r="G771" s="85" t="s">
        <v>56</v>
      </c>
      <c r="H771" s="85"/>
      <c r="I771" s="79"/>
      <c r="J771" s="14" t="str">
        <f>IF(E771="Invalid_Segment","Invalid",IFERROR(INDEX(Severity_Matrix!$C$3:$M$10,MATCH('Error Log'!$F771,Severity_Matrix!$B$3:$B$10,0),MATCH('Error Log'!$G771,Severity_Matrix!$C$2:$M$2,0)),"No errors"))</f>
        <v>Critical</v>
      </c>
    </row>
    <row r="772" spans="1:10">
      <c r="A772" s="74" t="s">
        <v>1400</v>
      </c>
      <c r="B772" s="17">
        <v>2</v>
      </c>
      <c r="C772" s="73" t="s">
        <v>1173</v>
      </c>
      <c r="D772" s="83" t="s">
        <v>1174</v>
      </c>
      <c r="E772" s="79" t="s">
        <v>21</v>
      </c>
      <c r="F772" s="79" t="s">
        <v>22</v>
      </c>
      <c r="G772" s="79" t="s">
        <v>57</v>
      </c>
      <c r="H772" s="85" t="s">
        <v>1175</v>
      </c>
      <c r="I772" s="79"/>
      <c r="J772" s="14" t="str">
        <f>IF(E772="Invalid_Segment","Invalid",IFERROR(INDEX(Severity_Matrix!$C$3:$M$10,MATCH('Error Log'!$F772,Severity_Matrix!$B$3:$B$10,0),MATCH('Error Log'!$G772,Severity_Matrix!$C$2:$M$2,0)),"No errors"))</f>
        <v>Major</v>
      </c>
    </row>
    <row r="773" spans="1:10">
      <c r="A773" s="74" t="s">
        <v>1400</v>
      </c>
      <c r="B773" s="17">
        <v>3</v>
      </c>
      <c r="C773" s="73" t="s">
        <v>1173</v>
      </c>
      <c r="D773" s="83" t="s">
        <v>1174</v>
      </c>
      <c r="E773" s="79" t="s">
        <v>21</v>
      </c>
      <c r="F773" s="79" t="s">
        <v>22</v>
      </c>
      <c r="G773" s="79" t="s">
        <v>57</v>
      </c>
      <c r="H773" s="88" t="s">
        <v>1176</v>
      </c>
      <c r="I773" s="79"/>
      <c r="J773" s="14" t="str">
        <f>IF(E773="Invalid_Segment","Invalid",IFERROR(INDEX(Severity_Matrix!$C$3:$M$10,MATCH('Error Log'!$F773,Severity_Matrix!$B$3:$B$10,0),MATCH('Error Log'!$G773,Severity_Matrix!$C$2:$M$2,0)),"No errors"))</f>
        <v>Major</v>
      </c>
    </row>
    <row r="774" spans="1:10">
      <c r="A774" s="74" t="s">
        <v>1400</v>
      </c>
      <c r="B774" s="17">
        <v>4</v>
      </c>
      <c r="C774" s="73" t="s">
        <v>1173</v>
      </c>
      <c r="D774" s="83" t="s">
        <v>1174</v>
      </c>
      <c r="E774" s="85" t="s">
        <v>2</v>
      </c>
      <c r="F774" s="85" t="s">
        <v>26</v>
      </c>
      <c r="G774" s="85" t="s">
        <v>57</v>
      </c>
      <c r="H774" s="88" t="s">
        <v>1176</v>
      </c>
      <c r="I774" s="79"/>
      <c r="J774" s="14" t="str">
        <f>IF(E774="Invalid_Segment","Invalid",IFERROR(INDEX(Severity_Matrix!$C$3:$M$10,MATCH('Error Log'!$F774,Severity_Matrix!$B$3:$B$10,0),MATCH('Error Log'!$G774,Severity_Matrix!$C$2:$M$2,0)),"No errors"))</f>
        <v>Major</v>
      </c>
    </row>
    <row r="775" spans="1:10">
      <c r="A775" s="74" t="s">
        <v>1400</v>
      </c>
      <c r="B775" s="17">
        <v>5</v>
      </c>
      <c r="C775" s="73" t="s">
        <v>1173</v>
      </c>
      <c r="D775" s="83" t="s">
        <v>1174</v>
      </c>
      <c r="E775" s="79" t="s">
        <v>21</v>
      </c>
      <c r="F775" s="79" t="s">
        <v>7</v>
      </c>
      <c r="G775" s="79" t="s">
        <v>57</v>
      </c>
      <c r="H775" s="79" t="s">
        <v>1177</v>
      </c>
      <c r="I775" s="79"/>
      <c r="J775" s="14" t="str">
        <f>IF(E775="Invalid_Segment","Invalid",IFERROR(INDEX(Severity_Matrix!$C$3:$M$10,MATCH('Error Log'!$F775,Severity_Matrix!$B$3:$B$10,0),MATCH('Error Log'!$G775,Severity_Matrix!$C$2:$M$2,0)),"No errors"))</f>
        <v>Critical</v>
      </c>
    </row>
    <row r="776" spans="1:10">
      <c r="A776" s="74" t="s">
        <v>1400</v>
      </c>
      <c r="B776" s="17">
        <v>6</v>
      </c>
      <c r="C776" s="73" t="s">
        <v>1173</v>
      </c>
      <c r="D776" s="83" t="s">
        <v>1174</v>
      </c>
      <c r="E776" s="79" t="s">
        <v>21</v>
      </c>
      <c r="F776" s="79" t="s">
        <v>7</v>
      </c>
      <c r="G776" s="79" t="s">
        <v>57</v>
      </c>
      <c r="H776" s="85" t="s">
        <v>1178</v>
      </c>
      <c r="I776" s="79"/>
      <c r="J776" s="14" t="str">
        <f>IF(E776="Invalid_Segment","Invalid",IFERROR(INDEX(Severity_Matrix!$C$3:$M$10,MATCH('Error Log'!$F776,Severity_Matrix!$B$3:$B$10,0),MATCH('Error Log'!$G776,Severity_Matrix!$C$2:$M$2,0)),"No errors"))</f>
        <v>Critical</v>
      </c>
    </row>
    <row r="777" spans="1:10">
      <c r="A777" s="74" t="s">
        <v>1401</v>
      </c>
      <c r="B777" s="17">
        <v>1</v>
      </c>
      <c r="C777" s="83" t="s">
        <v>1179</v>
      </c>
      <c r="D777" s="83" t="s">
        <v>1180</v>
      </c>
      <c r="E777" s="79" t="s">
        <v>2</v>
      </c>
      <c r="F777" s="79" t="s">
        <v>26</v>
      </c>
      <c r="G777" s="79" t="s">
        <v>57</v>
      </c>
      <c r="H777" s="79" t="s">
        <v>1181</v>
      </c>
      <c r="I777" s="79"/>
      <c r="J777" s="14" t="str">
        <f>IF(E777="Invalid_Segment","Invalid",IFERROR(INDEX(Severity_Matrix!$C$3:$M$10,MATCH('Error Log'!$F777,Severity_Matrix!$B$3:$B$10,0),MATCH('Error Log'!$G777,Severity_Matrix!$C$2:$M$2,0)),"No errors"))</f>
        <v>Major</v>
      </c>
    </row>
    <row r="778" spans="1:10">
      <c r="A778" s="74" t="s">
        <v>1401</v>
      </c>
      <c r="B778" s="17">
        <v>2</v>
      </c>
      <c r="C778" s="83" t="s">
        <v>1179</v>
      </c>
      <c r="D778" s="83" t="s">
        <v>1180</v>
      </c>
      <c r="E778" s="79" t="s">
        <v>2</v>
      </c>
      <c r="F778" s="79" t="s">
        <v>26</v>
      </c>
      <c r="G778" s="79" t="s">
        <v>57</v>
      </c>
      <c r="H778" s="79" t="s">
        <v>1181</v>
      </c>
      <c r="I778" s="79"/>
      <c r="J778" s="14" t="str">
        <f>IF(E778="Invalid_Segment","Invalid",IFERROR(INDEX(Severity_Matrix!$C$3:$M$10,MATCH('Error Log'!$F778,Severity_Matrix!$B$3:$B$10,0),MATCH('Error Log'!$G778,Severity_Matrix!$C$2:$M$2,0)),"No errors"))</f>
        <v>Major</v>
      </c>
    </row>
    <row r="779" spans="1:10">
      <c r="A779" s="74" t="s">
        <v>1401</v>
      </c>
      <c r="B779" s="17">
        <v>3</v>
      </c>
      <c r="C779" s="83" t="s">
        <v>1179</v>
      </c>
      <c r="D779" s="83" t="s">
        <v>1180</v>
      </c>
      <c r="E779" s="79" t="s">
        <v>21</v>
      </c>
      <c r="F779" s="79" t="s">
        <v>7</v>
      </c>
      <c r="G779" s="79" t="s">
        <v>57</v>
      </c>
      <c r="H779" s="79" t="s">
        <v>1182</v>
      </c>
      <c r="I779" s="79"/>
      <c r="J779" s="14" t="str">
        <f>IF(E779="Invalid_Segment","Invalid",IFERROR(INDEX(Severity_Matrix!$C$3:$M$10,MATCH('Error Log'!$F779,Severity_Matrix!$B$3:$B$10,0),MATCH('Error Log'!$G779,Severity_Matrix!$C$2:$M$2,0)),"No errors"))</f>
        <v>Critical</v>
      </c>
    </row>
    <row r="780" spans="1:10">
      <c r="A780" s="74" t="s">
        <v>1401</v>
      </c>
      <c r="B780" s="17">
        <v>4</v>
      </c>
      <c r="C780" s="83" t="s">
        <v>1179</v>
      </c>
      <c r="D780" s="83" t="s">
        <v>1180</v>
      </c>
      <c r="E780" s="79" t="s">
        <v>21</v>
      </c>
      <c r="F780" s="79" t="s">
        <v>7</v>
      </c>
      <c r="G780" s="79" t="s">
        <v>57</v>
      </c>
      <c r="H780" s="79" t="s">
        <v>1183</v>
      </c>
      <c r="I780" s="79"/>
      <c r="J780" s="14" t="str">
        <f>IF(E780="Invalid_Segment","Invalid",IFERROR(INDEX(Severity_Matrix!$C$3:$M$10,MATCH('Error Log'!$F780,Severity_Matrix!$B$3:$B$10,0),MATCH('Error Log'!$G780,Severity_Matrix!$C$2:$M$2,0)),"No errors"))</f>
        <v>Critical</v>
      </c>
    </row>
    <row r="781" spans="1:10">
      <c r="A781" s="74" t="s">
        <v>1402</v>
      </c>
      <c r="B781" s="17">
        <v>1</v>
      </c>
      <c r="C781" s="83" t="s">
        <v>1184</v>
      </c>
      <c r="D781" s="83" t="s">
        <v>1185</v>
      </c>
      <c r="E781" s="79" t="s">
        <v>2</v>
      </c>
      <c r="F781" s="79" t="s">
        <v>26</v>
      </c>
      <c r="G781" s="79" t="s">
        <v>57</v>
      </c>
      <c r="H781" s="79" t="s">
        <v>1186</v>
      </c>
      <c r="I781" s="79"/>
      <c r="J781" s="14" t="str">
        <f>IF(E781="Invalid_Segment","Invalid",IFERROR(INDEX(Severity_Matrix!$C$3:$M$10,MATCH('Error Log'!$F781,Severity_Matrix!$B$3:$B$10,0),MATCH('Error Log'!$G781,Severity_Matrix!$C$2:$M$2,0)),"No errors"))</f>
        <v>Major</v>
      </c>
    </row>
    <row r="782" spans="1:10">
      <c r="A782" s="74" t="s">
        <v>1402</v>
      </c>
      <c r="B782" s="17">
        <v>2</v>
      </c>
      <c r="C782" s="83" t="s">
        <v>1184</v>
      </c>
      <c r="D782" s="83" t="s">
        <v>1185</v>
      </c>
      <c r="E782" s="79" t="s">
        <v>21</v>
      </c>
      <c r="F782" s="79" t="s">
        <v>7</v>
      </c>
      <c r="G782" s="79" t="s">
        <v>57</v>
      </c>
      <c r="H782" s="79" t="s">
        <v>1187</v>
      </c>
      <c r="I782" s="79"/>
      <c r="J782" s="14" t="str">
        <f>IF(E782="Invalid_Segment","Invalid",IFERROR(INDEX(Severity_Matrix!$C$3:$M$10,MATCH('Error Log'!$F782,Severity_Matrix!$B$3:$B$10,0),MATCH('Error Log'!$G782,Severity_Matrix!$C$2:$M$2,0)),"No errors"))</f>
        <v>Critical</v>
      </c>
    </row>
    <row r="783" spans="1:10">
      <c r="A783" s="74" t="s">
        <v>1403</v>
      </c>
      <c r="B783" s="17">
        <v>1</v>
      </c>
      <c r="C783" s="83" t="s">
        <v>1188</v>
      </c>
      <c r="D783" s="83" t="s">
        <v>1189</v>
      </c>
      <c r="E783" s="79" t="s">
        <v>21</v>
      </c>
      <c r="F783" s="79" t="s">
        <v>7</v>
      </c>
      <c r="G783" s="79" t="s">
        <v>55</v>
      </c>
      <c r="H783" s="79" t="s">
        <v>1190</v>
      </c>
      <c r="I783" s="79"/>
      <c r="J783" s="14" t="str">
        <f>IF(E783="Invalid_Segment","Invalid",IFERROR(INDEX(Severity_Matrix!$C$3:$M$10,MATCH('Error Log'!$F783,Severity_Matrix!$B$3:$B$10,0),MATCH('Error Log'!$G783,Severity_Matrix!$C$2:$M$2,0)),"No errors"))</f>
        <v>Critical</v>
      </c>
    </row>
    <row r="784" spans="1:10">
      <c r="A784" s="74" t="s">
        <v>1403</v>
      </c>
      <c r="B784" s="17">
        <v>2</v>
      </c>
      <c r="C784" s="83" t="s">
        <v>1188</v>
      </c>
      <c r="D784" s="83" t="s">
        <v>1189</v>
      </c>
      <c r="E784" s="79" t="s">
        <v>21</v>
      </c>
      <c r="F784" s="79" t="s">
        <v>22</v>
      </c>
      <c r="G784" s="79" t="s">
        <v>57</v>
      </c>
      <c r="H784" s="79" t="s">
        <v>1191</v>
      </c>
      <c r="I784" s="79"/>
      <c r="J784" s="14" t="str">
        <f>IF(E784="Invalid_Segment","Invalid",IFERROR(INDEX(Severity_Matrix!$C$3:$M$10,MATCH('Error Log'!$F784,Severity_Matrix!$B$3:$B$10,0),MATCH('Error Log'!$G784,Severity_Matrix!$C$2:$M$2,0)),"No errors"))</f>
        <v>Major</v>
      </c>
    </row>
    <row r="785" spans="1:10">
      <c r="A785" s="74" t="s">
        <v>1403</v>
      </c>
      <c r="B785" s="17">
        <v>3</v>
      </c>
      <c r="C785" s="83" t="s">
        <v>1188</v>
      </c>
      <c r="D785" s="83" t="s">
        <v>1189</v>
      </c>
      <c r="E785" s="79" t="s">
        <v>21</v>
      </c>
      <c r="F785" s="79" t="s">
        <v>7</v>
      </c>
      <c r="G785" s="79" t="s">
        <v>57</v>
      </c>
      <c r="H785" s="89" t="s">
        <v>1192</v>
      </c>
      <c r="I785" s="79"/>
      <c r="J785" s="14" t="str">
        <f>IF(E785="Invalid_Segment","Invalid",IFERROR(INDEX(Severity_Matrix!$C$3:$M$10,MATCH('Error Log'!$F785,Severity_Matrix!$B$3:$B$10,0),MATCH('Error Log'!$G785,Severity_Matrix!$C$2:$M$2,0)),"No errors"))</f>
        <v>Critical</v>
      </c>
    </row>
    <row r="786" spans="1:10">
      <c r="A786" s="74" t="s">
        <v>1404</v>
      </c>
      <c r="B786" s="17">
        <v>1</v>
      </c>
      <c r="C786" s="83" t="s">
        <v>1193</v>
      </c>
      <c r="D786" s="83" t="s">
        <v>1194</v>
      </c>
      <c r="E786" s="79" t="s">
        <v>21</v>
      </c>
      <c r="F786" s="79" t="s">
        <v>63</v>
      </c>
      <c r="G786" s="79" t="s">
        <v>27</v>
      </c>
      <c r="H786" s="79" t="s">
        <v>303</v>
      </c>
      <c r="I786" s="79"/>
      <c r="J786" s="14" t="str">
        <f>IF(E786="Invalid_Segment","Invalid",IFERROR(INDEX(Severity_Matrix!$C$3:$M$10,MATCH('Error Log'!$F786,Severity_Matrix!$B$3:$B$10,0),MATCH('Error Log'!$G786,Severity_Matrix!$C$2:$M$2,0)),"No errors"))</f>
        <v>Critical</v>
      </c>
    </row>
    <row r="787" spans="1:10">
      <c r="A787" s="74" t="s">
        <v>1404</v>
      </c>
      <c r="B787" s="17">
        <v>2</v>
      </c>
      <c r="C787" s="83" t="s">
        <v>1193</v>
      </c>
      <c r="D787" s="83" t="s">
        <v>1194</v>
      </c>
      <c r="E787" s="79" t="s">
        <v>21</v>
      </c>
      <c r="F787" s="79" t="s">
        <v>63</v>
      </c>
      <c r="G787" s="79" t="s">
        <v>28</v>
      </c>
      <c r="H787" s="79" t="s">
        <v>1195</v>
      </c>
      <c r="I787" s="79"/>
      <c r="J787" s="14" t="str">
        <f>IF(E787="Invalid_Segment","Invalid",IFERROR(INDEX(Severity_Matrix!$C$3:$M$10,MATCH('Error Log'!$F787,Severity_Matrix!$B$3:$B$10,0),MATCH('Error Log'!$G787,Severity_Matrix!$C$2:$M$2,0)),"No errors"))</f>
        <v>Major</v>
      </c>
    </row>
    <row r="788" spans="1:10">
      <c r="A788" s="74" t="s">
        <v>1404</v>
      </c>
      <c r="B788" s="17">
        <v>3</v>
      </c>
      <c r="C788" s="83" t="s">
        <v>1193</v>
      </c>
      <c r="D788" s="83" t="s">
        <v>1194</v>
      </c>
      <c r="E788" s="79" t="s">
        <v>2</v>
      </c>
      <c r="F788" s="79" t="s">
        <v>26</v>
      </c>
      <c r="G788" s="79" t="s">
        <v>57</v>
      </c>
      <c r="H788" s="79" t="s">
        <v>1196</v>
      </c>
      <c r="I788" s="79"/>
      <c r="J788" s="14" t="str">
        <f>IF(E788="Invalid_Segment","Invalid",IFERROR(INDEX(Severity_Matrix!$C$3:$M$10,MATCH('Error Log'!$F788,Severity_Matrix!$B$3:$B$10,0),MATCH('Error Log'!$G788,Severity_Matrix!$C$2:$M$2,0)),"No errors"))</f>
        <v>Major</v>
      </c>
    </row>
    <row r="789" spans="1:10">
      <c r="A789" s="74" t="s">
        <v>1404</v>
      </c>
      <c r="B789" s="17">
        <v>4</v>
      </c>
      <c r="C789" s="83" t="s">
        <v>1193</v>
      </c>
      <c r="D789" s="83" t="s">
        <v>1194</v>
      </c>
      <c r="E789" s="79" t="s">
        <v>21</v>
      </c>
      <c r="F789" s="79" t="s">
        <v>7</v>
      </c>
      <c r="G789" s="79" t="s">
        <v>57</v>
      </c>
      <c r="H789" s="79" t="s">
        <v>1197</v>
      </c>
      <c r="I789" s="79"/>
      <c r="J789" s="14" t="str">
        <f>IF(E789="Invalid_Segment","Invalid",IFERROR(INDEX(Severity_Matrix!$C$3:$M$10,MATCH('Error Log'!$F789,Severity_Matrix!$B$3:$B$10,0),MATCH('Error Log'!$G789,Severity_Matrix!$C$2:$M$2,0)),"No errors"))</f>
        <v>Critical</v>
      </c>
    </row>
    <row r="790" spans="1:10">
      <c r="A790" s="74" t="s">
        <v>1404</v>
      </c>
      <c r="B790" s="17">
        <v>5</v>
      </c>
      <c r="C790" s="83" t="s">
        <v>1193</v>
      </c>
      <c r="D790" s="83" t="s">
        <v>1194</v>
      </c>
      <c r="E790" s="79" t="s">
        <v>21</v>
      </c>
      <c r="F790" s="79" t="s">
        <v>7</v>
      </c>
      <c r="G790" s="79" t="s">
        <v>57</v>
      </c>
      <c r="H790" s="79" t="s">
        <v>1198</v>
      </c>
      <c r="I790" s="79"/>
      <c r="J790" s="14" t="str">
        <f>IF(E790="Invalid_Segment","Invalid",IFERROR(INDEX(Severity_Matrix!$C$3:$M$10,MATCH('Error Log'!$F790,Severity_Matrix!$B$3:$B$10,0),MATCH('Error Log'!$G790,Severity_Matrix!$C$2:$M$2,0)),"No errors"))</f>
        <v>Critical</v>
      </c>
    </row>
    <row r="791" spans="1:10">
      <c r="A791" s="74" t="s">
        <v>1404</v>
      </c>
      <c r="B791" s="17">
        <v>6</v>
      </c>
      <c r="C791" s="83" t="s">
        <v>1193</v>
      </c>
      <c r="D791" s="83" t="s">
        <v>1194</v>
      </c>
      <c r="E791" s="90"/>
      <c r="F791" s="90"/>
      <c r="G791" s="90"/>
      <c r="H791" s="90"/>
      <c r="I791" s="79"/>
      <c r="J791" s="14" t="str">
        <f>IF(E791="Invalid_Segment","Invalid",IFERROR(INDEX(Severity_Matrix!$C$3:$M$10,MATCH('Error Log'!$F791,Severity_Matrix!$B$3:$B$10,0),MATCH('Error Log'!$G791,Severity_Matrix!$C$2:$M$2,0)),"No errors"))</f>
        <v>No errors</v>
      </c>
    </row>
    <row r="792" spans="1:10">
      <c r="A792" s="74" t="s">
        <v>1405</v>
      </c>
      <c r="B792" s="17">
        <v>1</v>
      </c>
      <c r="C792" s="83" t="s">
        <v>1199</v>
      </c>
      <c r="D792" s="83" t="s">
        <v>1200</v>
      </c>
      <c r="E792" s="79" t="s">
        <v>2</v>
      </c>
      <c r="F792" s="79" t="s">
        <v>26</v>
      </c>
      <c r="G792" s="79" t="s">
        <v>57</v>
      </c>
      <c r="H792" s="79" t="s">
        <v>1201</v>
      </c>
      <c r="I792" s="79"/>
      <c r="J792" s="14" t="str">
        <f>IF(E792="Invalid_Segment","Invalid",IFERROR(INDEX(Severity_Matrix!$C$3:$M$10,MATCH('Error Log'!$F792,Severity_Matrix!$B$3:$B$10,0),MATCH('Error Log'!$G792,Severity_Matrix!$C$2:$M$2,0)),"No errors"))</f>
        <v>Major</v>
      </c>
    </row>
    <row r="793" spans="1:10">
      <c r="A793" s="74" t="s">
        <v>1405</v>
      </c>
      <c r="B793" s="17">
        <v>2</v>
      </c>
      <c r="C793" s="83" t="s">
        <v>1199</v>
      </c>
      <c r="D793" s="83" t="s">
        <v>1200</v>
      </c>
      <c r="E793" s="79" t="s">
        <v>2</v>
      </c>
      <c r="F793" s="79" t="s">
        <v>26</v>
      </c>
      <c r="G793" s="79" t="s">
        <v>57</v>
      </c>
      <c r="H793" s="79" t="s">
        <v>1202</v>
      </c>
      <c r="I793" s="79"/>
      <c r="J793" s="14" t="str">
        <f>IF(E793="Invalid_Segment","Invalid",IFERROR(INDEX(Severity_Matrix!$C$3:$M$10,MATCH('Error Log'!$F793,Severity_Matrix!$B$3:$B$10,0),MATCH('Error Log'!$G793,Severity_Matrix!$C$2:$M$2,0)),"No errors"))</f>
        <v>Major</v>
      </c>
    </row>
    <row r="794" spans="1:10">
      <c r="A794" s="74" t="s">
        <v>1405</v>
      </c>
      <c r="B794" s="17">
        <v>3</v>
      </c>
      <c r="C794" s="83" t="s">
        <v>1199</v>
      </c>
      <c r="D794" s="83" t="s">
        <v>1200</v>
      </c>
      <c r="E794" s="79" t="s">
        <v>21</v>
      </c>
      <c r="F794" s="79" t="s">
        <v>7</v>
      </c>
      <c r="G794" s="79" t="s">
        <v>57</v>
      </c>
      <c r="H794" s="79" t="s">
        <v>1203</v>
      </c>
      <c r="I794" s="79"/>
      <c r="J794" s="14" t="str">
        <f>IF(E794="Invalid_Segment","Invalid",IFERROR(INDEX(Severity_Matrix!$C$3:$M$10,MATCH('Error Log'!$F794,Severity_Matrix!$B$3:$B$10,0),MATCH('Error Log'!$G794,Severity_Matrix!$C$2:$M$2,0)),"No errors"))</f>
        <v>Critical</v>
      </c>
    </row>
    <row r="795" spans="1:10">
      <c r="A795" s="74" t="s">
        <v>1405</v>
      </c>
      <c r="B795" s="17">
        <v>4</v>
      </c>
      <c r="C795" s="83" t="s">
        <v>1199</v>
      </c>
      <c r="D795" s="83" t="s">
        <v>1200</v>
      </c>
      <c r="E795" s="79" t="s">
        <v>21</v>
      </c>
      <c r="F795" s="79" t="s">
        <v>7</v>
      </c>
      <c r="G795" s="79" t="s">
        <v>57</v>
      </c>
      <c r="H795" s="79" t="s">
        <v>1204</v>
      </c>
      <c r="I795" s="79"/>
      <c r="J795" s="14" t="str">
        <f>IF(E795="Invalid_Segment","Invalid",IFERROR(INDEX(Severity_Matrix!$C$3:$M$10,MATCH('Error Log'!$F795,Severity_Matrix!$B$3:$B$10,0),MATCH('Error Log'!$G795,Severity_Matrix!$C$2:$M$2,0)),"No errors"))</f>
        <v>Critical</v>
      </c>
    </row>
    <row r="796" spans="1:10">
      <c r="A796" s="74" t="s">
        <v>1406</v>
      </c>
      <c r="B796" s="17">
        <v>1</v>
      </c>
      <c r="C796" s="83" t="s">
        <v>1205</v>
      </c>
      <c r="D796" s="83" t="s">
        <v>1206</v>
      </c>
      <c r="E796" s="79" t="s">
        <v>2</v>
      </c>
      <c r="F796" s="79" t="s">
        <v>26</v>
      </c>
      <c r="G796" s="79" t="s">
        <v>57</v>
      </c>
      <c r="H796" s="79" t="s">
        <v>1207</v>
      </c>
      <c r="I796" s="79"/>
      <c r="J796" s="14" t="str">
        <f>IF(E796="Invalid_Segment","Invalid",IFERROR(INDEX(Severity_Matrix!$C$3:$M$10,MATCH('Error Log'!$F796,Severity_Matrix!$B$3:$B$10,0),MATCH('Error Log'!$G796,Severity_Matrix!$C$2:$M$2,0)),"No errors"))</f>
        <v>Major</v>
      </c>
    </row>
    <row r="797" spans="1:10">
      <c r="A797" s="74" t="s">
        <v>1406</v>
      </c>
      <c r="B797" s="17">
        <v>2</v>
      </c>
      <c r="C797" s="83" t="s">
        <v>1205</v>
      </c>
      <c r="D797" s="83" t="s">
        <v>1206</v>
      </c>
      <c r="E797" s="79" t="s">
        <v>21</v>
      </c>
      <c r="F797" s="79" t="s">
        <v>7</v>
      </c>
      <c r="G797" s="79" t="s">
        <v>57</v>
      </c>
      <c r="H797" s="79" t="s">
        <v>1208</v>
      </c>
      <c r="I797" s="79"/>
      <c r="J797" s="14" t="str">
        <f>IF(E797="Invalid_Segment","Invalid",IFERROR(INDEX(Severity_Matrix!$C$3:$M$10,MATCH('Error Log'!$F797,Severity_Matrix!$B$3:$B$10,0),MATCH('Error Log'!$G797,Severity_Matrix!$C$2:$M$2,0)),"No errors"))</f>
        <v>Critical</v>
      </c>
    </row>
    <row r="798" spans="1:10">
      <c r="A798" s="74" t="s">
        <v>1407</v>
      </c>
      <c r="B798" s="17">
        <v>1</v>
      </c>
      <c r="C798" s="83" t="s">
        <v>1209</v>
      </c>
      <c r="D798" s="83" t="s">
        <v>1210</v>
      </c>
      <c r="E798" s="79" t="s">
        <v>21</v>
      </c>
      <c r="F798" s="79" t="s">
        <v>22</v>
      </c>
      <c r="G798" s="79" t="s">
        <v>57</v>
      </c>
      <c r="H798" s="79" t="s">
        <v>1211</v>
      </c>
      <c r="I798" s="79"/>
      <c r="J798" s="14" t="str">
        <f>IF(E798="Invalid_Segment","Invalid",IFERROR(INDEX(Severity_Matrix!$C$3:$M$10,MATCH('Error Log'!$F798,Severity_Matrix!$B$3:$B$10,0),MATCH('Error Log'!$G798,Severity_Matrix!$C$2:$M$2,0)),"No errors"))</f>
        <v>Major</v>
      </c>
    </row>
    <row r="799" spans="1:10">
      <c r="A799" s="74" t="s">
        <v>1407</v>
      </c>
      <c r="B799" s="17">
        <v>2</v>
      </c>
      <c r="C799" s="83" t="s">
        <v>1209</v>
      </c>
      <c r="D799" s="83" t="s">
        <v>1210</v>
      </c>
      <c r="E799" s="79" t="s">
        <v>2</v>
      </c>
      <c r="F799" s="79" t="s">
        <v>26</v>
      </c>
      <c r="G799" s="79" t="s">
        <v>57</v>
      </c>
      <c r="H799" s="79" t="s">
        <v>1211</v>
      </c>
      <c r="I799" s="79"/>
      <c r="J799" s="14" t="str">
        <f>IF(E799="Invalid_Segment","Invalid",IFERROR(INDEX(Severity_Matrix!$C$3:$M$10,MATCH('Error Log'!$F799,Severity_Matrix!$B$3:$B$10,0),MATCH('Error Log'!$G799,Severity_Matrix!$C$2:$M$2,0)),"No errors"))</f>
        <v>Major</v>
      </c>
    </row>
    <row r="800" spans="1:10">
      <c r="A800" s="74" t="s">
        <v>1407</v>
      </c>
      <c r="B800" s="17">
        <v>3</v>
      </c>
      <c r="C800" s="83" t="s">
        <v>1209</v>
      </c>
      <c r="D800" s="83" t="s">
        <v>1210</v>
      </c>
      <c r="E800" s="79" t="s">
        <v>21</v>
      </c>
      <c r="F800" s="79" t="s">
        <v>7</v>
      </c>
      <c r="G800" s="79" t="s">
        <v>57</v>
      </c>
      <c r="H800" s="79" t="s">
        <v>1212</v>
      </c>
      <c r="I800" s="79"/>
      <c r="J800" s="14" t="str">
        <f>IF(E800="Invalid_Segment","Invalid",IFERROR(INDEX(Severity_Matrix!$C$3:$M$10,MATCH('Error Log'!$F800,Severity_Matrix!$B$3:$B$10,0),MATCH('Error Log'!$G800,Severity_Matrix!$C$2:$M$2,0)),"No errors"))</f>
        <v>Critical</v>
      </c>
    </row>
    <row r="801" spans="1:10">
      <c r="A801" s="74" t="s">
        <v>1407</v>
      </c>
      <c r="B801" s="17">
        <v>4</v>
      </c>
      <c r="C801" s="83" t="s">
        <v>1209</v>
      </c>
      <c r="D801" s="83" t="s">
        <v>1210</v>
      </c>
      <c r="E801" s="79" t="s">
        <v>21</v>
      </c>
      <c r="F801" s="79" t="s">
        <v>7</v>
      </c>
      <c r="G801" s="79" t="s">
        <v>57</v>
      </c>
      <c r="H801" s="79" t="s">
        <v>1213</v>
      </c>
      <c r="I801" s="79"/>
      <c r="J801" s="14" t="str">
        <f>IF(E801="Invalid_Segment","Invalid",IFERROR(INDEX(Severity_Matrix!$C$3:$M$10,MATCH('Error Log'!$F801,Severity_Matrix!$B$3:$B$10,0),MATCH('Error Log'!$G801,Severity_Matrix!$C$2:$M$2,0)),"No errors"))</f>
        <v>Critical</v>
      </c>
    </row>
    <row r="802" spans="1:10">
      <c r="A802" s="74" t="s">
        <v>1408</v>
      </c>
      <c r="B802" s="17">
        <v>1</v>
      </c>
      <c r="C802" s="83" t="s">
        <v>1214</v>
      </c>
      <c r="D802" s="83" t="s">
        <v>1215</v>
      </c>
      <c r="E802" s="79" t="s">
        <v>2</v>
      </c>
      <c r="F802" s="79" t="s">
        <v>26</v>
      </c>
      <c r="G802" s="79" t="s">
        <v>57</v>
      </c>
      <c r="H802" s="79" t="s">
        <v>1216</v>
      </c>
      <c r="I802" s="79"/>
      <c r="J802" s="14" t="str">
        <f>IF(E802="Invalid_Segment","Invalid",IFERROR(INDEX(Severity_Matrix!$C$3:$M$10,MATCH('Error Log'!$F802,Severity_Matrix!$B$3:$B$10,0),MATCH('Error Log'!$G802,Severity_Matrix!$C$2:$M$2,0)),"No errors"))</f>
        <v>Major</v>
      </c>
    </row>
    <row r="803" spans="1:10">
      <c r="A803" s="74" t="s">
        <v>1408</v>
      </c>
      <c r="B803" s="17">
        <v>2</v>
      </c>
      <c r="C803" s="83" t="s">
        <v>1214</v>
      </c>
      <c r="D803" s="83" t="s">
        <v>1215</v>
      </c>
      <c r="E803" s="79" t="s">
        <v>21</v>
      </c>
      <c r="F803" s="79" t="s">
        <v>22</v>
      </c>
      <c r="G803" s="79" t="s">
        <v>57</v>
      </c>
      <c r="H803" s="79" t="s">
        <v>1217</v>
      </c>
      <c r="I803" s="79"/>
      <c r="J803" s="14" t="str">
        <f>IF(E803="Invalid_Segment","Invalid",IFERROR(INDEX(Severity_Matrix!$C$3:$M$10,MATCH('Error Log'!$F803,Severity_Matrix!$B$3:$B$10,0),MATCH('Error Log'!$G803,Severity_Matrix!$C$2:$M$2,0)),"No errors"))</f>
        <v>Major</v>
      </c>
    </row>
    <row r="804" spans="1:10">
      <c r="A804" s="74" t="s">
        <v>1408</v>
      </c>
      <c r="B804" s="17">
        <v>3</v>
      </c>
      <c r="C804" s="83" t="s">
        <v>1214</v>
      </c>
      <c r="D804" s="83" t="s">
        <v>1215</v>
      </c>
      <c r="E804" s="79" t="s">
        <v>21</v>
      </c>
      <c r="F804" s="79" t="s">
        <v>22</v>
      </c>
      <c r="G804" s="79" t="s">
        <v>57</v>
      </c>
      <c r="H804" s="79" t="s">
        <v>1218</v>
      </c>
      <c r="I804" s="79"/>
      <c r="J804" s="14" t="str">
        <f>IF(E804="Invalid_Segment","Invalid",IFERROR(INDEX(Severity_Matrix!$C$3:$M$10,MATCH('Error Log'!$F804,Severity_Matrix!$B$3:$B$10,0),MATCH('Error Log'!$G804,Severity_Matrix!$C$2:$M$2,0)),"No errors"))</f>
        <v>Major</v>
      </c>
    </row>
    <row r="805" spans="1:10">
      <c r="A805" s="74" t="s">
        <v>1408</v>
      </c>
      <c r="B805" s="17">
        <v>4</v>
      </c>
      <c r="C805" s="83" t="s">
        <v>1214</v>
      </c>
      <c r="D805" s="83" t="s">
        <v>1215</v>
      </c>
      <c r="E805" s="79" t="s">
        <v>21</v>
      </c>
      <c r="F805" s="79" t="s">
        <v>63</v>
      </c>
      <c r="G805" s="79" t="s">
        <v>28</v>
      </c>
      <c r="H805" s="79" t="s">
        <v>303</v>
      </c>
      <c r="I805" s="79"/>
      <c r="J805" s="14" t="str">
        <f>IF(E805="Invalid_Segment","Invalid",IFERROR(INDEX(Severity_Matrix!$C$3:$M$10,MATCH('Error Log'!$F805,Severity_Matrix!$B$3:$B$10,0),MATCH('Error Log'!$G805,Severity_Matrix!$C$2:$M$2,0)),"No errors"))</f>
        <v>Major</v>
      </c>
    </row>
    <row r="806" spans="1:10">
      <c r="A806" s="74" t="s">
        <v>1408</v>
      </c>
      <c r="B806" s="17">
        <v>5</v>
      </c>
      <c r="C806" s="83" t="s">
        <v>1214</v>
      </c>
      <c r="D806" s="83" t="s">
        <v>1215</v>
      </c>
      <c r="E806" s="79" t="s">
        <v>21</v>
      </c>
      <c r="F806" s="79" t="s">
        <v>7</v>
      </c>
      <c r="G806" s="79" t="s">
        <v>57</v>
      </c>
      <c r="H806" s="79" t="s">
        <v>1219</v>
      </c>
      <c r="I806" s="79"/>
      <c r="J806" s="14" t="str">
        <f>IF(E806="Invalid_Segment","Invalid",IFERROR(INDEX(Severity_Matrix!$C$3:$M$10,MATCH('Error Log'!$F806,Severity_Matrix!$B$3:$B$10,0),MATCH('Error Log'!$G806,Severity_Matrix!$C$2:$M$2,0)),"No errors"))</f>
        <v>Critical</v>
      </c>
    </row>
    <row r="807" spans="1:10">
      <c r="A807" s="74" t="s">
        <v>1409</v>
      </c>
      <c r="B807" s="17">
        <v>1</v>
      </c>
      <c r="C807" s="83" t="s">
        <v>1220</v>
      </c>
      <c r="D807" s="83" t="s">
        <v>1221</v>
      </c>
      <c r="E807" s="79" t="s">
        <v>2</v>
      </c>
      <c r="F807" s="79" t="s">
        <v>26</v>
      </c>
      <c r="G807" s="79" t="s">
        <v>57</v>
      </c>
      <c r="H807" s="79" t="s">
        <v>1222</v>
      </c>
      <c r="I807" s="79"/>
      <c r="J807" s="14" t="str">
        <f>IF(E807="Invalid_Segment","Invalid",IFERROR(INDEX(Severity_Matrix!$C$3:$M$10,MATCH('Error Log'!$F807,Severity_Matrix!$B$3:$B$10,0),MATCH('Error Log'!$G807,Severity_Matrix!$C$2:$M$2,0)),"No errors"))</f>
        <v>Major</v>
      </c>
    </row>
    <row r="808" spans="1:10">
      <c r="A808" s="74" t="s">
        <v>1409</v>
      </c>
      <c r="B808" s="17">
        <v>2</v>
      </c>
      <c r="C808" s="83" t="s">
        <v>1220</v>
      </c>
      <c r="D808" s="83" t="s">
        <v>1221</v>
      </c>
      <c r="E808" s="79" t="s">
        <v>21</v>
      </c>
      <c r="F808" s="79" t="s">
        <v>7</v>
      </c>
      <c r="G808" s="79" t="s">
        <v>57</v>
      </c>
      <c r="H808" s="79" t="s">
        <v>1223</v>
      </c>
      <c r="I808" s="79"/>
      <c r="J808" s="14" t="str">
        <f>IF(E808="Invalid_Segment","Invalid",IFERROR(INDEX(Severity_Matrix!$C$3:$M$10,MATCH('Error Log'!$F808,Severity_Matrix!$B$3:$B$10,0),MATCH('Error Log'!$G808,Severity_Matrix!$C$2:$M$2,0)),"No errors"))</f>
        <v>Critical</v>
      </c>
    </row>
    <row r="809" spans="1:10">
      <c r="A809" s="74" t="s">
        <v>1409</v>
      </c>
      <c r="B809" s="17">
        <v>3</v>
      </c>
      <c r="C809" s="83" t="s">
        <v>1220</v>
      </c>
      <c r="D809" s="83" t="s">
        <v>1221</v>
      </c>
      <c r="E809" s="79" t="s">
        <v>21</v>
      </c>
      <c r="F809" s="79" t="s">
        <v>7</v>
      </c>
      <c r="G809" s="79" t="s">
        <v>57</v>
      </c>
      <c r="H809" s="79" t="s">
        <v>1224</v>
      </c>
      <c r="I809" s="79"/>
      <c r="J809" s="14" t="str">
        <f>IF(E809="Invalid_Segment","Invalid",IFERROR(INDEX(Severity_Matrix!$C$3:$M$10,MATCH('Error Log'!$F809,Severity_Matrix!$B$3:$B$10,0),MATCH('Error Log'!$G809,Severity_Matrix!$C$2:$M$2,0)),"No errors"))</f>
        <v>Critical</v>
      </c>
    </row>
    <row r="810" spans="1:10">
      <c r="A810" s="74" t="s">
        <v>1410</v>
      </c>
      <c r="B810" s="17">
        <v>1</v>
      </c>
      <c r="C810" s="83" t="s">
        <v>1225</v>
      </c>
      <c r="D810" s="83" t="s">
        <v>1226</v>
      </c>
      <c r="E810" s="79" t="s">
        <v>21</v>
      </c>
      <c r="F810" s="79" t="s">
        <v>63</v>
      </c>
      <c r="G810" s="79" t="s">
        <v>28</v>
      </c>
      <c r="H810" s="79" t="s">
        <v>77</v>
      </c>
      <c r="I810" s="79"/>
      <c r="J810" s="14" t="str">
        <f>IF(E810="Invalid_Segment","Invalid",IFERROR(INDEX(Severity_Matrix!$C$3:$M$10,MATCH('Error Log'!$F810,Severity_Matrix!$B$3:$B$10,0),MATCH('Error Log'!$G810,Severity_Matrix!$C$2:$M$2,0)),"No errors"))</f>
        <v>Major</v>
      </c>
    </row>
    <row r="811" spans="1:10">
      <c r="A811" s="74" t="s">
        <v>1410</v>
      </c>
      <c r="B811" s="17">
        <v>2</v>
      </c>
      <c r="C811" s="83" t="s">
        <v>1225</v>
      </c>
      <c r="D811" s="83" t="s">
        <v>1226</v>
      </c>
      <c r="E811" s="79" t="s">
        <v>21</v>
      </c>
      <c r="F811" s="79" t="s">
        <v>22</v>
      </c>
      <c r="G811" s="79" t="s">
        <v>57</v>
      </c>
      <c r="H811" s="89" t="s">
        <v>1227</v>
      </c>
      <c r="I811" s="79"/>
      <c r="J811" s="14" t="str">
        <f>IF(E811="Invalid_Segment","Invalid",IFERROR(INDEX(Severity_Matrix!$C$3:$M$10,MATCH('Error Log'!$F811,Severity_Matrix!$B$3:$B$10,0),MATCH('Error Log'!$G811,Severity_Matrix!$C$2:$M$2,0)),"No errors"))</f>
        <v>Major</v>
      </c>
    </row>
    <row r="812" spans="1:10">
      <c r="A812" s="74" t="s">
        <v>1410</v>
      </c>
      <c r="B812" s="17">
        <v>3</v>
      </c>
      <c r="C812" s="83" t="s">
        <v>1225</v>
      </c>
      <c r="D812" s="83" t="s">
        <v>1226</v>
      </c>
      <c r="E812" s="79" t="s">
        <v>21</v>
      </c>
      <c r="F812" s="79" t="s">
        <v>7</v>
      </c>
      <c r="G812" s="79" t="s">
        <v>28</v>
      </c>
      <c r="H812" s="79" t="s">
        <v>1228</v>
      </c>
      <c r="I812" s="79"/>
      <c r="J812" s="14" t="str">
        <f>IF(E812="Invalid_Segment","Invalid",IFERROR(INDEX(Severity_Matrix!$C$3:$M$10,MATCH('Error Log'!$F812,Severity_Matrix!$B$3:$B$10,0),MATCH('Error Log'!$G812,Severity_Matrix!$C$2:$M$2,0)),"No errors"))</f>
        <v>Major</v>
      </c>
    </row>
    <row r="813" spans="1:10">
      <c r="A813" s="74" t="s">
        <v>1411</v>
      </c>
      <c r="B813" s="17">
        <v>1</v>
      </c>
      <c r="C813" s="83" t="s">
        <v>1229</v>
      </c>
      <c r="D813" s="83" t="s">
        <v>1230</v>
      </c>
      <c r="E813" s="79" t="s">
        <v>21</v>
      </c>
      <c r="F813" s="79" t="s">
        <v>63</v>
      </c>
      <c r="G813" s="79" t="s">
        <v>27</v>
      </c>
      <c r="H813" s="79" t="s">
        <v>1109</v>
      </c>
      <c r="I813" s="79"/>
      <c r="J813" s="14" t="str">
        <f>IF(E813="Invalid_Segment","Invalid",IFERROR(INDEX(Severity_Matrix!$C$3:$M$10,MATCH('Error Log'!$F813,Severity_Matrix!$B$3:$B$10,0),MATCH('Error Log'!$G813,Severity_Matrix!$C$2:$M$2,0)),"No errors"))</f>
        <v>Critical</v>
      </c>
    </row>
    <row r="814" spans="1:10">
      <c r="A814" s="74" t="s">
        <v>1411</v>
      </c>
      <c r="B814" s="17">
        <v>2</v>
      </c>
      <c r="C814" s="83" t="s">
        <v>1229</v>
      </c>
      <c r="D814" s="83" t="s">
        <v>1230</v>
      </c>
      <c r="E814" s="79" t="s">
        <v>21</v>
      </c>
      <c r="F814" s="79" t="s">
        <v>22</v>
      </c>
      <c r="G814" s="79" t="s">
        <v>57</v>
      </c>
      <c r="H814" s="79" t="s">
        <v>1231</v>
      </c>
      <c r="I814" s="79"/>
      <c r="J814" s="14" t="str">
        <f>IF(E814="Invalid_Segment","Invalid",IFERROR(INDEX(Severity_Matrix!$C$3:$M$10,MATCH('Error Log'!$F814,Severity_Matrix!$B$3:$B$10,0),MATCH('Error Log'!$G814,Severity_Matrix!$C$2:$M$2,0)),"No errors"))</f>
        <v>Major</v>
      </c>
    </row>
    <row r="815" spans="1:10">
      <c r="A815" s="74" t="s">
        <v>1411</v>
      </c>
      <c r="B815" s="17">
        <v>3</v>
      </c>
      <c r="C815" s="83" t="s">
        <v>1229</v>
      </c>
      <c r="D815" s="83" t="s">
        <v>1230</v>
      </c>
      <c r="E815" s="79" t="s">
        <v>21</v>
      </c>
      <c r="F815" s="79" t="s">
        <v>22</v>
      </c>
      <c r="G815" s="79" t="s">
        <v>57</v>
      </c>
      <c r="H815" s="79" t="s">
        <v>1232</v>
      </c>
      <c r="I815" s="79"/>
      <c r="J815" s="14" t="str">
        <f>IF(E815="Invalid_Segment","Invalid",IFERROR(INDEX(Severity_Matrix!$C$3:$M$10,MATCH('Error Log'!$F815,Severity_Matrix!$B$3:$B$10,0),MATCH('Error Log'!$G815,Severity_Matrix!$C$2:$M$2,0)),"No errors"))</f>
        <v>Major</v>
      </c>
    </row>
    <row r="816" spans="1:10">
      <c r="A816" s="74" t="s">
        <v>1411</v>
      </c>
      <c r="B816" s="17">
        <v>4</v>
      </c>
      <c r="C816" s="83" t="s">
        <v>1229</v>
      </c>
      <c r="D816" s="83" t="s">
        <v>1230</v>
      </c>
      <c r="E816" s="79" t="s">
        <v>21</v>
      </c>
      <c r="F816" s="79" t="s">
        <v>22</v>
      </c>
      <c r="G816" s="79" t="s">
        <v>57</v>
      </c>
      <c r="H816" s="79" t="s">
        <v>1233</v>
      </c>
      <c r="I816" s="79"/>
      <c r="J816" s="14" t="str">
        <f>IF(E816="Invalid_Segment","Invalid",IFERROR(INDEX(Severity_Matrix!$C$3:$M$10,MATCH('Error Log'!$F816,Severity_Matrix!$B$3:$B$10,0),MATCH('Error Log'!$G816,Severity_Matrix!$C$2:$M$2,0)),"No errors"))</f>
        <v>Major</v>
      </c>
    </row>
    <row r="817" spans="1:10">
      <c r="A817" s="74" t="s">
        <v>1411</v>
      </c>
      <c r="B817" s="17">
        <v>5</v>
      </c>
      <c r="C817" s="83" t="s">
        <v>1229</v>
      </c>
      <c r="D817" s="83" t="s">
        <v>1230</v>
      </c>
      <c r="E817" s="79" t="s">
        <v>21</v>
      </c>
      <c r="F817" s="79" t="s">
        <v>63</v>
      </c>
      <c r="G817" s="79" t="s">
        <v>27</v>
      </c>
      <c r="H817" s="79" t="s">
        <v>1109</v>
      </c>
      <c r="I817" s="79"/>
      <c r="J817" s="14" t="str">
        <f>IF(E817="Invalid_Segment","Invalid",IFERROR(INDEX(Severity_Matrix!$C$3:$M$10,MATCH('Error Log'!$F817,Severity_Matrix!$B$3:$B$10,0),MATCH('Error Log'!$G817,Severity_Matrix!$C$2:$M$2,0)),"No errors"))</f>
        <v>Critical</v>
      </c>
    </row>
    <row r="818" spans="1:10">
      <c r="A818" s="74" t="s">
        <v>1411</v>
      </c>
      <c r="B818" s="17">
        <v>6</v>
      </c>
      <c r="C818" s="83" t="s">
        <v>1229</v>
      </c>
      <c r="D818" s="83" t="s">
        <v>1230</v>
      </c>
      <c r="E818" s="79" t="s">
        <v>21</v>
      </c>
      <c r="F818" s="79" t="s">
        <v>7</v>
      </c>
      <c r="G818" s="79" t="s">
        <v>57</v>
      </c>
      <c r="H818" s="79" t="s">
        <v>1234</v>
      </c>
      <c r="I818" s="79"/>
      <c r="J818" s="14" t="str">
        <f>IF(E818="Invalid_Segment","Invalid",IFERROR(INDEX(Severity_Matrix!$C$3:$M$10,MATCH('Error Log'!$F818,Severity_Matrix!$B$3:$B$10,0),MATCH('Error Log'!$G818,Severity_Matrix!$C$2:$M$2,0)),"No errors"))</f>
        <v>Critical</v>
      </c>
    </row>
    <row r="819" spans="1:10">
      <c r="A819" s="74" t="s">
        <v>1411</v>
      </c>
      <c r="B819" s="17">
        <v>7</v>
      </c>
      <c r="C819" s="83" t="s">
        <v>1229</v>
      </c>
      <c r="D819" s="83" t="s">
        <v>1230</v>
      </c>
      <c r="E819" s="79" t="s">
        <v>21</v>
      </c>
      <c r="F819" s="79" t="s">
        <v>7</v>
      </c>
      <c r="G819" s="79" t="s">
        <v>57</v>
      </c>
      <c r="H819" s="79" t="s">
        <v>1235</v>
      </c>
      <c r="I819" s="79"/>
      <c r="J819" s="14" t="str">
        <f>IF(E819="Invalid_Segment","Invalid",IFERROR(INDEX(Severity_Matrix!$C$3:$M$10,MATCH('Error Log'!$F819,Severity_Matrix!$B$3:$B$10,0),MATCH('Error Log'!$G819,Severity_Matrix!$C$2:$M$2,0)),"No errors"))</f>
        <v>Critical</v>
      </c>
    </row>
    <row r="820" spans="1:10">
      <c r="A820" s="74" t="s">
        <v>1411</v>
      </c>
      <c r="B820" s="17">
        <v>8</v>
      </c>
      <c r="C820" s="83" t="s">
        <v>1229</v>
      </c>
      <c r="D820" s="83" t="s">
        <v>1230</v>
      </c>
      <c r="E820" s="79" t="s">
        <v>21</v>
      </c>
      <c r="F820" s="79" t="s">
        <v>7</v>
      </c>
      <c r="G820" s="79" t="s">
        <v>57</v>
      </c>
      <c r="H820" s="79" t="s">
        <v>1236</v>
      </c>
      <c r="I820" s="79"/>
      <c r="J820" s="14" t="str">
        <f>IF(E820="Invalid_Segment","Invalid",IFERROR(INDEX(Severity_Matrix!$C$3:$M$10,MATCH('Error Log'!$F820,Severity_Matrix!$B$3:$B$10,0),MATCH('Error Log'!$G820,Severity_Matrix!$C$2:$M$2,0)),"No errors"))</f>
        <v>Critical</v>
      </c>
    </row>
    <row r="821" spans="1:10">
      <c r="A821" s="74" t="s">
        <v>1412</v>
      </c>
      <c r="B821" s="17">
        <v>1</v>
      </c>
      <c r="C821" s="83" t="s">
        <v>1237</v>
      </c>
      <c r="D821" s="83" t="s">
        <v>1238</v>
      </c>
      <c r="E821" s="79" t="s">
        <v>21</v>
      </c>
      <c r="F821" s="79" t="s">
        <v>7</v>
      </c>
      <c r="G821" s="79" t="s">
        <v>57</v>
      </c>
      <c r="H821" s="79" t="s">
        <v>1239</v>
      </c>
      <c r="I821" s="79"/>
      <c r="J821" s="14" t="str">
        <f>IF(E821="Invalid_Segment","Invalid",IFERROR(INDEX(Severity_Matrix!$C$3:$M$10,MATCH('Error Log'!$F821,Severity_Matrix!$B$3:$B$10,0),MATCH('Error Log'!$G821,Severity_Matrix!$C$2:$M$2,0)),"No errors"))</f>
        <v>Critical</v>
      </c>
    </row>
    <row r="822" spans="1:10">
      <c r="A822" s="74" t="s">
        <v>1412</v>
      </c>
      <c r="B822" s="17">
        <v>2</v>
      </c>
      <c r="C822" s="83" t="s">
        <v>1237</v>
      </c>
      <c r="D822" s="83" t="s">
        <v>1238</v>
      </c>
      <c r="E822" s="79" t="s">
        <v>21</v>
      </c>
      <c r="F822" s="79" t="s">
        <v>7</v>
      </c>
      <c r="G822" s="79" t="s">
        <v>57</v>
      </c>
      <c r="H822" s="79" t="s">
        <v>1240</v>
      </c>
      <c r="I822" s="79"/>
      <c r="J822" s="14" t="str">
        <f>IF(E822="Invalid_Segment","Invalid",IFERROR(INDEX(Severity_Matrix!$C$3:$M$10,MATCH('Error Log'!$F822,Severity_Matrix!$B$3:$B$10,0),MATCH('Error Log'!$G822,Severity_Matrix!$C$2:$M$2,0)),"No errors"))</f>
        <v>Critical</v>
      </c>
    </row>
    <row r="823" spans="1:10">
      <c r="A823" s="74" t="s">
        <v>1413</v>
      </c>
      <c r="B823" s="17">
        <v>1</v>
      </c>
      <c r="C823" s="83" t="s">
        <v>1241</v>
      </c>
      <c r="D823" s="83" t="s">
        <v>1242</v>
      </c>
      <c r="E823" s="79" t="s">
        <v>21</v>
      </c>
      <c r="F823" s="79" t="s">
        <v>22</v>
      </c>
      <c r="G823" s="79" t="s">
        <v>57</v>
      </c>
      <c r="H823" s="79" t="s">
        <v>1243</v>
      </c>
      <c r="I823" s="79"/>
      <c r="J823" s="14" t="str">
        <f>IF(E823="Invalid_Segment","Invalid",IFERROR(INDEX(Severity_Matrix!$C$3:$M$10,MATCH('Error Log'!$F823,Severity_Matrix!$B$3:$B$10,0),MATCH('Error Log'!$G823,Severity_Matrix!$C$2:$M$2,0)),"No errors"))</f>
        <v>Major</v>
      </c>
    </row>
    <row r="824" spans="1:10">
      <c r="A824" s="74" t="s">
        <v>1413</v>
      </c>
      <c r="B824" s="17">
        <v>2</v>
      </c>
      <c r="C824" s="83" t="s">
        <v>1241</v>
      </c>
      <c r="D824" s="83" t="s">
        <v>1242</v>
      </c>
      <c r="E824" s="79" t="s">
        <v>21</v>
      </c>
      <c r="F824" s="79" t="s">
        <v>22</v>
      </c>
      <c r="G824" s="79" t="s">
        <v>57</v>
      </c>
      <c r="H824" s="79" t="s">
        <v>1244</v>
      </c>
      <c r="I824" s="79"/>
      <c r="J824" s="14" t="str">
        <f>IF(E824="Invalid_Segment","Invalid",IFERROR(INDEX(Severity_Matrix!$C$3:$M$10,MATCH('Error Log'!$F824,Severity_Matrix!$B$3:$B$10,0),MATCH('Error Log'!$G824,Severity_Matrix!$C$2:$M$2,0)),"No errors"))</f>
        <v>Major</v>
      </c>
    </row>
    <row r="825" spans="1:10">
      <c r="A825" s="74" t="s">
        <v>1413</v>
      </c>
      <c r="B825" s="17">
        <v>3</v>
      </c>
      <c r="C825" s="83" t="s">
        <v>1241</v>
      </c>
      <c r="D825" s="83" t="s">
        <v>1242</v>
      </c>
      <c r="E825" s="79" t="s">
        <v>21</v>
      </c>
      <c r="F825" s="79" t="s">
        <v>7</v>
      </c>
      <c r="G825" s="79" t="s">
        <v>57</v>
      </c>
      <c r="H825" s="89" t="s">
        <v>1245</v>
      </c>
      <c r="I825" s="79"/>
      <c r="J825" s="14" t="str">
        <f>IF(E825="Invalid_Segment","Invalid",IFERROR(INDEX(Severity_Matrix!$C$3:$M$10,MATCH('Error Log'!$F825,Severity_Matrix!$B$3:$B$10,0),MATCH('Error Log'!$G825,Severity_Matrix!$C$2:$M$2,0)),"No errors"))</f>
        <v>Critical</v>
      </c>
    </row>
    <row r="826" spans="1:10">
      <c r="A826" s="74" t="s">
        <v>1413</v>
      </c>
      <c r="B826" s="17">
        <v>4</v>
      </c>
      <c r="C826" s="83" t="s">
        <v>1241</v>
      </c>
      <c r="D826" s="83" t="s">
        <v>1242</v>
      </c>
      <c r="E826" s="79" t="s">
        <v>21</v>
      </c>
      <c r="F826" s="79" t="s">
        <v>7</v>
      </c>
      <c r="G826" s="79" t="s">
        <v>57</v>
      </c>
      <c r="H826" s="79" t="s">
        <v>1246</v>
      </c>
      <c r="I826" s="79"/>
      <c r="J826" s="14" t="str">
        <f>IF(E826="Invalid_Segment","Invalid",IFERROR(INDEX(Severity_Matrix!$C$3:$M$10,MATCH('Error Log'!$F826,Severity_Matrix!$B$3:$B$10,0),MATCH('Error Log'!$G826,Severity_Matrix!$C$2:$M$2,0)),"No errors"))</f>
        <v>Critical</v>
      </c>
    </row>
    <row r="827" spans="1:10">
      <c r="A827" s="74" t="s">
        <v>1413</v>
      </c>
      <c r="B827" s="17">
        <v>5</v>
      </c>
      <c r="C827" s="83" t="s">
        <v>1241</v>
      </c>
      <c r="D827" s="83" t="s">
        <v>1242</v>
      </c>
      <c r="E827" s="79" t="s">
        <v>21</v>
      </c>
      <c r="F827" s="79" t="s">
        <v>7</v>
      </c>
      <c r="G827" s="79" t="s">
        <v>57</v>
      </c>
      <c r="H827" s="79" t="s">
        <v>1247</v>
      </c>
      <c r="J827" s="14" t="str">
        <f>IF(E827="Invalid_Segment","Invalid",IFERROR(INDEX(Severity_Matrix!$C$3:$M$10,MATCH('Error Log'!$F827,Severity_Matrix!$B$3:$B$10,0),MATCH('Error Log'!$G827,Severity_Matrix!$C$2:$M$2,0)),"No errors"))</f>
        <v>Critical</v>
      </c>
    </row>
    <row r="828" spans="1:10">
      <c r="A828" s="74" t="s">
        <v>1414</v>
      </c>
      <c r="B828" s="17">
        <v>1</v>
      </c>
      <c r="C828" s="83" t="s">
        <v>1248</v>
      </c>
      <c r="D828" s="83" t="s">
        <v>1249</v>
      </c>
      <c r="E828" s="79" t="s">
        <v>21</v>
      </c>
      <c r="F828" s="79" t="s">
        <v>63</v>
      </c>
      <c r="G828" s="79" t="s">
        <v>27</v>
      </c>
      <c r="H828" s="79" t="s">
        <v>77</v>
      </c>
      <c r="J828" s="14" t="str">
        <f>IF(E828="Invalid_Segment","Invalid",IFERROR(INDEX(Severity_Matrix!$C$3:$M$10,MATCH('Error Log'!$F828,Severity_Matrix!$B$3:$B$10,0),MATCH('Error Log'!$G828,Severity_Matrix!$C$2:$M$2,0)),"No errors"))</f>
        <v>Critical</v>
      </c>
    </row>
    <row r="829" spans="1:10">
      <c r="A829" s="74" t="s">
        <v>1414</v>
      </c>
      <c r="B829" s="17">
        <v>2</v>
      </c>
      <c r="C829" s="83" t="s">
        <v>1248</v>
      </c>
      <c r="D829" s="83" t="s">
        <v>1249</v>
      </c>
      <c r="E829" s="79" t="s">
        <v>21</v>
      </c>
      <c r="F829" s="79" t="s">
        <v>63</v>
      </c>
      <c r="G829" s="79" t="s">
        <v>27</v>
      </c>
      <c r="H829" s="79" t="s">
        <v>77</v>
      </c>
      <c r="J829" s="14" t="str">
        <f>IF(E829="Invalid_Segment","Invalid",IFERROR(INDEX(Severity_Matrix!$C$3:$M$10,MATCH('Error Log'!$F829,Severity_Matrix!$B$3:$B$10,0),MATCH('Error Log'!$G829,Severity_Matrix!$C$2:$M$2,0)),"No errors"))</f>
        <v>Critical</v>
      </c>
    </row>
    <row r="830" spans="1:10">
      <c r="A830" s="74" t="s">
        <v>1414</v>
      </c>
      <c r="B830" s="17">
        <v>3</v>
      </c>
      <c r="C830" s="83" t="s">
        <v>1248</v>
      </c>
      <c r="D830" s="83" t="s">
        <v>1249</v>
      </c>
      <c r="E830" s="79" t="s">
        <v>21</v>
      </c>
      <c r="F830" s="79" t="s">
        <v>63</v>
      </c>
      <c r="G830" s="79" t="s">
        <v>27</v>
      </c>
      <c r="H830" s="79" t="s">
        <v>77</v>
      </c>
      <c r="J830" s="14" t="str">
        <f>IF(E830="Invalid_Segment","Invalid",IFERROR(INDEX(Severity_Matrix!$C$3:$M$10,MATCH('Error Log'!$F830,Severity_Matrix!$B$3:$B$10,0),MATCH('Error Log'!$G830,Severity_Matrix!$C$2:$M$2,0)),"No errors"))</f>
        <v>Critical</v>
      </c>
    </row>
    <row r="831" spans="1:10">
      <c r="A831" s="74" t="s">
        <v>1414</v>
      </c>
      <c r="B831" s="17">
        <v>4</v>
      </c>
      <c r="C831" s="83" t="s">
        <v>1248</v>
      </c>
      <c r="D831" s="83" t="s">
        <v>1249</v>
      </c>
      <c r="E831" s="79" t="s">
        <v>21</v>
      </c>
      <c r="F831" s="79" t="s">
        <v>63</v>
      </c>
      <c r="G831" s="79" t="s">
        <v>27</v>
      </c>
      <c r="H831" s="79" t="s">
        <v>1250</v>
      </c>
      <c r="J831" s="14" t="str">
        <f>IF(E831="Invalid_Segment","Invalid",IFERROR(INDEX(Severity_Matrix!$C$3:$M$10,MATCH('Error Log'!$F831,Severity_Matrix!$B$3:$B$10,0),MATCH('Error Log'!$G831,Severity_Matrix!$C$2:$M$2,0)),"No errors"))</f>
        <v>Critical</v>
      </c>
    </row>
    <row r="832" spans="1:10">
      <c r="A832" s="74" t="s">
        <v>1414</v>
      </c>
      <c r="B832" s="17">
        <v>5</v>
      </c>
      <c r="C832" s="83" t="s">
        <v>1248</v>
      </c>
      <c r="D832" s="83" t="s">
        <v>1249</v>
      </c>
      <c r="E832" s="79" t="s">
        <v>2</v>
      </c>
      <c r="F832" s="79" t="s">
        <v>26</v>
      </c>
      <c r="G832" s="79" t="s">
        <v>57</v>
      </c>
      <c r="H832" s="79" t="s">
        <v>1251</v>
      </c>
      <c r="J832" s="14" t="str">
        <f>IF(E832="Invalid_Segment","Invalid",IFERROR(INDEX(Severity_Matrix!$C$3:$M$10,MATCH('Error Log'!$F832,Severity_Matrix!$B$3:$B$10,0),MATCH('Error Log'!$G832,Severity_Matrix!$C$2:$M$2,0)),"No errors"))</f>
        <v>Major</v>
      </c>
    </row>
    <row r="833" spans="1:10">
      <c r="A833" s="74" t="s">
        <v>1414</v>
      </c>
      <c r="B833" s="17">
        <v>6</v>
      </c>
      <c r="C833" s="83" t="s">
        <v>1248</v>
      </c>
      <c r="D833" s="83" t="s">
        <v>1249</v>
      </c>
      <c r="E833" s="79" t="s">
        <v>21</v>
      </c>
      <c r="F833" s="79" t="s">
        <v>7</v>
      </c>
      <c r="G833" s="79" t="s">
        <v>57</v>
      </c>
      <c r="H833" s="79" t="s">
        <v>1252</v>
      </c>
      <c r="J833" s="14" t="str">
        <f>IF(E833="Invalid_Segment","Invalid",IFERROR(INDEX(Severity_Matrix!$C$3:$M$10,MATCH('Error Log'!$F833,Severity_Matrix!$B$3:$B$10,0),MATCH('Error Log'!$G833,Severity_Matrix!$C$2:$M$2,0)),"No errors"))</f>
        <v>Critical</v>
      </c>
    </row>
    <row r="834" spans="1:10">
      <c r="A834" s="74" t="s">
        <v>1414</v>
      </c>
      <c r="B834" s="17">
        <v>7</v>
      </c>
      <c r="C834" s="83" t="s">
        <v>1248</v>
      </c>
      <c r="D834" s="83" t="s">
        <v>1249</v>
      </c>
      <c r="E834" s="79" t="s">
        <v>21</v>
      </c>
      <c r="F834" s="79" t="s">
        <v>7</v>
      </c>
      <c r="G834" s="79" t="s">
        <v>57</v>
      </c>
      <c r="H834" s="79" t="s">
        <v>1253</v>
      </c>
      <c r="J834" s="14" t="str">
        <f>IF(E834="Invalid_Segment","Invalid",IFERROR(INDEX(Severity_Matrix!$C$3:$M$10,MATCH('Error Log'!$F834,Severity_Matrix!$B$3:$B$10,0),MATCH('Error Log'!$G834,Severity_Matrix!$C$2:$M$2,0)),"No errors"))</f>
        <v>Critical</v>
      </c>
    </row>
    <row r="835" spans="1:10">
      <c r="A835" s="74" t="s">
        <v>1415</v>
      </c>
      <c r="B835" s="17">
        <v>1</v>
      </c>
      <c r="C835" s="83" t="s">
        <v>1254</v>
      </c>
      <c r="D835" s="83" t="s">
        <v>1255</v>
      </c>
      <c r="E835" s="79" t="s">
        <v>21</v>
      </c>
      <c r="F835" s="79" t="s">
        <v>63</v>
      </c>
      <c r="G835" s="79" t="s">
        <v>27</v>
      </c>
      <c r="H835" s="79" t="s">
        <v>303</v>
      </c>
      <c r="J835" s="14" t="str">
        <f>IF(E835="Invalid_Segment","Invalid",IFERROR(INDEX(Severity_Matrix!$C$3:$M$10,MATCH('Error Log'!$F835,Severity_Matrix!$B$3:$B$10,0),MATCH('Error Log'!$G835,Severity_Matrix!$C$2:$M$2,0)),"No errors"))</f>
        <v>Critical</v>
      </c>
    </row>
    <row r="836" spans="1:10">
      <c r="A836" s="74" t="s">
        <v>1415</v>
      </c>
      <c r="B836" s="17">
        <v>2</v>
      </c>
      <c r="C836" s="83" t="s">
        <v>1254</v>
      </c>
      <c r="D836" s="83" t="s">
        <v>1255</v>
      </c>
      <c r="E836" s="79" t="s">
        <v>21</v>
      </c>
      <c r="F836" s="79" t="s">
        <v>63</v>
      </c>
      <c r="G836" s="79" t="s">
        <v>27</v>
      </c>
      <c r="H836" s="79" t="s">
        <v>303</v>
      </c>
      <c r="J836" s="14" t="str">
        <f>IF(E836="Invalid_Segment","Invalid",IFERROR(INDEX(Severity_Matrix!$C$3:$M$10,MATCH('Error Log'!$F836,Severity_Matrix!$B$3:$B$10,0),MATCH('Error Log'!$G836,Severity_Matrix!$C$2:$M$2,0)),"No errors"))</f>
        <v>Critical</v>
      </c>
    </row>
    <row r="837" spans="1:10">
      <c r="A837" s="74" t="s">
        <v>1415</v>
      </c>
      <c r="B837" s="17">
        <v>3</v>
      </c>
      <c r="C837" s="83" t="s">
        <v>1254</v>
      </c>
      <c r="D837" s="83" t="s">
        <v>1255</v>
      </c>
      <c r="E837" s="79" t="s">
        <v>21</v>
      </c>
      <c r="F837" s="79" t="s">
        <v>63</v>
      </c>
      <c r="G837" s="79" t="s">
        <v>27</v>
      </c>
      <c r="H837" s="79" t="s">
        <v>303</v>
      </c>
      <c r="J837" s="14" t="str">
        <f>IF(E837="Invalid_Segment","Invalid",IFERROR(INDEX(Severity_Matrix!$C$3:$M$10,MATCH('Error Log'!$F837,Severity_Matrix!$B$3:$B$10,0),MATCH('Error Log'!$G837,Severity_Matrix!$C$2:$M$2,0)),"No errors"))</f>
        <v>Critical</v>
      </c>
    </row>
    <row r="838" spans="1:10">
      <c r="A838" s="74" t="s">
        <v>1415</v>
      </c>
      <c r="B838" s="17">
        <v>4</v>
      </c>
      <c r="C838" s="83" t="s">
        <v>1254</v>
      </c>
      <c r="D838" s="83" t="s">
        <v>1255</v>
      </c>
      <c r="E838" s="79" t="s">
        <v>21</v>
      </c>
      <c r="F838" s="79" t="s">
        <v>63</v>
      </c>
      <c r="G838" s="79" t="s">
        <v>27</v>
      </c>
      <c r="H838" s="79" t="s">
        <v>303</v>
      </c>
      <c r="J838" s="14" t="str">
        <f>IF(E838="Invalid_Segment","Invalid",IFERROR(INDEX(Severity_Matrix!$C$3:$M$10,MATCH('Error Log'!$F838,Severity_Matrix!$B$3:$B$10,0),MATCH('Error Log'!$G838,Severity_Matrix!$C$2:$M$2,0)),"No errors"))</f>
        <v>Critical</v>
      </c>
    </row>
    <row r="839" spans="1:10">
      <c r="A839" s="74" t="s">
        <v>1415</v>
      </c>
      <c r="B839" s="17">
        <v>5</v>
      </c>
      <c r="C839" s="83" t="s">
        <v>1254</v>
      </c>
      <c r="D839" s="83" t="s">
        <v>1255</v>
      </c>
      <c r="E839" s="79" t="s">
        <v>21</v>
      </c>
      <c r="F839" s="79" t="s">
        <v>22</v>
      </c>
      <c r="G839" s="79" t="s">
        <v>57</v>
      </c>
      <c r="H839" s="79" t="s">
        <v>1256</v>
      </c>
      <c r="J839" s="14" t="str">
        <f>IF(E839="Invalid_Segment","Invalid",IFERROR(INDEX(Severity_Matrix!$C$3:$M$10,MATCH('Error Log'!$F839,Severity_Matrix!$B$3:$B$10,0),MATCH('Error Log'!$G839,Severity_Matrix!$C$2:$M$2,0)),"No errors"))</f>
        <v>Major</v>
      </c>
    </row>
    <row r="840" spans="1:10">
      <c r="A840" s="74" t="s">
        <v>1415</v>
      </c>
      <c r="B840" s="17">
        <v>6</v>
      </c>
      <c r="C840" s="83" t="s">
        <v>1254</v>
      </c>
      <c r="D840" s="83" t="s">
        <v>1255</v>
      </c>
      <c r="E840" s="79" t="s">
        <v>2</v>
      </c>
      <c r="F840" s="79" t="s">
        <v>26</v>
      </c>
      <c r="G840" s="79" t="s">
        <v>57</v>
      </c>
      <c r="H840" s="79" t="s">
        <v>1256</v>
      </c>
      <c r="J840" s="14" t="str">
        <f>IF(E840="Invalid_Segment","Invalid",IFERROR(INDEX(Severity_Matrix!$C$3:$M$10,MATCH('Error Log'!$F840,Severity_Matrix!$B$3:$B$10,0),MATCH('Error Log'!$G840,Severity_Matrix!$C$2:$M$2,0)),"No errors"))</f>
        <v>Major</v>
      </c>
    </row>
    <row r="841" spans="1:10">
      <c r="A841" s="74" t="s">
        <v>1415</v>
      </c>
      <c r="B841" s="17">
        <v>7</v>
      </c>
      <c r="C841" s="83" t="s">
        <v>1254</v>
      </c>
      <c r="D841" s="83" t="s">
        <v>1255</v>
      </c>
      <c r="E841" s="79" t="s">
        <v>21</v>
      </c>
      <c r="F841" s="79" t="s">
        <v>64</v>
      </c>
      <c r="G841" s="79" t="s">
        <v>27</v>
      </c>
      <c r="H841" s="79" t="s">
        <v>1257</v>
      </c>
      <c r="J841" s="14" t="str">
        <f>IF(E841="Invalid_Segment","Invalid",IFERROR(INDEX(Severity_Matrix!$C$3:$M$10,MATCH('Error Log'!$F841,Severity_Matrix!$B$3:$B$10,0),MATCH('Error Log'!$G841,Severity_Matrix!$C$2:$M$2,0)),"No errors"))</f>
        <v>Critical</v>
      </c>
    </row>
    <row r="842" spans="1:10">
      <c r="A842" s="74" t="s">
        <v>1415</v>
      </c>
      <c r="B842" s="17">
        <v>8</v>
      </c>
      <c r="C842" s="83" t="s">
        <v>1254</v>
      </c>
      <c r="D842" s="83" t="s">
        <v>1255</v>
      </c>
      <c r="E842" s="79" t="s">
        <v>21</v>
      </c>
      <c r="F842" s="79" t="s">
        <v>63</v>
      </c>
      <c r="G842" s="79" t="s">
        <v>28</v>
      </c>
      <c r="H842" s="79" t="s">
        <v>1258</v>
      </c>
      <c r="J842" s="14" t="str">
        <f>IF(E842="Invalid_Segment","Invalid",IFERROR(INDEX(Severity_Matrix!$C$3:$M$10,MATCH('Error Log'!$F842,Severity_Matrix!$B$3:$B$10,0),MATCH('Error Log'!$G842,Severity_Matrix!$C$2:$M$2,0)),"No errors"))</f>
        <v>Major</v>
      </c>
    </row>
    <row r="843" spans="1:10">
      <c r="A843" s="74" t="s">
        <v>1415</v>
      </c>
      <c r="B843" s="17">
        <v>9</v>
      </c>
      <c r="C843" s="83" t="s">
        <v>1254</v>
      </c>
      <c r="D843" s="83" t="s">
        <v>1255</v>
      </c>
      <c r="E843" s="79" t="s">
        <v>21</v>
      </c>
      <c r="F843" s="79" t="s">
        <v>7</v>
      </c>
      <c r="G843" s="79" t="s">
        <v>57</v>
      </c>
      <c r="H843" s="79" t="s">
        <v>1259</v>
      </c>
      <c r="J843" s="14" t="str">
        <f>IF(E843="Invalid_Segment","Invalid",IFERROR(INDEX(Severity_Matrix!$C$3:$M$10,MATCH('Error Log'!$F843,Severity_Matrix!$B$3:$B$10,0),MATCH('Error Log'!$G843,Severity_Matrix!$C$2:$M$2,0)),"No errors"))</f>
        <v>Critical</v>
      </c>
    </row>
    <row r="844" spans="1:10">
      <c r="A844" s="74" t="s">
        <v>1415</v>
      </c>
      <c r="B844" s="17">
        <v>10</v>
      </c>
      <c r="C844" s="83" t="s">
        <v>1254</v>
      </c>
      <c r="D844" s="83" t="s">
        <v>1255</v>
      </c>
      <c r="E844" s="79" t="s">
        <v>21</v>
      </c>
      <c r="F844" s="79" t="s">
        <v>7</v>
      </c>
      <c r="G844" s="79" t="s">
        <v>57</v>
      </c>
      <c r="H844" s="79" t="s">
        <v>1260</v>
      </c>
      <c r="J844" s="14" t="str">
        <f>IF(E844="Invalid_Segment","Invalid",IFERROR(INDEX(Severity_Matrix!$C$3:$M$10,MATCH('Error Log'!$F844,Severity_Matrix!$B$3:$B$10,0),MATCH('Error Log'!$G844,Severity_Matrix!$C$2:$M$2,0)),"No errors"))</f>
        <v>Critical</v>
      </c>
    </row>
    <row r="845" spans="1:10">
      <c r="A845" s="74" t="s">
        <v>1416</v>
      </c>
      <c r="B845" s="17">
        <v>1</v>
      </c>
      <c r="C845" s="83" t="s">
        <v>1261</v>
      </c>
      <c r="D845" s="83" t="s">
        <v>1262</v>
      </c>
      <c r="E845" s="79" t="s">
        <v>21</v>
      </c>
      <c r="F845" s="79" t="s">
        <v>63</v>
      </c>
      <c r="G845" s="79" t="s">
        <v>28</v>
      </c>
      <c r="H845" s="79" t="s">
        <v>1263</v>
      </c>
      <c r="J845" s="14" t="str">
        <f>IF(E845="Invalid_Segment","Invalid",IFERROR(INDEX(Severity_Matrix!$C$3:$M$10,MATCH('Error Log'!$F845,Severity_Matrix!$B$3:$B$10,0),MATCH('Error Log'!$G845,Severity_Matrix!$C$2:$M$2,0)),"No errors"))</f>
        <v>Major</v>
      </c>
    </row>
    <row r="846" spans="1:10">
      <c r="A846" s="74" t="s">
        <v>1416</v>
      </c>
      <c r="B846" s="17">
        <v>2</v>
      </c>
      <c r="C846" s="83" t="s">
        <v>1261</v>
      </c>
      <c r="D846" s="83" t="s">
        <v>1262</v>
      </c>
      <c r="E846" s="79" t="s">
        <v>21</v>
      </c>
      <c r="F846" s="79" t="s">
        <v>63</v>
      </c>
      <c r="G846" s="79" t="s">
        <v>27</v>
      </c>
      <c r="H846" s="79" t="s">
        <v>303</v>
      </c>
      <c r="J846" s="14" t="str">
        <f>IF(E846="Invalid_Segment","Invalid",IFERROR(INDEX(Severity_Matrix!$C$3:$M$10,MATCH('Error Log'!$F846,Severity_Matrix!$B$3:$B$10,0),MATCH('Error Log'!$G846,Severity_Matrix!$C$2:$M$2,0)),"No errors"))</f>
        <v>Critical</v>
      </c>
    </row>
    <row r="847" spans="1:10">
      <c r="A847" s="74" t="s">
        <v>1416</v>
      </c>
      <c r="B847" s="17">
        <v>3</v>
      </c>
      <c r="C847" s="83" t="s">
        <v>1261</v>
      </c>
      <c r="D847" s="83" t="s">
        <v>1262</v>
      </c>
      <c r="E847" s="79" t="s">
        <v>21</v>
      </c>
      <c r="F847" s="79" t="s">
        <v>63</v>
      </c>
      <c r="G847" s="79" t="s">
        <v>54</v>
      </c>
      <c r="H847" s="79" t="s">
        <v>1264</v>
      </c>
      <c r="J847" s="14" t="str">
        <f>IF(E847="Invalid_Segment","Invalid",IFERROR(INDEX(Severity_Matrix!$C$3:$M$10,MATCH('Error Log'!$F847,Severity_Matrix!$B$3:$B$10,0),MATCH('Error Log'!$G847,Severity_Matrix!$C$2:$M$2,0)),"No errors"))</f>
        <v>Critical</v>
      </c>
    </row>
    <row r="848" spans="1:10">
      <c r="A848" s="74" t="s">
        <v>1416</v>
      </c>
      <c r="B848" s="17">
        <v>4</v>
      </c>
      <c r="C848" s="83" t="s">
        <v>1261</v>
      </c>
      <c r="D848" s="83" t="s">
        <v>1262</v>
      </c>
      <c r="E848" s="79" t="s">
        <v>21</v>
      </c>
      <c r="F848" s="79" t="s">
        <v>63</v>
      </c>
      <c r="G848" s="79" t="s">
        <v>27</v>
      </c>
      <c r="H848" s="79" t="s">
        <v>303</v>
      </c>
      <c r="J848" s="14" t="str">
        <f>IF(E848="Invalid_Segment","Invalid",IFERROR(INDEX(Severity_Matrix!$C$3:$M$10,MATCH('Error Log'!$F848,Severity_Matrix!$B$3:$B$10,0),MATCH('Error Log'!$G848,Severity_Matrix!$C$2:$M$2,0)),"No errors"))</f>
        <v>Critical</v>
      </c>
    </row>
    <row r="849" spans="1:10">
      <c r="A849" s="74" t="s">
        <v>1416</v>
      </c>
      <c r="B849" s="17">
        <v>5</v>
      </c>
      <c r="C849" s="83" t="s">
        <v>1261</v>
      </c>
      <c r="D849" s="83" t="s">
        <v>1262</v>
      </c>
      <c r="E849" s="79" t="s">
        <v>21</v>
      </c>
      <c r="F849" s="79" t="s">
        <v>63</v>
      </c>
      <c r="G849" s="79" t="s">
        <v>27</v>
      </c>
      <c r="H849" s="79" t="s">
        <v>303</v>
      </c>
      <c r="J849" s="14" t="str">
        <f>IF(E849="Invalid_Segment","Invalid",IFERROR(INDEX(Severity_Matrix!$C$3:$M$10,MATCH('Error Log'!$F849,Severity_Matrix!$B$3:$B$10,0),MATCH('Error Log'!$G849,Severity_Matrix!$C$2:$M$2,0)),"No errors"))</f>
        <v>Critical</v>
      </c>
    </row>
    <row r="850" spans="1:10">
      <c r="A850" s="74" t="s">
        <v>1416</v>
      </c>
      <c r="B850" s="17">
        <v>6</v>
      </c>
      <c r="C850" s="83" t="s">
        <v>1261</v>
      </c>
      <c r="D850" s="83" t="s">
        <v>1262</v>
      </c>
      <c r="E850" s="79" t="s">
        <v>21</v>
      </c>
      <c r="F850" s="79" t="s">
        <v>63</v>
      </c>
      <c r="G850" s="79" t="s">
        <v>29</v>
      </c>
      <c r="H850" s="79">
        <v>32</v>
      </c>
      <c r="J850" s="14" t="str">
        <f>IF(E850="Invalid_Segment","Invalid",IFERROR(INDEX(Severity_Matrix!$C$3:$M$10,MATCH('Error Log'!$F850,Severity_Matrix!$B$3:$B$10,0),MATCH('Error Log'!$G850,Severity_Matrix!$C$2:$M$2,0)),"No errors"))</f>
        <v>Critical</v>
      </c>
    </row>
    <row r="851" spans="1:10">
      <c r="A851" s="74" t="s">
        <v>1416</v>
      </c>
      <c r="B851" s="17">
        <v>7</v>
      </c>
      <c r="C851" s="83" t="s">
        <v>1261</v>
      </c>
      <c r="D851" s="83" t="s">
        <v>1262</v>
      </c>
      <c r="E851" s="79" t="s">
        <v>21</v>
      </c>
      <c r="F851" s="79" t="s">
        <v>63</v>
      </c>
      <c r="G851" s="79" t="s">
        <v>28</v>
      </c>
      <c r="H851" s="79" t="s">
        <v>1265</v>
      </c>
      <c r="J851" s="14" t="str">
        <f>IF(E851="Invalid_Segment","Invalid",IFERROR(INDEX(Severity_Matrix!$C$3:$M$10,MATCH('Error Log'!$F851,Severity_Matrix!$B$3:$B$10,0),MATCH('Error Log'!$G851,Severity_Matrix!$C$2:$M$2,0)),"No errors"))</f>
        <v>Major</v>
      </c>
    </row>
    <row r="852" spans="1:10">
      <c r="A852" s="74" t="s">
        <v>1416</v>
      </c>
      <c r="B852" s="17">
        <v>8</v>
      </c>
      <c r="C852" s="83" t="s">
        <v>1261</v>
      </c>
      <c r="D852" s="83" t="s">
        <v>1262</v>
      </c>
      <c r="E852" s="79" t="s">
        <v>21</v>
      </c>
      <c r="F852" s="79" t="s">
        <v>63</v>
      </c>
      <c r="G852" s="79" t="s">
        <v>55</v>
      </c>
      <c r="H852" s="79" t="s">
        <v>1266</v>
      </c>
      <c r="J852" s="14" t="str">
        <f>IF(E852="Invalid_Segment","Invalid",IFERROR(INDEX(Severity_Matrix!$C$3:$M$10,MATCH('Error Log'!$F852,Severity_Matrix!$B$3:$B$10,0),MATCH('Error Log'!$G852,Severity_Matrix!$C$2:$M$2,0)),"No errors"))</f>
        <v>Critical</v>
      </c>
    </row>
    <row r="853" spans="1:10">
      <c r="A853" s="74" t="s">
        <v>1416</v>
      </c>
      <c r="B853" s="17">
        <v>9</v>
      </c>
      <c r="C853" s="83" t="s">
        <v>1261</v>
      </c>
      <c r="D853" s="83" t="s">
        <v>1262</v>
      </c>
      <c r="E853" s="79" t="s">
        <v>21</v>
      </c>
      <c r="F853" s="79" t="s">
        <v>63</v>
      </c>
      <c r="G853" s="79" t="s">
        <v>28</v>
      </c>
      <c r="H853" s="79" t="s">
        <v>1267</v>
      </c>
      <c r="J853" s="14" t="str">
        <f>IF(E853="Invalid_Segment","Invalid",IFERROR(INDEX(Severity_Matrix!$C$3:$M$10,MATCH('Error Log'!$F853,Severity_Matrix!$B$3:$B$10,0),MATCH('Error Log'!$G853,Severity_Matrix!$C$2:$M$2,0)),"No errors"))</f>
        <v>Major</v>
      </c>
    </row>
    <row r="854" spans="1:10">
      <c r="A854" s="74" t="s">
        <v>1416</v>
      </c>
      <c r="B854" s="17">
        <v>10</v>
      </c>
      <c r="C854" s="83" t="s">
        <v>1261</v>
      </c>
      <c r="D854" s="83" t="s">
        <v>1262</v>
      </c>
      <c r="E854" s="79" t="s">
        <v>21</v>
      </c>
      <c r="F854" s="79" t="s">
        <v>63</v>
      </c>
      <c r="G854" s="79" t="s">
        <v>28</v>
      </c>
      <c r="H854" s="79" t="s">
        <v>1268</v>
      </c>
      <c r="J854" s="14" t="str">
        <f>IF(E854="Invalid_Segment","Invalid",IFERROR(INDEX(Severity_Matrix!$C$3:$M$10,MATCH('Error Log'!$F854,Severity_Matrix!$B$3:$B$10,0),MATCH('Error Log'!$G854,Severity_Matrix!$C$2:$M$2,0)),"No errors"))</f>
        <v>Major</v>
      </c>
    </row>
    <row r="855" spans="1:10">
      <c r="A855" s="74" t="s">
        <v>1416</v>
      </c>
      <c r="B855" s="17">
        <v>11</v>
      </c>
      <c r="C855" s="83" t="s">
        <v>1261</v>
      </c>
      <c r="D855" s="83" t="s">
        <v>1262</v>
      </c>
      <c r="E855" s="79" t="s">
        <v>21</v>
      </c>
      <c r="F855" s="79" t="s">
        <v>63</v>
      </c>
      <c r="G855" s="79" t="s">
        <v>27</v>
      </c>
      <c r="H855" s="79" t="s">
        <v>1269</v>
      </c>
      <c r="J855" s="14" t="str">
        <f>IF(E855="Invalid_Segment","Invalid",IFERROR(INDEX(Severity_Matrix!$C$3:$M$10,MATCH('Error Log'!$F855,Severity_Matrix!$B$3:$B$10,0),MATCH('Error Log'!$G855,Severity_Matrix!$C$2:$M$2,0)),"No errors"))</f>
        <v>Critical</v>
      </c>
    </row>
    <row r="856" spans="1:10">
      <c r="A856" s="74" t="s">
        <v>1416</v>
      </c>
      <c r="B856" s="17">
        <v>12</v>
      </c>
      <c r="C856" s="83" t="s">
        <v>1261</v>
      </c>
      <c r="D856" s="83" t="s">
        <v>1262</v>
      </c>
      <c r="E856" s="79" t="s">
        <v>21</v>
      </c>
      <c r="F856" s="79" t="s">
        <v>63</v>
      </c>
      <c r="G856" s="79" t="s">
        <v>27</v>
      </c>
      <c r="H856" s="79" t="s">
        <v>1269</v>
      </c>
      <c r="J856" s="14" t="str">
        <f>IF(E856="Invalid_Segment","Invalid",IFERROR(INDEX(Severity_Matrix!$C$3:$M$10,MATCH('Error Log'!$F856,Severity_Matrix!$B$3:$B$10,0),MATCH('Error Log'!$G856,Severity_Matrix!$C$2:$M$2,0)),"No errors"))</f>
        <v>Critical</v>
      </c>
    </row>
    <row r="857" spans="1:10">
      <c r="A857" s="74" t="s">
        <v>1416</v>
      </c>
      <c r="B857" s="17">
        <v>13</v>
      </c>
      <c r="C857" s="83" t="s">
        <v>1261</v>
      </c>
      <c r="D857" s="83" t="s">
        <v>1262</v>
      </c>
      <c r="E857" s="79" t="s">
        <v>2</v>
      </c>
      <c r="F857" s="79" t="s">
        <v>26</v>
      </c>
      <c r="G857" s="79" t="s">
        <v>57</v>
      </c>
      <c r="H857" s="79" t="s">
        <v>1270</v>
      </c>
      <c r="J857" s="14" t="str">
        <f>IF(E857="Invalid_Segment","Invalid",IFERROR(INDEX(Severity_Matrix!$C$3:$M$10,MATCH('Error Log'!$F857,Severity_Matrix!$B$3:$B$10,0),MATCH('Error Log'!$G857,Severity_Matrix!$C$2:$M$2,0)),"No errors"))</f>
        <v>Major</v>
      </c>
    </row>
    <row r="858" spans="1:10">
      <c r="A858" s="74" t="s">
        <v>1416</v>
      </c>
      <c r="B858" s="17">
        <v>14</v>
      </c>
      <c r="C858" s="83" t="s">
        <v>1261</v>
      </c>
      <c r="D858" s="83" t="s">
        <v>1262</v>
      </c>
      <c r="E858" s="79" t="s">
        <v>21</v>
      </c>
      <c r="F858" s="79" t="s">
        <v>7</v>
      </c>
      <c r="G858" s="79" t="s">
        <v>57</v>
      </c>
      <c r="H858" s="79" t="s">
        <v>1271</v>
      </c>
      <c r="J858" s="14" t="str">
        <f>IF(E858="Invalid_Segment","Invalid",IFERROR(INDEX(Severity_Matrix!$C$3:$M$10,MATCH('Error Log'!$F858,Severity_Matrix!$B$3:$B$10,0),MATCH('Error Log'!$G858,Severity_Matrix!$C$2:$M$2,0)),"No errors"))</f>
        <v>Critical</v>
      </c>
    </row>
    <row r="859" spans="1:10">
      <c r="A859" s="74" t="s">
        <v>1417</v>
      </c>
      <c r="B859" s="17">
        <v>1</v>
      </c>
      <c r="C859" s="83" t="s">
        <v>1272</v>
      </c>
      <c r="D859" s="83" t="s">
        <v>1273</v>
      </c>
      <c r="E859" s="79" t="s">
        <v>21</v>
      </c>
      <c r="F859" s="79" t="s">
        <v>1274</v>
      </c>
      <c r="G859" s="79" t="s">
        <v>28</v>
      </c>
      <c r="H859" s="79" t="s">
        <v>1275</v>
      </c>
      <c r="J859" s="14" t="str">
        <f>IF(E859="Invalid_Segment","Invalid",IFERROR(INDEX(Severity_Matrix!$C$3:$M$10,MATCH('Error Log'!$F859,Severity_Matrix!$B$3:$B$10,0),MATCH('Error Log'!$G859,Severity_Matrix!$C$2:$M$2,0)),"No errors"))</f>
        <v>Critical</v>
      </c>
    </row>
    <row r="860" spans="1:10">
      <c r="A860" s="74" t="s">
        <v>1417</v>
      </c>
      <c r="B860" s="17">
        <v>2</v>
      </c>
      <c r="C860" s="83" t="s">
        <v>1276</v>
      </c>
      <c r="D860" s="83" t="s">
        <v>1273</v>
      </c>
      <c r="E860" s="79" t="s">
        <v>21</v>
      </c>
      <c r="F860" s="79" t="s">
        <v>22</v>
      </c>
      <c r="G860" s="79" t="s">
        <v>57</v>
      </c>
      <c r="H860" s="79" t="s">
        <v>1277</v>
      </c>
      <c r="J860" s="14" t="str">
        <f>IF(E860="Invalid_Segment","Invalid",IFERROR(INDEX(Severity_Matrix!$C$3:$M$10,MATCH('Error Log'!$F860,Severity_Matrix!$B$3:$B$10,0),MATCH('Error Log'!$G860,Severity_Matrix!$C$2:$M$2,0)),"No errors"))</f>
        <v>Major</v>
      </c>
    </row>
    <row r="861" spans="1:10">
      <c r="A861" s="74" t="s">
        <v>1417</v>
      </c>
      <c r="B861" s="17">
        <v>3</v>
      </c>
      <c r="C861" s="83" t="s">
        <v>1278</v>
      </c>
      <c r="D861" s="83" t="s">
        <v>1273</v>
      </c>
      <c r="E861" s="79" t="s">
        <v>2</v>
      </c>
      <c r="F861" s="79" t="s">
        <v>26</v>
      </c>
      <c r="G861" s="79" t="s">
        <v>57</v>
      </c>
      <c r="H861" s="79" t="s">
        <v>1279</v>
      </c>
      <c r="J861" s="14" t="str">
        <f>IF(E861="Invalid_Segment","Invalid",IFERROR(INDEX(Severity_Matrix!$C$3:$M$10,MATCH('Error Log'!$F861,Severity_Matrix!$B$3:$B$10,0),MATCH('Error Log'!$G861,Severity_Matrix!$C$2:$M$2,0)),"No errors"))</f>
        <v>Major</v>
      </c>
    </row>
    <row r="862" spans="1:10">
      <c r="A862" s="74" t="s">
        <v>1417</v>
      </c>
      <c r="B862" s="17">
        <v>4</v>
      </c>
      <c r="C862" s="83" t="s">
        <v>1280</v>
      </c>
      <c r="D862" s="83" t="s">
        <v>1273</v>
      </c>
      <c r="E862" s="79" t="s">
        <v>21</v>
      </c>
      <c r="F862" s="79" t="s">
        <v>7</v>
      </c>
      <c r="G862" s="79" t="s">
        <v>57</v>
      </c>
      <c r="H862" s="79" t="s">
        <v>1281</v>
      </c>
      <c r="J862" s="14" t="str">
        <f>IF(E862="Invalid_Segment","Invalid",IFERROR(INDEX(Severity_Matrix!$C$3:$M$10,MATCH('Error Log'!$F862,Severity_Matrix!$B$3:$B$10,0),MATCH('Error Log'!$G862,Severity_Matrix!$C$2:$M$2,0)),"No errors"))</f>
        <v>Critical</v>
      </c>
    </row>
    <row r="863" spans="1:10">
      <c r="A863" s="74" t="s">
        <v>1418</v>
      </c>
      <c r="B863" s="17">
        <v>1</v>
      </c>
      <c r="C863" s="83" t="s">
        <v>1282</v>
      </c>
      <c r="D863" s="83" t="s">
        <v>1283</v>
      </c>
      <c r="E863" s="79" t="s">
        <v>21</v>
      </c>
      <c r="F863" s="79" t="s">
        <v>22</v>
      </c>
      <c r="G863" s="79" t="s">
        <v>57</v>
      </c>
      <c r="H863" s="79" t="s">
        <v>1284</v>
      </c>
      <c r="J863" s="14" t="str">
        <f>IF(E863="Invalid_Segment","Invalid",IFERROR(INDEX(Severity_Matrix!$C$3:$M$10,MATCH('Error Log'!$F863,Severity_Matrix!$B$3:$B$10,0),MATCH('Error Log'!$G863,Severity_Matrix!$C$2:$M$2,0)),"No errors"))</f>
        <v>Major</v>
      </c>
    </row>
    <row r="864" spans="1:10">
      <c r="A864" s="74" t="s">
        <v>1418</v>
      </c>
      <c r="B864" s="17">
        <v>2</v>
      </c>
      <c r="C864" s="83" t="s">
        <v>1282</v>
      </c>
      <c r="D864" s="83" t="s">
        <v>1283</v>
      </c>
      <c r="E864" s="79" t="s">
        <v>21</v>
      </c>
      <c r="F864" s="79" t="s">
        <v>7</v>
      </c>
      <c r="G864" s="79" t="s">
        <v>57</v>
      </c>
      <c r="H864" s="79" t="s">
        <v>1285</v>
      </c>
      <c r="J864" s="14" t="str">
        <f>IF(E864="Invalid_Segment","Invalid",IFERROR(INDEX(Severity_Matrix!$C$3:$M$10,MATCH('Error Log'!$F864,Severity_Matrix!$B$3:$B$10,0),MATCH('Error Log'!$G864,Severity_Matrix!$C$2:$M$2,0)),"No errors"))</f>
        <v>Critical</v>
      </c>
    </row>
    <row r="865" spans="1:10">
      <c r="A865" s="74" t="s">
        <v>1418</v>
      </c>
      <c r="B865" s="17">
        <v>3</v>
      </c>
      <c r="C865" s="83" t="s">
        <v>1282</v>
      </c>
      <c r="D865" s="83" t="s">
        <v>1283</v>
      </c>
      <c r="E865" s="79" t="s">
        <v>21</v>
      </c>
      <c r="F865" s="79" t="s">
        <v>7</v>
      </c>
      <c r="G865" s="79" t="s">
        <v>57</v>
      </c>
      <c r="H865" s="79" t="s">
        <v>1286</v>
      </c>
      <c r="J865" s="14" t="str">
        <f>IF(E865="Invalid_Segment","Invalid",IFERROR(INDEX(Severity_Matrix!$C$3:$M$10,MATCH('Error Log'!$F865,Severity_Matrix!$B$3:$B$10,0),MATCH('Error Log'!$G865,Severity_Matrix!$C$2:$M$2,0)),"No errors"))</f>
        <v>Critical</v>
      </c>
    </row>
    <row r="866" spans="1:10">
      <c r="A866" s="74" t="s">
        <v>1419</v>
      </c>
      <c r="B866" s="17">
        <v>1</v>
      </c>
      <c r="C866" s="83" t="s">
        <v>1287</v>
      </c>
      <c r="D866" s="83" t="s">
        <v>1288</v>
      </c>
      <c r="E866" s="79" t="s">
        <v>2</v>
      </c>
      <c r="F866" s="79" t="s">
        <v>26</v>
      </c>
      <c r="G866" s="79" t="s">
        <v>57</v>
      </c>
      <c r="H866" s="79" t="s">
        <v>1289</v>
      </c>
      <c r="J866" s="14" t="str">
        <f>IF(E866="Invalid_Segment","Invalid",IFERROR(INDEX(Severity_Matrix!$C$3:$M$10,MATCH('Error Log'!$F866,Severity_Matrix!$B$3:$B$10,0),MATCH('Error Log'!$G866,Severity_Matrix!$C$2:$M$2,0)),"No errors"))</f>
        <v>Major</v>
      </c>
    </row>
    <row r="867" spans="1:10">
      <c r="A867" s="74" t="s">
        <v>1419</v>
      </c>
      <c r="B867" s="17">
        <v>2</v>
      </c>
      <c r="C867" s="83" t="s">
        <v>1287</v>
      </c>
      <c r="D867" s="83" t="s">
        <v>1288</v>
      </c>
      <c r="E867" s="79" t="s">
        <v>2</v>
      </c>
      <c r="F867" s="79" t="s">
        <v>26</v>
      </c>
      <c r="G867" s="79" t="s">
        <v>57</v>
      </c>
      <c r="H867" s="79" t="s">
        <v>1289</v>
      </c>
      <c r="J867" s="14" t="str">
        <f>IF(E867="Invalid_Segment","Invalid",IFERROR(INDEX(Severity_Matrix!$C$3:$M$10,MATCH('Error Log'!$F867,Severity_Matrix!$B$3:$B$10,0),MATCH('Error Log'!$G867,Severity_Matrix!$C$2:$M$2,0)),"No errors"))</f>
        <v>Major</v>
      </c>
    </row>
    <row r="868" spans="1:10">
      <c r="A868" s="74" t="s">
        <v>1419</v>
      </c>
      <c r="B868" s="17">
        <v>3</v>
      </c>
      <c r="C868" s="83" t="s">
        <v>1287</v>
      </c>
      <c r="D868" s="83" t="s">
        <v>1288</v>
      </c>
      <c r="E868" s="79" t="s">
        <v>21</v>
      </c>
      <c r="F868" s="79" t="s">
        <v>7</v>
      </c>
      <c r="G868" s="79" t="s">
        <v>57</v>
      </c>
      <c r="H868" s="79" t="s">
        <v>1290</v>
      </c>
      <c r="J868" s="14" t="str">
        <f>IF(E868="Invalid_Segment","Invalid",IFERROR(INDEX(Severity_Matrix!$C$3:$M$10,MATCH('Error Log'!$F868,Severity_Matrix!$B$3:$B$10,0),MATCH('Error Log'!$G868,Severity_Matrix!$C$2:$M$2,0)),"No errors"))</f>
        <v>Critical</v>
      </c>
    </row>
    <row r="869" spans="1:10">
      <c r="A869" s="74" t="s">
        <v>1419</v>
      </c>
      <c r="B869" s="17">
        <v>4</v>
      </c>
      <c r="C869" s="83" t="s">
        <v>1287</v>
      </c>
      <c r="D869" s="83" t="s">
        <v>1288</v>
      </c>
      <c r="E869" s="79" t="s">
        <v>21</v>
      </c>
      <c r="F869" s="79" t="s">
        <v>7</v>
      </c>
      <c r="G869" s="79" t="s">
        <v>57</v>
      </c>
      <c r="H869" s="79" t="s">
        <v>1291</v>
      </c>
      <c r="J869" s="14" t="str">
        <f>IF(E869="Invalid_Segment","Invalid",IFERROR(INDEX(Severity_Matrix!$C$3:$M$10,MATCH('Error Log'!$F869,Severity_Matrix!$B$3:$B$10,0),MATCH('Error Log'!$G869,Severity_Matrix!$C$2:$M$2,0)),"No errors"))</f>
        <v>Critical</v>
      </c>
    </row>
    <row r="870" spans="1:10">
      <c r="A870" s="74" t="s">
        <v>1420</v>
      </c>
      <c r="B870" s="17">
        <v>1</v>
      </c>
      <c r="C870" s="83" t="s">
        <v>1292</v>
      </c>
      <c r="D870" s="83" t="s">
        <v>1293</v>
      </c>
      <c r="E870" s="79" t="s">
        <v>21</v>
      </c>
      <c r="F870" s="79" t="s">
        <v>64</v>
      </c>
      <c r="G870" s="79" t="s">
        <v>28</v>
      </c>
      <c r="H870" s="79" t="s">
        <v>1294</v>
      </c>
      <c r="J870" s="14" t="str">
        <f>IF(E870="Invalid_Segment","Invalid",IFERROR(INDEX(Severity_Matrix!$C$3:$M$10,MATCH('Error Log'!$F870,Severity_Matrix!$B$3:$B$10,0),MATCH('Error Log'!$G870,Severity_Matrix!$C$2:$M$2,0)),"No errors"))</f>
        <v>Critical</v>
      </c>
    </row>
    <row r="871" spans="1:10">
      <c r="A871" s="74" t="s">
        <v>1420</v>
      </c>
      <c r="B871" s="17">
        <v>2</v>
      </c>
      <c r="C871" s="83" t="s">
        <v>1292</v>
      </c>
      <c r="D871" s="83" t="s">
        <v>1293</v>
      </c>
      <c r="E871" s="79" t="s">
        <v>21</v>
      </c>
      <c r="F871" s="79" t="s">
        <v>63</v>
      </c>
      <c r="G871" s="79" t="s">
        <v>28</v>
      </c>
      <c r="H871" s="79" t="s">
        <v>77</v>
      </c>
      <c r="J871" s="14" t="str">
        <f>IF(E871="Invalid_Segment","Invalid",IFERROR(INDEX(Severity_Matrix!$C$3:$M$10,MATCH('Error Log'!$F871,Severity_Matrix!$B$3:$B$10,0),MATCH('Error Log'!$G871,Severity_Matrix!$C$2:$M$2,0)),"No errors"))</f>
        <v>Major</v>
      </c>
    </row>
    <row r="872" spans="1:10">
      <c r="A872" s="74" t="s">
        <v>1420</v>
      </c>
      <c r="B872" s="17">
        <v>3</v>
      </c>
      <c r="C872" s="83" t="s">
        <v>1292</v>
      </c>
      <c r="D872" s="83" t="s">
        <v>1293</v>
      </c>
      <c r="E872" s="79" t="s">
        <v>21</v>
      </c>
      <c r="F872" s="79" t="s">
        <v>22</v>
      </c>
      <c r="G872" s="79" t="s">
        <v>57</v>
      </c>
      <c r="H872" s="79" t="s">
        <v>1295</v>
      </c>
      <c r="J872" s="14" t="str">
        <f>IF(E872="Invalid_Segment","Invalid",IFERROR(INDEX(Severity_Matrix!$C$3:$M$10,MATCH('Error Log'!$F872,Severity_Matrix!$B$3:$B$10,0),MATCH('Error Log'!$G872,Severity_Matrix!$C$2:$M$2,0)),"No errors"))</f>
        <v>Major</v>
      </c>
    </row>
    <row r="873" spans="1:10">
      <c r="A873" s="74" t="s">
        <v>1420</v>
      </c>
      <c r="B873" s="17">
        <v>4</v>
      </c>
      <c r="C873" s="83" t="s">
        <v>1292</v>
      </c>
      <c r="D873" s="83" t="s">
        <v>1293</v>
      </c>
      <c r="E873" s="79" t="s">
        <v>21</v>
      </c>
      <c r="F873" s="79" t="s">
        <v>7</v>
      </c>
      <c r="G873" s="79" t="s">
        <v>57</v>
      </c>
      <c r="H873" s="79" t="s">
        <v>1296</v>
      </c>
      <c r="J873" s="14" t="str">
        <f>IF(E873="Invalid_Segment","Invalid",IFERROR(INDEX(Severity_Matrix!$C$3:$M$10,MATCH('Error Log'!$F873,Severity_Matrix!$B$3:$B$10,0),MATCH('Error Log'!$G873,Severity_Matrix!$C$2:$M$2,0)),"No errors"))</f>
        <v>Critical</v>
      </c>
    </row>
    <row r="874" spans="1:10">
      <c r="A874" s="74" t="s">
        <v>1420</v>
      </c>
      <c r="B874" s="17">
        <v>5</v>
      </c>
      <c r="C874" s="83" t="s">
        <v>1292</v>
      </c>
      <c r="D874" s="83" t="s">
        <v>1293</v>
      </c>
      <c r="E874" s="79" t="s">
        <v>21</v>
      </c>
      <c r="F874" s="79" t="s">
        <v>7</v>
      </c>
      <c r="G874" s="79" t="s">
        <v>57</v>
      </c>
      <c r="H874" s="79" t="s">
        <v>1297</v>
      </c>
      <c r="J874" s="14" t="str">
        <f>IF(E874="Invalid_Segment","Invalid",IFERROR(INDEX(Severity_Matrix!$C$3:$M$10,MATCH('Error Log'!$F874,Severity_Matrix!$B$3:$B$10,0),MATCH('Error Log'!$G874,Severity_Matrix!$C$2:$M$2,0)),"No errors"))</f>
        <v>Critical</v>
      </c>
    </row>
    <row r="875" spans="1:10">
      <c r="A875" s="90" t="s">
        <v>1421</v>
      </c>
      <c r="B875" s="17">
        <v>1</v>
      </c>
      <c r="C875" s="73" t="s">
        <v>1298</v>
      </c>
      <c r="D875" s="73" t="s">
        <v>1299</v>
      </c>
      <c r="E875" s="79" t="s">
        <v>21</v>
      </c>
      <c r="F875" s="79" t="s">
        <v>22</v>
      </c>
      <c r="G875" s="79" t="s">
        <v>28</v>
      </c>
      <c r="H875" s="79" t="s">
        <v>1300</v>
      </c>
      <c r="I875" s="79"/>
      <c r="J875" s="14" t="str">
        <f>IF(E875="Invalid_Segment","Invalid",IFERROR(INDEX(Severity_Matrix!$C$3:$M$10,MATCH('Error Log'!$F875,Severity_Matrix!$B$3:$B$10,0),MATCH('Error Log'!$G875,Severity_Matrix!$C$2:$M$2,0)),"No errors"))</f>
        <v>Major</v>
      </c>
    </row>
    <row r="876" spans="1:10">
      <c r="A876" s="90" t="s">
        <v>1421</v>
      </c>
      <c r="B876" s="17">
        <v>2</v>
      </c>
      <c r="C876" s="73" t="s">
        <v>1298</v>
      </c>
      <c r="D876" s="73" t="s">
        <v>1299</v>
      </c>
      <c r="E876" s="79" t="s">
        <v>2</v>
      </c>
      <c r="F876" s="79" t="s">
        <v>26</v>
      </c>
      <c r="G876" s="79" t="s">
        <v>28</v>
      </c>
      <c r="H876" s="79" t="s">
        <v>1301</v>
      </c>
      <c r="I876" s="79"/>
      <c r="J876" s="14" t="str">
        <f>IF(E876="Invalid_Segment","Invalid",IFERROR(INDEX(Severity_Matrix!$C$3:$M$10,MATCH('Error Log'!$F876,Severity_Matrix!$B$3:$B$10,0),MATCH('Error Log'!$G876,Severity_Matrix!$C$2:$M$2,0)),"No errors"))</f>
        <v>Major</v>
      </c>
    </row>
    <row r="877" spans="1:10">
      <c r="A877" s="90" t="s">
        <v>1421</v>
      </c>
      <c r="B877" s="17">
        <v>3</v>
      </c>
      <c r="C877" s="73" t="s">
        <v>1298</v>
      </c>
      <c r="D877" s="73" t="s">
        <v>1299</v>
      </c>
      <c r="E877" s="79" t="s">
        <v>2</v>
      </c>
      <c r="F877" s="79" t="s">
        <v>26</v>
      </c>
      <c r="G877" s="79" t="s">
        <v>57</v>
      </c>
      <c r="H877" s="79" t="s">
        <v>1302</v>
      </c>
      <c r="I877" s="79"/>
      <c r="J877" s="14" t="str">
        <f>IF(E877="Invalid_Segment","Invalid",IFERROR(INDEX(Severity_Matrix!$C$3:$M$10,MATCH('Error Log'!$F877,Severity_Matrix!$B$3:$B$10,0),MATCH('Error Log'!$G877,Severity_Matrix!$C$2:$M$2,0)),"No errors"))</f>
        <v>Major</v>
      </c>
    </row>
    <row r="878" spans="1:10">
      <c r="A878" s="90" t="s">
        <v>1421</v>
      </c>
      <c r="B878" s="17">
        <v>4</v>
      </c>
      <c r="C878" s="73" t="s">
        <v>1298</v>
      </c>
      <c r="D878" s="73" t="s">
        <v>1299</v>
      </c>
      <c r="E878" s="79" t="s">
        <v>21</v>
      </c>
      <c r="F878" s="79" t="s">
        <v>7</v>
      </c>
      <c r="G878" s="79" t="s">
        <v>57</v>
      </c>
      <c r="H878" s="79" t="s">
        <v>1303</v>
      </c>
      <c r="I878" s="79"/>
      <c r="J878" s="14" t="str">
        <f>IF(E878="Invalid_Segment","Invalid",IFERROR(INDEX(Severity_Matrix!$C$3:$M$10,MATCH('Error Log'!$F878,Severity_Matrix!$B$3:$B$10,0),MATCH('Error Log'!$G878,Severity_Matrix!$C$2:$M$2,0)),"No errors"))</f>
        <v>Critical</v>
      </c>
    </row>
    <row r="879" spans="1:10">
      <c r="A879" s="90" t="s">
        <v>1421</v>
      </c>
      <c r="B879" s="17">
        <v>5</v>
      </c>
      <c r="C879" s="73" t="s">
        <v>1298</v>
      </c>
      <c r="D879" s="73" t="s">
        <v>1299</v>
      </c>
      <c r="E879" s="79" t="s">
        <v>21</v>
      </c>
      <c r="F879" s="79" t="s">
        <v>7</v>
      </c>
      <c r="G879" s="79" t="s">
        <v>57</v>
      </c>
      <c r="H879" s="79" t="s">
        <v>1304</v>
      </c>
      <c r="I879" s="79"/>
      <c r="J879" s="14" t="str">
        <f>IF(E879="Invalid_Segment","Invalid",IFERROR(INDEX(Severity_Matrix!$C$3:$M$10,MATCH('Error Log'!$F879,Severity_Matrix!$B$3:$B$10,0),MATCH('Error Log'!$G879,Severity_Matrix!$C$2:$M$2,0)),"No errors"))</f>
        <v>Critical</v>
      </c>
    </row>
    <row r="880" spans="1:10">
      <c r="A880" s="90" t="s">
        <v>1422</v>
      </c>
      <c r="B880" s="17">
        <v>1</v>
      </c>
      <c r="C880" s="73" t="s">
        <v>1305</v>
      </c>
      <c r="D880" s="73" t="s">
        <v>1306</v>
      </c>
      <c r="E880" s="79" t="s">
        <v>21</v>
      </c>
      <c r="F880" s="79" t="s">
        <v>63</v>
      </c>
      <c r="G880" s="79" t="s">
        <v>54</v>
      </c>
      <c r="H880" s="79" t="s">
        <v>1307</v>
      </c>
      <c r="I880" s="79"/>
      <c r="J880" s="14" t="str">
        <f>IF(E880="Invalid_Segment","Invalid",IFERROR(INDEX(Severity_Matrix!$C$3:$M$10,MATCH('Error Log'!$F880,Severity_Matrix!$B$3:$B$10,0),MATCH('Error Log'!$G880,Severity_Matrix!$C$2:$M$2,0)),"No errors"))</f>
        <v>Critical</v>
      </c>
    </row>
    <row r="881" spans="1:10">
      <c r="A881" s="90" t="s">
        <v>1422</v>
      </c>
      <c r="B881" s="17">
        <v>2</v>
      </c>
      <c r="C881" s="73" t="s">
        <v>1305</v>
      </c>
      <c r="D881" s="73" t="s">
        <v>1306</v>
      </c>
      <c r="E881" s="79" t="s">
        <v>2</v>
      </c>
      <c r="F881" s="79" t="s">
        <v>26</v>
      </c>
      <c r="G881" s="79" t="s">
        <v>57</v>
      </c>
      <c r="H881" s="79" t="s">
        <v>1308</v>
      </c>
      <c r="I881" s="79"/>
      <c r="J881" s="14" t="str">
        <f>IF(E881="Invalid_Segment","Invalid",IFERROR(INDEX(Severity_Matrix!$C$3:$M$10,MATCH('Error Log'!$F881,Severity_Matrix!$B$3:$B$10,0),MATCH('Error Log'!$G881,Severity_Matrix!$C$2:$M$2,0)),"No errors"))</f>
        <v>Major</v>
      </c>
    </row>
    <row r="882" spans="1:10">
      <c r="A882" s="90" t="s">
        <v>1422</v>
      </c>
      <c r="B882" s="17">
        <v>3</v>
      </c>
      <c r="C882" s="73" t="s">
        <v>1305</v>
      </c>
      <c r="D882" s="73" t="s">
        <v>1306</v>
      </c>
      <c r="E882" s="79" t="s">
        <v>21</v>
      </c>
      <c r="F882" s="79" t="s">
        <v>7</v>
      </c>
      <c r="G882" s="79" t="s">
        <v>57</v>
      </c>
      <c r="H882" s="79" t="s">
        <v>1309</v>
      </c>
      <c r="I882" s="79"/>
      <c r="J882" s="14" t="str">
        <f>IF(E882="Invalid_Segment","Invalid",IFERROR(INDEX(Severity_Matrix!$C$3:$M$10,MATCH('Error Log'!$F882,Severity_Matrix!$B$3:$B$10,0),MATCH('Error Log'!$G882,Severity_Matrix!$C$2:$M$2,0)),"No errors"))</f>
        <v>Critical</v>
      </c>
    </row>
    <row r="883" spans="1:10">
      <c r="A883" s="90" t="s">
        <v>1423</v>
      </c>
      <c r="B883" s="17">
        <v>1</v>
      </c>
      <c r="C883" s="73" t="s">
        <v>1310</v>
      </c>
      <c r="D883" s="73" t="s">
        <v>1311</v>
      </c>
      <c r="E883" s="79" t="s">
        <v>21</v>
      </c>
      <c r="F883" s="79" t="s">
        <v>22</v>
      </c>
      <c r="G883" s="79" t="s">
        <v>57</v>
      </c>
      <c r="H883" s="79" t="s">
        <v>1312</v>
      </c>
      <c r="I883" s="79"/>
      <c r="J883" s="14" t="str">
        <f>IF(E883="Invalid_Segment","Invalid",IFERROR(INDEX(Severity_Matrix!$C$3:$M$10,MATCH('Error Log'!$F883,Severity_Matrix!$B$3:$B$10,0),MATCH('Error Log'!$G883,Severity_Matrix!$C$2:$M$2,0)),"No errors"))</f>
        <v>Major</v>
      </c>
    </row>
    <row r="884" spans="1:10">
      <c r="A884" s="90" t="s">
        <v>1423</v>
      </c>
      <c r="B884" s="17">
        <v>2</v>
      </c>
      <c r="C884" s="73" t="s">
        <v>1310</v>
      </c>
      <c r="D884" s="73" t="s">
        <v>1311</v>
      </c>
      <c r="E884" s="79" t="s">
        <v>2</v>
      </c>
      <c r="F884" s="79" t="s">
        <v>26</v>
      </c>
      <c r="G884" s="79" t="s">
        <v>57</v>
      </c>
      <c r="H884" s="79" t="s">
        <v>1313</v>
      </c>
      <c r="I884" s="79"/>
      <c r="J884" s="14" t="str">
        <f>IF(E884="Invalid_Segment","Invalid",IFERROR(INDEX(Severity_Matrix!$C$3:$M$10,MATCH('Error Log'!$F884,Severity_Matrix!$B$3:$B$10,0),MATCH('Error Log'!$G884,Severity_Matrix!$C$2:$M$2,0)),"No errors"))</f>
        <v>Major</v>
      </c>
    </row>
    <row r="885" spans="1:10">
      <c r="A885" s="90" t="s">
        <v>1423</v>
      </c>
      <c r="B885" s="17">
        <v>3</v>
      </c>
      <c r="C885" s="73" t="s">
        <v>1310</v>
      </c>
      <c r="D885" s="73" t="s">
        <v>1311</v>
      </c>
      <c r="E885" s="79" t="s">
        <v>2</v>
      </c>
      <c r="F885" s="79" t="s">
        <v>26</v>
      </c>
      <c r="G885" s="79" t="s">
        <v>57</v>
      </c>
      <c r="H885" s="91" t="s">
        <v>1313</v>
      </c>
      <c r="I885" s="79"/>
      <c r="J885" s="14" t="str">
        <f>IF(E885="Invalid_Segment","Invalid",IFERROR(INDEX(Severity_Matrix!$C$3:$M$10,MATCH('Error Log'!$F885,Severity_Matrix!$B$3:$B$10,0),MATCH('Error Log'!$G885,Severity_Matrix!$C$2:$M$2,0)),"No errors"))</f>
        <v>Major</v>
      </c>
    </row>
    <row r="886" spans="1:10">
      <c r="A886" s="90" t="s">
        <v>1423</v>
      </c>
      <c r="B886" s="17">
        <v>4</v>
      </c>
      <c r="C886" s="73" t="s">
        <v>1310</v>
      </c>
      <c r="D886" s="73" t="s">
        <v>1311</v>
      </c>
      <c r="E886" s="79" t="s">
        <v>21</v>
      </c>
      <c r="F886" s="79" t="s">
        <v>22</v>
      </c>
      <c r="G886" s="79" t="s">
        <v>57</v>
      </c>
      <c r="H886" s="79" t="s">
        <v>1314</v>
      </c>
      <c r="I886" s="79"/>
      <c r="J886" s="14" t="str">
        <f>IF(E886="Invalid_Segment","Invalid",IFERROR(INDEX(Severity_Matrix!$C$3:$M$10,MATCH('Error Log'!$F886,Severity_Matrix!$B$3:$B$10,0),MATCH('Error Log'!$G886,Severity_Matrix!$C$2:$M$2,0)),"No errors"))</f>
        <v>Major</v>
      </c>
    </row>
    <row r="887" spans="1:10">
      <c r="A887" s="90" t="s">
        <v>1423</v>
      </c>
      <c r="B887" s="17">
        <v>5</v>
      </c>
      <c r="C887" s="73" t="s">
        <v>1310</v>
      </c>
      <c r="D887" s="73" t="s">
        <v>1311</v>
      </c>
      <c r="E887" s="79" t="s">
        <v>21</v>
      </c>
      <c r="F887" s="79" t="s">
        <v>7</v>
      </c>
      <c r="G887" s="79" t="s">
        <v>57</v>
      </c>
      <c r="H887" s="79" t="s">
        <v>1315</v>
      </c>
      <c r="I887" s="79"/>
      <c r="J887" s="14" t="str">
        <f>IF(E887="Invalid_Segment","Invalid",IFERROR(INDEX(Severity_Matrix!$C$3:$M$10,MATCH('Error Log'!$F887,Severity_Matrix!$B$3:$B$10,0),MATCH('Error Log'!$G887,Severity_Matrix!$C$2:$M$2,0)),"No errors"))</f>
        <v>Critical</v>
      </c>
    </row>
    <row r="888" spans="1:10">
      <c r="A888" s="90" t="s">
        <v>1423</v>
      </c>
      <c r="B888" s="17">
        <v>6</v>
      </c>
      <c r="C888" s="73" t="s">
        <v>1310</v>
      </c>
      <c r="D888" s="73" t="s">
        <v>1311</v>
      </c>
      <c r="E888" s="79" t="s">
        <v>21</v>
      </c>
      <c r="F888" s="79" t="s">
        <v>7</v>
      </c>
      <c r="G888" s="79" t="s">
        <v>57</v>
      </c>
      <c r="H888" s="79" t="s">
        <v>1316</v>
      </c>
      <c r="I888" s="79"/>
      <c r="J888" s="14" t="str">
        <f>IF(E888="Invalid_Segment","Invalid",IFERROR(INDEX(Severity_Matrix!$C$3:$M$10,MATCH('Error Log'!$F888,Severity_Matrix!$B$3:$B$10,0),MATCH('Error Log'!$G888,Severity_Matrix!$C$2:$M$2,0)),"No errors"))</f>
        <v>Critical</v>
      </c>
    </row>
    <row r="889" spans="1:10">
      <c r="A889" s="90" t="s">
        <v>1423</v>
      </c>
      <c r="B889" s="17">
        <v>7</v>
      </c>
      <c r="C889" s="73" t="s">
        <v>1310</v>
      </c>
      <c r="D889" s="73" t="s">
        <v>1311</v>
      </c>
      <c r="E889" s="79" t="s">
        <v>21</v>
      </c>
      <c r="F889" s="79" t="s">
        <v>7</v>
      </c>
      <c r="G889" s="79" t="s">
        <v>57</v>
      </c>
      <c r="H889" s="79" t="s">
        <v>1317</v>
      </c>
      <c r="I889" s="79"/>
      <c r="J889" s="14" t="str">
        <f>IF(E889="Invalid_Segment","Invalid",IFERROR(INDEX(Severity_Matrix!$C$3:$M$10,MATCH('Error Log'!$F889,Severity_Matrix!$B$3:$B$10,0),MATCH('Error Log'!$G889,Severity_Matrix!$C$2:$M$2,0)),"No errors"))</f>
        <v>Critical</v>
      </c>
    </row>
    <row r="890" spans="1:10">
      <c r="A890" s="90" t="s">
        <v>1424</v>
      </c>
      <c r="B890" s="17">
        <v>1</v>
      </c>
      <c r="C890" s="73" t="s">
        <v>1318</v>
      </c>
      <c r="D890" s="73" t="s">
        <v>1319</v>
      </c>
      <c r="E890" s="79" t="s">
        <v>21</v>
      </c>
      <c r="F890" s="79" t="s">
        <v>7</v>
      </c>
      <c r="G890" s="79" t="s">
        <v>57</v>
      </c>
      <c r="H890" s="79" t="s">
        <v>1320</v>
      </c>
      <c r="I890" s="79"/>
      <c r="J890" s="14" t="str">
        <f>IF(E890="Invalid_Segment","Invalid",IFERROR(INDEX(Severity_Matrix!$C$3:$M$10,MATCH('Error Log'!$F890,Severity_Matrix!$B$3:$B$10,0),MATCH('Error Log'!$G890,Severity_Matrix!$C$2:$M$2,0)),"No errors"))</f>
        <v>Critical</v>
      </c>
    </row>
    <row r="891" spans="1:10">
      <c r="A891" s="90" t="s">
        <v>1424</v>
      </c>
      <c r="B891" s="17">
        <v>2</v>
      </c>
      <c r="C891" s="73" t="s">
        <v>1318</v>
      </c>
      <c r="D891" s="73" t="s">
        <v>1319</v>
      </c>
      <c r="E891" s="79" t="s">
        <v>2</v>
      </c>
      <c r="F891" s="79" t="s">
        <v>26</v>
      </c>
      <c r="G891" s="79" t="s">
        <v>28</v>
      </c>
      <c r="H891" s="79" t="s">
        <v>1321</v>
      </c>
      <c r="I891" s="79"/>
      <c r="J891" s="14" t="str">
        <f>IF(E891="Invalid_Segment","Invalid",IFERROR(INDEX(Severity_Matrix!$C$3:$M$10,MATCH('Error Log'!$F891,Severity_Matrix!$B$3:$B$10,0),MATCH('Error Log'!$G891,Severity_Matrix!$C$2:$M$2,0)),"No errors"))</f>
        <v>Major</v>
      </c>
    </row>
    <row r="892" spans="1:10">
      <c r="A892" s="90" t="s">
        <v>1424</v>
      </c>
      <c r="B892" s="17">
        <v>3</v>
      </c>
      <c r="C892" s="73" t="s">
        <v>1318</v>
      </c>
      <c r="D892" s="73" t="s">
        <v>1319</v>
      </c>
      <c r="E892" s="79" t="s">
        <v>2</v>
      </c>
      <c r="F892" s="79" t="s">
        <v>26</v>
      </c>
      <c r="G892" s="79" t="s">
        <v>57</v>
      </c>
      <c r="H892" s="79" t="s">
        <v>1322</v>
      </c>
      <c r="I892" s="79"/>
      <c r="J892" s="14" t="str">
        <f>IF(E892="Invalid_Segment","Invalid",IFERROR(INDEX(Severity_Matrix!$C$3:$M$10,MATCH('Error Log'!$F892,Severity_Matrix!$B$3:$B$10,0),MATCH('Error Log'!$G892,Severity_Matrix!$C$2:$M$2,0)),"No errors"))</f>
        <v>Major</v>
      </c>
    </row>
    <row r="893" spans="1:10">
      <c r="A893" s="90" t="s">
        <v>1424</v>
      </c>
      <c r="B893" s="17">
        <v>4</v>
      </c>
      <c r="C893" s="73" t="s">
        <v>1318</v>
      </c>
      <c r="D893" s="73" t="s">
        <v>1319</v>
      </c>
      <c r="E893" s="79" t="s">
        <v>21</v>
      </c>
      <c r="F893" s="79" t="s">
        <v>7</v>
      </c>
      <c r="G893" s="79" t="s">
        <v>57</v>
      </c>
      <c r="H893" s="79" t="s">
        <v>1323</v>
      </c>
      <c r="I893" s="79"/>
      <c r="J893" s="14" t="str">
        <f>IF(E893="Invalid_Segment","Invalid",IFERROR(INDEX(Severity_Matrix!$C$3:$M$10,MATCH('Error Log'!$F893,Severity_Matrix!$B$3:$B$10,0),MATCH('Error Log'!$G893,Severity_Matrix!$C$2:$M$2,0)),"No errors"))</f>
        <v>Critical</v>
      </c>
    </row>
    <row r="894" spans="1:10">
      <c r="A894" s="90" t="s">
        <v>1424</v>
      </c>
      <c r="B894" s="17">
        <v>5</v>
      </c>
      <c r="C894" s="73" t="s">
        <v>1318</v>
      </c>
      <c r="D894" s="73" t="s">
        <v>1319</v>
      </c>
      <c r="E894" s="79" t="s">
        <v>21</v>
      </c>
      <c r="F894" s="79" t="s">
        <v>7</v>
      </c>
      <c r="G894" s="79" t="s">
        <v>57</v>
      </c>
      <c r="H894" s="79" t="s">
        <v>1324</v>
      </c>
      <c r="I894" s="79"/>
      <c r="J894" s="14" t="str">
        <f>IF(E894="Invalid_Segment","Invalid",IFERROR(INDEX(Severity_Matrix!$C$3:$M$10,MATCH('Error Log'!$F894,Severity_Matrix!$B$3:$B$10,0),MATCH('Error Log'!$G894,Severity_Matrix!$C$2:$M$2,0)),"No errors"))</f>
        <v>Critical</v>
      </c>
    </row>
    <row r="895" spans="1:10">
      <c r="A895" s="90" t="s">
        <v>1425</v>
      </c>
      <c r="B895" s="17">
        <v>1</v>
      </c>
      <c r="C895" s="73" t="s">
        <v>1325</v>
      </c>
      <c r="D895" s="73" t="s">
        <v>1326</v>
      </c>
      <c r="E895" s="79" t="s">
        <v>21</v>
      </c>
      <c r="F895" s="79" t="s">
        <v>63</v>
      </c>
      <c r="G895" s="79" t="s">
        <v>27</v>
      </c>
      <c r="H895" s="79" t="s">
        <v>77</v>
      </c>
      <c r="I895" s="79"/>
      <c r="J895" s="14" t="str">
        <f>IF(E895="Invalid_Segment","Invalid",IFERROR(INDEX(Severity_Matrix!$C$3:$M$10,MATCH('Error Log'!$F895,Severity_Matrix!$B$3:$B$10,0),MATCH('Error Log'!$G895,Severity_Matrix!$C$2:$M$2,0)),"No errors"))</f>
        <v>Critical</v>
      </c>
    </row>
    <row r="896" spans="1:10">
      <c r="A896" s="90" t="s">
        <v>1425</v>
      </c>
      <c r="B896" s="17">
        <v>2</v>
      </c>
      <c r="C896" s="73" t="s">
        <v>1325</v>
      </c>
      <c r="D896" s="73" t="s">
        <v>1326</v>
      </c>
      <c r="E896" s="79" t="s">
        <v>21</v>
      </c>
      <c r="F896" s="79" t="s">
        <v>63</v>
      </c>
      <c r="G896" s="79" t="s">
        <v>56</v>
      </c>
      <c r="H896" s="79" t="s">
        <v>77</v>
      </c>
      <c r="I896" s="79"/>
      <c r="J896" s="14" t="str">
        <f>IF(E896="Invalid_Segment","Invalid",IFERROR(INDEX(Severity_Matrix!$C$3:$M$10,MATCH('Error Log'!$F896,Severity_Matrix!$B$3:$B$10,0),MATCH('Error Log'!$G896,Severity_Matrix!$C$2:$M$2,0)),"No errors"))</f>
        <v>Critical</v>
      </c>
    </row>
    <row r="897" spans="1:10">
      <c r="A897" s="90" t="s">
        <v>1425</v>
      </c>
      <c r="B897" s="17">
        <v>3</v>
      </c>
      <c r="C897" s="73" t="s">
        <v>1325</v>
      </c>
      <c r="D897" s="73" t="s">
        <v>1326</v>
      </c>
      <c r="E897" s="79" t="s">
        <v>21</v>
      </c>
      <c r="F897" s="79" t="s">
        <v>22</v>
      </c>
      <c r="G897" s="79" t="s">
        <v>57</v>
      </c>
      <c r="H897" s="79" t="s">
        <v>1327</v>
      </c>
      <c r="I897" s="79"/>
      <c r="J897" s="14" t="str">
        <f>IF(E897="Invalid_Segment","Invalid",IFERROR(INDEX(Severity_Matrix!$C$3:$M$10,MATCH('Error Log'!$F897,Severity_Matrix!$B$3:$B$10,0),MATCH('Error Log'!$G897,Severity_Matrix!$C$2:$M$2,0)),"No errors"))</f>
        <v>Major</v>
      </c>
    </row>
    <row r="898" spans="1:10">
      <c r="A898" s="90" t="s">
        <v>1425</v>
      </c>
      <c r="B898" s="17">
        <v>4</v>
      </c>
      <c r="C898" s="73" t="s">
        <v>1325</v>
      </c>
      <c r="D898" s="73" t="s">
        <v>1326</v>
      </c>
      <c r="E898" s="79" t="s">
        <v>2</v>
      </c>
      <c r="F898" s="79" t="s">
        <v>26</v>
      </c>
      <c r="G898" s="79" t="s">
        <v>57</v>
      </c>
      <c r="H898" s="79" t="s">
        <v>1327</v>
      </c>
      <c r="I898" s="79"/>
      <c r="J898" s="14" t="str">
        <f>IF(E898="Invalid_Segment","Invalid",IFERROR(INDEX(Severity_Matrix!$C$3:$M$10,MATCH('Error Log'!$F898,Severity_Matrix!$B$3:$B$10,0),MATCH('Error Log'!$G898,Severity_Matrix!$C$2:$M$2,0)),"No errors"))</f>
        <v>Major</v>
      </c>
    </row>
    <row r="899" spans="1:10">
      <c r="A899" s="90" t="s">
        <v>1426</v>
      </c>
      <c r="B899" s="17">
        <v>1</v>
      </c>
      <c r="C899" s="73" t="s">
        <v>1328</v>
      </c>
      <c r="D899" s="73" t="s">
        <v>1329</v>
      </c>
      <c r="E899" s="79" t="s">
        <v>2</v>
      </c>
      <c r="F899" s="79" t="s">
        <v>26</v>
      </c>
      <c r="G899" s="79" t="s">
        <v>57</v>
      </c>
      <c r="H899" s="87" t="s">
        <v>1330</v>
      </c>
      <c r="I899" s="79"/>
      <c r="J899" s="14" t="str">
        <f>IF(E899="Invalid_Segment","Invalid",IFERROR(INDEX(Severity_Matrix!$C$3:$M$10,MATCH('Error Log'!$F899,Severity_Matrix!$B$3:$B$10,0),MATCH('Error Log'!$G899,Severity_Matrix!$C$2:$M$2,0)),"No errors"))</f>
        <v>Major</v>
      </c>
    </row>
    <row r="900" spans="1:10">
      <c r="A900" s="90" t="s">
        <v>1426</v>
      </c>
      <c r="B900" s="17">
        <v>2</v>
      </c>
      <c r="C900" s="73" t="s">
        <v>1328</v>
      </c>
      <c r="D900" s="73" t="s">
        <v>1329</v>
      </c>
      <c r="E900" s="79" t="s">
        <v>21</v>
      </c>
      <c r="F900" s="79" t="s">
        <v>7</v>
      </c>
      <c r="G900" s="79" t="s">
        <v>57</v>
      </c>
      <c r="H900" s="79" t="s">
        <v>1331</v>
      </c>
      <c r="I900" s="79"/>
      <c r="J900" s="14" t="str">
        <f>IF(E900="Invalid_Segment","Invalid",IFERROR(INDEX(Severity_Matrix!$C$3:$M$10,MATCH('Error Log'!$F900,Severity_Matrix!$B$3:$B$10,0),MATCH('Error Log'!$G900,Severity_Matrix!$C$2:$M$2,0)),"No errors"))</f>
        <v>Critical</v>
      </c>
    </row>
    <row r="901" spans="1:10">
      <c r="A901" s="90" t="s">
        <v>1426</v>
      </c>
      <c r="B901" s="17">
        <v>3</v>
      </c>
      <c r="C901" s="73" t="s">
        <v>1328</v>
      </c>
      <c r="D901" s="73" t="s">
        <v>1329</v>
      </c>
      <c r="E901" s="79" t="s">
        <v>21</v>
      </c>
      <c r="F901" s="79" t="s">
        <v>7</v>
      </c>
      <c r="G901" s="79" t="s">
        <v>57</v>
      </c>
      <c r="H901" s="79" t="s">
        <v>1332</v>
      </c>
      <c r="I901" s="79"/>
      <c r="J901" s="14" t="str">
        <f>IF(E901="Invalid_Segment","Invalid",IFERROR(INDEX(Severity_Matrix!$C$3:$M$10,MATCH('Error Log'!$F901,Severity_Matrix!$B$3:$B$10,0),MATCH('Error Log'!$G901,Severity_Matrix!$C$2:$M$2,0)),"No errors"))</f>
        <v>Critical</v>
      </c>
    </row>
    <row r="902" spans="1:10">
      <c r="A902" s="90" t="s">
        <v>1507</v>
      </c>
      <c r="B902" s="17">
        <v>1</v>
      </c>
      <c r="C902" s="73" t="s">
        <v>1333</v>
      </c>
      <c r="D902" s="73" t="s">
        <v>1334</v>
      </c>
      <c r="E902" s="79"/>
      <c r="F902" s="79"/>
      <c r="G902" s="79"/>
      <c r="H902" s="79"/>
      <c r="I902" s="79"/>
      <c r="J902" s="14" t="str">
        <f>IF(E902="Invalid_Segment","Invalid",IFERROR(INDEX(Severity_Matrix!$C$3:$M$10,MATCH('Error Log'!$F902,Severity_Matrix!$B$3:$B$10,0),MATCH('Error Log'!$G902,Severity_Matrix!$C$2:$M$2,0)),"No errors"))</f>
        <v>No errors</v>
      </c>
    </row>
    <row r="903" spans="1:10">
      <c r="A903" s="90" t="s">
        <v>1427</v>
      </c>
      <c r="B903" s="17">
        <v>1</v>
      </c>
      <c r="C903" s="73" t="s">
        <v>1335</v>
      </c>
      <c r="D903" s="73" t="s">
        <v>1336</v>
      </c>
      <c r="E903" s="79" t="s">
        <v>2</v>
      </c>
      <c r="F903" s="79" t="s">
        <v>26</v>
      </c>
      <c r="G903" s="79" t="s">
        <v>57</v>
      </c>
      <c r="H903" s="79" t="s">
        <v>1337</v>
      </c>
      <c r="I903" s="79"/>
      <c r="J903" s="14" t="str">
        <f>IF(E903="Invalid_Segment","Invalid",IFERROR(INDEX(Severity_Matrix!$C$3:$M$10,MATCH('Error Log'!$F903,Severity_Matrix!$B$3:$B$10,0),MATCH('Error Log'!$G903,Severity_Matrix!$C$2:$M$2,0)),"No errors"))</f>
        <v>Major</v>
      </c>
    </row>
    <row r="904" spans="1:10">
      <c r="A904" s="90" t="s">
        <v>1427</v>
      </c>
      <c r="B904" s="17">
        <v>2</v>
      </c>
      <c r="C904" s="73" t="s">
        <v>1335</v>
      </c>
      <c r="D904" s="73" t="s">
        <v>1336</v>
      </c>
      <c r="E904" s="79" t="s">
        <v>2</v>
      </c>
      <c r="F904" s="79" t="s">
        <v>26</v>
      </c>
      <c r="G904" s="79" t="s">
        <v>57</v>
      </c>
      <c r="H904" s="79" t="s">
        <v>1337</v>
      </c>
      <c r="I904" s="79"/>
      <c r="J904" s="14" t="str">
        <f>IF(E904="Invalid_Segment","Invalid",IFERROR(INDEX(Severity_Matrix!$C$3:$M$10,MATCH('Error Log'!$F904,Severity_Matrix!$B$3:$B$10,0),MATCH('Error Log'!$G904,Severity_Matrix!$C$2:$M$2,0)),"No errors"))</f>
        <v>Major</v>
      </c>
    </row>
    <row r="905" spans="1:10">
      <c r="A905" s="90" t="s">
        <v>1427</v>
      </c>
      <c r="B905" s="17">
        <v>3</v>
      </c>
      <c r="C905" s="73" t="s">
        <v>1335</v>
      </c>
      <c r="D905" s="73" t="s">
        <v>1336</v>
      </c>
      <c r="E905" s="79" t="s">
        <v>21</v>
      </c>
      <c r="F905" s="79" t="s">
        <v>63</v>
      </c>
      <c r="G905" s="79" t="s">
        <v>27</v>
      </c>
      <c r="H905" s="79" t="s">
        <v>1338</v>
      </c>
      <c r="I905" s="79"/>
      <c r="J905" s="14" t="str">
        <f>IF(E905="Invalid_Segment","Invalid",IFERROR(INDEX(Severity_Matrix!$C$3:$M$10,MATCH('Error Log'!$F905,Severity_Matrix!$B$3:$B$10,0),MATCH('Error Log'!$G905,Severity_Matrix!$C$2:$M$2,0)),"No errors"))</f>
        <v>Critical</v>
      </c>
    </row>
    <row r="906" spans="1:10">
      <c r="A906" s="90" t="s">
        <v>1427</v>
      </c>
      <c r="B906" s="17">
        <v>4</v>
      </c>
      <c r="C906" s="73" t="s">
        <v>1335</v>
      </c>
      <c r="D906" s="73" t="s">
        <v>1336</v>
      </c>
      <c r="E906" s="79" t="s">
        <v>21</v>
      </c>
      <c r="F906" s="79" t="s">
        <v>7</v>
      </c>
      <c r="G906" s="79" t="s">
        <v>57</v>
      </c>
      <c r="H906" s="79" t="s">
        <v>1339</v>
      </c>
      <c r="I906" s="79"/>
      <c r="J906" s="14" t="str">
        <f>IF(E906="Invalid_Segment","Invalid",IFERROR(INDEX(Severity_Matrix!$C$3:$M$10,MATCH('Error Log'!$F906,Severity_Matrix!$B$3:$B$10,0),MATCH('Error Log'!$G906,Severity_Matrix!$C$2:$M$2,0)),"No errors"))</f>
        <v>Critical</v>
      </c>
    </row>
    <row r="907" spans="1:10">
      <c r="A907" s="90" t="s">
        <v>1427</v>
      </c>
      <c r="B907" s="17">
        <v>5</v>
      </c>
      <c r="C907" s="73" t="s">
        <v>1335</v>
      </c>
      <c r="D907" s="73" t="s">
        <v>1336</v>
      </c>
      <c r="E907" s="79" t="s">
        <v>21</v>
      </c>
      <c r="F907" s="79" t="s">
        <v>7</v>
      </c>
      <c r="G907" s="79" t="s">
        <v>57</v>
      </c>
      <c r="H907" s="79" t="s">
        <v>1340</v>
      </c>
      <c r="I907" s="79"/>
      <c r="J907" s="14" t="str">
        <f>IF(E907="Invalid_Segment","Invalid",IFERROR(INDEX(Severity_Matrix!$C$3:$M$10,MATCH('Error Log'!$F907,Severity_Matrix!$B$3:$B$10,0),MATCH('Error Log'!$G907,Severity_Matrix!$C$2:$M$2,0)),"No errors"))</f>
        <v>Critical</v>
      </c>
    </row>
    <row r="908" spans="1:10">
      <c r="A908" s="90" t="s">
        <v>1427</v>
      </c>
      <c r="B908" s="17">
        <v>6</v>
      </c>
      <c r="C908" s="73" t="s">
        <v>1335</v>
      </c>
      <c r="D908" s="73" t="s">
        <v>1336</v>
      </c>
      <c r="E908" s="79" t="s">
        <v>21</v>
      </c>
      <c r="F908" s="79" t="s">
        <v>7</v>
      </c>
      <c r="G908" s="79" t="s">
        <v>57</v>
      </c>
      <c r="H908" s="79" t="s">
        <v>1341</v>
      </c>
      <c r="I908" s="79"/>
      <c r="J908" s="14" t="str">
        <f>IF(E908="Invalid_Segment","Invalid",IFERROR(INDEX(Severity_Matrix!$C$3:$M$10,MATCH('Error Log'!$F908,Severity_Matrix!$B$3:$B$10,0),MATCH('Error Log'!$G908,Severity_Matrix!$C$2:$M$2,0)),"No errors"))</f>
        <v>Critical</v>
      </c>
    </row>
    <row r="909" spans="1:10">
      <c r="A909" s="90" t="s">
        <v>1428</v>
      </c>
      <c r="B909" s="17">
        <v>1</v>
      </c>
      <c r="C909" s="73" t="s">
        <v>1342</v>
      </c>
      <c r="D909" s="73" t="s">
        <v>1343</v>
      </c>
      <c r="E909" s="79" t="s">
        <v>21</v>
      </c>
      <c r="F909" s="79" t="s">
        <v>63</v>
      </c>
      <c r="G909" s="79" t="s">
        <v>27</v>
      </c>
      <c r="H909" s="79" t="s">
        <v>77</v>
      </c>
      <c r="I909" s="79"/>
      <c r="J909" s="14" t="str">
        <f>IF(E909="Invalid_Segment","Invalid",IFERROR(INDEX(Severity_Matrix!$C$3:$M$10,MATCH('Error Log'!$F909,Severity_Matrix!$B$3:$B$10,0),MATCH('Error Log'!$G909,Severity_Matrix!$C$2:$M$2,0)),"No errors"))</f>
        <v>Critical</v>
      </c>
    </row>
    <row r="910" spans="1:10">
      <c r="A910" s="90" t="s">
        <v>1428</v>
      </c>
      <c r="B910" s="17">
        <v>2</v>
      </c>
      <c r="C910" s="73" t="s">
        <v>1342</v>
      </c>
      <c r="D910" s="73" t="s">
        <v>1343</v>
      </c>
      <c r="E910" s="79" t="s">
        <v>21</v>
      </c>
      <c r="F910" s="79" t="s">
        <v>63</v>
      </c>
      <c r="G910" s="79" t="s">
        <v>27</v>
      </c>
      <c r="H910" s="79" t="s">
        <v>77</v>
      </c>
      <c r="I910" s="79"/>
      <c r="J910" s="14" t="str">
        <f>IF(E910="Invalid_Segment","Invalid",IFERROR(INDEX(Severity_Matrix!$C$3:$M$10,MATCH('Error Log'!$F910,Severity_Matrix!$B$3:$B$10,0),MATCH('Error Log'!$G910,Severity_Matrix!$C$2:$M$2,0)),"No errors"))</f>
        <v>Critical</v>
      </c>
    </row>
    <row r="911" spans="1:10">
      <c r="A911" s="90" t="s">
        <v>1428</v>
      </c>
      <c r="B911" s="17">
        <v>3</v>
      </c>
      <c r="C911" s="73" t="s">
        <v>1342</v>
      </c>
      <c r="D911" s="73" t="s">
        <v>1343</v>
      </c>
      <c r="E911" s="79" t="s">
        <v>21</v>
      </c>
      <c r="F911" s="79" t="s">
        <v>63</v>
      </c>
      <c r="G911" s="79" t="s">
        <v>27</v>
      </c>
      <c r="H911" s="79" t="s">
        <v>77</v>
      </c>
      <c r="I911" s="79"/>
      <c r="J911" s="14" t="str">
        <f>IF(E911="Invalid_Segment","Invalid",IFERROR(INDEX(Severity_Matrix!$C$3:$M$10,MATCH('Error Log'!$F911,Severity_Matrix!$B$3:$B$10,0),MATCH('Error Log'!$G911,Severity_Matrix!$C$2:$M$2,0)),"No errors"))</f>
        <v>Critical</v>
      </c>
    </row>
    <row r="912" spans="1:10">
      <c r="A912" s="90" t="s">
        <v>1428</v>
      </c>
      <c r="B912" s="17">
        <v>4</v>
      </c>
      <c r="C912" s="73" t="s">
        <v>1342</v>
      </c>
      <c r="D912" s="73" t="s">
        <v>1343</v>
      </c>
      <c r="E912" s="79" t="s">
        <v>21</v>
      </c>
      <c r="F912" s="79" t="s">
        <v>63</v>
      </c>
      <c r="G912" s="79" t="s">
        <v>27</v>
      </c>
      <c r="H912" s="79" t="s">
        <v>77</v>
      </c>
      <c r="I912" s="79"/>
      <c r="J912" s="14" t="str">
        <f>IF(E912="Invalid_Segment","Invalid",IFERROR(INDEX(Severity_Matrix!$C$3:$M$10,MATCH('Error Log'!$F912,Severity_Matrix!$B$3:$B$10,0),MATCH('Error Log'!$G912,Severity_Matrix!$C$2:$M$2,0)),"No errors"))</f>
        <v>Critical</v>
      </c>
    </row>
    <row r="913" spans="1:10">
      <c r="A913" s="90" t="s">
        <v>1428</v>
      </c>
      <c r="B913" s="17">
        <v>5</v>
      </c>
      <c r="C913" s="73" t="s">
        <v>1342</v>
      </c>
      <c r="D913" s="73" t="s">
        <v>1343</v>
      </c>
      <c r="E913" s="79" t="s">
        <v>2</v>
      </c>
      <c r="F913" s="79" t="s">
        <v>26</v>
      </c>
      <c r="G913" s="79" t="s">
        <v>57</v>
      </c>
      <c r="H913" s="79" t="s">
        <v>1344</v>
      </c>
      <c r="I913" s="79"/>
      <c r="J913" s="14" t="str">
        <f>IF(E913="Invalid_Segment","Invalid",IFERROR(INDEX(Severity_Matrix!$C$3:$M$10,MATCH('Error Log'!$F913,Severity_Matrix!$B$3:$B$10,0),MATCH('Error Log'!$G913,Severity_Matrix!$C$2:$M$2,0)),"No errors"))</f>
        <v>Major</v>
      </c>
    </row>
    <row r="914" spans="1:10">
      <c r="A914" s="90" t="s">
        <v>1428</v>
      </c>
      <c r="B914" s="17">
        <v>6</v>
      </c>
      <c r="C914" s="73" t="s">
        <v>1342</v>
      </c>
      <c r="D914" s="73" t="s">
        <v>1343</v>
      </c>
      <c r="E914" s="79" t="s">
        <v>21</v>
      </c>
      <c r="F914" s="79" t="s">
        <v>7</v>
      </c>
      <c r="G914" s="79" t="s">
        <v>57</v>
      </c>
      <c r="H914" s="79" t="s">
        <v>1345</v>
      </c>
      <c r="I914" s="79"/>
      <c r="J914" s="14" t="str">
        <f>IF(E914="Invalid_Segment","Invalid",IFERROR(INDEX(Severity_Matrix!$C$3:$M$10,MATCH('Error Log'!$F914,Severity_Matrix!$B$3:$B$10,0),MATCH('Error Log'!$G914,Severity_Matrix!$C$2:$M$2,0)),"No errors"))</f>
        <v>Critical</v>
      </c>
    </row>
    <row r="915" spans="1:10">
      <c r="A915" s="90" t="s">
        <v>1429</v>
      </c>
      <c r="B915" s="17">
        <v>1</v>
      </c>
      <c r="C915" s="73" t="s">
        <v>1346</v>
      </c>
      <c r="D915" s="73" t="s">
        <v>1347</v>
      </c>
      <c r="E915" s="79" t="s">
        <v>21</v>
      </c>
      <c r="F915" s="79" t="s">
        <v>22</v>
      </c>
      <c r="G915" s="79" t="s">
        <v>57</v>
      </c>
      <c r="H915" s="79" t="s">
        <v>1348</v>
      </c>
      <c r="I915" s="79"/>
      <c r="J915" s="14" t="str">
        <f>IF(E915="Invalid_Segment","Invalid",IFERROR(INDEX(Severity_Matrix!$C$3:$M$10,MATCH('Error Log'!$F915,Severity_Matrix!$B$3:$B$10,0),MATCH('Error Log'!$G915,Severity_Matrix!$C$2:$M$2,0)),"No errors"))</f>
        <v>Major</v>
      </c>
    </row>
    <row r="916" spans="1:10">
      <c r="A916" s="90" t="s">
        <v>1429</v>
      </c>
      <c r="B916" s="17">
        <v>2</v>
      </c>
      <c r="C916" s="73" t="s">
        <v>1346</v>
      </c>
      <c r="D916" s="73" t="s">
        <v>1347</v>
      </c>
      <c r="E916" s="79" t="s">
        <v>21</v>
      </c>
      <c r="F916" s="79" t="s">
        <v>7</v>
      </c>
      <c r="G916" s="79" t="s">
        <v>57</v>
      </c>
      <c r="H916" s="79" t="s">
        <v>1349</v>
      </c>
      <c r="I916" s="79"/>
      <c r="J916" s="14" t="str">
        <f>IF(E916="Invalid_Segment","Invalid",IFERROR(INDEX(Severity_Matrix!$C$3:$M$10,MATCH('Error Log'!$F916,Severity_Matrix!$B$3:$B$10,0),MATCH('Error Log'!$G916,Severity_Matrix!$C$2:$M$2,0)),"No errors"))</f>
        <v>Critical</v>
      </c>
    </row>
    <row r="917" spans="1:10">
      <c r="A917" s="90" t="s">
        <v>1430</v>
      </c>
      <c r="B917" s="17">
        <v>1</v>
      </c>
      <c r="C917" s="73" t="s">
        <v>1350</v>
      </c>
      <c r="D917" s="73" t="s">
        <v>1351</v>
      </c>
      <c r="E917" s="79" t="s">
        <v>21</v>
      </c>
      <c r="F917" s="79" t="s">
        <v>22</v>
      </c>
      <c r="G917" s="79" t="s">
        <v>57</v>
      </c>
      <c r="H917" s="80" t="s">
        <v>1352</v>
      </c>
      <c r="I917" s="79"/>
      <c r="J917" s="14" t="str">
        <f>IF(E917="Invalid_Segment","Invalid",IFERROR(INDEX(Severity_Matrix!$C$3:$M$10,MATCH('Error Log'!$F917,Severity_Matrix!$B$3:$B$10,0),MATCH('Error Log'!$G917,Severity_Matrix!$C$2:$M$2,0)),"No errors"))</f>
        <v>Major</v>
      </c>
    </row>
    <row r="918" spans="1:10">
      <c r="A918" s="90" t="s">
        <v>1430</v>
      </c>
      <c r="B918" s="17">
        <v>2</v>
      </c>
      <c r="C918" s="73" t="s">
        <v>1350</v>
      </c>
      <c r="D918" s="73" t="s">
        <v>1351</v>
      </c>
      <c r="E918" s="79" t="s">
        <v>21</v>
      </c>
      <c r="F918" s="79" t="s">
        <v>22</v>
      </c>
      <c r="G918" s="79" t="s">
        <v>57</v>
      </c>
      <c r="H918" s="79" t="s">
        <v>1353</v>
      </c>
      <c r="I918" s="79"/>
      <c r="J918" s="14" t="str">
        <f>IF(E918="Invalid_Segment","Invalid",IFERROR(INDEX(Severity_Matrix!$C$3:$M$10,MATCH('Error Log'!$F918,Severity_Matrix!$B$3:$B$10,0),MATCH('Error Log'!$G918,Severity_Matrix!$C$2:$M$2,0)),"No errors"))</f>
        <v>Major</v>
      </c>
    </row>
    <row r="919" spans="1:10">
      <c r="A919" s="90" t="s">
        <v>1430</v>
      </c>
      <c r="B919" s="17">
        <v>3</v>
      </c>
      <c r="C919" s="73" t="s">
        <v>1350</v>
      </c>
      <c r="D919" s="73" t="s">
        <v>1351</v>
      </c>
      <c r="E919" s="79" t="s">
        <v>21</v>
      </c>
      <c r="F919" s="79" t="s">
        <v>7</v>
      </c>
      <c r="G919" s="79" t="s">
        <v>57</v>
      </c>
      <c r="H919" s="79" t="s">
        <v>1354</v>
      </c>
      <c r="I919" s="79"/>
      <c r="J919" s="14" t="str">
        <f>IF(E919="Invalid_Segment","Invalid",IFERROR(INDEX(Severity_Matrix!$C$3:$M$10,MATCH('Error Log'!$F919,Severity_Matrix!$B$3:$B$10,0),MATCH('Error Log'!$G919,Severity_Matrix!$C$2:$M$2,0)),"No errors"))</f>
        <v>Critical</v>
      </c>
    </row>
    <row r="920" spans="1:10">
      <c r="A920" s="90" t="s">
        <v>1430</v>
      </c>
      <c r="B920" s="17">
        <v>4</v>
      </c>
      <c r="C920" s="73" t="s">
        <v>1350</v>
      </c>
      <c r="D920" s="73" t="s">
        <v>1351</v>
      </c>
      <c r="E920" s="79" t="s">
        <v>21</v>
      </c>
      <c r="F920" s="79" t="s">
        <v>7</v>
      </c>
      <c r="G920" s="79" t="s">
        <v>57</v>
      </c>
      <c r="H920" s="79" t="s">
        <v>1355</v>
      </c>
      <c r="I920" s="79"/>
      <c r="J920" s="14" t="str">
        <f>IF(E920="Invalid_Segment","Invalid",IFERROR(INDEX(Severity_Matrix!$C$3:$M$10,MATCH('Error Log'!$F920,Severity_Matrix!$B$3:$B$10,0),MATCH('Error Log'!$G920,Severity_Matrix!$C$2:$M$2,0)),"No errors"))</f>
        <v>Critical</v>
      </c>
    </row>
    <row r="921" spans="1:10">
      <c r="A921" s="90" t="s">
        <v>1430</v>
      </c>
      <c r="B921" s="17">
        <v>5</v>
      </c>
      <c r="C921" s="73" t="s">
        <v>1350</v>
      </c>
      <c r="D921" s="73" t="s">
        <v>1351</v>
      </c>
      <c r="E921" s="79" t="s">
        <v>21</v>
      </c>
      <c r="F921" s="79" t="s">
        <v>7</v>
      </c>
      <c r="G921" s="79" t="s">
        <v>57</v>
      </c>
      <c r="H921" s="79" t="s">
        <v>1356</v>
      </c>
      <c r="I921" s="79"/>
      <c r="J921" s="14" t="str">
        <f>IF(E921="Invalid_Segment","Invalid",IFERROR(INDEX(Severity_Matrix!$C$3:$M$10,MATCH('Error Log'!$F921,Severity_Matrix!$B$3:$B$10,0),MATCH('Error Log'!$G921,Severity_Matrix!$C$2:$M$2,0)),"No errors"))</f>
        <v>Critical</v>
      </c>
    </row>
    <row r="922" spans="1:10">
      <c r="A922" s="90" t="s">
        <v>1431</v>
      </c>
      <c r="B922" s="17">
        <v>1</v>
      </c>
      <c r="C922" s="73" t="s">
        <v>1357</v>
      </c>
      <c r="D922" s="73" t="s">
        <v>1358</v>
      </c>
      <c r="E922" s="79" t="s">
        <v>2</v>
      </c>
      <c r="F922" s="79" t="s">
        <v>26</v>
      </c>
      <c r="G922" s="79" t="s">
        <v>57</v>
      </c>
      <c r="H922" s="79" t="s">
        <v>1359</v>
      </c>
      <c r="I922" s="79"/>
      <c r="J922" s="14" t="str">
        <f>IF(E922="Invalid_Segment","Invalid",IFERROR(INDEX(Severity_Matrix!$C$3:$M$10,MATCH('Error Log'!$F922,Severity_Matrix!$B$3:$B$10,0),MATCH('Error Log'!$G922,Severity_Matrix!$C$2:$M$2,0)),"No errors"))</f>
        <v>Major</v>
      </c>
    </row>
    <row r="923" spans="1:10">
      <c r="A923" s="90" t="s">
        <v>1431</v>
      </c>
      <c r="B923" s="17">
        <v>2</v>
      </c>
      <c r="C923" s="73" t="s">
        <v>1357</v>
      </c>
      <c r="D923" s="73" t="s">
        <v>1358</v>
      </c>
      <c r="E923" s="79" t="s">
        <v>21</v>
      </c>
      <c r="F923" s="79" t="s">
        <v>7</v>
      </c>
      <c r="G923" s="79" t="s">
        <v>57</v>
      </c>
      <c r="H923" s="79" t="s">
        <v>1360</v>
      </c>
      <c r="I923" s="79"/>
      <c r="J923" s="14" t="str">
        <f>IF(E923="Invalid_Segment","Invalid",IFERROR(INDEX(Severity_Matrix!$C$3:$M$10,MATCH('Error Log'!$F923,Severity_Matrix!$B$3:$B$10,0),MATCH('Error Log'!$G923,Severity_Matrix!$C$2:$M$2,0)),"No errors"))</f>
        <v>Critical</v>
      </c>
    </row>
    <row r="924" spans="1:10">
      <c r="A924" s="90" t="s">
        <v>1431</v>
      </c>
      <c r="B924" s="17">
        <v>3</v>
      </c>
      <c r="C924" s="73" t="s">
        <v>1357</v>
      </c>
      <c r="D924" s="73" t="s">
        <v>1358</v>
      </c>
      <c r="E924" s="79" t="s">
        <v>21</v>
      </c>
      <c r="F924" s="79" t="s">
        <v>7</v>
      </c>
      <c r="G924" s="79" t="s">
        <v>57</v>
      </c>
      <c r="H924" s="79" t="s">
        <v>1361</v>
      </c>
      <c r="I924" s="79"/>
      <c r="J924" s="14" t="str">
        <f>IF(E924="Invalid_Segment","Invalid",IFERROR(INDEX(Severity_Matrix!$C$3:$M$10,MATCH('Error Log'!$F924,Severity_Matrix!$B$3:$B$10,0),MATCH('Error Log'!$G924,Severity_Matrix!$C$2:$M$2,0)),"No errors"))</f>
        <v>Critical</v>
      </c>
    </row>
    <row r="925" spans="1:10">
      <c r="A925" s="90" t="s">
        <v>1432</v>
      </c>
      <c r="B925" s="17">
        <v>1</v>
      </c>
      <c r="C925" s="73" t="s">
        <v>1362</v>
      </c>
      <c r="D925" s="73" t="s">
        <v>1363</v>
      </c>
      <c r="E925" s="79" t="s">
        <v>21</v>
      </c>
      <c r="F925" s="79" t="s">
        <v>63</v>
      </c>
      <c r="G925" s="79" t="s">
        <v>27</v>
      </c>
      <c r="H925" s="79" t="s">
        <v>77</v>
      </c>
      <c r="I925" s="79"/>
      <c r="J925" s="14" t="str">
        <f>IF(E925="Invalid_Segment","Invalid",IFERROR(INDEX(Severity_Matrix!$C$3:$M$10,MATCH('Error Log'!$F925,Severity_Matrix!$B$3:$B$10,0),MATCH('Error Log'!$G925,Severity_Matrix!$C$2:$M$2,0)),"No errors"))</f>
        <v>Critical</v>
      </c>
    </row>
    <row r="926" spans="1:10">
      <c r="A926" s="90" t="s">
        <v>1432</v>
      </c>
      <c r="B926" s="17">
        <v>2</v>
      </c>
      <c r="C926" s="73" t="s">
        <v>1362</v>
      </c>
      <c r="D926" s="73" t="s">
        <v>1363</v>
      </c>
      <c r="E926" s="79" t="s">
        <v>21</v>
      </c>
      <c r="F926" s="79" t="s">
        <v>22</v>
      </c>
      <c r="G926" s="79" t="s">
        <v>57</v>
      </c>
      <c r="H926" s="79" t="s">
        <v>1364</v>
      </c>
      <c r="I926" s="79"/>
      <c r="J926" s="14" t="str">
        <f>IF(E926="Invalid_Segment","Invalid",IFERROR(INDEX(Severity_Matrix!$C$3:$M$10,MATCH('Error Log'!$F926,Severity_Matrix!$B$3:$B$10,0),MATCH('Error Log'!$G926,Severity_Matrix!$C$2:$M$2,0)),"No errors"))</f>
        <v>Major</v>
      </c>
    </row>
    <row r="927" spans="1:10">
      <c r="A927" s="90" t="s">
        <v>1432</v>
      </c>
      <c r="B927" s="17">
        <v>3</v>
      </c>
      <c r="C927" s="73" t="s">
        <v>1362</v>
      </c>
      <c r="D927" s="73" t="s">
        <v>1363</v>
      </c>
      <c r="E927" s="79" t="s">
        <v>21</v>
      </c>
      <c r="F927" s="79" t="s">
        <v>7</v>
      </c>
      <c r="G927" s="79" t="s">
        <v>57</v>
      </c>
      <c r="H927" s="79" t="s">
        <v>1365</v>
      </c>
      <c r="I927" s="79"/>
      <c r="J927" s="14" t="str">
        <f>IF(E927="Invalid_Segment","Invalid",IFERROR(INDEX(Severity_Matrix!$C$3:$M$10,MATCH('Error Log'!$F927,Severity_Matrix!$B$3:$B$10,0),MATCH('Error Log'!$G927,Severity_Matrix!$C$2:$M$2,0)),"No errors"))</f>
        <v>Critical</v>
      </c>
    </row>
    <row r="928" spans="1:10">
      <c r="A928" s="90" t="s">
        <v>1432</v>
      </c>
      <c r="B928" s="17">
        <v>4</v>
      </c>
      <c r="C928" s="73" t="s">
        <v>1362</v>
      </c>
      <c r="D928" s="73" t="s">
        <v>1363</v>
      </c>
      <c r="E928" s="79" t="s">
        <v>21</v>
      </c>
      <c r="F928" s="79" t="s">
        <v>7</v>
      </c>
      <c r="G928" s="79" t="s">
        <v>57</v>
      </c>
      <c r="H928" s="79" t="s">
        <v>1366</v>
      </c>
      <c r="I928" s="79"/>
      <c r="J928" s="14" t="str">
        <f>IF(E928="Invalid_Segment","Invalid",IFERROR(INDEX(Severity_Matrix!$C$3:$M$10,MATCH('Error Log'!$F928,Severity_Matrix!$B$3:$B$10,0),MATCH('Error Log'!$G928,Severity_Matrix!$C$2:$M$2,0)),"No errors"))</f>
        <v>Critical</v>
      </c>
    </row>
    <row r="929" spans="1:10">
      <c r="A929" s="90" t="s">
        <v>1433</v>
      </c>
      <c r="B929" s="17">
        <v>1</v>
      </c>
      <c r="C929" s="73" t="s">
        <v>1367</v>
      </c>
      <c r="D929" s="73" t="s">
        <v>1368</v>
      </c>
      <c r="E929" s="79" t="s">
        <v>2</v>
      </c>
      <c r="F929" s="79" t="s">
        <v>26</v>
      </c>
      <c r="G929" s="79" t="s">
        <v>57</v>
      </c>
      <c r="H929" s="79" t="s">
        <v>1369</v>
      </c>
      <c r="I929" s="79"/>
      <c r="J929" s="14" t="str">
        <f>IF(E929="Invalid_Segment","Invalid",IFERROR(INDEX(Severity_Matrix!$C$3:$M$10,MATCH('Error Log'!$F929,Severity_Matrix!$B$3:$B$10,0),MATCH('Error Log'!$G929,Severity_Matrix!$C$2:$M$2,0)),"No errors"))</f>
        <v>Major</v>
      </c>
    </row>
    <row r="930" spans="1:10">
      <c r="A930" s="90" t="s">
        <v>1433</v>
      </c>
      <c r="B930" s="17">
        <v>2</v>
      </c>
      <c r="C930" s="73" t="s">
        <v>1367</v>
      </c>
      <c r="D930" s="73" t="s">
        <v>1368</v>
      </c>
      <c r="E930" s="79" t="s">
        <v>21</v>
      </c>
      <c r="F930" s="79" t="s">
        <v>63</v>
      </c>
      <c r="G930" s="79" t="s">
        <v>27</v>
      </c>
      <c r="H930" s="79" t="s">
        <v>77</v>
      </c>
      <c r="I930" s="79"/>
      <c r="J930" s="14" t="str">
        <f>IF(E930="Invalid_Segment","Invalid",IFERROR(INDEX(Severity_Matrix!$C$3:$M$10,MATCH('Error Log'!$F930,Severity_Matrix!$B$3:$B$10,0),MATCH('Error Log'!$G930,Severity_Matrix!$C$2:$M$2,0)),"No errors"))</f>
        <v>Critical</v>
      </c>
    </row>
    <row r="931" spans="1:10">
      <c r="A931" s="90" t="s">
        <v>1433</v>
      </c>
      <c r="B931" s="17">
        <v>3</v>
      </c>
      <c r="C931" s="73" t="s">
        <v>1367</v>
      </c>
      <c r="D931" s="73" t="s">
        <v>1368</v>
      </c>
      <c r="E931" s="79" t="s">
        <v>21</v>
      </c>
      <c r="F931" s="79" t="s">
        <v>63</v>
      </c>
      <c r="G931" s="79" t="s">
        <v>27</v>
      </c>
      <c r="H931" s="79" t="s">
        <v>77</v>
      </c>
      <c r="I931" s="79"/>
      <c r="J931" s="14" t="str">
        <f>IF(E931="Invalid_Segment","Invalid",IFERROR(INDEX(Severity_Matrix!$C$3:$M$10,MATCH('Error Log'!$F931,Severity_Matrix!$B$3:$B$10,0),MATCH('Error Log'!$G931,Severity_Matrix!$C$2:$M$2,0)),"No errors"))</f>
        <v>Critical</v>
      </c>
    </row>
    <row r="932" spans="1:10">
      <c r="A932" s="90" t="s">
        <v>1433</v>
      </c>
      <c r="B932" s="17">
        <v>4</v>
      </c>
      <c r="C932" s="73" t="s">
        <v>1367</v>
      </c>
      <c r="D932" s="73" t="s">
        <v>1368</v>
      </c>
      <c r="E932" s="79" t="s">
        <v>21</v>
      </c>
      <c r="F932" s="79" t="s">
        <v>7</v>
      </c>
      <c r="G932" s="79" t="s">
        <v>57</v>
      </c>
      <c r="H932" s="79" t="s">
        <v>1370</v>
      </c>
      <c r="I932" s="79"/>
      <c r="J932" s="14" t="str">
        <f>IF(E932="Invalid_Segment","Invalid",IFERROR(INDEX(Severity_Matrix!$C$3:$M$10,MATCH('Error Log'!$F932,Severity_Matrix!$B$3:$B$10,0),MATCH('Error Log'!$G932,Severity_Matrix!$C$2:$M$2,0)),"No errors"))</f>
        <v>Critical</v>
      </c>
    </row>
    <row r="933" spans="1:10">
      <c r="A933" s="90" t="s">
        <v>1433</v>
      </c>
      <c r="B933" s="17">
        <v>5</v>
      </c>
      <c r="C933" s="73" t="s">
        <v>1367</v>
      </c>
      <c r="D933" s="73" t="s">
        <v>1368</v>
      </c>
      <c r="E933" s="79" t="s">
        <v>21</v>
      </c>
      <c r="F933" s="79" t="s">
        <v>7</v>
      </c>
      <c r="G933" s="79" t="s">
        <v>57</v>
      </c>
      <c r="H933" s="79" t="s">
        <v>1371</v>
      </c>
      <c r="I933" s="79"/>
      <c r="J933" s="14" t="str">
        <f>IF(E933="Invalid_Segment","Invalid",IFERROR(INDEX(Severity_Matrix!$C$3:$M$10,MATCH('Error Log'!$F933,Severity_Matrix!$B$3:$B$10,0),MATCH('Error Log'!$G933,Severity_Matrix!$C$2:$M$2,0)),"No errors"))</f>
        <v>Critical</v>
      </c>
    </row>
    <row r="934" spans="1:10">
      <c r="A934" s="90" t="s">
        <v>1434</v>
      </c>
      <c r="B934" s="17">
        <v>1</v>
      </c>
      <c r="C934" s="73" t="s">
        <v>1372</v>
      </c>
      <c r="D934" s="83" t="s">
        <v>1373</v>
      </c>
      <c r="E934" s="79" t="s">
        <v>21</v>
      </c>
      <c r="F934" s="79" t="s">
        <v>22</v>
      </c>
      <c r="G934" s="79" t="s">
        <v>57</v>
      </c>
      <c r="H934" s="79" t="s">
        <v>1374</v>
      </c>
      <c r="I934" s="79"/>
      <c r="J934" s="14" t="str">
        <f>IF(E934="Invalid_Segment","Invalid",IFERROR(INDEX(Severity_Matrix!$C$3:$M$10,MATCH('Error Log'!$F934,Severity_Matrix!$B$3:$B$10,0),MATCH('Error Log'!$G934,Severity_Matrix!$C$2:$M$2,0)),"No errors"))</f>
        <v>Major</v>
      </c>
    </row>
    <row r="935" spans="1:10">
      <c r="A935" s="90" t="s">
        <v>1434</v>
      </c>
      <c r="B935" s="17">
        <v>2</v>
      </c>
      <c r="C935" s="73" t="s">
        <v>1372</v>
      </c>
      <c r="D935" s="83" t="s">
        <v>1373</v>
      </c>
      <c r="E935" s="79" t="s">
        <v>21</v>
      </c>
      <c r="F935" s="79" t="s">
        <v>22</v>
      </c>
      <c r="G935" s="79" t="s">
        <v>57</v>
      </c>
      <c r="H935" s="79" t="s">
        <v>1375</v>
      </c>
      <c r="I935" s="79"/>
      <c r="J935" s="14" t="str">
        <f>IF(E935="Invalid_Segment","Invalid",IFERROR(INDEX(Severity_Matrix!$C$3:$M$10,MATCH('Error Log'!$F935,Severity_Matrix!$B$3:$B$10,0),MATCH('Error Log'!$G935,Severity_Matrix!$C$2:$M$2,0)),"No errors"))</f>
        <v>Major</v>
      </c>
    </row>
    <row r="936" spans="1:10">
      <c r="A936" s="90" t="s">
        <v>1434</v>
      </c>
      <c r="B936" s="17">
        <v>3</v>
      </c>
      <c r="C936" s="73" t="s">
        <v>1372</v>
      </c>
      <c r="D936" s="83" t="s">
        <v>1373</v>
      </c>
      <c r="E936" s="79" t="s">
        <v>21</v>
      </c>
      <c r="F936" s="79" t="s">
        <v>7</v>
      </c>
      <c r="G936" s="79" t="s">
        <v>57</v>
      </c>
      <c r="H936" s="79" t="s">
        <v>1376</v>
      </c>
      <c r="I936" s="79"/>
      <c r="J936" s="14" t="str">
        <f>IF(E936="Invalid_Segment","Invalid",IFERROR(INDEX(Severity_Matrix!$C$3:$M$10,MATCH('Error Log'!$F936,Severity_Matrix!$B$3:$B$10,0),MATCH('Error Log'!$G936,Severity_Matrix!$C$2:$M$2,0)),"No errors"))</f>
        <v>Critical</v>
      </c>
    </row>
    <row r="937" spans="1:10">
      <c r="A937" s="90" t="s">
        <v>1434</v>
      </c>
      <c r="B937" s="17">
        <v>4</v>
      </c>
      <c r="C937" s="73" t="s">
        <v>1372</v>
      </c>
      <c r="D937" s="83" t="s">
        <v>1373</v>
      </c>
      <c r="E937" s="79" t="s">
        <v>21</v>
      </c>
      <c r="F937" s="79" t="s">
        <v>7</v>
      </c>
      <c r="G937" s="79" t="s">
        <v>57</v>
      </c>
      <c r="H937" s="79" t="s">
        <v>1377</v>
      </c>
      <c r="I937" s="79"/>
      <c r="J937" s="14" t="str">
        <f>IF(E937="Invalid_Segment","Invalid",IFERROR(INDEX(Severity_Matrix!$C$3:$M$10,MATCH('Error Log'!$F937,Severity_Matrix!$B$3:$B$10,0),MATCH('Error Log'!$G937,Severity_Matrix!$C$2:$M$2,0)),"No errors"))</f>
        <v>Critical</v>
      </c>
    </row>
    <row r="938" spans="1:10">
      <c r="A938" s="90" t="s">
        <v>1435</v>
      </c>
      <c r="B938" s="17">
        <v>1</v>
      </c>
      <c r="C938" s="83" t="s">
        <v>1378</v>
      </c>
      <c r="D938" s="83" t="s">
        <v>1379</v>
      </c>
      <c r="E938" s="79" t="s">
        <v>21</v>
      </c>
      <c r="F938" s="79" t="s">
        <v>63</v>
      </c>
      <c r="G938" s="79" t="s">
        <v>27</v>
      </c>
      <c r="H938" s="82" t="s">
        <v>149</v>
      </c>
      <c r="I938" s="79"/>
      <c r="J938" s="14" t="str">
        <f>IF(E938="Invalid_Segment","Invalid",IFERROR(INDEX(Severity_Matrix!$C$3:$M$10,MATCH('Error Log'!$F938,Severity_Matrix!$B$3:$B$10,0),MATCH('Error Log'!$G938,Severity_Matrix!$C$2:$M$2,0)),"No errors"))</f>
        <v>Critical</v>
      </c>
    </row>
    <row r="939" spans="1:10">
      <c r="A939" s="90" t="s">
        <v>1435</v>
      </c>
      <c r="B939" s="17">
        <v>2</v>
      </c>
      <c r="C939" s="83" t="s">
        <v>1378</v>
      </c>
      <c r="D939" s="83" t="s">
        <v>1379</v>
      </c>
      <c r="E939" s="79" t="s">
        <v>21</v>
      </c>
      <c r="F939" s="79" t="s">
        <v>63</v>
      </c>
      <c r="G939" s="79" t="s">
        <v>28</v>
      </c>
      <c r="H939" s="79">
        <v>84</v>
      </c>
      <c r="I939" s="79"/>
      <c r="J939" s="14" t="str">
        <f>IF(E939="Invalid_Segment","Invalid",IFERROR(INDEX(Severity_Matrix!$C$3:$M$10,MATCH('Error Log'!$F939,Severity_Matrix!$B$3:$B$10,0),MATCH('Error Log'!$G939,Severity_Matrix!$C$2:$M$2,0)),"No errors"))</f>
        <v>Major</v>
      </c>
    </row>
    <row r="940" spans="1:10">
      <c r="A940" s="90" t="s">
        <v>1435</v>
      </c>
      <c r="B940" s="17">
        <v>3</v>
      </c>
      <c r="C940" s="83" t="s">
        <v>1378</v>
      </c>
      <c r="D940" s="83" t="s">
        <v>1379</v>
      </c>
      <c r="E940" s="79" t="s">
        <v>21</v>
      </c>
      <c r="F940" s="79" t="s">
        <v>22</v>
      </c>
      <c r="G940" s="79" t="s">
        <v>57</v>
      </c>
      <c r="H940" s="79" t="s">
        <v>1380</v>
      </c>
      <c r="I940" s="79"/>
      <c r="J940" s="14" t="str">
        <f>IF(E940="Invalid_Segment","Invalid",IFERROR(INDEX(Severity_Matrix!$C$3:$M$10,MATCH('Error Log'!$F940,Severity_Matrix!$B$3:$B$10,0),MATCH('Error Log'!$G940,Severity_Matrix!$C$2:$M$2,0)),"No errors"))</f>
        <v>Major</v>
      </c>
    </row>
    <row r="941" spans="1:10">
      <c r="A941" s="90" t="s">
        <v>1435</v>
      </c>
      <c r="B941" s="17">
        <v>4</v>
      </c>
      <c r="C941" s="83" t="s">
        <v>1378</v>
      </c>
      <c r="D941" s="83" t="s">
        <v>1379</v>
      </c>
      <c r="E941" s="79" t="s">
        <v>2</v>
      </c>
      <c r="F941" s="79" t="s">
        <v>26</v>
      </c>
      <c r="G941" s="79" t="s">
        <v>57</v>
      </c>
      <c r="H941" s="79" t="s">
        <v>1381</v>
      </c>
      <c r="I941" s="79"/>
      <c r="J941" s="14" t="str">
        <f>IF(E941="Invalid_Segment","Invalid",IFERROR(INDEX(Severity_Matrix!$C$3:$M$10,MATCH('Error Log'!$F941,Severity_Matrix!$B$3:$B$10,0),MATCH('Error Log'!$G941,Severity_Matrix!$C$2:$M$2,0)),"No errors"))</f>
        <v>Major</v>
      </c>
    </row>
    <row r="942" spans="1:10">
      <c r="A942" s="90" t="s">
        <v>1435</v>
      </c>
      <c r="B942" s="17">
        <v>5</v>
      </c>
      <c r="C942" s="83" t="s">
        <v>1378</v>
      </c>
      <c r="D942" s="83" t="s">
        <v>1379</v>
      </c>
      <c r="E942" s="79" t="s">
        <v>21</v>
      </c>
      <c r="F942" s="79" t="s">
        <v>22</v>
      </c>
      <c r="G942" s="79" t="s">
        <v>57</v>
      </c>
      <c r="H942" s="89" t="s">
        <v>1382</v>
      </c>
      <c r="I942" s="79"/>
      <c r="J942" s="14" t="str">
        <f>IF(E942="Invalid_Segment","Invalid",IFERROR(INDEX(Severity_Matrix!$C$3:$M$10,MATCH('Error Log'!$F942,Severity_Matrix!$B$3:$B$10,0),MATCH('Error Log'!$G942,Severity_Matrix!$C$2:$M$2,0)),"No errors"))</f>
        <v>Major</v>
      </c>
    </row>
    <row r="943" spans="1:10">
      <c r="A943" s="90" t="s">
        <v>1435</v>
      </c>
      <c r="B943" s="17">
        <v>6</v>
      </c>
      <c r="C943" s="83" t="s">
        <v>1378</v>
      </c>
      <c r="D943" s="83" t="s">
        <v>1379</v>
      </c>
      <c r="E943" s="79" t="s">
        <v>21</v>
      </c>
      <c r="F943" s="79" t="s">
        <v>7</v>
      </c>
      <c r="G943" s="79" t="s">
        <v>57</v>
      </c>
      <c r="H943" s="79" t="s">
        <v>1383</v>
      </c>
      <c r="I943" s="79"/>
      <c r="J943" s="14" t="str">
        <f>IF(E943="Invalid_Segment","Invalid",IFERROR(INDEX(Severity_Matrix!$C$3:$M$10,MATCH('Error Log'!$F943,Severity_Matrix!$B$3:$B$10,0),MATCH('Error Log'!$G943,Severity_Matrix!$C$2:$M$2,0)),"No errors"))</f>
        <v>Critical</v>
      </c>
    </row>
    <row r="944" spans="1:10">
      <c r="A944" s="90" t="s">
        <v>1435</v>
      </c>
      <c r="B944" s="17">
        <v>7</v>
      </c>
      <c r="C944" s="83" t="s">
        <v>1378</v>
      </c>
      <c r="D944" s="83" t="s">
        <v>1379</v>
      </c>
      <c r="E944" s="79" t="s">
        <v>21</v>
      </c>
      <c r="F944" s="79" t="s">
        <v>7</v>
      </c>
      <c r="G944" s="79" t="s">
        <v>57</v>
      </c>
      <c r="H944" s="79" t="s">
        <v>1384</v>
      </c>
      <c r="I944" s="79"/>
      <c r="J944" s="14" t="str">
        <f>IF(E944="Invalid_Segment","Invalid",IFERROR(INDEX(Severity_Matrix!$C$3:$M$10,MATCH('Error Log'!$F944,Severity_Matrix!$B$3:$B$10,0),MATCH('Error Log'!$G944,Severity_Matrix!$C$2:$M$2,0)),"No errors"))</f>
        <v>Critical</v>
      </c>
    </row>
    <row r="945" spans="1:11">
      <c r="A945" s="90" t="s">
        <v>1435</v>
      </c>
      <c r="B945" s="17">
        <v>8</v>
      </c>
      <c r="C945" s="83" t="s">
        <v>1378</v>
      </c>
      <c r="D945" s="83" t="s">
        <v>1379</v>
      </c>
      <c r="E945" s="79" t="s">
        <v>21</v>
      </c>
      <c r="F945" s="79" t="s">
        <v>7</v>
      </c>
      <c r="G945" s="79" t="s">
        <v>57</v>
      </c>
      <c r="H945" s="79" t="s">
        <v>1385</v>
      </c>
      <c r="I945" s="79"/>
      <c r="J945" s="14" t="str">
        <f>IF(E945="Invalid_Segment","Invalid",IFERROR(INDEX(Severity_Matrix!$C$3:$M$10,MATCH('Error Log'!$F945,Severity_Matrix!$B$3:$B$10,0),MATCH('Error Log'!$G945,Severity_Matrix!$C$2:$M$2,0)),"No errors"))</f>
        <v>Critical</v>
      </c>
    </row>
    <row r="946" spans="1:11">
      <c r="A946" s="90" t="s">
        <v>1435</v>
      </c>
      <c r="B946" s="17">
        <v>9</v>
      </c>
      <c r="C946" s="83" t="s">
        <v>1378</v>
      </c>
      <c r="D946" s="83" t="s">
        <v>1379</v>
      </c>
      <c r="E946" s="79" t="s">
        <v>21</v>
      </c>
      <c r="F946" s="79" t="s">
        <v>7</v>
      </c>
      <c r="G946" s="79" t="s">
        <v>57</v>
      </c>
      <c r="H946" s="89" t="s">
        <v>1386</v>
      </c>
      <c r="I946" s="79"/>
      <c r="J946" s="14" t="str">
        <f>IF(E946="Invalid_Segment","Invalid",IFERROR(INDEX(Severity_Matrix!$C$3:$M$10,MATCH('Error Log'!$F946,Severity_Matrix!$B$3:$B$10,0),MATCH('Error Log'!$G946,Severity_Matrix!$C$2:$M$2,0)),"No errors"))</f>
        <v>Critical</v>
      </c>
    </row>
    <row r="947" spans="1:11">
      <c r="A947" s="74" t="s">
        <v>1436</v>
      </c>
      <c r="B947" s="17">
        <v>1</v>
      </c>
      <c r="C947" s="73" t="s">
        <v>1437</v>
      </c>
      <c r="D947" s="73" t="s">
        <v>1438</v>
      </c>
      <c r="E947" s="79" t="s">
        <v>21</v>
      </c>
      <c r="F947" s="79" t="s">
        <v>63</v>
      </c>
      <c r="G947" s="79" t="s">
        <v>29</v>
      </c>
      <c r="H947" s="79" t="s">
        <v>463</v>
      </c>
      <c r="I947" s="79"/>
      <c r="J947" s="14" t="str">
        <f>IF(E947="Invalid_Segment","Invalid",IFERROR(INDEX(Severity_Matrix!$C$3:$M$10,MATCH('Error Log'!$F947,Severity_Matrix!$B$3:$B$10,0),MATCH('Error Log'!$G947,Severity_Matrix!$C$2:$M$2,0)),"No errors"))</f>
        <v>Critical</v>
      </c>
      <c r="K947" s="73"/>
    </row>
    <row r="948" spans="1:11">
      <c r="A948" s="74" t="s">
        <v>1436</v>
      </c>
      <c r="B948" s="17">
        <v>2</v>
      </c>
      <c r="C948" s="73" t="s">
        <v>1437</v>
      </c>
      <c r="D948" s="73" t="s">
        <v>1438</v>
      </c>
      <c r="E948" s="79" t="s">
        <v>21</v>
      </c>
      <c r="F948" s="79" t="s">
        <v>22</v>
      </c>
      <c r="G948" s="79" t="s">
        <v>57</v>
      </c>
      <c r="H948" s="79" t="s">
        <v>1439</v>
      </c>
      <c r="I948" s="79"/>
      <c r="J948" s="14" t="str">
        <f>IF(E948="Invalid_Segment","Invalid",IFERROR(INDEX(Severity_Matrix!$C$3:$M$10,MATCH('Error Log'!$F948,Severity_Matrix!$B$3:$B$10,0),MATCH('Error Log'!$G948,Severity_Matrix!$C$2:$M$2,0)),"No errors"))</f>
        <v>Major</v>
      </c>
      <c r="K948" s="73"/>
    </row>
    <row r="949" spans="1:11">
      <c r="A949" s="74" t="s">
        <v>1436</v>
      </c>
      <c r="B949" s="17">
        <v>3</v>
      </c>
      <c r="C949" s="73" t="s">
        <v>1437</v>
      </c>
      <c r="D949" s="73" t="s">
        <v>1438</v>
      </c>
      <c r="E949" s="79" t="s">
        <v>21</v>
      </c>
      <c r="F949" s="79" t="s">
        <v>22</v>
      </c>
      <c r="G949" s="79" t="s">
        <v>57</v>
      </c>
      <c r="H949" s="79" t="s">
        <v>1440</v>
      </c>
      <c r="I949" s="79"/>
      <c r="J949" s="14" t="str">
        <f>IF(E949="Invalid_Segment","Invalid",IFERROR(INDEX(Severity_Matrix!$C$3:$M$10,MATCH('Error Log'!$F949,Severity_Matrix!$B$3:$B$10,0),MATCH('Error Log'!$G949,Severity_Matrix!$C$2:$M$2,0)),"No errors"))</f>
        <v>Major</v>
      </c>
      <c r="K949" s="73"/>
    </row>
    <row r="950" spans="1:11">
      <c r="A950" s="74" t="s">
        <v>1436</v>
      </c>
      <c r="B950" s="17">
        <v>4</v>
      </c>
      <c r="C950" s="73" t="s">
        <v>1437</v>
      </c>
      <c r="D950" s="73" t="s">
        <v>1438</v>
      </c>
      <c r="E950" s="79" t="s">
        <v>21</v>
      </c>
      <c r="F950" s="79" t="s">
        <v>7</v>
      </c>
      <c r="G950" s="79" t="s">
        <v>57</v>
      </c>
      <c r="H950" s="79" t="s">
        <v>1441</v>
      </c>
      <c r="I950" s="79"/>
      <c r="J950" s="14" t="str">
        <f>IF(E950="Invalid_Segment","Invalid",IFERROR(INDEX(Severity_Matrix!$C$3:$M$10,MATCH('Error Log'!$F950,Severity_Matrix!$B$3:$B$10,0),MATCH('Error Log'!$G950,Severity_Matrix!$C$2:$M$2,0)),"No errors"))</f>
        <v>Critical</v>
      </c>
      <c r="K950" s="73"/>
    </row>
    <row r="951" spans="1:11">
      <c r="A951" s="74" t="s">
        <v>1436</v>
      </c>
      <c r="B951" s="17">
        <v>5</v>
      </c>
      <c r="C951" s="73" t="s">
        <v>1437</v>
      </c>
      <c r="D951" s="73" t="s">
        <v>1438</v>
      </c>
      <c r="E951" s="79" t="s">
        <v>21</v>
      </c>
      <c r="F951" s="79" t="s">
        <v>7</v>
      </c>
      <c r="G951" s="79" t="s">
        <v>57</v>
      </c>
      <c r="H951" s="79" t="s">
        <v>1442</v>
      </c>
      <c r="I951" s="79"/>
      <c r="J951" s="14" t="str">
        <f>IF(E951="Invalid_Segment","Invalid",IFERROR(INDEX(Severity_Matrix!$C$3:$M$10,MATCH('Error Log'!$F951,Severity_Matrix!$B$3:$B$10,0),MATCH('Error Log'!$G951,Severity_Matrix!$C$2:$M$2,0)),"No errors"))</f>
        <v>Critical</v>
      </c>
      <c r="K951" s="73"/>
    </row>
    <row r="952" spans="1:11">
      <c r="A952" s="74" t="s">
        <v>1436</v>
      </c>
      <c r="B952" s="17">
        <v>6</v>
      </c>
      <c r="C952" s="73" t="s">
        <v>1437</v>
      </c>
      <c r="D952" s="73" t="s">
        <v>1438</v>
      </c>
      <c r="E952" s="79" t="s">
        <v>21</v>
      </c>
      <c r="F952" s="79" t="s">
        <v>7</v>
      </c>
      <c r="G952" s="79" t="s">
        <v>57</v>
      </c>
      <c r="H952" s="79" t="s">
        <v>1443</v>
      </c>
      <c r="I952" s="79"/>
      <c r="J952" s="14" t="str">
        <f>IF(E952="Invalid_Segment","Invalid",IFERROR(INDEX(Severity_Matrix!$C$3:$M$10,MATCH('Error Log'!$F952,Severity_Matrix!$B$3:$B$10,0),MATCH('Error Log'!$G952,Severity_Matrix!$C$2:$M$2,0)),"No errors"))</f>
        <v>Critical</v>
      </c>
      <c r="K952" s="73"/>
    </row>
    <row r="953" spans="1:11" ht="15.6">
      <c r="A953" s="107" t="s">
        <v>1444</v>
      </c>
      <c r="B953" s="17">
        <v>1</v>
      </c>
      <c r="C953" s="73" t="s">
        <v>1445</v>
      </c>
      <c r="D953" s="73" t="s">
        <v>1446</v>
      </c>
      <c r="E953" s="79" t="s">
        <v>21</v>
      </c>
      <c r="F953" s="79" t="s">
        <v>22</v>
      </c>
      <c r="G953" s="79" t="s">
        <v>57</v>
      </c>
      <c r="H953" s="79" t="s">
        <v>1447</v>
      </c>
      <c r="I953" s="79"/>
      <c r="J953" s="14" t="str">
        <f>IF(E953="Invalid_Segment","Invalid",IFERROR(INDEX(Severity_Matrix!$C$3:$M$10,MATCH('Error Log'!$F953,Severity_Matrix!$B$3:$B$10,0),MATCH('Error Log'!$G953,Severity_Matrix!$C$2:$M$2,0)),"No errors"))</f>
        <v>Major</v>
      </c>
      <c r="K953" s="73"/>
    </row>
    <row r="954" spans="1:11" ht="15.6">
      <c r="A954" s="107" t="s">
        <v>1444</v>
      </c>
      <c r="B954" s="17">
        <v>2</v>
      </c>
      <c r="C954" s="73" t="s">
        <v>1445</v>
      </c>
      <c r="D954" s="73" t="s">
        <v>1446</v>
      </c>
      <c r="E954" s="79" t="s">
        <v>2</v>
      </c>
      <c r="F954" s="79" t="s">
        <v>26</v>
      </c>
      <c r="G954" s="79" t="s">
        <v>57</v>
      </c>
      <c r="H954" s="79" t="s">
        <v>1448</v>
      </c>
      <c r="I954" s="79"/>
      <c r="J954" s="14" t="str">
        <f>IF(E954="Invalid_Segment","Invalid",IFERROR(INDEX(Severity_Matrix!$C$3:$M$10,MATCH('Error Log'!$F954,Severity_Matrix!$B$3:$B$10,0),MATCH('Error Log'!$G954,Severity_Matrix!$C$2:$M$2,0)),"No errors"))</f>
        <v>Major</v>
      </c>
      <c r="K954" s="73"/>
    </row>
    <row r="955" spans="1:11" ht="15.6">
      <c r="A955" s="107" t="s">
        <v>1444</v>
      </c>
      <c r="B955" s="17">
        <v>3</v>
      </c>
      <c r="C955" s="73" t="s">
        <v>1445</v>
      </c>
      <c r="D955" s="73" t="s">
        <v>1446</v>
      </c>
      <c r="E955" s="79" t="s">
        <v>21</v>
      </c>
      <c r="F955" s="79" t="s">
        <v>22</v>
      </c>
      <c r="G955" s="79" t="s">
        <v>57</v>
      </c>
      <c r="H955" s="79" t="s">
        <v>1449</v>
      </c>
      <c r="I955" s="79"/>
      <c r="J955" s="14" t="str">
        <f>IF(E955="Invalid_Segment","Invalid",IFERROR(INDEX(Severity_Matrix!$C$3:$M$10,MATCH('Error Log'!$F955,Severity_Matrix!$B$3:$B$10,0),MATCH('Error Log'!$G955,Severity_Matrix!$C$2:$M$2,0)),"No errors"))</f>
        <v>Major</v>
      </c>
      <c r="K955" s="73"/>
    </row>
    <row r="956" spans="1:11" ht="15.6">
      <c r="A956" s="107" t="s">
        <v>1444</v>
      </c>
      <c r="B956" s="17">
        <v>4</v>
      </c>
      <c r="C956" s="73" t="s">
        <v>1445</v>
      </c>
      <c r="D956" s="73" t="s">
        <v>1446</v>
      </c>
      <c r="E956" s="79" t="s">
        <v>21</v>
      </c>
      <c r="F956" s="79" t="s">
        <v>7</v>
      </c>
      <c r="G956" s="79" t="s">
        <v>57</v>
      </c>
      <c r="H956" s="79" t="s">
        <v>1450</v>
      </c>
      <c r="I956" s="79"/>
      <c r="J956" s="14" t="str">
        <f>IF(E956="Invalid_Segment","Invalid",IFERROR(INDEX(Severity_Matrix!$C$3:$M$10,MATCH('Error Log'!$F956,Severity_Matrix!$B$3:$B$10,0),MATCH('Error Log'!$G956,Severity_Matrix!$C$2:$M$2,0)),"No errors"))</f>
        <v>Critical</v>
      </c>
      <c r="K956" s="73"/>
    </row>
    <row r="957" spans="1:11" ht="15.6">
      <c r="A957" s="107" t="s">
        <v>1444</v>
      </c>
      <c r="B957" s="17">
        <v>5</v>
      </c>
      <c r="C957" s="73" t="s">
        <v>1445</v>
      </c>
      <c r="D957" s="73" t="s">
        <v>1446</v>
      </c>
      <c r="E957" s="79" t="s">
        <v>21</v>
      </c>
      <c r="F957" s="79" t="s">
        <v>7</v>
      </c>
      <c r="G957" s="79" t="s">
        <v>57</v>
      </c>
      <c r="H957" s="79" t="s">
        <v>1451</v>
      </c>
      <c r="I957" s="79"/>
      <c r="J957" s="14" t="str">
        <f>IF(E957="Invalid_Segment","Invalid",IFERROR(INDEX(Severity_Matrix!$C$3:$M$10,MATCH('Error Log'!$F957,Severity_Matrix!$B$3:$B$10,0),MATCH('Error Log'!$G957,Severity_Matrix!$C$2:$M$2,0)),"No errors"))</f>
        <v>Critical</v>
      </c>
      <c r="K957" s="73"/>
    </row>
    <row r="958" spans="1:11" ht="15.6">
      <c r="A958" s="107" t="s">
        <v>1444</v>
      </c>
      <c r="B958" s="17">
        <v>6</v>
      </c>
      <c r="C958" s="73" t="s">
        <v>1445</v>
      </c>
      <c r="D958" s="73" t="s">
        <v>1446</v>
      </c>
      <c r="E958" s="79" t="s">
        <v>21</v>
      </c>
      <c r="F958" s="79" t="s">
        <v>7</v>
      </c>
      <c r="G958" s="79" t="s">
        <v>57</v>
      </c>
      <c r="H958" s="79" t="s">
        <v>1452</v>
      </c>
      <c r="I958" s="79"/>
      <c r="J958" s="14" t="str">
        <f>IF(E958="Invalid_Segment","Invalid",IFERROR(INDEX(Severity_Matrix!$C$3:$M$10,MATCH('Error Log'!$F958,Severity_Matrix!$B$3:$B$10,0),MATCH('Error Log'!$G958,Severity_Matrix!$C$2:$M$2,0)),"No errors"))</f>
        <v>Critical</v>
      </c>
      <c r="K958" s="73"/>
    </row>
    <row r="959" spans="1:11">
      <c r="A959" s="92" t="s">
        <v>1453</v>
      </c>
      <c r="B959" s="17">
        <v>1</v>
      </c>
      <c r="C959" s="73" t="s">
        <v>1454</v>
      </c>
      <c r="D959" s="73" t="s">
        <v>1455</v>
      </c>
      <c r="E959" s="79" t="s">
        <v>21</v>
      </c>
      <c r="F959" s="79" t="s">
        <v>63</v>
      </c>
      <c r="G959" s="79" t="s">
        <v>27</v>
      </c>
      <c r="H959" s="79" t="s">
        <v>1338</v>
      </c>
      <c r="I959" s="79"/>
      <c r="J959" s="14" t="str">
        <f>IF(E959="Invalid_Segment","Invalid",IFERROR(INDEX(Severity_Matrix!$C$3:$M$10,MATCH('Error Log'!$F959,Severity_Matrix!$B$3:$B$10,0),MATCH('Error Log'!$G959,Severity_Matrix!$C$2:$M$2,0)),"No errors"))</f>
        <v>Critical</v>
      </c>
      <c r="K959" s="73"/>
    </row>
    <row r="960" spans="1:11">
      <c r="A960" s="92" t="s">
        <v>1453</v>
      </c>
      <c r="B960" s="17">
        <v>2</v>
      </c>
      <c r="C960" s="73" t="s">
        <v>1454</v>
      </c>
      <c r="D960" s="73" t="s">
        <v>1455</v>
      </c>
      <c r="E960" s="79" t="s">
        <v>21</v>
      </c>
      <c r="F960" s="79" t="s">
        <v>63</v>
      </c>
      <c r="G960" s="79" t="s">
        <v>27</v>
      </c>
      <c r="H960" s="79" t="s">
        <v>1338</v>
      </c>
      <c r="I960" s="79"/>
      <c r="J960" s="14" t="str">
        <f>IF(E960="Invalid_Segment","Invalid",IFERROR(INDEX(Severity_Matrix!$C$3:$M$10,MATCH('Error Log'!$F960,Severity_Matrix!$B$3:$B$10,0),MATCH('Error Log'!$G960,Severity_Matrix!$C$2:$M$2,0)),"No errors"))</f>
        <v>Critical</v>
      </c>
      <c r="K960" s="73"/>
    </row>
    <row r="961" spans="1:11">
      <c r="A961" s="92" t="s">
        <v>1453</v>
      </c>
      <c r="B961" s="17">
        <v>3</v>
      </c>
      <c r="C961" s="73" t="s">
        <v>1454</v>
      </c>
      <c r="D961" s="73" t="s">
        <v>1455</v>
      </c>
      <c r="E961" s="79" t="s">
        <v>21</v>
      </c>
      <c r="F961" s="79" t="s">
        <v>7</v>
      </c>
      <c r="G961" s="79" t="s">
        <v>57</v>
      </c>
      <c r="H961" s="79" t="s">
        <v>1456</v>
      </c>
      <c r="I961" s="79"/>
      <c r="J961" s="14" t="str">
        <f>IF(E961="Invalid_Segment","Invalid",IFERROR(INDEX(Severity_Matrix!$C$3:$M$10,MATCH('Error Log'!$F961,Severity_Matrix!$B$3:$B$10,0),MATCH('Error Log'!$G961,Severity_Matrix!$C$2:$M$2,0)),"No errors"))</f>
        <v>Critical</v>
      </c>
      <c r="K961" s="73"/>
    </row>
    <row r="962" spans="1:11">
      <c r="A962" s="92" t="s">
        <v>1457</v>
      </c>
      <c r="B962" s="17">
        <v>1</v>
      </c>
      <c r="C962" s="83" t="s">
        <v>1458</v>
      </c>
      <c r="D962" s="73" t="s">
        <v>1459</v>
      </c>
      <c r="E962" s="79" t="s">
        <v>21</v>
      </c>
      <c r="F962" s="79" t="s">
        <v>63</v>
      </c>
      <c r="G962" s="79" t="s">
        <v>28</v>
      </c>
      <c r="H962" s="79" t="s">
        <v>77</v>
      </c>
      <c r="I962" s="79"/>
      <c r="J962" s="14" t="str">
        <f>IF(E962="Invalid_Segment","Invalid",IFERROR(INDEX(Severity_Matrix!$C$3:$M$10,MATCH('Error Log'!$F962,Severity_Matrix!$B$3:$B$10,0),MATCH('Error Log'!$G962,Severity_Matrix!$C$2:$M$2,0)),"No errors"))</f>
        <v>Major</v>
      </c>
      <c r="K962" s="73"/>
    </row>
    <row r="963" spans="1:11">
      <c r="A963" s="92" t="s">
        <v>1457</v>
      </c>
      <c r="B963" s="17">
        <v>2</v>
      </c>
      <c r="C963" s="83" t="s">
        <v>1458</v>
      </c>
      <c r="D963" s="73" t="s">
        <v>1459</v>
      </c>
      <c r="E963" s="79" t="s">
        <v>21</v>
      </c>
      <c r="F963" s="79" t="s">
        <v>63</v>
      </c>
      <c r="G963" s="79" t="s">
        <v>54</v>
      </c>
      <c r="H963" s="79" t="s">
        <v>1460</v>
      </c>
      <c r="I963" s="79"/>
      <c r="J963" s="14" t="str">
        <f>IF(E963="Invalid_Segment","Invalid",IFERROR(INDEX(Severity_Matrix!$C$3:$M$10,MATCH('Error Log'!$F963,Severity_Matrix!$B$3:$B$10,0),MATCH('Error Log'!$G963,Severity_Matrix!$C$2:$M$2,0)),"No errors"))</f>
        <v>Critical</v>
      </c>
      <c r="K963" s="73"/>
    </row>
    <row r="964" spans="1:11">
      <c r="A964" s="92" t="s">
        <v>1457</v>
      </c>
      <c r="B964" s="17">
        <v>3</v>
      </c>
      <c r="C964" s="83" t="s">
        <v>1458</v>
      </c>
      <c r="D964" s="73" t="s">
        <v>1459</v>
      </c>
      <c r="E964" s="79" t="s">
        <v>21</v>
      </c>
      <c r="F964" s="79" t="s">
        <v>63</v>
      </c>
      <c r="G964" s="79" t="s">
        <v>56</v>
      </c>
      <c r="H964" s="79" t="s">
        <v>1461</v>
      </c>
      <c r="I964" s="79"/>
      <c r="J964" s="14" t="str">
        <f>IF(E964="Invalid_Segment","Invalid",IFERROR(INDEX(Severity_Matrix!$C$3:$M$10,MATCH('Error Log'!$F964,Severity_Matrix!$B$3:$B$10,0),MATCH('Error Log'!$G964,Severity_Matrix!$C$2:$M$2,0)),"No errors"))</f>
        <v>Critical</v>
      </c>
      <c r="K964" s="73"/>
    </row>
    <row r="965" spans="1:11">
      <c r="A965" s="92" t="s">
        <v>1457</v>
      </c>
      <c r="B965" s="17">
        <v>4</v>
      </c>
      <c r="C965" s="83" t="s">
        <v>1458</v>
      </c>
      <c r="D965" s="73" t="s">
        <v>1459</v>
      </c>
      <c r="E965" s="79" t="s">
        <v>21</v>
      </c>
      <c r="F965" s="79" t="s">
        <v>22</v>
      </c>
      <c r="G965" s="79" t="s">
        <v>58</v>
      </c>
      <c r="H965" s="79" t="s">
        <v>1462</v>
      </c>
      <c r="I965" s="79"/>
      <c r="J965" s="14" t="str">
        <f>IF(E965="Invalid_Segment","Invalid",IFERROR(INDEX(Severity_Matrix!$C$3:$M$10,MATCH('Error Log'!$F965,Severity_Matrix!$B$3:$B$10,0),MATCH('Error Log'!$G965,Severity_Matrix!$C$2:$M$2,0)),"No errors"))</f>
        <v>Minor</v>
      </c>
      <c r="K965" s="73"/>
    </row>
    <row r="966" spans="1:11">
      <c r="A966" s="92" t="s">
        <v>1457</v>
      </c>
      <c r="B966" s="17">
        <v>5</v>
      </c>
      <c r="C966" s="83" t="s">
        <v>1458</v>
      </c>
      <c r="D966" s="73" t="s">
        <v>1459</v>
      </c>
      <c r="E966" s="79" t="s">
        <v>21</v>
      </c>
      <c r="F966" s="79" t="s">
        <v>7</v>
      </c>
      <c r="G966" s="79" t="s">
        <v>57</v>
      </c>
      <c r="H966" s="79" t="s">
        <v>1463</v>
      </c>
      <c r="I966" s="79"/>
      <c r="J966" s="14" t="str">
        <f>IF(E966="Invalid_Segment","Invalid",IFERROR(INDEX(Severity_Matrix!$C$3:$M$10,MATCH('Error Log'!$F966,Severity_Matrix!$B$3:$B$10,0),MATCH('Error Log'!$G966,Severity_Matrix!$C$2:$M$2,0)),"No errors"))</f>
        <v>Critical</v>
      </c>
      <c r="K966" s="73"/>
    </row>
    <row r="967" spans="1:11">
      <c r="A967" s="92" t="s">
        <v>1464</v>
      </c>
      <c r="B967" s="17">
        <v>1</v>
      </c>
      <c r="C967" s="83" t="s">
        <v>1465</v>
      </c>
      <c r="D967" s="73" t="s">
        <v>1466</v>
      </c>
      <c r="E967" s="79" t="s">
        <v>21</v>
      </c>
      <c r="F967" s="79" t="s">
        <v>63</v>
      </c>
      <c r="G967" s="79" t="s">
        <v>27</v>
      </c>
      <c r="H967" s="79" t="s">
        <v>77</v>
      </c>
      <c r="I967" s="90"/>
      <c r="J967" s="14" t="str">
        <f>IF(E967="Invalid_Segment","Invalid",IFERROR(INDEX(Severity_Matrix!$C$3:$M$10,MATCH('Error Log'!$F967,Severity_Matrix!$B$3:$B$10,0),MATCH('Error Log'!$G967,Severity_Matrix!$C$2:$M$2,0)),"No errors"))</f>
        <v>Critical</v>
      </c>
      <c r="K967" s="73"/>
    </row>
    <row r="968" spans="1:11">
      <c r="A968" s="92" t="s">
        <v>1464</v>
      </c>
      <c r="B968" s="17">
        <v>2</v>
      </c>
      <c r="C968" s="83" t="s">
        <v>1465</v>
      </c>
      <c r="D968" s="73" t="s">
        <v>1466</v>
      </c>
      <c r="E968" s="79" t="s">
        <v>21</v>
      </c>
      <c r="F968" s="79" t="s">
        <v>63</v>
      </c>
      <c r="G968" s="79" t="s">
        <v>27</v>
      </c>
      <c r="H968" s="79" t="s">
        <v>77</v>
      </c>
      <c r="I968" s="90"/>
      <c r="J968" s="14" t="str">
        <f>IF(E968="Invalid_Segment","Invalid",IFERROR(INDEX(Severity_Matrix!$C$3:$M$10,MATCH('Error Log'!$F968,Severity_Matrix!$B$3:$B$10,0),MATCH('Error Log'!$G968,Severity_Matrix!$C$2:$M$2,0)),"No errors"))</f>
        <v>Critical</v>
      </c>
      <c r="K968" s="73"/>
    </row>
    <row r="969" spans="1:11">
      <c r="A969" s="92" t="s">
        <v>1464</v>
      </c>
      <c r="B969" s="17">
        <v>3</v>
      </c>
      <c r="C969" s="83" t="s">
        <v>1465</v>
      </c>
      <c r="D969" s="73" t="s">
        <v>1466</v>
      </c>
      <c r="E969" s="79" t="s">
        <v>21</v>
      </c>
      <c r="F969" s="79" t="s">
        <v>63</v>
      </c>
      <c r="G969" s="79" t="s">
        <v>27</v>
      </c>
      <c r="H969" s="79" t="s">
        <v>77</v>
      </c>
      <c r="I969" s="90"/>
      <c r="J969" s="14" t="str">
        <f>IF(E969="Invalid_Segment","Invalid",IFERROR(INDEX(Severity_Matrix!$C$3:$M$10,MATCH('Error Log'!$F969,Severity_Matrix!$B$3:$B$10,0),MATCH('Error Log'!$G969,Severity_Matrix!$C$2:$M$2,0)),"No errors"))</f>
        <v>Critical</v>
      </c>
      <c r="K969" s="73"/>
    </row>
    <row r="970" spans="1:11">
      <c r="A970" s="92" t="s">
        <v>1464</v>
      </c>
      <c r="B970" s="17">
        <v>4</v>
      </c>
      <c r="C970" s="83" t="s">
        <v>1465</v>
      </c>
      <c r="D970" s="73" t="s">
        <v>1466</v>
      </c>
      <c r="E970" s="79" t="s">
        <v>21</v>
      </c>
      <c r="F970" s="79" t="s">
        <v>63</v>
      </c>
      <c r="G970" s="79" t="s">
        <v>27</v>
      </c>
      <c r="H970" s="79" t="s">
        <v>77</v>
      </c>
      <c r="I970" s="90"/>
      <c r="J970" s="14" t="str">
        <f>IF(E970="Invalid_Segment","Invalid",IFERROR(INDEX(Severity_Matrix!$C$3:$M$10,MATCH('Error Log'!$F970,Severity_Matrix!$B$3:$B$10,0),MATCH('Error Log'!$G970,Severity_Matrix!$C$2:$M$2,0)),"No errors"))</f>
        <v>Critical</v>
      </c>
      <c r="K970" s="73"/>
    </row>
    <row r="971" spans="1:11">
      <c r="A971" s="92" t="s">
        <v>1464</v>
      </c>
      <c r="B971" s="17">
        <v>5</v>
      </c>
      <c r="C971" s="83" t="s">
        <v>1465</v>
      </c>
      <c r="D971" s="73" t="s">
        <v>1466</v>
      </c>
      <c r="E971" s="79" t="s">
        <v>21</v>
      </c>
      <c r="F971" s="79" t="s">
        <v>7</v>
      </c>
      <c r="G971" s="79" t="s">
        <v>57</v>
      </c>
      <c r="H971" s="79" t="s">
        <v>1467</v>
      </c>
      <c r="I971" s="90"/>
      <c r="J971" s="14" t="str">
        <f>IF(E971="Invalid_Segment","Invalid",IFERROR(INDEX(Severity_Matrix!$C$3:$M$10,MATCH('Error Log'!$F971,Severity_Matrix!$B$3:$B$10,0),MATCH('Error Log'!$G971,Severity_Matrix!$C$2:$M$2,0)),"No errors"))</f>
        <v>Critical</v>
      </c>
      <c r="K971" s="73"/>
    </row>
    <row r="972" spans="1:11">
      <c r="A972" s="108" t="s">
        <v>1468</v>
      </c>
      <c r="B972" s="17">
        <v>1</v>
      </c>
      <c r="C972" s="73" t="s">
        <v>1469</v>
      </c>
      <c r="D972" s="73" t="s">
        <v>1470</v>
      </c>
      <c r="E972" s="79" t="s">
        <v>21</v>
      </c>
      <c r="F972" s="79" t="s">
        <v>63</v>
      </c>
      <c r="G972" s="79" t="s">
        <v>27</v>
      </c>
      <c r="H972" s="79" t="s">
        <v>463</v>
      </c>
      <c r="I972" s="79"/>
      <c r="J972" s="14" t="str">
        <f>IF(E972="Invalid_Segment","Invalid",IFERROR(INDEX(Severity_Matrix!$C$3:$M$10,MATCH('Error Log'!$F972,Severity_Matrix!$B$3:$B$10,0),MATCH('Error Log'!$G972,Severity_Matrix!$C$2:$M$2,0)),"No errors"))</f>
        <v>Critical</v>
      </c>
      <c r="K972" s="73"/>
    </row>
    <row r="973" spans="1:11">
      <c r="A973" s="108" t="s">
        <v>1468</v>
      </c>
      <c r="B973" s="17">
        <v>2</v>
      </c>
      <c r="C973" s="73" t="s">
        <v>1469</v>
      </c>
      <c r="D973" s="73" t="s">
        <v>1470</v>
      </c>
      <c r="E973" s="79" t="s">
        <v>21</v>
      </c>
      <c r="F973" s="79" t="s">
        <v>22</v>
      </c>
      <c r="G973" s="79" t="s">
        <v>57</v>
      </c>
      <c r="H973" s="79" t="s">
        <v>1471</v>
      </c>
      <c r="I973" s="79"/>
      <c r="J973" s="14" t="str">
        <f>IF(E973="Invalid_Segment","Invalid",IFERROR(INDEX(Severity_Matrix!$C$3:$M$10,MATCH('Error Log'!$F973,Severity_Matrix!$B$3:$B$10,0),MATCH('Error Log'!$G973,Severity_Matrix!$C$2:$M$2,0)),"No errors"))</f>
        <v>Major</v>
      </c>
      <c r="K973" s="73"/>
    </row>
    <row r="974" spans="1:11">
      <c r="A974" s="108" t="s">
        <v>1468</v>
      </c>
      <c r="B974" s="17">
        <v>3</v>
      </c>
      <c r="C974" s="73" t="s">
        <v>1469</v>
      </c>
      <c r="D974" s="73" t="s">
        <v>1470</v>
      </c>
      <c r="E974" s="79" t="s">
        <v>2</v>
      </c>
      <c r="F974" s="79" t="s">
        <v>26</v>
      </c>
      <c r="G974" s="79" t="s">
        <v>57</v>
      </c>
      <c r="H974" s="79" t="s">
        <v>1471</v>
      </c>
      <c r="I974" s="79"/>
      <c r="J974" s="14" t="str">
        <f>IF(E974="Invalid_Segment","Invalid",IFERROR(INDEX(Severity_Matrix!$C$3:$M$10,MATCH('Error Log'!$F974,Severity_Matrix!$B$3:$B$10,0),MATCH('Error Log'!$G974,Severity_Matrix!$C$2:$M$2,0)),"No errors"))</f>
        <v>Major</v>
      </c>
      <c r="K974" s="73"/>
    </row>
    <row r="975" spans="1:11">
      <c r="A975" s="108" t="s">
        <v>1468</v>
      </c>
      <c r="B975" s="17">
        <v>4</v>
      </c>
      <c r="C975" s="73" t="s">
        <v>1469</v>
      </c>
      <c r="D975" s="73" t="s">
        <v>1470</v>
      </c>
      <c r="E975" s="79" t="s">
        <v>21</v>
      </c>
      <c r="F975" s="79" t="s">
        <v>7</v>
      </c>
      <c r="G975" s="79" t="s">
        <v>57</v>
      </c>
      <c r="H975" s="79" t="s">
        <v>1472</v>
      </c>
      <c r="I975" s="79"/>
      <c r="J975" s="14" t="str">
        <f>IF(E975="Invalid_Segment","Invalid",IFERROR(INDEX(Severity_Matrix!$C$3:$M$10,MATCH('Error Log'!$F975,Severity_Matrix!$B$3:$B$10,0),MATCH('Error Log'!$G975,Severity_Matrix!$C$2:$M$2,0)),"No errors"))</f>
        <v>Critical</v>
      </c>
      <c r="K975" s="73"/>
    </row>
    <row r="976" spans="1:11">
      <c r="A976" s="108" t="s">
        <v>1468</v>
      </c>
      <c r="B976" s="17">
        <v>5</v>
      </c>
      <c r="C976" s="73" t="s">
        <v>1469</v>
      </c>
      <c r="D976" s="73" t="s">
        <v>1470</v>
      </c>
      <c r="E976" s="79" t="s">
        <v>21</v>
      </c>
      <c r="F976" s="79" t="s">
        <v>7</v>
      </c>
      <c r="G976" s="79" t="s">
        <v>57</v>
      </c>
      <c r="H976" s="79" t="s">
        <v>1473</v>
      </c>
      <c r="I976" s="79"/>
      <c r="J976" s="14" t="str">
        <f>IF(E976="Invalid_Segment","Invalid",IFERROR(INDEX(Severity_Matrix!$C$3:$M$10,MATCH('Error Log'!$F976,Severity_Matrix!$B$3:$B$10,0),MATCH('Error Log'!$G976,Severity_Matrix!$C$2:$M$2,0)),"No errors"))</f>
        <v>Critical</v>
      </c>
      <c r="K976" s="73"/>
    </row>
    <row r="977" spans="1:11">
      <c r="A977" s="108" t="s">
        <v>1474</v>
      </c>
      <c r="B977" s="17">
        <v>1</v>
      </c>
      <c r="C977" s="73" t="s">
        <v>1475</v>
      </c>
      <c r="D977" s="73" t="s">
        <v>1476</v>
      </c>
      <c r="E977" s="79" t="s">
        <v>21</v>
      </c>
      <c r="F977" s="79" t="s">
        <v>7</v>
      </c>
      <c r="G977" s="79" t="s">
        <v>57</v>
      </c>
      <c r="H977" s="79" t="s">
        <v>1477</v>
      </c>
      <c r="I977" s="79"/>
      <c r="J977" s="14" t="str">
        <f>IF(E977="Invalid_Segment","Invalid",IFERROR(INDEX(Severity_Matrix!$C$3:$M$10,MATCH('Error Log'!$F977,Severity_Matrix!$B$3:$B$10,0),MATCH('Error Log'!$G977,Severity_Matrix!$C$2:$M$2,0)),"No errors"))</f>
        <v>Critical</v>
      </c>
      <c r="K977" s="73"/>
    </row>
    <row r="978" spans="1:11">
      <c r="A978" s="108" t="s">
        <v>1478</v>
      </c>
      <c r="B978" s="17">
        <v>1</v>
      </c>
      <c r="C978" s="73" t="s">
        <v>1479</v>
      </c>
      <c r="D978" s="73" t="s">
        <v>1480</v>
      </c>
      <c r="E978" s="79" t="s">
        <v>21</v>
      </c>
      <c r="F978" s="79" t="s">
        <v>63</v>
      </c>
      <c r="G978" s="79" t="s">
        <v>27</v>
      </c>
      <c r="H978" s="79" t="s">
        <v>463</v>
      </c>
      <c r="I978" s="79"/>
      <c r="J978" s="14" t="str">
        <f>IF(E978="Invalid_Segment","Invalid",IFERROR(INDEX(Severity_Matrix!$C$3:$M$10,MATCH('Error Log'!$F978,Severity_Matrix!$B$3:$B$10,0),MATCH('Error Log'!$G978,Severity_Matrix!$C$2:$M$2,0)),"No errors"))</f>
        <v>Critical</v>
      </c>
      <c r="K978" s="73"/>
    </row>
    <row r="979" spans="1:11">
      <c r="A979" s="108" t="s">
        <v>1478</v>
      </c>
      <c r="B979" s="17">
        <v>2</v>
      </c>
      <c r="C979" s="73" t="s">
        <v>1479</v>
      </c>
      <c r="D979" s="73" t="s">
        <v>1480</v>
      </c>
      <c r="E979" s="79" t="s">
        <v>21</v>
      </c>
      <c r="F979" s="79" t="s">
        <v>63</v>
      </c>
      <c r="G979" s="79" t="s">
        <v>27</v>
      </c>
      <c r="H979" s="79" t="s">
        <v>463</v>
      </c>
      <c r="I979" s="79"/>
      <c r="J979" s="14" t="str">
        <f>IF(E979="Invalid_Segment","Invalid",IFERROR(INDEX(Severity_Matrix!$C$3:$M$10,MATCH('Error Log'!$F979,Severity_Matrix!$B$3:$B$10,0),MATCH('Error Log'!$G979,Severity_Matrix!$C$2:$M$2,0)),"No errors"))</f>
        <v>Critical</v>
      </c>
      <c r="K979" s="73"/>
    </row>
    <row r="980" spans="1:11">
      <c r="A980" s="108" t="s">
        <v>1478</v>
      </c>
      <c r="B980" s="17">
        <v>3</v>
      </c>
      <c r="C980" s="73" t="s">
        <v>1479</v>
      </c>
      <c r="D980" s="73" t="s">
        <v>1480</v>
      </c>
      <c r="E980" s="79" t="s">
        <v>21</v>
      </c>
      <c r="F980" s="79" t="s">
        <v>63</v>
      </c>
      <c r="G980" s="79" t="s">
        <v>27</v>
      </c>
      <c r="H980" s="79" t="s">
        <v>463</v>
      </c>
      <c r="I980" s="79"/>
      <c r="J980" s="14" t="str">
        <f>IF(E980="Invalid_Segment","Invalid",IFERROR(INDEX(Severity_Matrix!$C$3:$M$10,MATCH('Error Log'!$F980,Severity_Matrix!$B$3:$B$10,0),MATCH('Error Log'!$G980,Severity_Matrix!$C$2:$M$2,0)),"No errors"))</f>
        <v>Critical</v>
      </c>
      <c r="K980" s="73"/>
    </row>
    <row r="981" spans="1:11">
      <c r="A981" s="108" t="s">
        <v>1478</v>
      </c>
      <c r="B981" s="17">
        <v>4</v>
      </c>
      <c r="C981" s="73" t="s">
        <v>1479</v>
      </c>
      <c r="D981" s="73" t="s">
        <v>1480</v>
      </c>
      <c r="E981" s="79" t="s">
        <v>21</v>
      </c>
      <c r="F981" s="79" t="s">
        <v>63</v>
      </c>
      <c r="G981" s="79" t="s">
        <v>27</v>
      </c>
      <c r="H981" s="79" t="s">
        <v>463</v>
      </c>
      <c r="I981" s="79"/>
      <c r="J981" s="14" t="str">
        <f>IF(E981="Invalid_Segment","Invalid",IFERROR(INDEX(Severity_Matrix!$C$3:$M$10,MATCH('Error Log'!$F981,Severity_Matrix!$B$3:$B$10,0),MATCH('Error Log'!$G981,Severity_Matrix!$C$2:$M$2,0)),"No errors"))</f>
        <v>Critical</v>
      </c>
      <c r="K981" s="73"/>
    </row>
    <row r="982" spans="1:11">
      <c r="A982" s="108" t="s">
        <v>1478</v>
      </c>
      <c r="B982" s="17">
        <v>5</v>
      </c>
      <c r="C982" s="73" t="s">
        <v>1479</v>
      </c>
      <c r="D982" s="73" t="s">
        <v>1480</v>
      </c>
      <c r="E982" s="79" t="s">
        <v>21</v>
      </c>
      <c r="F982" s="79" t="s">
        <v>7</v>
      </c>
      <c r="G982" s="79" t="s">
        <v>57</v>
      </c>
      <c r="H982" s="79" t="s">
        <v>1481</v>
      </c>
      <c r="I982" s="79"/>
      <c r="J982" s="14" t="str">
        <f>IF(E982="Invalid_Segment","Invalid",IFERROR(INDEX(Severity_Matrix!$C$3:$M$10,MATCH('Error Log'!$F982,Severity_Matrix!$B$3:$B$10,0),MATCH('Error Log'!$G982,Severity_Matrix!$C$2:$M$2,0)),"No errors"))</f>
        <v>Critical</v>
      </c>
      <c r="K982" s="73"/>
    </row>
    <row r="983" spans="1:11">
      <c r="A983" s="108" t="s">
        <v>1482</v>
      </c>
      <c r="B983" s="17">
        <v>1</v>
      </c>
      <c r="C983" s="73" t="s">
        <v>1483</v>
      </c>
      <c r="D983" s="73" t="s">
        <v>1484</v>
      </c>
      <c r="E983" s="79" t="s">
        <v>21</v>
      </c>
      <c r="F983" s="79" t="s">
        <v>22</v>
      </c>
      <c r="G983" s="79" t="s">
        <v>57</v>
      </c>
      <c r="H983" s="79" t="s">
        <v>1485</v>
      </c>
      <c r="I983" s="79"/>
      <c r="J983" s="14" t="str">
        <f>IF(E983="Invalid_Segment","Invalid",IFERROR(INDEX(Severity_Matrix!$C$3:$M$10,MATCH('Error Log'!$F983,Severity_Matrix!$B$3:$B$10,0),MATCH('Error Log'!$G983,Severity_Matrix!$C$2:$M$2,0)),"No errors"))</f>
        <v>Major</v>
      </c>
      <c r="K983" s="74"/>
    </row>
    <row r="984" spans="1:11">
      <c r="A984" s="108" t="s">
        <v>1482</v>
      </c>
      <c r="B984" s="17">
        <v>3</v>
      </c>
      <c r="C984" s="73" t="s">
        <v>1483</v>
      </c>
      <c r="D984" s="73" t="s">
        <v>1484</v>
      </c>
      <c r="E984" s="79" t="s">
        <v>21</v>
      </c>
      <c r="F984" s="79" t="s">
        <v>7</v>
      </c>
      <c r="G984" s="79" t="s">
        <v>57</v>
      </c>
      <c r="H984" s="89" t="s">
        <v>1486</v>
      </c>
      <c r="I984" s="79"/>
      <c r="J984" s="14" t="str">
        <f>IF(E984="Invalid_Segment","Invalid",IFERROR(INDEX(Severity_Matrix!$C$3:$M$10,MATCH('Error Log'!$F984,Severity_Matrix!$B$3:$B$10,0),MATCH('Error Log'!$G984,Severity_Matrix!$C$2:$M$2,0)),"No errors"))</f>
        <v>Critical</v>
      </c>
      <c r="K984" s="74"/>
    </row>
    <row r="985" spans="1:11">
      <c r="A985" s="92" t="s">
        <v>1487</v>
      </c>
      <c r="B985" s="17">
        <v>1</v>
      </c>
      <c r="C985" s="83" t="s">
        <v>1488</v>
      </c>
      <c r="D985" s="73" t="s">
        <v>1489</v>
      </c>
      <c r="E985" s="79" t="s">
        <v>21</v>
      </c>
      <c r="F985" s="79" t="s">
        <v>63</v>
      </c>
      <c r="G985" s="79" t="s">
        <v>27</v>
      </c>
      <c r="H985" s="79" t="s">
        <v>463</v>
      </c>
      <c r="I985" s="79"/>
      <c r="J985" s="14" t="str">
        <f>IF(E985="Invalid_Segment","Invalid",IFERROR(INDEX(Severity_Matrix!$C$3:$M$10,MATCH('Error Log'!$F985,Severity_Matrix!$B$3:$B$10,0),MATCH('Error Log'!$G985,Severity_Matrix!$C$2:$M$2,0)),"No errors"))</f>
        <v>Critical</v>
      </c>
      <c r="K985" s="74"/>
    </row>
    <row r="986" spans="1:11">
      <c r="A986" s="92" t="s">
        <v>1487</v>
      </c>
      <c r="B986" s="17">
        <v>2</v>
      </c>
      <c r="C986" s="83" t="s">
        <v>1488</v>
      </c>
      <c r="D986" s="73" t="s">
        <v>1489</v>
      </c>
      <c r="E986" s="79" t="s">
        <v>21</v>
      </c>
      <c r="F986" s="79" t="s">
        <v>63</v>
      </c>
      <c r="G986" s="79" t="s">
        <v>27</v>
      </c>
      <c r="H986" s="79" t="s">
        <v>463</v>
      </c>
      <c r="I986" s="79"/>
      <c r="J986" s="14" t="str">
        <f>IF(E986="Invalid_Segment","Invalid",IFERROR(INDEX(Severity_Matrix!$C$3:$M$10,MATCH('Error Log'!$F986,Severity_Matrix!$B$3:$B$10,0),MATCH('Error Log'!$G986,Severity_Matrix!$C$2:$M$2,0)),"No errors"))</f>
        <v>Critical</v>
      </c>
      <c r="K986" s="74"/>
    </row>
    <row r="987" spans="1:11">
      <c r="A987" s="92" t="s">
        <v>1487</v>
      </c>
      <c r="B987" s="17">
        <v>3</v>
      </c>
      <c r="C987" s="83" t="s">
        <v>1488</v>
      </c>
      <c r="D987" s="73" t="s">
        <v>1489</v>
      </c>
      <c r="E987" s="79" t="s">
        <v>2</v>
      </c>
      <c r="F987" s="79" t="s">
        <v>26</v>
      </c>
      <c r="G987" s="79" t="s">
        <v>57</v>
      </c>
      <c r="H987" s="79" t="s">
        <v>1490</v>
      </c>
      <c r="I987" s="79"/>
      <c r="J987" s="14" t="str">
        <f>IF(E987="Invalid_Segment","Invalid",IFERROR(INDEX(Severity_Matrix!$C$3:$M$10,MATCH('Error Log'!$F987,Severity_Matrix!$B$3:$B$10,0),MATCH('Error Log'!$G987,Severity_Matrix!$C$2:$M$2,0)),"No errors"))</f>
        <v>Major</v>
      </c>
      <c r="K987" s="74"/>
    </row>
    <row r="988" spans="1:11">
      <c r="A988" s="92" t="s">
        <v>1487</v>
      </c>
      <c r="B988" s="17">
        <v>4</v>
      </c>
      <c r="C988" s="83" t="s">
        <v>1488</v>
      </c>
      <c r="D988" s="73" t="s">
        <v>1489</v>
      </c>
      <c r="E988" s="79" t="s">
        <v>2</v>
      </c>
      <c r="F988" s="79" t="s">
        <v>26</v>
      </c>
      <c r="G988" s="79" t="s">
        <v>57</v>
      </c>
      <c r="H988" s="79" t="s">
        <v>1490</v>
      </c>
      <c r="I988" s="79"/>
      <c r="J988" s="14" t="str">
        <f>IF(E988="Invalid_Segment","Invalid",IFERROR(INDEX(Severity_Matrix!$C$3:$M$10,MATCH('Error Log'!$F988,Severity_Matrix!$B$3:$B$10,0),MATCH('Error Log'!$G988,Severity_Matrix!$C$2:$M$2,0)),"No errors"))</f>
        <v>Major</v>
      </c>
      <c r="K988" s="74"/>
    </row>
    <row r="989" spans="1:11">
      <c r="A989" s="92" t="s">
        <v>1487</v>
      </c>
      <c r="B989" s="17">
        <v>5</v>
      </c>
      <c r="C989" s="83" t="s">
        <v>1488</v>
      </c>
      <c r="D989" s="73" t="s">
        <v>1489</v>
      </c>
      <c r="E989" s="79" t="s">
        <v>21</v>
      </c>
      <c r="F989" s="79" t="s">
        <v>7</v>
      </c>
      <c r="G989" s="79" t="s">
        <v>57</v>
      </c>
      <c r="H989" s="79" t="s">
        <v>1491</v>
      </c>
      <c r="I989" s="79"/>
      <c r="J989" s="14" t="str">
        <f>IF(E989="Invalid_Segment","Invalid",IFERROR(INDEX(Severity_Matrix!$C$3:$M$10,MATCH('Error Log'!$F989,Severity_Matrix!$B$3:$B$10,0),MATCH('Error Log'!$G989,Severity_Matrix!$C$2:$M$2,0)),"No errors"))</f>
        <v>Critical</v>
      </c>
      <c r="K989" s="74"/>
    </row>
    <row r="990" spans="1:11">
      <c r="A990" s="92" t="s">
        <v>1487</v>
      </c>
      <c r="B990" s="17">
        <v>6</v>
      </c>
      <c r="C990" s="83" t="s">
        <v>1488</v>
      </c>
      <c r="D990" s="73" t="s">
        <v>1489</v>
      </c>
      <c r="E990" s="79" t="s">
        <v>21</v>
      </c>
      <c r="F990" s="79" t="s">
        <v>7</v>
      </c>
      <c r="G990" s="79" t="s">
        <v>57</v>
      </c>
      <c r="H990" s="79" t="s">
        <v>1492</v>
      </c>
      <c r="I990" s="79"/>
      <c r="J990" s="14" t="str">
        <f>IF(E990="Invalid_Segment","Invalid",IFERROR(INDEX(Severity_Matrix!$C$3:$M$10,MATCH('Error Log'!$F990,Severity_Matrix!$B$3:$B$10,0),MATCH('Error Log'!$G990,Severity_Matrix!$C$2:$M$2,0)),"No errors"))</f>
        <v>Critical</v>
      </c>
      <c r="K990" s="74"/>
    </row>
    <row r="991" spans="1:11">
      <c r="A991" s="92" t="s">
        <v>1493</v>
      </c>
      <c r="B991" s="17">
        <v>1</v>
      </c>
      <c r="C991" s="83" t="s">
        <v>1494</v>
      </c>
      <c r="D991" s="73" t="s">
        <v>1495</v>
      </c>
      <c r="E991" s="79" t="s">
        <v>21</v>
      </c>
      <c r="F991" s="79" t="s">
        <v>22</v>
      </c>
      <c r="G991" s="79" t="s">
        <v>57</v>
      </c>
      <c r="H991" s="79" t="s">
        <v>1496</v>
      </c>
      <c r="I991" s="79"/>
      <c r="J991" s="14" t="str">
        <f>IF(E991="Invalid_Segment","Invalid",IFERROR(INDEX(Severity_Matrix!$C$3:$M$10,MATCH('Error Log'!$F991,Severity_Matrix!$B$3:$B$10,0),MATCH('Error Log'!$G991,Severity_Matrix!$C$2:$M$2,0)),"No errors"))</f>
        <v>Major</v>
      </c>
      <c r="K991" s="74"/>
    </row>
    <row r="992" spans="1:11">
      <c r="A992" s="92" t="s">
        <v>1493</v>
      </c>
      <c r="B992" s="17">
        <v>2</v>
      </c>
      <c r="C992" s="83" t="s">
        <v>1494</v>
      </c>
      <c r="D992" s="73" t="s">
        <v>1495</v>
      </c>
      <c r="E992" s="79" t="s">
        <v>21</v>
      </c>
      <c r="F992" s="79" t="s">
        <v>7</v>
      </c>
      <c r="G992" s="79" t="s">
        <v>57</v>
      </c>
      <c r="H992" s="79" t="s">
        <v>1497</v>
      </c>
      <c r="I992" s="79"/>
      <c r="J992" s="14" t="str">
        <f>IF(E992="Invalid_Segment","Invalid",IFERROR(INDEX(Severity_Matrix!$C$3:$M$10,MATCH('Error Log'!$F992,Severity_Matrix!$B$3:$B$10,0),MATCH('Error Log'!$G992,Severity_Matrix!$C$2:$M$2,0)),"No errors"))</f>
        <v>Critical</v>
      </c>
      <c r="K992" s="74"/>
    </row>
    <row r="993" spans="1:11">
      <c r="A993" s="92" t="s">
        <v>1498</v>
      </c>
      <c r="B993" s="17">
        <v>1</v>
      </c>
      <c r="C993" s="83" t="s">
        <v>1499</v>
      </c>
      <c r="D993" s="73" t="s">
        <v>1500</v>
      </c>
      <c r="E993" s="79" t="s">
        <v>21</v>
      </c>
      <c r="F993" s="79" t="s">
        <v>7</v>
      </c>
      <c r="G993" s="79" t="s">
        <v>28</v>
      </c>
      <c r="H993" s="90" t="s">
        <v>77</v>
      </c>
      <c r="I993" s="79"/>
      <c r="J993" s="14" t="str">
        <f>IF(E993="Invalid_Segment","Invalid",IFERROR(INDEX(Severity_Matrix!$C$3:$M$10,MATCH('Error Log'!$F993,Severity_Matrix!$B$3:$B$10,0),MATCH('Error Log'!$G993,Severity_Matrix!$C$2:$M$2,0)),"No errors"))</f>
        <v>Major</v>
      </c>
      <c r="K993" s="74"/>
    </row>
    <row r="994" spans="1:11">
      <c r="A994" s="92" t="s">
        <v>1498</v>
      </c>
      <c r="B994" s="17">
        <v>2</v>
      </c>
      <c r="C994" s="83" t="s">
        <v>1499</v>
      </c>
      <c r="D994" s="73" t="s">
        <v>1500</v>
      </c>
      <c r="E994" s="79" t="s">
        <v>21</v>
      </c>
      <c r="F994" s="79" t="s">
        <v>22</v>
      </c>
      <c r="G994" s="79" t="s">
        <v>57</v>
      </c>
      <c r="H994" s="90" t="s">
        <v>1501</v>
      </c>
      <c r="I994" s="79"/>
      <c r="J994" s="14" t="str">
        <f>IF(E994="Invalid_Segment","Invalid",IFERROR(INDEX(Severity_Matrix!$C$3:$M$10,MATCH('Error Log'!$F994,Severity_Matrix!$B$3:$B$10,0),MATCH('Error Log'!$G994,Severity_Matrix!$C$2:$M$2,0)),"No errors"))</f>
        <v>Major</v>
      </c>
      <c r="K994" s="74"/>
    </row>
    <row r="995" spans="1:11">
      <c r="A995" s="92" t="s">
        <v>1498</v>
      </c>
      <c r="B995" s="17">
        <v>3</v>
      </c>
      <c r="C995" s="83" t="s">
        <v>1499</v>
      </c>
      <c r="D995" s="73" t="s">
        <v>1500</v>
      </c>
      <c r="E995" s="79" t="s">
        <v>2</v>
      </c>
      <c r="F995" s="79" t="s">
        <v>26</v>
      </c>
      <c r="G995" s="79" t="s">
        <v>57</v>
      </c>
      <c r="H995" s="90" t="s">
        <v>1501</v>
      </c>
      <c r="I995" s="79"/>
      <c r="J995" s="14" t="str">
        <f>IF(E995="Invalid_Segment","Invalid",IFERROR(INDEX(Severity_Matrix!$C$3:$M$10,MATCH('Error Log'!$F995,Severity_Matrix!$B$3:$B$10,0),MATCH('Error Log'!$G995,Severity_Matrix!$C$2:$M$2,0)),"No errors"))</f>
        <v>Major</v>
      </c>
      <c r="K995" s="74"/>
    </row>
    <row r="996" spans="1:11">
      <c r="A996" s="92" t="s">
        <v>1498</v>
      </c>
      <c r="B996" s="17">
        <v>4</v>
      </c>
      <c r="C996" s="83" t="s">
        <v>1499</v>
      </c>
      <c r="D996" s="73" t="s">
        <v>1500</v>
      </c>
      <c r="E996" s="79" t="s">
        <v>21</v>
      </c>
      <c r="F996" s="79" t="s">
        <v>22</v>
      </c>
      <c r="G996" s="79" t="s">
        <v>57</v>
      </c>
      <c r="H996" s="90" t="s">
        <v>1502</v>
      </c>
      <c r="I996" s="79"/>
      <c r="J996" s="14" t="str">
        <f>IF(E996="Invalid_Segment","Invalid",IFERROR(INDEX(Severity_Matrix!$C$3:$M$10,MATCH('Error Log'!$F996,Severity_Matrix!$B$3:$B$10,0),MATCH('Error Log'!$G996,Severity_Matrix!$C$2:$M$2,0)),"No errors"))</f>
        <v>Major</v>
      </c>
      <c r="K996" s="74"/>
    </row>
    <row r="997" spans="1:11">
      <c r="A997" s="92" t="s">
        <v>1498</v>
      </c>
      <c r="B997" s="17">
        <v>5</v>
      </c>
      <c r="C997" s="83" t="s">
        <v>1499</v>
      </c>
      <c r="D997" s="73" t="s">
        <v>1500</v>
      </c>
      <c r="E997" s="79" t="s">
        <v>21</v>
      </c>
      <c r="F997" s="79" t="s">
        <v>7</v>
      </c>
      <c r="G997" s="79" t="s">
        <v>57</v>
      </c>
      <c r="H997" s="90" t="s">
        <v>1503</v>
      </c>
      <c r="I997" s="79"/>
      <c r="J997" s="14" t="str">
        <f>IF(E997="Invalid_Segment","Invalid",IFERROR(INDEX(Severity_Matrix!$C$3:$M$10,MATCH('Error Log'!$F997,Severity_Matrix!$B$3:$B$10,0),MATCH('Error Log'!$G997,Severity_Matrix!$C$2:$M$2,0)),"No errors"))</f>
        <v>Critical</v>
      </c>
      <c r="K997" s="74"/>
    </row>
    <row r="998" spans="1:11">
      <c r="A998" s="92" t="s">
        <v>1498</v>
      </c>
      <c r="B998" s="17">
        <v>6</v>
      </c>
      <c r="C998" s="83" t="s">
        <v>1499</v>
      </c>
      <c r="D998" s="73" t="s">
        <v>1500</v>
      </c>
      <c r="E998" s="79" t="s">
        <v>21</v>
      </c>
      <c r="F998" s="79" t="s">
        <v>7</v>
      </c>
      <c r="G998" s="79" t="s">
        <v>57</v>
      </c>
      <c r="H998" s="90" t="s">
        <v>1504</v>
      </c>
      <c r="I998" s="79"/>
      <c r="J998" s="14" t="str">
        <f>IF(E998="Invalid_Segment","Invalid",IFERROR(INDEX(Severity_Matrix!$C$3:$M$10,MATCH('Error Log'!$F998,Severity_Matrix!$B$3:$B$10,0),MATCH('Error Log'!$G998,Severity_Matrix!$C$2:$M$2,0)),"No errors"))</f>
        <v>Critical</v>
      </c>
      <c r="K998" s="74"/>
    </row>
    <row r="999" spans="1:11">
      <c r="A999" s="92" t="s">
        <v>1498</v>
      </c>
      <c r="B999" s="17">
        <v>7</v>
      </c>
      <c r="C999" s="83" t="s">
        <v>1499</v>
      </c>
      <c r="D999" s="73" t="s">
        <v>1500</v>
      </c>
      <c r="E999" s="79" t="s">
        <v>21</v>
      </c>
      <c r="F999" s="79" t="s">
        <v>7</v>
      </c>
      <c r="G999" s="79" t="s">
        <v>57</v>
      </c>
      <c r="H999" s="90" t="s">
        <v>1505</v>
      </c>
      <c r="I999" s="79"/>
      <c r="J999" s="14" t="str">
        <f>IF(E999="Invalid_Segment","Invalid",IFERROR(INDEX(Severity_Matrix!$C$3:$M$10,MATCH('Error Log'!$F999,Severity_Matrix!$B$3:$B$10,0),MATCH('Error Log'!$G999,Severity_Matrix!$C$2:$M$2,0)),"No errors"))</f>
        <v>Critical</v>
      </c>
      <c r="K999" s="74"/>
    </row>
    <row r="1000" spans="1:11">
      <c r="A1000" s="92" t="s">
        <v>1498</v>
      </c>
      <c r="B1000" s="17">
        <v>8</v>
      </c>
      <c r="C1000" s="83" t="s">
        <v>1499</v>
      </c>
      <c r="D1000" s="73" t="s">
        <v>1500</v>
      </c>
      <c r="E1000" s="79" t="s">
        <v>21</v>
      </c>
      <c r="F1000" s="79" t="s">
        <v>7</v>
      </c>
      <c r="G1000" s="79" t="s">
        <v>57</v>
      </c>
      <c r="H1000" s="90" t="s">
        <v>1506</v>
      </c>
      <c r="I1000" s="79"/>
      <c r="J1000" s="14" t="str">
        <f>IF(E1000="Invalid_Segment","Invalid",IFERROR(INDEX(Severity_Matrix!$C$3:$M$10,MATCH('Error Log'!$F1000,Severity_Matrix!$B$3:$B$10,0),MATCH('Error Log'!$G1000,Severity_Matrix!$C$2:$M$2,0)),"No errors"))</f>
        <v>Critical</v>
      </c>
      <c r="K1000" s="74"/>
    </row>
  </sheetData>
  <sheetProtection formatCells="0" formatColumns="0" formatRows="0" insertRows="0" deleteRows="0" autoFilter="0"/>
  <phoneticPr fontId="4" type="noConversion"/>
  <conditionalFormatting sqref="E1 E1001:E1048576">
    <cfRule type="expression" dxfId="1183" priority="3419">
      <formula>IF(OR(AND(E1="",F1="",OR(G1="Critical",G1="Major",G1="Minor"))),1,0)</formula>
    </cfRule>
  </conditionalFormatting>
  <conditionalFormatting sqref="F1 F1001:F1048576">
    <cfRule type="expression" dxfId="1182" priority="3418">
      <formula>IF(AND(F1="",OR(E1="Accuracy",E1="Fluency",E1="Segment",E1="Other")),1,0)</formula>
    </cfRule>
  </conditionalFormatting>
  <conditionalFormatting sqref="G1 G1001:G1048576">
    <cfRule type="expression" dxfId="1181" priority="3417">
      <formula>IF(AND(OR(G1="",E1="Segment"),OR(E1="Accuracy",E1="Fluency",E1="Other")),1,0)</formula>
    </cfRule>
  </conditionalFormatting>
  <conditionalFormatting sqref="E365:G365 E369:G369 E371:G371 E340:G340 G344 E345:G345 E333:G333 E326:G328 E298 E289:G290 G282 E284:G285 E280:G280 E274:G274 E268:G269 E262:G262 F254:G254 E236:G247 G250:G253 E257:G257 G255 G210:G211 G196:G201 G188 G190 E172:G172 E157:G158 E169:G169 E152:G152 E155:G155 E96:G112 E84:G93 F47:G83 E31:E83 F22:F28 G12:G17 E6:F11 E2:G5 E599:E601 E116:G147 E154:F154 E174:F174 E180:G187 E194:G195 E202:G209 E212:G225 E227:G232 E254:F256 E261:F261 E273:F273 E282:F283 E295:G296 G298 F298:F300 E301:G304 E310:G320 E323:G324 E330:G331 E337:F338 E348:G362 E373:G377 E380:G384 E386:F386 E392:F393 E414:F414 E434:F434 E439:F439 E447:F447 E454:F454 E456:F457 E486:F486 E493:F493 E499:F500 F502:F504 E511:F512 E515:F515 E517:F517 E523:F523 E526:F526 F532 F557:F558 E561:F561 E563:F563 F598:F601 E604:F604 E614:F615 E617:F617 E630:F630 E633:F633 E640:F640 E646:F646 E652:F652 E656:F657 E678:F678 E685:F685 E691:F691 E695:F695 E697:F698 E714:F714 E744:F744 E746:F746 E754:F755 E760:F760 E768:F768 E772:F773 E784:F784 E798:F798 E803:F804 E811:F811 E814:F816 E823:F824 E839:F839 E860:F860 E863:F863 E872:F872 F875 E883:F883 E886:F886 E897:F897 E915:F915 E917:F918 E926:F926 E934:F935 E940:F940 E942:F942 F31:G37">
    <cfRule type="expression" dxfId="1180" priority="1220">
      <formula>IF(OR(AND(E2="",F2="",OR(G2="Critical",G2="Major",G2="Minor"))),1,0)</formula>
    </cfRule>
  </conditionalFormatting>
  <conditionalFormatting sqref="F365 F369 F371 F340 F345 F333 F326:F328 F289:F290 F280 F268:F269 F236:F247 F172 F157:F158 F169 F152 F96:F112 F31:F93 F22:F28 F2:F11 F116:F147 F154:F155 F174 F180:F187 F194:F195 F202:F209 F212:F225 F227:F232 F254:F257 F261:F262 F273:F274 F282:F285 F295:F296 F298:F304 F310:F320 F323:F324 F330:F331 F337:F338 F348:F362 F373:F377 F380:F384 F386 F392:F393 F414 F434 F439 F447 F454 F456:F457 F486 F493 F499:F500 F502:F504 F511:F512 F515 F517 F523 F526 F532 F557:F558 F561 F563 F598:F601 F604 F614:F615 F617 F630 F633 F640 F646 F652 F656:F657 F678 F685 F691 F695 F697:F698 F714 F744 F746 F754:F755 F760 F768 F772:F773 F784 F798 F803:F804 F811 F814:F816 F823:F824 F839 F860 F863 F872 F875 F883 F886 F897 F915 F917:F918 F926 F934:F935 F940 F942">
    <cfRule type="expression" dxfId="1179" priority="1219">
      <formula>IF(AND(F2="",OR(E2="Accuracy",E2="Fluency",E2="Segment",E2="Other")),1,0)</formula>
    </cfRule>
  </conditionalFormatting>
  <conditionalFormatting sqref="G12:G17 G2:G5">
    <cfRule type="expression" dxfId="1178" priority="1218">
      <formula>IF(AND(OR(G2="",E2="Segment"),OR(E2="Accuracy",E2="Fluency",E2="Other")),1,0)</formula>
    </cfRule>
  </conditionalFormatting>
  <conditionalFormatting sqref="G6:G11">
    <cfRule type="expression" dxfId="1177" priority="1217">
      <formula>IF(OR(AND(G6="",H6="",OR(I6="Critical",I6="Major",I6="Minor"))),1,0)</formula>
    </cfRule>
  </conditionalFormatting>
  <conditionalFormatting sqref="G6:G11">
    <cfRule type="expression" dxfId="1176" priority="1216">
      <formula>IF(AND(OR(G6="",E6="Segment"),OR(E6="Accuracy",E6="Fluency",E6="Other")),1,0)</formula>
    </cfRule>
  </conditionalFormatting>
  <conditionalFormatting sqref="E12:F17">
    <cfRule type="expression" dxfId="1175" priority="1215">
      <formula>IF(OR(AND(E12="",F12="",OR(G12="Critical",G12="Major",G12="Minor"))),1,0)</formula>
    </cfRule>
  </conditionalFormatting>
  <conditionalFormatting sqref="F12:F17">
    <cfRule type="expression" dxfId="1174" priority="1214">
      <formula>IF(AND(F12="",OR(E12="Accuracy",E12="Fluency",E12="Segment",E12="Other")),1,0)</formula>
    </cfRule>
  </conditionalFormatting>
  <conditionalFormatting sqref="G18:G21">
    <cfRule type="expression" dxfId="1173" priority="1211">
      <formula>IF(AND(OR(G18="",E18="Segment"),OR(E18="Accuracy",E18="Fluency",E18="Other")),1,0)</formula>
    </cfRule>
  </conditionalFormatting>
  <conditionalFormatting sqref="E18:G21">
    <cfRule type="expression" dxfId="1172" priority="1213">
      <formula>IF(OR(AND(E18="",F18="",OR(G18="Critical",G18="Major",G18="Minor"))),1,0)</formula>
    </cfRule>
  </conditionalFormatting>
  <conditionalFormatting sqref="F18:F21">
    <cfRule type="expression" dxfId="1171" priority="1212">
      <formula>IF(AND(F18="",OR(E18="Accuracy",E18="Fluency",E18="Segment",E18="Other")),1,0)</formula>
    </cfRule>
  </conditionalFormatting>
  <conditionalFormatting sqref="E22:E28">
    <cfRule type="expression" dxfId="1170" priority="1208">
      <formula>IF(AND(E22="",OR(#REF!="Accuracy",#REF!="Fluency",#REF!="Segment",#REF!="Other")),1,0)</formula>
    </cfRule>
  </conditionalFormatting>
  <conditionalFormatting sqref="G380:G384 G373:G377 G365 G369 G371 G348:G362 G340 G344:G345 G330:G331 G333 G326:G328 G323:G324 G310:G320 G298 G301:G304 G289:G290 G295:G296 G282 G284:G285 G280 G274 G268:G269 G262 G236:G247 G250:G255 G257 G227:G232 G194:G225 G190 G180:G188 G172 G157:G158 G169 G152 G155 G116:G147 G96:G112 G47:G93 G22:G26 G31:G39">
    <cfRule type="expression" dxfId="1169" priority="1209">
      <formula>IF(AND(OR(G22="",#REF!="Segment"),OR(#REF!="Accuracy",#REF!="Fluency",#REF!="Other")),1,0)</formula>
    </cfRule>
  </conditionalFormatting>
  <conditionalFormatting sqref="E22:E28">
    <cfRule type="expression" dxfId="1168" priority="1210">
      <formula>IF(OR(AND(E22="",#REF!="",OR(H22="Critical",H22="Major",H22="Minor"))),1,0)</formula>
    </cfRule>
  </conditionalFormatting>
  <conditionalFormatting sqref="G27:G28">
    <cfRule type="expression" dxfId="1167" priority="1207">
      <formula>IF(OR(AND(G27="",H27="",OR(I27="Critical",I27="Major",I27="Minor"))),1,0)</formula>
    </cfRule>
  </conditionalFormatting>
  <conditionalFormatting sqref="G27:G28">
    <cfRule type="expression" dxfId="1166" priority="1206">
      <formula>IF(AND(OR(G27="",E27="Segment"),OR(E27="Accuracy",E27="Fluency",E27="Other")),1,0)</formula>
    </cfRule>
  </conditionalFormatting>
  <conditionalFormatting sqref="E29:F30">
    <cfRule type="expression" dxfId="1165" priority="1205">
      <formula>IF(OR(AND(E29="",F29="",OR(G29="Critical",G29="Major",G29="Minor"))),1,0)</formula>
    </cfRule>
  </conditionalFormatting>
  <conditionalFormatting sqref="F29:F30">
    <cfRule type="expression" dxfId="1164" priority="1204">
      <formula>IF(AND(F29="",OR(E29="Accuracy",E29="Fluency",E29="Segment",E29="Other")),1,0)</formula>
    </cfRule>
  </conditionalFormatting>
  <conditionalFormatting sqref="G29:G30">
    <cfRule type="expression" dxfId="1163" priority="1203">
      <formula>IF(OR(AND(G29="",H29="",OR(I29="Critical",I29="Major",I29="Minor"))),1,0)</formula>
    </cfRule>
  </conditionalFormatting>
  <conditionalFormatting sqref="G29:G30">
    <cfRule type="expression" dxfId="1162" priority="1202">
      <formula>IF(AND(OR(G29="",E29="Segment"),OR(E29="Accuracy",E29="Fluency",E29="Other")),1,0)</formula>
    </cfRule>
  </conditionalFormatting>
  <conditionalFormatting sqref="F40:F42">
    <cfRule type="expression" dxfId="1161" priority="1199">
      <formula>IF(OR(AND(F40="",G40="",OR(H41="Critical",H41="Major",H41="Minor"))),1,0)</formula>
    </cfRule>
  </conditionalFormatting>
  <conditionalFormatting sqref="G38:G39">
    <cfRule type="expression" dxfId="1160" priority="1200">
      <formula>IF(OR(AND(G38="",H40="",OR(I38="Critical",I38="Major",I38="Minor"))),1,0)</formula>
    </cfRule>
  </conditionalFormatting>
  <conditionalFormatting sqref="F38:F39">
    <cfRule type="expression" dxfId="1159" priority="1201">
      <formula>IF(OR(AND(F38="",G38="",OR(H40="Critical",H40="Major",H40="Minor"))),1,0)</formula>
    </cfRule>
  </conditionalFormatting>
  <conditionalFormatting sqref="G40:G42">
    <cfRule type="expression" dxfId="1158" priority="1198">
      <formula>IF(OR(AND(G40="",H40="",OR(I40="Critical",I40="Major",I40="Minor"))),1,0)</formula>
    </cfRule>
  </conditionalFormatting>
  <conditionalFormatting sqref="G40:G42">
    <cfRule type="expression" dxfId="1157" priority="1197">
      <formula>IF(AND(OR(G40="",E40="Segment"),OR(E40="Accuracy",E40="Fluency",E40="Other")),1,0)</formula>
    </cfRule>
  </conditionalFormatting>
  <conditionalFormatting sqref="H44:H71">
    <cfRule type="expression" dxfId="1156" priority="1195">
      <formula>IF(OR(AND(H44="",J44="",OR(#REF!="Critical",#REF!="Major",#REF!="Minor"))),1,0)</formula>
    </cfRule>
  </conditionalFormatting>
  <conditionalFormatting sqref="G43:G46">
    <cfRule type="expression" dxfId="1155" priority="1194">
      <formula>IF(OR(AND(G43="",H43="",OR(I43="Critical",I43="Major",I43="Minor"))),1,0)</formula>
    </cfRule>
  </conditionalFormatting>
  <conditionalFormatting sqref="G43:G46">
    <cfRule type="expression" dxfId="1154" priority="1193">
      <formula>IF(AND(OR(G43="",E43="Segment"),OR(E43="Accuracy",E43="Fluency",E43="Other")),1,0)</formula>
    </cfRule>
  </conditionalFormatting>
  <conditionalFormatting sqref="F43:F46">
    <cfRule type="expression" dxfId="1153" priority="1196">
      <formula>IF(OR(AND(F43="",G43="",OR(H66="Critical",H66="Major",H66="Minor"))),1,0)</formula>
    </cfRule>
  </conditionalFormatting>
  <conditionalFormatting sqref="E94:G95">
    <cfRule type="expression" dxfId="1152" priority="1191">
      <formula>IF(OR(AND(E94="",F94="",OR(G94="Critical",G94="Major",G94="Minor"))),1,0)</formula>
    </cfRule>
  </conditionalFormatting>
  <conditionalFormatting sqref="F94:F95">
    <cfRule type="expression" dxfId="1151" priority="1190">
      <formula>IF(AND(F94="",OR(E94="Accuracy",E94="Fluency",E94="Segment",E94="Other")),1,0)</formula>
    </cfRule>
  </conditionalFormatting>
  <conditionalFormatting sqref="G94:G95">
    <cfRule type="expression" dxfId="1150" priority="1192">
      <formula>IF(AND(OR(G94="",#REF!="Segment"),OR(#REF!="Accuracy",#REF!="Fluency",#REF!="Other")),1,0)</formula>
    </cfRule>
  </conditionalFormatting>
  <conditionalFormatting sqref="E113:G113">
    <cfRule type="expression" dxfId="1149" priority="1188">
      <formula>IF(OR(AND(E113="",F113="",OR(G113="Critical",G113="Major",G113="Minor"))),1,0)</formula>
    </cfRule>
  </conditionalFormatting>
  <conditionalFormatting sqref="F113">
    <cfRule type="expression" dxfId="1148" priority="1187">
      <formula>IF(AND(F113="",OR(E113="Accuracy",E113="Fluency",E113="Segment",E113="Other")),1,0)</formula>
    </cfRule>
  </conditionalFormatting>
  <conditionalFormatting sqref="G113">
    <cfRule type="expression" dxfId="1147" priority="1189">
      <formula>IF(AND(OR(G113="",#REF!="Segment"),OR(#REF!="Accuracy",#REF!="Fluency",#REF!="Other")),1,0)</formula>
    </cfRule>
  </conditionalFormatting>
  <conditionalFormatting sqref="E115:G115">
    <cfRule type="expression" dxfId="1146" priority="1182">
      <formula>IF(OR(AND(E115="",F115="",OR(G115="Critical",G115="Major",G115="Minor"))),1,0)</formula>
    </cfRule>
  </conditionalFormatting>
  <conditionalFormatting sqref="F115">
    <cfRule type="expression" dxfId="1145" priority="1181">
      <formula>IF(AND(F115="",OR(E115="Accuracy",E115="Fluency",E115="Segment",E115="Other")),1,0)</formula>
    </cfRule>
  </conditionalFormatting>
  <conditionalFormatting sqref="G115">
    <cfRule type="expression" dxfId="1144" priority="1183">
      <formula>IF(AND(OR(G115="",#REF!="Segment"),OR(#REF!="Accuracy",#REF!="Fluency",#REF!="Other")),1,0)</formula>
    </cfRule>
  </conditionalFormatting>
  <conditionalFormatting sqref="E114:G114">
    <cfRule type="expression" dxfId="1143" priority="1185">
      <formula>IF(OR(AND(E114="",F114="",OR(G114="Critical",G114="Major",G114="Minor"))),1,0)</formula>
    </cfRule>
  </conditionalFormatting>
  <conditionalFormatting sqref="F114">
    <cfRule type="expression" dxfId="1142" priority="1184">
      <formula>IF(AND(F114="",OR(E114="Accuracy",E114="Fluency",E114="Segment",E114="Other")),1,0)</formula>
    </cfRule>
  </conditionalFormatting>
  <conditionalFormatting sqref="G114">
    <cfRule type="expression" dxfId="1141" priority="1186">
      <formula>IF(AND(OR(G114="",#REF!="Segment"),OR(#REF!="Accuracy",#REF!="Fluency",#REF!="Other")),1,0)</formula>
    </cfRule>
  </conditionalFormatting>
  <conditionalFormatting sqref="E148:G148">
    <cfRule type="expression" dxfId="1140" priority="1179">
      <formula>IF(OR(AND(E148="",F148="",OR(G148="Critical",G148="Major",G148="Minor"))),1,0)</formula>
    </cfRule>
  </conditionalFormatting>
  <conditionalFormatting sqref="F148">
    <cfRule type="expression" dxfId="1139" priority="1178">
      <formula>IF(AND(F148="",OR(E148="Accuracy",E148="Fluency",E148="Segment",E148="Other")),1,0)</formula>
    </cfRule>
  </conditionalFormatting>
  <conditionalFormatting sqref="G148">
    <cfRule type="expression" dxfId="1138" priority="1180">
      <formula>IF(AND(OR(G148="",#REF!="Segment"),OR(#REF!="Accuracy",#REF!="Fluency",#REF!="Other")),1,0)</formula>
    </cfRule>
  </conditionalFormatting>
  <conditionalFormatting sqref="E149:G149">
    <cfRule type="expression" dxfId="1137" priority="1176">
      <formula>IF(OR(AND(E149="",F149="",OR(G149="Critical",G149="Major",G149="Minor"))),1,0)</formula>
    </cfRule>
  </conditionalFormatting>
  <conditionalFormatting sqref="F149">
    <cfRule type="expression" dxfId="1136" priority="1175">
      <formula>IF(AND(F149="",OR(E149="Accuracy",E149="Fluency",E149="Segment",E149="Other")),1,0)</formula>
    </cfRule>
  </conditionalFormatting>
  <conditionalFormatting sqref="G149">
    <cfRule type="expression" dxfId="1135" priority="1177">
      <formula>IF(AND(OR(G149="",#REF!="Segment"),OR(#REF!="Accuracy",#REF!="Fluency",#REF!="Other")),1,0)</formula>
    </cfRule>
  </conditionalFormatting>
  <conditionalFormatting sqref="E150:G150">
    <cfRule type="expression" dxfId="1134" priority="1173">
      <formula>IF(OR(AND(E150="",F150="",OR(G150="Critical",G150="Major",G150="Minor"))),1,0)</formula>
    </cfRule>
  </conditionalFormatting>
  <conditionalFormatting sqref="F150">
    <cfRule type="expression" dxfId="1133" priority="1172">
      <formula>IF(AND(F150="",OR(E150="Accuracy",E150="Fluency",E150="Segment",E150="Other")),1,0)</formula>
    </cfRule>
  </conditionalFormatting>
  <conditionalFormatting sqref="G150">
    <cfRule type="expression" dxfId="1132" priority="1174">
      <formula>IF(AND(OR(G150="",#REF!="Segment"),OR(#REF!="Accuracy",#REF!="Fluency",#REF!="Other")),1,0)</formula>
    </cfRule>
  </conditionalFormatting>
  <conditionalFormatting sqref="E151:G151">
    <cfRule type="expression" dxfId="1131" priority="1170">
      <formula>IF(OR(AND(E151="",F151="",OR(G151="Critical",G151="Major",G151="Minor"))),1,0)</formula>
    </cfRule>
  </conditionalFormatting>
  <conditionalFormatting sqref="F151">
    <cfRule type="expression" dxfId="1130" priority="1169">
      <formula>IF(AND(F151="",OR(E151="Accuracy",E151="Fluency",E151="Segment",E151="Other")),1,0)</formula>
    </cfRule>
  </conditionalFormatting>
  <conditionalFormatting sqref="G151">
    <cfRule type="expression" dxfId="1129" priority="1171">
      <formula>IF(AND(OR(G151="",#REF!="Segment"),OR(#REF!="Accuracy",#REF!="Fluency",#REF!="Other")),1,0)</formula>
    </cfRule>
  </conditionalFormatting>
  <conditionalFormatting sqref="E153:G153 G154">
    <cfRule type="expression" dxfId="1128" priority="1167">
      <formula>IF(OR(AND(E153="",F153="",OR(G153="Critical",G153="Major",G153="Minor"))),1,0)</formula>
    </cfRule>
  </conditionalFormatting>
  <conditionalFormatting sqref="F153">
    <cfRule type="expression" dxfId="1127" priority="1166">
      <formula>IF(AND(F153="",OR(E153="Accuracy",E153="Fluency",E153="Segment",E153="Other")),1,0)</formula>
    </cfRule>
  </conditionalFormatting>
  <conditionalFormatting sqref="G153:G154">
    <cfRule type="expression" dxfId="1126" priority="1168">
      <formula>IF(AND(OR(G153="",#REF!="Segment"),OR(#REF!="Accuracy",#REF!="Fluency",#REF!="Other")),1,0)</formula>
    </cfRule>
  </conditionalFormatting>
  <conditionalFormatting sqref="E156:G156">
    <cfRule type="expression" dxfId="1125" priority="1164">
      <formula>IF(OR(AND(E156="",F156="",OR(G156="Critical",G156="Major",G156="Minor"))),1,0)</formula>
    </cfRule>
  </conditionalFormatting>
  <conditionalFormatting sqref="F156">
    <cfRule type="expression" dxfId="1124" priority="1163">
      <formula>IF(AND(F156="",OR(E156="Accuracy",E156="Fluency",E156="Segment",E156="Other")),1,0)</formula>
    </cfRule>
  </conditionalFormatting>
  <conditionalFormatting sqref="G156">
    <cfRule type="expression" dxfId="1123" priority="1165">
      <formula>IF(AND(OR(G156="",#REF!="Segment"),OR(#REF!="Accuracy",#REF!="Fluency",#REF!="Other")),1,0)</formula>
    </cfRule>
  </conditionalFormatting>
  <conditionalFormatting sqref="E159:G159">
    <cfRule type="expression" dxfId="1122" priority="1161">
      <formula>IF(OR(AND(E159="",F159="",OR(G159="Critical",G159="Major",G159="Minor"))),1,0)</formula>
    </cfRule>
  </conditionalFormatting>
  <conditionalFormatting sqref="F159">
    <cfRule type="expression" dxfId="1121" priority="1160">
      <formula>IF(AND(F159="",OR(E159="Accuracy",E159="Fluency",E159="Segment",E159="Other")),1,0)</formula>
    </cfRule>
  </conditionalFormatting>
  <conditionalFormatting sqref="G159">
    <cfRule type="expression" dxfId="1120" priority="1162">
      <formula>IF(AND(OR(G159="",#REF!="Segment"),OR(#REF!="Accuracy",#REF!="Fluency",#REF!="Other")),1,0)</formula>
    </cfRule>
  </conditionalFormatting>
  <conditionalFormatting sqref="E160:G160">
    <cfRule type="expression" dxfId="1119" priority="1158">
      <formula>IF(OR(AND(E160="",F160="",OR(G160="Critical",G160="Major",G160="Minor"))),1,0)</formula>
    </cfRule>
  </conditionalFormatting>
  <conditionalFormatting sqref="F160">
    <cfRule type="expression" dxfId="1118" priority="1157">
      <formula>IF(AND(F160="",OR(E160="Accuracy",E160="Fluency",E160="Segment",E160="Other")),1,0)</formula>
    </cfRule>
  </conditionalFormatting>
  <conditionalFormatting sqref="G160">
    <cfRule type="expression" dxfId="1117" priority="1159">
      <formula>IF(AND(OR(G160="",#REF!="Segment"),OR(#REF!="Accuracy",#REF!="Fluency",#REF!="Other")),1,0)</formula>
    </cfRule>
  </conditionalFormatting>
  <conditionalFormatting sqref="E161:G161">
    <cfRule type="expression" dxfId="1116" priority="1155">
      <formula>IF(OR(AND(E161="",F161="",OR(G161="Critical",G161="Major",G161="Minor"))),1,0)</formula>
    </cfRule>
  </conditionalFormatting>
  <conditionalFormatting sqref="F161">
    <cfRule type="expression" dxfId="1115" priority="1154">
      <formula>IF(AND(F161="",OR(E161="Accuracy",E161="Fluency",E161="Segment",E161="Other")),1,0)</formula>
    </cfRule>
  </conditionalFormatting>
  <conditionalFormatting sqref="G161">
    <cfRule type="expression" dxfId="1114" priority="1156">
      <formula>IF(AND(OR(G161="",#REF!="Segment"),OR(#REF!="Accuracy",#REF!="Fluency",#REF!="Other")),1,0)</formula>
    </cfRule>
  </conditionalFormatting>
  <conditionalFormatting sqref="E162:G162">
    <cfRule type="expression" dxfId="1113" priority="1152">
      <formula>IF(OR(AND(E162="",F162="",OR(G162="Critical",G162="Major",G162="Minor"))),1,0)</formula>
    </cfRule>
  </conditionalFormatting>
  <conditionalFormatting sqref="F162">
    <cfRule type="expression" dxfId="1112" priority="1151">
      <formula>IF(AND(F162="",OR(E162="Accuracy",E162="Fluency",E162="Segment",E162="Other")),1,0)</formula>
    </cfRule>
  </conditionalFormatting>
  <conditionalFormatting sqref="G162">
    <cfRule type="expression" dxfId="1111" priority="1153">
      <formula>IF(AND(OR(G162="",#REF!="Segment"),OR(#REF!="Accuracy",#REF!="Fluency",#REF!="Other")),1,0)</formula>
    </cfRule>
  </conditionalFormatting>
  <conditionalFormatting sqref="E163:G163">
    <cfRule type="expression" dxfId="1110" priority="1149">
      <formula>IF(OR(AND(E163="",F163="",OR(G163="Critical",G163="Major",G163="Minor"))),1,0)</formula>
    </cfRule>
  </conditionalFormatting>
  <conditionalFormatting sqref="F163">
    <cfRule type="expression" dxfId="1109" priority="1148">
      <formula>IF(AND(F163="",OR(E163="Accuracy",E163="Fluency",E163="Segment",E163="Other")),1,0)</formula>
    </cfRule>
  </conditionalFormatting>
  <conditionalFormatting sqref="G163">
    <cfRule type="expression" dxfId="1108" priority="1150">
      <formula>IF(AND(OR(G163="",#REF!="Segment"),OR(#REF!="Accuracy",#REF!="Fluency",#REF!="Other")),1,0)</formula>
    </cfRule>
  </conditionalFormatting>
  <conditionalFormatting sqref="E164:G164">
    <cfRule type="expression" dxfId="1107" priority="1146">
      <formula>IF(OR(AND(E164="",F164="",OR(G164="Critical",G164="Major",G164="Minor"))),1,0)</formula>
    </cfRule>
  </conditionalFormatting>
  <conditionalFormatting sqref="F164">
    <cfRule type="expression" dxfId="1106" priority="1145">
      <formula>IF(AND(F164="",OR(E164="Accuracy",E164="Fluency",E164="Segment",E164="Other")),1,0)</formula>
    </cfRule>
  </conditionalFormatting>
  <conditionalFormatting sqref="G164">
    <cfRule type="expression" dxfId="1105" priority="1147">
      <formula>IF(AND(OR(G164="",#REF!="Segment"),OR(#REF!="Accuracy",#REF!="Fluency",#REF!="Other")),1,0)</formula>
    </cfRule>
  </conditionalFormatting>
  <conditionalFormatting sqref="E165:G165">
    <cfRule type="expression" dxfId="1104" priority="1143">
      <formula>IF(OR(AND(E165="",F165="",OR(G165="Critical",G165="Major",G165="Minor"))),1,0)</formula>
    </cfRule>
  </conditionalFormatting>
  <conditionalFormatting sqref="F165">
    <cfRule type="expression" dxfId="1103" priority="1142">
      <formula>IF(AND(F165="",OR(E165="Accuracy",E165="Fluency",E165="Segment",E165="Other")),1,0)</formula>
    </cfRule>
  </conditionalFormatting>
  <conditionalFormatting sqref="G165">
    <cfRule type="expression" dxfId="1102" priority="1144">
      <formula>IF(AND(OR(G165="",#REF!="Segment"),OR(#REF!="Accuracy",#REF!="Fluency",#REF!="Other")),1,0)</formula>
    </cfRule>
  </conditionalFormatting>
  <conditionalFormatting sqref="E166:G166">
    <cfRule type="expression" dxfId="1101" priority="1140">
      <formula>IF(OR(AND(E166="",F166="",OR(G166="Critical",G166="Major",G166="Minor"))),1,0)</formula>
    </cfRule>
  </conditionalFormatting>
  <conditionalFormatting sqref="F166">
    <cfRule type="expression" dxfId="1100" priority="1139">
      <formula>IF(AND(F166="",OR(E166="Accuracy",E166="Fluency",E166="Segment",E166="Other")),1,0)</formula>
    </cfRule>
  </conditionalFormatting>
  <conditionalFormatting sqref="G166">
    <cfRule type="expression" dxfId="1099" priority="1141">
      <formula>IF(AND(OR(G166="",#REF!="Segment"),OR(#REF!="Accuracy",#REF!="Fluency",#REF!="Other")),1,0)</formula>
    </cfRule>
  </conditionalFormatting>
  <conditionalFormatting sqref="E167:G167">
    <cfRule type="expression" dxfId="1098" priority="1137">
      <formula>IF(OR(AND(E167="",F167="",OR(G167="Critical",G167="Major",G167="Minor"))),1,0)</formula>
    </cfRule>
  </conditionalFormatting>
  <conditionalFormatting sqref="F167">
    <cfRule type="expression" dxfId="1097" priority="1136">
      <formula>IF(AND(F167="",OR(E167="Accuracy",E167="Fluency",E167="Segment",E167="Other")),1,0)</formula>
    </cfRule>
  </conditionalFormatting>
  <conditionalFormatting sqref="G167">
    <cfRule type="expression" dxfId="1096" priority="1138">
      <formula>IF(AND(OR(G167="",#REF!="Segment"),OR(#REF!="Accuracy",#REF!="Fluency",#REF!="Other")),1,0)</formula>
    </cfRule>
  </conditionalFormatting>
  <conditionalFormatting sqref="E168:G168">
    <cfRule type="expression" dxfId="1095" priority="1134">
      <formula>IF(OR(AND(E168="",F168="",OR(G168="Critical",G168="Major",G168="Minor"))),1,0)</formula>
    </cfRule>
  </conditionalFormatting>
  <conditionalFormatting sqref="F168">
    <cfRule type="expression" dxfId="1094" priority="1133">
      <formula>IF(AND(F168="",OR(E168="Accuracy",E168="Fluency",E168="Segment",E168="Other")),1,0)</formula>
    </cfRule>
  </conditionalFormatting>
  <conditionalFormatting sqref="G168">
    <cfRule type="expression" dxfId="1093" priority="1135">
      <formula>IF(AND(OR(G168="",#REF!="Segment"),OR(#REF!="Accuracy",#REF!="Fluency",#REF!="Other")),1,0)</formula>
    </cfRule>
  </conditionalFormatting>
  <conditionalFormatting sqref="E170:G170">
    <cfRule type="expression" dxfId="1092" priority="1131">
      <formula>IF(OR(AND(E170="",F170="",OR(G170="Critical",G170="Major",G170="Minor"))),1,0)</formula>
    </cfRule>
  </conditionalFormatting>
  <conditionalFormatting sqref="F170">
    <cfRule type="expression" dxfId="1091" priority="1130">
      <formula>IF(AND(F170="",OR(E170="Accuracy",E170="Fluency",E170="Segment",E170="Other")),1,0)</formula>
    </cfRule>
  </conditionalFormatting>
  <conditionalFormatting sqref="G170">
    <cfRule type="expression" dxfId="1090" priority="1132">
      <formula>IF(AND(OR(G170="",#REF!="Segment"),OR(#REF!="Accuracy",#REF!="Fluency",#REF!="Other")),1,0)</formula>
    </cfRule>
  </conditionalFormatting>
  <conditionalFormatting sqref="E171:G171">
    <cfRule type="expression" dxfId="1089" priority="1128">
      <formula>IF(OR(AND(E171="",F171="",OR(G171="Critical",G171="Major",G171="Minor"))),1,0)</formula>
    </cfRule>
  </conditionalFormatting>
  <conditionalFormatting sqref="F171">
    <cfRule type="expression" dxfId="1088" priority="1127">
      <formula>IF(AND(F171="",OR(E171="Accuracy",E171="Fluency",E171="Segment",E171="Other")),1,0)</formula>
    </cfRule>
  </conditionalFormatting>
  <conditionalFormatting sqref="G171">
    <cfRule type="expression" dxfId="1087" priority="1129">
      <formula>IF(AND(OR(G171="",#REF!="Segment"),OR(#REF!="Accuracy",#REF!="Fluency",#REF!="Other")),1,0)</formula>
    </cfRule>
  </conditionalFormatting>
  <conditionalFormatting sqref="E173:G173 E175:G176 G174">
    <cfRule type="expression" dxfId="1086" priority="1125">
      <formula>IF(OR(AND(E173="",F173="",OR(G173="Critical",G173="Major",G173="Minor"))),1,0)</formula>
    </cfRule>
  </conditionalFormatting>
  <conditionalFormatting sqref="F173 F175:F176">
    <cfRule type="expression" dxfId="1085" priority="1124">
      <formula>IF(AND(F173="",OR(E173="Accuracy",E173="Fluency",E173="Segment",E173="Other")),1,0)</formula>
    </cfRule>
  </conditionalFormatting>
  <conditionalFormatting sqref="G173:G176">
    <cfRule type="expression" dxfId="1084" priority="1126">
      <formula>IF(AND(OR(G173="",#REF!="Segment"),OR(#REF!="Accuracy",#REF!="Fluency",#REF!="Other")),1,0)</formula>
    </cfRule>
  </conditionalFormatting>
  <conditionalFormatting sqref="E177:G177">
    <cfRule type="expression" dxfId="1083" priority="1122">
      <formula>IF(OR(AND(E177="",F177="",OR(G177="Critical",G177="Major",G177="Minor"))),1,0)</formula>
    </cfRule>
  </conditionalFormatting>
  <conditionalFormatting sqref="F177">
    <cfRule type="expression" dxfId="1082" priority="1121">
      <formula>IF(AND(F177="",OR(E177="Accuracy",E177="Fluency",E177="Segment",E177="Other")),1,0)</formula>
    </cfRule>
  </conditionalFormatting>
  <conditionalFormatting sqref="G177">
    <cfRule type="expression" dxfId="1081" priority="1123">
      <formula>IF(AND(OR(G177="",#REF!="Segment"),OR(#REF!="Accuracy",#REF!="Fluency",#REF!="Other")),1,0)</formula>
    </cfRule>
  </conditionalFormatting>
  <conditionalFormatting sqref="E178:G178">
    <cfRule type="expression" dxfId="1080" priority="1119">
      <formula>IF(OR(AND(E178="",F178="",OR(G178="Critical",G178="Major",G178="Minor"))),1,0)</formula>
    </cfRule>
  </conditionalFormatting>
  <conditionalFormatting sqref="F178">
    <cfRule type="expression" dxfId="1079" priority="1118">
      <formula>IF(AND(F178="",OR(E178="Accuracy",E178="Fluency",E178="Segment",E178="Other")),1,0)</formula>
    </cfRule>
  </conditionalFormatting>
  <conditionalFormatting sqref="G178">
    <cfRule type="expression" dxfId="1078" priority="1120">
      <formula>IF(AND(OR(G178="",#REF!="Segment"),OR(#REF!="Accuracy",#REF!="Fluency",#REF!="Other")),1,0)</formula>
    </cfRule>
  </conditionalFormatting>
  <conditionalFormatting sqref="E179:G179">
    <cfRule type="expression" dxfId="1077" priority="1116">
      <formula>IF(OR(AND(E179="",F179="",OR(G179="Critical",G179="Major",G179="Minor"))),1,0)</formula>
    </cfRule>
  </conditionalFormatting>
  <conditionalFormatting sqref="F179">
    <cfRule type="expression" dxfId="1076" priority="1115">
      <formula>IF(AND(F179="",OR(E179="Accuracy",E179="Fluency",E179="Segment",E179="Other")),1,0)</formula>
    </cfRule>
  </conditionalFormatting>
  <conditionalFormatting sqref="G179">
    <cfRule type="expression" dxfId="1075" priority="1117">
      <formula>IF(AND(OR(G179="",#REF!="Segment"),OR(#REF!="Accuracy",#REF!="Fluency",#REF!="Other")),1,0)</formula>
    </cfRule>
  </conditionalFormatting>
  <conditionalFormatting sqref="E188:F188">
    <cfRule type="expression" dxfId="1074" priority="1114">
      <formula>IF(OR(AND(E188="",F188="",OR(G188="Critical",G188="Major",G188="Minor"))),1,0)</formula>
    </cfRule>
  </conditionalFormatting>
  <conditionalFormatting sqref="F188">
    <cfRule type="expression" dxfId="1073" priority="1113">
      <formula>IF(AND(F188="",OR(E188="Accuracy",E188="Fluency",E188="Segment",E188="Other")),1,0)</formula>
    </cfRule>
  </conditionalFormatting>
  <conditionalFormatting sqref="G189">
    <cfRule type="expression" dxfId="1072" priority="1111">
      <formula>IF(OR(AND(G189="",H189="",OR(I189="Critical",I189="Major",I189="Minor"))),1,0)</formula>
    </cfRule>
  </conditionalFormatting>
  <conditionalFormatting sqref="G189">
    <cfRule type="expression" dxfId="1071" priority="1112">
      <formula>IF(AND(OR(G189="",#REF!="Segment"),OR(#REF!="Accuracy",#REF!="Fluency",#REF!="Other")),1,0)</formula>
    </cfRule>
  </conditionalFormatting>
  <conditionalFormatting sqref="E189:F189">
    <cfRule type="expression" dxfId="1070" priority="1110">
      <formula>IF(OR(AND(E189="",F189="",OR(G189="Critical",G189="Major",G189="Minor"))),1,0)</formula>
    </cfRule>
  </conditionalFormatting>
  <conditionalFormatting sqref="F189">
    <cfRule type="expression" dxfId="1069" priority="1109">
      <formula>IF(AND(F189="",OR(E189="Accuracy",E189="Fluency",E189="Segment",E189="Other")),1,0)</formula>
    </cfRule>
  </conditionalFormatting>
  <conditionalFormatting sqref="E190:F190">
    <cfRule type="expression" dxfId="1068" priority="1108">
      <formula>IF(OR(AND(E190="",F190="",OR(G190="Critical",G190="Major",G190="Minor"))),1,0)</formula>
    </cfRule>
  </conditionalFormatting>
  <conditionalFormatting sqref="F190">
    <cfRule type="expression" dxfId="1067" priority="1107">
      <formula>IF(AND(F190="",OR(E190="Accuracy",E190="Fluency",E190="Segment",E190="Other")),1,0)</formula>
    </cfRule>
  </conditionalFormatting>
  <conditionalFormatting sqref="G191">
    <cfRule type="expression" dxfId="1066" priority="1105">
      <formula>IF(OR(AND(G191="",H191="",OR(I191="Critical",I191="Major",I191="Minor"))),1,0)</formula>
    </cfRule>
  </conditionalFormatting>
  <conditionalFormatting sqref="G191">
    <cfRule type="expression" dxfId="1065" priority="1106">
      <formula>IF(AND(OR(G191="",#REF!="Segment"),OR(#REF!="Accuracy",#REF!="Fluency",#REF!="Other")),1,0)</formula>
    </cfRule>
  </conditionalFormatting>
  <conditionalFormatting sqref="E191:F191">
    <cfRule type="expression" dxfId="1064" priority="1104">
      <formula>IF(OR(AND(E191="",F191="",OR(G191="Critical",G191="Major",G191="Minor"))),1,0)</formula>
    </cfRule>
  </conditionalFormatting>
  <conditionalFormatting sqref="F191">
    <cfRule type="expression" dxfId="1063" priority="1103">
      <formula>IF(AND(F191="",OR(E191="Accuracy",E191="Fluency",E191="Segment",E191="Other")),1,0)</formula>
    </cfRule>
  </conditionalFormatting>
  <conditionalFormatting sqref="G192:G193">
    <cfRule type="expression" dxfId="1062" priority="1101">
      <formula>IF(OR(AND(G192="",H192="",OR(I192="Critical",I192="Major",I192="Minor"))),1,0)</formula>
    </cfRule>
  </conditionalFormatting>
  <conditionalFormatting sqref="G192:G193">
    <cfRule type="expression" dxfId="1061" priority="1102">
      <formula>IF(AND(OR(G192="",#REF!="Segment"),OR(#REF!="Accuracy",#REF!="Fluency",#REF!="Other")),1,0)</formula>
    </cfRule>
  </conditionalFormatting>
  <conditionalFormatting sqref="E192:F193">
    <cfRule type="expression" dxfId="1060" priority="1100">
      <formula>IF(OR(AND(E192="",F192="",OR(G192="Critical",G192="Major",G192="Minor"))),1,0)</formula>
    </cfRule>
  </conditionalFormatting>
  <conditionalFormatting sqref="F192:F193">
    <cfRule type="expression" dxfId="1059" priority="1099">
      <formula>IF(AND(F192="",OR(E192="Accuracy",E192="Fluency",E192="Segment",E192="Other")),1,0)</formula>
    </cfRule>
  </conditionalFormatting>
  <conditionalFormatting sqref="E199:F201">
    <cfRule type="expression" dxfId="1058" priority="1094">
      <formula>IF(OR(AND(E199="",F199="",OR(G199="Critical",G199="Major",G199="Minor"))),1,0)</formula>
    </cfRule>
  </conditionalFormatting>
  <conditionalFormatting sqref="F199:F201">
    <cfRule type="expression" dxfId="1057" priority="1093">
      <formula>IF(AND(F199="",OR(E199="Accuracy",E199="Fluency",E199="Segment",E199="Other")),1,0)</formula>
    </cfRule>
  </conditionalFormatting>
  <conditionalFormatting sqref="E196:F197">
    <cfRule type="expression" dxfId="1056" priority="1098">
      <formula>IF(OR(AND(E196="",F196="",OR(G196="Critical",G196="Major",G196="Minor"))),1,0)</formula>
    </cfRule>
  </conditionalFormatting>
  <conditionalFormatting sqref="F196:F197">
    <cfRule type="expression" dxfId="1055" priority="1097">
      <formula>IF(AND(F196="",OR(E196="Accuracy",E196="Fluency",E196="Segment",E196="Other")),1,0)</formula>
    </cfRule>
  </conditionalFormatting>
  <conditionalFormatting sqref="E198:F198">
    <cfRule type="expression" dxfId="1054" priority="1096">
      <formula>IF(OR(AND(E198="",F198="",OR(G198="Critical",G198="Major",G198="Minor"))),1,0)</formula>
    </cfRule>
  </conditionalFormatting>
  <conditionalFormatting sqref="F198">
    <cfRule type="expression" dxfId="1053" priority="1095">
      <formula>IF(AND(F198="",OR(E198="Accuracy",E198="Fluency",E198="Segment",E198="Other")),1,0)</formula>
    </cfRule>
  </conditionalFormatting>
  <conditionalFormatting sqref="E210:F210">
    <cfRule type="expression" dxfId="1052" priority="1092">
      <formula>IF(OR(AND(E210="",F210="",OR(G210="Critical",G210="Major",G210="Minor"))),1,0)</formula>
    </cfRule>
  </conditionalFormatting>
  <conditionalFormatting sqref="F210">
    <cfRule type="expression" dxfId="1051" priority="1091">
      <formula>IF(AND(F210="",OR(E210="Accuracy",E210="Fluency",E210="Segment",E210="Other")),1,0)</formula>
    </cfRule>
  </conditionalFormatting>
  <conditionalFormatting sqref="E211:F211">
    <cfRule type="expression" dxfId="1050" priority="1090">
      <formula>IF(OR(AND(E211="",F211="",OR(G211="Critical",G211="Major",G211="Minor"))),1,0)</formula>
    </cfRule>
  </conditionalFormatting>
  <conditionalFormatting sqref="F211">
    <cfRule type="expression" dxfId="1049" priority="1089">
      <formula>IF(AND(F211="",OR(E211="Accuracy",E211="Fluency",E211="Segment",E211="Other")),1,0)</formula>
    </cfRule>
  </conditionalFormatting>
  <conditionalFormatting sqref="E226:G226">
    <cfRule type="expression" dxfId="1048" priority="1087">
      <formula>IF(OR(AND(E226="",F226="",OR(G226="Critical",G226="Major",G226="Minor"))),1,0)</formula>
    </cfRule>
  </conditionalFormatting>
  <conditionalFormatting sqref="F226">
    <cfRule type="expression" dxfId="1047" priority="1086">
      <formula>IF(AND(F226="",OR(E226="Accuracy",E226="Fluency",E226="Segment",E226="Other")),1,0)</formula>
    </cfRule>
  </conditionalFormatting>
  <conditionalFormatting sqref="G226">
    <cfRule type="expression" dxfId="1046" priority="1088">
      <formula>IF(AND(OR(G226="",#REF!="Segment"),OR(#REF!="Accuracy",#REF!="Fluency",#REF!="Other")),1,0)</formula>
    </cfRule>
  </conditionalFormatting>
  <conditionalFormatting sqref="E233:G233">
    <cfRule type="expression" dxfId="1045" priority="1084">
      <formula>IF(OR(AND(E233="",F233="",OR(G233="Critical",G233="Major",G233="Minor"))),1,0)</formula>
    </cfRule>
  </conditionalFormatting>
  <conditionalFormatting sqref="F233">
    <cfRule type="expression" dxfId="1044" priority="1083">
      <formula>IF(AND(F233="",OR(E233="Accuracy",E233="Fluency",E233="Segment",E233="Other")),1,0)</formula>
    </cfRule>
  </conditionalFormatting>
  <conditionalFormatting sqref="G233">
    <cfRule type="expression" dxfId="1043" priority="1085">
      <formula>IF(AND(OR(G233="",#REF!="Segment"),OR(#REF!="Accuracy",#REF!="Fluency",#REF!="Other")),1,0)</formula>
    </cfRule>
  </conditionalFormatting>
  <conditionalFormatting sqref="E234:G234">
    <cfRule type="expression" dxfId="1042" priority="1081">
      <formula>IF(OR(AND(E234="",F234="",OR(G234="Critical",G234="Major",G234="Minor"))),1,0)</formula>
    </cfRule>
  </conditionalFormatting>
  <conditionalFormatting sqref="F234">
    <cfRule type="expression" dxfId="1041" priority="1080">
      <formula>IF(AND(F234="",OR(E234="Accuracy",E234="Fluency",E234="Segment",E234="Other")),1,0)</formula>
    </cfRule>
  </conditionalFormatting>
  <conditionalFormatting sqref="G234">
    <cfRule type="expression" dxfId="1040" priority="1082">
      <formula>IF(AND(OR(G234="",#REF!="Segment"),OR(#REF!="Accuracy",#REF!="Fluency",#REF!="Other")),1,0)</formula>
    </cfRule>
  </conditionalFormatting>
  <conditionalFormatting sqref="E235:G235">
    <cfRule type="expression" dxfId="1039" priority="1078">
      <formula>IF(OR(AND(E235="",F235="",OR(G235="Critical",G235="Major",G235="Minor"))),1,0)</formula>
    </cfRule>
  </conditionalFormatting>
  <conditionalFormatting sqref="F235">
    <cfRule type="expression" dxfId="1038" priority="1077">
      <formula>IF(AND(F235="",OR(E235="Accuracy",E235="Fluency",E235="Segment",E235="Other")),1,0)</formula>
    </cfRule>
  </conditionalFormatting>
  <conditionalFormatting sqref="G235">
    <cfRule type="expression" dxfId="1037" priority="1079">
      <formula>IF(AND(OR(G235="",#REF!="Segment"),OR(#REF!="Accuracy",#REF!="Fluency",#REF!="Other")),1,0)</formula>
    </cfRule>
  </conditionalFormatting>
  <conditionalFormatting sqref="E248:G249 E250:F253">
    <cfRule type="expression" dxfId="1036" priority="1075">
      <formula>IF(OR(AND(E248="",F248="",OR(G248="Critical",G248="Major",G248="Minor"))),1,0)</formula>
    </cfRule>
  </conditionalFormatting>
  <conditionalFormatting sqref="F248:F253">
    <cfRule type="expression" dxfId="1035" priority="1074">
      <formula>IF(AND(F248="",OR(E248="Accuracy",E248="Fluency",E248="Segment",E248="Other")),1,0)</formula>
    </cfRule>
  </conditionalFormatting>
  <conditionalFormatting sqref="G248:G249">
    <cfRule type="expression" dxfId="1034" priority="1076">
      <formula>IF(AND(OR(G248="",#REF!="Segment"),OR(#REF!="Accuracy",#REF!="Fluency",#REF!="Other")),1,0)</formula>
    </cfRule>
  </conditionalFormatting>
  <conditionalFormatting sqref="G256">
    <cfRule type="expression" dxfId="1033" priority="1072">
      <formula>IF(OR(AND(G256="",H256="",OR(I256="Critical",I256="Major",I256="Minor"))),1,0)</formula>
    </cfRule>
  </conditionalFormatting>
  <conditionalFormatting sqref="G256">
    <cfRule type="expression" dxfId="1032" priority="1073">
      <formula>IF(AND(OR(G256="",#REF!="Segment"),OR(#REF!="Accuracy",#REF!="Fluency",#REF!="Other")),1,0)</formula>
    </cfRule>
  </conditionalFormatting>
  <conditionalFormatting sqref="E258:G258">
    <cfRule type="expression" dxfId="1031" priority="1070">
      <formula>IF(OR(AND(E258="",F258="",OR(G258="Critical",G258="Major",G258="Minor"))),1,0)</formula>
    </cfRule>
  </conditionalFormatting>
  <conditionalFormatting sqref="F258">
    <cfRule type="expression" dxfId="1030" priority="1069">
      <formula>IF(AND(F258="",OR(E258="Accuracy",E258="Fluency",E258="Segment",E258="Other")),1,0)</formula>
    </cfRule>
  </conditionalFormatting>
  <conditionalFormatting sqref="G258">
    <cfRule type="expression" dxfId="1029" priority="1071">
      <formula>IF(AND(OR(G258="",#REF!="Segment"),OR(#REF!="Accuracy",#REF!="Fluency",#REF!="Other")),1,0)</formula>
    </cfRule>
  </conditionalFormatting>
  <conditionalFormatting sqref="E259:G260">
    <cfRule type="expression" dxfId="1028" priority="1067">
      <formula>IF(OR(AND(E259="",F259="",OR(G259="Critical",G259="Major",G259="Minor"))),1,0)</formula>
    </cfRule>
  </conditionalFormatting>
  <conditionalFormatting sqref="F259:F260">
    <cfRule type="expression" dxfId="1027" priority="1066">
      <formula>IF(AND(F259="",OR(E259="Accuracy",E259="Fluency",E259="Segment",E259="Other")),1,0)</formula>
    </cfRule>
  </conditionalFormatting>
  <conditionalFormatting sqref="G259:G260">
    <cfRule type="expression" dxfId="1026" priority="1068">
      <formula>IF(AND(OR(G259="",#REF!="Segment"),OR(#REF!="Accuracy",#REF!="Fluency",#REF!="Other")),1,0)</formula>
    </cfRule>
  </conditionalFormatting>
  <conditionalFormatting sqref="G261">
    <cfRule type="expression" dxfId="1025" priority="1064">
      <formula>IF(OR(AND(G261="",H261="",OR(I261="Critical",I261="Major",I261="Minor"))),1,0)</formula>
    </cfRule>
  </conditionalFormatting>
  <conditionalFormatting sqref="G261">
    <cfRule type="expression" dxfId="1024" priority="1065">
      <formula>IF(AND(OR(G261="",#REF!="Segment"),OR(#REF!="Accuracy",#REF!="Fluency",#REF!="Other")),1,0)</formula>
    </cfRule>
  </conditionalFormatting>
  <conditionalFormatting sqref="E263">
    <cfRule type="expression" dxfId="1023" priority="1062">
      <formula>IF(OR(AND(E263="",F263="",OR(G263="Critical",G263="Major",G263="Minor"))),1,0)</formula>
    </cfRule>
  </conditionalFormatting>
  <conditionalFormatting sqref="F263:G263">
    <cfRule type="expression" dxfId="1022" priority="1060">
      <formula>IF(OR(AND(F263="",G263="",OR(H263="Critical",H263="Major",H263="Minor"))),1,0)</formula>
    </cfRule>
  </conditionalFormatting>
  <conditionalFormatting sqref="F263">
    <cfRule type="expression" dxfId="1021" priority="1059">
      <formula>IF(AND(F263="",OR(E263="Accuracy",E263="Fluency",E263="Segment",E263="Other")),1,0)</formula>
    </cfRule>
  </conditionalFormatting>
  <conditionalFormatting sqref="G263">
    <cfRule type="expression" dxfId="1020" priority="1061">
      <formula>IF(AND(OR(G263="",#REF!="Segment"),OR(#REF!="Accuracy",#REF!="Fluency",#REF!="Other")),1,0)</formula>
    </cfRule>
  </conditionalFormatting>
  <conditionalFormatting sqref="E264">
    <cfRule type="expression" dxfId="1019" priority="1058">
      <formula>IF(OR(AND(E264="",F264="",OR(G264="Critical",G264="Major",G264="Minor"))),1,0)</formula>
    </cfRule>
  </conditionalFormatting>
  <conditionalFormatting sqref="F264:G264">
    <cfRule type="expression" dxfId="1018" priority="1056">
      <formula>IF(OR(AND(F264="",G264="",OR(H264="Critical",H264="Major",H264="Minor"))),1,0)</formula>
    </cfRule>
  </conditionalFormatting>
  <conditionalFormatting sqref="F264">
    <cfRule type="expression" dxfId="1017" priority="1055">
      <formula>IF(AND(F264="",OR(E264="Accuracy",E264="Fluency",E264="Segment",E264="Other")),1,0)</formula>
    </cfRule>
  </conditionalFormatting>
  <conditionalFormatting sqref="G264">
    <cfRule type="expression" dxfId="1016" priority="1057">
      <formula>IF(AND(OR(G264="",#REF!="Segment"),OR(#REF!="Accuracy",#REF!="Fluency",#REF!="Other")),1,0)</formula>
    </cfRule>
  </conditionalFormatting>
  <conditionalFormatting sqref="E265">
    <cfRule type="expression" dxfId="1015" priority="1054">
      <formula>IF(OR(AND(E265="",F265="",OR(G265="Critical",G265="Major",G265="Minor"))),1,0)</formula>
    </cfRule>
  </conditionalFormatting>
  <conditionalFormatting sqref="F265:G265">
    <cfRule type="expression" dxfId="1014" priority="1052">
      <formula>IF(OR(AND(F265="",G265="",OR(H265="Critical",H265="Major",H265="Minor"))),1,0)</formula>
    </cfRule>
  </conditionalFormatting>
  <conditionalFormatting sqref="F265">
    <cfRule type="expression" dxfId="1013" priority="1051">
      <formula>IF(AND(F265="",OR(E265="Accuracy",E265="Fluency",E265="Segment",E265="Other")),1,0)</formula>
    </cfRule>
  </conditionalFormatting>
  <conditionalFormatting sqref="G265">
    <cfRule type="expression" dxfId="1012" priority="1053">
      <formula>IF(AND(OR(G265="",#REF!="Segment"),OR(#REF!="Accuracy",#REF!="Fluency",#REF!="Other")),1,0)</formula>
    </cfRule>
  </conditionalFormatting>
  <conditionalFormatting sqref="E266">
    <cfRule type="expression" dxfId="1011" priority="1050">
      <formula>IF(OR(AND(E266="",F266="",OR(G266="Critical",G266="Major",G266="Minor"))),1,0)</formula>
    </cfRule>
  </conditionalFormatting>
  <conditionalFormatting sqref="F266:G266">
    <cfRule type="expression" dxfId="1010" priority="1048">
      <formula>IF(OR(AND(F266="",G266="",OR(H266="Critical",H266="Major",H266="Minor"))),1,0)</formula>
    </cfRule>
  </conditionalFormatting>
  <conditionalFormatting sqref="F266">
    <cfRule type="expression" dxfId="1009" priority="1047">
      <formula>IF(AND(F266="",OR(E266="Accuracy",E266="Fluency",E266="Segment",E266="Other")),1,0)</formula>
    </cfRule>
  </conditionalFormatting>
  <conditionalFormatting sqref="G266">
    <cfRule type="expression" dxfId="1008" priority="1049">
      <formula>IF(AND(OR(G266="",#REF!="Segment"),OR(#REF!="Accuracy",#REF!="Fluency",#REF!="Other")),1,0)</formula>
    </cfRule>
  </conditionalFormatting>
  <conditionalFormatting sqref="E267">
    <cfRule type="expression" dxfId="1007" priority="1046">
      <formula>IF(OR(AND(E267="",F267="",OR(G267="Critical",G267="Major",G267="Minor"))),1,0)</formula>
    </cfRule>
  </conditionalFormatting>
  <conditionalFormatting sqref="F267:G267">
    <cfRule type="expression" dxfId="1006" priority="1044">
      <formula>IF(OR(AND(F267="",G267="",OR(H267="Critical",H267="Major",H267="Minor"))),1,0)</formula>
    </cfRule>
  </conditionalFormatting>
  <conditionalFormatting sqref="F267">
    <cfRule type="expression" dxfId="1005" priority="1043">
      <formula>IF(AND(F267="",OR(E267="Accuracy",E267="Fluency",E267="Segment",E267="Other")),1,0)</formula>
    </cfRule>
  </conditionalFormatting>
  <conditionalFormatting sqref="G267">
    <cfRule type="expression" dxfId="1004" priority="1045">
      <formula>IF(AND(OR(G267="",#REF!="Segment"),OR(#REF!="Accuracy",#REF!="Fluency",#REF!="Other")),1,0)</formula>
    </cfRule>
  </conditionalFormatting>
  <conditionalFormatting sqref="E270:G270">
    <cfRule type="expression" dxfId="1003" priority="1041">
      <formula>IF(OR(AND(E270="",F270="",OR(G270="Critical",G270="Major",G270="Minor"))),1,0)</formula>
    </cfRule>
  </conditionalFormatting>
  <conditionalFormatting sqref="F270">
    <cfRule type="expression" dxfId="1002" priority="1040">
      <formula>IF(AND(F270="",OR(E270="Accuracy",E270="Fluency",E270="Segment",E270="Other")),1,0)</formula>
    </cfRule>
  </conditionalFormatting>
  <conditionalFormatting sqref="G270">
    <cfRule type="expression" dxfId="1001" priority="1042">
      <formula>IF(AND(OR(G270="",#REF!="Segment"),OR(#REF!="Accuracy",#REF!="Fluency",#REF!="Other")),1,0)</formula>
    </cfRule>
  </conditionalFormatting>
  <conditionalFormatting sqref="E271:G271">
    <cfRule type="expression" dxfId="1000" priority="1038">
      <formula>IF(OR(AND(E271="",F271="",OR(G271="Critical",G271="Major",G271="Minor"))),1,0)</formula>
    </cfRule>
  </conditionalFormatting>
  <conditionalFormatting sqref="F271">
    <cfRule type="expression" dxfId="999" priority="1037">
      <formula>IF(AND(F271="",OR(E271="Accuracy",E271="Fluency",E271="Segment",E271="Other")),1,0)</formula>
    </cfRule>
  </conditionalFormatting>
  <conditionalFormatting sqref="G271">
    <cfRule type="expression" dxfId="998" priority="1039">
      <formula>IF(AND(OR(G271="",#REF!="Segment"),OR(#REF!="Accuracy",#REF!="Fluency",#REF!="Other")),1,0)</formula>
    </cfRule>
  </conditionalFormatting>
  <conditionalFormatting sqref="E272:G272 G273">
    <cfRule type="expression" dxfId="997" priority="1035">
      <formula>IF(OR(AND(E272="",F272="",OR(G272="Critical",G272="Major",G272="Minor"))),1,0)</formula>
    </cfRule>
  </conditionalFormatting>
  <conditionalFormatting sqref="F272">
    <cfRule type="expression" dxfId="996" priority="1034">
      <formula>IF(AND(F272="",OR(E272="Accuracy",E272="Fluency",E272="Segment",E272="Other")),1,0)</formula>
    </cfRule>
  </conditionalFormatting>
  <conditionalFormatting sqref="G272:G273">
    <cfRule type="expression" dxfId="995" priority="1036">
      <formula>IF(AND(OR(G272="",#REF!="Segment"),OR(#REF!="Accuracy",#REF!="Fluency",#REF!="Other")),1,0)</formula>
    </cfRule>
  </conditionalFormatting>
  <conditionalFormatting sqref="E275:G275">
    <cfRule type="expression" dxfId="994" priority="1032">
      <formula>IF(OR(AND(E275="",F275="",OR(G275="Critical",G275="Major",G275="Minor"))),1,0)</formula>
    </cfRule>
  </conditionalFormatting>
  <conditionalFormatting sqref="F275">
    <cfRule type="expression" dxfId="993" priority="1031">
      <formula>IF(AND(F275="",OR(E275="Accuracy",E275="Fluency",E275="Segment",E275="Other")),1,0)</formula>
    </cfRule>
  </conditionalFormatting>
  <conditionalFormatting sqref="G275">
    <cfRule type="expression" dxfId="992" priority="1033">
      <formula>IF(AND(OR(G275="",#REF!="Segment"),OR(#REF!="Accuracy",#REF!="Fluency",#REF!="Other")),1,0)</formula>
    </cfRule>
  </conditionalFormatting>
  <conditionalFormatting sqref="E276:G276">
    <cfRule type="expression" dxfId="991" priority="1029">
      <formula>IF(OR(AND(E276="",F276="",OR(G276="Critical",G276="Major",G276="Minor"))),1,0)</formula>
    </cfRule>
  </conditionalFormatting>
  <conditionalFormatting sqref="F276">
    <cfRule type="expression" dxfId="990" priority="1028">
      <formula>IF(AND(F276="",OR(E276="Accuracy",E276="Fluency",E276="Segment",E276="Other")),1,0)</formula>
    </cfRule>
  </conditionalFormatting>
  <conditionalFormatting sqref="G276">
    <cfRule type="expression" dxfId="989" priority="1030">
      <formula>IF(AND(OR(G276="",#REF!="Segment"),OR(#REF!="Accuracy",#REF!="Fluency",#REF!="Other")),1,0)</formula>
    </cfRule>
  </conditionalFormatting>
  <conditionalFormatting sqref="E277:G277">
    <cfRule type="expression" dxfId="988" priority="1026">
      <formula>IF(OR(AND(E277="",F277="",OR(G277="Critical",G277="Major",G277="Minor"))),1,0)</formula>
    </cfRule>
  </conditionalFormatting>
  <conditionalFormatting sqref="F277">
    <cfRule type="expression" dxfId="987" priority="1025">
      <formula>IF(AND(F277="",OR(E277="Accuracy",E277="Fluency",E277="Segment",E277="Other")),1,0)</formula>
    </cfRule>
  </conditionalFormatting>
  <conditionalFormatting sqref="G277">
    <cfRule type="expression" dxfId="986" priority="1027">
      <formula>IF(AND(OR(G277="",#REF!="Segment"),OR(#REF!="Accuracy",#REF!="Fluency",#REF!="Other")),1,0)</formula>
    </cfRule>
  </conditionalFormatting>
  <conditionalFormatting sqref="E278:G278">
    <cfRule type="expression" dxfId="985" priority="1023">
      <formula>IF(OR(AND(E278="",F278="",OR(G278="Critical",G278="Major",G278="Minor"))),1,0)</formula>
    </cfRule>
  </conditionalFormatting>
  <conditionalFormatting sqref="F278">
    <cfRule type="expression" dxfId="984" priority="1022">
      <formula>IF(AND(F278="",OR(E278="Accuracy",E278="Fluency",E278="Segment",E278="Other")),1,0)</formula>
    </cfRule>
  </conditionalFormatting>
  <conditionalFormatting sqref="G278">
    <cfRule type="expression" dxfId="983" priority="1024">
      <formula>IF(AND(OR(G278="",#REF!="Segment"),OR(#REF!="Accuracy",#REF!="Fluency",#REF!="Other")),1,0)</formula>
    </cfRule>
  </conditionalFormatting>
  <conditionalFormatting sqref="E279:G279">
    <cfRule type="expression" dxfId="982" priority="1020">
      <formula>IF(OR(AND(E279="",F279="",OR(G279="Critical",G279="Major",G279="Minor"))),1,0)</formula>
    </cfRule>
  </conditionalFormatting>
  <conditionalFormatting sqref="F279">
    <cfRule type="expression" dxfId="981" priority="1019">
      <formula>IF(AND(F279="",OR(E279="Accuracy",E279="Fluency",E279="Segment",E279="Other")),1,0)</formula>
    </cfRule>
  </conditionalFormatting>
  <conditionalFormatting sqref="G279">
    <cfRule type="expression" dxfId="980" priority="1021">
      <formula>IF(AND(OR(G279="",#REF!="Segment"),OR(#REF!="Accuracy",#REF!="Fluency",#REF!="Other")),1,0)</formula>
    </cfRule>
  </conditionalFormatting>
  <conditionalFormatting sqref="E281:G281">
    <cfRule type="expression" dxfId="979" priority="1017">
      <formula>IF(OR(AND(E281="",F281="",OR(G281="Critical",G281="Major",G281="Minor"))),1,0)</formula>
    </cfRule>
  </conditionalFormatting>
  <conditionalFormatting sqref="F281">
    <cfRule type="expression" dxfId="978" priority="1016">
      <formula>IF(AND(F281="",OR(E281="Accuracy",E281="Fluency",E281="Segment",E281="Other")),1,0)</formula>
    </cfRule>
  </conditionalFormatting>
  <conditionalFormatting sqref="G281">
    <cfRule type="expression" dxfId="977" priority="1018">
      <formula>IF(AND(OR(G281="",#REF!="Segment"),OR(#REF!="Accuracy",#REF!="Fluency",#REF!="Other")),1,0)</formula>
    </cfRule>
  </conditionalFormatting>
  <conditionalFormatting sqref="G283">
    <cfRule type="expression" dxfId="976" priority="1014">
      <formula>IF(OR(AND(G283="",H283="",OR(I283="Critical",I283="Major",I283="Minor"))),1,0)</formula>
    </cfRule>
  </conditionalFormatting>
  <conditionalFormatting sqref="G283">
    <cfRule type="expression" dxfId="975" priority="1015">
      <formula>IF(AND(OR(G283="",#REF!="Segment"),OR(#REF!="Accuracy",#REF!="Fluency",#REF!="Other")),1,0)</formula>
    </cfRule>
  </conditionalFormatting>
  <conditionalFormatting sqref="E286:G286">
    <cfRule type="expression" dxfId="974" priority="1011">
      <formula>IF(OR(AND(E286="",F286="",OR(G286="Critical",G286="Major",G286="Minor"))),1,0)</formula>
    </cfRule>
  </conditionalFormatting>
  <conditionalFormatting sqref="F286">
    <cfRule type="expression" dxfId="973" priority="1010">
      <formula>IF(AND(F286="",OR(E286="Accuracy",E286="Fluency",E286="Segment",E286="Other")),1,0)</formula>
    </cfRule>
  </conditionalFormatting>
  <conditionalFormatting sqref="G286">
    <cfRule type="expression" dxfId="972" priority="1012">
      <formula>IF(AND(OR(G286="",#REF!="Segment"),OR(#REF!="Accuracy",#REF!="Fluency",#REF!="Other")),1,0)</formula>
    </cfRule>
  </conditionalFormatting>
  <conditionalFormatting sqref="E287:G287">
    <cfRule type="expression" dxfId="971" priority="1008">
      <formula>IF(OR(AND(E287="",F287="",OR(G287="Critical",G287="Major",G287="Minor"))),1,0)</formula>
    </cfRule>
  </conditionalFormatting>
  <conditionalFormatting sqref="F287">
    <cfRule type="expression" dxfId="970" priority="1007">
      <formula>IF(AND(F287="",OR(E287="Accuracy",E287="Fluency",E287="Segment",E287="Other")),1,0)</formula>
    </cfRule>
  </conditionalFormatting>
  <conditionalFormatting sqref="G287">
    <cfRule type="expression" dxfId="969" priority="1009">
      <formula>IF(AND(OR(G287="",#REF!="Segment"),OR(#REF!="Accuracy",#REF!="Fluency",#REF!="Other")),1,0)</formula>
    </cfRule>
  </conditionalFormatting>
  <conditionalFormatting sqref="E288:G288">
    <cfRule type="expression" dxfId="968" priority="1005">
      <formula>IF(OR(AND(E288="",F288="",OR(G288="Critical",G288="Major",G288="Minor"))),1,0)</formula>
    </cfRule>
  </conditionalFormatting>
  <conditionalFormatting sqref="F288">
    <cfRule type="expression" dxfId="967" priority="1004">
      <formula>IF(AND(F288="",OR(E288="Accuracy",E288="Fluency",E288="Segment",E288="Other")),1,0)</formula>
    </cfRule>
  </conditionalFormatting>
  <conditionalFormatting sqref="G288">
    <cfRule type="expression" dxfId="966" priority="1006">
      <formula>IF(AND(OR(G288="",#REF!="Segment"),OR(#REF!="Accuracy",#REF!="Fluency",#REF!="Other")),1,0)</formula>
    </cfRule>
  </conditionalFormatting>
  <conditionalFormatting sqref="E291:G291">
    <cfRule type="expression" dxfId="965" priority="1002">
      <formula>IF(OR(AND(E291="",F291="",OR(G291="Critical",G291="Major",G291="Minor"))),1,0)</formula>
    </cfRule>
  </conditionalFormatting>
  <conditionalFormatting sqref="F291">
    <cfRule type="expression" dxfId="964" priority="1001">
      <formula>IF(AND(F291="",OR(E291="Accuracy",E291="Fluency",E291="Segment",E291="Other")),1,0)</formula>
    </cfRule>
  </conditionalFormatting>
  <conditionalFormatting sqref="G291">
    <cfRule type="expression" dxfId="963" priority="1003">
      <formula>IF(AND(OR(G291="",#REF!="Segment"),OR(#REF!="Accuracy",#REF!="Fluency",#REF!="Other")),1,0)</formula>
    </cfRule>
  </conditionalFormatting>
  <conditionalFormatting sqref="E292:G293">
    <cfRule type="expression" dxfId="962" priority="999">
      <formula>IF(OR(AND(E292="",F292="",OR(G292="Critical",G292="Major",G292="Minor"))),1,0)</formula>
    </cfRule>
  </conditionalFormatting>
  <conditionalFormatting sqref="F292:F293">
    <cfRule type="expression" dxfId="961" priority="998">
      <formula>IF(AND(F292="",OR(E292="Accuracy",E292="Fluency",E292="Segment",E292="Other")),1,0)</formula>
    </cfRule>
  </conditionalFormatting>
  <conditionalFormatting sqref="G292:G293">
    <cfRule type="expression" dxfId="960" priority="1000">
      <formula>IF(AND(OR(G292="",#REF!="Segment"),OR(#REF!="Accuracy",#REF!="Fluency",#REF!="Other")),1,0)</formula>
    </cfRule>
  </conditionalFormatting>
  <conditionalFormatting sqref="E294:G294">
    <cfRule type="expression" dxfId="959" priority="996">
      <formula>IF(OR(AND(E294="",F294="",OR(G294="Critical",G294="Major",G294="Minor"))),1,0)</formula>
    </cfRule>
  </conditionalFormatting>
  <conditionalFormatting sqref="F294">
    <cfRule type="expression" dxfId="958" priority="995">
      <formula>IF(AND(F294="",OR(E294="Accuracy",E294="Fluency",E294="Segment",E294="Other")),1,0)</formula>
    </cfRule>
  </conditionalFormatting>
  <conditionalFormatting sqref="G294">
    <cfRule type="expression" dxfId="957" priority="997">
      <formula>IF(AND(OR(G294="",#REF!="Segment"),OR(#REF!="Accuracy",#REF!="Fluency",#REF!="Other")),1,0)</formula>
    </cfRule>
  </conditionalFormatting>
  <conditionalFormatting sqref="E297:G297">
    <cfRule type="expression" dxfId="956" priority="993">
      <formula>IF(OR(AND(E297="",F297="",OR(G297="Critical",G297="Major",G297="Minor"))),1,0)</formula>
    </cfRule>
  </conditionalFormatting>
  <conditionalFormatting sqref="F297">
    <cfRule type="expression" dxfId="955" priority="992">
      <formula>IF(AND(F297="",OR(E297="Accuracy",E297="Fluency",E297="Segment",E297="Other")),1,0)</formula>
    </cfRule>
  </conditionalFormatting>
  <conditionalFormatting sqref="G297">
    <cfRule type="expression" dxfId="954" priority="994">
      <formula>IF(AND(OR(G297="",#REF!="Segment"),OR(#REF!="Accuracy",#REF!="Fluency",#REF!="Other")),1,0)</formula>
    </cfRule>
  </conditionalFormatting>
  <conditionalFormatting sqref="E299 G299">
    <cfRule type="expression" dxfId="953" priority="990">
      <formula>IF(OR(AND(E299="",F299="",OR(G299="Critical",G299="Major",G299="Minor"))),1,0)</formula>
    </cfRule>
  </conditionalFormatting>
  <conditionalFormatting sqref="G299">
    <cfRule type="expression" dxfId="952" priority="991">
      <formula>IF(AND(OR(G299="",#REF!="Segment"),OR(#REF!="Accuracy",#REF!="Fluency",#REF!="Other")),1,0)</formula>
    </cfRule>
  </conditionalFormatting>
  <conditionalFormatting sqref="E300 G300">
    <cfRule type="expression" dxfId="951" priority="987">
      <formula>IF(OR(AND(E300="",F300="",OR(G300="Critical",G300="Major",G300="Minor"))),1,0)</formula>
    </cfRule>
  </conditionalFormatting>
  <conditionalFormatting sqref="G300">
    <cfRule type="expression" dxfId="950" priority="988">
      <formula>IF(AND(OR(G300="",#REF!="Segment"),OR(#REF!="Accuracy",#REF!="Fluency",#REF!="Other")),1,0)</formula>
    </cfRule>
  </conditionalFormatting>
  <conditionalFormatting sqref="E305:G305">
    <cfRule type="expression" dxfId="949" priority="984">
      <formula>IF(OR(AND(E305="",F305="",OR(G305="Critical",G305="Major",G305="Minor"))),1,0)</formula>
    </cfRule>
  </conditionalFormatting>
  <conditionalFormatting sqref="F305">
    <cfRule type="expression" dxfId="948" priority="983">
      <formula>IF(AND(F305="",OR(E305="Accuracy",E305="Fluency",E305="Segment",E305="Other")),1,0)</formula>
    </cfRule>
  </conditionalFormatting>
  <conditionalFormatting sqref="G305">
    <cfRule type="expression" dxfId="947" priority="985">
      <formula>IF(AND(OR(G305="",#REF!="Segment"),OR(#REF!="Accuracy",#REF!="Fluency",#REF!="Other")),1,0)</formula>
    </cfRule>
  </conditionalFormatting>
  <conditionalFormatting sqref="E306:G306">
    <cfRule type="expression" dxfId="946" priority="981">
      <formula>IF(OR(AND(E306="",F306="",OR(G306="Critical",G306="Major",G306="Minor"))),1,0)</formula>
    </cfRule>
  </conditionalFormatting>
  <conditionalFormatting sqref="F306">
    <cfRule type="expression" dxfId="945" priority="980">
      <formula>IF(AND(F306="",OR(E306="Accuracy",E306="Fluency",E306="Segment",E306="Other")),1,0)</formula>
    </cfRule>
  </conditionalFormatting>
  <conditionalFormatting sqref="G306">
    <cfRule type="expression" dxfId="944" priority="982">
      <formula>IF(AND(OR(G306="",#REF!="Segment"),OR(#REF!="Accuracy",#REF!="Fluency",#REF!="Other")),1,0)</formula>
    </cfRule>
  </conditionalFormatting>
  <conditionalFormatting sqref="E307:G307">
    <cfRule type="expression" dxfId="943" priority="978">
      <formula>IF(OR(AND(E307="",F307="",OR(G307="Critical",G307="Major",G307="Minor"))),1,0)</formula>
    </cfRule>
  </conditionalFormatting>
  <conditionalFormatting sqref="F307">
    <cfRule type="expression" dxfId="942" priority="977">
      <formula>IF(AND(F307="",OR(E307="Accuracy",E307="Fluency",E307="Segment",E307="Other")),1,0)</formula>
    </cfRule>
  </conditionalFormatting>
  <conditionalFormatting sqref="G307">
    <cfRule type="expression" dxfId="941" priority="979">
      <formula>IF(AND(OR(G307="",#REF!="Segment"),OR(#REF!="Accuracy",#REF!="Fluency",#REF!="Other")),1,0)</formula>
    </cfRule>
  </conditionalFormatting>
  <conditionalFormatting sqref="E308:G308">
    <cfRule type="expression" dxfId="940" priority="975">
      <formula>IF(OR(AND(E308="",F308="",OR(G308="Critical",G308="Major",G308="Minor"))),1,0)</formula>
    </cfRule>
  </conditionalFormatting>
  <conditionalFormatting sqref="F308">
    <cfRule type="expression" dxfId="939" priority="974">
      <formula>IF(AND(F308="",OR(E308="Accuracy",E308="Fluency",E308="Segment",E308="Other")),1,0)</formula>
    </cfRule>
  </conditionalFormatting>
  <conditionalFormatting sqref="G308">
    <cfRule type="expression" dxfId="938" priority="976">
      <formula>IF(AND(OR(G308="",#REF!="Segment"),OR(#REF!="Accuracy",#REF!="Fluency",#REF!="Other")),1,0)</formula>
    </cfRule>
  </conditionalFormatting>
  <conditionalFormatting sqref="E309:G309">
    <cfRule type="expression" dxfId="937" priority="972">
      <formula>IF(OR(AND(E309="",F309="",OR(G309="Critical",G309="Major",G309="Minor"))),1,0)</formula>
    </cfRule>
  </conditionalFormatting>
  <conditionalFormatting sqref="F309">
    <cfRule type="expression" dxfId="936" priority="971">
      <formula>IF(AND(F309="",OR(E309="Accuracy",E309="Fluency",E309="Segment",E309="Other")),1,0)</formula>
    </cfRule>
  </conditionalFormatting>
  <conditionalFormatting sqref="G309">
    <cfRule type="expression" dxfId="935" priority="973">
      <formula>IF(AND(OR(G309="",#REF!="Segment"),OR(#REF!="Accuracy",#REF!="Fluency",#REF!="Other")),1,0)</formula>
    </cfRule>
  </conditionalFormatting>
  <conditionalFormatting sqref="E321:G321">
    <cfRule type="expression" dxfId="934" priority="969">
      <formula>IF(OR(AND(E321="",F321="",OR(G321="Critical",G321="Major",G321="Minor"))),1,0)</formula>
    </cfRule>
  </conditionalFormatting>
  <conditionalFormatting sqref="F321">
    <cfRule type="expression" dxfId="933" priority="968">
      <formula>IF(AND(F321="",OR(E321="Accuracy",E321="Fluency",E321="Segment",E321="Other")),1,0)</formula>
    </cfRule>
  </conditionalFormatting>
  <conditionalFormatting sqref="G321">
    <cfRule type="expression" dxfId="932" priority="970">
      <formula>IF(AND(OR(G321="",#REF!="Segment"),OR(#REF!="Accuracy",#REF!="Fluency",#REF!="Other")),1,0)</formula>
    </cfRule>
  </conditionalFormatting>
  <conditionalFormatting sqref="E322:G322">
    <cfRule type="expression" dxfId="931" priority="966">
      <formula>IF(OR(AND(E322="",F322="",OR(G322="Critical",G322="Major",G322="Minor"))),1,0)</formula>
    </cfRule>
  </conditionalFormatting>
  <conditionalFormatting sqref="F322">
    <cfRule type="expression" dxfId="930" priority="965">
      <formula>IF(AND(F322="",OR(E322="Accuracy",E322="Fluency",E322="Segment",E322="Other")),1,0)</formula>
    </cfRule>
  </conditionalFormatting>
  <conditionalFormatting sqref="G322">
    <cfRule type="expression" dxfId="929" priority="967">
      <formula>IF(AND(OR(G322="",#REF!="Segment"),OR(#REF!="Accuracy",#REF!="Fluency",#REF!="Other")),1,0)</formula>
    </cfRule>
  </conditionalFormatting>
  <conditionalFormatting sqref="E325:G325">
    <cfRule type="expression" dxfId="928" priority="963">
      <formula>IF(OR(AND(E325="",F325="",OR(G325="Critical",G325="Major",G325="Minor"))),1,0)</formula>
    </cfRule>
  </conditionalFormatting>
  <conditionalFormatting sqref="F325">
    <cfRule type="expression" dxfId="927" priority="962">
      <formula>IF(AND(F325="",OR(E325="Accuracy",E325="Fluency",E325="Segment",E325="Other")),1,0)</formula>
    </cfRule>
  </conditionalFormatting>
  <conditionalFormatting sqref="G325">
    <cfRule type="expression" dxfId="926" priority="964">
      <formula>IF(AND(OR(G325="",#REF!="Segment"),OR(#REF!="Accuracy",#REF!="Fluency",#REF!="Other")),1,0)</formula>
    </cfRule>
  </conditionalFormatting>
  <conditionalFormatting sqref="E329:G329">
    <cfRule type="expression" dxfId="925" priority="960">
      <formula>IF(OR(AND(E329="",F329="",OR(G329="Critical",G329="Major",G329="Minor"))),1,0)</formula>
    </cfRule>
  </conditionalFormatting>
  <conditionalFormatting sqref="F329">
    <cfRule type="expression" dxfId="924" priority="959">
      <formula>IF(AND(F329="",OR(E329="Accuracy",E329="Fluency",E329="Segment",E329="Other")),1,0)</formula>
    </cfRule>
  </conditionalFormatting>
  <conditionalFormatting sqref="G329">
    <cfRule type="expression" dxfId="923" priority="961">
      <formula>IF(AND(OR(G329="",#REF!="Segment"),OR(#REF!="Accuracy",#REF!="Fluency",#REF!="Other")),1,0)</formula>
    </cfRule>
  </conditionalFormatting>
  <conditionalFormatting sqref="E332:G332">
    <cfRule type="expression" dxfId="922" priority="957">
      <formula>IF(OR(AND(E332="",F332="",OR(G332="Critical",G332="Major",G332="Minor"))),1,0)</formula>
    </cfRule>
  </conditionalFormatting>
  <conditionalFormatting sqref="F332">
    <cfRule type="expression" dxfId="921" priority="956">
      <formula>IF(AND(F332="",OR(E332="Accuracy",E332="Fluency",E332="Segment",E332="Other")),1,0)</formula>
    </cfRule>
  </conditionalFormatting>
  <conditionalFormatting sqref="G332">
    <cfRule type="expression" dxfId="920" priority="958">
      <formula>IF(AND(OR(G332="",#REF!="Segment"),OR(#REF!="Accuracy",#REF!="Fluency",#REF!="Other")),1,0)</formula>
    </cfRule>
  </conditionalFormatting>
  <conditionalFormatting sqref="E334:G334">
    <cfRule type="expression" dxfId="919" priority="954">
      <formula>IF(OR(AND(E334="",F334="",OR(G334="Critical",G334="Major",G334="Minor"))),1,0)</formula>
    </cfRule>
  </conditionalFormatting>
  <conditionalFormatting sqref="F334">
    <cfRule type="expression" dxfId="918" priority="953">
      <formula>IF(AND(F334="",OR(E334="Accuracy",E334="Fluency",E334="Segment",E334="Other")),1,0)</formula>
    </cfRule>
  </conditionalFormatting>
  <conditionalFormatting sqref="G334">
    <cfRule type="expression" dxfId="917" priority="955">
      <formula>IF(AND(OR(G334="",#REF!="Segment"),OR(#REF!="Accuracy",#REF!="Fluency",#REF!="Other")),1,0)</formula>
    </cfRule>
  </conditionalFormatting>
  <conditionalFormatting sqref="E335:G336">
    <cfRule type="expression" dxfId="916" priority="951">
      <formula>IF(OR(AND(E335="",F335="",OR(G335="Critical",G335="Major",G335="Minor"))),1,0)</formula>
    </cfRule>
  </conditionalFormatting>
  <conditionalFormatting sqref="F335:F336">
    <cfRule type="expression" dxfId="915" priority="950">
      <formula>IF(AND(F335="",OR(E335="Accuracy",E335="Fluency",E335="Segment",E335="Other")),1,0)</formula>
    </cfRule>
  </conditionalFormatting>
  <conditionalFormatting sqref="G335:G336">
    <cfRule type="expression" dxfId="914" priority="952">
      <formula>IF(AND(OR(G335="",#REF!="Segment"),OR(#REF!="Accuracy",#REF!="Fluency",#REF!="Other")),1,0)</formula>
    </cfRule>
  </conditionalFormatting>
  <conditionalFormatting sqref="G337:G338">
    <cfRule type="expression" dxfId="913" priority="948">
      <formula>IF(OR(AND(G337="",H337="",OR(I337="Critical",I337="Major",I337="Minor"))),1,0)</formula>
    </cfRule>
  </conditionalFormatting>
  <conditionalFormatting sqref="G337:G338">
    <cfRule type="expression" dxfId="912" priority="949">
      <formula>IF(AND(OR(G337="",#REF!="Segment"),OR(#REF!="Accuracy",#REF!="Fluency",#REF!="Other")),1,0)</formula>
    </cfRule>
  </conditionalFormatting>
  <conditionalFormatting sqref="E339:G339">
    <cfRule type="expression" dxfId="911" priority="945">
      <formula>IF(OR(AND(E339="",F339="",OR(G339="Critical",G339="Major",G339="Minor"))),1,0)</formula>
    </cfRule>
  </conditionalFormatting>
  <conditionalFormatting sqref="F339">
    <cfRule type="expression" dxfId="910" priority="944">
      <formula>IF(AND(F339="",OR(E339="Accuracy",E339="Fluency",E339="Segment",E339="Other")),1,0)</formula>
    </cfRule>
  </conditionalFormatting>
  <conditionalFormatting sqref="G339">
    <cfRule type="expression" dxfId="909" priority="946">
      <formula>IF(AND(OR(G339="",#REF!="Segment"),OR(#REF!="Accuracy",#REF!="Fluency",#REF!="Other")),1,0)</formula>
    </cfRule>
  </conditionalFormatting>
  <conditionalFormatting sqref="E341:G341">
    <cfRule type="expression" dxfId="908" priority="942">
      <formula>IF(OR(AND(E341="",F341="",OR(G341="Critical",G341="Major",G341="Minor"))),1,0)</formula>
    </cfRule>
  </conditionalFormatting>
  <conditionalFormatting sqref="F341">
    <cfRule type="expression" dxfId="907" priority="941">
      <formula>IF(AND(F341="",OR(E341="Accuracy",E341="Fluency",E341="Segment",E341="Other")),1,0)</formula>
    </cfRule>
  </conditionalFormatting>
  <conditionalFormatting sqref="G341">
    <cfRule type="expression" dxfId="906" priority="943">
      <formula>IF(AND(OR(G341="",#REF!="Segment"),OR(#REF!="Accuracy",#REF!="Fluency",#REF!="Other")),1,0)</formula>
    </cfRule>
  </conditionalFormatting>
  <conditionalFormatting sqref="E342:G343 E344:F344">
    <cfRule type="expression" dxfId="905" priority="939">
      <formula>IF(OR(AND(E342="",F342="",OR(G342="Critical",G342="Major",G342="Minor"))),1,0)</formula>
    </cfRule>
  </conditionalFormatting>
  <conditionalFormatting sqref="F342:F344">
    <cfRule type="expression" dxfId="904" priority="938">
      <formula>IF(AND(F342="",OR(E342="Accuracy",E342="Fluency",E342="Segment",E342="Other")),1,0)</formula>
    </cfRule>
  </conditionalFormatting>
  <conditionalFormatting sqref="G342:G343">
    <cfRule type="expression" dxfId="903" priority="940">
      <formula>IF(AND(OR(G342="",#REF!="Segment"),OR(#REF!="Accuracy",#REF!="Fluency",#REF!="Other")),1,0)</formula>
    </cfRule>
  </conditionalFormatting>
  <conditionalFormatting sqref="E346:G346">
    <cfRule type="expression" dxfId="902" priority="936">
      <formula>IF(OR(AND(E346="",F346="",OR(G346="Critical",G346="Major",G346="Minor"))),1,0)</formula>
    </cfRule>
  </conditionalFormatting>
  <conditionalFormatting sqref="F346">
    <cfRule type="expression" dxfId="901" priority="935">
      <formula>IF(AND(F346="",OR(E346="Accuracy",E346="Fluency",E346="Segment",E346="Other")),1,0)</formula>
    </cfRule>
  </conditionalFormatting>
  <conditionalFormatting sqref="G346">
    <cfRule type="expression" dxfId="900" priority="937">
      <formula>IF(AND(OR(G346="",#REF!="Segment"),OR(#REF!="Accuracy",#REF!="Fluency",#REF!="Other")),1,0)</formula>
    </cfRule>
  </conditionalFormatting>
  <conditionalFormatting sqref="E347:G347">
    <cfRule type="expression" dxfId="899" priority="933">
      <formula>IF(OR(AND(E347="",F347="",OR(G347="Critical",G347="Major",G347="Minor"))),1,0)</formula>
    </cfRule>
  </conditionalFormatting>
  <conditionalFormatting sqref="F347">
    <cfRule type="expression" dxfId="898" priority="932">
      <formula>IF(AND(F347="",OR(E347="Accuracy",E347="Fluency",E347="Segment",E347="Other")),1,0)</formula>
    </cfRule>
  </conditionalFormatting>
  <conditionalFormatting sqref="G347">
    <cfRule type="expression" dxfId="897" priority="934">
      <formula>IF(AND(OR(G347="",#REF!="Segment"),OR(#REF!="Accuracy",#REF!="Fluency",#REF!="Other")),1,0)</formula>
    </cfRule>
  </conditionalFormatting>
  <conditionalFormatting sqref="E363:G363">
    <cfRule type="expression" dxfId="896" priority="930">
      <formula>IF(OR(AND(E363="",F363="",OR(G363="Critical",G363="Major",G363="Minor"))),1,0)</formula>
    </cfRule>
  </conditionalFormatting>
  <conditionalFormatting sqref="F363">
    <cfRule type="expression" dxfId="895" priority="929">
      <formula>IF(AND(F363="",OR(E363="Accuracy",E363="Fluency",E363="Segment",E363="Other")),1,0)</formula>
    </cfRule>
  </conditionalFormatting>
  <conditionalFormatting sqref="G363">
    <cfRule type="expression" dxfId="894" priority="931">
      <formula>IF(AND(OR(G363="",#REF!="Segment"),OR(#REF!="Accuracy",#REF!="Fluency",#REF!="Other")),1,0)</formula>
    </cfRule>
  </conditionalFormatting>
  <conditionalFormatting sqref="E364:G364">
    <cfRule type="expression" dxfId="893" priority="927">
      <formula>IF(OR(AND(E364="",F364="",OR(G364="Critical",G364="Major",G364="Minor"))),1,0)</formula>
    </cfRule>
  </conditionalFormatting>
  <conditionalFormatting sqref="F364">
    <cfRule type="expression" dxfId="892" priority="926">
      <formula>IF(AND(F364="",OR(E364="Accuracy",E364="Fluency",E364="Segment",E364="Other")),1,0)</formula>
    </cfRule>
  </conditionalFormatting>
  <conditionalFormatting sqref="G364">
    <cfRule type="expression" dxfId="891" priority="928">
      <formula>IF(AND(OR(G364="",#REF!="Segment"),OR(#REF!="Accuracy",#REF!="Fluency",#REF!="Other")),1,0)</formula>
    </cfRule>
  </conditionalFormatting>
  <conditionalFormatting sqref="E366:G366">
    <cfRule type="expression" dxfId="890" priority="924">
      <formula>IF(OR(AND(E366="",F366="",OR(G366="Critical",G366="Major",G366="Minor"))),1,0)</formula>
    </cfRule>
  </conditionalFormatting>
  <conditionalFormatting sqref="F366">
    <cfRule type="expression" dxfId="889" priority="923">
      <formula>IF(AND(F366="",OR(E366="Accuracy",E366="Fluency",E366="Segment",E366="Other")),1,0)</formula>
    </cfRule>
  </conditionalFormatting>
  <conditionalFormatting sqref="G366">
    <cfRule type="expression" dxfId="888" priority="925">
      <formula>IF(AND(OR(G366="",#REF!="Segment"),OR(#REF!="Accuracy",#REF!="Fluency",#REF!="Other")),1,0)</formula>
    </cfRule>
  </conditionalFormatting>
  <conditionalFormatting sqref="E367:G367">
    <cfRule type="expression" dxfId="887" priority="921">
      <formula>IF(OR(AND(E367="",F367="",OR(G367="Critical",G367="Major",G367="Minor"))),1,0)</formula>
    </cfRule>
  </conditionalFormatting>
  <conditionalFormatting sqref="F367">
    <cfRule type="expression" dxfId="886" priority="920">
      <formula>IF(AND(F367="",OR(E367="Accuracy",E367="Fluency",E367="Segment",E367="Other")),1,0)</formula>
    </cfRule>
  </conditionalFormatting>
  <conditionalFormatting sqref="G367">
    <cfRule type="expression" dxfId="885" priority="922">
      <formula>IF(AND(OR(G367="",#REF!="Segment"),OR(#REF!="Accuracy",#REF!="Fluency",#REF!="Other")),1,0)</formula>
    </cfRule>
  </conditionalFormatting>
  <conditionalFormatting sqref="E368:G368">
    <cfRule type="expression" dxfId="884" priority="918">
      <formula>IF(OR(AND(E368="",F368="",OR(G368="Critical",G368="Major",G368="Minor"))),1,0)</formula>
    </cfRule>
  </conditionalFormatting>
  <conditionalFormatting sqref="F368">
    <cfRule type="expression" dxfId="883" priority="917">
      <formula>IF(AND(F368="",OR(E368="Accuracy",E368="Fluency",E368="Segment",E368="Other")),1,0)</formula>
    </cfRule>
  </conditionalFormatting>
  <conditionalFormatting sqref="G368">
    <cfRule type="expression" dxfId="882" priority="919">
      <formula>IF(AND(OR(G368="",#REF!="Segment"),OR(#REF!="Accuracy",#REF!="Fluency",#REF!="Other")),1,0)</formula>
    </cfRule>
  </conditionalFormatting>
  <conditionalFormatting sqref="E370:G370">
    <cfRule type="expression" dxfId="881" priority="915">
      <formula>IF(OR(AND(E370="",F370="",OR(G370="Critical",G370="Major",G370="Minor"))),1,0)</formula>
    </cfRule>
  </conditionalFormatting>
  <conditionalFormatting sqref="F370">
    <cfRule type="expression" dxfId="880" priority="914">
      <formula>IF(AND(F370="",OR(E370="Accuracy",E370="Fluency",E370="Segment",E370="Other")),1,0)</formula>
    </cfRule>
  </conditionalFormatting>
  <conditionalFormatting sqref="G370">
    <cfRule type="expression" dxfId="879" priority="916">
      <formula>IF(AND(OR(G370="",#REF!="Segment"),OR(#REF!="Accuracy",#REF!="Fluency",#REF!="Other")),1,0)</formula>
    </cfRule>
  </conditionalFormatting>
  <conditionalFormatting sqref="E372:G372">
    <cfRule type="expression" dxfId="878" priority="912">
      <formula>IF(OR(AND(E372="",F372="",OR(G372="Critical",G372="Major",G372="Minor"))),1,0)</formula>
    </cfRule>
  </conditionalFormatting>
  <conditionalFormatting sqref="F372">
    <cfRule type="expression" dxfId="877" priority="911">
      <formula>IF(AND(F372="",OR(E372="Accuracy",E372="Fluency",E372="Segment",E372="Other")),1,0)</formula>
    </cfRule>
  </conditionalFormatting>
  <conditionalFormatting sqref="G372">
    <cfRule type="expression" dxfId="876" priority="913">
      <formula>IF(AND(OR(G372="",#REF!="Segment"),OR(#REF!="Accuracy",#REF!="Fluency",#REF!="Other")),1,0)</formula>
    </cfRule>
  </conditionalFormatting>
  <conditionalFormatting sqref="E378:G378">
    <cfRule type="expression" dxfId="875" priority="909">
      <formula>IF(OR(AND(E378="",F378="",OR(G378="Critical",G378="Major",G378="Minor"))),1,0)</formula>
    </cfRule>
  </conditionalFormatting>
  <conditionalFormatting sqref="F378">
    <cfRule type="expression" dxfId="874" priority="908">
      <formula>IF(AND(F378="",OR(E378="Accuracy",E378="Fluency",E378="Segment",E378="Other")),1,0)</formula>
    </cfRule>
  </conditionalFormatting>
  <conditionalFormatting sqref="G378">
    <cfRule type="expression" dxfId="873" priority="910">
      <formula>IF(AND(OR(G378="",#REF!="Segment"),OR(#REF!="Accuracy",#REF!="Fluency",#REF!="Other")),1,0)</formula>
    </cfRule>
  </conditionalFormatting>
  <conditionalFormatting sqref="E379:G379">
    <cfRule type="expression" dxfId="872" priority="906">
      <formula>IF(OR(AND(E379="",F379="",OR(G379="Critical",G379="Major",G379="Minor"))),1,0)</formula>
    </cfRule>
  </conditionalFormatting>
  <conditionalFormatting sqref="F379">
    <cfRule type="expression" dxfId="871" priority="905">
      <formula>IF(AND(F379="",OR(E379="Accuracy",E379="Fluency",E379="Segment",E379="Other")),1,0)</formula>
    </cfRule>
  </conditionalFormatting>
  <conditionalFormatting sqref="G379">
    <cfRule type="expression" dxfId="870" priority="907">
      <formula>IF(AND(OR(G379="",#REF!="Segment"),OR(#REF!="Accuracy",#REF!="Fluency",#REF!="Other")),1,0)</formula>
    </cfRule>
  </conditionalFormatting>
  <conditionalFormatting sqref="E385:G385">
    <cfRule type="expression" dxfId="869" priority="903">
      <formula>IF(OR(AND(E385="",F385="",OR(G385="Critical",G385="Major",G385="Minor"))),1,0)</formula>
    </cfRule>
  </conditionalFormatting>
  <conditionalFormatting sqref="F385">
    <cfRule type="expression" dxfId="868" priority="902">
      <formula>IF(AND(F385="",OR(E385="Accuracy",E385="Fluency",E385="Segment",E385="Other")),1,0)</formula>
    </cfRule>
  </conditionalFormatting>
  <conditionalFormatting sqref="G385">
    <cfRule type="expression" dxfId="867" priority="904">
      <formula>IF(AND(OR(G385="",#REF!="Segment"),OR(#REF!="Accuracy",#REF!="Fluency",#REF!="Other")),1,0)</formula>
    </cfRule>
  </conditionalFormatting>
  <conditionalFormatting sqref="G386">
    <cfRule type="expression" dxfId="866" priority="900">
      <formula>IF(OR(AND(G386="",H386="",OR(I386="Critical",I386="Major",I386="Minor"))),1,0)</formula>
    </cfRule>
  </conditionalFormatting>
  <conditionalFormatting sqref="G386">
    <cfRule type="expression" dxfId="865" priority="901">
      <formula>IF(AND(OR(G386="",#REF!="Segment"),OR(#REF!="Accuracy",#REF!="Fluency",#REF!="Other")),1,0)</formula>
    </cfRule>
  </conditionalFormatting>
  <conditionalFormatting sqref="E535:G539 E533:G533 E529:G529 E516:G516 E519:G522 F506:G507 G511 E513:G513 F501:G501 E501:E507 E477:G477 E487:G492 E483:G484 E472:G472 E474:G474 E467:G467 E464:G465 E444:G446 E438:G438 E431:G433 G425 E425:E429 G428:G430 G408:G414 G399 G402:G404 E387:G389 E394:G398 G392:G393 E435:G435 G434 E440:G441 G439 E448:G453 G447 E455:G455 G454 E458:G458 G456:G457 G485:G486 E494:G498 G493 G515 E524:G525 G523 E527:G527 G526 G502:G504 E532 G532">
    <cfRule type="expression" dxfId="864" priority="898">
      <formula>IF(OR(AND(E387="",F387="",OR(G387="Critical",G387="Major",G387="Minor"))),1,0)</formula>
    </cfRule>
  </conditionalFormatting>
  <conditionalFormatting sqref="F535:F539 F533 F529 F516 F519:F522 F513 F501 F477 F487:F492 F483:F484 F472 F474 F467 F464:F465 F444:F446 F438 F431:F433 F425:F429 F387:F389 F394:F398 F435 F440:F441 F448:F453 F455 F458 F494:F498 F505:F507 F524:F525 F527">
    <cfRule type="expression" dxfId="863" priority="897">
      <formula>IF(AND(F387="",OR(E387="Accuracy",E387="Fluency",E387="Segment",E387="Other")),1,0)</formula>
    </cfRule>
  </conditionalFormatting>
  <conditionalFormatting sqref="G408:G414 G402:G404 G387:G389 G392:G399">
    <cfRule type="expression" dxfId="862" priority="896">
      <formula>IF(AND(OR(G387="",E387="Segment"),OR(E387="Accuracy",E387="Fluency",E387="Other")),1,0)</formula>
    </cfRule>
  </conditionalFormatting>
  <conditionalFormatting sqref="E390:G390">
    <cfRule type="expression" dxfId="861" priority="895">
      <formula>IF(OR(AND(E390="",F390="",OR(G390="Critical",G390="Major",G390="Minor"))),1,0)</formula>
    </cfRule>
  </conditionalFormatting>
  <conditionalFormatting sqref="F390">
    <cfRule type="expression" dxfId="860" priority="894">
      <formula>IF(AND(F390="",OR(E390="Accuracy",E390="Fluency",E390="Segment",E390="Other")),1,0)</formula>
    </cfRule>
  </conditionalFormatting>
  <conditionalFormatting sqref="G390">
    <cfRule type="expression" dxfId="859" priority="893">
      <formula>IF(AND(OR(G390="",E390="Segment"),OR(E390="Accuracy",E390="Fluency",E390="Other")),1,0)</formula>
    </cfRule>
  </conditionalFormatting>
  <conditionalFormatting sqref="E391:G391">
    <cfRule type="expression" dxfId="858" priority="892">
      <formula>IF(OR(AND(E391="",F391="",OR(G391="Critical",G391="Major",G391="Minor"))),1,0)</formula>
    </cfRule>
  </conditionalFormatting>
  <conditionalFormatting sqref="F391">
    <cfRule type="expression" dxfId="857" priority="891">
      <formula>IF(AND(F391="",OR(E391="Accuracy",E391="Fluency",E391="Segment",E391="Other")),1,0)</formula>
    </cfRule>
  </conditionalFormatting>
  <conditionalFormatting sqref="G391">
    <cfRule type="expression" dxfId="856" priority="890">
      <formula>IF(AND(OR(G391="",E391="Segment"),OR(E391="Accuracy",E391="Fluency",E391="Other")),1,0)</formula>
    </cfRule>
  </conditionalFormatting>
  <conditionalFormatting sqref="E399:F399 E402:F404">
    <cfRule type="expression" dxfId="855" priority="889">
      <formula>IF(OR(AND(E399="",F399="",OR(G399="Critical",G399="Major",G399="Minor"))),1,0)</formula>
    </cfRule>
  </conditionalFormatting>
  <conditionalFormatting sqref="F399 F402:F404">
    <cfRule type="expression" dxfId="854" priority="888">
      <formula>IF(AND(F399="",OR(E399="Accuracy",E399="Fluency",E399="Segment",E399="Other")),1,0)</formula>
    </cfRule>
  </conditionalFormatting>
  <conditionalFormatting sqref="E400:G400">
    <cfRule type="expression" dxfId="853" priority="887">
      <formula>IF(OR(AND(E400="",F400="",OR(G400="Critical",G400="Major",G400="Minor"))),1,0)</formula>
    </cfRule>
  </conditionalFormatting>
  <conditionalFormatting sqref="F400">
    <cfRule type="expression" dxfId="852" priority="886">
      <formula>IF(AND(F400="",OR(E400="Accuracy",E400="Fluency",E400="Segment",E400="Other")),1,0)</formula>
    </cfRule>
  </conditionalFormatting>
  <conditionalFormatting sqref="G400">
    <cfRule type="expression" dxfId="851" priority="885">
      <formula>IF(AND(OR(G400="",E400="Segment"),OR(E400="Accuracy",E400="Fluency",E400="Other")),1,0)</formula>
    </cfRule>
  </conditionalFormatting>
  <conditionalFormatting sqref="G401">
    <cfRule type="expression" dxfId="850" priority="884">
      <formula>IF(OR(AND(G401="",H401="",OR(I401="Critical",I401="Major",I401="Minor"))),1,0)</formula>
    </cfRule>
  </conditionalFormatting>
  <conditionalFormatting sqref="G401">
    <cfRule type="expression" dxfId="849" priority="883">
      <formula>IF(AND(OR(G401="",E401="Segment"),OR(E401="Accuracy",E401="Fluency",E401="Other")),1,0)</formula>
    </cfRule>
  </conditionalFormatting>
  <conditionalFormatting sqref="E401:F401">
    <cfRule type="expression" dxfId="848" priority="882">
      <formula>IF(OR(AND(E401="",F401="",OR(G401="Critical",G401="Major",G401="Minor"))),1,0)</formula>
    </cfRule>
  </conditionalFormatting>
  <conditionalFormatting sqref="F401">
    <cfRule type="expression" dxfId="847" priority="881">
      <formula>IF(AND(F401="",OR(E401="Accuracy",E401="Fluency",E401="Segment",E401="Other")),1,0)</formula>
    </cfRule>
  </conditionalFormatting>
  <conditionalFormatting sqref="E405:G405 G406:G407 E406:F413">
    <cfRule type="expression" dxfId="846" priority="879">
      <formula>IF(OR(AND(E405="",F405="",OR(G405="Critical",G405="Major",G405="Minor"))),1,0)</formula>
    </cfRule>
  </conditionalFormatting>
  <conditionalFormatting sqref="F405:F413">
    <cfRule type="expression" dxfId="845" priority="878">
      <formula>IF(AND(F405="",OR(E405="Accuracy",E405="Fluency",E405="Segment",E405="Other")),1,0)</formula>
    </cfRule>
  </conditionalFormatting>
  <conditionalFormatting sqref="G405:G407">
    <cfRule type="expression" dxfId="844" priority="877">
      <formula>IF(AND(OR(G405="",E405="Segment"),OR(E405="Accuracy",E405="Fluency",E405="Other")),1,0)</formula>
    </cfRule>
  </conditionalFormatting>
  <conditionalFormatting sqref="G535:G539 G532:G533 G529 G515:G516 G519:G527 G511 G513 G501:G507 G477 G483:G498 G472 G474 G467 G464:G465 G444:G458 G438:G441 G425 G427:G435 G415:G419">
    <cfRule type="expression" dxfId="843" priority="880">
      <formula>IF(AND(OR(G415="",#REF!="Segment"),OR(#REF!="Accuracy",#REF!="Fluency",#REF!="Other")),1,0)</formula>
    </cfRule>
  </conditionalFormatting>
  <conditionalFormatting sqref="G420:G421">
    <cfRule type="expression" dxfId="842" priority="876">
      <formula>IF(OR(AND(G420="",H420="",OR(I420="Critical",I420="Major",I420="Minor"))),1,0)</formula>
    </cfRule>
  </conditionalFormatting>
  <conditionalFormatting sqref="G420:G421">
    <cfRule type="expression" dxfId="841" priority="875">
      <formula>IF(AND(OR(G420="",E420="Segment"),OR(E420="Accuracy",E420="Fluency",E420="Other")),1,0)</formula>
    </cfRule>
  </conditionalFormatting>
  <conditionalFormatting sqref="E423:F424">
    <cfRule type="expression" dxfId="840" priority="874">
      <formula>IF(OR(AND(E423="",F423="",OR(G423="Critical",G423="Major",G423="Minor"))),1,0)</formula>
    </cfRule>
  </conditionalFormatting>
  <conditionalFormatting sqref="F423:F424">
    <cfRule type="expression" dxfId="839" priority="873">
      <formula>IF(AND(F423="",OR(E423="Accuracy",E423="Fluency",E423="Segment",E423="Other")),1,0)</formula>
    </cfRule>
  </conditionalFormatting>
  <conditionalFormatting sqref="G422:G424">
    <cfRule type="expression" dxfId="838" priority="872">
      <formula>IF(OR(AND(G422="",H422="",OR(I422="Critical",I422="Major",I422="Minor"))),1,0)</formula>
    </cfRule>
  </conditionalFormatting>
  <conditionalFormatting sqref="G422:G424">
    <cfRule type="expression" dxfId="837" priority="871">
      <formula>IF(AND(OR(G422="",E422="Segment"),OR(E422="Accuracy",E422="Fluency",E422="Other")),1,0)</formula>
    </cfRule>
  </conditionalFormatting>
  <conditionalFormatting sqref="E415:F422">
    <cfRule type="expression" dxfId="836" priority="870">
      <formula>IF(OR(AND(E415="",F415="",OR(G415="Critical",G415="Major",G415="Minor"))),1,0)</formula>
    </cfRule>
  </conditionalFormatting>
  <conditionalFormatting sqref="F415:F422">
    <cfRule type="expression" dxfId="835" priority="869">
      <formula>IF(AND(F415="",OR(E415="Accuracy",E415="Fluency",E415="Segment",E415="Other")),1,0)</formula>
    </cfRule>
  </conditionalFormatting>
  <conditionalFormatting sqref="H425:H437">
    <cfRule type="expression" dxfId="834" priority="865">
      <formula>IF(OR(AND(H425="",J425="",OR(#REF!="Critical",#REF!="Major",#REF!="Minor"))),1,0)</formula>
    </cfRule>
  </conditionalFormatting>
  <conditionalFormatting sqref="G427">
    <cfRule type="expression" dxfId="833" priority="866">
      <formula>IF(OR(AND(G427="",H426="",OR(I426="Critical",I426="Major",I426="Minor"))),1,0)</formula>
    </cfRule>
  </conditionalFormatting>
  <conditionalFormatting sqref="G426">
    <cfRule type="expression" dxfId="832" priority="863">
      <formula>IF(AND(OR(G426="",#REF!="Segment"),OR(#REF!="Accuracy",#REF!="Fluency",#REF!="Other")),1,0)</formula>
    </cfRule>
  </conditionalFormatting>
  <conditionalFormatting sqref="G426">
    <cfRule type="expression" dxfId="831" priority="864">
      <formula>IF(OR(AND(G426="",H425="",OR(I425="Critical",I425="Major",I425="Minor"))),1,0)</formula>
    </cfRule>
  </conditionalFormatting>
  <conditionalFormatting sqref="F428:F429">
    <cfRule type="expression" dxfId="830" priority="867">
      <formula>IF(OR(AND(F428="",G428="",OR(H449="Critical",H449="Major",H449="Minor"))),1,0)</formula>
    </cfRule>
  </conditionalFormatting>
  <conditionalFormatting sqref="F425:F427">
    <cfRule type="expression" dxfId="829" priority="868">
      <formula>IF(OR(AND(F425="",G425="",OR(H448="Critical",H448="Major",H448="Minor"))),1,0)</formula>
    </cfRule>
  </conditionalFormatting>
  <conditionalFormatting sqref="E430">
    <cfRule type="expression" dxfId="828" priority="861">
      <formula>IF(OR(AND(E430="",F430="",OR(G430="Critical",G430="Major",G430="Minor"))),1,0)</formula>
    </cfRule>
  </conditionalFormatting>
  <conditionalFormatting sqref="F430">
    <cfRule type="expression" dxfId="827" priority="860">
      <formula>IF(AND(F430="",OR(E430="Accuracy",E430="Fluency",E430="Segment",E430="Other")),1,0)</formula>
    </cfRule>
  </conditionalFormatting>
  <conditionalFormatting sqref="F430">
    <cfRule type="expression" dxfId="826" priority="862">
      <formula>IF(OR(AND(F430="",G430="",OR(H451="Critical",H451="Major",H451="Minor"))),1,0)</formula>
    </cfRule>
  </conditionalFormatting>
  <conditionalFormatting sqref="E436:G436">
    <cfRule type="expression" dxfId="825" priority="858">
      <formula>IF(OR(AND(E436="",F436="",OR(G436="Critical",G436="Major",G436="Minor"))),1,0)</formula>
    </cfRule>
  </conditionalFormatting>
  <conditionalFormatting sqref="F436">
    <cfRule type="expression" dxfId="824" priority="857">
      <formula>IF(AND(F436="",OR(E436="Accuracy",E436="Fluency",E436="Segment",E436="Other")),1,0)</formula>
    </cfRule>
  </conditionalFormatting>
  <conditionalFormatting sqref="G436">
    <cfRule type="expression" dxfId="823" priority="859">
      <formula>IF(AND(OR(G436="",#REF!="Segment"),OR(#REF!="Accuracy",#REF!="Fluency",#REF!="Other")),1,0)</formula>
    </cfRule>
  </conditionalFormatting>
  <conditionalFormatting sqref="E437:G437">
    <cfRule type="expression" dxfId="822" priority="855">
      <formula>IF(OR(AND(E437="",F437="",OR(G437="Critical",G437="Major",G437="Minor"))),1,0)</formula>
    </cfRule>
  </conditionalFormatting>
  <conditionalFormatting sqref="F437">
    <cfRule type="expression" dxfId="821" priority="854">
      <formula>IF(AND(F437="",OR(E437="Accuracy",E437="Fluency",E437="Segment",E437="Other")),1,0)</formula>
    </cfRule>
  </conditionalFormatting>
  <conditionalFormatting sqref="G437">
    <cfRule type="expression" dxfId="820" priority="856">
      <formula>IF(AND(OR(G437="",#REF!="Segment"),OR(#REF!="Accuracy",#REF!="Fluency",#REF!="Other")),1,0)</formula>
    </cfRule>
  </conditionalFormatting>
  <conditionalFormatting sqref="E442:G442">
    <cfRule type="expression" dxfId="819" priority="852">
      <formula>IF(OR(AND(E442="",F442="",OR(G442="Critical",G442="Major",G442="Minor"))),1,0)</formula>
    </cfRule>
  </conditionalFormatting>
  <conditionalFormatting sqref="F442">
    <cfRule type="expression" dxfId="818" priority="851">
      <formula>IF(AND(F442="",OR(E442="Accuracy",E442="Fluency",E442="Segment",E442="Other")),1,0)</formula>
    </cfRule>
  </conditionalFormatting>
  <conditionalFormatting sqref="G442">
    <cfRule type="expression" dxfId="817" priority="853">
      <formula>IF(AND(OR(G442="",#REF!="Segment"),OR(#REF!="Accuracy",#REF!="Fluency",#REF!="Other")),1,0)</formula>
    </cfRule>
  </conditionalFormatting>
  <conditionalFormatting sqref="E443:G443">
    <cfRule type="expression" dxfId="816" priority="849">
      <formula>IF(OR(AND(E443="",F443="",OR(G443="Critical",G443="Major",G443="Minor"))),1,0)</formula>
    </cfRule>
  </conditionalFormatting>
  <conditionalFormatting sqref="F443">
    <cfRule type="expression" dxfId="815" priority="848">
      <formula>IF(AND(F443="",OR(E443="Accuracy",E443="Fluency",E443="Segment",E443="Other")),1,0)</formula>
    </cfRule>
  </conditionalFormatting>
  <conditionalFormatting sqref="G443">
    <cfRule type="expression" dxfId="814" priority="850">
      <formula>IF(AND(OR(G443="",#REF!="Segment"),OR(#REF!="Accuracy",#REF!="Fluency",#REF!="Other")),1,0)</formula>
    </cfRule>
  </conditionalFormatting>
  <conditionalFormatting sqref="E459:G460">
    <cfRule type="expression" dxfId="813" priority="845">
      <formula>IF(OR(AND(E459="",F459="",OR(G459="Critical",G459="Major",G459="Minor"))),1,0)</formula>
    </cfRule>
  </conditionalFormatting>
  <conditionalFormatting sqref="F459:F460">
    <cfRule type="expression" dxfId="812" priority="844">
      <formula>IF(AND(F459="",OR(E459="Accuracy",E459="Fluency",E459="Segment",E459="Other")),1,0)</formula>
    </cfRule>
  </conditionalFormatting>
  <conditionalFormatting sqref="G459:G460">
    <cfRule type="expression" dxfId="811" priority="846">
      <formula>IF(AND(OR(G459="",#REF!="Segment"),OR(#REF!="Accuracy",#REF!="Fluency",#REF!="Other")),1,0)</formula>
    </cfRule>
  </conditionalFormatting>
  <conditionalFormatting sqref="E461:G461">
    <cfRule type="expression" dxfId="810" priority="842">
      <formula>IF(OR(AND(E461="",F461="",OR(G461="Critical",G461="Major",G461="Minor"))),1,0)</formula>
    </cfRule>
  </conditionalFormatting>
  <conditionalFormatting sqref="F461">
    <cfRule type="expression" dxfId="809" priority="841">
      <formula>IF(AND(F461="",OR(E461="Accuracy",E461="Fluency",E461="Segment",E461="Other")),1,0)</formula>
    </cfRule>
  </conditionalFormatting>
  <conditionalFormatting sqref="G461">
    <cfRule type="expression" dxfId="808" priority="843">
      <formula>IF(AND(OR(G461="",#REF!="Segment"),OR(#REF!="Accuracy",#REF!="Fluency",#REF!="Other")),1,0)</formula>
    </cfRule>
  </conditionalFormatting>
  <conditionalFormatting sqref="F462">
    <cfRule type="expression" dxfId="807" priority="838">
      <formula>IF(AND(F462="",OR(E462="Accuracy",E462="Fluency",E462="Segment",E462="Other")),1,0)</formula>
    </cfRule>
  </conditionalFormatting>
  <conditionalFormatting sqref="E462:G462">
    <cfRule type="expression" dxfId="806" priority="839">
      <formula>IF(OR(AND(E462="",F462="",OR(G462="Critical",G462="Major",G462="Minor"))),1,0)</formula>
    </cfRule>
  </conditionalFormatting>
  <conditionalFormatting sqref="G462">
    <cfRule type="expression" dxfId="805" priority="840">
      <formula>IF(AND(OR(G462="",#REF!="Segment"),OR(#REF!="Accuracy",#REF!="Fluency",#REF!="Other")),1,0)</formula>
    </cfRule>
  </conditionalFormatting>
  <conditionalFormatting sqref="H463">
    <cfRule type="expression" dxfId="804" priority="847">
      <formula>IF(OR(AND(H463="",F463="",OR(G463="Critical",G463="Major",G463="Minor"))),1,0)</formula>
    </cfRule>
  </conditionalFormatting>
  <conditionalFormatting sqref="E463:G463">
    <cfRule type="expression" dxfId="803" priority="836">
      <formula>IF(OR(AND(E463="",F463="",OR(G463="Critical",G463="Major",G463="Minor"))),1,0)</formula>
    </cfRule>
  </conditionalFormatting>
  <conditionalFormatting sqref="F463">
    <cfRule type="expression" dxfId="802" priority="835">
      <formula>IF(AND(F463="",OR(E463="Accuracy",E463="Fluency",E463="Segment",E463="Other")),1,0)</formula>
    </cfRule>
  </conditionalFormatting>
  <conditionalFormatting sqref="G463">
    <cfRule type="expression" dxfId="801" priority="837">
      <formula>IF(AND(OR(G463="",#REF!="Segment"),OR(#REF!="Accuracy",#REF!="Fluency",#REF!="Other")),1,0)</formula>
    </cfRule>
  </conditionalFormatting>
  <conditionalFormatting sqref="E466:G466">
    <cfRule type="expression" dxfId="800" priority="833">
      <formula>IF(OR(AND(E466="",F466="",OR(G466="Critical",G466="Major",G466="Minor"))),1,0)</formula>
    </cfRule>
  </conditionalFormatting>
  <conditionalFormatting sqref="F466">
    <cfRule type="expression" dxfId="799" priority="832">
      <formula>IF(AND(F466="",OR(E466="Accuracy",E466="Fluency",E466="Segment",E466="Other")),1,0)</formula>
    </cfRule>
  </conditionalFormatting>
  <conditionalFormatting sqref="G466">
    <cfRule type="expression" dxfId="798" priority="834">
      <formula>IF(AND(OR(G466="",#REF!="Segment"),OR(#REF!="Accuracy",#REF!="Fluency",#REF!="Other")),1,0)</formula>
    </cfRule>
  </conditionalFormatting>
  <conditionalFormatting sqref="E468:G468">
    <cfRule type="expression" dxfId="797" priority="830">
      <formula>IF(OR(AND(E468="",F468="",OR(G468="Critical",G468="Major",G468="Minor"))),1,0)</formula>
    </cfRule>
  </conditionalFormatting>
  <conditionalFormatting sqref="F468">
    <cfRule type="expression" dxfId="796" priority="829">
      <formula>IF(AND(F468="",OR(E468="Accuracy",E468="Fluency",E468="Segment",E468="Other")),1,0)</formula>
    </cfRule>
  </conditionalFormatting>
  <conditionalFormatting sqref="G468">
    <cfRule type="expression" dxfId="795" priority="831">
      <formula>IF(AND(OR(G468="",#REF!="Segment"),OR(#REF!="Accuracy",#REF!="Fluency",#REF!="Other")),1,0)</formula>
    </cfRule>
  </conditionalFormatting>
  <conditionalFormatting sqref="E469:G469">
    <cfRule type="expression" dxfId="794" priority="827">
      <formula>IF(OR(AND(E469="",F469="",OR(G469="Critical",G469="Major",G469="Minor"))),1,0)</formula>
    </cfRule>
  </conditionalFormatting>
  <conditionalFormatting sqref="F469">
    <cfRule type="expression" dxfId="793" priority="826">
      <formula>IF(AND(F469="",OR(E469="Accuracy",E469="Fluency",E469="Segment",E469="Other")),1,0)</formula>
    </cfRule>
  </conditionalFormatting>
  <conditionalFormatting sqref="G469">
    <cfRule type="expression" dxfId="792" priority="828">
      <formula>IF(AND(OR(G469="",#REF!="Segment"),OR(#REF!="Accuracy",#REF!="Fluency",#REF!="Other")),1,0)</formula>
    </cfRule>
  </conditionalFormatting>
  <conditionalFormatting sqref="E470:G470">
    <cfRule type="expression" dxfId="791" priority="824">
      <formula>IF(OR(AND(E470="",F470="",OR(G470="Critical",G470="Major",G470="Minor"))),1,0)</formula>
    </cfRule>
  </conditionalFormatting>
  <conditionalFormatting sqref="F470">
    <cfRule type="expression" dxfId="790" priority="823">
      <formula>IF(AND(F470="",OR(E470="Accuracy",E470="Fluency",E470="Segment",E470="Other")),1,0)</formula>
    </cfRule>
  </conditionalFormatting>
  <conditionalFormatting sqref="G470">
    <cfRule type="expression" dxfId="789" priority="825">
      <formula>IF(AND(OR(G470="",#REF!="Segment"),OR(#REF!="Accuracy",#REF!="Fluency",#REF!="Other")),1,0)</formula>
    </cfRule>
  </conditionalFormatting>
  <conditionalFormatting sqref="E471:G471">
    <cfRule type="expression" dxfId="788" priority="821">
      <formula>IF(OR(AND(E471="",F471="",OR(G471="Critical",G471="Major",G471="Minor"))),1,0)</formula>
    </cfRule>
  </conditionalFormatting>
  <conditionalFormatting sqref="F471">
    <cfRule type="expression" dxfId="787" priority="820">
      <formula>IF(AND(F471="",OR(E471="Accuracy",E471="Fluency",E471="Segment",E471="Other")),1,0)</formula>
    </cfRule>
  </conditionalFormatting>
  <conditionalFormatting sqref="G471">
    <cfRule type="expression" dxfId="786" priority="822">
      <formula>IF(AND(OR(G471="",#REF!="Segment"),OR(#REF!="Accuracy",#REF!="Fluency",#REF!="Other")),1,0)</formula>
    </cfRule>
  </conditionalFormatting>
  <conditionalFormatting sqref="E473:G473">
    <cfRule type="expression" dxfId="785" priority="818">
      <formula>IF(OR(AND(E473="",F473="",OR(G473="Critical",G473="Major",G473="Minor"))),1,0)</formula>
    </cfRule>
  </conditionalFormatting>
  <conditionalFormatting sqref="F473">
    <cfRule type="expression" dxfId="784" priority="817">
      <formula>IF(AND(F473="",OR(E473="Accuracy",E473="Fluency",E473="Segment",E473="Other")),1,0)</formula>
    </cfRule>
  </conditionalFormatting>
  <conditionalFormatting sqref="G473">
    <cfRule type="expression" dxfId="783" priority="819">
      <formula>IF(AND(OR(G473="",#REF!="Segment"),OR(#REF!="Accuracy",#REF!="Fluency",#REF!="Other")),1,0)</formula>
    </cfRule>
  </conditionalFormatting>
  <conditionalFormatting sqref="E475:G475">
    <cfRule type="expression" dxfId="782" priority="815">
      <formula>IF(OR(AND(E475="",F475="",OR(G475="Critical",G475="Major",G475="Minor"))),1,0)</formula>
    </cfRule>
  </conditionalFormatting>
  <conditionalFormatting sqref="F475">
    <cfRule type="expression" dxfId="781" priority="814">
      <formula>IF(AND(F475="",OR(E475="Accuracy",E475="Fluency",E475="Segment",E475="Other")),1,0)</formula>
    </cfRule>
  </conditionalFormatting>
  <conditionalFormatting sqref="G475">
    <cfRule type="expression" dxfId="780" priority="816">
      <formula>IF(AND(OR(G475="",#REF!="Segment"),OR(#REF!="Accuracy",#REF!="Fluency",#REF!="Other")),1,0)</formula>
    </cfRule>
  </conditionalFormatting>
  <conditionalFormatting sqref="E476:G476">
    <cfRule type="expression" dxfId="779" priority="812">
      <formula>IF(OR(AND(E476="",F476="",OR(G476="Critical",G476="Major",G476="Minor"))),1,0)</formula>
    </cfRule>
  </conditionalFormatting>
  <conditionalFormatting sqref="F476">
    <cfRule type="expression" dxfId="778" priority="811">
      <formula>IF(AND(F476="",OR(E476="Accuracy",E476="Fluency",E476="Segment",E476="Other")),1,0)</formula>
    </cfRule>
  </conditionalFormatting>
  <conditionalFormatting sqref="G476">
    <cfRule type="expression" dxfId="777" priority="813">
      <formula>IF(AND(OR(G476="",#REF!="Segment"),OR(#REF!="Accuracy",#REF!="Fluency",#REF!="Other")),1,0)</formula>
    </cfRule>
  </conditionalFormatting>
  <conditionalFormatting sqref="E485:F485">
    <cfRule type="expression" dxfId="776" priority="810">
      <formula>IF(OR(AND(E485="",F485="",OR(G485="Critical",G485="Major",G485="Minor"))),1,0)</formula>
    </cfRule>
  </conditionalFormatting>
  <conditionalFormatting sqref="F485">
    <cfRule type="expression" dxfId="775" priority="809">
      <formula>IF(AND(F485="",OR(E485="Accuracy",E485="Fluency",E485="Segment",E485="Other")),1,0)</formula>
    </cfRule>
  </conditionalFormatting>
  <conditionalFormatting sqref="E478:G478">
    <cfRule type="expression" dxfId="774" priority="807">
      <formula>IF(OR(AND(E478="",F478="",OR(G478="Critical",G478="Major",G478="Minor"))),1,0)</formula>
    </cfRule>
  </conditionalFormatting>
  <conditionalFormatting sqref="F478">
    <cfRule type="expression" dxfId="773" priority="806">
      <formula>IF(AND(F478="",OR(E478="Accuracy",E478="Fluency",E478="Segment",E478="Other")),1,0)</formula>
    </cfRule>
  </conditionalFormatting>
  <conditionalFormatting sqref="G478">
    <cfRule type="expression" dxfId="772" priority="808">
      <formula>IF(AND(OR(G478="",#REF!="Segment"),OR(#REF!="Accuracy",#REF!="Fluency",#REF!="Other")),1,0)</formula>
    </cfRule>
  </conditionalFormatting>
  <conditionalFormatting sqref="E479:G479">
    <cfRule type="expression" dxfId="771" priority="804">
      <formula>IF(OR(AND(E479="",F479="",OR(G479="Critical",G479="Major",G479="Minor"))),1,0)</formula>
    </cfRule>
  </conditionalFormatting>
  <conditionalFormatting sqref="F479">
    <cfRule type="expression" dxfId="770" priority="803">
      <formula>IF(AND(F479="",OR(E479="Accuracy",E479="Fluency",E479="Segment",E479="Other")),1,0)</formula>
    </cfRule>
  </conditionalFormatting>
  <conditionalFormatting sqref="G479">
    <cfRule type="expression" dxfId="769" priority="805">
      <formula>IF(AND(OR(G479="",#REF!="Segment"),OR(#REF!="Accuracy",#REF!="Fluency",#REF!="Other")),1,0)</formula>
    </cfRule>
  </conditionalFormatting>
  <conditionalFormatting sqref="E480:G480">
    <cfRule type="expression" dxfId="768" priority="801">
      <formula>IF(OR(AND(E480="",F480="",OR(G480="Critical",G480="Major",G480="Minor"))),1,0)</formula>
    </cfRule>
  </conditionalFormatting>
  <conditionalFormatting sqref="F480">
    <cfRule type="expression" dxfId="767" priority="800">
      <formula>IF(AND(F480="",OR(E480="Accuracy",E480="Fluency",E480="Segment",E480="Other")),1,0)</formula>
    </cfRule>
  </conditionalFormatting>
  <conditionalFormatting sqref="G480">
    <cfRule type="expression" dxfId="766" priority="802">
      <formula>IF(AND(OR(G480="",#REF!="Segment"),OR(#REF!="Accuracy",#REF!="Fluency",#REF!="Other")),1,0)</formula>
    </cfRule>
  </conditionalFormatting>
  <conditionalFormatting sqref="E481:G481">
    <cfRule type="expression" dxfId="765" priority="798">
      <formula>IF(OR(AND(E481="",F481="",OR(G481="Critical",G481="Major",G481="Minor"))),1,0)</formula>
    </cfRule>
  </conditionalFormatting>
  <conditionalFormatting sqref="F481">
    <cfRule type="expression" dxfId="764" priority="797">
      <formula>IF(AND(F481="",OR(E481="Accuracy",E481="Fluency",E481="Segment",E481="Other")),1,0)</formula>
    </cfRule>
  </conditionalFormatting>
  <conditionalFormatting sqref="G481">
    <cfRule type="expression" dxfId="763" priority="799">
      <formula>IF(AND(OR(G481="",#REF!="Segment"),OR(#REF!="Accuracy",#REF!="Fluency",#REF!="Other")),1,0)</formula>
    </cfRule>
  </conditionalFormatting>
  <conditionalFormatting sqref="E482:G482">
    <cfRule type="expression" dxfId="762" priority="795">
      <formula>IF(OR(AND(E482="",F482="",OR(G482="Critical",G482="Major",G482="Minor"))),1,0)</formula>
    </cfRule>
  </conditionalFormatting>
  <conditionalFormatting sqref="F482">
    <cfRule type="expression" dxfId="761" priority="794">
      <formula>IF(AND(F482="",OR(E482="Accuracy",E482="Fluency",E482="Segment",E482="Other")),1,0)</formula>
    </cfRule>
  </conditionalFormatting>
  <conditionalFormatting sqref="G482">
    <cfRule type="expression" dxfId="760" priority="796">
      <formula>IF(AND(OR(G482="",#REF!="Segment"),OR(#REF!="Accuracy",#REF!="Fluency",#REF!="Other")),1,0)</formula>
    </cfRule>
  </conditionalFormatting>
  <conditionalFormatting sqref="G499">
    <cfRule type="expression" dxfId="759" priority="792">
      <formula>IF(OR(AND(G499="",H499="",OR(I499="Critical",I499="Major",I499="Minor"))),1,0)</formula>
    </cfRule>
  </conditionalFormatting>
  <conditionalFormatting sqref="G499">
    <cfRule type="expression" dxfId="758" priority="793">
      <formula>IF(AND(OR(G499="",#REF!="Segment"),OR(#REF!="Accuracy",#REF!="Fluency",#REF!="Other")),1,0)</formula>
    </cfRule>
  </conditionalFormatting>
  <conditionalFormatting sqref="G500">
    <cfRule type="expression" dxfId="757" priority="789">
      <formula>IF(OR(AND(G500="",H500="",OR(I500="Critical",I500="Major",I500="Minor"))),1,0)</formula>
    </cfRule>
  </conditionalFormatting>
  <conditionalFormatting sqref="G500">
    <cfRule type="expression" dxfId="756" priority="790">
      <formula>IF(AND(OR(G500="",#REF!="Segment"),OR(#REF!="Accuracy",#REF!="Fluency",#REF!="Other")),1,0)</formula>
    </cfRule>
  </conditionalFormatting>
  <conditionalFormatting sqref="G505">
    <cfRule type="expression" dxfId="755" priority="786">
      <formula>IF(OR(AND(G505="",H504="",OR(I505="Critical",I505="Major",I505="Minor"))),1,0)</formula>
    </cfRule>
  </conditionalFormatting>
  <conditionalFormatting sqref="F505">
    <cfRule type="expression" dxfId="754" priority="787">
      <formula>IF(OR(AND(F505="",G505="",OR(H504="Critical",H504="Major",H504="Minor"))),1,0)</formula>
    </cfRule>
  </conditionalFormatting>
  <conditionalFormatting sqref="E508:G508">
    <cfRule type="expression" dxfId="753" priority="784">
      <formula>IF(OR(AND(E508="",F508="",OR(G508="Critical",G508="Major",G508="Minor"))),1,0)</formula>
    </cfRule>
  </conditionalFormatting>
  <conditionalFormatting sqref="F508">
    <cfRule type="expression" dxfId="752" priority="783">
      <formula>IF(AND(F508="",OR(E508="Accuracy",E508="Fluency",E508="Segment",E508="Other")),1,0)</formula>
    </cfRule>
  </conditionalFormatting>
  <conditionalFormatting sqref="G508">
    <cfRule type="expression" dxfId="751" priority="785">
      <formula>IF(AND(OR(G508="",#REF!="Segment"),OR(#REF!="Accuracy",#REF!="Fluency",#REF!="Other")),1,0)</formula>
    </cfRule>
  </conditionalFormatting>
  <conditionalFormatting sqref="E509:G509">
    <cfRule type="expression" dxfId="750" priority="781">
      <formula>IF(OR(AND(E509="",F509="",OR(G509="Critical",G509="Major",G509="Minor"))),1,0)</formula>
    </cfRule>
  </conditionalFormatting>
  <conditionalFormatting sqref="F509">
    <cfRule type="expression" dxfId="749" priority="780">
      <formula>IF(AND(F509="",OR(E509="Accuracy",E509="Fluency",E509="Segment",E509="Other")),1,0)</formula>
    </cfRule>
  </conditionalFormatting>
  <conditionalFormatting sqref="G509">
    <cfRule type="expression" dxfId="748" priority="782">
      <formula>IF(AND(OR(G509="",#REF!="Segment"),OR(#REF!="Accuracy",#REF!="Fluency",#REF!="Other")),1,0)</formula>
    </cfRule>
  </conditionalFormatting>
  <conditionalFormatting sqref="E510:G510">
    <cfRule type="expression" dxfId="747" priority="778">
      <formula>IF(OR(AND(E510="",F510="",OR(G510="Critical",G510="Major",G510="Minor"))),1,0)</formula>
    </cfRule>
  </conditionalFormatting>
  <conditionalFormatting sqref="F510">
    <cfRule type="expression" dxfId="746" priority="777">
      <formula>IF(AND(F510="",OR(E510="Accuracy",E510="Fluency",E510="Segment",E510="Other")),1,0)</formula>
    </cfRule>
  </conditionalFormatting>
  <conditionalFormatting sqref="G510">
    <cfRule type="expression" dxfId="745" priority="779">
      <formula>IF(AND(OR(G510="",#REF!="Segment"),OR(#REF!="Accuracy",#REF!="Fluency",#REF!="Other")),1,0)</formula>
    </cfRule>
  </conditionalFormatting>
  <conditionalFormatting sqref="G512">
    <cfRule type="expression" dxfId="744" priority="775">
      <formula>IF(OR(AND(G512="",H512="",OR(I512="Critical",I512="Major",I512="Minor"))),1,0)</formula>
    </cfRule>
  </conditionalFormatting>
  <conditionalFormatting sqref="G512">
    <cfRule type="expression" dxfId="743" priority="776">
      <formula>IF(AND(OR(G512="",#REF!="Segment"),OR(#REF!="Accuracy",#REF!="Fluency",#REF!="Other")),1,0)</formula>
    </cfRule>
  </conditionalFormatting>
  <conditionalFormatting sqref="E514:G514">
    <cfRule type="expression" dxfId="742" priority="772">
      <formula>IF(OR(AND(E514="",F514="",OR(G514="Critical",G514="Major",G514="Minor"))),1,0)</formula>
    </cfRule>
  </conditionalFormatting>
  <conditionalFormatting sqref="F514">
    <cfRule type="expression" dxfId="741" priority="771">
      <formula>IF(AND(F514="",OR(E514="Accuracy",E514="Fluency",E514="Segment",E514="Other")),1,0)</formula>
    </cfRule>
  </conditionalFormatting>
  <conditionalFormatting sqref="G514">
    <cfRule type="expression" dxfId="740" priority="773">
      <formula>IF(AND(OR(G514="",#REF!="Segment"),OR(#REF!="Accuracy",#REF!="Fluency",#REF!="Other")),1,0)</formula>
    </cfRule>
  </conditionalFormatting>
  <conditionalFormatting sqref="G517">
    <cfRule type="expression" dxfId="739" priority="769">
      <formula>IF(OR(AND(G517="",H517="",OR(I517="Critical",I517="Major",I517="Minor"))),1,0)</formula>
    </cfRule>
  </conditionalFormatting>
  <conditionalFormatting sqref="G517">
    <cfRule type="expression" dxfId="738" priority="770">
      <formula>IF(AND(OR(G517="",#REF!="Segment"),OR(#REF!="Accuracy",#REF!="Fluency",#REF!="Other")),1,0)</formula>
    </cfRule>
  </conditionalFormatting>
  <conditionalFormatting sqref="E518:G518">
    <cfRule type="expression" dxfId="737" priority="766">
      <formula>IF(OR(AND(E518="",F518="",OR(G518="Critical",G518="Major",G518="Minor"))),1,0)</formula>
    </cfRule>
  </conditionalFormatting>
  <conditionalFormatting sqref="F518">
    <cfRule type="expression" dxfId="736" priority="765">
      <formula>IF(AND(F518="",OR(E518="Accuracy",E518="Fluency",E518="Segment",E518="Other")),1,0)</formula>
    </cfRule>
  </conditionalFormatting>
  <conditionalFormatting sqref="G518">
    <cfRule type="expression" dxfId="735" priority="767">
      <formula>IF(AND(OR(G518="",#REF!="Segment"),OR(#REF!="Accuracy",#REF!="Fluency",#REF!="Other")),1,0)</formula>
    </cfRule>
  </conditionalFormatting>
  <conditionalFormatting sqref="E528:G528">
    <cfRule type="expression" dxfId="734" priority="763">
      <formula>IF(OR(AND(E528="",F528="",OR(G528="Critical",G528="Major",G528="Minor"))),1,0)</formula>
    </cfRule>
  </conditionalFormatting>
  <conditionalFormatting sqref="F528">
    <cfRule type="expression" dxfId="733" priority="762">
      <formula>IF(AND(F528="",OR(E528="Accuracy",E528="Fluency",E528="Segment",E528="Other")),1,0)</formula>
    </cfRule>
  </conditionalFormatting>
  <conditionalFormatting sqref="G528">
    <cfRule type="expression" dxfId="732" priority="764">
      <formula>IF(AND(OR(G528="",#REF!="Segment"),OR(#REF!="Accuracy",#REF!="Fluency",#REF!="Other")),1,0)</formula>
    </cfRule>
  </conditionalFormatting>
  <conditionalFormatting sqref="E530:G530">
    <cfRule type="expression" dxfId="731" priority="760">
      <formula>IF(OR(AND(E530="",F530="",OR(G530="Critical",G530="Major",G530="Minor"))),1,0)</formula>
    </cfRule>
  </conditionalFormatting>
  <conditionalFormatting sqref="F530">
    <cfRule type="expression" dxfId="730" priority="759">
      <formula>IF(AND(F530="",OR(E530="Accuracy",E530="Fluency",E530="Segment",E530="Other")),1,0)</formula>
    </cfRule>
  </conditionalFormatting>
  <conditionalFormatting sqref="G530">
    <cfRule type="expression" dxfId="729" priority="761">
      <formula>IF(AND(OR(G530="",#REF!="Segment"),OR(#REF!="Accuracy",#REF!="Fluency",#REF!="Other")),1,0)</formula>
    </cfRule>
  </conditionalFormatting>
  <conditionalFormatting sqref="E531:G531">
    <cfRule type="expression" dxfId="728" priority="757">
      <formula>IF(OR(AND(E531="",F531="",OR(G531="Critical",G531="Major",G531="Minor"))),1,0)</formula>
    </cfRule>
  </conditionalFormatting>
  <conditionalFormatting sqref="F531">
    <cfRule type="expression" dxfId="727" priority="756">
      <formula>IF(AND(F531="",OR(E531="Accuracy",E531="Fluency",E531="Segment",E531="Other")),1,0)</formula>
    </cfRule>
  </conditionalFormatting>
  <conditionalFormatting sqref="G531">
    <cfRule type="expression" dxfId="726" priority="758">
      <formula>IF(AND(OR(G531="",#REF!="Segment"),OR(#REF!="Accuracy",#REF!="Fluency",#REF!="Other")),1,0)</formula>
    </cfRule>
  </conditionalFormatting>
  <conditionalFormatting sqref="E534:G534">
    <cfRule type="expression" dxfId="725" priority="754">
      <formula>IF(OR(AND(E534="",F534="",OR(G534="Critical",G534="Major",G534="Minor"))),1,0)</formula>
    </cfRule>
  </conditionalFormatting>
  <conditionalFormatting sqref="F534">
    <cfRule type="expression" dxfId="724" priority="753">
      <formula>IF(AND(F534="",OR(E534="Accuracy",E534="Fluency",E534="Segment",E534="Other")),1,0)</formula>
    </cfRule>
  </conditionalFormatting>
  <conditionalFormatting sqref="G534">
    <cfRule type="expression" dxfId="723" priority="755">
      <formula>IF(AND(OR(G534="",#REF!="Segment"),OR(#REF!="Accuracy",#REF!="Fluency",#REF!="Other")),1,0)</formula>
    </cfRule>
  </conditionalFormatting>
  <conditionalFormatting sqref="G697 G695 E690:G690 E686:G686 E672:G672 E675:G675 G674 E673:F674 E666:G666 E670:G670 E664:G664 E658:G660 E650:G651 G646 E647 E639:G639 G630 E629 E602:G603 E585:G585 E591:G591 G586 E586:F591 E569:G575 E549:G551 E554:G556 E540:G542 E562:G562 G561 E564:G566 G563 G640 E653:G653 G652 G656:G657 G685 E559:G560 E557:E558 G557:G558">
    <cfRule type="expression" dxfId="722" priority="750">
      <formula>IF(OR(AND(E540="",F540="",OR(G540="Critical",G540="Major",G540="Minor"))),1,0)</formula>
    </cfRule>
  </conditionalFormatting>
  <conditionalFormatting sqref="F690 F686 F672:F675 F666 F670 F664 F658:F660 F650:F651 F639 F602:F603 F585:F591 F569:F575 F549:F551 F554:F556 F540:F542 F559:F560 F562 F564:F566 F653">
    <cfRule type="expression" dxfId="721" priority="749">
      <formula>IF(AND(F540="",OR(E540="Accuracy",E540="Fluency",E540="Segment",E540="Other")),1,0)</formula>
    </cfRule>
  </conditionalFormatting>
  <conditionalFormatting sqref="H540:H542 H545:H547">
    <cfRule type="expression" dxfId="720" priority="751">
      <formula>IF(OR(AND(H540="",J540="",OR(#REF!="Critical",#REF!="Major",#REF!="Minor"))),1,0)</formula>
    </cfRule>
  </conditionalFormatting>
  <conditionalFormatting sqref="G697 G695 G690 G685:G686 G678 G672 G674:G675 G666 G670 G664 G656:G660 G650:G653 G646 G639:G640 G630 G602:G603 G585:G586 G591 G569:G575 G549:G551 G554:G566 G540:G542">
    <cfRule type="expression" dxfId="719" priority="752">
      <formula>IF(AND(OR(G540="",#REF!="Segment"),OR(#REF!="Accuracy",#REF!="Fluency",#REF!="Other")),1,0)</formula>
    </cfRule>
  </conditionalFormatting>
  <conditionalFormatting sqref="E545:G547">
    <cfRule type="expression" dxfId="718" priority="747">
      <formula>IF(OR(AND(E545="",F545="",OR(G545="Critical",G545="Major",G545="Minor"))),1,0)</formula>
    </cfRule>
  </conditionalFormatting>
  <conditionalFormatting sqref="F545:F547">
    <cfRule type="expression" dxfId="717" priority="746">
      <formula>IF(AND(F545="",OR(E545="Accuracy",E545="Fluency",E545="Segment",E545="Other")),1,0)</formula>
    </cfRule>
  </conditionalFormatting>
  <conditionalFormatting sqref="G545:G547">
    <cfRule type="expression" dxfId="716" priority="748">
      <formula>IF(AND(OR(G545="",#REF!="Segment"),OR(#REF!="Accuracy",#REF!="Fluency",#REF!="Other")),1,0)</formula>
    </cfRule>
  </conditionalFormatting>
  <conditionalFormatting sqref="E543:G544">
    <cfRule type="expression" dxfId="715" priority="743">
      <formula>IF(OR(AND(E543="",F543="",OR(G543="Critical",G543="Major",G543="Minor"))),1,0)</formula>
    </cfRule>
  </conditionalFormatting>
  <conditionalFormatting sqref="F543:F544">
    <cfRule type="expression" dxfId="714" priority="742">
      <formula>IF(AND(F543="",OR(E543="Accuracy",E543="Fluency",E543="Segment",E543="Other")),1,0)</formula>
    </cfRule>
  </conditionalFormatting>
  <conditionalFormatting sqref="H543:H544">
    <cfRule type="expression" dxfId="713" priority="744">
      <formula>IF(OR(AND(H543="",J543="",OR(#REF!="Critical",#REF!="Major",#REF!="Minor"))),1,0)</formula>
    </cfRule>
  </conditionalFormatting>
  <conditionalFormatting sqref="G543:G544">
    <cfRule type="expression" dxfId="712" priority="745">
      <formula>IF(AND(OR(G543="",#REF!="Segment"),OR(#REF!="Accuracy",#REF!="Fluency",#REF!="Other")),1,0)</formula>
    </cfRule>
  </conditionalFormatting>
  <conditionalFormatting sqref="E548:G548">
    <cfRule type="expression" dxfId="711" priority="740">
      <formula>IF(OR(AND(E548="",F548="",OR(G548="Critical",G548="Major",G548="Minor"))),1,0)</formula>
    </cfRule>
  </conditionalFormatting>
  <conditionalFormatting sqref="F548">
    <cfRule type="expression" dxfId="710" priority="739">
      <formula>IF(AND(F548="",OR(E548="Accuracy",E548="Fluency",E548="Segment",E548="Other")),1,0)</formula>
    </cfRule>
  </conditionalFormatting>
  <conditionalFormatting sqref="G548">
    <cfRule type="expression" dxfId="709" priority="741">
      <formula>IF(AND(OR(G548="",#REF!="Segment"),OR(#REF!="Accuracy",#REF!="Fluency",#REF!="Other")),1,0)</formula>
    </cfRule>
  </conditionalFormatting>
  <conditionalFormatting sqref="G552">
    <cfRule type="expression" dxfId="708" priority="737">
      <formula>IF(OR(AND(G552="",H552="",OR(I552="Critical",I552="Major",I552="Minor"))),1,0)</formula>
    </cfRule>
  </conditionalFormatting>
  <conditionalFormatting sqref="G552">
    <cfRule type="expression" dxfId="707" priority="738">
      <formula>IF(AND(OR(G552="",#REF!="Segment"),OR(#REF!="Accuracy",#REF!="Fluency",#REF!="Other")),1,0)</formula>
    </cfRule>
  </conditionalFormatting>
  <conditionalFormatting sqref="E553:G553">
    <cfRule type="expression" dxfId="706" priority="735">
      <formula>IF(OR(AND(E553="",F553="",OR(G553="Critical",G553="Major",G553="Minor"))),1,0)</formula>
    </cfRule>
  </conditionalFormatting>
  <conditionalFormatting sqref="F553">
    <cfRule type="expression" dxfId="705" priority="734">
      <formula>IF(AND(F553="",OR(E553="Accuracy",E553="Fluency",E553="Segment",E553="Other")),1,0)</formula>
    </cfRule>
  </conditionalFormatting>
  <conditionalFormatting sqref="G553">
    <cfRule type="expression" dxfId="704" priority="736">
      <formula>IF(AND(OR(G553="",#REF!="Segment"),OR(#REF!="Accuracy",#REF!="Fluency",#REF!="Other")),1,0)</formula>
    </cfRule>
  </conditionalFormatting>
  <conditionalFormatting sqref="E552:F552">
    <cfRule type="expression" dxfId="703" priority="733">
      <formula>IF(OR(AND(E552="",F552="",OR(G552="Critical",G552="Major",G552="Minor"))),1,0)</formula>
    </cfRule>
  </conditionalFormatting>
  <conditionalFormatting sqref="F552">
    <cfRule type="expression" dxfId="702" priority="732">
      <formula>IF(AND(F552="",OR(E552="Accuracy",E552="Fluency",E552="Segment",E552="Other")),1,0)</formula>
    </cfRule>
  </conditionalFormatting>
  <conditionalFormatting sqref="E567:G567">
    <cfRule type="expression" dxfId="701" priority="730">
      <formula>IF(OR(AND(E567="",F567="",OR(G567="Critical",G567="Major",G567="Minor"))),1,0)</formula>
    </cfRule>
  </conditionalFormatting>
  <conditionalFormatting sqref="F567">
    <cfRule type="expression" dxfId="700" priority="729">
      <formula>IF(AND(F567="",OR(E567="Accuracy",E567="Fluency",E567="Segment",E567="Other")),1,0)</formula>
    </cfRule>
  </conditionalFormatting>
  <conditionalFormatting sqref="G567">
    <cfRule type="expression" dxfId="699" priority="731">
      <formula>IF(AND(OR(G567="",#REF!="Segment"),OR(#REF!="Accuracy",#REF!="Fluency",#REF!="Other")),1,0)</formula>
    </cfRule>
  </conditionalFormatting>
  <conditionalFormatting sqref="E568:G568">
    <cfRule type="expression" dxfId="698" priority="727">
      <formula>IF(OR(AND(E568="",F568="",OR(G568="Critical",G568="Major",G568="Minor"))),1,0)</formula>
    </cfRule>
  </conditionalFormatting>
  <conditionalFormatting sqref="F568">
    <cfRule type="expression" dxfId="697" priority="726">
      <formula>IF(AND(F568="",OR(E568="Accuracy",E568="Fluency",E568="Segment",E568="Other")),1,0)</formula>
    </cfRule>
  </conditionalFormatting>
  <conditionalFormatting sqref="G568">
    <cfRule type="expression" dxfId="696" priority="728">
      <formula>IF(AND(OR(G568="",#REF!="Segment"),OR(#REF!="Accuracy",#REF!="Fluency",#REF!="Other")),1,0)</formula>
    </cfRule>
  </conditionalFormatting>
  <conditionalFormatting sqref="E576:G576">
    <cfRule type="expression" dxfId="695" priority="724">
      <formula>IF(OR(AND(E576="",F576="",OR(G576="Critical",G576="Major",G576="Minor"))),1,0)</formula>
    </cfRule>
  </conditionalFormatting>
  <conditionalFormatting sqref="F576">
    <cfRule type="expression" dxfId="694" priority="723">
      <formula>IF(AND(F576="",OR(E576="Accuracy",E576="Fluency",E576="Segment",E576="Other")),1,0)</formula>
    </cfRule>
  </conditionalFormatting>
  <conditionalFormatting sqref="G576">
    <cfRule type="expression" dxfId="693" priority="725">
      <formula>IF(AND(OR(G576="",#REF!="Segment"),OR(#REF!="Accuracy",#REF!="Fluency",#REF!="Other")),1,0)</formula>
    </cfRule>
  </conditionalFormatting>
  <conditionalFormatting sqref="E577:G577 E578:F579">
    <cfRule type="expression" dxfId="692" priority="721">
      <formula>IF(OR(AND(E577="",F577="",OR(G577="Critical",G577="Major",G577="Minor"))),1,0)</formula>
    </cfRule>
  </conditionalFormatting>
  <conditionalFormatting sqref="F577:F579">
    <cfRule type="expression" dxfId="691" priority="720">
      <formula>IF(AND(F577="",OR(E577="Accuracy",E577="Fluency",E577="Segment",E577="Other")),1,0)</formula>
    </cfRule>
  </conditionalFormatting>
  <conditionalFormatting sqref="G577">
    <cfRule type="expression" dxfId="690" priority="722">
      <formula>IF(AND(OR(G577="",#REF!="Segment"),OR(#REF!="Accuracy",#REF!="Fluency",#REF!="Other")),1,0)</formula>
    </cfRule>
  </conditionalFormatting>
  <conditionalFormatting sqref="G578:G579 E580:G583">
    <cfRule type="expression" dxfId="689" priority="718">
      <formula>IF(OR(AND(E578="",F578="",OR(G578="Critical",G578="Major",G578="Minor"))),1,0)</formula>
    </cfRule>
  </conditionalFormatting>
  <conditionalFormatting sqref="F580:F583">
    <cfRule type="expression" dxfId="688" priority="717">
      <formula>IF(AND(F580="",OR(E580="Accuracy",E580="Fluency",E580="Segment",E580="Other")),1,0)</formula>
    </cfRule>
  </conditionalFormatting>
  <conditionalFormatting sqref="G578:G583">
    <cfRule type="expression" dxfId="687" priority="719">
      <formula>IF(AND(OR(G578="",#REF!="Segment"),OR(#REF!="Accuracy",#REF!="Fluency",#REF!="Other")),1,0)</formula>
    </cfRule>
  </conditionalFormatting>
  <conditionalFormatting sqref="E584:G584">
    <cfRule type="expression" dxfId="686" priority="715">
      <formula>IF(OR(AND(E584="",F584="",OR(G584="Critical",G584="Major",G584="Minor"))),1,0)</formula>
    </cfRule>
  </conditionalFormatting>
  <conditionalFormatting sqref="F584">
    <cfRule type="expression" dxfId="685" priority="714">
      <formula>IF(AND(F584="",OR(E584="Accuracy",E584="Fluency",E584="Segment",E584="Other")),1,0)</formula>
    </cfRule>
  </conditionalFormatting>
  <conditionalFormatting sqref="G584">
    <cfRule type="expression" dxfId="684" priority="716">
      <formula>IF(AND(OR(G584="",#REF!="Segment"),OR(#REF!="Accuracy",#REF!="Fluency",#REF!="Other")),1,0)</formula>
    </cfRule>
  </conditionalFormatting>
  <conditionalFormatting sqref="G587">
    <cfRule type="expression" dxfId="683" priority="712">
      <formula>IF(OR(AND(G587="",H587="",OR(I587="Critical",I587="Major",I587="Minor"))),1,0)</formula>
    </cfRule>
  </conditionalFormatting>
  <conditionalFormatting sqref="G587">
    <cfRule type="expression" dxfId="682" priority="713">
      <formula>IF(AND(OR(G587="",#REF!="Segment"),OR(#REF!="Accuracy",#REF!="Fluency",#REF!="Other")),1,0)</formula>
    </cfRule>
  </conditionalFormatting>
  <conditionalFormatting sqref="G588:G590">
    <cfRule type="expression" dxfId="681" priority="710">
      <formula>IF(OR(AND(G588="",H588="",OR(I588="Critical",I588="Major",I588="Minor"))),1,0)</formula>
    </cfRule>
  </conditionalFormatting>
  <conditionalFormatting sqref="G588:G590">
    <cfRule type="expression" dxfId="680" priority="711">
      <formula>IF(AND(OR(G588="",#REF!="Segment"),OR(#REF!="Accuracy",#REF!="Fluency",#REF!="Other")),1,0)</formula>
    </cfRule>
  </conditionalFormatting>
  <conditionalFormatting sqref="E592:G594">
    <cfRule type="expression" dxfId="679" priority="708">
      <formula>IF(OR(AND(E592="",F592="",OR(G592="Critical",G592="Major",G592="Minor"))),1,0)</formula>
    </cfRule>
  </conditionalFormatting>
  <conditionalFormatting sqref="F592:F594">
    <cfRule type="expression" dxfId="678" priority="707">
      <formula>IF(AND(F592="",OR(E592="Accuracy",E592="Fluency",E592="Segment",E592="Other")),1,0)</formula>
    </cfRule>
  </conditionalFormatting>
  <conditionalFormatting sqref="G592:G594">
    <cfRule type="expression" dxfId="677" priority="709">
      <formula>IF(AND(OR(G592="",#REF!="Segment"),OR(#REF!="Accuracy",#REF!="Fluency",#REF!="Other")),1,0)</formula>
    </cfRule>
  </conditionalFormatting>
  <conditionalFormatting sqref="E595:G597 E598 G598:G601">
    <cfRule type="expression" dxfId="676" priority="705">
      <formula>IF(OR(AND(E595="",F595="",OR(G595="Critical",G595="Major",G595="Minor"))),1,0)</formula>
    </cfRule>
  </conditionalFormatting>
  <conditionalFormatting sqref="F595:F597">
    <cfRule type="expression" dxfId="675" priority="704">
      <formula>IF(AND(F595="",OR(E595="Accuracy",E595="Fluency",E595="Segment",E595="Other")),1,0)</formula>
    </cfRule>
  </conditionalFormatting>
  <conditionalFormatting sqref="G595:G601">
    <cfRule type="expression" dxfId="674" priority="706">
      <formula>IF(AND(OR(G595="",#REF!="Segment"),OR(#REF!="Accuracy",#REF!="Fluency",#REF!="Other")),1,0)</formula>
    </cfRule>
  </conditionalFormatting>
  <conditionalFormatting sqref="G604">
    <cfRule type="expression" dxfId="673" priority="702">
      <formula>IF(OR(AND(G604="",H604="",OR(I604="Critical",I604="Major",I604="Minor"))),1,0)</formula>
    </cfRule>
  </conditionalFormatting>
  <conditionalFormatting sqref="G604">
    <cfRule type="expression" dxfId="672" priority="703">
      <formula>IF(AND(OR(G604="",#REF!="Segment"),OR(#REF!="Accuracy",#REF!="Fluency",#REF!="Other")),1,0)</formula>
    </cfRule>
  </conditionalFormatting>
  <conditionalFormatting sqref="E605:G605">
    <cfRule type="expression" dxfId="671" priority="699">
      <formula>IF(OR(AND(E605="",F605="",OR(G605="Critical",G605="Major",G605="Minor"))),1,0)</formula>
    </cfRule>
  </conditionalFormatting>
  <conditionalFormatting sqref="F605">
    <cfRule type="expression" dxfId="670" priority="698">
      <formula>IF(AND(F605="",OR(E605="Accuracy",E605="Fluency",E605="Segment",E605="Other")),1,0)</formula>
    </cfRule>
  </conditionalFormatting>
  <conditionalFormatting sqref="G605">
    <cfRule type="expression" dxfId="669" priority="700">
      <formula>IF(AND(OR(G605="",#REF!="Segment"),OR(#REF!="Accuracy",#REF!="Fluency",#REF!="Other")),1,0)</formula>
    </cfRule>
  </conditionalFormatting>
  <conditionalFormatting sqref="E606:G606">
    <cfRule type="expression" dxfId="668" priority="696">
      <formula>IF(OR(AND(E606="",F606="",OR(G606="Critical",G606="Major",G606="Minor"))),1,0)</formula>
    </cfRule>
  </conditionalFormatting>
  <conditionalFormatting sqref="F606">
    <cfRule type="expression" dxfId="667" priority="695">
      <formula>IF(AND(F606="",OR(E606="Accuracy",E606="Fluency",E606="Segment",E606="Other")),1,0)</formula>
    </cfRule>
  </conditionalFormatting>
  <conditionalFormatting sqref="G606">
    <cfRule type="expression" dxfId="666" priority="697">
      <formula>IF(AND(OR(G606="",#REF!="Segment"),OR(#REF!="Accuracy",#REF!="Fluency",#REF!="Other")),1,0)</formula>
    </cfRule>
  </conditionalFormatting>
  <conditionalFormatting sqref="E607:G609">
    <cfRule type="expression" dxfId="665" priority="693">
      <formula>IF(OR(AND(E607="",F607="",OR(G607="Critical",G607="Major",G607="Minor"))),1,0)</formula>
    </cfRule>
  </conditionalFormatting>
  <conditionalFormatting sqref="F607:F609">
    <cfRule type="expression" dxfId="664" priority="692">
      <formula>IF(AND(F607="",OR(E607="Accuracy",E607="Fluency",E607="Segment",E607="Other")),1,0)</formula>
    </cfRule>
  </conditionalFormatting>
  <conditionalFormatting sqref="G607:G609">
    <cfRule type="expression" dxfId="663" priority="694">
      <formula>IF(AND(OR(G607="",#REF!="Segment"),OR(#REF!="Accuracy",#REF!="Fluency",#REF!="Other")),1,0)</formula>
    </cfRule>
  </conditionalFormatting>
  <conditionalFormatting sqref="E610:G610">
    <cfRule type="expression" dxfId="662" priority="690">
      <formula>IF(OR(AND(E610="",F610="",OR(G610="Critical",G610="Major",G610="Minor"))),1,0)</formula>
    </cfRule>
  </conditionalFormatting>
  <conditionalFormatting sqref="F610">
    <cfRule type="expression" dxfId="661" priority="689">
      <formula>IF(AND(F610="",OR(E610="Accuracy",E610="Fluency",E610="Segment",E610="Other")),1,0)</formula>
    </cfRule>
  </conditionalFormatting>
  <conditionalFormatting sqref="G610">
    <cfRule type="expression" dxfId="660" priority="691">
      <formula>IF(AND(OR(G610="",#REF!="Segment"),OR(#REF!="Accuracy",#REF!="Fluency",#REF!="Other")),1,0)</formula>
    </cfRule>
  </conditionalFormatting>
  <conditionalFormatting sqref="E611:G611">
    <cfRule type="expression" dxfId="659" priority="687">
      <formula>IF(OR(AND(E611="",F611="",OR(G611="Critical",G611="Major",G611="Minor"))),1,0)</formula>
    </cfRule>
  </conditionalFormatting>
  <conditionalFormatting sqref="F611">
    <cfRule type="expression" dxfId="658" priority="686">
      <formula>IF(AND(F611="",OR(E611="Accuracy",E611="Fluency",E611="Segment",E611="Other")),1,0)</formula>
    </cfRule>
  </conditionalFormatting>
  <conditionalFormatting sqref="G611">
    <cfRule type="expression" dxfId="657" priority="688">
      <formula>IF(AND(OR(G611="",#REF!="Segment"),OR(#REF!="Accuracy",#REF!="Fluency",#REF!="Other")),1,0)</formula>
    </cfRule>
  </conditionalFormatting>
  <conditionalFormatting sqref="E612:G613">
    <cfRule type="expression" dxfId="656" priority="684">
      <formula>IF(OR(AND(E612="",F612="",OR(G612="Critical",G612="Major",G612="Minor"))),1,0)</formula>
    </cfRule>
  </conditionalFormatting>
  <conditionalFormatting sqref="F612:F613">
    <cfRule type="expression" dxfId="655" priority="683">
      <formula>IF(AND(F612="",OR(E612="Accuracy",E612="Fluency",E612="Segment",E612="Other")),1,0)</formula>
    </cfRule>
  </conditionalFormatting>
  <conditionalFormatting sqref="G612:G613">
    <cfRule type="expression" dxfId="654" priority="685">
      <formula>IF(AND(OR(G612="",#REF!="Segment"),OR(#REF!="Accuracy",#REF!="Fluency",#REF!="Other")),1,0)</formula>
    </cfRule>
  </conditionalFormatting>
  <conditionalFormatting sqref="G614">
    <cfRule type="expression" dxfId="653" priority="681">
      <formula>IF(OR(AND(G614="",H614="",OR(I614="Critical",I614="Major",I614="Minor"))),1,0)</formula>
    </cfRule>
  </conditionalFormatting>
  <conditionalFormatting sqref="G614">
    <cfRule type="expression" dxfId="652" priority="682">
      <formula>IF(AND(OR(G614="",#REF!="Segment"),OR(#REF!="Accuracy",#REF!="Fluency",#REF!="Other")),1,0)</formula>
    </cfRule>
  </conditionalFormatting>
  <conditionalFormatting sqref="E616:G616">
    <cfRule type="expression" dxfId="651" priority="678">
      <formula>IF(OR(AND(E616="",F616="",OR(G616="Critical",G616="Major",G616="Minor"))),1,0)</formula>
    </cfRule>
  </conditionalFormatting>
  <conditionalFormatting sqref="F616">
    <cfRule type="expression" dxfId="650" priority="677">
      <formula>IF(AND(F616="",OR(E616="Accuracy",E616="Fluency",E616="Segment",E616="Other")),1,0)</formula>
    </cfRule>
  </conditionalFormatting>
  <conditionalFormatting sqref="G616">
    <cfRule type="expression" dxfId="649" priority="679">
      <formula>IF(AND(OR(G616="",#REF!="Segment"),OR(#REF!="Accuracy",#REF!="Fluency",#REF!="Other")),1,0)</formula>
    </cfRule>
  </conditionalFormatting>
  <conditionalFormatting sqref="G615">
    <cfRule type="expression" dxfId="648" priority="675">
      <formula>IF(OR(AND(G615="",H615="",OR(I615="Critical",I615="Major",I615="Minor"))),1,0)</formula>
    </cfRule>
  </conditionalFormatting>
  <conditionalFormatting sqref="G615">
    <cfRule type="expression" dxfId="647" priority="676">
      <formula>IF(AND(OR(G615="",#REF!="Segment"),OR(#REF!="Accuracy",#REF!="Fluency",#REF!="Other")),1,0)</formula>
    </cfRule>
  </conditionalFormatting>
  <conditionalFormatting sqref="G617">
    <cfRule type="expression" dxfId="646" priority="672">
      <formula>IF(OR(AND(G617="",H617="",OR(I617="Critical",I617="Major",I617="Minor"))),1,0)</formula>
    </cfRule>
  </conditionalFormatting>
  <conditionalFormatting sqref="G617">
    <cfRule type="expression" dxfId="645" priority="673">
      <formula>IF(AND(OR(G617="",#REF!="Segment"),OR(#REF!="Accuracy",#REF!="Fluency",#REF!="Other")),1,0)</formula>
    </cfRule>
  </conditionalFormatting>
  <conditionalFormatting sqref="E618:G618">
    <cfRule type="expression" dxfId="644" priority="669">
      <formula>IF(OR(AND(E618="",F618="",OR(G618="Critical",G618="Major",G618="Minor"))),1,0)</formula>
    </cfRule>
  </conditionalFormatting>
  <conditionalFormatting sqref="F618">
    <cfRule type="expression" dxfId="643" priority="668">
      <formula>IF(AND(F618="",OR(E618="Accuracy",E618="Fluency",E618="Segment",E618="Other")),1,0)</formula>
    </cfRule>
  </conditionalFormatting>
  <conditionalFormatting sqref="G618">
    <cfRule type="expression" dxfId="642" priority="670">
      <formula>IF(AND(OR(G618="",#REF!="Segment"),OR(#REF!="Accuracy",#REF!="Fluency",#REF!="Other")),1,0)</formula>
    </cfRule>
  </conditionalFormatting>
  <conditionalFormatting sqref="E619:G620">
    <cfRule type="expression" dxfId="641" priority="666">
      <formula>IF(OR(AND(E619="",F619="",OR(G619="Critical",G619="Major",G619="Minor"))),1,0)</formula>
    </cfRule>
  </conditionalFormatting>
  <conditionalFormatting sqref="F619:F620">
    <cfRule type="expression" dxfId="640" priority="665">
      <formula>IF(AND(F619="",OR(E619="Accuracy",E619="Fluency",E619="Segment",E619="Other")),1,0)</formula>
    </cfRule>
  </conditionalFormatting>
  <conditionalFormatting sqref="G619:G620">
    <cfRule type="expression" dxfId="639" priority="667">
      <formula>IF(AND(OR(G619="",#REF!="Segment"),OR(#REF!="Accuracy",#REF!="Fluency",#REF!="Other")),1,0)</formula>
    </cfRule>
  </conditionalFormatting>
  <conditionalFormatting sqref="E621:G621">
    <cfRule type="expression" dxfId="638" priority="663">
      <formula>IF(OR(AND(E621="",F621="",OR(G621="Critical",G621="Major",G621="Minor"))),1,0)</formula>
    </cfRule>
  </conditionalFormatting>
  <conditionalFormatting sqref="F621">
    <cfRule type="expression" dxfId="637" priority="662">
      <formula>IF(AND(F621="",OR(E621="Accuracy",E621="Fluency",E621="Segment",E621="Other")),1,0)</formula>
    </cfRule>
  </conditionalFormatting>
  <conditionalFormatting sqref="G621">
    <cfRule type="expression" dxfId="636" priority="664">
      <formula>IF(AND(OR(G621="",#REF!="Segment"),OR(#REF!="Accuracy",#REF!="Fluency",#REF!="Other")),1,0)</formula>
    </cfRule>
  </conditionalFormatting>
  <conditionalFormatting sqref="E622:G622">
    <cfRule type="expression" dxfId="635" priority="660">
      <formula>IF(OR(AND(E622="",F622="",OR(G622="Critical",G622="Major",G622="Minor"))),1,0)</formula>
    </cfRule>
  </conditionalFormatting>
  <conditionalFormatting sqref="F622">
    <cfRule type="expression" dxfId="634" priority="659">
      <formula>IF(AND(F622="",OR(E622="Accuracy",E622="Fluency",E622="Segment",E622="Other")),1,0)</formula>
    </cfRule>
  </conditionalFormatting>
  <conditionalFormatting sqref="G622">
    <cfRule type="expression" dxfId="633" priority="661">
      <formula>IF(AND(OR(G622="",#REF!="Segment"),OR(#REF!="Accuracy",#REF!="Fluency",#REF!="Other")),1,0)</formula>
    </cfRule>
  </conditionalFormatting>
  <conditionalFormatting sqref="E626:G626">
    <cfRule type="expression" dxfId="632" priority="657">
      <formula>IF(OR(AND(E626="",F626="",OR(G626="Critical",G626="Major",G626="Minor"))),1,0)</formula>
    </cfRule>
  </conditionalFormatting>
  <conditionalFormatting sqref="F626">
    <cfRule type="expression" dxfId="631" priority="656">
      <formula>IF(AND(F626="",OR(E626="Accuracy",E626="Fluency",E626="Segment",E626="Other")),1,0)</formula>
    </cfRule>
  </conditionalFormatting>
  <conditionalFormatting sqref="G626">
    <cfRule type="expression" dxfId="630" priority="658">
      <formula>IF(AND(OR(G626="",#REF!="Segment"),OR(#REF!="Accuracy",#REF!="Fluency",#REF!="Other")),1,0)</formula>
    </cfRule>
  </conditionalFormatting>
  <conditionalFormatting sqref="E623:G623">
    <cfRule type="expression" dxfId="629" priority="654">
      <formula>IF(OR(AND(E623="",F623="",OR(G623="Critical",G623="Major",G623="Minor"))),1,0)</formula>
    </cfRule>
  </conditionalFormatting>
  <conditionalFormatting sqref="F623">
    <cfRule type="expression" dxfId="628" priority="653">
      <formula>IF(AND(F623="",OR(E623="Accuracy",E623="Fluency",E623="Segment",E623="Other")),1,0)</formula>
    </cfRule>
  </conditionalFormatting>
  <conditionalFormatting sqref="G623">
    <cfRule type="expression" dxfId="627" priority="655">
      <formula>IF(AND(OR(G623="",#REF!="Segment"),OR(#REF!="Accuracy",#REF!="Fluency",#REF!="Other")),1,0)</formula>
    </cfRule>
  </conditionalFormatting>
  <conditionalFormatting sqref="E624:G624">
    <cfRule type="expression" dxfId="626" priority="651">
      <formula>IF(OR(AND(E624="",F624="",OR(G624="Critical",G624="Major",G624="Minor"))),1,0)</formula>
    </cfRule>
  </conditionalFormatting>
  <conditionalFormatting sqref="F624">
    <cfRule type="expression" dxfId="625" priority="650">
      <formula>IF(AND(F624="",OR(E624="Accuracy",E624="Fluency",E624="Segment",E624="Other")),1,0)</formula>
    </cfRule>
  </conditionalFormatting>
  <conditionalFormatting sqref="G624">
    <cfRule type="expression" dxfId="624" priority="652">
      <formula>IF(AND(OR(G624="",#REF!="Segment"),OR(#REF!="Accuracy",#REF!="Fluency",#REF!="Other")),1,0)</formula>
    </cfRule>
  </conditionalFormatting>
  <conditionalFormatting sqref="E625:G625">
    <cfRule type="expression" dxfId="623" priority="648">
      <formula>IF(OR(AND(E625="",F625="",OR(G625="Critical",G625="Major",G625="Minor"))),1,0)</formula>
    </cfRule>
  </conditionalFormatting>
  <conditionalFormatting sqref="F625">
    <cfRule type="expression" dxfId="622" priority="647">
      <formula>IF(AND(F625="",OR(E625="Accuracy",E625="Fluency",E625="Segment",E625="Other")),1,0)</formula>
    </cfRule>
  </conditionalFormatting>
  <conditionalFormatting sqref="G625">
    <cfRule type="expression" dxfId="621" priority="649">
      <formula>IF(AND(OR(G625="",#REF!="Segment"),OR(#REF!="Accuracy",#REF!="Fluency",#REF!="Other")),1,0)</formula>
    </cfRule>
  </conditionalFormatting>
  <conditionalFormatting sqref="E627:G627">
    <cfRule type="expression" dxfId="620" priority="645">
      <formula>IF(OR(AND(E627="",F627="",OR(G627="Critical",G627="Major",G627="Minor"))),1,0)</formula>
    </cfRule>
  </conditionalFormatting>
  <conditionalFormatting sqref="F627">
    <cfRule type="expression" dxfId="619" priority="644">
      <formula>IF(AND(F627="",OR(E627="Accuracy",E627="Fluency",E627="Segment",E627="Other")),1,0)</formula>
    </cfRule>
  </conditionalFormatting>
  <conditionalFormatting sqref="G627">
    <cfRule type="expression" dxfId="618" priority="646">
      <formula>IF(AND(OR(G627="",#REF!="Segment"),OR(#REF!="Accuracy",#REF!="Fluency",#REF!="Other")),1,0)</formula>
    </cfRule>
  </conditionalFormatting>
  <conditionalFormatting sqref="E628:G628">
    <cfRule type="expression" dxfId="617" priority="642">
      <formula>IF(OR(AND(E628="",F628="",OR(G628="Critical",G628="Major",G628="Minor"))),1,0)</formula>
    </cfRule>
  </conditionalFormatting>
  <conditionalFormatting sqref="F628">
    <cfRule type="expression" dxfId="616" priority="641">
      <formula>IF(AND(F628="",OR(E628="Accuracy",E628="Fluency",E628="Segment",E628="Other")),1,0)</formula>
    </cfRule>
  </conditionalFormatting>
  <conditionalFormatting sqref="G628">
    <cfRule type="expression" dxfId="615" priority="643">
      <formula>IF(AND(OR(G628="",#REF!="Segment"),OR(#REF!="Accuracy",#REF!="Fluency",#REF!="Other")),1,0)</formula>
    </cfRule>
  </conditionalFormatting>
  <conditionalFormatting sqref="F629">
    <cfRule type="expression" dxfId="614" priority="637">
      <formula>IF(AND(F629="",OR(E629="Accuracy",E629="Fluency",E629="Segment",E629="Other")),1,0)</formula>
    </cfRule>
  </conditionalFormatting>
  <conditionalFormatting sqref="G629">
    <cfRule type="expression" dxfId="613" priority="638">
      <formula>IF(AND(OR(G629="",#REF!="Segment"),OR(#REF!="Accuracy",#REF!="Fluency",#REF!="Other")),1,0)</formula>
    </cfRule>
  </conditionalFormatting>
  <conditionalFormatting sqref="G678 G629">
    <cfRule type="expression" dxfId="612" priority="639">
      <formula>IF(OR(AND(G629="",H628="",OR(I629="Critical",I629="Major",I629="Minor"))),1,0)</formula>
    </cfRule>
  </conditionalFormatting>
  <conditionalFormatting sqref="F629">
    <cfRule type="expression" dxfId="611" priority="640">
      <formula>IF(OR(AND(F629="",G629="",OR(H628="Critical",H628="Major",H628="Minor"))),1,0)</formula>
    </cfRule>
  </conditionalFormatting>
  <conditionalFormatting sqref="E631:G631">
    <cfRule type="expression" dxfId="610" priority="635">
      <formula>IF(OR(AND(E631="",F631="",OR(G631="Critical",G631="Major",G631="Minor"))),1,0)</formula>
    </cfRule>
  </conditionalFormatting>
  <conditionalFormatting sqref="F631">
    <cfRule type="expression" dxfId="609" priority="634">
      <formula>IF(AND(F631="",OR(E631="Accuracy",E631="Fluency",E631="Segment",E631="Other")),1,0)</formula>
    </cfRule>
  </conditionalFormatting>
  <conditionalFormatting sqref="G631">
    <cfRule type="expression" dxfId="608" priority="636">
      <formula>IF(AND(OR(G631="",#REF!="Segment"),OR(#REF!="Accuracy",#REF!="Fluency",#REF!="Other")),1,0)</formula>
    </cfRule>
  </conditionalFormatting>
  <conditionalFormatting sqref="E632:G632">
    <cfRule type="expression" dxfId="607" priority="632">
      <formula>IF(OR(AND(E632="",F632="",OR(G632="Critical",G632="Major",G632="Minor"))),1,0)</formula>
    </cfRule>
  </conditionalFormatting>
  <conditionalFormatting sqref="F632">
    <cfRule type="expression" dxfId="606" priority="631">
      <formula>IF(AND(F632="",OR(E632="Accuracy",E632="Fluency",E632="Segment",E632="Other")),1,0)</formula>
    </cfRule>
  </conditionalFormatting>
  <conditionalFormatting sqref="G632">
    <cfRule type="expression" dxfId="605" priority="633">
      <formula>IF(AND(OR(G632="",#REF!="Segment"),OR(#REF!="Accuracy",#REF!="Fluency",#REF!="Other")),1,0)</formula>
    </cfRule>
  </conditionalFormatting>
  <conditionalFormatting sqref="E634:G634">
    <cfRule type="expression" dxfId="604" priority="629">
      <formula>IF(OR(AND(E634="",F634="",OR(G634="Critical",G634="Major",G634="Minor"))),1,0)</formula>
    </cfRule>
  </conditionalFormatting>
  <conditionalFormatting sqref="F634">
    <cfRule type="expression" dxfId="603" priority="628">
      <formula>IF(AND(F634="",OR(E634="Accuracy",E634="Fluency",E634="Segment",E634="Other")),1,0)</formula>
    </cfRule>
  </conditionalFormatting>
  <conditionalFormatting sqref="G634">
    <cfRule type="expression" dxfId="602" priority="630">
      <formula>IF(AND(OR(G634="",#REF!="Segment"),OR(#REF!="Accuracy",#REF!="Fluency",#REF!="Other")),1,0)</formula>
    </cfRule>
  </conditionalFormatting>
  <conditionalFormatting sqref="G633">
    <cfRule type="expression" dxfId="601" priority="625">
      <formula>IF(OR(AND(G633="",H633="",OR(I633="Critical",I633="Major",I633="Minor"))),1,0)</formula>
    </cfRule>
  </conditionalFormatting>
  <conditionalFormatting sqref="G633">
    <cfRule type="expression" dxfId="600" priority="626">
      <formula>IF(AND(OR(G633="",#REF!="Segment"),OR(#REF!="Accuracy",#REF!="Fluency",#REF!="Other")),1,0)</formula>
    </cfRule>
  </conditionalFormatting>
  <conditionalFormatting sqref="E635">
    <cfRule type="expression" dxfId="599" priority="623">
      <formula>IF(OR(AND(E635="",F635="",OR(G635="Critical",G635="Major",G635="Minor"))),1,0)</formula>
    </cfRule>
  </conditionalFormatting>
  <conditionalFormatting sqref="F635:G635">
    <cfRule type="expression" dxfId="598" priority="621">
      <formula>IF(OR(AND(F635="",G635="",OR(H635="Critical",H635="Major",H635="Minor"))),1,0)</formula>
    </cfRule>
  </conditionalFormatting>
  <conditionalFormatting sqref="F635">
    <cfRule type="expression" dxfId="597" priority="620">
      <formula>IF(AND(F635="",OR(E635="Accuracy",E635="Fluency",E635="Segment",E635="Other")),1,0)</formula>
    </cfRule>
  </conditionalFormatting>
  <conditionalFormatting sqref="G635">
    <cfRule type="expression" dxfId="596" priority="622">
      <formula>IF(AND(OR(G635="",#REF!="Segment"),OR(#REF!="Accuracy",#REF!="Fluency",#REF!="Other")),1,0)</formula>
    </cfRule>
  </conditionalFormatting>
  <conditionalFormatting sqref="E636">
    <cfRule type="expression" dxfId="595" priority="619">
      <formula>IF(OR(AND(E636="",F636="",OR(G636="Critical",G636="Major",G636="Minor"))),1,0)</formula>
    </cfRule>
  </conditionalFormatting>
  <conditionalFormatting sqref="F636:G636">
    <cfRule type="expression" dxfId="594" priority="617">
      <formula>IF(OR(AND(F636="",G636="",OR(H636="Critical",H636="Major",H636="Minor"))),1,0)</formula>
    </cfRule>
  </conditionalFormatting>
  <conditionalFormatting sqref="F636">
    <cfRule type="expression" dxfId="593" priority="616">
      <formula>IF(AND(F636="",OR(E636="Accuracy",E636="Fluency",E636="Segment",E636="Other")),1,0)</formula>
    </cfRule>
  </conditionalFormatting>
  <conditionalFormatting sqref="G636">
    <cfRule type="expression" dxfId="592" priority="618">
      <formula>IF(AND(OR(G636="",#REF!="Segment"),OR(#REF!="Accuracy",#REF!="Fluency",#REF!="Other")),1,0)</formula>
    </cfRule>
  </conditionalFormatting>
  <conditionalFormatting sqref="E637:G637">
    <cfRule type="expression" dxfId="591" priority="614">
      <formula>IF(OR(AND(E637="",F637="",OR(G637="Critical",G637="Major",G637="Minor"))),1,0)</formula>
    </cfRule>
  </conditionalFormatting>
  <conditionalFormatting sqref="F637">
    <cfRule type="expression" dxfId="590" priority="613">
      <formula>IF(AND(F637="",OR(E637="Accuracy",E637="Fluency",E637="Segment",E637="Other")),1,0)</formula>
    </cfRule>
  </conditionalFormatting>
  <conditionalFormatting sqref="G637">
    <cfRule type="expression" dxfId="589" priority="615">
      <formula>IF(AND(OR(G637="",#REF!="Segment"),OR(#REF!="Accuracy",#REF!="Fluency",#REF!="Other")),1,0)</formula>
    </cfRule>
  </conditionalFormatting>
  <conditionalFormatting sqref="E638:G638">
    <cfRule type="expression" dxfId="588" priority="611">
      <formula>IF(OR(AND(E638="",F638="",OR(G638="Critical",G638="Major",G638="Minor"))),1,0)</formula>
    </cfRule>
  </conditionalFormatting>
  <conditionalFormatting sqref="F638">
    <cfRule type="expression" dxfId="587" priority="610">
      <formula>IF(AND(F638="",OR(E638="Accuracy",E638="Fluency",E638="Segment",E638="Other")),1,0)</formula>
    </cfRule>
  </conditionalFormatting>
  <conditionalFormatting sqref="G638">
    <cfRule type="expression" dxfId="586" priority="612">
      <formula>IF(AND(OR(G638="",#REF!="Segment"),OR(#REF!="Accuracy",#REF!="Fluency",#REF!="Other")),1,0)</formula>
    </cfRule>
  </conditionalFormatting>
  <conditionalFormatting sqref="E641:G641">
    <cfRule type="expression" dxfId="585" priority="608">
      <formula>IF(OR(AND(E641="",F641="",OR(G641="Critical",G641="Major",G641="Minor"))),1,0)</formula>
    </cfRule>
  </conditionalFormatting>
  <conditionalFormatting sqref="F641">
    <cfRule type="expression" dxfId="584" priority="607">
      <formula>IF(AND(F641="",OR(E641="Accuracy",E641="Fluency",E641="Segment",E641="Other")),1,0)</formula>
    </cfRule>
  </conditionalFormatting>
  <conditionalFormatting sqref="G641">
    <cfRule type="expression" dxfId="583" priority="609">
      <formula>IF(AND(OR(G641="",#REF!="Segment"),OR(#REF!="Accuracy",#REF!="Fluency",#REF!="Other")),1,0)</formula>
    </cfRule>
  </conditionalFormatting>
  <conditionalFormatting sqref="E642:G642">
    <cfRule type="expression" dxfId="582" priority="605">
      <formula>IF(OR(AND(E642="",F642="",OR(G642="Critical",G642="Major",G642="Minor"))),1,0)</formula>
    </cfRule>
  </conditionalFormatting>
  <conditionalFormatting sqref="F642">
    <cfRule type="expression" dxfId="581" priority="604">
      <formula>IF(AND(F642="",OR(E642="Accuracy",E642="Fluency",E642="Segment",E642="Other")),1,0)</formula>
    </cfRule>
  </conditionalFormatting>
  <conditionalFormatting sqref="G642">
    <cfRule type="expression" dxfId="580" priority="606">
      <formula>IF(AND(OR(G642="",#REF!="Segment"),OR(#REF!="Accuracy",#REF!="Fluency",#REF!="Other")),1,0)</formula>
    </cfRule>
  </conditionalFormatting>
  <conditionalFormatting sqref="E643:G643">
    <cfRule type="expression" dxfId="579" priority="602">
      <formula>IF(OR(AND(E643="",F643="",OR(G643="Critical",G643="Major",G643="Minor"))),1,0)</formula>
    </cfRule>
  </conditionalFormatting>
  <conditionalFormatting sqref="F643">
    <cfRule type="expression" dxfId="578" priority="601">
      <formula>IF(AND(F643="",OR(E643="Accuracy",E643="Fluency",E643="Segment",E643="Other")),1,0)</formula>
    </cfRule>
  </conditionalFormatting>
  <conditionalFormatting sqref="G643">
    <cfRule type="expression" dxfId="577" priority="603">
      <formula>IF(AND(OR(G643="",#REF!="Segment"),OR(#REF!="Accuracy",#REF!="Fluency",#REF!="Other")),1,0)</formula>
    </cfRule>
  </conditionalFormatting>
  <conditionalFormatting sqref="E644:G644">
    <cfRule type="expression" dxfId="576" priority="599">
      <formula>IF(OR(AND(E644="",F644="",OR(G644="Critical",G644="Major",G644="Minor"))),1,0)</formula>
    </cfRule>
  </conditionalFormatting>
  <conditionalFormatting sqref="F644">
    <cfRule type="expression" dxfId="575" priority="598">
      <formula>IF(AND(F644="",OR(E644="Accuracy",E644="Fluency",E644="Segment",E644="Other")),1,0)</formula>
    </cfRule>
  </conditionalFormatting>
  <conditionalFormatting sqref="G644">
    <cfRule type="expression" dxfId="574" priority="600">
      <formula>IF(AND(OR(G644="",#REF!="Segment"),OR(#REF!="Accuracy",#REF!="Fluency",#REF!="Other")),1,0)</formula>
    </cfRule>
  </conditionalFormatting>
  <conditionalFormatting sqref="F647">
    <cfRule type="expression" dxfId="573" priority="596">
      <formula>IF(OR(AND(F647="",G647="",OR(H648="Critical",H648="Major",H648="Minor"))),1,0)</formula>
    </cfRule>
  </conditionalFormatting>
  <conditionalFormatting sqref="E645:G645">
    <cfRule type="expression" dxfId="572" priority="594">
      <formula>IF(OR(AND(E645="",F645="",OR(G645="Critical",G645="Major",G645="Minor"))),1,0)</formula>
    </cfRule>
  </conditionalFormatting>
  <conditionalFormatting sqref="F645">
    <cfRule type="expression" dxfId="571" priority="593">
      <formula>IF(AND(F645="",OR(E645="Accuracy",E645="Fluency",E645="Segment",E645="Other")),1,0)</formula>
    </cfRule>
  </conditionalFormatting>
  <conditionalFormatting sqref="G645">
    <cfRule type="expression" dxfId="570" priority="595">
      <formula>IF(AND(OR(G645="",#REF!="Segment"),OR(#REF!="Accuracy",#REF!="Fluency",#REF!="Other")),1,0)</formula>
    </cfRule>
  </conditionalFormatting>
  <conditionalFormatting sqref="G647">
    <cfRule type="expression" dxfId="569" priority="592">
      <formula>IF(AND(OR(G647="",#REF!="Segment"),OR(#REF!="Accuracy",#REF!="Fluency",#REF!="Other")),1,0)</formula>
    </cfRule>
  </conditionalFormatting>
  <conditionalFormatting sqref="F647">
    <cfRule type="expression" dxfId="568" priority="591">
      <formula>IF(AND(F647="",OR(E647="Accuracy",E647="Fluency",E647="Segment",E647="Other")),1,0)</formula>
    </cfRule>
  </conditionalFormatting>
  <conditionalFormatting sqref="G647">
    <cfRule type="expression" dxfId="567" priority="597">
      <formula>IF(OR(AND(G647="",H648="",OR(I647="Critical",I647="Major",I647="Minor"))),1,0)</formula>
    </cfRule>
  </conditionalFormatting>
  <conditionalFormatting sqref="E648">
    <cfRule type="expression" dxfId="566" priority="588">
      <formula>IF(OR(AND(E648="",F648="",OR(G648="Critical",G648="Major",G648="Minor"))),1,0)</formula>
    </cfRule>
  </conditionalFormatting>
  <conditionalFormatting sqref="G648">
    <cfRule type="expression" dxfId="565" priority="589">
      <formula>IF(OR(AND(G648="",H647="",OR(I648="Critical",I648="Major",I648="Minor"))),1,0)</formula>
    </cfRule>
  </conditionalFormatting>
  <conditionalFormatting sqref="F648">
    <cfRule type="expression" dxfId="564" priority="590">
      <formula>IF(OR(AND(F648="",G648="",OR(H647="Critical",H647="Major",H647="Minor"))),1,0)</formula>
    </cfRule>
  </conditionalFormatting>
  <conditionalFormatting sqref="F648">
    <cfRule type="expression" dxfId="563" priority="586">
      <formula>IF(AND(F648="",OR(E648="Accuracy",E648="Fluency",E648="Segment",E648="Other")),1,0)</formula>
    </cfRule>
  </conditionalFormatting>
  <conditionalFormatting sqref="G648">
    <cfRule type="expression" dxfId="562" priority="587">
      <formula>IF(AND(OR(G648="",#REF!="Segment"),OR(#REF!="Accuracy",#REF!="Fluency",#REF!="Other")),1,0)</formula>
    </cfRule>
  </conditionalFormatting>
  <conditionalFormatting sqref="E649">
    <cfRule type="expression" dxfId="561" priority="583">
      <formula>IF(OR(AND(E649="",F649="",OR(G649="Critical",G649="Major",G649="Minor"))),1,0)</formula>
    </cfRule>
  </conditionalFormatting>
  <conditionalFormatting sqref="G649">
    <cfRule type="expression" dxfId="560" priority="584">
      <formula>IF(OR(AND(G649="",H648="",OR(I649="Critical",I649="Major",I649="Minor"))),1,0)</formula>
    </cfRule>
  </conditionalFormatting>
  <conditionalFormatting sqref="F649">
    <cfRule type="expression" dxfId="559" priority="585">
      <formula>IF(OR(AND(F649="",G649="",OR(H648="Critical",H648="Major",H648="Minor"))),1,0)</formula>
    </cfRule>
  </conditionalFormatting>
  <conditionalFormatting sqref="F649">
    <cfRule type="expression" dxfId="558" priority="581">
      <formula>IF(AND(F649="",OR(E649="Accuracy",E649="Fluency",E649="Segment",E649="Other")),1,0)</formula>
    </cfRule>
  </conditionalFormatting>
  <conditionalFormatting sqref="G649">
    <cfRule type="expression" dxfId="557" priority="582">
      <formula>IF(AND(OR(G649="",#REF!="Segment"),OR(#REF!="Accuracy",#REF!="Fluency",#REF!="Other")),1,0)</formula>
    </cfRule>
  </conditionalFormatting>
  <conditionalFormatting sqref="E654:G655">
    <cfRule type="expression" dxfId="556" priority="579">
      <formula>IF(OR(AND(E654="",F654="",OR(G654="Critical",G654="Major",G654="Minor"))),1,0)</formula>
    </cfRule>
  </conditionalFormatting>
  <conditionalFormatting sqref="F654:F655">
    <cfRule type="expression" dxfId="555" priority="578">
      <formula>IF(AND(F654="",OR(E654="Accuracy",E654="Fluency",E654="Segment",E654="Other")),1,0)</formula>
    </cfRule>
  </conditionalFormatting>
  <conditionalFormatting sqref="G654:G655">
    <cfRule type="expression" dxfId="554" priority="580">
      <formula>IF(AND(OR(G654="",#REF!="Segment"),OR(#REF!="Accuracy",#REF!="Fluency",#REF!="Other")),1,0)</formula>
    </cfRule>
  </conditionalFormatting>
  <conditionalFormatting sqref="E661:G661">
    <cfRule type="expression" dxfId="553" priority="576">
      <formula>IF(OR(AND(E661="",F661="",OR(G661="Critical",G661="Major",G661="Minor"))),1,0)</formula>
    </cfRule>
  </conditionalFormatting>
  <conditionalFormatting sqref="F661">
    <cfRule type="expression" dxfId="552" priority="575">
      <formula>IF(AND(F661="",OR(E661="Accuracy",E661="Fluency",E661="Segment",E661="Other")),1,0)</formula>
    </cfRule>
  </conditionalFormatting>
  <conditionalFormatting sqref="G661">
    <cfRule type="expression" dxfId="551" priority="577">
      <formula>IF(AND(OR(G661="",#REF!="Segment"),OR(#REF!="Accuracy",#REF!="Fluency",#REF!="Other")),1,0)</formula>
    </cfRule>
  </conditionalFormatting>
  <conditionalFormatting sqref="E662:G662">
    <cfRule type="expression" dxfId="550" priority="573">
      <formula>IF(OR(AND(E662="",F662="",OR(G662="Critical",G662="Major",G662="Minor"))),1,0)</formula>
    </cfRule>
  </conditionalFormatting>
  <conditionalFormatting sqref="F662">
    <cfRule type="expression" dxfId="549" priority="572">
      <formula>IF(AND(F662="",OR(E662="Accuracy",E662="Fluency",E662="Segment",E662="Other")),1,0)</formula>
    </cfRule>
  </conditionalFormatting>
  <conditionalFormatting sqref="G662">
    <cfRule type="expression" dxfId="548" priority="574">
      <formula>IF(AND(OR(G662="",#REF!="Segment"),OR(#REF!="Accuracy",#REF!="Fluency",#REF!="Other")),1,0)</formula>
    </cfRule>
  </conditionalFormatting>
  <conditionalFormatting sqref="E663:G663">
    <cfRule type="expression" dxfId="547" priority="570">
      <formula>IF(OR(AND(E663="",F663="",OR(G663="Critical",G663="Major",G663="Minor"))),1,0)</formula>
    </cfRule>
  </conditionalFormatting>
  <conditionalFormatting sqref="F663">
    <cfRule type="expression" dxfId="546" priority="569">
      <formula>IF(AND(F663="",OR(E663="Accuracy",E663="Fluency",E663="Segment",E663="Other")),1,0)</formula>
    </cfRule>
  </conditionalFormatting>
  <conditionalFormatting sqref="G663">
    <cfRule type="expression" dxfId="545" priority="571">
      <formula>IF(AND(OR(G663="",#REF!="Segment"),OR(#REF!="Accuracy",#REF!="Fluency",#REF!="Other")),1,0)</formula>
    </cfRule>
  </conditionalFormatting>
  <conditionalFormatting sqref="E667:G667">
    <cfRule type="expression" dxfId="544" priority="567">
      <formula>IF(OR(AND(E667="",F667="",OR(G667="Critical",G667="Major",G667="Minor"))),1,0)</formula>
    </cfRule>
  </conditionalFormatting>
  <conditionalFormatting sqref="F667">
    <cfRule type="expression" dxfId="543" priority="566">
      <formula>IF(AND(F667="",OR(E667="Accuracy",E667="Fluency",E667="Segment",E667="Other")),1,0)</formula>
    </cfRule>
  </conditionalFormatting>
  <conditionalFormatting sqref="G667">
    <cfRule type="expression" dxfId="542" priority="568">
      <formula>IF(AND(OR(G667="",#REF!="Segment"),OR(#REF!="Accuracy",#REF!="Fluency",#REF!="Other")),1,0)</formula>
    </cfRule>
  </conditionalFormatting>
  <conditionalFormatting sqref="E665:G665">
    <cfRule type="expression" dxfId="541" priority="564">
      <formula>IF(OR(AND(E665="",F665="",OR(G665="Critical",G665="Major",G665="Minor"))),1,0)</formula>
    </cfRule>
  </conditionalFormatting>
  <conditionalFormatting sqref="F665">
    <cfRule type="expression" dxfId="540" priority="563">
      <formula>IF(AND(F665="",OR(E665="Accuracy",E665="Fluency",E665="Segment",E665="Other")),1,0)</formula>
    </cfRule>
  </conditionalFormatting>
  <conditionalFormatting sqref="G665">
    <cfRule type="expression" dxfId="539" priority="565">
      <formula>IF(AND(OR(G665="",#REF!="Segment"),OR(#REF!="Accuracy",#REF!="Fluency",#REF!="Other")),1,0)</formula>
    </cfRule>
  </conditionalFormatting>
  <conditionalFormatting sqref="E668:G668">
    <cfRule type="expression" dxfId="538" priority="561">
      <formula>IF(OR(AND(E668="",F668="",OR(G668="Critical",G668="Major",G668="Minor"))),1,0)</formula>
    </cfRule>
  </conditionalFormatting>
  <conditionalFormatting sqref="F668">
    <cfRule type="expression" dxfId="537" priority="560">
      <formula>IF(AND(F668="",OR(E668="Accuracy",E668="Fluency",E668="Segment",E668="Other")),1,0)</formula>
    </cfRule>
  </conditionalFormatting>
  <conditionalFormatting sqref="G668">
    <cfRule type="expression" dxfId="536" priority="562">
      <formula>IF(AND(OR(G668="",#REF!="Segment"),OR(#REF!="Accuracy",#REF!="Fluency",#REF!="Other")),1,0)</formula>
    </cfRule>
  </conditionalFormatting>
  <conditionalFormatting sqref="E669:G669">
    <cfRule type="expression" dxfId="535" priority="558">
      <formula>IF(OR(AND(E669="",F669="",OR(G669="Critical",G669="Major",G669="Minor"))),1,0)</formula>
    </cfRule>
  </conditionalFormatting>
  <conditionalFormatting sqref="F669">
    <cfRule type="expression" dxfId="534" priority="557">
      <formula>IF(AND(F669="",OR(E669="Accuracy",E669="Fluency",E669="Segment",E669="Other")),1,0)</formula>
    </cfRule>
  </conditionalFormatting>
  <conditionalFormatting sqref="G669">
    <cfRule type="expression" dxfId="533" priority="559">
      <formula>IF(AND(OR(G669="",#REF!="Segment"),OR(#REF!="Accuracy",#REF!="Fluency",#REF!="Other")),1,0)</formula>
    </cfRule>
  </conditionalFormatting>
  <conditionalFormatting sqref="E671:G671">
    <cfRule type="expression" dxfId="532" priority="555">
      <formula>IF(OR(AND(E671="",F671="",OR(G671="Critical",G671="Major",G671="Minor"))),1,0)</formula>
    </cfRule>
  </conditionalFormatting>
  <conditionalFormatting sqref="F671">
    <cfRule type="expression" dxfId="531" priority="554">
      <formula>IF(AND(F671="",OR(E671="Accuracy",E671="Fluency",E671="Segment",E671="Other")),1,0)</formula>
    </cfRule>
  </conditionalFormatting>
  <conditionalFormatting sqref="G671">
    <cfRule type="expression" dxfId="530" priority="556">
      <formula>IF(AND(OR(G671="",#REF!="Segment"),OR(#REF!="Accuracy",#REF!="Fluency",#REF!="Other")),1,0)</formula>
    </cfRule>
  </conditionalFormatting>
  <conditionalFormatting sqref="G673">
    <cfRule type="expression" dxfId="529" priority="552">
      <formula>IF(OR(AND(G673="",H673="",OR(I673="Critical",I673="Major",I673="Minor"))),1,0)</formula>
    </cfRule>
  </conditionalFormatting>
  <conditionalFormatting sqref="G673">
    <cfRule type="expression" dxfId="528" priority="553">
      <formula>IF(AND(OR(G673="",#REF!="Segment"),OR(#REF!="Accuracy",#REF!="Fluency",#REF!="Other")),1,0)</formula>
    </cfRule>
  </conditionalFormatting>
  <conditionalFormatting sqref="G676">
    <cfRule type="expression" dxfId="527" priority="550">
      <formula>IF(OR(AND(G676="",H676="",OR(I676="Critical",I676="Major",I676="Minor"))),1,0)</formula>
    </cfRule>
  </conditionalFormatting>
  <conditionalFormatting sqref="G676">
    <cfRule type="expression" dxfId="526" priority="551">
      <formula>IF(AND(OR(G676="",#REF!="Segment"),OR(#REF!="Accuracy",#REF!="Fluency",#REF!="Other")),1,0)</formula>
    </cfRule>
  </conditionalFormatting>
  <conditionalFormatting sqref="E676:F676">
    <cfRule type="expression" dxfId="525" priority="549">
      <formula>IF(OR(AND(E676="",F676="",OR(G676="Critical",G676="Major",G676="Minor"))),1,0)</formula>
    </cfRule>
  </conditionalFormatting>
  <conditionalFormatting sqref="F676">
    <cfRule type="expression" dxfId="524" priority="548">
      <formula>IF(AND(F676="",OR(E676="Accuracy",E676="Fluency",E676="Segment",E676="Other")),1,0)</formula>
    </cfRule>
  </conditionalFormatting>
  <conditionalFormatting sqref="E677:G677">
    <cfRule type="expression" dxfId="523" priority="546">
      <formula>IF(OR(AND(E677="",F677="",OR(G677="Critical",G677="Major",G677="Minor"))),1,0)</formula>
    </cfRule>
  </conditionalFormatting>
  <conditionalFormatting sqref="F677">
    <cfRule type="expression" dxfId="522" priority="545">
      <formula>IF(AND(F677="",OR(E677="Accuracy",E677="Fluency",E677="Segment",E677="Other")),1,0)</formula>
    </cfRule>
  </conditionalFormatting>
  <conditionalFormatting sqref="G677">
    <cfRule type="expression" dxfId="521" priority="547">
      <formula>IF(AND(OR(G677="",#REF!="Segment"),OR(#REF!="Accuracy",#REF!="Fluency",#REF!="Other")),1,0)</formula>
    </cfRule>
  </conditionalFormatting>
  <conditionalFormatting sqref="E679:E681">
    <cfRule type="expression" dxfId="520" priority="541">
      <formula>IF(OR(AND(E679="",F679="",OR(G679="Critical",G679="Major",G679="Minor"))),1,0)</formula>
    </cfRule>
  </conditionalFormatting>
  <conditionalFormatting sqref="F679:F681">
    <cfRule type="expression" dxfId="519" priority="540">
      <formula>IF(AND(F679="",OR(E679="Accuracy",E679="Fluency",E679="Segment",E679="Other")),1,0)</formula>
    </cfRule>
  </conditionalFormatting>
  <conditionalFormatting sqref="G679:G681">
    <cfRule type="expression" dxfId="518" priority="542">
      <formula>IF(AND(OR(G679="",#REF!="Segment"),OR(#REF!="Accuracy",#REF!="Fluency",#REF!="Other")),1,0)</formula>
    </cfRule>
  </conditionalFormatting>
  <conditionalFormatting sqref="G679:G681">
    <cfRule type="expression" dxfId="517" priority="543">
      <formula>IF(OR(AND(G679="",H678="",OR(I679="Critical",I679="Major",I679="Minor"))),1,0)</formula>
    </cfRule>
  </conditionalFormatting>
  <conditionalFormatting sqref="F679:F681">
    <cfRule type="expression" dxfId="516" priority="544">
      <formula>IF(OR(AND(F679="",G679="",OR(H678="Critical",H678="Major",H678="Minor"))),1,0)</formula>
    </cfRule>
  </conditionalFormatting>
  <conditionalFormatting sqref="E682:G682">
    <cfRule type="expression" dxfId="515" priority="538">
      <formula>IF(OR(AND(E682="",F682="",OR(G682="Critical",G682="Major",G682="Minor"))),1,0)</formula>
    </cfRule>
  </conditionalFormatting>
  <conditionalFormatting sqref="F682">
    <cfRule type="expression" dxfId="514" priority="537">
      <formula>IF(AND(F682="",OR(E682="Accuracy",E682="Fluency",E682="Segment",E682="Other")),1,0)</formula>
    </cfRule>
  </conditionalFormatting>
  <conditionalFormatting sqref="G682">
    <cfRule type="expression" dxfId="513" priority="539">
      <formula>IF(AND(OR(G682="",#REF!="Segment"),OR(#REF!="Accuracy",#REF!="Fluency",#REF!="Other")),1,0)</formula>
    </cfRule>
  </conditionalFormatting>
  <conditionalFormatting sqref="E683:G683">
    <cfRule type="expression" dxfId="512" priority="535">
      <formula>IF(OR(AND(E683="",F683="",OR(G683="Critical",G683="Major",G683="Minor"))),1,0)</formula>
    </cfRule>
  </conditionalFormatting>
  <conditionalFormatting sqref="F683">
    <cfRule type="expression" dxfId="511" priority="534">
      <formula>IF(AND(F683="",OR(E683="Accuracy",E683="Fluency",E683="Segment",E683="Other")),1,0)</formula>
    </cfRule>
  </conditionalFormatting>
  <conditionalFormatting sqref="G683">
    <cfRule type="expression" dxfId="510" priority="536">
      <formula>IF(AND(OR(G683="",#REF!="Segment"),OR(#REF!="Accuracy",#REF!="Fluency",#REF!="Other")),1,0)</formula>
    </cfRule>
  </conditionalFormatting>
  <conditionalFormatting sqref="E684:G684">
    <cfRule type="expression" dxfId="509" priority="532">
      <formula>IF(OR(AND(E684="",F684="",OR(G684="Critical",G684="Major",G684="Minor"))),1,0)</formula>
    </cfRule>
  </conditionalFormatting>
  <conditionalFormatting sqref="F684">
    <cfRule type="expression" dxfId="508" priority="531">
      <formula>IF(AND(F684="",OR(E684="Accuracy",E684="Fluency",E684="Segment",E684="Other")),1,0)</formula>
    </cfRule>
  </conditionalFormatting>
  <conditionalFormatting sqref="G684">
    <cfRule type="expression" dxfId="507" priority="533">
      <formula>IF(AND(OR(G684="",#REF!="Segment"),OR(#REF!="Accuracy",#REF!="Fluency",#REF!="Other")),1,0)</formula>
    </cfRule>
  </conditionalFormatting>
  <conditionalFormatting sqref="E687">
    <cfRule type="expression" dxfId="506" priority="527">
      <formula>IF(OR(AND(E687="",F687="",OR(G687="Critical",G687="Major",G687="Minor"))),1,0)</formula>
    </cfRule>
  </conditionalFormatting>
  <conditionalFormatting sqref="F687">
    <cfRule type="expression" dxfId="505" priority="526">
      <formula>IF(AND(F687="",OR(E687="Accuracy",E687="Fluency",E687="Segment",E687="Other")),1,0)</formula>
    </cfRule>
  </conditionalFormatting>
  <conditionalFormatting sqref="G687">
    <cfRule type="expression" dxfId="504" priority="528">
      <formula>IF(AND(OR(G687="",#REF!="Segment"),OR(#REF!="Accuracy",#REF!="Fluency",#REF!="Other")),1,0)</formula>
    </cfRule>
  </conditionalFormatting>
  <conditionalFormatting sqref="G687">
    <cfRule type="expression" dxfId="503" priority="529">
      <formula>IF(OR(AND(G687="",H686="",OR(I687="Critical",I687="Major",I687="Minor"))),1,0)</formula>
    </cfRule>
  </conditionalFormatting>
  <conditionalFormatting sqref="F687">
    <cfRule type="expression" dxfId="502" priority="530">
      <formula>IF(OR(AND(F687="",G687="",OR(H686="Critical",H686="Major",H686="Minor"))),1,0)</formula>
    </cfRule>
  </conditionalFormatting>
  <conditionalFormatting sqref="E688">
    <cfRule type="expression" dxfId="501" priority="522">
      <formula>IF(OR(AND(E688="",F688="",OR(G688="Critical",G688="Major",G688="Minor"))),1,0)</formula>
    </cfRule>
  </conditionalFormatting>
  <conditionalFormatting sqref="F688">
    <cfRule type="expression" dxfId="500" priority="521">
      <formula>IF(AND(F688="",OR(E688="Accuracy",E688="Fluency",E688="Segment",E688="Other")),1,0)</formula>
    </cfRule>
  </conditionalFormatting>
  <conditionalFormatting sqref="G688">
    <cfRule type="expression" dxfId="499" priority="523">
      <formula>IF(AND(OR(G688="",#REF!="Segment"),OR(#REF!="Accuracy",#REF!="Fluency",#REF!="Other")),1,0)</formula>
    </cfRule>
  </conditionalFormatting>
  <conditionalFormatting sqref="G688">
    <cfRule type="expression" dxfId="498" priority="524">
      <formula>IF(OR(AND(G688="",H687="",OR(I688="Critical",I688="Major",I688="Minor"))),1,0)</formula>
    </cfRule>
  </conditionalFormatting>
  <conditionalFormatting sqref="F688">
    <cfRule type="expression" dxfId="497" priority="525">
      <formula>IF(OR(AND(F688="",G688="",OR(H687="Critical",H687="Major",H687="Minor"))),1,0)</formula>
    </cfRule>
  </conditionalFormatting>
  <conditionalFormatting sqref="E689">
    <cfRule type="expression" dxfId="496" priority="517">
      <formula>IF(OR(AND(E689="",F689="",OR(G689="Critical",G689="Major",G689="Minor"))),1,0)</formula>
    </cfRule>
  </conditionalFormatting>
  <conditionalFormatting sqref="F689">
    <cfRule type="expression" dxfId="495" priority="516">
      <formula>IF(AND(F689="",OR(E689="Accuracy",E689="Fluency",E689="Segment",E689="Other")),1,0)</formula>
    </cfRule>
  </conditionalFormatting>
  <conditionalFormatting sqref="G689">
    <cfRule type="expression" dxfId="494" priority="518">
      <formula>IF(AND(OR(G689="",#REF!="Segment"),OR(#REF!="Accuracy",#REF!="Fluency",#REF!="Other")),1,0)</formula>
    </cfRule>
  </conditionalFormatting>
  <conditionalFormatting sqref="G689">
    <cfRule type="expression" dxfId="493" priority="519">
      <formula>IF(OR(AND(G689="",H688="",OR(I689="Critical",I689="Major",I689="Minor"))),1,0)</formula>
    </cfRule>
  </conditionalFormatting>
  <conditionalFormatting sqref="F689">
    <cfRule type="expression" dxfId="492" priority="520">
      <formula>IF(OR(AND(F689="",G689="",OR(H688="Critical",H688="Major",H688="Minor"))),1,0)</formula>
    </cfRule>
  </conditionalFormatting>
  <conditionalFormatting sqref="G691">
    <cfRule type="expression" dxfId="491" priority="514">
      <formula>IF(OR(AND(G691="",H691="",OR(I691="Critical",I691="Major",I691="Minor"))),1,0)</formula>
    </cfRule>
  </conditionalFormatting>
  <conditionalFormatting sqref="G691">
    <cfRule type="expression" dxfId="490" priority="515">
      <formula>IF(AND(OR(G691="",#REF!="Segment"),OR(#REF!="Accuracy",#REF!="Fluency",#REF!="Other")),1,0)</formula>
    </cfRule>
  </conditionalFormatting>
  <conditionalFormatting sqref="E692">
    <cfRule type="expression" dxfId="489" priority="509">
      <formula>IF(OR(AND(E692="",F692="",OR(G692="Critical",G692="Major",G692="Minor"))),1,0)</formula>
    </cfRule>
  </conditionalFormatting>
  <conditionalFormatting sqref="F692">
    <cfRule type="expression" dxfId="488" priority="508">
      <formula>IF(AND(F692="",OR(E692="Accuracy",E692="Fluency",E692="Segment",E692="Other")),1,0)</formula>
    </cfRule>
  </conditionalFormatting>
  <conditionalFormatting sqref="G692">
    <cfRule type="expression" dxfId="487" priority="510">
      <formula>IF(AND(OR(G692="",#REF!="Segment"),OR(#REF!="Accuracy",#REF!="Fluency",#REF!="Other")),1,0)</formula>
    </cfRule>
  </conditionalFormatting>
  <conditionalFormatting sqref="G692">
    <cfRule type="expression" dxfId="486" priority="511">
      <formula>IF(OR(AND(G692="",H691="",OR(I692="Critical",I692="Major",I692="Minor"))),1,0)</formula>
    </cfRule>
  </conditionalFormatting>
  <conditionalFormatting sqref="F692">
    <cfRule type="expression" dxfId="485" priority="512">
      <formula>IF(OR(AND(F692="",G692="",OR(H691="Critical",H691="Major",H691="Minor"))),1,0)</formula>
    </cfRule>
  </conditionalFormatting>
  <conditionalFormatting sqref="E693">
    <cfRule type="expression" dxfId="484" priority="504">
      <formula>IF(OR(AND(E693="",F693="",OR(G693="Critical",G693="Major",G693="Minor"))),1,0)</formula>
    </cfRule>
  </conditionalFormatting>
  <conditionalFormatting sqref="F693">
    <cfRule type="expression" dxfId="483" priority="503">
      <formula>IF(AND(F693="",OR(E693="Accuracy",E693="Fluency",E693="Segment",E693="Other")),1,0)</formula>
    </cfRule>
  </conditionalFormatting>
  <conditionalFormatting sqref="G693">
    <cfRule type="expression" dxfId="482" priority="505">
      <formula>IF(AND(OR(G693="",#REF!="Segment"),OR(#REF!="Accuracy",#REF!="Fluency",#REF!="Other")),1,0)</formula>
    </cfRule>
  </conditionalFormatting>
  <conditionalFormatting sqref="G693">
    <cfRule type="expression" dxfId="481" priority="506">
      <formula>IF(OR(AND(G693="",H692="",OR(I693="Critical",I693="Major",I693="Minor"))),1,0)</formula>
    </cfRule>
  </conditionalFormatting>
  <conditionalFormatting sqref="F693">
    <cfRule type="expression" dxfId="480" priority="507">
      <formula>IF(OR(AND(F693="",G693="",OR(H692="Critical",H692="Major",H692="Minor"))),1,0)</formula>
    </cfRule>
  </conditionalFormatting>
  <conditionalFormatting sqref="E694">
    <cfRule type="expression" dxfId="479" priority="499">
      <formula>IF(OR(AND(E694="",F694="",OR(G694="Critical",G694="Major",G694="Minor"))),1,0)</formula>
    </cfRule>
  </conditionalFormatting>
  <conditionalFormatting sqref="F694">
    <cfRule type="expression" dxfId="478" priority="498">
      <formula>IF(AND(F694="",OR(E694="Accuracy",E694="Fluency",E694="Segment",E694="Other")),1,0)</formula>
    </cfRule>
  </conditionalFormatting>
  <conditionalFormatting sqref="G694">
    <cfRule type="expression" dxfId="477" priority="500">
      <formula>IF(AND(OR(G694="",#REF!="Segment"),OR(#REF!="Accuracy",#REF!="Fluency",#REF!="Other")),1,0)</formula>
    </cfRule>
  </conditionalFormatting>
  <conditionalFormatting sqref="G694">
    <cfRule type="expression" dxfId="476" priority="501">
      <formula>IF(OR(AND(G694="",H693="",OR(I694="Critical",I694="Major",I694="Minor"))),1,0)</formula>
    </cfRule>
  </conditionalFormatting>
  <conditionalFormatting sqref="F694">
    <cfRule type="expression" dxfId="475" priority="502">
      <formula>IF(OR(AND(F694="",G694="",OR(H693="Critical",H693="Major",H693="Minor"))),1,0)</formula>
    </cfRule>
  </conditionalFormatting>
  <conditionalFormatting sqref="E696:G696">
    <cfRule type="expression" dxfId="474" priority="496">
      <formula>IF(OR(AND(E696="",F696="",OR(G696="Critical",G696="Major",G696="Minor"))),1,0)</formula>
    </cfRule>
  </conditionalFormatting>
  <conditionalFormatting sqref="F696">
    <cfRule type="expression" dxfId="473" priority="495">
      <formula>IF(AND(F696="",OR(E696="Accuracy",E696="Fluency",E696="Segment",E696="Other")),1,0)</formula>
    </cfRule>
  </conditionalFormatting>
  <conditionalFormatting sqref="G696">
    <cfRule type="expression" dxfId="472" priority="497">
      <formula>IF(AND(OR(G696="",#REF!="Segment"),OR(#REF!="Accuracy",#REF!="Fluency",#REF!="Other")),1,0)</formula>
    </cfRule>
  </conditionalFormatting>
  <conditionalFormatting sqref="G698">
    <cfRule type="expression" dxfId="471" priority="493">
      <formula>IF(OR(AND(G698="",H698="",OR(I698="Critical",I698="Major",I698="Minor"))),1,0)</formula>
    </cfRule>
  </conditionalFormatting>
  <conditionalFormatting sqref="G698">
    <cfRule type="expression" dxfId="470" priority="494">
      <formula>IF(AND(OR(G698="",#REF!="Segment"),OR(#REF!="Accuracy",#REF!="Fluency",#REF!="Other")),1,0)</formula>
    </cfRule>
  </conditionalFormatting>
  <conditionalFormatting sqref="E699:G699">
    <cfRule type="expression" dxfId="469" priority="490">
      <formula>IF(OR(AND(E699="",F699="",OR(G699="Critical",G699="Major",G699="Minor"))),1,0)</formula>
    </cfRule>
  </conditionalFormatting>
  <conditionalFormatting sqref="F699">
    <cfRule type="expression" dxfId="468" priority="489">
      <formula>IF(AND(F699="",OR(E699="Accuracy",E699="Fluency",E699="Segment",E699="Other")),1,0)</formula>
    </cfRule>
  </conditionalFormatting>
  <conditionalFormatting sqref="G699">
    <cfRule type="expression" dxfId="467" priority="491">
      <formula>IF(AND(OR(G699="",#REF!="Segment"),OR(#REF!="Accuracy",#REF!="Fluency",#REF!="Other")),1,0)</formula>
    </cfRule>
  </conditionalFormatting>
  <conditionalFormatting sqref="E700:G700">
    <cfRule type="expression" dxfId="466" priority="487">
      <formula>IF(OR(AND(E700="",F700="",OR(G700="Critical",G700="Major",G700="Minor"))),1,0)</formula>
    </cfRule>
  </conditionalFormatting>
  <conditionalFormatting sqref="F700">
    <cfRule type="expression" dxfId="465" priority="486">
      <formula>IF(AND(F700="",OR(E700="Accuracy",E700="Fluency",E700="Segment",E700="Other")),1,0)</formula>
    </cfRule>
  </conditionalFormatting>
  <conditionalFormatting sqref="G700">
    <cfRule type="expression" dxfId="464" priority="488">
      <formula>IF(AND(OR(G700="",#REF!="Segment"),OR(#REF!="Accuracy",#REF!="Fluency",#REF!="Other")),1,0)</formula>
    </cfRule>
  </conditionalFormatting>
  <conditionalFormatting sqref="E701:G701">
    <cfRule type="expression" dxfId="463" priority="484">
      <formula>IF(OR(AND(E701="",F701="",OR(G701="Critical",G701="Major",G701="Minor"))),1,0)</formula>
    </cfRule>
  </conditionalFormatting>
  <conditionalFormatting sqref="F701">
    <cfRule type="expression" dxfId="462" priority="483">
      <formula>IF(AND(F701="",OR(E701="Accuracy",E701="Fluency",E701="Segment",E701="Other")),1,0)</formula>
    </cfRule>
  </conditionalFormatting>
  <conditionalFormatting sqref="G701">
    <cfRule type="expression" dxfId="461" priority="485">
      <formula>IF(AND(OR(G701="",#REF!="Segment"),OR(#REF!="Accuracy",#REF!="Fluency",#REF!="Other")),1,0)</formula>
    </cfRule>
  </conditionalFormatting>
  <conditionalFormatting sqref="F870:G870 E870:E871 E873:G873 G871 E861:G861 E847:G847 G852 E853:G858 E802 E799:G801 E792:G797 E789:F790 F781:G781 E782:G783 E779:E781 E766 E767:G767 E761:G765 E756:G759 E752:E753 E725:G743 G719:G724 E719:E724 E702:G713 E715:G718 G714 E745:G745 G744 E747:G751 G746 E769:G771 G768 E774:G778 G772:G773 E785:G788 G784 E805:G810 E812:G813 G811 E817:G822 G814:G816 E825:G827 G823:G824">
    <cfRule type="expression" dxfId="460" priority="480">
      <formula>IF(OR(AND(E702="",F702="",OR(G702="Critical",G702="Major",G702="Minor"))),1,0)</formula>
    </cfRule>
  </conditionalFormatting>
  <conditionalFormatting sqref="F870 F873 F861 F847 F853:F858 F792:F797 F702:F713 F715:F743 F745 F747:F753 F756:F759 F761:F767 F769:F771 F774:F783 F785:F790 F799:F802 F805:F810 F812:F813 F817:F822 F825:F827">
    <cfRule type="expression" dxfId="459" priority="479">
      <formula>IF(AND(F702="",OR(E702="Accuracy",E702="Fluency",E702="Segment",E702="Other")),1,0)</formula>
    </cfRule>
  </conditionalFormatting>
  <conditionalFormatting sqref="H702:H703">
    <cfRule type="expression" dxfId="458" priority="481">
      <formula>IF(OR(AND(H702="",J702="",OR(#REF!="Critical",#REF!="Major",#REF!="Minor"))),1,0)</formula>
    </cfRule>
  </conditionalFormatting>
  <conditionalFormatting sqref="G870:G871 G873 G861 G847 G852:G858 G805 G786 G788 G782:G783 G763 G742:G743 G738:G740 G736 G730:G731 G719:G726 G714 G702:G703">
    <cfRule type="expression" dxfId="457" priority="482">
      <formula>IF(AND(OR(G702="",#REF!="Segment"),OR(#REF!="Accuracy",#REF!="Fluency",#REF!="Other")),1,0)</formula>
    </cfRule>
  </conditionalFormatting>
  <conditionalFormatting sqref="G704">
    <cfRule type="expression" dxfId="456" priority="478">
      <formula>IF(AND(OR(G704="",#REF!="Segment"),OR(#REF!="Accuracy",#REF!="Fluency",#REF!="Other")),1,0)</formula>
    </cfRule>
  </conditionalFormatting>
  <conditionalFormatting sqref="G705">
    <cfRule type="expression" dxfId="455" priority="477">
      <formula>IF(AND(OR(G705="",#REF!="Segment"),OR(#REF!="Accuracy",#REF!="Fluency",#REF!="Other")),1,0)</formula>
    </cfRule>
  </conditionalFormatting>
  <conditionalFormatting sqref="G706">
    <cfRule type="expression" dxfId="454" priority="476">
      <formula>IF(AND(OR(G706="",#REF!="Segment"),OR(#REF!="Accuracy",#REF!="Fluency",#REF!="Other")),1,0)</formula>
    </cfRule>
  </conditionalFormatting>
  <conditionalFormatting sqref="G707">
    <cfRule type="expression" dxfId="453" priority="475">
      <formula>IF(AND(OR(G707="",#REF!="Segment"),OR(#REF!="Accuracy",#REF!="Fluency",#REF!="Other")),1,0)</formula>
    </cfRule>
  </conditionalFormatting>
  <conditionalFormatting sqref="G708:G709">
    <cfRule type="expression" dxfId="452" priority="474">
      <formula>IF(AND(OR(G708="",#REF!="Segment"),OR(#REF!="Accuracy",#REF!="Fluency",#REF!="Other")),1,0)</formula>
    </cfRule>
  </conditionalFormatting>
  <conditionalFormatting sqref="G710:G713">
    <cfRule type="expression" dxfId="451" priority="473">
      <formula>IF(AND(OR(G710="",#REF!="Segment"),OR(#REF!="Accuracy",#REF!="Fluency",#REF!="Other")),1,0)</formula>
    </cfRule>
  </conditionalFormatting>
  <conditionalFormatting sqref="G715">
    <cfRule type="expression" dxfId="450" priority="472">
      <formula>IF(AND(OR(G715="",#REF!="Segment"),OR(#REF!="Accuracy",#REF!="Fluency",#REF!="Other")),1,0)</formula>
    </cfRule>
  </conditionalFormatting>
  <conditionalFormatting sqref="G716:G718">
    <cfRule type="expression" dxfId="449" priority="471">
      <formula>IF(AND(OR(G716="",#REF!="Segment"),OR(#REF!="Accuracy",#REF!="Fluency",#REF!="Other")),1,0)</formula>
    </cfRule>
  </conditionalFormatting>
  <conditionalFormatting sqref="G727">
    <cfRule type="expression" dxfId="448" priority="470">
      <formula>IF(AND(OR(G727="",#REF!="Segment"),OR(#REF!="Accuracy",#REF!="Fluency",#REF!="Other")),1,0)</formula>
    </cfRule>
  </conditionalFormatting>
  <conditionalFormatting sqref="G728">
    <cfRule type="expression" dxfId="447" priority="469">
      <formula>IF(AND(OR(G728="",#REF!="Segment"),OR(#REF!="Accuracy",#REF!="Fluency",#REF!="Other")),1,0)</formula>
    </cfRule>
  </conditionalFormatting>
  <conditionalFormatting sqref="G729">
    <cfRule type="expression" dxfId="446" priority="468">
      <formula>IF(AND(OR(G729="",#REF!="Segment"),OR(#REF!="Accuracy",#REF!="Fluency",#REF!="Other")),1,0)</formula>
    </cfRule>
  </conditionalFormatting>
  <conditionalFormatting sqref="G732:G733">
    <cfRule type="expression" dxfId="445" priority="467">
      <formula>IF(AND(OR(G732="",#REF!="Segment"),OR(#REF!="Accuracy",#REF!="Fluency",#REF!="Other")),1,0)</formula>
    </cfRule>
  </conditionalFormatting>
  <conditionalFormatting sqref="G737">
    <cfRule type="expression" dxfId="444" priority="466">
      <formula>IF(AND(OR(G737="",#REF!="Segment"),OR(#REF!="Accuracy",#REF!="Fluency",#REF!="Other")),1,0)</formula>
    </cfRule>
  </conditionalFormatting>
  <conditionalFormatting sqref="G734:G735">
    <cfRule type="expression" dxfId="443" priority="465">
      <formula>IF(AND(OR(G734="",#REF!="Segment"),OR(#REF!="Accuracy",#REF!="Fluency",#REF!="Other")),1,0)</formula>
    </cfRule>
  </conditionalFormatting>
  <conditionalFormatting sqref="G744">
    <cfRule type="expression" dxfId="442" priority="464">
      <formula>IF(AND(OR(G744="",#REF!="Segment"),OR(#REF!="Accuracy",#REF!="Fluency",#REF!="Other")),1,0)</formula>
    </cfRule>
  </conditionalFormatting>
  <conditionalFormatting sqref="G745">
    <cfRule type="expression" dxfId="441" priority="463">
      <formula>IF(AND(OR(G745="",#REF!="Segment"),OR(#REF!="Accuracy",#REF!="Fluency",#REF!="Other")),1,0)</formula>
    </cfRule>
  </conditionalFormatting>
  <conditionalFormatting sqref="G747:G748">
    <cfRule type="expression" dxfId="440" priority="462">
      <formula>IF(AND(OR(G747="",#REF!="Segment"),OR(#REF!="Accuracy",#REF!="Fluency",#REF!="Other")),1,0)</formula>
    </cfRule>
  </conditionalFormatting>
  <conditionalFormatting sqref="G741">
    <cfRule type="expression" dxfId="439" priority="461">
      <formula>IF(AND(OR(G741="",#REF!="Segment"),OR(#REF!="Accuracy",#REF!="Fluency",#REF!="Other")),1,0)</formula>
    </cfRule>
  </conditionalFormatting>
  <conditionalFormatting sqref="G746">
    <cfRule type="expression" dxfId="438" priority="460">
      <formula>IF(AND(OR(G746="",#REF!="Segment"),OR(#REF!="Accuracy",#REF!="Fluency",#REF!="Other")),1,0)</formula>
    </cfRule>
  </conditionalFormatting>
  <conditionalFormatting sqref="G749">
    <cfRule type="expression" dxfId="437" priority="459">
      <formula>IF(AND(OR(G749="",#REF!="Segment"),OR(#REF!="Accuracy",#REF!="Fluency",#REF!="Other")),1,0)</formula>
    </cfRule>
  </conditionalFormatting>
  <conditionalFormatting sqref="G750">
    <cfRule type="expression" dxfId="436" priority="458">
      <formula>IF(AND(OR(G750="",#REF!="Segment"),OR(#REF!="Accuracy",#REF!="Fluency",#REF!="Other")),1,0)</formula>
    </cfRule>
  </conditionalFormatting>
  <conditionalFormatting sqref="G751">
    <cfRule type="expression" dxfId="435" priority="457">
      <formula>IF(AND(OR(G751="",#REF!="Segment"),OR(#REF!="Accuracy",#REF!="Fluency",#REF!="Other")),1,0)</formula>
    </cfRule>
  </conditionalFormatting>
  <conditionalFormatting sqref="G802 G760 G754:G755">
    <cfRule type="expression" dxfId="434" priority="455">
      <formula>IF(OR(AND(G754="",#REF!="",OR(I754="Critical",I754="Major",I754="Minor"))),1,0)</formula>
    </cfRule>
  </conditionalFormatting>
  <conditionalFormatting sqref="F802 F752:F753">
    <cfRule type="expression" dxfId="433" priority="456">
      <formula>IF(OR(AND(F752="",G752="",OR(#REF!="Critical",#REF!="Major",#REF!="Minor"))),1,0)</formula>
    </cfRule>
  </conditionalFormatting>
  <conditionalFormatting sqref="G752">
    <cfRule type="expression" dxfId="432" priority="453">
      <formula>IF(AND(OR(G752="",#REF!="Segment"),OR(#REF!="Accuracy",#REF!="Fluency",#REF!="Other")),1,0)</formula>
    </cfRule>
  </conditionalFormatting>
  <conditionalFormatting sqref="G752">
    <cfRule type="expression" dxfId="431" priority="454">
      <formula>IF(OR(AND(G752="",#REF!="",OR(I752="Critical",I752="Major",I752="Minor"))),1,0)</formula>
    </cfRule>
  </conditionalFormatting>
  <conditionalFormatting sqref="G753">
    <cfRule type="expression" dxfId="430" priority="451">
      <formula>IF(AND(OR(G753="",#REF!="Segment"),OR(#REF!="Accuracy",#REF!="Fluency",#REF!="Other")),1,0)</formula>
    </cfRule>
  </conditionalFormatting>
  <conditionalFormatting sqref="G753">
    <cfRule type="expression" dxfId="429" priority="452">
      <formula>IF(OR(AND(G753="",#REF!="",OR(I753="Critical",I753="Major",I753="Minor"))),1,0)</formula>
    </cfRule>
  </conditionalFormatting>
  <conditionalFormatting sqref="G756">
    <cfRule type="expression" dxfId="428" priority="450">
      <formula>IF(AND(OR(G756="",#REF!="Segment"),OR(#REF!="Accuracy",#REF!="Fluency",#REF!="Other")),1,0)</formula>
    </cfRule>
  </conditionalFormatting>
  <conditionalFormatting sqref="G754:G755">
    <cfRule type="expression" dxfId="427" priority="449">
      <formula>IF(AND(OR(G754="",#REF!="Segment"),OR(#REF!="Accuracy",#REF!="Fluency",#REF!="Other")),1,0)</formula>
    </cfRule>
  </conditionalFormatting>
  <conditionalFormatting sqref="G761">
    <cfRule type="expression" dxfId="426" priority="448">
      <formula>IF(AND(OR(G761="",#REF!="Segment"),OR(#REF!="Accuracy",#REF!="Fluency",#REF!="Other")),1,0)</formula>
    </cfRule>
  </conditionalFormatting>
  <conditionalFormatting sqref="G757:G758">
    <cfRule type="expression" dxfId="425" priority="447">
      <formula>IF(AND(OR(G757="",#REF!="Segment"),OR(#REF!="Accuracy",#REF!="Fluency",#REF!="Other")),1,0)</formula>
    </cfRule>
  </conditionalFormatting>
  <conditionalFormatting sqref="G759">
    <cfRule type="expression" dxfId="424" priority="446">
      <formula>IF(AND(OR(G759="",#REF!="Segment"),OR(#REF!="Accuracy",#REF!="Fluency",#REF!="Other")),1,0)</formula>
    </cfRule>
  </conditionalFormatting>
  <conditionalFormatting sqref="G760">
    <cfRule type="expression" dxfId="423" priority="445">
      <formula>IF(AND(OR(G760="",#REF!="Segment"),OR(#REF!="Accuracy",#REF!="Fluency",#REF!="Other")),1,0)</formula>
    </cfRule>
  </conditionalFormatting>
  <conditionalFormatting sqref="G762">
    <cfRule type="expression" dxfId="422" priority="444">
      <formula>IF(AND(OR(G762="",#REF!="Segment"),OR(#REF!="Accuracy",#REF!="Fluency",#REF!="Other")),1,0)</formula>
    </cfRule>
  </conditionalFormatting>
  <conditionalFormatting sqref="G764:G765">
    <cfRule type="expression" dxfId="421" priority="443">
      <formula>IF(AND(OR(G764="",#REF!="Segment"),OR(#REF!="Accuracy",#REF!="Fluency",#REF!="Other")),1,0)</formula>
    </cfRule>
  </conditionalFormatting>
  <conditionalFormatting sqref="G766">
    <cfRule type="expression" dxfId="420" priority="440">
      <formula>IF(AND(OR(G766="",#REF!="Segment"),OR(#REF!="Accuracy",#REF!="Fluency",#REF!="Other")),1,0)</formula>
    </cfRule>
  </conditionalFormatting>
  <conditionalFormatting sqref="F766">
    <cfRule type="expression" dxfId="419" priority="441">
      <formula>IF(OR(AND(F766="",G766="",OR(H764="Critical",H764="Major",H764="Minor"))),1,0)</formula>
    </cfRule>
  </conditionalFormatting>
  <conditionalFormatting sqref="G766">
    <cfRule type="expression" dxfId="418" priority="442">
      <formula>IF(OR(AND(G766="",H764="",OR(I764="Critical",I764="Major",I764="Minor"))),1,0)</formula>
    </cfRule>
  </conditionalFormatting>
  <conditionalFormatting sqref="G767">
    <cfRule type="expression" dxfId="417" priority="439">
      <formula>IF(AND(OR(G767="",#REF!="Segment"),OR(#REF!="Accuracy",#REF!="Fluency",#REF!="Other")),1,0)</formula>
    </cfRule>
  </conditionalFormatting>
  <conditionalFormatting sqref="G768">
    <cfRule type="expression" dxfId="416" priority="438">
      <formula>IF(AND(OR(G768="",#REF!="Segment"),OR(#REF!="Accuracy",#REF!="Fluency",#REF!="Other")),1,0)</formula>
    </cfRule>
  </conditionalFormatting>
  <conditionalFormatting sqref="G769:G770">
    <cfRule type="expression" dxfId="415" priority="437">
      <formula>IF(AND(OR(G769="",#REF!="Segment"),OR(#REF!="Accuracy",#REF!="Fluency",#REF!="Other")),1,0)</formula>
    </cfRule>
  </conditionalFormatting>
  <conditionalFormatting sqref="G771 G774">
    <cfRule type="expression" dxfId="414" priority="436">
      <formula>IF(AND(OR(G771="",#REF!="Segment"),OR(#REF!="Accuracy",#REF!="Fluency",#REF!="Other")),1,0)</formula>
    </cfRule>
  </conditionalFormatting>
  <conditionalFormatting sqref="G772">
    <cfRule type="expression" dxfId="413" priority="435">
      <formula>IF(AND(OR(G772="",#REF!="Segment"),OR(#REF!="Accuracy",#REF!="Fluency",#REF!="Other")),1,0)</formula>
    </cfRule>
  </conditionalFormatting>
  <conditionalFormatting sqref="G773">
    <cfRule type="expression" dxfId="412" priority="434">
      <formula>IF(AND(OR(G773="",#REF!="Segment"),OR(#REF!="Accuracy",#REF!="Fluency",#REF!="Other")),1,0)</formula>
    </cfRule>
  </conditionalFormatting>
  <conditionalFormatting sqref="G775">
    <cfRule type="expression" dxfId="411" priority="433">
      <formula>IF(AND(OR(G775="",#REF!="Segment"),OR(#REF!="Accuracy",#REF!="Fluency",#REF!="Other")),1,0)</formula>
    </cfRule>
  </conditionalFormatting>
  <conditionalFormatting sqref="G776">
    <cfRule type="expression" dxfId="410" priority="432">
      <formula>IF(AND(OR(G776="",#REF!="Segment"),OR(#REF!="Accuracy",#REF!="Fluency",#REF!="Other")),1,0)</formula>
    </cfRule>
  </conditionalFormatting>
  <conditionalFormatting sqref="G803:G804 G798 G779:G780">
    <cfRule type="expression" dxfId="409" priority="430">
      <formula>IF(OR(AND(G779="",H778="",OR(I779="Critical",I779="Major",I779="Minor"))),1,0)</formula>
    </cfRule>
  </conditionalFormatting>
  <conditionalFormatting sqref="F779:F780">
    <cfRule type="expression" dxfId="408" priority="431">
      <formula>IF(OR(AND(F779="",G779="",OR(H778="Critical",H778="Major",H778="Minor"))),1,0)</formula>
    </cfRule>
  </conditionalFormatting>
  <conditionalFormatting sqref="G777">
    <cfRule type="expression" dxfId="407" priority="429">
      <formula>IF(AND(OR(G777="",#REF!="Segment"),OR(#REF!="Accuracy",#REF!="Fluency",#REF!="Other")),1,0)</formula>
    </cfRule>
  </conditionalFormatting>
  <conditionalFormatting sqref="G778">
    <cfRule type="expression" dxfId="406" priority="428">
      <formula>IF(AND(OR(G778="",#REF!="Segment"),OR(#REF!="Accuracy",#REF!="Fluency",#REF!="Other")),1,0)</formula>
    </cfRule>
  </conditionalFormatting>
  <conditionalFormatting sqref="G779:G780">
    <cfRule type="expression" dxfId="405" priority="427">
      <formula>IF(AND(OR(G779="",#REF!="Segment"),OR(#REF!="Accuracy",#REF!="Fluency",#REF!="Other")),1,0)</formula>
    </cfRule>
  </conditionalFormatting>
  <conditionalFormatting sqref="G781">
    <cfRule type="expression" dxfId="404" priority="426">
      <formula>IF(AND(OR(G781="",#REF!="Segment"),OR(#REF!="Accuracy",#REF!="Fluency",#REF!="Other")),1,0)</formula>
    </cfRule>
  </conditionalFormatting>
  <conditionalFormatting sqref="G784">
    <cfRule type="expression" dxfId="403" priority="425">
      <formula>IF(AND(OR(G784="",#REF!="Segment"),OR(#REF!="Accuracy",#REF!="Fluency",#REF!="Other")),1,0)</formula>
    </cfRule>
  </conditionalFormatting>
  <conditionalFormatting sqref="G785">
    <cfRule type="expression" dxfId="402" priority="424">
      <formula>IF(AND(OR(G785="",#REF!="Segment"),OR(#REF!="Accuracy",#REF!="Fluency",#REF!="Other")),1,0)</formula>
    </cfRule>
  </conditionalFormatting>
  <conditionalFormatting sqref="G787">
    <cfRule type="expression" dxfId="401" priority="422">
      <formula>IF(AND(OR(G787="",#REF!="Segment"),OR(#REF!="Accuracy",#REF!="Fluency",#REF!="Other")),1,0)</formula>
    </cfRule>
  </conditionalFormatting>
  <conditionalFormatting sqref="G789:G790">
    <cfRule type="expression" dxfId="400" priority="421">
      <formula>IF(AND(OR(G789="",#REF!="Segment"),OR(#REF!="Accuracy",#REF!="Fluency",#REF!="Other")),1,0)</formula>
    </cfRule>
  </conditionalFormatting>
  <conditionalFormatting sqref="G789:G790">
    <cfRule type="expression" dxfId="399" priority="423">
      <formula>IF(OR(AND(G789="",H789="",OR(I791="Critical",I791="Major",I791="Minor"))),1,0)</formula>
    </cfRule>
  </conditionalFormatting>
  <conditionalFormatting sqref="G792">
    <cfRule type="expression" dxfId="398" priority="420">
      <formula>IF(AND(OR(G792="",#REF!="Segment"),OR(#REF!="Accuracy",#REF!="Fluency",#REF!="Other")),1,0)</formula>
    </cfRule>
  </conditionalFormatting>
  <conditionalFormatting sqref="G793:G795">
    <cfRule type="expression" dxfId="397" priority="419">
      <formula>IF(AND(OR(G793="",#REF!="Segment"),OR(#REF!="Accuracy",#REF!="Fluency",#REF!="Other")),1,0)</formula>
    </cfRule>
  </conditionalFormatting>
  <conditionalFormatting sqref="G797">
    <cfRule type="expression" dxfId="396" priority="418">
      <formula>IF(AND(OR(G797="",#REF!="Segment"),OR(#REF!="Accuracy",#REF!="Fluency",#REF!="Other")),1,0)</formula>
    </cfRule>
  </conditionalFormatting>
  <conditionalFormatting sqref="G796">
    <cfRule type="expression" dxfId="395" priority="417">
      <formula>IF(AND(OR(G796="",#REF!="Segment"),OR(#REF!="Accuracy",#REF!="Fluency",#REF!="Other")),1,0)</formula>
    </cfRule>
  </conditionalFormatting>
  <conditionalFormatting sqref="G799">
    <cfRule type="expression" dxfId="394" priority="416">
      <formula>IF(AND(OR(G799="",#REF!="Segment"),OR(#REF!="Accuracy",#REF!="Fluency",#REF!="Other")),1,0)</formula>
    </cfRule>
  </conditionalFormatting>
  <conditionalFormatting sqref="G798">
    <cfRule type="expression" dxfId="393" priority="415">
      <formula>IF(AND(OR(G798="",#REF!="Segment"),OR(#REF!="Accuracy",#REF!="Fluency",#REF!="Other")),1,0)</formula>
    </cfRule>
  </conditionalFormatting>
  <conditionalFormatting sqref="G800:G801">
    <cfRule type="expression" dxfId="392" priority="414">
      <formula>IF(AND(OR(G800="",#REF!="Segment"),OR(#REF!="Accuracy",#REF!="Fluency",#REF!="Other")),1,0)</formula>
    </cfRule>
  </conditionalFormatting>
  <conditionalFormatting sqref="G802">
    <cfRule type="expression" dxfId="391" priority="413">
      <formula>IF(AND(OR(G802="",#REF!="Segment"),OR(#REF!="Accuracy",#REF!="Fluency",#REF!="Other")),1,0)</formula>
    </cfRule>
  </conditionalFormatting>
  <conditionalFormatting sqref="G803">
    <cfRule type="expression" dxfId="390" priority="412">
      <formula>IF(AND(OR(G803="",#REF!="Segment"),OR(#REF!="Accuracy",#REF!="Fluency",#REF!="Other")),1,0)</formula>
    </cfRule>
  </conditionalFormatting>
  <conditionalFormatting sqref="G804">
    <cfRule type="expression" dxfId="389" priority="411">
      <formula>IF(AND(OR(G804="",#REF!="Segment"),OR(#REF!="Accuracy",#REF!="Fluency",#REF!="Other")),1,0)</formula>
    </cfRule>
  </conditionalFormatting>
  <conditionalFormatting sqref="G806">
    <cfRule type="expression" dxfId="388" priority="410">
      <formula>IF(AND(OR(G806="",#REF!="Segment"),OR(#REF!="Accuracy",#REF!="Fluency",#REF!="Other")),1,0)</formula>
    </cfRule>
  </conditionalFormatting>
  <conditionalFormatting sqref="G807">
    <cfRule type="expression" dxfId="387" priority="409">
      <formula>IF(AND(OR(G807="",#REF!="Segment"),OR(#REF!="Accuracy",#REF!="Fluency",#REF!="Other")),1,0)</formula>
    </cfRule>
  </conditionalFormatting>
  <conditionalFormatting sqref="G808">
    <cfRule type="expression" dxfId="386" priority="408">
      <formula>IF(AND(OR(G808="",#REF!="Segment"),OR(#REF!="Accuracy",#REF!="Fluency",#REF!="Other")),1,0)</formula>
    </cfRule>
  </conditionalFormatting>
  <conditionalFormatting sqref="G809">
    <cfRule type="expression" dxfId="385" priority="407">
      <formula>IF(AND(OR(G809="",#REF!="Segment"),OR(#REF!="Accuracy",#REF!="Fluency",#REF!="Other")),1,0)</formula>
    </cfRule>
  </conditionalFormatting>
  <conditionalFormatting sqref="G810">
    <cfRule type="expression" dxfId="384" priority="406">
      <formula>IF(AND(OR(G810="",#REF!="Segment"),OR(#REF!="Accuracy",#REF!="Fluency",#REF!="Other")),1,0)</formula>
    </cfRule>
  </conditionalFormatting>
  <conditionalFormatting sqref="G812">
    <cfRule type="expression" dxfId="383" priority="405">
      <formula>IF(AND(OR(G812="",#REF!="Segment"),OR(#REF!="Accuracy",#REF!="Fluency",#REF!="Other")),1,0)</formula>
    </cfRule>
  </conditionalFormatting>
  <conditionalFormatting sqref="G811">
    <cfRule type="expression" dxfId="382" priority="404">
      <formula>IF(AND(OR(G811="",#REF!="Segment"),OR(#REF!="Accuracy",#REF!="Fluency",#REF!="Other")),1,0)</formula>
    </cfRule>
  </conditionalFormatting>
  <conditionalFormatting sqref="G813">
    <cfRule type="expression" dxfId="381" priority="403">
      <formula>IF(AND(OR(G813="",#REF!="Segment"),OR(#REF!="Accuracy",#REF!="Fluency",#REF!="Other")),1,0)</formula>
    </cfRule>
  </conditionalFormatting>
  <conditionalFormatting sqref="G817">
    <cfRule type="expression" dxfId="380" priority="402">
      <formula>IF(AND(OR(G817="",#REF!="Segment"),OR(#REF!="Accuracy",#REF!="Fluency",#REF!="Other")),1,0)</formula>
    </cfRule>
  </conditionalFormatting>
  <conditionalFormatting sqref="G814">
    <cfRule type="expression" dxfId="379" priority="401">
      <formula>IF(AND(OR(G814="",#REF!="Segment"),OR(#REF!="Accuracy",#REF!="Fluency",#REF!="Other")),1,0)</formula>
    </cfRule>
  </conditionalFormatting>
  <conditionalFormatting sqref="G815">
    <cfRule type="expression" dxfId="378" priority="400">
      <formula>IF(AND(OR(G815="",#REF!="Segment"),OR(#REF!="Accuracy",#REF!="Fluency",#REF!="Other")),1,0)</formula>
    </cfRule>
  </conditionalFormatting>
  <conditionalFormatting sqref="G816">
    <cfRule type="expression" dxfId="377" priority="399">
      <formula>IF(AND(OR(G816="",#REF!="Segment"),OR(#REF!="Accuracy",#REF!="Fluency",#REF!="Other")),1,0)</formula>
    </cfRule>
  </conditionalFormatting>
  <conditionalFormatting sqref="G818">
    <cfRule type="expression" dxfId="376" priority="398">
      <formula>IF(AND(OR(G818="",#REF!="Segment"),OR(#REF!="Accuracy",#REF!="Fluency",#REF!="Other")),1,0)</formula>
    </cfRule>
  </conditionalFormatting>
  <conditionalFormatting sqref="G819">
    <cfRule type="expression" dxfId="375" priority="397">
      <formula>IF(AND(OR(G819="",#REF!="Segment"),OR(#REF!="Accuracy",#REF!="Fluency",#REF!="Other")),1,0)</formula>
    </cfRule>
  </conditionalFormatting>
  <conditionalFormatting sqref="G820">
    <cfRule type="expression" dxfId="374" priority="396">
      <formula>IF(AND(OR(G820="",#REF!="Segment"),OR(#REF!="Accuracy",#REF!="Fluency",#REF!="Other")),1,0)</formula>
    </cfRule>
  </conditionalFormatting>
  <conditionalFormatting sqref="G821:G822">
    <cfRule type="expression" dxfId="373" priority="395">
      <formula>IF(AND(OR(G821="",#REF!="Segment"),OR(#REF!="Accuracy",#REF!="Fluency",#REF!="Other")),1,0)</formula>
    </cfRule>
  </conditionalFormatting>
  <conditionalFormatting sqref="G823:G824">
    <cfRule type="expression" dxfId="372" priority="394">
      <formula>IF(AND(OR(G823="",#REF!="Segment"),OR(#REF!="Accuracy",#REF!="Fluency",#REF!="Other")),1,0)</formula>
    </cfRule>
  </conditionalFormatting>
  <conditionalFormatting sqref="G825">
    <cfRule type="expression" dxfId="371" priority="393">
      <formula>IF(AND(OR(G825="",#REF!="Segment"),OR(#REF!="Accuracy",#REF!="Fluency",#REF!="Other")),1,0)</formula>
    </cfRule>
  </conditionalFormatting>
  <conditionalFormatting sqref="G826">
    <cfRule type="expression" dxfId="370" priority="392">
      <formula>IF(AND(OR(G826="",#REF!="Segment"),OR(#REF!="Accuracy",#REF!="Fluency",#REF!="Other")),1,0)</formula>
    </cfRule>
  </conditionalFormatting>
  <conditionalFormatting sqref="G827">
    <cfRule type="expression" dxfId="369" priority="391">
      <formula>IF(AND(OR(G827="",#REF!="Segment"),OR(#REF!="Accuracy",#REF!="Fluency",#REF!="Other")),1,0)</formula>
    </cfRule>
  </conditionalFormatting>
  <conditionalFormatting sqref="E828:E830 G828:G830">
    <cfRule type="expression" dxfId="368" priority="389">
      <formula>IF(OR(AND(E828="",F828="",OR(G828="Critical",G828="Major",G828="Minor"))),1,0)</formula>
    </cfRule>
  </conditionalFormatting>
  <conditionalFormatting sqref="G828:G830">
    <cfRule type="expression" dxfId="367" priority="390">
      <formula>IF(AND(OR(G828="",#REF!="Segment"),OR(#REF!="Accuracy",#REF!="Fluency",#REF!="Other")),1,0)</formula>
    </cfRule>
  </conditionalFormatting>
  <conditionalFormatting sqref="E831">
    <cfRule type="expression" dxfId="366" priority="385">
      <formula>IF(OR(AND(E831="",F831="",OR(G831="Critical",G831="Major",G831="Minor"))),1,0)</formula>
    </cfRule>
  </conditionalFormatting>
  <conditionalFormatting sqref="F831">
    <cfRule type="expression" dxfId="365" priority="384">
      <formula>IF(AND(F831="",OR(E831="Accuracy",E831="Fluency",E831="Segment",E831="Other")),1,0)</formula>
    </cfRule>
  </conditionalFormatting>
  <conditionalFormatting sqref="G831">
    <cfRule type="expression" dxfId="364" priority="386">
      <formula>IF(AND(OR(G831="",#REF!="Segment"),OR(#REF!="Accuracy",#REF!="Fluency",#REF!="Other")),1,0)</formula>
    </cfRule>
  </conditionalFormatting>
  <conditionalFormatting sqref="G831">
    <cfRule type="expression" dxfId="363" priority="387">
      <formula>IF(OR(AND(G831="",H830="",OR(I831="Critical",I831="Major",I831="Minor"))),1,0)</formula>
    </cfRule>
  </conditionalFormatting>
  <conditionalFormatting sqref="F831">
    <cfRule type="expression" dxfId="362" priority="388">
      <formula>IF(OR(AND(F831="",G831="",OR(H830="Critical",H830="Major",H830="Minor"))),1,0)</formula>
    </cfRule>
  </conditionalFormatting>
  <conditionalFormatting sqref="E832">
    <cfRule type="expression" dxfId="361" priority="380">
      <formula>IF(OR(AND(E832="",F832="",OR(G832="Critical",G832="Major",G832="Minor"))),1,0)</formula>
    </cfRule>
  </conditionalFormatting>
  <conditionalFormatting sqref="F832">
    <cfRule type="expression" dxfId="360" priority="379">
      <formula>IF(AND(F832="",OR(E832="Accuracy",E832="Fluency",E832="Segment",E832="Other")),1,0)</formula>
    </cfRule>
  </conditionalFormatting>
  <conditionalFormatting sqref="G832">
    <cfRule type="expression" dxfId="359" priority="381">
      <formula>IF(AND(OR(G832="",#REF!="Segment"),OR(#REF!="Accuracy",#REF!="Fluency",#REF!="Other")),1,0)</formula>
    </cfRule>
  </conditionalFormatting>
  <conditionalFormatting sqref="G832">
    <cfRule type="expression" dxfId="358" priority="382">
      <formula>IF(OR(AND(G832="",H831="",OR(I832="Critical",I832="Major",I832="Minor"))),1,0)</formula>
    </cfRule>
  </conditionalFormatting>
  <conditionalFormatting sqref="F832">
    <cfRule type="expression" dxfId="357" priority="383">
      <formula>IF(OR(AND(F832="",G832="",OR(H831="Critical",H831="Major",H831="Minor"))),1,0)</formula>
    </cfRule>
  </conditionalFormatting>
  <conditionalFormatting sqref="F871 F846 F848:F849 F835:F838 F828:F830">
    <cfRule type="expression" dxfId="356" priority="378">
      <formula>IF(OR(AND(F828="",G828="",OR(H828="Critical",H828="Major",H828="Minor"))),1,0)</formula>
    </cfRule>
  </conditionalFormatting>
  <conditionalFormatting sqref="F871 F846 F848:F849 F835:F838 F828:F830">
    <cfRule type="expression" dxfId="355" priority="377">
      <formula>IF(AND(F828="",OR(E828="Accuracy",E828="Fluency",E828="Segment",E828="Other")),1,0)</formula>
    </cfRule>
  </conditionalFormatting>
  <conditionalFormatting sqref="E833">
    <cfRule type="expression" dxfId="354" priority="373">
      <formula>IF(OR(AND(E833="",F833="",OR(G833="Critical",G833="Major",G833="Minor"))),1,0)</formula>
    </cfRule>
  </conditionalFormatting>
  <conditionalFormatting sqref="F833">
    <cfRule type="expression" dxfId="353" priority="372">
      <formula>IF(AND(F833="",OR(E833="Accuracy",E833="Fluency",E833="Segment",E833="Other")),1,0)</formula>
    </cfRule>
  </conditionalFormatting>
  <conditionalFormatting sqref="G833">
    <cfRule type="expression" dxfId="352" priority="374">
      <formula>IF(AND(OR(G833="",#REF!="Segment"),OR(#REF!="Accuracy",#REF!="Fluency",#REF!="Other")),1,0)</formula>
    </cfRule>
  </conditionalFormatting>
  <conditionalFormatting sqref="G833">
    <cfRule type="expression" dxfId="351" priority="375">
      <formula>IF(OR(AND(G833="",H832="",OR(I833="Critical",I833="Major",I833="Minor"))),1,0)</formula>
    </cfRule>
  </conditionalFormatting>
  <conditionalFormatting sqref="F833">
    <cfRule type="expression" dxfId="350" priority="376">
      <formula>IF(OR(AND(F833="",G833="",OR(H832="Critical",H832="Major",H832="Minor"))),1,0)</formula>
    </cfRule>
  </conditionalFormatting>
  <conditionalFormatting sqref="E834">
    <cfRule type="expression" dxfId="349" priority="368">
      <formula>IF(OR(AND(E834="",F834="",OR(G834="Critical",G834="Major",G834="Minor"))),1,0)</formula>
    </cfRule>
  </conditionalFormatting>
  <conditionalFormatting sqref="F834">
    <cfRule type="expression" dxfId="348" priority="367">
      <formula>IF(AND(F834="",OR(E834="Accuracy",E834="Fluency",E834="Segment",E834="Other")),1,0)</formula>
    </cfRule>
  </conditionalFormatting>
  <conditionalFormatting sqref="G834">
    <cfRule type="expression" dxfId="347" priority="369">
      <formula>IF(AND(OR(G834="",#REF!="Segment"),OR(#REF!="Accuracy",#REF!="Fluency",#REF!="Other")),1,0)</formula>
    </cfRule>
  </conditionalFormatting>
  <conditionalFormatting sqref="G834">
    <cfRule type="expression" dxfId="346" priority="370">
      <formula>IF(OR(AND(G834="",H833="",OR(I834="Critical",I834="Major",I834="Minor"))),1,0)</formula>
    </cfRule>
  </conditionalFormatting>
  <conditionalFormatting sqref="F834">
    <cfRule type="expression" dxfId="345" priority="371">
      <formula>IF(OR(AND(F834="",G834="",OR(H833="Critical",H833="Major",H833="Minor"))),1,0)</formula>
    </cfRule>
  </conditionalFormatting>
  <conditionalFormatting sqref="E842:G842">
    <cfRule type="expression" dxfId="344" priority="365">
      <formula>IF(OR(AND(E842="",F842="",OR(G842="Critical",G842="Major",G842="Minor"))),1,0)</formula>
    </cfRule>
  </conditionalFormatting>
  <conditionalFormatting sqref="F842">
    <cfRule type="expression" dxfId="343" priority="364">
      <formula>IF(AND(F842="",OR(E842="Accuracy",E842="Fluency",E842="Segment",E842="Other")),1,0)</formula>
    </cfRule>
  </conditionalFormatting>
  <conditionalFormatting sqref="G842">
    <cfRule type="expression" dxfId="342" priority="366">
      <formula>IF(AND(OR(G842="",#REF!="Segment"),OR(#REF!="Accuracy",#REF!="Fluency",#REF!="Other")),1,0)</formula>
    </cfRule>
  </conditionalFormatting>
  <conditionalFormatting sqref="E835">
    <cfRule type="expression" dxfId="341" priority="361">
      <formula>IF(OR(AND(E835="",F835="",OR(G835="Critical",G835="Major",G835="Minor"))),1,0)</formula>
    </cfRule>
  </conditionalFormatting>
  <conditionalFormatting sqref="G835">
    <cfRule type="expression" dxfId="340" priority="362">
      <formula>IF(AND(OR(G835="",#REF!="Segment"),OR(#REF!="Accuracy",#REF!="Fluency",#REF!="Other")),1,0)</formula>
    </cfRule>
  </conditionalFormatting>
  <conditionalFormatting sqref="G835">
    <cfRule type="expression" dxfId="339" priority="363">
      <formula>IF(OR(AND(G835="",H834="",OR(I835="Critical",I835="Major",I835="Minor"))),1,0)</formula>
    </cfRule>
  </conditionalFormatting>
  <conditionalFormatting sqref="G839">
    <cfRule type="expression" dxfId="338" priority="358">
      <formula>IF(AND(OR(G839="",#REF!="Segment"),OR(#REF!="Accuracy",#REF!="Fluency",#REF!="Other")),1,0)</formula>
    </cfRule>
  </conditionalFormatting>
  <conditionalFormatting sqref="G839">
    <cfRule type="expression" dxfId="337" priority="359">
      <formula>IF(OR(AND(G839="",H838="",OR(I839="Critical",I839="Major",I839="Minor"))),1,0)</formula>
    </cfRule>
  </conditionalFormatting>
  <conditionalFormatting sqref="E840">
    <cfRule type="expression" dxfId="336" priority="352">
      <formula>IF(OR(AND(E840="",F840="",OR(G840="Critical",G840="Major",G840="Minor"))),1,0)</formula>
    </cfRule>
  </conditionalFormatting>
  <conditionalFormatting sqref="F840">
    <cfRule type="expression" dxfId="335" priority="351">
      <formula>IF(AND(F840="",OR(E840="Accuracy",E840="Fluency",E840="Segment",E840="Other")),1,0)</formula>
    </cfRule>
  </conditionalFormatting>
  <conditionalFormatting sqref="G840">
    <cfRule type="expression" dxfId="334" priority="353">
      <formula>IF(AND(OR(G840="",#REF!="Segment"),OR(#REF!="Accuracy",#REF!="Fluency",#REF!="Other")),1,0)</formula>
    </cfRule>
  </conditionalFormatting>
  <conditionalFormatting sqref="G840">
    <cfRule type="expression" dxfId="333" priority="354">
      <formula>IF(OR(AND(G840="",H839="",OR(I840="Critical",I840="Major",I840="Minor"))),1,0)</formula>
    </cfRule>
  </conditionalFormatting>
  <conditionalFormatting sqref="F840">
    <cfRule type="expression" dxfId="332" priority="355">
      <formula>IF(OR(AND(F840="",G840="",OR(H839="Critical",H839="Major",H839="Minor"))),1,0)</formula>
    </cfRule>
  </conditionalFormatting>
  <conditionalFormatting sqref="E841">
    <cfRule type="expression" dxfId="331" priority="347">
      <formula>IF(OR(AND(E841="",F841="",OR(G841="Critical",G841="Major",G841="Minor"))),1,0)</formula>
    </cfRule>
  </conditionalFormatting>
  <conditionalFormatting sqref="F841">
    <cfRule type="expression" dxfId="330" priority="346">
      <formula>IF(AND(F841="",OR(E841="Accuracy",E841="Fluency",E841="Segment",E841="Other")),1,0)</formula>
    </cfRule>
  </conditionalFormatting>
  <conditionalFormatting sqref="G841">
    <cfRule type="expression" dxfId="329" priority="348">
      <formula>IF(AND(OR(G841="",#REF!="Segment"),OR(#REF!="Accuracy",#REF!="Fluency",#REF!="Other")),1,0)</formula>
    </cfRule>
  </conditionalFormatting>
  <conditionalFormatting sqref="G841">
    <cfRule type="expression" dxfId="328" priority="349">
      <formula>IF(OR(AND(G841="",H840="",OR(I841="Critical",I841="Major",I841="Minor"))),1,0)</formula>
    </cfRule>
  </conditionalFormatting>
  <conditionalFormatting sqref="F841">
    <cfRule type="expression" dxfId="327" priority="350">
      <formula>IF(OR(AND(F841="",G841="",OR(H840="Critical",H840="Major",H840="Minor"))),1,0)</formula>
    </cfRule>
  </conditionalFormatting>
  <conditionalFormatting sqref="E843">
    <cfRule type="expression" dxfId="326" priority="342">
      <formula>IF(OR(AND(E843="",F843="",OR(G843="Critical",G843="Major",G843="Minor"))),1,0)</formula>
    </cfRule>
  </conditionalFormatting>
  <conditionalFormatting sqref="F843">
    <cfRule type="expression" dxfId="325" priority="341">
      <formula>IF(AND(F843="",OR(E843="Accuracy",E843="Fluency",E843="Segment",E843="Other")),1,0)</formula>
    </cfRule>
  </conditionalFormatting>
  <conditionalFormatting sqref="G843">
    <cfRule type="expression" dxfId="324" priority="343">
      <formula>IF(AND(OR(G843="",#REF!="Segment"),OR(#REF!="Accuracy",#REF!="Fluency",#REF!="Other")),1,0)</formula>
    </cfRule>
  </conditionalFormatting>
  <conditionalFormatting sqref="G843">
    <cfRule type="expression" dxfId="323" priority="344">
      <formula>IF(OR(AND(G843="",H842="",OR(I843="Critical",I843="Major",I843="Minor"))),1,0)</formula>
    </cfRule>
  </conditionalFormatting>
  <conditionalFormatting sqref="F843">
    <cfRule type="expression" dxfId="322" priority="345">
      <formula>IF(OR(AND(F843="",G843="",OR(H842="Critical",H842="Major",H842="Minor"))),1,0)</formula>
    </cfRule>
  </conditionalFormatting>
  <conditionalFormatting sqref="E836">
    <cfRule type="expression" dxfId="321" priority="338">
      <formula>IF(OR(AND(E836="",F836="",OR(G836="Critical",G836="Major",G836="Minor"))),1,0)</formula>
    </cfRule>
  </conditionalFormatting>
  <conditionalFormatting sqref="G836">
    <cfRule type="expression" dxfId="320" priority="339">
      <formula>IF(AND(OR(G836="",#REF!="Segment"),OR(#REF!="Accuracy",#REF!="Fluency",#REF!="Other")),1,0)</formula>
    </cfRule>
  </conditionalFormatting>
  <conditionalFormatting sqref="G836">
    <cfRule type="expression" dxfId="319" priority="340">
      <formula>IF(OR(AND(G836="",H835="",OR(I836="Critical",I836="Major",I836="Minor"))),1,0)</formula>
    </cfRule>
  </conditionalFormatting>
  <conditionalFormatting sqref="E837">
    <cfRule type="expression" dxfId="318" priority="335">
      <formula>IF(OR(AND(E837="",F837="",OR(G837="Critical",G837="Major",G837="Minor"))),1,0)</formula>
    </cfRule>
  </conditionalFormatting>
  <conditionalFormatting sqref="G837">
    <cfRule type="expression" dxfId="317" priority="336">
      <formula>IF(AND(OR(G837="",#REF!="Segment"),OR(#REF!="Accuracy",#REF!="Fluency",#REF!="Other")),1,0)</formula>
    </cfRule>
  </conditionalFormatting>
  <conditionalFormatting sqref="G837">
    <cfRule type="expression" dxfId="316" priority="337">
      <formula>IF(OR(AND(G837="",H836="",OR(I837="Critical",I837="Major",I837="Minor"))),1,0)</formula>
    </cfRule>
  </conditionalFormatting>
  <conditionalFormatting sqref="E838">
    <cfRule type="expression" dxfId="315" priority="332">
      <formula>IF(OR(AND(E838="",F838="",OR(G838="Critical",G838="Major",G838="Minor"))),1,0)</formula>
    </cfRule>
  </conditionalFormatting>
  <conditionalFormatting sqref="G838">
    <cfRule type="expression" dxfId="314" priority="333">
      <formula>IF(AND(OR(G838="",#REF!="Segment"),OR(#REF!="Accuracy",#REF!="Fluency",#REF!="Other")),1,0)</formula>
    </cfRule>
  </conditionalFormatting>
  <conditionalFormatting sqref="G838">
    <cfRule type="expression" dxfId="313" priority="334">
      <formula>IF(OR(AND(G838="",H837="",OR(I838="Critical",I838="Major",I838="Minor"))),1,0)</formula>
    </cfRule>
  </conditionalFormatting>
  <conditionalFormatting sqref="E844">
    <cfRule type="expression" dxfId="312" priority="328">
      <formula>IF(OR(AND(E844="",F844="",OR(G844="Critical",G844="Major",G844="Minor"))),1,0)</formula>
    </cfRule>
  </conditionalFormatting>
  <conditionalFormatting sqref="F844">
    <cfRule type="expression" dxfId="311" priority="327">
      <formula>IF(AND(F844="",OR(E844="Accuracy",E844="Fluency",E844="Segment",E844="Other")),1,0)</formula>
    </cfRule>
  </conditionalFormatting>
  <conditionalFormatting sqref="G844">
    <cfRule type="expression" dxfId="310" priority="329">
      <formula>IF(AND(OR(G844="",#REF!="Segment"),OR(#REF!="Accuracy",#REF!="Fluency",#REF!="Other")),1,0)</formula>
    </cfRule>
  </conditionalFormatting>
  <conditionalFormatting sqref="G844">
    <cfRule type="expression" dxfId="309" priority="330">
      <formula>IF(OR(AND(G844="",H843="",OR(I844="Critical",I844="Major",I844="Minor"))),1,0)</formula>
    </cfRule>
  </conditionalFormatting>
  <conditionalFormatting sqref="F844">
    <cfRule type="expression" dxfId="308" priority="331">
      <formula>IF(OR(AND(F844="",G844="",OR(H843="Critical",H843="Major",H843="Minor"))),1,0)</formula>
    </cfRule>
  </conditionalFormatting>
  <conditionalFormatting sqref="E845:G845">
    <cfRule type="expression" dxfId="307" priority="325">
      <formula>IF(OR(AND(E845="",F845="",OR(G845="Critical",G845="Major",G845="Minor"))),1,0)</formula>
    </cfRule>
  </conditionalFormatting>
  <conditionalFormatting sqref="F845">
    <cfRule type="expression" dxfId="306" priority="324">
      <formula>IF(AND(F845="",OR(E845="Accuracy",E845="Fluency",E845="Segment",E845="Other")),1,0)</formula>
    </cfRule>
  </conditionalFormatting>
  <conditionalFormatting sqref="G845">
    <cfRule type="expression" dxfId="305" priority="326">
      <formula>IF(AND(OR(G845="",#REF!="Segment"),OR(#REF!="Accuracy",#REF!="Fluency",#REF!="Other")),1,0)</formula>
    </cfRule>
  </conditionalFormatting>
  <conditionalFormatting sqref="E846">
    <cfRule type="expression" dxfId="304" priority="321">
      <formula>IF(OR(AND(E846="",F846="",OR(G846="Critical",G846="Major",G846="Minor"))),1,0)</formula>
    </cfRule>
  </conditionalFormatting>
  <conditionalFormatting sqref="G846">
    <cfRule type="expression" dxfId="303" priority="322">
      <formula>IF(AND(OR(G846="",#REF!="Segment"),OR(#REF!="Accuracy",#REF!="Fluency",#REF!="Other")),1,0)</formula>
    </cfRule>
  </conditionalFormatting>
  <conditionalFormatting sqref="G846">
    <cfRule type="expression" dxfId="302" priority="323">
      <formula>IF(OR(AND(G846="",H845="",OR(I846="Critical",I846="Major",I846="Minor"))),1,0)</formula>
    </cfRule>
  </conditionalFormatting>
  <conditionalFormatting sqref="E850">
    <cfRule type="expression" dxfId="301" priority="317">
      <formula>IF(OR(AND(E850="",F850="",OR(G850="Critical",G850="Major",G850="Minor"))),1,0)</formula>
    </cfRule>
  </conditionalFormatting>
  <conditionalFormatting sqref="F850">
    <cfRule type="expression" dxfId="300" priority="316">
      <formula>IF(AND(F850="",OR(E850="Accuracy",E850="Fluency",E850="Segment",E850="Other")),1,0)</formula>
    </cfRule>
  </conditionalFormatting>
  <conditionalFormatting sqref="G850">
    <cfRule type="expression" dxfId="299" priority="318">
      <formula>IF(AND(OR(G850="",#REF!="Segment"),OR(#REF!="Accuracy",#REF!="Fluency",#REF!="Other")),1,0)</formula>
    </cfRule>
  </conditionalFormatting>
  <conditionalFormatting sqref="G850">
    <cfRule type="expression" dxfId="298" priority="319">
      <formula>IF(OR(AND(G850="",H849="",OR(I850="Critical",I850="Major",I850="Minor"))),1,0)</formula>
    </cfRule>
  </conditionalFormatting>
  <conditionalFormatting sqref="F850">
    <cfRule type="expression" dxfId="297" priority="320">
      <formula>IF(OR(AND(F850="",G850="",OR(H849="Critical",H849="Major",H849="Minor"))),1,0)</formula>
    </cfRule>
  </conditionalFormatting>
  <conditionalFormatting sqref="E851">
    <cfRule type="expression" dxfId="296" priority="312">
      <formula>IF(OR(AND(E851="",F851="",OR(G851="Critical",G851="Major",G851="Minor"))),1,0)</formula>
    </cfRule>
  </conditionalFormatting>
  <conditionalFormatting sqref="F851">
    <cfRule type="expression" dxfId="295" priority="311">
      <formula>IF(AND(F851="",OR(E851="Accuracy",E851="Fluency",E851="Segment",E851="Other")),1,0)</formula>
    </cfRule>
  </conditionalFormatting>
  <conditionalFormatting sqref="G851">
    <cfRule type="expression" dxfId="294" priority="313">
      <formula>IF(AND(OR(G851="",#REF!="Segment"),OR(#REF!="Accuracy",#REF!="Fluency",#REF!="Other")),1,0)</formula>
    </cfRule>
  </conditionalFormatting>
  <conditionalFormatting sqref="G851">
    <cfRule type="expression" dxfId="293" priority="314">
      <formula>IF(OR(AND(G851="",H850="",OR(I851="Critical",I851="Major",I851="Minor"))),1,0)</formula>
    </cfRule>
  </conditionalFormatting>
  <conditionalFormatting sqref="F851">
    <cfRule type="expression" dxfId="292" priority="315">
      <formula>IF(OR(AND(F851="",G851="",OR(H850="Critical",H850="Major",H850="Minor"))),1,0)</formula>
    </cfRule>
  </conditionalFormatting>
  <conditionalFormatting sqref="E848:E849">
    <cfRule type="expression" dxfId="291" priority="308">
      <formula>IF(OR(AND(E848="",F848="",OR(G848="Critical",G848="Major",G848="Minor"))),1,0)</formula>
    </cfRule>
  </conditionalFormatting>
  <conditionalFormatting sqref="G848:G849">
    <cfRule type="expression" dxfId="290" priority="309">
      <formula>IF(AND(OR(G848="",#REF!="Segment"),OR(#REF!="Accuracy",#REF!="Fluency",#REF!="Other")),1,0)</formula>
    </cfRule>
  </conditionalFormatting>
  <conditionalFormatting sqref="G848:G849">
    <cfRule type="expression" dxfId="289" priority="310">
      <formula>IF(OR(AND(G848="",H847="",OR(I848="Critical",I848="Major",I848="Minor"))),1,0)</formula>
    </cfRule>
  </conditionalFormatting>
  <conditionalFormatting sqref="E852">
    <cfRule type="expression" dxfId="288" priority="306">
      <formula>IF(OR(AND(E852="",F852="",OR(G852="Critical",G852="Major",G852="Minor"))),1,0)</formula>
    </cfRule>
  </conditionalFormatting>
  <conditionalFormatting sqref="F852">
    <cfRule type="expression" dxfId="287" priority="305">
      <formula>IF(AND(F852="",OR(E852="Accuracy",E852="Fluency",E852="Segment",E852="Other")),1,0)</formula>
    </cfRule>
  </conditionalFormatting>
  <conditionalFormatting sqref="F852">
    <cfRule type="expression" dxfId="286" priority="307">
      <formula>IF(OR(AND(F852="",G852="",OR(H851="Critical",H851="Major",H851="Minor"))),1,0)</formula>
    </cfRule>
  </conditionalFormatting>
  <conditionalFormatting sqref="E862:G862">
    <cfRule type="expression" dxfId="285" priority="303">
      <formula>IF(OR(AND(E862="",F862="",OR(G862="Critical",G862="Major",G862="Minor"))),1,0)</formula>
    </cfRule>
  </conditionalFormatting>
  <conditionalFormatting sqref="F862">
    <cfRule type="expression" dxfId="284" priority="302">
      <formula>IF(AND(F862="",OR(E862="Accuracy",E862="Fluency",E862="Segment",E862="Other")),1,0)</formula>
    </cfRule>
  </conditionalFormatting>
  <conditionalFormatting sqref="G862">
    <cfRule type="expression" dxfId="283" priority="304">
      <formula>IF(AND(OR(G862="",#REF!="Segment"),OR(#REF!="Accuracy",#REF!="Fluency",#REF!="Other")),1,0)</formula>
    </cfRule>
  </conditionalFormatting>
  <conditionalFormatting sqref="E859:G859">
    <cfRule type="expression" dxfId="282" priority="300">
      <formula>IF(OR(AND(E859="",F859="",OR(G859="Critical",G859="Major",G859="Minor"))),1,0)</formula>
    </cfRule>
  </conditionalFormatting>
  <conditionalFormatting sqref="F859">
    <cfRule type="expression" dxfId="281" priority="299">
      <formula>IF(AND(F859="",OR(E859="Accuracy",E859="Fluency",E859="Segment",E859="Other")),1,0)</formula>
    </cfRule>
  </conditionalFormatting>
  <conditionalFormatting sqref="G859">
    <cfRule type="expression" dxfId="280" priority="301">
      <formula>IF(AND(OR(G859="",#REF!="Segment"),OR(#REF!="Accuracy",#REF!="Fluency",#REF!="Other")),1,0)</formula>
    </cfRule>
  </conditionalFormatting>
  <conditionalFormatting sqref="G860">
    <cfRule type="expression" dxfId="279" priority="297">
      <formula>IF(OR(AND(G860="",H860="",OR(I860="Critical",I860="Major",I860="Minor"))),1,0)</formula>
    </cfRule>
  </conditionalFormatting>
  <conditionalFormatting sqref="G860">
    <cfRule type="expression" dxfId="278" priority="298">
      <formula>IF(AND(OR(G860="",#REF!="Segment"),OR(#REF!="Accuracy",#REF!="Fluency",#REF!="Other")),1,0)</formula>
    </cfRule>
  </conditionalFormatting>
  <conditionalFormatting sqref="G863">
    <cfRule type="expression" dxfId="277" priority="294">
      <formula>IF(OR(AND(G863="",H863="",OR(I863="Critical",I863="Major",I863="Minor"))),1,0)</formula>
    </cfRule>
  </conditionalFormatting>
  <conditionalFormatting sqref="G863">
    <cfRule type="expression" dxfId="276" priority="295">
      <formula>IF(AND(OR(G863="",#REF!="Segment"),OR(#REF!="Accuracy",#REF!="Fluency",#REF!="Other")),1,0)</formula>
    </cfRule>
  </conditionalFormatting>
  <conditionalFormatting sqref="E864:G864">
    <cfRule type="expression" dxfId="275" priority="290">
      <formula>IF(OR(AND(E864="",F864="",OR(G864="Critical",G864="Major",G864="Minor"))),1,0)</formula>
    </cfRule>
  </conditionalFormatting>
  <conditionalFormatting sqref="F864">
    <cfRule type="expression" dxfId="274" priority="289">
      <formula>IF(AND(F864="",OR(E864="Accuracy",E864="Fluency",E864="Segment",E864="Other")),1,0)</formula>
    </cfRule>
  </conditionalFormatting>
  <conditionalFormatting sqref="G864">
    <cfRule type="expression" dxfId="273" priority="291">
      <formula>IF(AND(OR(G864="",#REF!="Segment"),OR(#REF!="Accuracy",#REF!="Fluency",#REF!="Other")),1,0)</formula>
    </cfRule>
  </conditionalFormatting>
  <conditionalFormatting sqref="E865:G865">
    <cfRule type="expression" dxfId="272" priority="287">
      <formula>IF(OR(AND(E865="",F865="",OR(G865="Critical",G865="Major",G865="Minor"))),1,0)</formula>
    </cfRule>
  </conditionalFormatting>
  <conditionalFormatting sqref="F865">
    <cfRule type="expression" dxfId="271" priority="286">
      <formula>IF(AND(F865="",OR(E865="Accuracy",E865="Fluency",E865="Segment",E865="Other")),1,0)</formula>
    </cfRule>
  </conditionalFormatting>
  <conditionalFormatting sqref="G865">
    <cfRule type="expression" dxfId="270" priority="288">
      <formula>IF(AND(OR(G865="",#REF!="Segment"),OR(#REF!="Accuracy",#REF!="Fluency",#REF!="Other")),1,0)</formula>
    </cfRule>
  </conditionalFormatting>
  <conditionalFormatting sqref="G866">
    <cfRule type="expression" dxfId="269" priority="285">
      <formula>IF(AND(OR(G866="",#REF!="Segment"),OR(#REF!="Accuracy",#REF!="Fluency",#REF!="Other")),1,0)</formula>
    </cfRule>
  </conditionalFormatting>
  <conditionalFormatting sqref="E866:G866">
    <cfRule type="expression" dxfId="268" priority="284">
      <formula>IF(OR(AND(E866="",F866="",OR(G866="Critical",G866="Major",G866="Minor"))),1,0)</formula>
    </cfRule>
  </conditionalFormatting>
  <conditionalFormatting sqref="F866">
    <cfRule type="expression" dxfId="267" priority="283">
      <formula>IF(AND(F866="",OR(E866="Accuracy",E866="Fluency",E866="Segment",E866="Other")),1,0)</formula>
    </cfRule>
  </conditionalFormatting>
  <conditionalFormatting sqref="E867:G867">
    <cfRule type="expression" dxfId="266" priority="281">
      <formula>IF(OR(AND(E867="",F867="",OR(G867="Critical",G867="Major",G867="Minor"))),1,0)</formula>
    </cfRule>
  </conditionalFormatting>
  <conditionalFormatting sqref="F867">
    <cfRule type="expression" dxfId="265" priority="280">
      <formula>IF(AND(F867="",OR(E867="Accuracy",E867="Fluency",E867="Segment",E867="Other")),1,0)</formula>
    </cfRule>
  </conditionalFormatting>
  <conditionalFormatting sqref="G867">
    <cfRule type="expression" dxfId="264" priority="282">
      <formula>IF(AND(OR(G867="",#REF!="Segment"),OR(#REF!="Accuracy",#REF!="Fluency",#REF!="Other")),1,0)</formula>
    </cfRule>
  </conditionalFormatting>
  <conditionalFormatting sqref="E868:G868">
    <cfRule type="expression" dxfId="263" priority="278">
      <formula>IF(OR(AND(E868="",F868="",OR(G868="Critical",G868="Major",G868="Minor"))),1,0)</formula>
    </cfRule>
  </conditionalFormatting>
  <conditionalFormatting sqref="F868">
    <cfRule type="expression" dxfId="262" priority="277">
      <formula>IF(AND(F868="",OR(E868="Accuracy",E868="Fluency",E868="Segment",E868="Other")),1,0)</formula>
    </cfRule>
  </conditionalFormatting>
  <conditionalFormatting sqref="G868">
    <cfRule type="expression" dxfId="261" priority="279">
      <formula>IF(AND(OR(G868="",#REF!="Segment"),OR(#REF!="Accuracy",#REF!="Fluency",#REF!="Other")),1,0)</formula>
    </cfRule>
  </conditionalFormatting>
  <conditionalFormatting sqref="E869:G869">
    <cfRule type="expression" dxfId="260" priority="275">
      <formula>IF(OR(AND(E869="",F869="",OR(G869="Critical",G869="Major",G869="Minor"))),1,0)</formula>
    </cfRule>
  </conditionalFormatting>
  <conditionalFormatting sqref="F869">
    <cfRule type="expression" dxfId="259" priority="274">
      <formula>IF(AND(F869="",OR(E869="Accuracy",E869="Fluency",E869="Segment",E869="Other")),1,0)</formula>
    </cfRule>
  </conditionalFormatting>
  <conditionalFormatting sqref="G869">
    <cfRule type="expression" dxfId="258" priority="276">
      <formula>IF(AND(OR(G869="",#REF!="Segment"),OR(#REF!="Accuracy",#REF!="Fluency",#REF!="Other")),1,0)</formula>
    </cfRule>
  </conditionalFormatting>
  <conditionalFormatting sqref="G872">
    <cfRule type="expression" dxfId="257" priority="271">
      <formula>IF(AND(OR(G872="",#REF!="Segment"),OR(#REF!="Accuracy",#REF!="Fluency",#REF!="Other")),1,0)</formula>
    </cfRule>
  </conditionalFormatting>
  <conditionalFormatting sqref="G872">
    <cfRule type="expression" dxfId="256" priority="272">
      <formula>IF(OR(AND(G872="",H871="",OR(I872="Critical",I872="Major",I872="Minor"))),1,0)</formula>
    </cfRule>
  </conditionalFormatting>
  <conditionalFormatting sqref="E874:G874">
    <cfRule type="expression" dxfId="255" priority="267">
      <formula>IF(OR(AND(E874="",F874="",OR(G874="Critical",G874="Major",G874="Minor"))),1,0)</formula>
    </cfRule>
  </conditionalFormatting>
  <conditionalFormatting sqref="F874">
    <cfRule type="expression" dxfId="254" priority="266">
      <formula>IF(AND(F874="",OR(E874="Accuracy",E874="Fluency",E874="Segment",E874="Other")),1,0)</formula>
    </cfRule>
  </conditionalFormatting>
  <conditionalFormatting sqref="G874">
    <cfRule type="expression" dxfId="253" priority="268">
      <formula>IF(AND(OR(G874="",#REF!="Segment"),OR(#REF!="Accuracy",#REF!="Fluency",#REF!="Other")),1,0)</formula>
    </cfRule>
  </conditionalFormatting>
  <conditionalFormatting sqref="E922:G922 E909:E910 E912 G912 G909:G910 E903:G904 E905 G905 E899:F899 E890:G894 E875 G875">
    <cfRule type="expression" dxfId="252" priority="263">
      <formula>IF(OR(AND(E875="",F875="",OR(G875="Critical",G875="Major",G875="Minor"))),1,0)</formula>
    </cfRule>
  </conditionalFormatting>
  <conditionalFormatting sqref="F922 F903:F904 F899 F890:F894">
    <cfRule type="expression" dxfId="251" priority="262">
      <formula>IF(AND(F890="",OR(E890="Accuracy",E890="Fluency",E890="Segment",E890="Other")),1,0)</formula>
    </cfRule>
  </conditionalFormatting>
  <conditionalFormatting sqref="H875 H878:H879">
    <cfRule type="expression" dxfId="250" priority="264">
      <formula>IF(OR(AND(H875="",J875="",OR(#REF!="Critical",#REF!="Major",#REF!="Minor"))),1,0)</formula>
    </cfRule>
  </conditionalFormatting>
  <conditionalFormatting sqref="G922 G909:G910 G912 G903:G905 G890:G894 G875">
    <cfRule type="expression" dxfId="249" priority="265">
      <formula>IF(AND(OR(G875="",#REF!="Segment"),OR(#REF!="Accuracy",#REF!="Fluency",#REF!="Other")),1,0)</formula>
    </cfRule>
  </conditionalFormatting>
  <conditionalFormatting sqref="E878:G879">
    <cfRule type="expression" dxfId="248" priority="260">
      <formula>IF(OR(AND(E878="",F878="",OR(G878="Critical",G878="Major",G878="Minor"))),1,0)</formula>
    </cfRule>
  </conditionalFormatting>
  <conditionalFormatting sqref="F878:F879">
    <cfRule type="expression" dxfId="247" priority="259">
      <formula>IF(AND(F878="",OR(E878="Accuracy",E878="Fluency",E878="Segment",E878="Other")),1,0)</formula>
    </cfRule>
  </conditionalFormatting>
  <conditionalFormatting sqref="G878:G879">
    <cfRule type="expression" dxfId="246" priority="261">
      <formula>IF(AND(OR(G878="",#REF!="Segment"),OR(#REF!="Accuracy",#REF!="Fluency",#REF!="Other")),1,0)</formula>
    </cfRule>
  </conditionalFormatting>
  <conditionalFormatting sqref="H876:H877">
    <cfRule type="expression" dxfId="245" priority="258">
      <formula>IF(OR(AND(H876="",J876="",OR(#REF!="Critical",#REF!="Major",#REF!="Minor"))),1,0)</formula>
    </cfRule>
  </conditionalFormatting>
  <conditionalFormatting sqref="E876:G876">
    <cfRule type="expression" dxfId="244" priority="256">
      <formula>IF(OR(AND(E876="",F876="",OR(G876="Critical",G876="Major",G876="Minor"))),1,0)</formula>
    </cfRule>
  </conditionalFormatting>
  <conditionalFormatting sqref="F876">
    <cfRule type="expression" dxfId="243" priority="255">
      <formula>IF(AND(F876="",OR(E876="Accuracy",E876="Fluency",E876="Segment",E876="Other")),1,0)</formula>
    </cfRule>
  </conditionalFormatting>
  <conditionalFormatting sqref="G876">
    <cfRule type="expression" dxfId="242" priority="257">
      <formula>IF(AND(OR(G876="",#REF!="Segment"),OR(#REF!="Accuracy",#REF!="Fluency",#REF!="Other")),1,0)</formula>
    </cfRule>
  </conditionalFormatting>
  <conditionalFormatting sqref="E877:G877">
    <cfRule type="expression" dxfId="241" priority="253">
      <formula>IF(OR(AND(E877="",F877="",OR(G877="Critical",G877="Major",G877="Minor"))),1,0)</formula>
    </cfRule>
  </conditionalFormatting>
  <conditionalFormatting sqref="F877">
    <cfRule type="expression" dxfId="240" priority="252">
      <formula>IF(AND(F877="",OR(E877="Accuracy",E877="Fluency",E877="Segment",E877="Other")),1,0)</formula>
    </cfRule>
  </conditionalFormatting>
  <conditionalFormatting sqref="G877">
    <cfRule type="expression" dxfId="239" priority="254">
      <formula>IF(AND(OR(G877="",#REF!="Segment"),OR(#REF!="Accuracy",#REF!="Fluency",#REF!="Other")),1,0)</formula>
    </cfRule>
  </conditionalFormatting>
  <conditionalFormatting sqref="E880:G880">
    <cfRule type="expression" dxfId="238" priority="250">
      <formula>IF(OR(AND(E880="",F880="",OR(G880="Critical",G880="Major",G880="Minor"))),1,0)</formula>
    </cfRule>
  </conditionalFormatting>
  <conditionalFormatting sqref="F880">
    <cfRule type="expression" dxfId="237" priority="249">
      <formula>IF(AND(F880="",OR(E880="Accuracy",E880="Fluency",E880="Segment",E880="Other")),1,0)</formula>
    </cfRule>
  </conditionalFormatting>
  <conditionalFormatting sqref="G880">
    <cfRule type="expression" dxfId="236" priority="251">
      <formula>IF(AND(OR(G880="",#REF!="Segment"),OR(#REF!="Accuracy",#REF!="Fluency",#REF!="Other")),1,0)</formula>
    </cfRule>
  </conditionalFormatting>
  <conditionalFormatting sqref="E881:G881">
    <cfRule type="expression" dxfId="235" priority="247">
      <formula>IF(OR(AND(E881="",F881="",OR(G881="Critical",G881="Major",G881="Minor"))),1,0)</formula>
    </cfRule>
  </conditionalFormatting>
  <conditionalFormatting sqref="F881">
    <cfRule type="expression" dxfId="234" priority="246">
      <formula>IF(AND(F881="",OR(E881="Accuracy",E881="Fluency",E881="Segment",E881="Other")),1,0)</formula>
    </cfRule>
  </conditionalFormatting>
  <conditionalFormatting sqref="G881">
    <cfRule type="expression" dxfId="233" priority="248">
      <formula>IF(AND(OR(G881="",#REF!="Segment"),OR(#REF!="Accuracy",#REF!="Fluency",#REF!="Other")),1,0)</formula>
    </cfRule>
  </conditionalFormatting>
  <conditionalFormatting sqref="E882:G882">
    <cfRule type="expression" dxfId="232" priority="244">
      <formula>IF(OR(AND(E882="",F882="",OR(G882="Critical",G882="Major",G882="Minor"))),1,0)</formula>
    </cfRule>
  </conditionalFormatting>
  <conditionalFormatting sqref="F882">
    <cfRule type="expression" dxfId="231" priority="243">
      <formula>IF(AND(F882="",OR(E882="Accuracy",E882="Fluency",E882="Segment",E882="Other")),1,0)</formula>
    </cfRule>
  </conditionalFormatting>
  <conditionalFormatting sqref="G882">
    <cfRule type="expression" dxfId="230" priority="245">
      <formula>IF(AND(OR(G882="",#REF!="Segment"),OR(#REF!="Accuracy",#REF!="Fluency",#REF!="Other")),1,0)</formula>
    </cfRule>
  </conditionalFormatting>
  <conditionalFormatting sqref="G883">
    <cfRule type="expression" dxfId="229" priority="241">
      <formula>IF(OR(AND(G883="",H883="",OR(I883="Critical",I883="Major",I883="Minor"))),1,0)</formula>
    </cfRule>
  </conditionalFormatting>
  <conditionalFormatting sqref="G883">
    <cfRule type="expression" dxfId="228" priority="242">
      <formula>IF(AND(OR(G883="",#REF!="Segment"),OR(#REF!="Accuracy",#REF!="Fluency",#REF!="Other")),1,0)</formula>
    </cfRule>
  </conditionalFormatting>
  <conditionalFormatting sqref="E884:G884">
    <cfRule type="expression" dxfId="227" priority="238">
      <formula>IF(OR(AND(E884="",F884="",OR(G884="Critical",G884="Major",G884="Minor"))),1,0)</formula>
    </cfRule>
  </conditionalFormatting>
  <conditionalFormatting sqref="F884">
    <cfRule type="expression" dxfId="226" priority="237">
      <formula>IF(AND(F884="",OR(E884="Accuracy",E884="Fluency",E884="Segment",E884="Other")),1,0)</formula>
    </cfRule>
  </conditionalFormatting>
  <conditionalFormatting sqref="G884">
    <cfRule type="expression" dxfId="225" priority="239">
      <formula>IF(AND(OR(G884="",#REF!="Segment"),OR(#REF!="Accuracy",#REF!="Fluency",#REF!="Other")),1,0)</formula>
    </cfRule>
  </conditionalFormatting>
  <conditionalFormatting sqref="E887:G887">
    <cfRule type="expression" dxfId="224" priority="235">
      <formula>IF(OR(AND(E887="",F887="",OR(G887="Critical",G887="Major",G887="Minor"))),1,0)</formula>
    </cfRule>
  </conditionalFormatting>
  <conditionalFormatting sqref="F887">
    <cfRule type="expression" dxfId="223" priority="234">
      <formula>IF(AND(F887="",OR(E887="Accuracy",E887="Fluency",E887="Segment",E887="Other")),1,0)</formula>
    </cfRule>
  </conditionalFormatting>
  <conditionalFormatting sqref="G887">
    <cfRule type="expression" dxfId="222" priority="236">
      <formula>IF(AND(OR(G887="",#REF!="Segment"),OR(#REF!="Accuracy",#REF!="Fluency",#REF!="Other")),1,0)</formula>
    </cfRule>
  </conditionalFormatting>
  <conditionalFormatting sqref="E885:G885">
    <cfRule type="expression" dxfId="221" priority="232">
      <formula>IF(OR(AND(E885="",F885="",OR(G885="Critical",G885="Major",G885="Minor"))),1,0)</formula>
    </cfRule>
  </conditionalFormatting>
  <conditionalFormatting sqref="F885">
    <cfRule type="expression" dxfId="220" priority="231">
      <formula>IF(AND(F885="",OR(E885="Accuracy",E885="Fluency",E885="Segment",E885="Other")),1,0)</formula>
    </cfRule>
  </conditionalFormatting>
  <conditionalFormatting sqref="G885">
    <cfRule type="expression" dxfId="219" priority="233">
      <formula>IF(AND(OR(G885="",#REF!="Segment"),OR(#REF!="Accuracy",#REF!="Fluency",#REF!="Other")),1,0)</formula>
    </cfRule>
  </conditionalFormatting>
  <conditionalFormatting sqref="G886">
    <cfRule type="expression" dxfId="218" priority="229">
      <formula>IF(OR(AND(G886="",H886="",OR(I886="Critical",I886="Major",I886="Minor"))),1,0)</formula>
    </cfRule>
  </conditionalFormatting>
  <conditionalFormatting sqref="G886">
    <cfRule type="expression" dxfId="217" priority="230">
      <formula>IF(AND(OR(G886="",#REF!="Segment"),OR(#REF!="Accuracy",#REF!="Fluency",#REF!="Other")),1,0)</formula>
    </cfRule>
  </conditionalFormatting>
  <conditionalFormatting sqref="E888:G888">
    <cfRule type="expression" dxfId="216" priority="226">
      <formula>IF(OR(AND(E888="",F888="",OR(G888="Critical",G888="Major",G888="Minor"))),1,0)</formula>
    </cfRule>
  </conditionalFormatting>
  <conditionalFormatting sqref="F888">
    <cfRule type="expression" dxfId="215" priority="225">
      <formula>IF(AND(F888="",OR(E888="Accuracy",E888="Fluency",E888="Segment",E888="Other")),1,0)</formula>
    </cfRule>
  </conditionalFormatting>
  <conditionalFormatting sqref="G888">
    <cfRule type="expression" dxfId="214" priority="227">
      <formula>IF(AND(OR(G888="",#REF!="Segment"),OR(#REF!="Accuracy",#REF!="Fluency",#REF!="Other")),1,0)</formula>
    </cfRule>
  </conditionalFormatting>
  <conditionalFormatting sqref="E889:G889">
    <cfRule type="expression" dxfId="213" priority="223">
      <formula>IF(OR(AND(E889="",F889="",OR(G889="Critical",G889="Major",G889="Minor"))),1,0)</formula>
    </cfRule>
  </conditionalFormatting>
  <conditionalFormatting sqref="F889">
    <cfRule type="expression" dxfId="212" priority="222">
      <formula>IF(AND(F889="",OR(E889="Accuracy",E889="Fluency",E889="Segment",E889="Other")),1,0)</formula>
    </cfRule>
  </conditionalFormatting>
  <conditionalFormatting sqref="G889">
    <cfRule type="expression" dxfId="211" priority="224">
      <formula>IF(AND(OR(G889="",#REF!="Segment"),OR(#REF!="Accuracy",#REF!="Fluency",#REF!="Other")),1,0)</formula>
    </cfRule>
  </conditionalFormatting>
  <conditionalFormatting sqref="G896">
    <cfRule type="expression" dxfId="210" priority="220">
      <formula>IF(OR(AND(G896="",H896="",OR(I896="Critical",I896="Major",I896="Minor"))),1,0)</formula>
    </cfRule>
  </conditionalFormatting>
  <conditionalFormatting sqref="G896">
    <cfRule type="expression" dxfId="209" priority="221">
      <formula>IF(AND(OR(G896="",#REF!="Segment"),OR(#REF!="Accuracy",#REF!="Fluency",#REF!="Other")),1,0)</formula>
    </cfRule>
  </conditionalFormatting>
  <conditionalFormatting sqref="F938 F930:F931 F925 F909:F912 F905 E895:G895 E896:F896">
    <cfRule type="expression" dxfId="208" priority="218">
      <formula>IF(OR(AND(E895="",F895="",OR(G895="Critical",G895="Major",G895="Minor"))),1,0)</formula>
    </cfRule>
  </conditionalFormatting>
  <conditionalFormatting sqref="F938 F930:F931 F925 F909:F912 F905 F895:F896">
    <cfRule type="expression" dxfId="207" priority="217">
      <formula>IF(AND(F895="",OR(E895="Accuracy",E895="Fluency",E895="Segment",E895="Other")),1,0)</formula>
    </cfRule>
  </conditionalFormatting>
  <conditionalFormatting sqref="G895">
    <cfRule type="expression" dxfId="206" priority="219">
      <formula>IF(AND(OR(G895="",#REF!="Segment"),OR(#REF!="Accuracy",#REF!="Fluency",#REF!="Other")),1,0)</formula>
    </cfRule>
  </conditionalFormatting>
  <conditionalFormatting sqref="E898:G898">
    <cfRule type="expression" dxfId="205" priority="215">
      <formula>IF(OR(AND(E898="",F898="",OR(G898="Critical",G898="Major",G898="Minor"))),1,0)</formula>
    </cfRule>
  </conditionalFormatting>
  <conditionalFormatting sqref="F898">
    <cfRule type="expression" dxfId="204" priority="214">
      <formula>IF(AND(F898="",OR(E898="Accuracy",E898="Fluency",E898="Segment",E898="Other")),1,0)</formula>
    </cfRule>
  </conditionalFormatting>
  <conditionalFormatting sqref="G898">
    <cfRule type="expression" dxfId="203" priority="216">
      <formula>IF(AND(OR(G898="",#REF!="Segment"),OR(#REF!="Accuracy",#REF!="Fluency",#REF!="Other")),1,0)</formula>
    </cfRule>
  </conditionalFormatting>
  <conditionalFormatting sqref="G897">
    <cfRule type="expression" dxfId="202" priority="212">
      <formula>IF(OR(AND(G897="",H897="",OR(I897="Critical",I897="Major",I897="Minor"))),1,0)</formula>
    </cfRule>
  </conditionalFormatting>
  <conditionalFormatting sqref="G897">
    <cfRule type="expression" dxfId="201" priority="213">
      <formula>IF(AND(OR(G897="",#REF!="Segment"),OR(#REF!="Accuracy",#REF!="Fluency",#REF!="Other")),1,0)</formula>
    </cfRule>
  </conditionalFormatting>
  <conditionalFormatting sqref="G899">
    <cfRule type="expression" dxfId="200" priority="210">
      <formula>IF(OR(AND(G899="",H899="",OR(I899="Critical",I899="Major",I899="Minor"))),1,0)</formula>
    </cfRule>
  </conditionalFormatting>
  <conditionalFormatting sqref="G899">
    <cfRule type="expression" dxfId="199" priority="211">
      <formula>IF(AND(OR(G899="",#REF!="Segment"),OR(#REF!="Accuracy",#REF!="Fluency",#REF!="Other")),1,0)</formula>
    </cfRule>
  </conditionalFormatting>
  <conditionalFormatting sqref="E901:G901">
    <cfRule type="expression" dxfId="198" priority="208">
      <formula>IF(OR(AND(E901="",F901="",OR(G901="Critical",G901="Major",G901="Minor"))),1,0)</formula>
    </cfRule>
  </conditionalFormatting>
  <conditionalFormatting sqref="F901">
    <cfRule type="expression" dxfId="197" priority="207">
      <formula>IF(AND(F901="",OR(E901="Accuracy",E901="Fluency",E901="Segment",E901="Other")),1,0)</formula>
    </cfRule>
  </conditionalFormatting>
  <conditionalFormatting sqref="G901">
    <cfRule type="expression" dxfId="196" priority="209">
      <formula>IF(AND(OR(G901="",#REF!="Segment"),OR(#REF!="Accuracy",#REF!="Fluency",#REF!="Other")),1,0)</formula>
    </cfRule>
  </conditionalFormatting>
  <conditionalFormatting sqref="E900:G900">
    <cfRule type="expression" dxfId="195" priority="205">
      <formula>IF(OR(AND(E900="",F900="",OR(G900="Critical",G900="Major",G900="Minor"))),1,0)</formula>
    </cfRule>
  </conditionalFormatting>
  <conditionalFormatting sqref="F900">
    <cfRule type="expression" dxfId="194" priority="204">
      <formula>IF(AND(F900="",OR(E900="Accuracy",E900="Fluency",E900="Segment",E900="Other")),1,0)</formula>
    </cfRule>
  </conditionalFormatting>
  <conditionalFormatting sqref="G900">
    <cfRule type="expression" dxfId="193" priority="206">
      <formula>IF(AND(OR(G900="",#REF!="Segment"),OR(#REF!="Accuracy",#REF!="Fluency",#REF!="Other")),1,0)</formula>
    </cfRule>
  </conditionalFormatting>
  <conditionalFormatting sqref="E902:G902">
    <cfRule type="expression" dxfId="192" priority="202">
      <formula>IF(OR(AND(E902="",F902="",OR(G902="Critical",G902="Major",G902="Minor"))),1,0)</formula>
    </cfRule>
  </conditionalFormatting>
  <conditionalFormatting sqref="F902">
    <cfRule type="expression" dxfId="191" priority="201">
      <formula>IF(AND(F902="",OR(E902="Accuracy",E902="Fluency",E902="Segment",E902="Other")),1,0)</formula>
    </cfRule>
  </conditionalFormatting>
  <conditionalFormatting sqref="G902">
    <cfRule type="expression" dxfId="190" priority="203">
      <formula>IF(AND(OR(G902="",#REF!="Segment"),OR(#REF!="Accuracy",#REF!="Fluency",#REF!="Other")),1,0)</formula>
    </cfRule>
  </conditionalFormatting>
  <conditionalFormatting sqref="E906:G906">
    <cfRule type="expression" dxfId="189" priority="199">
      <formula>IF(OR(AND(E906="",F906="",OR(G906="Critical",G906="Major",G906="Minor"))),1,0)</formula>
    </cfRule>
  </conditionalFormatting>
  <conditionalFormatting sqref="F906">
    <cfRule type="expression" dxfId="188" priority="198">
      <formula>IF(AND(F906="",OR(E906="Accuracy",E906="Fluency",E906="Segment",E906="Other")),1,0)</formula>
    </cfRule>
  </conditionalFormatting>
  <conditionalFormatting sqref="G906">
    <cfRule type="expression" dxfId="187" priority="200">
      <formula>IF(AND(OR(G906="",#REF!="Segment"),OR(#REF!="Accuracy",#REF!="Fluency",#REF!="Other")),1,0)</formula>
    </cfRule>
  </conditionalFormatting>
  <conditionalFormatting sqref="E907:G907">
    <cfRule type="expression" dxfId="186" priority="196">
      <formula>IF(OR(AND(E907="",F907="",OR(G907="Critical",G907="Major",G907="Minor"))),1,0)</formula>
    </cfRule>
  </conditionalFormatting>
  <conditionalFormatting sqref="F907">
    <cfRule type="expression" dxfId="185" priority="195">
      <formula>IF(AND(F907="",OR(E907="Accuracy",E907="Fluency",E907="Segment",E907="Other")),1,0)</formula>
    </cfRule>
  </conditionalFormatting>
  <conditionalFormatting sqref="G907">
    <cfRule type="expression" dxfId="184" priority="197">
      <formula>IF(AND(OR(G907="",#REF!="Segment"),OR(#REF!="Accuracy",#REF!="Fluency",#REF!="Other")),1,0)</formula>
    </cfRule>
  </conditionalFormatting>
  <conditionalFormatting sqref="E908:G908">
    <cfRule type="expression" dxfId="183" priority="193">
      <formula>IF(OR(AND(E908="",F908="",OR(G908="Critical",G908="Major",G908="Minor"))),1,0)</formula>
    </cfRule>
  </conditionalFormatting>
  <conditionalFormatting sqref="F908">
    <cfRule type="expression" dxfId="182" priority="192">
      <formula>IF(AND(F908="",OR(E908="Accuracy",E908="Fluency",E908="Segment",E908="Other")),1,0)</formula>
    </cfRule>
  </conditionalFormatting>
  <conditionalFormatting sqref="G908">
    <cfRule type="expression" dxfId="181" priority="194">
      <formula>IF(AND(OR(G908="",#REF!="Segment"),OR(#REF!="Accuracy",#REF!="Fluency",#REF!="Other")),1,0)</formula>
    </cfRule>
  </conditionalFormatting>
  <conditionalFormatting sqref="G913">
    <cfRule type="expression" dxfId="180" priority="190">
      <formula>IF(OR(AND(G913="",H913="",OR(I913="Critical",I913="Major",I913="Minor"))),1,0)</formula>
    </cfRule>
  </conditionalFormatting>
  <conditionalFormatting sqref="G913">
    <cfRule type="expression" dxfId="179" priority="191">
      <formula>IF(AND(OR(G913="",#REF!="Segment"),OR(#REF!="Accuracy",#REF!="Fluency",#REF!="Other")),1,0)</formula>
    </cfRule>
  </conditionalFormatting>
  <conditionalFormatting sqref="E913:F913">
    <cfRule type="expression" dxfId="178" priority="189">
      <formula>IF(OR(AND(E913="",F913="",OR(G913="Critical",G913="Major",G913="Minor"))),1,0)</formula>
    </cfRule>
  </conditionalFormatting>
  <conditionalFormatting sqref="F913">
    <cfRule type="expression" dxfId="177" priority="188">
      <formula>IF(AND(F913="",OR(E913="Accuracy",E913="Fluency",E913="Segment",E913="Other")),1,0)</formula>
    </cfRule>
  </conditionalFormatting>
  <conditionalFormatting sqref="E914:G914">
    <cfRule type="expression" dxfId="176" priority="186">
      <formula>IF(OR(AND(E914="",F914="",OR(G914="Critical",G914="Major",G914="Minor"))),1,0)</formula>
    </cfRule>
  </conditionalFormatting>
  <conditionalFormatting sqref="F914">
    <cfRule type="expression" dxfId="175" priority="185">
      <formula>IF(AND(F914="",OR(E914="Accuracy",E914="Fluency",E914="Segment",E914="Other")),1,0)</formula>
    </cfRule>
  </conditionalFormatting>
  <conditionalFormatting sqref="G914">
    <cfRule type="expression" dxfId="174" priority="187">
      <formula>IF(AND(OR(G914="",#REF!="Segment"),OR(#REF!="Accuracy",#REF!="Fluency",#REF!="Other")),1,0)</formula>
    </cfRule>
  </conditionalFormatting>
  <conditionalFormatting sqref="E911 G911">
    <cfRule type="expression" dxfId="173" priority="183">
      <formula>IF(OR(AND(E911="",F911="",OR(G911="Critical",G911="Major",G911="Minor"))),1,0)</formula>
    </cfRule>
  </conditionalFormatting>
  <conditionalFormatting sqref="G911">
    <cfRule type="expression" dxfId="172" priority="184">
      <formula>IF(AND(OR(G911="",#REF!="Segment"),OR(#REF!="Accuracy",#REF!="Fluency",#REF!="Other")),1,0)</formula>
    </cfRule>
  </conditionalFormatting>
  <conditionalFormatting sqref="E916:G916">
    <cfRule type="expression" dxfId="171" priority="181">
      <formula>IF(OR(AND(E916="",F916="",OR(G916="Critical",G916="Major",G916="Minor"))),1,0)</formula>
    </cfRule>
  </conditionalFormatting>
  <conditionalFormatting sqref="F916">
    <cfRule type="expression" dxfId="170" priority="180">
      <formula>IF(AND(F916="",OR(E916="Accuracy",E916="Fluency",E916="Segment",E916="Other")),1,0)</formula>
    </cfRule>
  </conditionalFormatting>
  <conditionalFormatting sqref="G916">
    <cfRule type="expression" dxfId="169" priority="182">
      <formula>IF(AND(OR(G916="",#REF!="Segment"),OR(#REF!="Accuracy",#REF!="Fluency",#REF!="Other")),1,0)</formula>
    </cfRule>
  </conditionalFormatting>
  <conditionalFormatting sqref="G915">
    <cfRule type="expression" dxfId="168" priority="178">
      <formula>IF(OR(AND(G915="",H915="",OR(I915="Critical",I915="Major",I915="Minor"))),1,0)</formula>
    </cfRule>
  </conditionalFormatting>
  <conditionalFormatting sqref="G915">
    <cfRule type="expression" dxfId="167" priority="179">
      <formula>IF(AND(OR(G915="",#REF!="Segment"),OR(#REF!="Accuracy",#REF!="Fluency",#REF!="Other")),1,0)</formula>
    </cfRule>
  </conditionalFormatting>
  <conditionalFormatting sqref="G917">
    <cfRule type="expression" dxfId="166" priority="175">
      <formula>IF(OR(AND(G917="",H917="",OR(I917="Critical",I917="Major",I917="Minor"))),1,0)</formula>
    </cfRule>
  </conditionalFormatting>
  <conditionalFormatting sqref="G917">
    <cfRule type="expression" dxfId="165" priority="176">
      <formula>IF(AND(OR(G917="",#REF!="Segment"),OR(#REF!="Accuracy",#REF!="Fluency",#REF!="Other")),1,0)</formula>
    </cfRule>
  </conditionalFormatting>
  <conditionalFormatting sqref="G918">
    <cfRule type="expression" dxfId="164" priority="172">
      <formula>IF(OR(AND(G918="",H918="",OR(I918="Critical",I918="Major",I918="Minor"))),1,0)</formula>
    </cfRule>
  </conditionalFormatting>
  <conditionalFormatting sqref="G918">
    <cfRule type="expression" dxfId="163" priority="173">
      <formula>IF(AND(OR(G918="",#REF!="Segment"),OR(#REF!="Accuracy",#REF!="Fluency",#REF!="Other")),1,0)</formula>
    </cfRule>
  </conditionalFormatting>
  <conditionalFormatting sqref="E919:G919">
    <cfRule type="expression" dxfId="162" priority="169">
      <formula>IF(OR(AND(E919="",F919="",OR(G919="Critical",G919="Major",G919="Minor"))),1,0)</formula>
    </cfRule>
  </conditionalFormatting>
  <conditionalFormatting sqref="F919">
    <cfRule type="expression" dxfId="161" priority="168">
      <formula>IF(AND(F919="",OR(E919="Accuracy",E919="Fluency",E919="Segment",E919="Other")),1,0)</formula>
    </cfRule>
  </conditionalFormatting>
  <conditionalFormatting sqref="G919">
    <cfRule type="expression" dxfId="160" priority="170">
      <formula>IF(AND(OR(G919="",#REF!="Segment"),OR(#REF!="Accuracy",#REF!="Fluency",#REF!="Other")),1,0)</formula>
    </cfRule>
  </conditionalFormatting>
  <conditionalFormatting sqref="E920:G920">
    <cfRule type="expression" dxfId="159" priority="166">
      <formula>IF(OR(AND(E920="",F920="",OR(G920="Critical",G920="Major",G920="Minor"))),1,0)</formula>
    </cfRule>
  </conditionalFormatting>
  <conditionalFormatting sqref="F920">
    <cfRule type="expression" dxfId="158" priority="165">
      <formula>IF(AND(F920="",OR(E920="Accuracy",E920="Fluency",E920="Segment",E920="Other")),1,0)</formula>
    </cfRule>
  </conditionalFormatting>
  <conditionalFormatting sqref="G920">
    <cfRule type="expression" dxfId="157" priority="167">
      <formula>IF(AND(OR(G920="",#REF!="Segment"),OR(#REF!="Accuracy",#REF!="Fluency",#REF!="Other")),1,0)</formula>
    </cfRule>
  </conditionalFormatting>
  <conditionalFormatting sqref="E921:G921">
    <cfRule type="expression" dxfId="156" priority="163">
      <formula>IF(OR(AND(E921="",F921="",OR(G921="Critical",G921="Major",G921="Minor"))),1,0)</formula>
    </cfRule>
  </conditionalFormatting>
  <conditionalFormatting sqref="F921">
    <cfRule type="expression" dxfId="155" priority="162">
      <formula>IF(AND(F921="",OR(E921="Accuracy",E921="Fluency",E921="Segment",E921="Other")),1,0)</formula>
    </cfRule>
  </conditionalFormatting>
  <conditionalFormatting sqref="G921">
    <cfRule type="expression" dxfId="154" priority="164">
      <formula>IF(AND(OR(G921="",#REF!="Segment"),OR(#REF!="Accuracy",#REF!="Fluency",#REF!="Other")),1,0)</formula>
    </cfRule>
  </conditionalFormatting>
  <conditionalFormatting sqref="E923:G923">
    <cfRule type="expression" dxfId="153" priority="160">
      <formula>IF(OR(AND(E923="",F923="",OR(G923="Critical",G923="Major",G923="Minor"))),1,0)</formula>
    </cfRule>
  </conditionalFormatting>
  <conditionalFormatting sqref="F923">
    <cfRule type="expression" dxfId="152" priority="159">
      <formula>IF(AND(F923="",OR(E923="Accuracy",E923="Fluency",E923="Segment",E923="Other")),1,0)</formula>
    </cfRule>
  </conditionalFormatting>
  <conditionalFormatting sqref="G923">
    <cfRule type="expression" dxfId="151" priority="161">
      <formula>IF(AND(OR(G923="",#REF!="Segment"),OR(#REF!="Accuracy",#REF!="Fluency",#REF!="Other")),1,0)</formula>
    </cfRule>
  </conditionalFormatting>
  <conditionalFormatting sqref="E924:G924">
    <cfRule type="expression" dxfId="150" priority="157">
      <formula>IF(OR(AND(E924="",F924="",OR(G924="Critical",G924="Major",G924="Minor"))),1,0)</formula>
    </cfRule>
  </conditionalFormatting>
  <conditionalFormatting sqref="F924">
    <cfRule type="expression" dxfId="149" priority="156">
      <formula>IF(AND(F924="",OR(E924="Accuracy",E924="Fluency",E924="Segment",E924="Other")),1,0)</formula>
    </cfRule>
  </conditionalFormatting>
  <conditionalFormatting sqref="G924">
    <cfRule type="expression" dxfId="148" priority="158">
      <formula>IF(AND(OR(G924="",#REF!="Segment"),OR(#REF!="Accuracy",#REF!="Fluency",#REF!="Other")),1,0)</formula>
    </cfRule>
  </conditionalFormatting>
  <conditionalFormatting sqref="E925 G925">
    <cfRule type="expression" dxfId="147" priority="154">
      <formula>IF(OR(AND(E925="",F925="",OR(G925="Critical",G925="Major",G925="Minor"))),1,0)</formula>
    </cfRule>
  </conditionalFormatting>
  <conditionalFormatting sqref="G925">
    <cfRule type="expression" dxfId="146" priority="155">
      <formula>IF(AND(OR(G925="",#REF!="Segment"),OR(#REF!="Accuracy",#REF!="Fluency",#REF!="Other")),1,0)</formula>
    </cfRule>
  </conditionalFormatting>
  <conditionalFormatting sqref="G926">
    <cfRule type="expression" dxfId="145" priority="152">
      <formula>IF(OR(AND(G926="",H926="",OR(I926="Critical",I926="Major",I926="Minor"))),1,0)</formula>
    </cfRule>
  </conditionalFormatting>
  <conditionalFormatting sqref="G926">
    <cfRule type="expression" dxfId="144" priority="153">
      <formula>IF(AND(OR(G926="",#REF!="Segment"),OR(#REF!="Accuracy",#REF!="Fluency",#REF!="Other")),1,0)</formula>
    </cfRule>
  </conditionalFormatting>
  <conditionalFormatting sqref="E927:G927">
    <cfRule type="expression" dxfId="143" priority="149">
      <formula>IF(OR(AND(E927="",F927="",OR(G927="Critical",G927="Major",G927="Minor"))),1,0)</formula>
    </cfRule>
  </conditionalFormatting>
  <conditionalFormatting sqref="F927">
    <cfRule type="expression" dxfId="142" priority="148">
      <formula>IF(AND(F927="",OR(E927="Accuracy",E927="Fluency",E927="Segment",E927="Other")),1,0)</formula>
    </cfRule>
  </conditionalFormatting>
  <conditionalFormatting sqref="G927">
    <cfRule type="expression" dxfId="141" priority="150">
      <formula>IF(AND(OR(G927="",#REF!="Segment"),OR(#REF!="Accuracy",#REF!="Fluency",#REF!="Other")),1,0)</formula>
    </cfRule>
  </conditionalFormatting>
  <conditionalFormatting sqref="E928:G928">
    <cfRule type="expression" dxfId="140" priority="146">
      <formula>IF(OR(AND(E928="",F928="",OR(G928="Critical",G928="Major",G928="Minor"))),1,0)</formula>
    </cfRule>
  </conditionalFormatting>
  <conditionalFormatting sqref="F928">
    <cfRule type="expression" dxfId="139" priority="145">
      <formula>IF(AND(F928="",OR(E928="Accuracy",E928="Fluency",E928="Segment",E928="Other")),1,0)</formula>
    </cfRule>
  </conditionalFormatting>
  <conditionalFormatting sqref="G928">
    <cfRule type="expression" dxfId="138" priority="147">
      <formula>IF(AND(OR(G928="",#REF!="Segment"),OR(#REF!="Accuracy",#REF!="Fluency",#REF!="Other")),1,0)</formula>
    </cfRule>
  </conditionalFormatting>
  <conditionalFormatting sqref="E930 G930">
    <cfRule type="expression" dxfId="137" priority="143">
      <formula>IF(OR(AND(E930="",F930="",OR(G930="Critical",G930="Major",G930="Minor"))),1,0)</formula>
    </cfRule>
  </conditionalFormatting>
  <conditionalFormatting sqref="G930">
    <cfRule type="expression" dxfId="136" priority="144">
      <formula>IF(AND(OR(G930="",#REF!="Segment"),OR(#REF!="Accuracy",#REF!="Fluency",#REF!="Other")),1,0)</formula>
    </cfRule>
  </conditionalFormatting>
  <conditionalFormatting sqref="E929:G929">
    <cfRule type="expression" dxfId="135" priority="141">
      <formula>IF(OR(AND(E929="",F929="",OR(G929="Critical",G929="Major",G929="Minor"))),1,0)</formula>
    </cfRule>
  </conditionalFormatting>
  <conditionalFormatting sqref="F929">
    <cfRule type="expression" dxfId="134" priority="140">
      <formula>IF(AND(F929="",OR(E929="Accuracy",E929="Fluency",E929="Segment",E929="Other")),1,0)</formula>
    </cfRule>
  </conditionalFormatting>
  <conditionalFormatting sqref="G929">
    <cfRule type="expression" dxfId="133" priority="142">
      <formula>IF(AND(OR(G929="",#REF!="Segment"),OR(#REF!="Accuracy",#REF!="Fluency",#REF!="Other")),1,0)</formula>
    </cfRule>
  </conditionalFormatting>
  <conditionalFormatting sqref="E931 G931">
    <cfRule type="expression" dxfId="132" priority="138">
      <formula>IF(OR(AND(E931="",F931="",OR(G931="Critical",G931="Major",G931="Minor"))),1,0)</formula>
    </cfRule>
  </conditionalFormatting>
  <conditionalFormatting sqref="G931">
    <cfRule type="expression" dxfId="131" priority="139">
      <formula>IF(AND(OR(G931="",#REF!="Segment"),OR(#REF!="Accuracy",#REF!="Fluency",#REF!="Other")),1,0)</formula>
    </cfRule>
  </conditionalFormatting>
  <conditionalFormatting sqref="E932:G932">
    <cfRule type="expression" dxfId="130" priority="136">
      <formula>IF(OR(AND(E932="",F932="",OR(G932="Critical",G932="Major",G932="Minor"))),1,0)</formula>
    </cfRule>
  </conditionalFormatting>
  <conditionalFormatting sqref="F932">
    <cfRule type="expression" dxfId="129" priority="135">
      <formula>IF(AND(F932="",OR(E932="Accuracy",E932="Fluency",E932="Segment",E932="Other")),1,0)</formula>
    </cfRule>
  </conditionalFormatting>
  <conditionalFormatting sqref="G932">
    <cfRule type="expression" dxfId="128" priority="137">
      <formula>IF(AND(OR(G932="",#REF!="Segment"),OR(#REF!="Accuracy",#REF!="Fluency",#REF!="Other")),1,0)</formula>
    </cfRule>
  </conditionalFormatting>
  <conditionalFormatting sqref="E933:G933">
    <cfRule type="expression" dxfId="127" priority="133">
      <formula>IF(OR(AND(E933="",F933="",OR(G933="Critical",G933="Major",G933="Minor"))),1,0)</formula>
    </cfRule>
  </conditionalFormatting>
  <conditionalFormatting sqref="F933">
    <cfRule type="expression" dxfId="126" priority="132">
      <formula>IF(AND(F933="",OR(E933="Accuracy",E933="Fluency",E933="Segment",E933="Other")),1,0)</formula>
    </cfRule>
  </conditionalFormatting>
  <conditionalFormatting sqref="G933">
    <cfRule type="expression" dxfId="125" priority="134">
      <formula>IF(AND(OR(G933="",#REF!="Segment"),OR(#REF!="Accuracy",#REF!="Fluency",#REF!="Other")),1,0)</formula>
    </cfRule>
  </conditionalFormatting>
  <conditionalFormatting sqref="G934">
    <cfRule type="expression" dxfId="124" priority="130">
      <formula>IF(OR(AND(G934="",H934="",OR(I934="Critical",I934="Major",I934="Minor"))),1,0)</formula>
    </cfRule>
  </conditionalFormatting>
  <conditionalFormatting sqref="G934">
    <cfRule type="expression" dxfId="123" priority="131">
      <formula>IF(AND(OR(G934="",#REF!="Segment"),OR(#REF!="Accuracy",#REF!="Fluency",#REF!="Other")),1,0)</formula>
    </cfRule>
  </conditionalFormatting>
  <conditionalFormatting sqref="G935">
    <cfRule type="expression" dxfId="122" priority="127">
      <formula>IF(OR(AND(G935="",H935="",OR(I935="Critical",I935="Major",I935="Minor"))),1,0)</formula>
    </cfRule>
  </conditionalFormatting>
  <conditionalFormatting sqref="G935">
    <cfRule type="expression" dxfId="121" priority="128">
      <formula>IF(AND(OR(G935="",#REF!="Segment"),OR(#REF!="Accuracy",#REF!="Fluency",#REF!="Other")),1,0)</formula>
    </cfRule>
  </conditionalFormatting>
  <conditionalFormatting sqref="E936:G937">
    <cfRule type="expression" dxfId="120" priority="124">
      <formula>IF(OR(AND(E936="",F936="",OR(G936="Critical",G936="Major",G936="Minor"))),1,0)</formula>
    </cfRule>
  </conditionalFormatting>
  <conditionalFormatting sqref="F936:F937">
    <cfRule type="expression" dxfId="119" priority="123">
      <formula>IF(AND(F936="",OR(E936="Accuracy",E936="Fluency",E936="Segment",E936="Other")),1,0)</formula>
    </cfRule>
  </conditionalFormatting>
  <conditionalFormatting sqref="G936:G937">
    <cfRule type="expression" dxfId="118" priority="125">
      <formula>IF(AND(OR(G936="",#REF!="Segment"),OR(#REF!="Accuracy",#REF!="Fluency",#REF!="Other")),1,0)</formula>
    </cfRule>
  </conditionalFormatting>
  <conditionalFormatting sqref="G940">
    <cfRule type="expression" dxfId="117" priority="121">
      <formula>IF(OR(AND(G940="",H940="",OR(I940="Critical",I940="Major",I940="Minor"))),1,0)</formula>
    </cfRule>
  </conditionalFormatting>
  <conditionalFormatting sqref="G940">
    <cfRule type="expression" dxfId="116" priority="122">
      <formula>IF(AND(OR(G940="",#REF!="Segment"),OR(#REF!="Accuracy",#REF!="Fluency",#REF!="Other")),1,0)</formula>
    </cfRule>
  </conditionalFormatting>
  <conditionalFormatting sqref="G941">
    <cfRule type="expression" dxfId="115" priority="108">
      <formula>IF(AND(OR(G941="",#REF!="Segment"),OR(#REF!="Accuracy",#REF!="Fluency",#REF!="Other")),1,0)</formula>
    </cfRule>
  </conditionalFormatting>
  <conditionalFormatting sqref="G938">
    <cfRule type="expression" dxfId="114" priority="117">
      <formula>IF(AND(OR(G938="",#REF!="Segment"),OR(#REF!="Accuracy",#REF!="Fluency",#REF!="Other")),1,0)</formula>
    </cfRule>
  </conditionalFormatting>
  <conditionalFormatting sqref="E938">
    <cfRule type="expression" dxfId="113" priority="118">
      <formula>IF(OR(AND(E938="",F938="",OR(G938="Critical",G938="Major",G938="Minor"))),1,0)</formula>
    </cfRule>
  </conditionalFormatting>
  <conditionalFormatting sqref="G938">
    <cfRule type="expression" dxfId="112" priority="119">
      <formula>IF(OR(AND(G938="",H937="",OR(I938="Critical",I938="Major",I938="Minor"))),1,0)</formula>
    </cfRule>
  </conditionalFormatting>
  <conditionalFormatting sqref="E939">
    <cfRule type="expression" dxfId="111" priority="114">
      <formula>IF(OR(AND(E939="",F939="",OR(G939="Critical",G939="Major",G939="Minor"))),1,0)</formula>
    </cfRule>
  </conditionalFormatting>
  <conditionalFormatting sqref="F939">
    <cfRule type="expression" dxfId="110" priority="112">
      <formula>IF(AND(F939="",OR(E939="Accuracy",E939="Fluency",E939="Segment",E939="Other")),1,0)</formula>
    </cfRule>
  </conditionalFormatting>
  <conditionalFormatting sqref="G939">
    <cfRule type="expression" dxfId="109" priority="113">
      <formula>IF(AND(OR(G939="",#REF!="Segment"),OR(#REF!="Accuracy",#REF!="Fluency",#REF!="Other")),1,0)</formula>
    </cfRule>
  </conditionalFormatting>
  <conditionalFormatting sqref="G939">
    <cfRule type="expression" dxfId="108" priority="115">
      <formula>IF(OR(AND(G939="",H938="",OR(I939="Critical",I939="Major",I939="Minor"))),1,0)</formula>
    </cfRule>
  </conditionalFormatting>
  <conditionalFormatting sqref="F939">
    <cfRule type="expression" dxfId="107" priority="116">
      <formula>IF(OR(AND(F939="",G939="",OR(H938="Critical",H938="Major",H938="Minor"))),1,0)</formula>
    </cfRule>
  </conditionalFormatting>
  <conditionalFormatting sqref="E941">
    <cfRule type="expression" dxfId="106" priority="109">
      <formula>IF(OR(AND(E941="",F941="",OR(G941="Critical",G941="Major",G941="Minor"))),1,0)</formula>
    </cfRule>
  </conditionalFormatting>
  <conditionalFormatting sqref="F941">
    <cfRule type="expression" dxfId="105" priority="107">
      <formula>IF(AND(F941="",OR(E941="Accuracy",E941="Fluency",E941="Segment",E941="Other")),1,0)</formula>
    </cfRule>
  </conditionalFormatting>
  <conditionalFormatting sqref="G941">
    <cfRule type="expression" dxfId="104" priority="110">
      <formula>IF(OR(AND(G941="",H940="",OR(I941="Critical",I941="Major",I941="Minor"))),1,0)</formula>
    </cfRule>
  </conditionalFormatting>
  <conditionalFormatting sqref="F941">
    <cfRule type="expression" dxfId="103" priority="111">
      <formula>IF(OR(AND(F941="",G941="",OR(H940="Critical",H940="Major",H940="Minor"))),1,0)</formula>
    </cfRule>
  </conditionalFormatting>
  <conditionalFormatting sqref="G942">
    <cfRule type="expression" dxfId="102" priority="103">
      <formula>IF(AND(OR(G942="",#REF!="Segment"),OR(#REF!="Accuracy",#REF!="Fluency",#REF!="Other")),1,0)</formula>
    </cfRule>
  </conditionalFormatting>
  <conditionalFormatting sqref="G942">
    <cfRule type="expression" dxfId="101" priority="105">
      <formula>IF(OR(AND(G942="",H941="",OR(I942="Critical",I942="Major",I942="Minor"))),1,0)</formula>
    </cfRule>
  </conditionalFormatting>
  <conditionalFormatting sqref="E943:E944">
    <cfRule type="expression" dxfId="100" priority="101">
      <formula>IF(OR(AND(E943="",F943="",OR(G943="Critical",G943="Major",G943="Minor"))),1,0)</formula>
    </cfRule>
  </conditionalFormatting>
  <conditionalFormatting sqref="F943:F944">
    <cfRule type="expression" dxfId="99" priority="99">
      <formula>IF(OR(AND(F943="",G943="",OR(H941="Critical",H941="Major",H941="Minor"))),1,0)</formula>
    </cfRule>
  </conditionalFormatting>
  <conditionalFormatting sqref="G943:G944">
    <cfRule type="expression" dxfId="98" priority="100">
      <formula>IF(OR(AND(G943="",H941="",OR(I941="Critical",I941="Major",I941="Minor"))),1,0)</formula>
    </cfRule>
  </conditionalFormatting>
  <conditionalFormatting sqref="F943:F944">
    <cfRule type="expression" dxfId="97" priority="97">
      <formula>IF(AND(F943="",OR(E943="Accuracy",E943="Fluency",E943="Segment",E943="Other")),1,0)</formula>
    </cfRule>
  </conditionalFormatting>
  <conditionalFormatting sqref="G943:G944">
    <cfRule type="expression" dxfId="96" priority="98">
      <formula>IF(AND(OR(G943="",#REF!="Segment"),OR(#REF!="Accuracy",#REF!="Fluency",#REF!="Other")),1,0)</formula>
    </cfRule>
  </conditionalFormatting>
  <conditionalFormatting sqref="E945:E946">
    <cfRule type="expression" dxfId="95" priority="96">
      <formula>IF(OR(AND(E945="",F945="",OR(G945="Critical",G945="Major",G945="Minor"))),1,0)</formula>
    </cfRule>
  </conditionalFormatting>
  <conditionalFormatting sqref="F945:F946">
    <cfRule type="expression" dxfId="94" priority="94">
      <formula>IF(OR(AND(F945="",G945="",OR(H943="Critical",H943="Major",H943="Minor"))),1,0)</formula>
    </cfRule>
  </conditionalFormatting>
  <conditionalFormatting sqref="G945:G946">
    <cfRule type="expression" dxfId="93" priority="95">
      <formula>IF(OR(AND(G945="",H943="",OR(I943="Critical",I943="Major",I943="Minor"))),1,0)</formula>
    </cfRule>
  </conditionalFormatting>
  <conditionalFormatting sqref="F945:F946">
    <cfRule type="expression" dxfId="92" priority="92">
      <formula>IF(AND(F945="",OR(E945="Accuracy",E945="Fluency",E945="Segment",E945="Other")),1,0)</formula>
    </cfRule>
  </conditionalFormatting>
  <conditionalFormatting sqref="G945:G946">
    <cfRule type="expression" dxfId="91" priority="93">
      <formula>IF(AND(OR(G945="",#REF!="Segment"),OR(#REF!="Accuracy",#REF!="Fluency",#REF!="Other")),1,0)</formula>
    </cfRule>
  </conditionalFormatting>
  <conditionalFormatting sqref="E947:G952">
    <cfRule type="expression" dxfId="90" priority="89">
      <formula>IF(OR(AND(E947="",F947="",OR(G947="Critical",G947="Major",G947="Minor"))),1,0)</formula>
    </cfRule>
  </conditionalFormatting>
  <conditionalFormatting sqref="F947:F952">
    <cfRule type="expression" dxfId="89" priority="88">
      <formula>IF(AND(F947="",OR(E947="Accuracy",E947="Fluency",E947="Segment",E947="Other")),1,0)</formula>
    </cfRule>
  </conditionalFormatting>
  <conditionalFormatting sqref="H947:H958">
    <cfRule type="expression" dxfId="88" priority="90">
      <formula>IF(OR(AND(H947="",J947="",OR(#REF!="Critical",#REF!="Major",#REF!="Minor"))),1,0)</formula>
    </cfRule>
  </conditionalFormatting>
  <conditionalFormatting sqref="G947:G952">
    <cfRule type="expression" dxfId="87" priority="91">
      <formula>IF(AND(OR(G947="",#REF!="Segment"),OR(#REF!="Accuracy",#REF!="Fluency",#REF!="Other")),1,0)</formula>
    </cfRule>
  </conditionalFormatting>
  <conditionalFormatting sqref="E953:G955">
    <cfRule type="expression" dxfId="86" priority="86">
      <formula>IF(OR(AND(E953="",F953="",OR(G953="Critical",G953="Major",G953="Minor"))),1,0)</formula>
    </cfRule>
  </conditionalFormatting>
  <conditionalFormatting sqref="F953:F955">
    <cfRule type="expression" dxfId="85" priority="85">
      <formula>IF(AND(F953="",OR(E953="Accuracy",E953="Fluency",E953="Segment",E953="Other")),1,0)</formula>
    </cfRule>
  </conditionalFormatting>
  <conditionalFormatting sqref="G953:G955">
    <cfRule type="expression" dxfId="84" priority="87">
      <formula>IF(AND(OR(G953="",#REF!="Segment"),OR(#REF!="Accuracy",#REF!="Fluency",#REF!="Other")),1,0)</formula>
    </cfRule>
  </conditionalFormatting>
  <conditionalFormatting sqref="E958:G958">
    <cfRule type="expression" dxfId="83" priority="80">
      <formula>IF(OR(AND(E958="",F958="",OR(G958="Critical",G958="Major",G958="Minor"))),1,0)</formula>
    </cfRule>
  </conditionalFormatting>
  <conditionalFormatting sqref="F958">
    <cfRule type="expression" dxfId="82" priority="79">
      <formula>IF(AND(F958="",OR(E958="Accuracy",E958="Fluency",E958="Segment",E958="Other")),1,0)</formula>
    </cfRule>
  </conditionalFormatting>
  <conditionalFormatting sqref="G958">
    <cfRule type="expression" dxfId="81" priority="81">
      <formula>IF(AND(OR(G958="",#REF!="Segment"),OR(#REF!="Accuracy",#REF!="Fluency",#REF!="Other")),1,0)</formula>
    </cfRule>
  </conditionalFormatting>
  <conditionalFormatting sqref="E956:G957">
    <cfRule type="expression" dxfId="80" priority="83">
      <formula>IF(OR(AND(E956="",F956="",OR(G956="Critical",G956="Major",G956="Minor"))),1,0)</formula>
    </cfRule>
  </conditionalFormatting>
  <conditionalFormatting sqref="F956:F957">
    <cfRule type="expression" dxfId="79" priority="82">
      <formula>IF(AND(F956="",OR(E956="Accuracy",E956="Fluency",E956="Segment",E956="Other")),1,0)</formula>
    </cfRule>
  </conditionalFormatting>
  <conditionalFormatting sqref="G956:G957">
    <cfRule type="expression" dxfId="78" priority="84">
      <formula>IF(AND(OR(G956="",#REF!="Segment"),OR(#REF!="Accuracy",#REF!="Fluency",#REF!="Other")),1,0)</formula>
    </cfRule>
  </conditionalFormatting>
  <conditionalFormatting sqref="E959:F959">
    <cfRule type="expression" dxfId="77" priority="78">
      <formula>IF(OR(AND(E959="",F959="",OR(G959="Critical",G959="Major",G959="Minor"))),1,0)</formula>
    </cfRule>
  </conditionalFormatting>
  <conditionalFormatting sqref="F959">
    <cfRule type="expression" dxfId="76" priority="77">
      <formula>IF(AND(F959="",OR(E959="Accuracy",E959="Fluency",E959="Segment",E959="Other")),1,0)</formula>
    </cfRule>
  </conditionalFormatting>
  <conditionalFormatting sqref="G959">
    <cfRule type="expression" dxfId="75" priority="75">
      <formula>IF(OR(AND(G959="",H959="",OR(I959="Critical",I959="Major",I959="Minor"))),1,0)</formula>
    </cfRule>
  </conditionalFormatting>
  <conditionalFormatting sqref="G959">
    <cfRule type="expression" dxfId="74" priority="76">
      <formula>IF(AND(OR(G959="",#REF!="Segment"),OR(#REF!="Accuracy",#REF!="Fluency",#REF!="Other")),1,0)</formula>
    </cfRule>
  </conditionalFormatting>
  <conditionalFormatting sqref="E960:F961">
    <cfRule type="expression" dxfId="73" priority="74">
      <formula>IF(OR(AND(E960="",F960="",OR(G960="Critical",G960="Major",G960="Minor"))),1,0)</formula>
    </cfRule>
  </conditionalFormatting>
  <conditionalFormatting sqref="F960:F961">
    <cfRule type="expression" dxfId="72" priority="73">
      <formula>IF(AND(F960="",OR(E960="Accuracy",E960="Fluency",E960="Segment",E960="Other")),1,0)</formula>
    </cfRule>
  </conditionalFormatting>
  <conditionalFormatting sqref="G960:G961">
    <cfRule type="expression" dxfId="71" priority="71">
      <formula>IF(OR(AND(G960="",H960="",OR(I960="Critical",I960="Major",I960="Minor"))),1,0)</formula>
    </cfRule>
  </conditionalFormatting>
  <conditionalFormatting sqref="G960:G961">
    <cfRule type="expression" dxfId="70" priority="72">
      <formula>IF(AND(OR(G960="",#REF!="Segment"),OR(#REF!="Accuracy",#REF!="Fluency",#REF!="Other")),1,0)</formula>
    </cfRule>
  </conditionalFormatting>
  <conditionalFormatting sqref="E962:G966">
    <cfRule type="expression" dxfId="69" priority="69">
      <formula>IF(OR(AND(E962="",F962="",OR(G962="Critical",G962="Major",G962="Minor"))),1,0)</formula>
    </cfRule>
  </conditionalFormatting>
  <conditionalFormatting sqref="F962:F966">
    <cfRule type="expression" dxfId="68" priority="68">
      <formula>IF(AND(F962="",OR(E962="Accuracy",E962="Fluency",E962="Segment",E962="Other")),1,0)</formula>
    </cfRule>
  </conditionalFormatting>
  <conditionalFormatting sqref="G962:G966">
    <cfRule type="expression" dxfId="67" priority="70">
      <formula>IF(AND(OR(G962="",#REF!="Segment"),OR(#REF!="Accuracy",#REF!="Fluency",#REF!="Other")),1,0)</formula>
    </cfRule>
  </conditionalFormatting>
  <conditionalFormatting sqref="E984:G984 E978:F981 E967">
    <cfRule type="expression" dxfId="66" priority="65">
      <formula>IF(OR(AND(E967="",F967="",OR(G967="Critical",G967="Major",G967="Minor"))),1,0)</formula>
    </cfRule>
  </conditionalFormatting>
  <conditionalFormatting sqref="F967">
    <cfRule type="expression" dxfId="65" priority="64">
      <formula>IF(AND(F967="",OR(E967="Accuracy",E967="Fluency",E967="Segment",E967="Other")),1,0)</formula>
    </cfRule>
  </conditionalFormatting>
  <conditionalFormatting sqref="G967">
    <cfRule type="expression" dxfId="64" priority="63">
      <formula>IF(AND(OR(G967="",#REF!="Segment"),OR(#REF!="Accuracy",#REF!="Fluency",#REF!="Other")),1,0)</formula>
    </cfRule>
  </conditionalFormatting>
  <conditionalFormatting sqref="F967">
    <cfRule type="expression" dxfId="63" priority="66">
      <formula>IF(OR(AND(F967="",G967="",OR(#REF!="Critical",#REF!="Major",#REF!="Minor"))),1,0)</formula>
    </cfRule>
  </conditionalFormatting>
  <conditionalFormatting sqref="G967">
    <cfRule type="expression" dxfId="62" priority="67">
      <formula>IF(OR(AND(G967="",#REF!="",OR(H967="Critical",H967="Major",H967="Minor"))),1,0)</formula>
    </cfRule>
  </conditionalFormatting>
  <conditionalFormatting sqref="E968">
    <cfRule type="expression" dxfId="61" priority="60">
      <formula>IF(OR(AND(E968="",F968="",OR(G968="Critical",G968="Major",G968="Minor"))),1,0)</formula>
    </cfRule>
  </conditionalFormatting>
  <conditionalFormatting sqref="F968">
    <cfRule type="expression" dxfId="60" priority="59">
      <formula>IF(AND(F968="",OR(E968="Accuracy",E968="Fluency",E968="Segment",E968="Other")),1,0)</formula>
    </cfRule>
  </conditionalFormatting>
  <conditionalFormatting sqref="G968">
    <cfRule type="expression" dxfId="59" priority="58">
      <formula>IF(AND(OR(G968="",#REF!="Segment"),OR(#REF!="Accuracy",#REF!="Fluency",#REF!="Other")),1,0)</formula>
    </cfRule>
  </conditionalFormatting>
  <conditionalFormatting sqref="F968">
    <cfRule type="expression" dxfId="58" priority="61">
      <formula>IF(OR(AND(F968="",G968="",OR(#REF!="Critical",#REF!="Major",#REF!="Minor"))),1,0)</formula>
    </cfRule>
  </conditionalFormatting>
  <conditionalFormatting sqref="G968">
    <cfRule type="expression" dxfId="57" priority="62">
      <formula>IF(OR(AND(G968="",#REF!="",OR(H968="Critical",H968="Major",H968="Minor"))),1,0)</formula>
    </cfRule>
  </conditionalFormatting>
  <conditionalFormatting sqref="E969">
    <cfRule type="expression" dxfId="56" priority="55">
      <formula>IF(OR(AND(E969="",F969="",OR(G969="Critical",G969="Major",G969="Minor"))),1,0)</formula>
    </cfRule>
  </conditionalFormatting>
  <conditionalFormatting sqref="F969">
    <cfRule type="expression" dxfId="55" priority="54">
      <formula>IF(AND(F969="",OR(E969="Accuracy",E969="Fluency",E969="Segment",E969="Other")),1,0)</formula>
    </cfRule>
  </conditionalFormatting>
  <conditionalFormatting sqref="G969">
    <cfRule type="expression" dxfId="54" priority="53">
      <formula>IF(AND(OR(G969="",#REF!="Segment"),OR(#REF!="Accuracy",#REF!="Fluency",#REF!="Other")),1,0)</formula>
    </cfRule>
  </conditionalFormatting>
  <conditionalFormatting sqref="F969">
    <cfRule type="expression" dxfId="53" priority="56">
      <formula>IF(OR(AND(F969="",G969="",OR(#REF!="Critical",#REF!="Major",#REF!="Minor"))),1,0)</formula>
    </cfRule>
  </conditionalFormatting>
  <conditionalFormatting sqref="G969">
    <cfRule type="expression" dxfId="52" priority="57">
      <formula>IF(OR(AND(G969="",#REF!="",OR(H969="Critical",H969="Major",H969="Minor"))),1,0)</formula>
    </cfRule>
  </conditionalFormatting>
  <conditionalFormatting sqref="E970:E971">
    <cfRule type="expression" dxfId="51" priority="50">
      <formula>IF(OR(AND(E970="",F970="",OR(G970="Critical",G970="Major",G970="Minor"))),1,0)</formula>
    </cfRule>
  </conditionalFormatting>
  <conditionalFormatting sqref="F970:F971">
    <cfRule type="expression" dxfId="50" priority="49">
      <formula>IF(AND(F970="",OR(E970="Accuracy",E970="Fluency",E970="Segment",E970="Other")),1,0)</formula>
    </cfRule>
  </conditionalFormatting>
  <conditionalFormatting sqref="G970:G971">
    <cfRule type="expression" dxfId="49" priority="48">
      <formula>IF(AND(OR(G970="",#REF!="Segment"),OR(#REF!="Accuracy",#REF!="Fluency",#REF!="Other")),1,0)</formula>
    </cfRule>
  </conditionalFormatting>
  <conditionalFormatting sqref="F970:F971">
    <cfRule type="expression" dxfId="48" priority="51">
      <formula>IF(OR(AND(F970="",G970="",OR(#REF!="Critical",#REF!="Major",#REF!="Minor"))),1,0)</formula>
    </cfRule>
  </conditionalFormatting>
  <conditionalFormatting sqref="G970:G971">
    <cfRule type="expression" dxfId="47" priority="52">
      <formula>IF(OR(AND(G970="",#REF!="",OR(H970="Critical",H970="Major",H970="Minor"))),1,0)</formula>
    </cfRule>
  </conditionalFormatting>
  <conditionalFormatting sqref="E972:F976">
    <cfRule type="expression" dxfId="46" priority="47">
      <formula>IF(OR(AND(E972="",F972="",OR(G972="Critical",G972="Major",G972="Minor"))),1,0)</formula>
    </cfRule>
  </conditionalFormatting>
  <conditionalFormatting sqref="F972:F976">
    <cfRule type="expression" dxfId="45" priority="46">
      <formula>IF(AND(F972="",OR(E972="Accuracy",E972="Fluency",E972="Segment",E972="Other")),1,0)</formula>
    </cfRule>
  </conditionalFormatting>
  <conditionalFormatting sqref="G972:G976">
    <cfRule type="expression" dxfId="44" priority="45">
      <formula>IF(OR(AND(G972="",H972="",OR(I972="Critical",I972="Major",I972="Minor"))),1,0)</formula>
    </cfRule>
  </conditionalFormatting>
  <conditionalFormatting sqref="G972:G976">
    <cfRule type="expression" dxfId="43" priority="44">
      <formula>IF(AND(OR(G972="",#REF!="Segment"),OR(#REF!="Accuracy",#REF!="Fluency",#REF!="Other")),1,0)</formula>
    </cfRule>
  </conditionalFormatting>
  <conditionalFormatting sqref="E977:F977">
    <cfRule type="expression" dxfId="42" priority="43">
      <formula>IF(OR(AND(E977="",F977="",OR(G977="Critical",G977="Major",G977="Minor"))),1,0)</formula>
    </cfRule>
  </conditionalFormatting>
  <conditionalFormatting sqref="F977">
    <cfRule type="expression" dxfId="41" priority="42">
      <formula>IF(AND(F977="",OR(E977="Accuracy",E977="Fluency",E977="Segment",E977="Other")),1,0)</formula>
    </cfRule>
  </conditionalFormatting>
  <conditionalFormatting sqref="G977">
    <cfRule type="expression" dxfId="40" priority="41">
      <formula>IF(OR(AND(G977="",H977="",OR(I977="Critical",I977="Major",I977="Minor"))),1,0)</formula>
    </cfRule>
  </conditionalFormatting>
  <conditionalFormatting sqref="G977">
    <cfRule type="expression" dxfId="39" priority="40">
      <formula>IF(AND(OR(G977="",#REF!="Segment"),OR(#REF!="Accuracy",#REF!="Fluency",#REF!="Other")),1,0)</formula>
    </cfRule>
  </conditionalFormatting>
  <conditionalFormatting sqref="F984 F978:F981">
    <cfRule type="expression" dxfId="38" priority="38">
      <formula>IF(AND(F978="",OR(E978="Accuracy",E978="Fluency",E978="Segment",E978="Other")),1,0)</formula>
    </cfRule>
  </conditionalFormatting>
  <conditionalFormatting sqref="G978:G981">
    <cfRule type="expression" dxfId="37" priority="37">
      <formula>IF(AND(OR(G978="",#REF!="Segment"),OR(#REF!="Accuracy",#REF!="Fluency",#REF!="Other")),1,0)</formula>
    </cfRule>
  </conditionalFormatting>
  <conditionalFormatting sqref="G978:G981">
    <cfRule type="expression" dxfId="36" priority="36">
      <formula>IF(OR(AND(G978="",#REF!="",OR(I975="Critical",I975="Major",I975="Minor"))),1,0)</formula>
    </cfRule>
  </conditionalFormatting>
  <conditionalFormatting sqref="E982:F982">
    <cfRule type="expression" dxfId="35" priority="35">
      <formula>IF(OR(AND(E982="",F982="",OR(G982="Critical",G982="Major",G982="Minor"))),1,0)</formula>
    </cfRule>
  </conditionalFormatting>
  <conditionalFormatting sqref="F982">
    <cfRule type="expression" dxfId="34" priority="34">
      <formula>IF(AND(F982="",OR(E982="Accuracy",E982="Fluency",E982="Segment",E982="Other")),1,0)</formula>
    </cfRule>
  </conditionalFormatting>
  <conditionalFormatting sqref="G982">
    <cfRule type="expression" dxfId="33" priority="33">
      <formula>IF(AND(OR(G982="",#REF!="Segment"),OR(#REF!="Accuracy",#REF!="Fluency",#REF!="Other")),1,0)</formula>
    </cfRule>
  </conditionalFormatting>
  <conditionalFormatting sqref="G982">
    <cfRule type="expression" dxfId="32" priority="39">
      <formula>IF(OR(AND(G982="",H967="",OR(I982="Critical",I982="Major",I982="Minor"))),1,0)</formula>
    </cfRule>
  </conditionalFormatting>
  <conditionalFormatting sqref="G984">
    <cfRule type="expression" dxfId="31" priority="32">
      <formula>IF(AND(OR(G984="",#REF!="Segment"),OR(#REF!="Accuracy",#REF!="Fluency",#REF!="Other")),1,0)</formula>
    </cfRule>
  </conditionalFormatting>
  <conditionalFormatting sqref="E983">
    <cfRule type="expression" dxfId="30" priority="31">
      <formula>IF(OR(AND(E983="",F983="",OR(G983="Critical",G983="Major",G983="Minor"))),1,0)</formula>
    </cfRule>
  </conditionalFormatting>
  <conditionalFormatting sqref="F983">
    <cfRule type="expression" dxfId="29" priority="30">
      <formula>IF(AND(F983="",OR(E983="Accuracy",E983="Fluency",E983="Segment",E983="Other")),1,0)</formula>
    </cfRule>
  </conditionalFormatting>
  <conditionalFormatting sqref="F998:F1000 F983">
    <cfRule type="expression" dxfId="28" priority="29">
      <formula>IF(OR(AND(F983="",G983="",OR(H978="Critical",H978="Major",H978="Minor"))),1,0)</formula>
    </cfRule>
  </conditionalFormatting>
  <conditionalFormatting sqref="G998:G1000 G983">
    <cfRule type="expression" dxfId="27" priority="28">
      <formula>IF(OR(AND(G983="",H978="",OR(I983="Critical",I983="Major",I983="Minor"))),1,0)</formula>
    </cfRule>
  </conditionalFormatting>
  <conditionalFormatting sqref="G983">
    <cfRule type="expression" dxfId="26" priority="27">
      <formula>IF(AND(OR(G983="",#REF!="Segment"),OR(#REF!="Accuracy",#REF!="Fluency",#REF!="Other")),1,0)</formula>
    </cfRule>
  </conditionalFormatting>
  <conditionalFormatting sqref="G985:G988">
    <cfRule type="expression" dxfId="25" priority="26">
      <formula>IF(AND(OR(G985="",#REF!="Segment"),OR(#REF!="Accuracy",#REF!="Fluency",#REF!="Other")),1,0)</formula>
    </cfRule>
  </conditionalFormatting>
  <conditionalFormatting sqref="G985:G988">
    <cfRule type="expression" dxfId="24" priority="25">
      <formula>IF(OR(AND(G985="",H985="",OR(I985="Critical",I985="Major",I985="Minor"))),1,0)</formula>
    </cfRule>
  </conditionalFormatting>
  <conditionalFormatting sqref="E985:F988">
    <cfRule type="expression" dxfId="23" priority="24">
      <formula>IF(OR(AND(E985="",F985="",OR(G985="Critical",G985="Major",G985="Minor"))),1,0)</formula>
    </cfRule>
  </conditionalFormatting>
  <conditionalFormatting sqref="F985:F988">
    <cfRule type="expression" dxfId="22" priority="23">
      <formula>IF(AND(F985="",OR(E985="Accuracy",E985="Fluency",E985="Segment",E985="Other")),1,0)</formula>
    </cfRule>
  </conditionalFormatting>
  <conditionalFormatting sqref="G989:G990">
    <cfRule type="expression" dxfId="21" priority="21">
      <formula>IF(OR(AND(G989="",H989="",OR(I989="Critical",I989="Major",I989="Minor"))),1,0)</formula>
    </cfRule>
  </conditionalFormatting>
  <conditionalFormatting sqref="G989:G990">
    <cfRule type="expression" dxfId="20" priority="22">
      <formula>IF(AND(OR(G989="",#REF!="Segment"),OR(#REF!="Accuracy",#REF!="Fluency",#REF!="Other")),1,0)</formula>
    </cfRule>
  </conditionalFormatting>
  <conditionalFormatting sqref="E989:F990">
    <cfRule type="expression" dxfId="19" priority="20">
      <formula>IF(OR(AND(E989="",F989="",OR(G989="Critical",G989="Major",G989="Minor"))),1,0)</formula>
    </cfRule>
  </conditionalFormatting>
  <conditionalFormatting sqref="F989:F990">
    <cfRule type="expression" dxfId="18" priority="19">
      <formula>IF(AND(F989="",OR(E989="Accuracy",E989="Fluency",E989="Segment",E989="Other")),1,0)</formula>
    </cfRule>
  </conditionalFormatting>
  <conditionalFormatting sqref="G991">
    <cfRule type="expression" dxfId="17" priority="17">
      <formula>IF(OR(AND(G991="",H991="",OR(I991="Critical",I991="Major",I991="Minor"))),1,0)</formula>
    </cfRule>
  </conditionalFormatting>
  <conditionalFormatting sqref="G991">
    <cfRule type="expression" dxfId="16" priority="18">
      <formula>IF(AND(OR(G991="",#REF!="Segment"),OR(#REF!="Accuracy",#REF!="Fluency",#REF!="Other")),1,0)</formula>
    </cfRule>
  </conditionalFormatting>
  <conditionalFormatting sqref="E991:F991">
    <cfRule type="expression" dxfId="15" priority="16">
      <formula>IF(OR(AND(E991="",F991="",OR(G991="Critical",G991="Major",G991="Minor"))),1,0)</formula>
    </cfRule>
  </conditionalFormatting>
  <conditionalFormatting sqref="F991">
    <cfRule type="expression" dxfId="14" priority="15">
      <formula>IF(AND(F991="",OR(E991="Accuracy",E991="Fluency",E991="Segment",E991="Other")),1,0)</formula>
    </cfRule>
  </conditionalFormatting>
  <conditionalFormatting sqref="E992:G992">
    <cfRule type="expression" dxfId="13" priority="13">
      <formula>IF(OR(AND(E992="",F992="",OR(G992="Critical",G992="Major",G992="Minor"))),1,0)</formula>
    </cfRule>
  </conditionalFormatting>
  <conditionalFormatting sqref="F992">
    <cfRule type="expression" dxfId="12" priority="12">
      <formula>IF(AND(F992="",OR(E992="Accuracy",E992="Fluency",E992="Segment",E992="Other")),1,0)</formula>
    </cfRule>
  </conditionalFormatting>
  <conditionalFormatting sqref="G992">
    <cfRule type="expression" dxfId="11" priority="14">
      <formula>IF(AND(OR(G992="",#REF!="Segment"),OR(#REF!="Accuracy",#REF!="Fluency",#REF!="Other")),1,0)</formula>
    </cfRule>
  </conditionalFormatting>
  <conditionalFormatting sqref="F993:F994">
    <cfRule type="expression" dxfId="10" priority="7">
      <formula>IF(OR(AND(F993="",G993="",OR(H991="Critical",H991="Major",H991="Minor"))),1,0)</formula>
    </cfRule>
  </conditionalFormatting>
  <conditionalFormatting sqref="G993:G994">
    <cfRule type="expression" dxfId="9" priority="6">
      <formula>IF(OR(AND(G993="",H991="",OR(I993="Critical",I993="Major",I993="Minor"))),1,0)</formula>
    </cfRule>
  </conditionalFormatting>
  <conditionalFormatting sqref="F996">
    <cfRule type="expression" dxfId="8" priority="5">
      <formula>IF(OR(AND(F996="",G996="",OR(H992="Critical",H992="Major",H992="Minor"))),1,0)</formula>
    </cfRule>
  </conditionalFormatting>
  <conditionalFormatting sqref="G996">
    <cfRule type="expression" dxfId="7" priority="4">
      <formula>IF(OR(AND(G996="",H992="",OR(I996="Critical",I996="Major",I996="Minor"))),1,0)</formula>
    </cfRule>
  </conditionalFormatting>
  <conditionalFormatting sqref="E993:E1000">
    <cfRule type="expression" dxfId="6" priority="3">
      <formula>IF(OR(AND(E993="",F993="",OR(G993="Critical",G993="Major",G993="Minor"))),1,0)</formula>
    </cfRule>
  </conditionalFormatting>
  <conditionalFormatting sqref="F993:F1000">
    <cfRule type="expression" dxfId="5" priority="2">
      <formula>IF(AND(F993="",OR(E993="Accuracy",E993="Fluency",E993="Segment",E993="Other")),1,0)</formula>
    </cfRule>
  </conditionalFormatting>
  <conditionalFormatting sqref="G993:G1000">
    <cfRule type="expression" dxfId="4" priority="1">
      <formula>IF(AND(OR(G993="",#REF!="Segment"),OR(#REF!="Accuracy",#REF!="Fluency",#REF!="Other")),1,0)</formula>
    </cfRule>
  </conditionalFormatting>
  <conditionalFormatting sqref="F997">
    <cfRule type="expression" dxfId="3" priority="8">
      <formula>IF(OR(AND(F997="",G997="",OR(#REF!="Critical",#REF!="Major",#REF!="Minor"))),1,0)</formula>
    </cfRule>
  </conditionalFormatting>
  <conditionalFormatting sqref="G997">
    <cfRule type="expression" dxfId="2" priority="9">
      <formula>IF(OR(AND(G997="",#REF!="",OR(I997="Critical",I997="Major",I997="Minor"))),1,0)</formula>
    </cfRule>
  </conditionalFormatting>
  <conditionalFormatting sqref="F995">
    <cfRule type="expression" dxfId="1" priority="10">
      <formula>IF(OR(AND(F995="",G995="",OR(#REF!="Critical",#REF!="Major",#REF!="Minor"))),1,0)</formula>
    </cfRule>
  </conditionalFormatting>
  <conditionalFormatting sqref="G995">
    <cfRule type="expression" dxfId="0" priority="11">
      <formula>IF(OR(AND(G995="",#REF!="",OR(I995="Critical",I995="Major",I995="Minor"))),1,0)</formula>
    </cfRule>
  </conditionalFormatting>
  <dataValidations count="4">
    <dataValidation allowBlank="1" showDropDown="1" showInputMessage="1" showErrorMessage="1" sqref="E1:G1 I1:I826 H1:H37 H40:H504 H506:H628 H630:H646 H648:H677 H679:H784 H786:H790 H792:H810 H812:H824 H826:H941 I875:I966 H943:H945 H947:H992 I972:I1000" xr:uid="{00000000-0002-0000-0100-000000000000}"/>
    <dataValidation type="list" allowBlank="1" showInputMessage="1" showErrorMessage="1" sqref="H463 E2:E790 E792:E1000" xr:uid="{00000000-0002-0000-0100-000001000000}">
      <formula1>Issue_Type</formula1>
    </dataValidation>
    <dataValidation type="list" allowBlank="1" showInputMessage="1" showErrorMessage="1" sqref="F465:G790 G3:G21 G27:G30 G40:G273 F2:F273 F274:G404 F414:G414 G405:G407 G420:G464 F415:F464 F405:F413 F792:G1000 G37" xr:uid="{00000000-0002-0000-0100-000002000000}">
      <formula1>INDIRECT(E2)</formula1>
    </dataValidation>
    <dataValidation type="list" allowBlank="1" showInputMessage="1" showErrorMessage="1" sqref="E22:E28" xr:uid="{CF6E1254-A810-4CFE-8FF1-6100F194A124}">
      <formula1>INDIRECT(#REF!)</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B615D1A-16BB-4554-B4B4-AF9A129F5515}">
          <x14:formula1>
            <xm:f>'C:\Users\TIGER02\Desktop\100test\[Template_Summarization_withoutscoreboard_1108_used.xlsm]Severity_Matrix'!#REF!</xm:f>
          </x14:formula1>
          <xm:sqref>G2 G22:G26 G31:G36 G38:G39</xm:sqref>
        </x14:dataValidation>
        <x14:dataValidation type="list" allowBlank="1" showInputMessage="1" showErrorMessage="1" xr:uid="{A3584B39-ED4A-4FA7-A84C-4D25AA98D6EE}">
          <x14:formula1>
            <xm:f>'C:\Users\TIGER02\Desktop\100test\[Template_Summarization_withoutscoreboard_1126_used.xlsm]Severity_Matrix'!#REF!</xm:f>
          </x14:formula1>
          <xm:sqref>G408:G413 G415:G419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activeCell="A2" sqref="A2:A151"/>
    </sheetView>
  </sheetViews>
  <sheetFormatPr defaultColWidth="9" defaultRowHeight="15"/>
  <cols>
    <col min="1" max="1" width="9" style="77"/>
    <col min="2" max="2" width="23.19921875" style="27" customWidth="1"/>
    <col min="3" max="3" width="47" style="27" customWidth="1"/>
    <col min="4" max="4" width="11" style="27" bestFit="1" customWidth="1"/>
    <col min="5" max="9" width="9" style="27"/>
    <col min="10" max="10" width="17" style="27" bestFit="1" customWidth="1"/>
    <col min="11" max="16384" width="9" style="27"/>
  </cols>
  <sheetData>
    <row r="1" spans="1:10" ht="27.6">
      <c r="A1" s="75" t="s">
        <v>20</v>
      </c>
      <c r="B1" s="13" t="s">
        <v>4</v>
      </c>
      <c r="C1" s="13" t="s">
        <v>5</v>
      </c>
      <c r="D1" s="15" t="s">
        <v>44</v>
      </c>
      <c r="E1" s="12" t="s">
        <v>25</v>
      </c>
      <c r="F1" s="12" t="s">
        <v>23</v>
      </c>
      <c r="G1" s="12" t="s">
        <v>1</v>
      </c>
      <c r="H1" s="12" t="s">
        <v>46</v>
      </c>
      <c r="I1" s="12" t="s">
        <v>47</v>
      </c>
      <c r="J1" s="12" t="s">
        <v>53</v>
      </c>
    </row>
    <row r="2" spans="1:10">
      <c r="A2" s="73" t="s">
        <v>74</v>
      </c>
      <c r="B2" s="65" t="str">
        <f>IF(ISBLANK(A2),"",INDEX('Error Log'!$A:$J,MATCH('Scores per segment'!$A2,'Error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2" s="65" t="str">
        <f>IF(ISBLANK(A2),"",INDEX('Error Log'!$A:$J,MATCH('Scores per segment'!$A2,'Error Log'!$A:$A,0),MATCH('Scores per segment'!C$1,'Error Log'!$A$1:$J$1,0)))</f>
        <v>UNK ' corey ' campbell , 21 , was the ringleader of the gang .
he had been staying in the basement of campbell 's mother 's house in mayfair .
he had been staying in the basement of campbell 's mother 's house in mayfair .
he had been staying in the basement of campbell 's mother 's house in mayfair .</v>
      </c>
      <c r="D2" s="65">
        <f>IF(H2=0,wdct(TRIM(C2)),0)</f>
        <v>55</v>
      </c>
      <c r="E2" s="65">
        <f>COUNTIFS('Error Log'!$A:$A,$A2,'Error Log'!$J:$J,E$1)</f>
        <v>8</v>
      </c>
      <c r="F2" s="65">
        <f>COUNTIFS('Error Log'!$A:$A,$A2,'Error Log'!$J:$J,F$1)</f>
        <v>2</v>
      </c>
      <c r="G2" s="65">
        <f>COUNTIFS('Error Log'!$A:$A,$A2,'Error Log'!$J:$J,G$1)</f>
        <v>0</v>
      </c>
      <c r="H2" s="65">
        <f>COUNTIFS('Error Log'!$A:$A,$A2,'Error Log'!$F:$F,"Source")</f>
        <v>0</v>
      </c>
      <c r="I2" s="65">
        <f>COUNTIFS('Error Log'!$A:$A,$A2,'Error Log'!$F:$F,"Target")</f>
        <v>0</v>
      </c>
      <c r="J2" s="66">
        <f t="shared" ref="J2:J65" si="0">IF(I2=0,IFERROR((((1-((E2*10+F2*5+G2*1)/D2))*100)+100)/2,0),-150)</f>
        <v>18.181818181818176</v>
      </c>
    </row>
    <row r="3" spans="1:10">
      <c r="A3" s="73" t="s">
        <v>86</v>
      </c>
      <c r="B3" s="65" t="str">
        <f>IF(ISBLANK(A3),"",INDEX('Error Log'!$A:$J,MATCH('Scores per segment'!$A3,'Error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3" s="65" t="str">
        <f>IF(ISBLANK(A3),"",INDEX('Error Log'!$A:$J,MATCH('Scores per segment'!$A3,'Error Log'!$A:$A,0),MATCH('Scores per segment'!C$1,'Error Log'!$A$1:$J$1,0)))</f>
        <v>englishman jack nicklaus is still capable of hitting titles at the grand old age of 75 .
nicklaus was playing alongside gary neville , ben UNK and ben UNK .
nicklaus was playing alongside gary neville , ben UNK and ben UNK .</v>
      </c>
      <c r="D3" s="65">
        <f>IF(H3=0,wdct(TRIM(C3)),0)</f>
        <v>38</v>
      </c>
      <c r="E3" s="65">
        <f>COUNTIFS('Error Log'!$A:$A,$A3,'Error Log'!$J:$J,E$1)</f>
        <v>8</v>
      </c>
      <c r="F3" s="65">
        <f>COUNTIFS('Error Log'!$A:$A,$A3,'Error Log'!$J:$J,F$1)</f>
        <v>2</v>
      </c>
      <c r="G3" s="65">
        <f>COUNTIFS('Error Log'!$A:$A,$A3,'Error Log'!$J:$J,G$1)</f>
        <v>0</v>
      </c>
      <c r="H3" s="65">
        <f>COUNTIFS('Error Log'!$A:$A,$A3,'Error Log'!$F:$F,"Source")</f>
        <v>0</v>
      </c>
      <c r="I3" s="65">
        <f>COUNTIFS('Error Log'!$A:$A,$A3,'Error Log'!$F:$F,"Target")</f>
        <v>0</v>
      </c>
      <c r="J3" s="66">
        <f t="shared" si="0"/>
        <v>-18.421052631578931</v>
      </c>
    </row>
    <row r="4" spans="1:10">
      <c r="A4" s="73" t="s">
        <v>98</v>
      </c>
      <c r="B4" s="65" t="str">
        <f>IF(ISBLANK(A4),"",INDEX('Error Log'!$A:$J,MATCH('Scores per segment'!$A4,'Error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4" s="65" t="str">
        <f>IF(ISBLANK(A4),"",INDEX('Error Log'!$A:$J,MATCH('Scores per segment'!$A4,'Error Log'!$A:$A,0),MATCH('Scores per segment'!C$1,'Error Log'!$A$1:$J$1,0)))</f>
        <v>a sheriff 's deputy is accused of shooting a man in the bahamas for a family vacation .
he is accused of shooting a man in the bahamas for a family vacation .
he has apologized to the harris family .</v>
      </c>
      <c r="D4" s="65">
        <f>IF(H4=0,wdct(TRIM(C4)),0)</f>
        <v>38</v>
      </c>
      <c r="E4" s="65">
        <f>COUNTIFS('Error Log'!$A:$A,$A4,'Error Log'!$J:$J,E$1)</f>
        <v>4</v>
      </c>
      <c r="F4" s="65">
        <f>COUNTIFS('Error Log'!$A:$A,$A4,'Error Log'!$J:$J,F$1)</f>
        <v>4</v>
      </c>
      <c r="G4" s="65">
        <f>COUNTIFS('Error Log'!$A:$A,$A4,'Error Log'!$J:$J,G$1)</f>
        <v>1</v>
      </c>
      <c r="H4" s="65">
        <f>COUNTIFS('Error Log'!$A:$A,$A4,'Error Log'!$F:$F,"Source")</f>
        <v>0</v>
      </c>
      <c r="I4" s="65">
        <f>COUNTIFS('Error Log'!$A:$A,$A4,'Error Log'!$F:$F,"Target")</f>
        <v>0</v>
      </c>
      <c r="J4" s="66">
        <f t="shared" si="0"/>
        <v>19.736842105263154</v>
      </c>
    </row>
    <row r="5" spans="1:10">
      <c r="A5" s="73" t="s">
        <v>111</v>
      </c>
      <c r="B5" s="65" t="str">
        <f>IF(ISBLANK(A5),"",INDEX('Error Log'!$A:$J,MATCH('Scores per segment'!$A5,'Error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 s="65" t="str">
        <f>IF(ISBLANK(A5),"",INDEX('Error Log'!$A:$J,MATCH('Scores per segment'!$A5,'Error Log'!$A:$A,0),MATCH('Scores per segment'!C$1,'Error Log'!$A$1:$J$1,0)))</f>
        <v>curry beat portland trail blazers in the portland trail on thursday night .
curry was scored 12 points for the nba record for most UNK in a season .
UNK aldridge had 27 points and six rebounds .</v>
      </c>
      <c r="D5" s="65">
        <f>IF(H5=0,wdct(TRIM(C5)),0)</f>
        <v>35</v>
      </c>
      <c r="E5" s="65">
        <f>COUNTIFS('Error Log'!$A:$A,$A5,'Error Log'!$J:$J,E$1)</f>
        <v>9</v>
      </c>
      <c r="F5" s="65">
        <f>COUNTIFS('Error Log'!$A:$A,$A5,'Error Log'!$J:$J,F$1)</f>
        <v>1</v>
      </c>
      <c r="G5" s="65">
        <f>COUNTIFS('Error Log'!$A:$A,$A5,'Error Log'!$J:$J,G$1)</f>
        <v>2</v>
      </c>
      <c r="H5" s="65">
        <f>COUNTIFS('Error Log'!$A:$A,$A5,'Error Log'!$F:$F,"Source")</f>
        <v>0</v>
      </c>
      <c r="I5" s="65">
        <f>COUNTIFS('Error Log'!$A:$A,$A5,'Error Log'!$F:$F,"Target")</f>
        <v>0</v>
      </c>
      <c r="J5" s="66">
        <f t="shared" si="0"/>
        <v>-38.571428571428569</v>
      </c>
    </row>
    <row r="6" spans="1:10">
      <c r="A6" s="73" t="s">
        <v>124</v>
      </c>
      <c r="B6" s="65" t="str">
        <f>IF(ISBLANK(A6),"",INDEX('Error Log'!$A:$J,MATCH('Scores per segment'!$A6,'Error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6" s="65" t="str">
        <f>IF(ISBLANK(A6),"",INDEX('Error Log'!$A:$J,MATCH('Scores per segment'!$A6,'Error Log'!$A:$A,0),MATCH('Scores per segment'!C$1,'Error Log'!$A$1:$J$1,0)))</f>
        <v>conor mcgregor is challenging jose aldo on july 11 .
the 26-year-old has already got a picture of a gorilla eating a heart tattoo .
mcgregor is challenging jose aldo for featherweight title challenge .
mcgregor is challenging jose aldo for featherweight title challenge .</v>
      </c>
      <c r="D6" s="65">
        <f>IF(H6=0,wdct(TRIM(C6)),0)</f>
        <v>41</v>
      </c>
      <c r="E6" s="65">
        <f>COUNTIFS('Error Log'!$A:$A,$A6,'Error Log'!$J:$J,E$1)</f>
        <v>2</v>
      </c>
      <c r="F6" s="65">
        <f>COUNTIFS('Error Log'!$A:$A,$A6,'Error Log'!$J:$J,F$1)</f>
        <v>2</v>
      </c>
      <c r="G6" s="65">
        <f>COUNTIFS('Error Log'!$A:$A,$A6,'Error Log'!$J:$J,G$1)</f>
        <v>0</v>
      </c>
      <c r="H6" s="65">
        <f>COUNTIFS('Error Log'!$A:$A,$A6,'Error Log'!$F:$F,"Source")</f>
        <v>0</v>
      </c>
      <c r="I6" s="65">
        <f>COUNTIFS('Error Log'!$A:$A,$A6,'Error Log'!$F:$F,"Target")</f>
        <v>0</v>
      </c>
      <c r="J6" s="66">
        <f t="shared" si="0"/>
        <v>63.414634146341463</v>
      </c>
    </row>
    <row r="7" spans="1:10">
      <c r="A7" s="73" t="s">
        <v>131</v>
      </c>
      <c r="B7" s="65" t="str">
        <f>IF(ISBLANK(A7),"",INDEX('Error Log'!$A:$J,MATCH('Scores per segment'!$A7,'Error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7" s="65" t="str">
        <f>IF(ISBLANK(A7),"",INDEX('Error Log'!$A:$J,MATCH('Scores per segment'!$A7,'Error Log'!$A:$A,0),MATCH('Scores per segment'!C$1,'Error Log'!$A$1:$J$1,0)))</f>
        <v>liverpool beat liverpool 2-1 at anfield in the premier league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fabio borini , lazar markovic .</v>
      </c>
      <c r="D7" s="65">
        <f>IF(H7=0,wdct(TRIM(C7)),0)</f>
        <v>58</v>
      </c>
      <c r="E7" s="65">
        <f>COUNTIFS('Error Log'!$A:$A,$A7,'Error Log'!$J:$J,E$1)</f>
        <v>10</v>
      </c>
      <c r="F7" s="65">
        <f>COUNTIFS('Error Log'!$A:$A,$A7,'Error Log'!$J:$J,F$1)</f>
        <v>24</v>
      </c>
      <c r="G7" s="65">
        <f>COUNTIFS('Error Log'!$A:$A,$A7,'Error Log'!$J:$J,G$1)</f>
        <v>3</v>
      </c>
      <c r="H7" s="65">
        <f>COUNTIFS('Error Log'!$A:$A,$A7,'Error Log'!$F:$F,"Source")</f>
        <v>0</v>
      </c>
      <c r="I7" s="65">
        <f>COUNTIFS('Error Log'!$A:$A,$A7,'Error Log'!$F:$F,"Target")</f>
        <v>0</v>
      </c>
      <c r="J7" s="66">
        <f t="shared" si="0"/>
        <v>-92.241379310344826</v>
      </c>
    </row>
    <row r="8" spans="1:10">
      <c r="A8" s="73" t="s">
        <v>146</v>
      </c>
      <c r="B8" s="65" t="str">
        <f>IF(ISBLANK(A8),"",INDEX('Error Log'!$A:$J,MATCH('Scores per segment'!$A8,'Error Log'!$A:$A,0),MATCH('Scores per segment'!B$1,'Error Log'!$A$1:$J$1,0)))</f>
        <v>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v>
      </c>
      <c r="C8" s="65" t="str">
        <f>IF(ISBLANK(A8),"",INDEX('Error Log'!$A:$J,MATCH('Scores per segment'!$A8,'Error Log'!$A:$A,0),MATCH('Scores per segment'!C$1,'Error Log'!$A$1:$J$1,0)))</f>
        <v>australian prime minister tony abbott was cheered on by a crowd of about 50 as he UNK a UNK of beer .
mr abbott was cheered on by a crowd of about 50 as he UNK a UNK of beer .
mr abbott was applauded by a crowd of about 50 as he UNK a UNK of beer .</v>
      </c>
      <c r="D8" s="65">
        <f>IF(H8=0,wdct(TRIM(C8)),0)</f>
        <v>56</v>
      </c>
      <c r="E8" s="65">
        <f>COUNTIFS('Error Log'!$A:$A,$A8,'Error Log'!$J:$J,E$1)</f>
        <v>5</v>
      </c>
      <c r="F8" s="65">
        <f>COUNTIFS('Error Log'!$A:$A,$A8,'Error Log'!$J:$J,F$1)</f>
        <v>2</v>
      </c>
      <c r="G8" s="65">
        <f>COUNTIFS('Error Log'!$A:$A,$A8,'Error Log'!$J:$J,G$1)</f>
        <v>0</v>
      </c>
      <c r="H8" s="65">
        <f>COUNTIFS('Error Log'!$A:$A,$A8,'Error Log'!$F:$F,"Source")</f>
        <v>0</v>
      </c>
      <c r="I8" s="65">
        <f>COUNTIFS('Error Log'!$A:$A,$A8,'Error Log'!$F:$F,"Target")</f>
        <v>0</v>
      </c>
      <c r="J8" s="66">
        <f t="shared" si="0"/>
        <v>46.428571428571431</v>
      </c>
    </row>
    <row r="9" spans="1:10">
      <c r="A9" s="73" t="s">
        <v>157</v>
      </c>
      <c r="B9" s="65" t="str">
        <f>IF(ISBLANK(A9),"",INDEX('Error Log'!$A:$J,MATCH('Scores per segment'!$A9,'Error Log'!$A:$A,0),MATCH('Scores per segment'!B$1,'Error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v>
      </c>
      <c r="C9" s="65" t="str">
        <f>IF(ISBLANK(A9),"",INDEX('Error Log'!$A:$J,MATCH('Scores per segment'!$A9,'Error Log'!$A:$A,0),MATCH('Scores per segment'!C$1,'Error Log'!$A$1:$J$1,0)))</f>
        <v xml:space="preserve">breast cancer risk of breast cancer is a UNK risk of breast cancer .
women who carry gene variant may also lose risk of dying from breast cancer .
researchers in canada analysed UNK breast cancer patients who had one of the 99 per cent in breast cancer death .
</v>
      </c>
      <c r="D9" s="65">
        <f>IF(H9=0,wdct(TRIM(C9)),0)</f>
        <v>47</v>
      </c>
      <c r="E9" s="65">
        <f>COUNTIFS('Error Log'!$A:$A,$A9,'Error Log'!$J:$J,E$1)</f>
        <v>10</v>
      </c>
      <c r="F9" s="65">
        <f>COUNTIFS('Error Log'!$A:$A,$A9,'Error Log'!$J:$J,F$1)</f>
        <v>6</v>
      </c>
      <c r="G9" s="65">
        <f>COUNTIFS('Error Log'!$A:$A,$A9,'Error Log'!$J:$J,G$1)</f>
        <v>1</v>
      </c>
      <c r="H9" s="65">
        <f>COUNTIFS('Error Log'!$A:$A,$A9,'Error Log'!$F:$F,"Source")</f>
        <v>0</v>
      </c>
      <c r="I9" s="65">
        <f>COUNTIFS('Error Log'!$A:$A,$A9,'Error Log'!$F:$F,"Target")</f>
        <v>0</v>
      </c>
      <c r="J9" s="66">
        <f t="shared" si="0"/>
        <v>-39.361702127659569</v>
      </c>
    </row>
    <row r="10" spans="1:10">
      <c r="A10" s="73" t="s">
        <v>174</v>
      </c>
      <c r="B10" s="65" t="str">
        <f>IF(ISBLANK(A10),"",INDEX('Error Log'!$A:$J,MATCH('Scores per segment'!$A10,'Error Log'!$A:$A,0),MATCH('Scores per segment'!B$1,'Error Log'!$A$1:$J$1,0)))</f>
        <v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10" s="65" t="str">
        <f>IF(ISBLANK(A10),"",INDEX('Error Log'!$A:$J,MATCH('Scores per segment'!$A10,'Error Log'!$A:$A,0),MATCH('Scores per segment'!C$1,'Error Log'!$A$1:$J$1,0)))</f>
        <v xml:space="preserve">
there are 120 confirmed hiv cases and 10 preliminary positive cases tied to scott county , about 30 miles north of louisville , kentucky .
there are now 120 confirmed cases and 10 preliminary positive cases tied to scott county , about 30 miles north of louisville , kentucky .
</v>
      </c>
      <c r="D10" s="65">
        <f>IF(H10=0,wdct(TRIM(C10)),0)</f>
        <v>44</v>
      </c>
      <c r="E10" s="65">
        <f>COUNTIFS('Error Log'!$A:$A,$A10,'Error Log'!$J:$J,E$1)</f>
        <v>3</v>
      </c>
      <c r="F10" s="65">
        <f>COUNTIFS('Error Log'!$A:$A,$A10,'Error Log'!$J:$J,F$1)</f>
        <v>1</v>
      </c>
      <c r="G10" s="65">
        <f>COUNTIFS('Error Log'!$A:$A,$A10,'Error Log'!$J:$J,G$1)</f>
        <v>0</v>
      </c>
      <c r="H10" s="65">
        <f>COUNTIFS('Error Log'!$A:$A,$A10,'Error Log'!$F:$F,"Source")</f>
        <v>0</v>
      </c>
      <c r="I10" s="65">
        <f>COUNTIFS('Error Log'!$A:$A,$A10,'Error Log'!$F:$F,"Target")</f>
        <v>0</v>
      </c>
      <c r="J10" s="66">
        <f t="shared" si="0"/>
        <v>60.227272727272734</v>
      </c>
    </row>
    <row r="11" spans="1:10">
      <c r="A11" s="73" t="s">
        <v>181</v>
      </c>
      <c r="B11" s="65" t="str">
        <f>IF(ISBLANK(A11),"",INDEX('Error Log'!$A:$J,MATCH('Scores per segment'!$A11,'Error Log'!$A:$A,0),MATCH('Scores per segment'!B$1,'Error Log'!$A$1:$J$1,0)))</f>
        <v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1" s="65" t="str">
        <f>IF(ISBLANK(A11),"",INDEX('Error Log'!$A:$J,MATCH('Scores per segment'!$A11,'Error Log'!$A:$A,0),MATCH('Scores per segment'!C$1,'Error Log'!$A$1:$J$1,0)))</f>
        <v xml:space="preserve">
derek lowe , 38 , and tina lowe , 33 , were hit on easter sunday in durham , north carolina .
the UNK was headed from charlotte to new york city when the accident occurred on property owned by UNK .
the train continued on its route after a delay of about two hours and 45 minutes .</v>
      </c>
      <c r="D11" s="65">
        <f>IF(H11=0,wdct(TRIM(C11)),0)</f>
        <v>51</v>
      </c>
      <c r="E11" s="65">
        <f>COUNTIFS('Error Log'!$A:$A,$A11,'Error Log'!$J:$J,E$1)</f>
        <v>4</v>
      </c>
      <c r="F11" s="65">
        <f>COUNTIFS('Error Log'!$A:$A,$A11,'Error Log'!$J:$J,F$1)</f>
        <v>0</v>
      </c>
      <c r="G11" s="65">
        <f>COUNTIFS('Error Log'!$A:$A,$A11,'Error Log'!$J:$J,G$1)</f>
        <v>0</v>
      </c>
      <c r="H11" s="65">
        <f>COUNTIFS('Error Log'!$A:$A,$A11,'Error Log'!$F:$F,"Source")</f>
        <v>0</v>
      </c>
      <c r="I11" s="65">
        <f>COUNTIFS('Error Log'!$A:$A,$A11,'Error Log'!$F:$F,"Target")</f>
        <v>0</v>
      </c>
      <c r="J11" s="66">
        <f t="shared" si="0"/>
        <v>60.784313725490193</v>
      </c>
    </row>
    <row r="12" spans="1:10">
      <c r="A12" s="73" t="s">
        <v>186</v>
      </c>
      <c r="B12" s="65" t="str">
        <f>IF(ISBLANK(A12),"",INDEX('Error Log'!$A:$J,MATCH('Scores per segment'!$A12,'Error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v>
      </c>
      <c r="C12" s="65" t="str">
        <f>IF(ISBLANK(A12),"",INDEX('Error Log'!$A:$J,MATCH('Scores per segment'!$A12,'Error Log'!$A:$A,0),MATCH('Scores per segment'!C$1,'Error Log'!$A$1:$J$1,0)))</f>
        <v>arsenal fan saskia scored an impressive UNK out of 50 .
the 22-year-old made his arsenal debut for the gunners in the fa cup final .
the 22-year-old made his arsenal debut against hull city in the fa cup final .</v>
      </c>
      <c r="D12" s="65">
        <f>IF(H12=0,wdct(TRIM(C12)),0)</f>
        <v>38</v>
      </c>
      <c r="E12" s="65">
        <f>COUNTIFS('Error Log'!$A:$A,$A12,'Error Log'!$J:$J,E$1)</f>
        <v>15</v>
      </c>
      <c r="F12" s="65">
        <f>COUNTIFS('Error Log'!$A:$A,$A12,'Error Log'!$J:$J,F$1)</f>
        <v>5</v>
      </c>
      <c r="G12" s="65">
        <f>COUNTIFS('Error Log'!$A:$A,$A12,'Error Log'!$J:$J,G$1)</f>
        <v>7</v>
      </c>
      <c r="H12" s="65">
        <f>COUNTIFS('Error Log'!$A:$A,$A12,'Error Log'!$F:$F,"Source")</f>
        <v>0</v>
      </c>
      <c r="I12" s="65">
        <f>COUNTIFS('Error Log'!$A:$A,$A12,'Error Log'!$F:$F,"Target")</f>
        <v>0</v>
      </c>
      <c r="J12" s="66">
        <f t="shared" si="0"/>
        <v>-139.47368421052633</v>
      </c>
    </row>
    <row r="13" spans="1:10">
      <c r="A13" s="73" t="s">
        <v>217</v>
      </c>
      <c r="B13" s="65" t="str">
        <f>IF(ISBLANK(A13),"",INDEX('Error Log'!$A:$J,MATCH('Scores per segment'!$A13,'Error Log'!$A:$A,0),MATCH('Scores per segment'!B$1,'Error Log'!$A$1:$J$1,0)))</f>
        <v>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v>
      </c>
      <c r="C13" s="65" t="str">
        <f>IF(ISBLANK(A13),"",INDEX('Error Log'!$A:$J,MATCH('Scores per segment'!$A13,'Error Log'!$A:$A,0),MATCH('Scores per segment'!C$1,'Error Log'!$A$1:$J$1,0)))</f>
        <v xml:space="preserve">
carlos shapiro , 66 , worked as an informant who spent the last 27 years working for the dea as an informant .
he was one of the dea 's most important assets and helped carry out undercover narcotics in the world .
he was one of the dea 's most important assets and helped carry out undercover narcotics .
</v>
      </c>
      <c r="D13" s="65">
        <f>IF(H13=0,wdct(TRIM(C13)),0)</f>
        <v>55</v>
      </c>
      <c r="E13" s="65">
        <f>COUNTIFS('Error Log'!$A:$A,$A13,'Error Log'!$J:$J,E$1)</f>
        <v>6</v>
      </c>
      <c r="F13" s="65">
        <f>COUNTIFS('Error Log'!$A:$A,$A13,'Error Log'!$J:$J,F$1)</f>
        <v>3</v>
      </c>
      <c r="G13" s="65">
        <f>COUNTIFS('Error Log'!$A:$A,$A13,'Error Log'!$J:$J,G$1)</f>
        <v>0</v>
      </c>
      <c r="H13" s="65">
        <f>COUNTIFS('Error Log'!$A:$A,$A13,'Error Log'!$F:$F,"Source")</f>
        <v>0</v>
      </c>
      <c r="I13" s="65">
        <f>COUNTIFS('Error Log'!$A:$A,$A13,'Error Log'!$F:$F,"Target")</f>
        <v>0</v>
      </c>
      <c r="J13" s="66">
        <f t="shared" si="0"/>
        <v>31.818181818181824</v>
      </c>
    </row>
    <row r="14" spans="1:10">
      <c r="A14" s="73" t="s">
        <v>230</v>
      </c>
      <c r="B14" s="65" t="str">
        <f>IF(ISBLANK(A14),"",INDEX('Error Log'!$A:$J,MATCH('Scores per segment'!$A14,'Error Log'!$A:$A,0),MATCH('Scores per segment'!B$1,'Error Log'!$A$1:$J$1,0)))</f>
        <v>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v>
      </c>
      <c r="C14" s="65" t="str">
        <f>IF(ISBLANK(A14),"",INDEX('Error Log'!$A:$J,MATCH('Scores per segment'!$A14,'Error Log'!$A:$A,0),MATCH('Scores per segment'!C$1,'Error Log'!$A$1:$J$1,0)))</f>
        <v xml:space="preserve">
UNK UNK has been bailed after being arrested on suspicion of sexual assault .
the former all black , who denies the allegations , was arrested on suspicion of sexual assault .
his solicitor matthew de maid said : ' he totally denies all the allegations ' .</v>
      </c>
      <c r="D14" s="65">
        <f>IF(H14=0,wdct(TRIM(C14)),0)</f>
        <v>40</v>
      </c>
      <c r="E14" s="65">
        <f>COUNTIFS('Error Log'!$A:$A,$A14,'Error Log'!$J:$J,E$1)</f>
        <v>4</v>
      </c>
      <c r="F14" s="65">
        <f>COUNTIFS('Error Log'!$A:$A,$A14,'Error Log'!$J:$J,F$1)</f>
        <v>1</v>
      </c>
      <c r="G14" s="65">
        <f>COUNTIFS('Error Log'!$A:$A,$A14,'Error Log'!$J:$J,G$1)</f>
        <v>0</v>
      </c>
      <c r="H14" s="65">
        <f>COUNTIFS('Error Log'!$A:$A,$A14,'Error Log'!$F:$F,"Source")</f>
        <v>0</v>
      </c>
      <c r="I14" s="65">
        <f>COUNTIFS('Error Log'!$A:$A,$A14,'Error Log'!$F:$F,"Target")</f>
        <v>0</v>
      </c>
      <c r="J14" s="66">
        <f t="shared" si="0"/>
        <v>43.75</v>
      </c>
    </row>
    <row r="15" spans="1:10">
      <c r="A15" s="73" t="s">
        <v>236</v>
      </c>
      <c r="B15" s="65" t="str">
        <f>IF(ISBLANK(A15),"",INDEX('Error Log'!$A:$J,MATCH('Scores per segment'!$A15,'Error Log'!$A:$A,0),MATCH('Scores per segment'!B$1,'Error Log'!$A$1:$J$1,0)))</f>
        <v>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C15" s="65" t="str">
        <f>IF(ISBLANK(A15),"",INDEX('Error Log'!$A:$J,MATCH('Scores per segment'!$A15,'Error Log'!$A:$A,0),MATCH('Scores per segment'!C$1,'Error Log'!$A$1:$J$1,0)))</f>
        <v xml:space="preserve">
kevin spacey is reportedly among celebrities paying out to have their name removed from one of the UNK ' domains which opened on 30 march .
UNK , UNK , UNK , UNK , UNK , UNK , UNK , UNK , UNK , UNK , UNK .
</v>
      </c>
      <c r="D15" s="65">
        <f>IF(H15=0,wdct(TRIM(C15)),0)</f>
        <v>35</v>
      </c>
      <c r="E15" s="65">
        <f>COUNTIFS('Error Log'!$A:$A,$A15,'Error Log'!$J:$J,E$1)</f>
        <v>3</v>
      </c>
      <c r="F15" s="65">
        <f>COUNTIFS('Error Log'!$A:$A,$A15,'Error Log'!$J:$J,F$1)</f>
        <v>12</v>
      </c>
      <c r="G15" s="65">
        <f>COUNTIFS('Error Log'!$A:$A,$A15,'Error Log'!$J:$J,G$1)</f>
        <v>0</v>
      </c>
      <c r="H15" s="65">
        <f>COUNTIFS('Error Log'!$A:$A,$A15,'Error Log'!$F:$F,"Source")</f>
        <v>0</v>
      </c>
      <c r="I15" s="65">
        <f>COUNTIFS('Error Log'!$A:$A,$A15,'Error Log'!$F:$F,"Target")</f>
        <v>0</v>
      </c>
      <c r="J15" s="66">
        <f t="shared" si="0"/>
        <v>-28.571428571428584</v>
      </c>
    </row>
    <row r="16" spans="1:10">
      <c r="A16" s="73" t="s">
        <v>243</v>
      </c>
      <c r="B16" s="65" t="str">
        <f>IF(ISBLANK(A16),"",INDEX('Error Log'!$A:$J,MATCH('Scores per segment'!$A16,'Error Log'!$A:$A,0),MATCH('Scores per segment'!B$1,'Error Log'!$A$1:$J$1,0)))</f>
        <v>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6" s="65" t="str">
        <f>IF(ISBLANK(A16),"",INDEX('Error Log'!$A:$J,MATCH('Scores per segment'!$A16,'Error Log'!$A:$A,0),MATCH('Scores per segment'!C$1,'Error Log'!$A$1:$J$1,0)))</f>
        <v>the 14-year-old is now fighting for her life in UNK UNK hospital .
her family reportedly told her to keep quiet about the attack .
she is now fighting for her life in UNK UNK hospital .</v>
      </c>
      <c r="D16" s="65">
        <f>IF(H16=0,wdct(TRIM(C16)),0)</f>
        <v>34</v>
      </c>
      <c r="E16" s="65">
        <f>COUNTIFS('Error Log'!$A:$A,$A16,'Error Log'!$J:$J,E$1)</f>
        <v>6</v>
      </c>
      <c r="F16" s="65">
        <f>COUNTIFS('Error Log'!$A:$A,$A16,'Error Log'!$J:$J,F$1)</f>
        <v>2</v>
      </c>
      <c r="G16" s="65">
        <f>COUNTIFS('Error Log'!$A:$A,$A16,'Error Log'!$J:$J,G$1)</f>
        <v>0</v>
      </c>
      <c r="H16" s="65">
        <f>COUNTIFS('Error Log'!$A:$A,$A16,'Error Log'!$F:$F,"Source")</f>
        <v>0</v>
      </c>
      <c r="I16" s="65">
        <f>COUNTIFS('Error Log'!$A:$A,$A16,'Error Log'!$F:$F,"Target")</f>
        <v>0</v>
      </c>
      <c r="J16" s="66">
        <f t="shared" si="0"/>
        <v>-2.9411764705882248</v>
      </c>
    </row>
    <row r="17" spans="1:10">
      <c r="A17" s="73" t="s">
        <v>253</v>
      </c>
      <c r="B17" s="65" t="str">
        <f>IF(ISBLANK(A17),"",INDEX('Error Log'!$A:$J,MATCH('Scores per segment'!$A17,'Error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7" s="65" t="str">
        <f>IF(ISBLANK(A17),"",INDEX('Error Log'!$A:$J,MATCH('Scores per segment'!$A17,'Error Log'!$A:$A,0),MATCH('Scores per segment'!C$1,'Error Log'!$A$1:$J$1,0)))</f>
        <v>police found the body from his grave in norfolk last year after the case came up for UNK review .
a dna sample led them to his mother , who has not been named , was arrested on suspicion of human trafficking .
police have ruled out foul play and the woman remains on bail .</v>
      </c>
      <c r="D17" s="65">
        <f>IF(H17=0,wdct(TRIM(C17)),0)</f>
        <v>51</v>
      </c>
      <c r="E17" s="65">
        <f>COUNTIFS('Error Log'!$A:$A,$A17,'Error Log'!$J:$J,E$1)</f>
        <v>3</v>
      </c>
      <c r="F17" s="65">
        <f>COUNTIFS('Error Log'!$A:$A,$A17,'Error Log'!$J:$J,F$1)</f>
        <v>1</v>
      </c>
      <c r="G17" s="65">
        <f>COUNTIFS('Error Log'!$A:$A,$A17,'Error Log'!$J:$J,G$1)</f>
        <v>0</v>
      </c>
      <c r="H17" s="65">
        <f>COUNTIFS('Error Log'!$A:$A,$A17,'Error Log'!$F:$F,"Source")</f>
        <v>0</v>
      </c>
      <c r="I17" s="65">
        <f>COUNTIFS('Error Log'!$A:$A,$A17,'Error Log'!$F:$F,"Target")</f>
        <v>0</v>
      </c>
      <c r="J17" s="66">
        <f t="shared" si="0"/>
        <v>65.686274509803923</v>
      </c>
    </row>
    <row r="18" spans="1:10">
      <c r="A18" s="73" t="s">
        <v>259</v>
      </c>
      <c r="B18" s="65" t="str">
        <f>IF(ISBLANK(A18),"",INDEX('Error Log'!$A:$J,MATCH('Scores per segment'!$A18,'Error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v>
      </c>
      <c r="C18" s="65" t="str">
        <f>IF(ISBLANK(A18),"",INDEX('Error Log'!$A:$J,MATCH('Scores per segment'!$A18,'Error Log'!$A:$A,0),MATCH('Scores per segment'!C$1,'Error Log'!$A$1:$J$1,0)))</f>
        <v>robin van persie will not play for manchester united against city on sunday .
louis van gaal says he has been dreaming of beating manchester united .
van gaal says he has been dreaming of beating manchester united .
van gaal says he is not fit enough to play for manchester united .</v>
      </c>
      <c r="D18" s="65">
        <f>IF(H18=0,wdct(TRIM(C18)),0)</f>
        <v>49</v>
      </c>
      <c r="E18" s="65">
        <f>COUNTIFS('Error Log'!$A:$A,$A18,'Error Log'!$J:$J,E$1)</f>
        <v>1</v>
      </c>
      <c r="F18" s="65">
        <f>COUNTIFS('Error Log'!$A:$A,$A18,'Error Log'!$J:$J,F$1)</f>
        <v>2</v>
      </c>
      <c r="G18" s="65">
        <f>COUNTIFS('Error Log'!$A:$A,$A18,'Error Log'!$J:$J,G$1)</f>
        <v>0</v>
      </c>
      <c r="H18" s="65">
        <f>COUNTIFS('Error Log'!$A:$A,$A18,'Error Log'!$F:$F,"Source")</f>
        <v>0</v>
      </c>
      <c r="I18" s="65">
        <f>COUNTIFS('Error Log'!$A:$A,$A18,'Error Log'!$F:$F,"Target")</f>
        <v>0</v>
      </c>
      <c r="J18" s="66">
        <f t="shared" si="0"/>
        <v>79.591836734693885</v>
      </c>
    </row>
    <row r="19" spans="1:10">
      <c r="A19" s="73" t="s">
        <v>264</v>
      </c>
      <c r="B19" s="65" t="str">
        <f>IF(ISBLANK(A19),"",INDEX('Error Log'!$A:$J,MATCH('Scores per segment'!$A19,'Error Log'!$A:$A,0),MATCH('Scores per segment'!B$1,'Error Log'!$A$1:$J$1,0)))</f>
        <v>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v>
      </c>
      <c r="C19" s="65" t="str">
        <f>IF(ISBLANK(A19),"",INDEX('Error Log'!$A:$J,MATCH('Scores per segment'!$A19,'Error Log'!$A:$A,0),MATCH('Scores per segment'!C$1,'Error Log'!$A$1:$J$1,0)))</f>
        <v>UNK hicks , now 27 , was on his way home from a night out in bath .
he suffered severe brain injury and is now required round-the-clock care .
he suffered brain injury and needs round-the-clock care from his mother .</v>
      </c>
      <c r="D19" s="65">
        <f>IF(H19=0,wdct(TRIM(C19)),0)</f>
        <v>37</v>
      </c>
      <c r="E19" s="65">
        <f>COUNTIFS('Error Log'!$A:$A,$A19,'Error Log'!$J:$J,E$1)</f>
        <v>6</v>
      </c>
      <c r="F19" s="65">
        <f>COUNTIFS('Error Log'!$A:$A,$A19,'Error Log'!$J:$J,F$1)</f>
        <v>1</v>
      </c>
      <c r="G19" s="65">
        <f>COUNTIFS('Error Log'!$A:$A,$A19,'Error Log'!$J:$J,G$1)</f>
        <v>0</v>
      </c>
      <c r="H19" s="65">
        <f>COUNTIFS('Error Log'!$A:$A,$A19,'Error Log'!$F:$F,"Source")</f>
        <v>0</v>
      </c>
      <c r="I19" s="65">
        <f>COUNTIFS('Error Log'!$A:$A,$A19,'Error Log'!$F:$F,"Target")</f>
        <v>0</v>
      </c>
      <c r="J19" s="66">
        <f t="shared" si="0"/>
        <v>12.162162162162161</v>
      </c>
    </row>
    <row r="20" spans="1:10">
      <c r="A20" s="73" t="s">
        <v>273</v>
      </c>
      <c r="B20" s="65" t="str">
        <f>IF(ISBLANK(A20),"",INDEX('Error Log'!$A:$J,MATCH('Scores per segment'!$A20,'Error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20" s="65" t="str">
        <f>IF(ISBLANK(A20),"",INDEX('Error Log'!$A:$J,MATCH('Scores per segment'!$A20,'Error Log'!$A:$A,0),MATCH('Scores per segment'!C$1,'Error Log'!$A$1:$J$1,0)))</f>
        <v>arsenal and liverpool fans left empty seats empty at the emirates stadium .
fans are ' disgusted ' at the continuing rise of ticket prices .
fans are ' disgusted ' at the continuing rise of ticket prices .</v>
      </c>
      <c r="D20" s="65">
        <f>IF(H20=0,wdct(TRIM(C20)),0)</f>
        <v>32</v>
      </c>
      <c r="E20" s="65">
        <f>COUNTIFS('Error Log'!$A:$A,$A20,'Error Log'!$J:$J,E$1)</f>
        <v>2</v>
      </c>
      <c r="F20" s="65">
        <f>COUNTIFS('Error Log'!$A:$A,$A20,'Error Log'!$J:$J,F$1)</f>
        <v>3</v>
      </c>
      <c r="G20" s="65">
        <f>COUNTIFS('Error Log'!$A:$A,$A20,'Error Log'!$J:$J,G$1)</f>
        <v>3</v>
      </c>
      <c r="H20" s="65">
        <f>COUNTIFS('Error Log'!$A:$A,$A20,'Error Log'!$F:$F,"Source")</f>
        <v>0</v>
      </c>
      <c r="I20" s="65">
        <f>COUNTIFS('Error Log'!$A:$A,$A20,'Error Log'!$F:$F,"Target")</f>
        <v>0</v>
      </c>
      <c r="J20" s="66">
        <f t="shared" si="0"/>
        <v>40.625</v>
      </c>
    </row>
    <row r="21" spans="1:10">
      <c r="A21" s="74" t="s">
        <v>285</v>
      </c>
      <c r="B21" s="65" t="str">
        <f>IF(ISBLANK(A21),"",INDEX('Error Log'!$A:$J,MATCH('Scores per segment'!$A21,'Error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21" s="65" t="str">
        <f>IF(ISBLANK(A21),"",INDEX('Error Log'!$A:$J,MATCH('Scores per segment'!$A21,'Error Log'!$A:$A,0),MATCH('Scores per segment'!C$1,'Error Log'!$A$1:$J$1,0)))</f>
        <v>new : tornado touched down in a kansas city , missouri .
tornado touched down in a kansas city , missouri , about 70 miles from st. louis .
the tornado killed 70 miles southwest of wichita , kansas , according to forecasters .</v>
      </c>
      <c r="D21" s="65">
        <f>IF(H21=0,wdct(TRIM(C21)),0)</f>
        <v>35</v>
      </c>
      <c r="E21" s="65">
        <f>COUNTIFS('Error Log'!$A:$A,$A21,'Error Log'!$J:$J,E$1)</f>
        <v>4</v>
      </c>
      <c r="F21" s="65">
        <f>COUNTIFS('Error Log'!$A:$A,$A21,'Error Log'!$J:$J,F$1)</f>
        <v>3</v>
      </c>
      <c r="G21" s="65">
        <f>COUNTIFS('Error Log'!$A:$A,$A21,'Error Log'!$J:$J,G$1)</f>
        <v>0</v>
      </c>
      <c r="H21" s="65">
        <f>COUNTIFS('Error Log'!$A:$A,$A21,'Error Log'!$F:$F,"Source")</f>
        <v>0</v>
      </c>
      <c r="I21" s="65">
        <f>COUNTIFS('Error Log'!$A:$A,$A21,'Error Log'!$F:$F,"Target")</f>
        <v>0</v>
      </c>
      <c r="J21" s="66">
        <f t="shared" si="0"/>
        <v>21.428571428571431</v>
      </c>
    </row>
    <row r="22" spans="1:10">
      <c r="A22" s="74" t="s">
        <v>299</v>
      </c>
      <c r="B22" s="65" t="str">
        <f>IF(ISBLANK(A22),"",INDEX('Error Log'!$A:$J,MATCH('Scores per segment'!$A22,'Error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v>
      </c>
      <c r="C22" s="65" t="str">
        <f>IF(ISBLANK(A22),"",INDEX('Error Log'!$A:$J,MATCH('Scores per segment'!$A22,'Error Log'!$A:$A,0),MATCH('Scores per segment'!C$1,'Error Log'!$A$1:$J$1,0)))</f>
        <v>the baby 's mother was diagnosed with UNK UNK in january .
the baby 's mother was diagnosed with UNK UNK in hospital .
her parents were told the infant would need a liver transplant in order to survive .</v>
      </c>
      <c r="D22" s="65">
        <f>IF(H22=0,wdct(TRIM(C22)),0)</f>
        <v>37</v>
      </c>
      <c r="E22" s="65">
        <f>COUNTIFS('Error Log'!$A:$A,$A22,'Error Log'!$J:$J,E$1)</f>
        <v>8</v>
      </c>
      <c r="F22" s="65">
        <f>COUNTIFS('Error Log'!$A:$A,$A22,'Error Log'!$J:$J,F$1)</f>
        <v>2</v>
      </c>
      <c r="G22" s="65">
        <f>COUNTIFS('Error Log'!$A:$A,$A22,'Error Log'!$J:$J,G$1)</f>
        <v>1</v>
      </c>
      <c r="H22" s="65">
        <f>COUNTIFS('Error Log'!$A:$A,$A22,'Error Log'!$F:$F,"Source")</f>
        <v>0</v>
      </c>
      <c r="I22" s="65">
        <f>COUNTIFS('Error Log'!$A:$A,$A22,'Error Log'!$F:$F,"Target")</f>
        <v>0</v>
      </c>
      <c r="J22" s="66">
        <f t="shared" si="0"/>
        <v>-22.972972972972983</v>
      </c>
    </row>
    <row r="23" spans="1:10">
      <c r="A23" s="74" t="s">
        <v>312</v>
      </c>
      <c r="B23" s="65" t="str">
        <f>IF(ISBLANK(A23),"",INDEX('Error Log'!$A:$J,MATCH('Scores per segment'!$A23,'Error Log'!$A:$A,0),MATCH('Scores per segment'!B$1,'Error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v>
      </c>
      <c r="C23" s="65" t="str">
        <f>IF(ISBLANK(A23),"",INDEX('Error Log'!$A:$J,MATCH('Scores per segment'!$A23,'Error Log'!$A:$A,0),MATCH('Scores per segment'!C$1,'Error Log'!$A$1:$J$1,0)))</f>
        <v>the californian is bidding for fourth consecutive victory since losing to UNK in new jersey on saturday .
the californian is bidding for fourth consecutive victory since losing to UNK financially two years ago .
the californian is bidding for fourth consecutive victory since losing to UNK .</v>
      </c>
      <c r="D23" s="65">
        <f>IF(H23=0,wdct(TRIM(C23)),0)</f>
        <v>45</v>
      </c>
      <c r="E23" s="65">
        <f>COUNTIFS('Error Log'!$A:$A,$A23,'Error Log'!$J:$J,E$1)</f>
        <v>4</v>
      </c>
      <c r="F23" s="65">
        <f>COUNTIFS('Error Log'!$A:$A,$A23,'Error Log'!$J:$J,F$1)</f>
        <v>2</v>
      </c>
      <c r="G23" s="65">
        <f>COUNTIFS('Error Log'!$A:$A,$A23,'Error Log'!$J:$J,G$1)</f>
        <v>2</v>
      </c>
      <c r="H23" s="65">
        <f>COUNTIFS('Error Log'!$A:$A,$A23,'Error Log'!$F:$F,"Source")</f>
        <v>0</v>
      </c>
      <c r="I23" s="65">
        <f>COUNTIFS('Error Log'!$A:$A,$A23,'Error Log'!$F:$F,"Target")</f>
        <v>0</v>
      </c>
      <c r="J23" s="66">
        <f t="shared" si="0"/>
        <v>42.222222222222229</v>
      </c>
    </row>
    <row r="24" spans="1:10">
      <c r="A24" s="74" t="s">
        <v>322</v>
      </c>
      <c r="B24" s="65" t="str">
        <f>IF(ISBLANK(A24),"",INDEX('Error Log'!$A:$J,MATCH('Scores per segment'!$A24,'Error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v>
      </c>
      <c r="C24" s="65" t="str">
        <f>IF(ISBLANK(A24),"",INDEX('Error Log'!$A:$J,MATCH('Scores per segment'!$A24,'Error Log'!$A:$A,0),MATCH('Scores per segment'!C$1,'Error Log'!$A$1:$J$1,0)))</f>
        <v>eden hazard and nathan ake go head-to-head in the boot of a car .
hazard and matic set to sink their ball into the boot of a car from close range .
the duo were involved in the biggest blows in the first two rounds .</v>
      </c>
      <c r="D24" s="65">
        <f>IF(H24=0,wdct(TRIM(C24)),0)</f>
        <v>43</v>
      </c>
      <c r="E24" s="65">
        <f>COUNTIFS('Error Log'!$A:$A,$A24,'Error Log'!$J:$J,E$1)</f>
        <v>7</v>
      </c>
      <c r="F24" s="65">
        <f>COUNTIFS('Error Log'!$A:$A,$A24,'Error Log'!$J:$J,F$1)</f>
        <v>1</v>
      </c>
      <c r="G24" s="65">
        <f>COUNTIFS('Error Log'!$A:$A,$A24,'Error Log'!$J:$J,G$1)</f>
        <v>0</v>
      </c>
      <c r="H24" s="65">
        <f>COUNTIFS('Error Log'!$A:$A,$A24,'Error Log'!$F:$F,"Source")</f>
        <v>0</v>
      </c>
      <c r="I24" s="65">
        <f>COUNTIFS('Error Log'!$A:$A,$A24,'Error Log'!$F:$F,"Target")</f>
        <v>0</v>
      </c>
      <c r="J24" s="66">
        <f t="shared" si="0"/>
        <v>12.790697674418603</v>
      </c>
    </row>
    <row r="25" spans="1:10">
      <c r="A25" s="74" t="s">
        <v>334</v>
      </c>
      <c r="B25" s="65" t="str">
        <f>IF(ISBLANK(A25),"",INDEX('Error Log'!$A:$J,MATCH('Scores per segment'!$A25,'Error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5" s="65" t="str">
        <f>IF(ISBLANK(A25),"",INDEX('Error Log'!$A:$J,MATCH('Scores per segment'!$A25,'Error Log'!$A:$A,0),MATCH('Scores per segment'!C$1,'Error Log'!$A$1:$J$1,0)))</f>
        <v>shocking footage shows cabin crew of cabin crew on landing gear .
pilot UNK the aircraft as the wings bounce up and down from impact .
pilot UNK the engines and makes a second impact with the runway .
the landing gear can be heard UNK off the ground .</v>
      </c>
      <c r="D25" s="65">
        <f>IF(H25=0,wdct(TRIM(C25)),0)</f>
        <v>46</v>
      </c>
      <c r="E25" s="65">
        <f>COUNTIFS('Error Log'!$A:$A,$A25,'Error Log'!$J:$J,E$1)</f>
        <v>15</v>
      </c>
      <c r="F25" s="65">
        <f>COUNTIFS('Error Log'!$A:$A,$A25,'Error Log'!$J:$J,F$1)</f>
        <v>7</v>
      </c>
      <c r="G25" s="65">
        <f>COUNTIFS('Error Log'!$A:$A,$A25,'Error Log'!$J:$J,G$1)</f>
        <v>3</v>
      </c>
      <c r="H25" s="65">
        <f>COUNTIFS('Error Log'!$A:$A,$A25,'Error Log'!$F:$F,"Source")</f>
        <v>0</v>
      </c>
      <c r="I25" s="65">
        <f>COUNTIFS('Error Log'!$A:$A,$A25,'Error Log'!$F:$F,"Target")</f>
        <v>0</v>
      </c>
      <c r="J25" s="66">
        <f t="shared" si="0"/>
        <v>-104.34782608695653</v>
      </c>
    </row>
    <row r="26" spans="1:10">
      <c r="A26" s="74" t="s">
        <v>352</v>
      </c>
      <c r="B26" s="65" t="str">
        <f>IF(ISBLANK(A26),"",INDEX('Error Log'!$A:$J,MATCH('Scores per segment'!$A26,'Error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6" s="65" t="str">
        <f>IF(ISBLANK(A26),"",INDEX('Error Log'!$A:$J,MATCH('Scores per segment'!$A26,'Error Log'!$A:$A,0),MATCH('Scores per segment'!C$1,'Error Log'!$A$1:$J$1,0)))</f>
        <v>robert dellinger , 54 , told investigators he was trying to kill himself in december 2013 when he drove his pickup truck across a median at more than 100mph and plowed into an oncoming suv .
prosecutors said dellinger broke down in tears at the defense table as his wife was speaking to the relatives of murphy and pal .</v>
      </c>
      <c r="D26" s="65">
        <f>IF(H26=0,wdct(TRIM(C26)),0)</f>
        <v>56</v>
      </c>
      <c r="E26" s="65">
        <f>COUNTIFS('Error Log'!$A:$A,$A26,'Error Log'!$J:$J,E$1)</f>
        <v>6</v>
      </c>
      <c r="F26" s="65">
        <f>COUNTIFS('Error Log'!$A:$A,$A26,'Error Log'!$J:$J,F$1)</f>
        <v>1</v>
      </c>
      <c r="G26" s="65">
        <f>COUNTIFS('Error Log'!$A:$A,$A26,'Error Log'!$J:$J,G$1)</f>
        <v>0</v>
      </c>
      <c r="H26" s="65">
        <f>COUNTIFS('Error Log'!$A:$A,$A26,'Error Log'!$F:$F,"Source")</f>
        <v>0</v>
      </c>
      <c r="I26" s="65">
        <f>COUNTIFS('Error Log'!$A:$A,$A26,'Error Log'!$F:$F,"Target")</f>
        <v>0</v>
      </c>
      <c r="J26" s="66">
        <f t="shared" si="0"/>
        <v>41.964285714285708</v>
      </c>
    </row>
    <row r="27" spans="1:10">
      <c r="A27" s="74" t="s">
        <v>363</v>
      </c>
      <c r="B27" s="65" t="str">
        <f>IF(ISBLANK(A27),"",INDEX('Error Log'!$A:$J,MATCH('Scores per segment'!$A27,'Error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7" s="65" t="str">
        <f>IF(ISBLANK(A27),"",INDEX('Error Log'!$A:$J,MATCH('Scores per segment'!$A27,'Error Log'!$A:$A,0),MATCH('Scores per segment'!C$1,'Error Log'!$A$1:$J$1,0)))</f>
        <v>manuel pellegrini has admitted he has been disappointed by the ivorian .
toure has been disappointed by the ivorian city midfielder 's level .
toure has been disappointed by the ivorian city midfielder 's level .
city will also face the hammers without captain vincent kompany .
click here for more manchester city news .</v>
      </c>
      <c r="D27" s="65">
        <f>IF(H27=0,wdct(TRIM(C27)),0)</f>
        <v>50</v>
      </c>
      <c r="E27" s="65">
        <f>COUNTIFS('Error Log'!$A:$A,$A27,'Error Log'!$J:$J,E$1)</f>
        <v>4</v>
      </c>
      <c r="F27" s="65">
        <f>COUNTIFS('Error Log'!$A:$A,$A27,'Error Log'!$J:$J,F$1)</f>
        <v>2</v>
      </c>
      <c r="G27" s="65">
        <f>COUNTIFS('Error Log'!$A:$A,$A27,'Error Log'!$J:$J,G$1)</f>
        <v>0</v>
      </c>
      <c r="H27" s="65">
        <f>COUNTIFS('Error Log'!$A:$A,$A27,'Error Log'!$F:$F,"Source")</f>
        <v>0</v>
      </c>
      <c r="I27" s="65">
        <f>COUNTIFS('Error Log'!$A:$A,$A27,'Error Log'!$F:$F,"Target")</f>
        <v>0</v>
      </c>
      <c r="J27" s="66">
        <f t="shared" si="0"/>
        <v>50</v>
      </c>
    </row>
    <row r="28" spans="1:10">
      <c r="A28" s="74" t="s">
        <v>373</v>
      </c>
      <c r="B28" s="65" t="str">
        <f>IF(ISBLANK(A28),"",INDEX('Error Log'!$A:$J,MATCH('Scores per segment'!$A28,'Error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28" s="65" t="str">
        <f>IF(ISBLANK(A28),"",INDEX('Error Log'!$A:$J,MATCH('Scores per segment'!$A28,'Error Log'!$A:$A,0),MATCH('Scores per segment'!C$1,'Error Log'!$A$1:$J$1,0)))</f>
        <v>lacey spears of UNK , kentucky , was found guilty last month of second-degree murder in the death of her son UNK spears .
she was spared the maximum 25 years to life and instead received 20 , showing no emotion when she was sentenced to 20 years to life .
spears ' lawyer requested the minimum 15 years to life .</v>
      </c>
      <c r="D28" s="65">
        <f>IF(H28=0,wdct(TRIM(C28)),0)</f>
        <v>55</v>
      </c>
      <c r="E28" s="65">
        <f>COUNTIFS('Error Log'!$A:$A,$A28,'Error Log'!$J:$J,E$1)</f>
        <v>6</v>
      </c>
      <c r="F28" s="65">
        <f>COUNTIFS('Error Log'!$A:$A,$A28,'Error Log'!$J:$J,F$1)</f>
        <v>0</v>
      </c>
      <c r="G28" s="65">
        <f>COUNTIFS('Error Log'!$A:$A,$A28,'Error Log'!$J:$J,G$1)</f>
        <v>0</v>
      </c>
      <c r="H28" s="65">
        <f>COUNTIFS('Error Log'!$A:$A,$A28,'Error Log'!$F:$F,"Source")</f>
        <v>0</v>
      </c>
      <c r="I28" s="65">
        <f>COUNTIFS('Error Log'!$A:$A,$A28,'Error Log'!$F:$F,"Target")</f>
        <v>0</v>
      </c>
      <c r="J28" s="66">
        <f t="shared" si="0"/>
        <v>45.45454545454546</v>
      </c>
    </row>
    <row r="29" spans="1:10">
      <c r="A29" s="74" t="s">
        <v>381</v>
      </c>
      <c r="B29" s="65" t="str">
        <f>IF(ISBLANK(A29),"",INDEX('Error Log'!$A:$J,MATCH('Scores per segment'!$A29,'Error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9" s="65" t="str">
        <f>IF(ISBLANK(A29),"",INDEX('Error Log'!$A:$J,MATCH('Scores per segment'!$A29,'Error Log'!$A:$A,0),MATCH('Scores per segment'!C$1,'Error Log'!$A$1:$J$1,0)))</f>
        <v>domenico rancadore granted conviction in italy for his role as a ' man of honour ' .
he lost his battle against extradition and was told he must return to italy to serve his sentence .</v>
      </c>
      <c r="D29" s="65">
        <f>IF(H29=0,wdct(TRIM(C29)),0)</f>
        <v>32</v>
      </c>
      <c r="E29" s="65">
        <f>COUNTIFS('Error Log'!$A:$A,$A29,'Error Log'!$J:$J,E$1)</f>
        <v>2</v>
      </c>
      <c r="F29" s="65">
        <f>COUNTIFS('Error Log'!$A:$A,$A29,'Error Log'!$J:$J,F$1)</f>
        <v>0</v>
      </c>
      <c r="G29" s="65">
        <f>COUNTIFS('Error Log'!$A:$A,$A29,'Error Log'!$J:$J,G$1)</f>
        <v>0</v>
      </c>
      <c r="H29" s="65">
        <f>COUNTIFS('Error Log'!$A:$A,$A29,'Error Log'!$F:$F,"Source")</f>
        <v>0</v>
      </c>
      <c r="I29" s="65">
        <f>COUNTIFS('Error Log'!$A:$A,$A29,'Error Log'!$F:$F,"Target")</f>
        <v>0</v>
      </c>
      <c r="J29" s="66">
        <f t="shared" si="0"/>
        <v>68.75</v>
      </c>
    </row>
    <row r="30" spans="1:10">
      <c r="A30" s="74" t="s">
        <v>386</v>
      </c>
      <c r="B30" s="65" t="str">
        <f>IF(ISBLANK(A30),"",INDEX('Error Log'!$A:$J,MATCH('Scores per segment'!$A30,'Error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30" s="65" t="str">
        <f>IF(ISBLANK(A30),"",INDEX('Error Log'!$A:$J,MATCH('Scores per segment'!$A30,'Error Log'!$A:$A,0),MATCH('Scores per segment'!C$1,'Error Log'!$A$1:$J$1,0)))</f>
        <v>scientists warn of new strains of influenza , which caused a spike in deaths in northern hemisphere as the vaccine was not a good match to fight against the two types of flu .
experts say the modified version of the vaccine is worth waiting for .
experts say the modified version of the vaccine is worth waiting for .</v>
      </c>
      <c r="D30" s="65">
        <f>IF(H30=0,wdct(TRIM(C30)),0)</f>
        <v>56</v>
      </c>
      <c r="E30" s="65">
        <f>COUNTIFS('Error Log'!$A:$A,$A30,'Error Log'!$J:$J,E$1)</f>
        <v>4</v>
      </c>
      <c r="F30" s="65">
        <f>COUNTIFS('Error Log'!$A:$A,$A30,'Error Log'!$J:$J,F$1)</f>
        <v>3</v>
      </c>
      <c r="G30" s="65">
        <f>COUNTIFS('Error Log'!$A:$A,$A30,'Error Log'!$J:$J,G$1)</f>
        <v>0</v>
      </c>
      <c r="H30" s="65">
        <f>COUNTIFS('Error Log'!$A:$A,$A30,'Error Log'!$F:$F,"Source")</f>
        <v>0</v>
      </c>
      <c r="I30" s="65">
        <f>COUNTIFS('Error Log'!$A:$A,$A30,'Error Log'!$F:$F,"Target")</f>
        <v>0</v>
      </c>
      <c r="J30" s="66">
        <f t="shared" si="0"/>
        <v>50.892857142857146</v>
      </c>
    </row>
    <row r="31" spans="1:10">
      <c r="A31" s="74" t="s">
        <v>396</v>
      </c>
      <c r="B31" s="65" t="str">
        <f>IF(ISBLANK(A31),"",INDEX('Error Log'!$A:$J,MATCH('Scores per segment'!$A31,'Error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1" s="65" t="str">
        <f>IF(ISBLANK(A31),"",INDEX('Error Log'!$A:$J,MATCH('Scores per segment'!$A31,'Error Log'!$A:$A,0),MATCH('Scores per segment'!C$1,'Error Log'!$A$1:$J$1,0)))</f>
        <v>ap mccoy has been installed as one of three UNK in the UNK line-up .
paul UNK mr mole will be ridden by cheltenham gold cup winner nico de UNK in the absence of injured barry geraghty .</v>
      </c>
      <c r="D31" s="65">
        <f>IF(H31=0,wdct(TRIM(C31)),0)</f>
        <v>36</v>
      </c>
      <c r="E31" s="65">
        <f>COUNTIFS('Error Log'!$A:$A,$A31,'Error Log'!$J:$J,E$1)</f>
        <v>7</v>
      </c>
      <c r="F31" s="65">
        <f>COUNTIFS('Error Log'!$A:$A,$A31,'Error Log'!$J:$J,F$1)</f>
        <v>2</v>
      </c>
      <c r="G31" s="65">
        <f>COUNTIFS('Error Log'!$A:$A,$A31,'Error Log'!$J:$J,G$1)</f>
        <v>0</v>
      </c>
      <c r="H31" s="65">
        <f>COUNTIFS('Error Log'!$A:$A,$A31,'Error Log'!$F:$F,"Source")</f>
        <v>0</v>
      </c>
      <c r="I31" s="65">
        <f>COUNTIFS('Error Log'!$A:$A,$A31,'Error Log'!$F:$F,"Target")</f>
        <v>0</v>
      </c>
      <c r="J31" s="66">
        <f t="shared" si="0"/>
        <v>-11.111111111111114</v>
      </c>
    </row>
    <row r="32" spans="1:10">
      <c r="A32" s="74" t="s">
        <v>404</v>
      </c>
      <c r="B32" s="65" t="str">
        <f>IF(ISBLANK(A32),"",INDEX('Error Log'!$A:$J,MATCH('Scores per segment'!$A32,'Error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32" s="65" t="str">
        <f>IF(ISBLANK(A32),"",INDEX('Error Log'!$A:$J,MATCH('Scores per segment'!$A32,'Error Log'!$A:$A,0),MATCH('Scores per segment'!C$1,'Error Log'!$A$1:$J$1,0)))</f>
        <v>abraham lincoln 's tomb in lincoln 's tomb in massachusetts , illinois , has been closed in the wake of the 150th anniversary of the civil war president 's assassination .
bruce UNK has proposed eliminating the state historic preservation agency that manages sites including the tomb as it currently exists .</v>
      </c>
      <c r="D32" s="65">
        <f>IF(H32=0,wdct(TRIM(C32)),0)</f>
        <v>48</v>
      </c>
      <c r="E32" s="65">
        <f>COUNTIFS('Error Log'!$A:$A,$A32,'Error Log'!$J:$J,E$1)</f>
        <v>8</v>
      </c>
      <c r="F32" s="65">
        <f>COUNTIFS('Error Log'!$A:$A,$A32,'Error Log'!$J:$J,F$1)</f>
        <v>3</v>
      </c>
      <c r="G32" s="65">
        <f>COUNTIFS('Error Log'!$A:$A,$A32,'Error Log'!$J:$J,G$1)</f>
        <v>1</v>
      </c>
      <c r="H32" s="65">
        <f>COUNTIFS('Error Log'!$A:$A,$A32,'Error Log'!$F:$F,"Source")</f>
        <v>0</v>
      </c>
      <c r="I32" s="65">
        <f>COUNTIFS('Error Log'!$A:$A,$A32,'Error Log'!$F:$F,"Target")</f>
        <v>0</v>
      </c>
      <c r="J32" s="66">
        <f t="shared" si="0"/>
        <v>0</v>
      </c>
    </row>
    <row r="33" spans="1:10">
      <c r="A33" s="74" t="s">
        <v>418</v>
      </c>
      <c r="B33" s="65" t="str">
        <f>IF(ISBLANK(A33),"",INDEX('Error Log'!$A:$J,MATCH('Scores per segment'!$A33,'Error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33" s="65" t="str">
        <f>IF(ISBLANK(A33),"",INDEX('Error Log'!$A:$J,MATCH('Scores per segment'!$A33,'Error Log'!$A:$A,0),MATCH('Scores per segment'!C$1,'Error Log'!$A$1:$J$1,0)))</f>
        <v>the mother of a girl who was murdered 40 years ago has spoken of the horror of recently seeing crime scene photos of her daughter 's body .
the mother of a girl who was murdered 40 years ago finally asked to see the crime scene photos of her daughter 's body .
the mother of a girl who was murdered 40 years ago finally asked to see the crime scene photos of her body .</v>
      </c>
      <c r="D33" s="65">
        <f>IF(H33=0,wdct(TRIM(C33)),0)</f>
        <v>73</v>
      </c>
      <c r="E33" s="65">
        <f>COUNTIFS('Error Log'!$A:$A,$A33,'Error Log'!$J:$J,E$1)</f>
        <v>2</v>
      </c>
      <c r="F33" s="65">
        <f>COUNTIFS('Error Log'!$A:$A,$A33,'Error Log'!$J:$J,F$1)</f>
        <v>1</v>
      </c>
      <c r="G33" s="65">
        <f>COUNTIFS('Error Log'!$A:$A,$A33,'Error Log'!$J:$J,G$1)</f>
        <v>0</v>
      </c>
      <c r="H33" s="65">
        <f>COUNTIFS('Error Log'!$A:$A,$A33,'Error Log'!$F:$F,"Source")</f>
        <v>0</v>
      </c>
      <c r="I33" s="65">
        <f>COUNTIFS('Error Log'!$A:$A,$A33,'Error Log'!$F:$F,"Target")</f>
        <v>0</v>
      </c>
      <c r="J33" s="66">
        <f t="shared" si="0"/>
        <v>82.876712328767127</v>
      </c>
    </row>
    <row r="34" spans="1:10">
      <c r="A34" s="74" t="s">
        <v>424</v>
      </c>
      <c r="B34" s="65" t="str">
        <f>IF(ISBLANK(A34),"",INDEX('Error Log'!$A:$J,MATCH('Scores per segment'!$A34,'Error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34" s="65" t="str">
        <f>IF(ISBLANK(A34),"",INDEX('Error Log'!$A:$J,MATCH('Scores per segment'!$A34,'Error Log'!$A:$A,0),MATCH('Scores per segment'!C$1,'Error Log'!$A$1:$J$1,0)))</f>
        <v>UNK jeans , UNK lips , round sunglasses and UNK are all the rage with a new generation of fashion fans .
kanye west , kim kardashian , kanye west , kim kardashian , kanye west , jessie j and katy perry are among the celebrities .</v>
      </c>
      <c r="D34" s="65">
        <f>IF(H34=0,wdct(TRIM(C34)),0)</f>
        <v>38</v>
      </c>
      <c r="E34" s="65">
        <f>COUNTIFS('Error Log'!$A:$A,$A34,'Error Log'!$J:$J,E$1)</f>
        <v>8</v>
      </c>
      <c r="F34" s="65">
        <f>COUNTIFS('Error Log'!$A:$A,$A34,'Error Log'!$J:$J,F$1)</f>
        <v>5</v>
      </c>
      <c r="G34" s="65">
        <f>COUNTIFS('Error Log'!$A:$A,$A34,'Error Log'!$J:$J,G$1)</f>
        <v>0</v>
      </c>
      <c r="H34" s="65">
        <f>COUNTIFS('Error Log'!$A:$A,$A34,'Error Log'!$F:$F,"Source")</f>
        <v>0</v>
      </c>
      <c r="I34" s="65">
        <f>COUNTIFS('Error Log'!$A:$A,$A34,'Error Log'!$F:$F,"Target")</f>
        <v>0</v>
      </c>
      <c r="J34" s="66">
        <f t="shared" si="0"/>
        <v>-38.157894736842096</v>
      </c>
    </row>
    <row r="35" spans="1:10">
      <c r="A35" s="74" t="s">
        <v>438</v>
      </c>
      <c r="B35" s="65" t="str">
        <f>IF(ISBLANK(A35),"",INDEX('Error Log'!$A:$J,MATCH('Scores per segment'!$A35,'Error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35" s="65" t="str">
        <f>IF(ISBLANK(A35),"",INDEX('Error Log'!$A:$J,MATCH('Scores per segment'!$A35,'Error Log'!$A:$A,0),MATCH('Scores per segment'!C$1,'Error Log'!$A$1:$J$1,0)))</f>
        <v>rory mcilroy is looking to claim his first green jacket and is just the sixth player to win all four major titles after gene UNK , ben hogan , gary player , jack nicklaus and tiger woods .
mcilroy is looking to claim his first green jacket and become just the sixth player to win all four major titles .</v>
      </c>
      <c r="D35" s="65">
        <f>IF(H35=0,wdct(TRIM(C35)),0)</f>
        <v>55</v>
      </c>
      <c r="E35" s="65">
        <f>COUNTIFS('Error Log'!$A:$A,$A35,'Error Log'!$J:$J,E$1)</f>
        <v>3</v>
      </c>
      <c r="F35" s="65">
        <f>COUNTIFS('Error Log'!$A:$A,$A35,'Error Log'!$J:$J,F$1)</f>
        <v>1</v>
      </c>
      <c r="G35" s="65">
        <f>COUNTIFS('Error Log'!$A:$A,$A35,'Error Log'!$J:$J,G$1)</f>
        <v>0</v>
      </c>
      <c r="H35" s="65">
        <f>COUNTIFS('Error Log'!$A:$A,$A35,'Error Log'!$F:$F,"Source")</f>
        <v>0</v>
      </c>
      <c r="I35" s="65">
        <f>COUNTIFS('Error Log'!$A:$A,$A35,'Error Log'!$F:$F,"Target")</f>
        <v>0</v>
      </c>
      <c r="J35" s="66">
        <f t="shared" si="0"/>
        <v>68.181818181818187</v>
      </c>
    </row>
    <row r="36" spans="1:10">
      <c r="A36" s="74" t="s">
        <v>445</v>
      </c>
      <c r="B36" s="65" t="str">
        <f>IF(ISBLANK(A36),"",INDEX('Error Log'!$A:$J,MATCH('Scores per segment'!$A36,'Error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36" s="65" t="str">
        <f>IF(ISBLANK(A36),"",INDEX('Error Log'!$A:$J,MATCH('Scores per segment'!$A36,'Error Log'!$A:$A,0),MATCH('Scores per segment'!C$1,'Error Log'!$A$1:$J$1,0)))</f>
        <v>klopp confirms he will leave borussia dortmund at the end of the season .
the 31-year-old has been linked with several other english teams .
klopp has been linked with several other english teams .
klopp has been linked with several other english teams in the past .</v>
      </c>
      <c r="D36" s="65">
        <f>IF(H36=0,wdct(TRIM(C36)),0)</f>
        <v>44</v>
      </c>
      <c r="E36" s="65">
        <f>COUNTIFS('Error Log'!$A:$A,$A36,'Error Log'!$J:$J,E$1)</f>
        <v>4</v>
      </c>
      <c r="F36" s="65">
        <f>COUNTIFS('Error Log'!$A:$A,$A36,'Error Log'!$J:$J,F$1)</f>
        <v>3</v>
      </c>
      <c r="G36" s="65">
        <f>COUNTIFS('Error Log'!$A:$A,$A36,'Error Log'!$J:$J,G$1)</f>
        <v>0</v>
      </c>
      <c r="H36" s="65">
        <f>COUNTIFS('Error Log'!$A:$A,$A36,'Error Log'!$F:$F,"Source")</f>
        <v>0</v>
      </c>
      <c r="I36" s="65">
        <f>COUNTIFS('Error Log'!$A:$A,$A36,'Error Log'!$F:$F,"Target")</f>
        <v>0</v>
      </c>
      <c r="J36" s="66">
        <f t="shared" si="0"/>
        <v>37.5</v>
      </c>
    </row>
    <row r="37" spans="1:10">
      <c r="A37" s="74" t="s">
        <v>453</v>
      </c>
      <c r="B37" s="65" t="str">
        <f>IF(ISBLANK(A37),"",INDEX('Error Log'!$A:$J,MATCH('Scores per segment'!$A37,'Error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37" s="65" t="str">
        <f>IF(ISBLANK(A37),"",INDEX('Error Log'!$A:$J,MATCH('Scores per segment'!$A37,'Error Log'!$A:$A,0),MATCH('Scores per segment'!C$1,'Error Log'!$A$1:$J$1,0)))</f>
        <v>the new york city received a large amount of rain in the early morning of the morning .
many of the stars are the latest trend of the country 's crackdown on vice 's crackdown .</v>
      </c>
      <c r="D37" s="65">
        <f>IF(H37=0,wdct(TRIM(C37)),0)</f>
        <v>34</v>
      </c>
      <c r="E37" s="65">
        <f>COUNTIFS('Error Log'!$A:$A,$A37,'Error Log'!$J:$J,E$1)</f>
        <v>1</v>
      </c>
      <c r="F37" s="65">
        <f>COUNTIFS('Error Log'!$A:$A,$A37,'Error Log'!$J:$J,F$1)</f>
        <v>2</v>
      </c>
      <c r="G37" s="65">
        <f>COUNTIFS('Error Log'!$A:$A,$A37,'Error Log'!$J:$J,G$1)</f>
        <v>0</v>
      </c>
      <c r="H37" s="65">
        <f>COUNTIFS('Error Log'!$A:$A,$A37,'Error Log'!$F:$F,"Source")</f>
        <v>0</v>
      </c>
      <c r="I37" s="65">
        <f>COUNTIFS('Error Log'!$A:$A,$A37,'Error Log'!$F:$F,"Target")</f>
        <v>0</v>
      </c>
      <c r="J37" s="66">
        <f t="shared" si="0"/>
        <v>70.588235294117652</v>
      </c>
    </row>
    <row r="38" spans="1:10">
      <c r="A38" s="74" t="s">
        <v>460</v>
      </c>
      <c r="B38" s="65" t="str">
        <f>IF(ISBLANK(A38),"",INDEX('Error Log'!$A:$J,MATCH('Scores per segment'!$A38,'Error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38" s="65" t="str">
        <f>IF(ISBLANK(A38),"",INDEX('Error Log'!$A:$J,MATCH('Scores per segment'!$A38,'Error Log'!$A:$A,0),MATCH('Scores per segment'!C$1,'Error Log'!$A$1:$J$1,0)))</f>
        <v>serena williams beat UNK UNK in the miami open last week .
the world no 1 sealed a 7-6 , 6-7 , 6-3 against the miami open .
williams will face romania 's simona halep for a place in the final .</v>
      </c>
      <c r="D38" s="65">
        <f>IF(H38=0,wdct(TRIM(C38)),0)</f>
        <v>37</v>
      </c>
      <c r="E38" s="65">
        <f>COUNTIFS('Error Log'!$A:$A,$A38,'Error Log'!$J:$J,E$1)</f>
        <v>8</v>
      </c>
      <c r="F38" s="65">
        <f>COUNTIFS('Error Log'!$A:$A,$A38,'Error Log'!$J:$J,F$1)</f>
        <v>0</v>
      </c>
      <c r="G38" s="65">
        <f>COUNTIFS('Error Log'!$A:$A,$A38,'Error Log'!$J:$J,G$1)</f>
        <v>0</v>
      </c>
      <c r="H38" s="65">
        <f>COUNTIFS('Error Log'!$A:$A,$A38,'Error Log'!$F:$F,"Source")</f>
        <v>0</v>
      </c>
      <c r="I38" s="65">
        <f>COUNTIFS('Error Log'!$A:$A,$A38,'Error Log'!$F:$F,"Target")</f>
        <v>0</v>
      </c>
      <c r="J38" s="66">
        <f t="shared" si="0"/>
        <v>-8.1081081081081123</v>
      </c>
    </row>
    <row r="39" spans="1:10">
      <c r="A39" s="74" t="s">
        <v>469</v>
      </c>
      <c r="B39" s="65" t="str">
        <f>IF(ISBLANK(A39),"",INDEX('Error Log'!$A:$J,MATCH('Scores per segment'!$A39,'Error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9" s="65" t="str">
        <f>IF(ISBLANK(A39),"",INDEX('Error Log'!$A:$J,MATCH('Scores per segment'!$A39,'Error Log'!$A:$A,0),MATCH('Scores per segment'!C$1,'Error Log'!$A$1:$J$1,0)))</f>
        <v>mothers-to-be were hospitalised in england over the past 12 months .
one in 100 babies born in the uk could suffer learning and behavioural problems .
one in 100 babies born in the uk could suffer learning and behavioural problems .</v>
      </c>
      <c r="D39" s="65">
        <f>IF(H39=0,wdct(TRIM(C39)),0)</f>
        <v>38</v>
      </c>
      <c r="E39" s="65">
        <f>COUNTIFS('Error Log'!$A:$A,$A39,'Error Log'!$J:$J,E$1)</f>
        <v>3</v>
      </c>
      <c r="F39" s="65">
        <f>COUNTIFS('Error Log'!$A:$A,$A39,'Error Log'!$J:$J,F$1)</f>
        <v>6</v>
      </c>
      <c r="G39" s="65">
        <f>COUNTIFS('Error Log'!$A:$A,$A39,'Error Log'!$J:$J,G$1)</f>
        <v>1</v>
      </c>
      <c r="H39" s="65">
        <f>COUNTIFS('Error Log'!$A:$A,$A39,'Error Log'!$F:$F,"Source")</f>
        <v>0</v>
      </c>
      <c r="I39" s="65">
        <f>COUNTIFS('Error Log'!$A:$A,$A39,'Error Log'!$F:$F,"Target")</f>
        <v>0</v>
      </c>
      <c r="J39" s="66">
        <f t="shared" si="0"/>
        <v>19.736842105263154</v>
      </c>
    </row>
    <row r="40" spans="1:10">
      <c r="A40" s="74" t="s">
        <v>482</v>
      </c>
      <c r="B40" s="65" t="str">
        <f>IF(ISBLANK(A40),"",INDEX('Error Log'!$A:$J,MATCH('Scores per segment'!$A40,'Error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40" s="65" t="str">
        <f>IF(ISBLANK(A40),"",INDEX('Error Log'!$A:$J,MATCH('Scores per segment'!$A40,'Error Log'!$A:$A,0),MATCH('Scores per segment'!C$1,'Error Log'!$A$1:$J$1,0)))</f>
        <v>cnn 's cherie blair talks with cnn 's `` what is the reality ? '' she writes .
she 's in a hospital but is expected to be released on time for her daughter 's funeral .
she is in a hospital but is expected to be released on time for her funeral .</v>
      </c>
      <c r="D40" s="65">
        <f>IF(H40=0,wdct(TRIM(C40)),0)</f>
        <v>48</v>
      </c>
      <c r="E40" s="65">
        <f>COUNTIFS('Error Log'!$A:$A,$A40,'Error Log'!$J:$J,E$1)</f>
        <v>5</v>
      </c>
      <c r="F40" s="65">
        <f>COUNTIFS('Error Log'!$A:$A,$A40,'Error Log'!$J:$J,F$1)</f>
        <v>2</v>
      </c>
      <c r="G40" s="65">
        <f>COUNTIFS('Error Log'!$A:$A,$A40,'Error Log'!$J:$J,G$1)</f>
        <v>0</v>
      </c>
      <c r="H40" s="65">
        <f>COUNTIFS('Error Log'!$A:$A,$A40,'Error Log'!$F:$F,"Source")</f>
        <v>0</v>
      </c>
      <c r="I40" s="65">
        <f>COUNTIFS('Error Log'!$A:$A,$A40,'Error Log'!$F:$F,"Target")</f>
        <v>0</v>
      </c>
      <c r="J40" s="66">
        <f t="shared" si="0"/>
        <v>37.5</v>
      </c>
    </row>
    <row r="41" spans="1:10">
      <c r="A41" s="74" t="s">
        <v>493</v>
      </c>
      <c r="B41" s="65" t="str">
        <f>IF(ISBLANK(A41),"",INDEX('Error Log'!$A:$J,MATCH('Scores per segment'!$A41,'Error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41" s="65" t="str">
        <f>IF(ISBLANK(A41),"",INDEX('Error Log'!$A:$J,MATCH('Scores per segment'!$A41,'Error Log'!$A:$A,0),MATCH('Scores per segment'!C$1,'Error Log'!$A$1:$J$1,0)))</f>
        <v>shaun UNK , dubbed ' ghost boy ' , burst into UNK post office and stores .
he was arrested 80 times and had convictions for aggravated UNK .
he had been arrested 80 times , and had convictions for aggravated UNK .
he was arrested 80 times and had convictions for aggravated UNK .</v>
      </c>
      <c r="D41" s="65">
        <f>IF(H41=0,wdct(TRIM(C41)),0)</f>
        <v>46</v>
      </c>
      <c r="E41" s="65">
        <f>COUNTIFS('Error Log'!$A:$A,$A41,'Error Log'!$J:$J,E$1)</f>
        <v>6</v>
      </c>
      <c r="F41" s="65">
        <f>COUNTIFS('Error Log'!$A:$A,$A41,'Error Log'!$J:$J,F$1)</f>
        <v>2</v>
      </c>
      <c r="G41" s="65">
        <f>COUNTIFS('Error Log'!$A:$A,$A41,'Error Log'!$J:$J,G$1)</f>
        <v>0</v>
      </c>
      <c r="H41" s="65">
        <f>COUNTIFS('Error Log'!$A:$A,$A41,'Error Log'!$F:$F,"Source")</f>
        <v>0</v>
      </c>
      <c r="I41" s="65">
        <f>COUNTIFS('Error Log'!$A:$A,$A41,'Error Log'!$F:$F,"Target")</f>
        <v>0</v>
      </c>
      <c r="J41" s="66">
        <f t="shared" si="0"/>
        <v>23.913043478260864</v>
      </c>
    </row>
    <row r="42" spans="1:10">
      <c r="A42" s="74" t="s">
        <v>501</v>
      </c>
      <c r="B42" s="65" t="str">
        <f>IF(ISBLANK(A42),"",INDEX('Error Log'!$A:$J,MATCH('Scores per segment'!$A42,'Error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42" s="65" t="str">
        <f>IF(ISBLANK(A42),"",INDEX('Error Log'!$A:$J,MATCH('Scores per segment'!$A42,'Error Log'!$A:$A,0),MATCH('Scores per segment'!C$1,'Error Log'!$A$1:$J$1,0)))</f>
        <v>UNK ram was 14 when he fled to kashmir as a refugee in india .
he is still regarded as a second class citizen in india , unable to own property or vote in state elections .
UNK ram was 14 when he fled to kashmir as refugee - now an old man .</v>
      </c>
      <c r="D42" s="65">
        <f>IF(H42=0,wdct(TRIM(C42)),0)</f>
        <v>49</v>
      </c>
      <c r="E42" s="65">
        <f>COUNTIFS('Error Log'!$A:$A,$A42,'Error Log'!$J:$J,E$1)</f>
        <v>4</v>
      </c>
      <c r="F42" s="65">
        <f>COUNTIFS('Error Log'!$A:$A,$A42,'Error Log'!$J:$J,F$1)</f>
        <v>3</v>
      </c>
      <c r="G42" s="65">
        <f>COUNTIFS('Error Log'!$A:$A,$A42,'Error Log'!$J:$J,G$1)</f>
        <v>0</v>
      </c>
      <c r="H42" s="65">
        <f>COUNTIFS('Error Log'!$A:$A,$A42,'Error Log'!$F:$F,"Source")</f>
        <v>0</v>
      </c>
      <c r="I42" s="65">
        <f>COUNTIFS('Error Log'!$A:$A,$A42,'Error Log'!$F:$F,"Target")</f>
        <v>0</v>
      </c>
      <c r="J42" s="66">
        <f t="shared" si="0"/>
        <v>43.87755102040817</v>
      </c>
    </row>
    <row r="43" spans="1:10">
      <c r="A43" s="74" t="s">
        <v>511</v>
      </c>
      <c r="B43" s="65" t="str">
        <f>IF(ISBLANK(A43),"",INDEX('Error Log'!$A:$J,MATCH('Scores per segment'!$A43,'Error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43" s="65" t="str">
        <f>IF(ISBLANK(A43),"",INDEX('Error Log'!$A:$J,MATCH('Scores per segment'!$A43,'Error Log'!$A:$A,0),MATCH('Scores per segment'!C$1,'Error Log'!$A$1:$J$1,0)))</f>
        <v>the four men appear in turn in a courtroom in dartmouth in dartmouth , hampshire .
the four men appeared in turn in a courtroom in dartmouth , gloucestershire .
the four men appeared in turn in a courtroom in dartmouth , near halifax .
they also agreed to surrender their passports and live at the UNK naval base .</v>
      </c>
      <c r="D43" s="65">
        <f>IF(H43=0,wdct(TRIM(C43)),0)</f>
        <v>53</v>
      </c>
      <c r="E43" s="65">
        <f>COUNTIFS('Error Log'!$A:$A,$A43,'Error Log'!$J:$J,E$1)</f>
        <v>3</v>
      </c>
      <c r="F43" s="65">
        <f>COUNTIFS('Error Log'!$A:$A,$A43,'Error Log'!$J:$J,F$1)</f>
        <v>4</v>
      </c>
      <c r="G43" s="65">
        <f>COUNTIFS('Error Log'!$A:$A,$A43,'Error Log'!$J:$J,G$1)</f>
        <v>0</v>
      </c>
      <c r="H43" s="65">
        <f>COUNTIFS('Error Log'!$A:$A,$A43,'Error Log'!$F:$F,"Source")</f>
        <v>0</v>
      </c>
      <c r="I43" s="65">
        <f>COUNTIFS('Error Log'!$A:$A,$A43,'Error Log'!$F:$F,"Target")</f>
        <v>0</v>
      </c>
      <c r="J43" s="66">
        <f t="shared" si="0"/>
        <v>52.830188679245282</v>
      </c>
    </row>
    <row r="44" spans="1:10">
      <c r="A44" s="73" t="s">
        <v>521</v>
      </c>
      <c r="B44" s="65" t="str">
        <f>IF(ISBLANK(A44),"",INDEX('Error Log'!$A:$J,MATCH('Scores per segment'!$A44,'Error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4" s="65" t="str">
        <f>IF(ISBLANK(A44),"",INDEX('Error Log'!$A:$J,MATCH('Scores per segment'!$A44,'Error Log'!$A:$A,0),MATCH('Scores per segment'!C$1,'Error Log'!$A$1:$J$1,0)))</f>
        <v>UNK UNK has admitted he is still considering whether to join chelsea .
the 22-year-old has a shot against UNK UNK during a UNK clash .
the 22-year-old is keen to join a club where he will play regularly .</v>
      </c>
      <c r="D44" s="65">
        <f>IF(H44=0,wdct(TRIM(C44)),0)</f>
        <v>37</v>
      </c>
      <c r="E44" s="65">
        <f>COUNTIFS('Error Log'!$A:$A,$A44,'Error Log'!$J:$J,E$1)</f>
        <v>8</v>
      </c>
      <c r="F44" s="65">
        <f>COUNTIFS('Error Log'!$A:$A,$A44,'Error Log'!$J:$J,F$1)</f>
        <v>2</v>
      </c>
      <c r="G44" s="65">
        <f>COUNTIFS('Error Log'!$A:$A,$A44,'Error Log'!$J:$J,G$1)</f>
        <v>0</v>
      </c>
      <c r="H44" s="65">
        <f>COUNTIFS('Error Log'!$A:$A,$A44,'Error Log'!$F:$F,"Source")</f>
        <v>0</v>
      </c>
      <c r="I44" s="65">
        <f>COUNTIFS('Error Log'!$A:$A,$A44,'Error Log'!$F:$F,"Target")</f>
        <v>0</v>
      </c>
      <c r="J44" s="66">
        <f t="shared" si="0"/>
        <v>-21.621621621621628</v>
      </c>
    </row>
    <row r="45" spans="1:10">
      <c r="A45" s="1" t="s">
        <v>530</v>
      </c>
      <c r="B45" s="65" t="str">
        <f>IF(ISBLANK(A45),"",INDEX('Error Log'!$A:$J,MATCH('Scores per segment'!$A45,'Error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45" s="65" t="str">
        <f>IF(ISBLANK(A45),"",INDEX('Error Log'!$A:$J,MATCH('Scores per segment'!$A45,'Error Log'!$A:$A,0),MATCH('Scores per segment'!C$1,'Error Log'!$A$1:$J$1,0)))</f>
        <v>rj jackson , 4 , is one of 70 people in the world who suffers UNK 's syndrome .
he is one of 70 people in the world who suffers UNK 's syndrome .
he is one of just 70 people in the world who suffers UNK 's syndrome .</v>
      </c>
      <c r="D45" s="65">
        <f>IF(H45=0,wdct(TRIM(C45)),0)</f>
        <v>45</v>
      </c>
      <c r="E45" s="65">
        <f>COUNTIFS('Error Log'!$A:$A,$A45,'Error Log'!$J:$J,E$1)</f>
        <v>6</v>
      </c>
      <c r="F45" s="65">
        <f>COUNTIFS('Error Log'!$A:$A,$A45,'Error Log'!$J:$J,F$1)</f>
        <v>2</v>
      </c>
      <c r="G45" s="65">
        <f>COUNTIFS('Error Log'!$A:$A,$A45,'Error Log'!$J:$J,G$1)</f>
        <v>0</v>
      </c>
      <c r="H45" s="65">
        <f>COUNTIFS('Error Log'!$A:$A,$A45,'Error Log'!$F:$F,"Source")</f>
        <v>0</v>
      </c>
      <c r="I45" s="65">
        <f>COUNTIFS('Error Log'!$A:$A,$A45,'Error Log'!$F:$F,"Target")</f>
        <v>0</v>
      </c>
      <c r="J45" s="66">
        <f t="shared" si="0"/>
        <v>22.222222222222221</v>
      </c>
    </row>
    <row r="46" spans="1:10">
      <c r="A46" s="1" t="s">
        <v>538</v>
      </c>
      <c r="B46" s="65" t="str">
        <f>IF(ISBLANK(A46),"",INDEX('Error Log'!$A:$J,MATCH('Scores per segment'!$A46,'Error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46" s="65" t="str">
        <f>IF(ISBLANK(A46),"",INDEX('Error Log'!$A:$J,MATCH('Scores per segment'!$A46,'Error Log'!$A:$A,0),MATCH('Scores per segment'!C$1,'Error Log'!$A$1:$J$1,0)))</f>
        <v>england face australia in the world cup final on sunday .
stuart lancaster 's side are changing their trade in the world cup .
england are currently on the verge of the world cup .
the world cup has drastically improved since the world cup .</v>
      </c>
      <c r="D46" s="65">
        <f>IF(H46=0,wdct(TRIM(C46)),0)</f>
        <v>42</v>
      </c>
      <c r="E46" s="65">
        <f>COUNTIFS('Error Log'!$A:$A,$A46,'Error Log'!$J:$J,E$1)</f>
        <v>11</v>
      </c>
      <c r="F46" s="65">
        <f>COUNTIFS('Error Log'!$A:$A,$A46,'Error Log'!$J:$J,F$1)</f>
        <v>4</v>
      </c>
      <c r="G46" s="65">
        <f>COUNTIFS('Error Log'!$A:$A,$A46,'Error Log'!$J:$J,G$1)</f>
        <v>5</v>
      </c>
      <c r="H46" s="65">
        <f>COUNTIFS('Error Log'!$A:$A,$A46,'Error Log'!$F:$F,"Source")</f>
        <v>0</v>
      </c>
      <c r="I46" s="65">
        <f>COUNTIFS('Error Log'!$A:$A,$A46,'Error Log'!$F:$F,"Target")</f>
        <v>0</v>
      </c>
      <c r="J46" s="66">
        <f t="shared" si="0"/>
        <v>-60.714285714285722</v>
      </c>
    </row>
    <row r="47" spans="1:10">
      <c r="A47" s="1" t="s">
        <v>556</v>
      </c>
      <c r="B47" s="65" t="str">
        <f>IF(ISBLANK(A47),"",INDEX('Error Log'!$A:$J,MATCH('Scores per segment'!$A47,'Error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47" s="65" t="str">
        <f>IF(ISBLANK(A47),"",INDEX('Error Log'!$A:$J,MATCH('Scores per segment'!$A47,'Error Log'!$A:$A,0),MATCH('Scores per segment'!C$1,'Error Log'!$A$1:$J$1,0)))</f>
        <v>campaigners say the new protein world ' are you beach body ready ? ' it has been launched in the london underground , featuring a bikini model called sonny UNK are being removed from the london underground .
posters are now being removed from the london underground .</v>
      </c>
      <c r="D47" s="65">
        <f>IF(H47=0,wdct(TRIM(C47)),0)</f>
        <v>42</v>
      </c>
      <c r="E47" s="65">
        <f>COUNTIFS('Error Log'!$A:$A,$A47,'Error Log'!$J:$J,E$1)</f>
        <v>4</v>
      </c>
      <c r="F47" s="65">
        <f>COUNTIFS('Error Log'!$A:$A,$A47,'Error Log'!$J:$J,F$1)</f>
        <v>1</v>
      </c>
      <c r="G47" s="65">
        <f>COUNTIFS('Error Log'!$A:$A,$A47,'Error Log'!$J:$J,G$1)</f>
        <v>1</v>
      </c>
      <c r="H47" s="65">
        <f>COUNTIFS('Error Log'!$A:$A,$A47,'Error Log'!$F:$F,"Source")</f>
        <v>0</v>
      </c>
      <c r="I47" s="65">
        <f>COUNTIFS('Error Log'!$A:$A,$A47,'Error Log'!$F:$F,"Target")</f>
        <v>0</v>
      </c>
      <c r="J47" s="66">
        <f t="shared" si="0"/>
        <v>45.238095238095234</v>
      </c>
    </row>
    <row r="48" spans="1:10">
      <c r="A48" s="1" t="s">
        <v>565</v>
      </c>
      <c r="B48" s="65" t="str">
        <f>IF(ISBLANK(A48),"",INDEX('Error Log'!$A:$J,MATCH('Scores per segment'!$A48,'Error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8" s="65" t="str">
        <f>IF(ISBLANK(A48),"",INDEX('Error Log'!$A:$J,MATCH('Scores per segment'!$A48,'Error Log'!$A:$A,0),MATCH('Scores per segment'!C$1,'Error Log'!$A$1:$J$1,0)))</f>
        <v>called UNK , the UNK gadget acts like a beacon , or booster , to help messages move around the so-called wireless mesh .
UNK lets you send messages and photos even when a person has no signal by creating what is called a wireless mesh .</v>
      </c>
      <c r="D48" s="65">
        <f>IF(H48=0,wdct(TRIM(C48)),0)</f>
        <v>42</v>
      </c>
      <c r="E48" s="65">
        <f>COUNTIFS('Error Log'!$A:$A,$A48,'Error Log'!$J:$J,E$1)</f>
        <v>6</v>
      </c>
      <c r="F48" s="65">
        <f>COUNTIFS('Error Log'!$A:$A,$A48,'Error Log'!$J:$J,F$1)</f>
        <v>1</v>
      </c>
      <c r="G48" s="65">
        <f>COUNTIFS('Error Log'!$A:$A,$A48,'Error Log'!$J:$J,G$1)</f>
        <v>0</v>
      </c>
      <c r="H48" s="65">
        <f>COUNTIFS('Error Log'!$A:$A,$A48,'Error Log'!$F:$F,"Source")</f>
        <v>0</v>
      </c>
      <c r="I48" s="65">
        <f>COUNTIFS('Error Log'!$A:$A,$A48,'Error Log'!$F:$F,"Target")</f>
        <v>0</v>
      </c>
      <c r="J48" s="66">
        <f t="shared" si="0"/>
        <v>22.619047619047617</v>
      </c>
    </row>
    <row r="49" spans="1:10">
      <c r="A49" s="1" t="s">
        <v>573</v>
      </c>
      <c r="B49" s="65" t="str">
        <f>IF(ISBLANK(A49),"",INDEX('Error Log'!$A:$J,MATCH('Scores per segment'!$A49,'Error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49" s="65" t="str">
        <f>IF(ISBLANK(A49),"",INDEX('Error Log'!$A:$J,MATCH('Scores per segment'!$A49,'Error Log'!$A:$A,0),MATCH('Scores per segment'!C$1,'Error Log'!$A$1:$J$1,0)))</f>
        <v>the prime minister has promised to freeze fares on trains running through his sleigh constituency .
the prime minister has promised to freeze fares in real terms if they want to come home on one of these trains - an 87 % increase .</v>
      </c>
      <c r="D49" s="65">
        <f>IF(H49=0,wdct(TRIM(C49)),0)</f>
        <v>40</v>
      </c>
      <c r="E49" s="65">
        <f>COUNTIFS('Error Log'!$A:$A,$A49,'Error Log'!$J:$J,E$1)</f>
        <v>4</v>
      </c>
      <c r="F49" s="65">
        <f>COUNTIFS('Error Log'!$A:$A,$A49,'Error Log'!$J:$J,F$1)</f>
        <v>2</v>
      </c>
      <c r="G49" s="65">
        <f>COUNTIFS('Error Log'!$A:$A,$A49,'Error Log'!$J:$J,G$1)</f>
        <v>0</v>
      </c>
      <c r="H49" s="65">
        <f>COUNTIFS('Error Log'!$A:$A,$A49,'Error Log'!$F:$F,"Source")</f>
        <v>0</v>
      </c>
      <c r="I49" s="65">
        <f>COUNTIFS('Error Log'!$A:$A,$A49,'Error Log'!$F:$F,"Target")</f>
        <v>0</v>
      </c>
      <c r="J49" s="66">
        <f t="shared" si="0"/>
        <v>37.5</v>
      </c>
    </row>
    <row r="50" spans="1:10">
      <c r="A50" s="1" t="s">
        <v>583</v>
      </c>
      <c r="B50" s="65" t="str">
        <f>IF(ISBLANK(A50),"",INDEX('Error Log'!$A:$J,MATCH('Scores per segment'!$A50,'Error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50" s="65" t="str">
        <f>IF(ISBLANK(A50),"",INDEX('Error Log'!$A:$J,MATCH('Scores per segment'!$A50,'Error Log'!$A:$A,0),MATCH('Scores per segment'!C$1,'Error Log'!$A$1:$J$1,0)))</f>
        <v>lillian bay , new jersey , revealed that she is ' UNK ' and ' fat ' .
she says the word does n't have to be used as a UNK for ' ugly ' .
she says the word does n't have to be a ' UNK for ugly ' .</v>
      </c>
      <c r="D50" s="65">
        <f>IF(H50=0,wdct(TRIM(C50)),0)</f>
        <v>39</v>
      </c>
      <c r="E50" s="65">
        <f>COUNTIFS('Error Log'!$A:$A,$A50,'Error Log'!$J:$J,E$1)</f>
        <v>3</v>
      </c>
      <c r="F50" s="65">
        <f>COUNTIFS('Error Log'!$A:$A,$A50,'Error Log'!$J:$J,F$1)</f>
        <v>4</v>
      </c>
      <c r="G50" s="65">
        <f>COUNTIFS('Error Log'!$A:$A,$A50,'Error Log'!$J:$J,G$1)</f>
        <v>1</v>
      </c>
      <c r="H50" s="65">
        <f>COUNTIFS('Error Log'!$A:$A,$A50,'Error Log'!$F:$F,"Source")</f>
        <v>0</v>
      </c>
      <c r="I50" s="65">
        <f>COUNTIFS('Error Log'!$A:$A,$A50,'Error Log'!$F:$F,"Target")</f>
        <v>0</v>
      </c>
      <c r="J50" s="66">
        <f t="shared" si="0"/>
        <v>34.615384615384613</v>
      </c>
    </row>
    <row r="51" spans="1:10">
      <c r="A51" s="1" t="s">
        <v>593</v>
      </c>
      <c r="B51" s="65" t="str">
        <f>IF(ISBLANK(A51),"",INDEX('Error Log'!$A:$J,MATCH('Scores per segment'!$A51,'Error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1" s="65" t="str">
        <f>IF(ISBLANK(A51),"",INDEX('Error Log'!$A:$J,MATCH('Scores per segment'!$A51,'Error Log'!$A:$A,0),MATCH('Scores per segment'!C$1,'Error Log'!$A$1:$J$1,0)))</f>
        <v>john young , 66 , and his wife elaine , 54 , were sat in the front room of home in oldham , greater manchester , when thugs began throwing stones at his house in oldham , greater manchester .
he suffered an open wound to his forehead and a serious injury to his left eye and was taken to hospital .
doctors unable to save his eyesight meaning he is blind in one eye .</v>
      </c>
      <c r="D51" s="65">
        <f>IF(H51=0,wdct(TRIM(C51)),0)</f>
        <v>66</v>
      </c>
      <c r="E51" s="65">
        <f>COUNTIFS('Error Log'!$A:$A,$A51,'Error Log'!$J:$J,E$1)</f>
        <v>0</v>
      </c>
      <c r="F51" s="65">
        <f>COUNTIFS('Error Log'!$A:$A,$A51,'Error Log'!$J:$J,F$1)</f>
        <v>2</v>
      </c>
      <c r="G51" s="65">
        <f>COUNTIFS('Error Log'!$A:$A,$A51,'Error Log'!$J:$J,G$1)</f>
        <v>0</v>
      </c>
      <c r="H51" s="65">
        <f>COUNTIFS('Error Log'!$A:$A,$A51,'Error Log'!$F:$F,"Source")</f>
        <v>0</v>
      </c>
      <c r="I51" s="65">
        <f>COUNTIFS('Error Log'!$A:$A,$A51,'Error Log'!$F:$F,"Target")</f>
        <v>0</v>
      </c>
      <c r="J51" s="66">
        <f t="shared" si="0"/>
        <v>92.424242424242422</v>
      </c>
    </row>
    <row r="52" spans="1:10">
      <c r="A52" s="1" t="s">
        <v>598</v>
      </c>
      <c r="B52" s="65" t="str">
        <f>IF(ISBLANK(A52),"",INDEX('Error Log'!$A:$J,MATCH('Scores per segment'!$A52,'Error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2" s="65" t="str">
        <f>IF(ISBLANK(A52),"",INDEX('Error Log'!$A:$J,MATCH('Scores per segment'!$A52,'Error Log'!$A:$A,0),MATCH('Scores per segment'!C$1,'Error Log'!$A$1:$J$1,0)))</f>
        <v>arsenal winger has been overlooked for the majority of the season .
theo walcott is the club 's official tailor since 2013 .
arsenal 's first team stars will be dressed in similar outfits .
arsenal 's first team stars will be dressed in similar attire .</v>
      </c>
      <c r="D52" s="65">
        <f>IF(H52=0,wdct(TRIM(C52)),0)</f>
        <v>43</v>
      </c>
      <c r="E52" s="65">
        <f>COUNTIFS('Error Log'!$A:$A,$A52,'Error Log'!$J:$J,E$1)</f>
        <v>1</v>
      </c>
      <c r="F52" s="65">
        <f>COUNTIFS('Error Log'!$A:$A,$A52,'Error Log'!$J:$J,F$1)</f>
        <v>4</v>
      </c>
      <c r="G52" s="65">
        <f>COUNTIFS('Error Log'!$A:$A,$A52,'Error Log'!$J:$J,G$1)</f>
        <v>0</v>
      </c>
      <c r="H52" s="65">
        <f>COUNTIFS('Error Log'!$A:$A,$A52,'Error Log'!$F:$F,"Source")</f>
        <v>0</v>
      </c>
      <c r="I52" s="65">
        <f>COUNTIFS('Error Log'!$A:$A,$A52,'Error Log'!$F:$F,"Target")</f>
        <v>0</v>
      </c>
      <c r="J52" s="66">
        <f t="shared" si="0"/>
        <v>65.116279069767444</v>
      </c>
    </row>
    <row r="53" spans="1:10">
      <c r="A53" s="1" t="s">
        <v>605</v>
      </c>
      <c r="B53" s="65" t="str">
        <f>IF(ISBLANK(A53),"",INDEX('Error Log'!$A:$J,MATCH('Scores per segment'!$A53,'Error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3" s="65" t="str">
        <f>IF(ISBLANK(A53),"",INDEX('Error Log'!$A:$J,MATCH('Scores per segment'!$A53,'Error Log'!$A:$A,0),MATCH('Scores per segment'!C$1,'Error Log'!$A$1:$J$1,0)))</f>
        <v>england wicketkeeper tom UNK has been rewarded for his return from injury .
former england wicketkeeper tom UNK has been rewarded for his successful return from injury .
UNK has been rewarded for his successful return from injury .</v>
      </c>
      <c r="D53" s="65">
        <f>IF(H53=0,wdct(TRIM(C53)),0)</f>
        <v>36</v>
      </c>
      <c r="E53" s="65">
        <f>COUNTIFS('Error Log'!$A:$A,$A53,'Error Log'!$J:$J,E$1)</f>
        <v>4</v>
      </c>
      <c r="F53" s="65">
        <f>COUNTIFS('Error Log'!$A:$A,$A53,'Error Log'!$J:$J,F$1)</f>
        <v>2</v>
      </c>
      <c r="G53" s="65">
        <f>COUNTIFS('Error Log'!$A:$A,$A53,'Error Log'!$J:$J,G$1)</f>
        <v>0</v>
      </c>
      <c r="H53" s="65">
        <f>COUNTIFS('Error Log'!$A:$A,$A53,'Error Log'!$F:$F,"Source")</f>
        <v>0</v>
      </c>
      <c r="I53" s="65">
        <f>COUNTIFS('Error Log'!$A:$A,$A53,'Error Log'!$F:$F,"Target")</f>
        <v>0</v>
      </c>
      <c r="J53" s="66">
        <f t="shared" si="0"/>
        <v>30.555555555555557</v>
      </c>
    </row>
    <row r="54" spans="1:10">
      <c r="A54" s="74" t="s">
        <v>612</v>
      </c>
      <c r="B54" s="65" t="str">
        <f>IF(ISBLANK(A54),"",INDEX('Error Log'!$A:$J,MATCH('Scores per segment'!$A54,'Error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4" s="65" t="str">
        <f>IF(ISBLANK(A54),"",INDEX('Error Log'!$A:$J,MATCH('Scores per segment'!$A54,'Error Log'!$A:$A,0),MATCH('Scores per segment'!C$1,'Error Log'!$A$1:$J$1,0)))</f>
        <v>the original collection will be sold at the hilton universal city in los angeles , california , and on UNK this may 29 .
it will be auctioned at the hilton universal city in los angeles , california , and on UNK this may 29 .</v>
      </c>
      <c r="D54" s="65">
        <f>IF(H54=0,wdct(TRIM(C54)),0)</f>
        <v>40</v>
      </c>
      <c r="E54" s="65">
        <f>COUNTIFS('Error Log'!$A:$A,$A54,'Error Log'!$J:$J,E$1)</f>
        <v>6</v>
      </c>
      <c r="F54" s="65">
        <f>COUNTIFS('Error Log'!$A:$A,$A54,'Error Log'!$J:$J,F$1)</f>
        <v>1</v>
      </c>
      <c r="G54" s="65">
        <f>COUNTIFS('Error Log'!$A:$A,$A54,'Error Log'!$J:$J,G$1)</f>
        <v>0</v>
      </c>
      <c r="H54" s="65">
        <f>COUNTIFS('Error Log'!$A:$A,$A54,'Error Log'!$F:$F,"Source")</f>
        <v>0</v>
      </c>
      <c r="I54" s="65">
        <f>COUNTIFS('Error Log'!$A:$A,$A54,'Error Log'!$F:$F,"Target")</f>
        <v>0</v>
      </c>
      <c r="J54" s="66">
        <f t="shared" si="0"/>
        <v>18.75</v>
      </c>
    </row>
    <row r="55" spans="1:10">
      <c r="A55" s="74" t="s">
        <v>621</v>
      </c>
      <c r="B55" s="65" t="str">
        <f>IF(ISBLANK(A55),"",INDEX('Error Log'!$A:$J,MATCH('Scores per segment'!$A55,'Error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5" s="65" t="str">
        <f>IF(ISBLANK(A55),"",INDEX('Error Log'!$A:$J,MATCH('Scores per segment'!$A55,'Error Log'!$A:$A,0),MATCH('Scores per segment'!C$1,'Error Log'!$A$1:$J$1,0)))</f>
        <v>harley renshaw was diagnosed with cancer in his kidney , neck , lungs and bones .
he was diagnosed with cancer in his kidney , neck , lungs and bones .
he was diagnosed with cancer in his kidney , neck , lungs and bones .</v>
      </c>
      <c r="D55" s="65">
        <f>IF(H55=0,wdct(TRIM(C55)),0)</f>
        <v>37</v>
      </c>
      <c r="E55" s="65">
        <f>COUNTIFS('Error Log'!$A:$A,$A55,'Error Log'!$J:$J,E$1)</f>
        <v>3</v>
      </c>
      <c r="F55" s="65">
        <f>COUNTIFS('Error Log'!$A:$A,$A55,'Error Log'!$J:$J,F$1)</f>
        <v>2</v>
      </c>
      <c r="G55" s="65">
        <f>COUNTIFS('Error Log'!$A:$A,$A55,'Error Log'!$J:$J,G$1)</f>
        <v>0</v>
      </c>
      <c r="H55" s="65">
        <f>COUNTIFS('Error Log'!$A:$A,$A55,'Error Log'!$F:$F,"Source")</f>
        <v>0</v>
      </c>
      <c r="I55" s="65">
        <f>COUNTIFS('Error Log'!$A:$A,$A55,'Error Log'!$F:$F,"Target")</f>
        <v>0</v>
      </c>
      <c r="J55" s="66">
        <f t="shared" si="0"/>
        <v>45.945945945945944</v>
      </c>
    </row>
    <row r="56" spans="1:10">
      <c r="A56" s="74" t="s">
        <v>629</v>
      </c>
      <c r="B56" s="65" t="str">
        <f>IF(ISBLANK(A56),"",INDEX('Error Log'!$A:$J,MATCH('Scores per segment'!$A56,'Error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6" s="65" t="str">
        <f>IF(ISBLANK(A56),"",INDEX('Error Log'!$A:$J,MATCH('Scores per segment'!$A56,'Error Log'!$A:$A,0),MATCH('Scores per segment'!C$1,'Error Log'!$A$1:$J$1,0)))</f>
        <v>UNK UNK , 7 , was skiing with his family when he fell over a UNK drop .
the boy was skiing with his family when he fell over a UNK drop .
UNK UNK , 44 , has been described as a ' gentle climber ' .</v>
      </c>
      <c r="D56" s="65">
        <f>IF(H56=0,wdct(TRIM(C56)),0)</f>
        <v>39</v>
      </c>
      <c r="E56" s="65">
        <f>COUNTIFS('Error Log'!$A:$A,$A56,'Error Log'!$J:$J,E$1)</f>
        <v>12</v>
      </c>
      <c r="F56" s="65">
        <f>COUNTIFS('Error Log'!$A:$A,$A56,'Error Log'!$J:$J,F$1)</f>
        <v>2</v>
      </c>
      <c r="G56" s="65">
        <f>COUNTIFS('Error Log'!$A:$A,$A56,'Error Log'!$J:$J,G$1)</f>
        <v>0</v>
      </c>
      <c r="H56" s="65">
        <f>COUNTIFS('Error Log'!$A:$A,$A56,'Error Log'!$F:$F,"Source")</f>
        <v>0</v>
      </c>
      <c r="I56" s="65">
        <f>COUNTIFS('Error Log'!$A:$A,$A56,'Error Log'!$F:$F,"Target")</f>
        <v>0</v>
      </c>
      <c r="J56" s="66">
        <f t="shared" si="0"/>
        <v>-66.666666666666671</v>
      </c>
    </row>
    <row r="57" spans="1:10">
      <c r="A57" s="74" t="s">
        <v>641</v>
      </c>
      <c r="B57" s="65" t="str">
        <f>IF(ISBLANK(A57),"",INDEX('Error Log'!$A:$J,MATCH('Scores per segment'!$A57,'Error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7" s="65" t="str">
        <f>IF(ISBLANK(A57),"",INDEX('Error Log'!$A:$J,MATCH('Scores per segment'!$A57,'Error Log'!$A:$A,0),MATCH('Scores per segment'!C$1,'Error Log'!$A$1:$J$1,0)))</f>
        <v>jack grealish has been impressed with the 19-year-old aston villa side .
the irishman impressed against liverpool and is wanted by the republic of ireland and england .
he has been impressed against liverpool and is wanted by the republic of ireland .</v>
      </c>
      <c r="D57" s="65">
        <f>IF(H57=0,wdct(TRIM(C57)),0)</f>
        <v>40</v>
      </c>
      <c r="E57" s="65">
        <f>COUNTIFS('Error Log'!$A:$A,$A57,'Error Log'!$J:$J,E$1)</f>
        <v>5</v>
      </c>
      <c r="F57" s="65">
        <f>COUNTIFS('Error Log'!$A:$A,$A57,'Error Log'!$J:$J,F$1)</f>
        <v>2</v>
      </c>
      <c r="G57" s="65">
        <f>COUNTIFS('Error Log'!$A:$A,$A57,'Error Log'!$J:$J,G$1)</f>
        <v>0</v>
      </c>
      <c r="H57" s="65">
        <f>COUNTIFS('Error Log'!$A:$A,$A57,'Error Log'!$F:$F,"Source")</f>
        <v>0</v>
      </c>
      <c r="I57" s="65">
        <f>COUNTIFS('Error Log'!$A:$A,$A57,'Error Log'!$F:$F,"Target")</f>
        <v>0</v>
      </c>
      <c r="J57" s="66">
        <f t="shared" si="0"/>
        <v>25</v>
      </c>
    </row>
    <row r="58" spans="1:10">
      <c r="A58" s="74" t="s">
        <v>652</v>
      </c>
      <c r="B58" s="65" t="str">
        <f>IF(ISBLANK(A58),"",INDEX('Error Log'!$A:$J,MATCH('Scores per segment'!$A58,'Error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8" s="65" t="str">
        <f>IF(ISBLANK(A58),"",INDEX('Error Log'!$A:$J,MATCH('Scores per segment'!$A58,'Error Log'!$A:$A,0),MATCH('Scores per segment'!C$1,'Error Log'!$A$1:$J$1,0)))</f>
        <v>laura UNK , 15 , from whitley bay , was left on a heart machine .
she was left on a heart machine after collapsing at her family home .
she has now spoken out about pressures on young girls to be a size zero .</v>
      </c>
      <c r="D58" s="65">
        <f>IF(H58=0,wdct(TRIM(C58)),0)</f>
        <v>40</v>
      </c>
      <c r="E58" s="65">
        <f>COUNTIFS('Error Log'!$A:$A,$A58,'Error Log'!$J:$J,E$1)</f>
        <v>2</v>
      </c>
      <c r="F58" s="65">
        <f>COUNTIFS('Error Log'!$A:$A,$A58,'Error Log'!$J:$J,F$1)</f>
        <v>5</v>
      </c>
      <c r="G58" s="65">
        <f>COUNTIFS('Error Log'!$A:$A,$A58,'Error Log'!$J:$J,G$1)</f>
        <v>0</v>
      </c>
      <c r="H58" s="65">
        <f>COUNTIFS('Error Log'!$A:$A,$A58,'Error Log'!$F:$F,"Source")</f>
        <v>0</v>
      </c>
      <c r="I58" s="65">
        <f>COUNTIFS('Error Log'!$A:$A,$A58,'Error Log'!$F:$F,"Target")</f>
        <v>0</v>
      </c>
      <c r="J58" s="66">
        <f t="shared" si="0"/>
        <v>43.75</v>
      </c>
    </row>
    <row r="59" spans="1:10">
      <c r="A59" s="74" t="s">
        <v>662</v>
      </c>
      <c r="B59" s="65" t="str">
        <f>IF(ISBLANK(A59),"",INDEX('Error Log'!$A:$J,MATCH('Scores per segment'!$A59,'Error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9" s="65" t="str">
        <f>IF(ISBLANK(A59),"",INDEX('Error Log'!$A:$J,MATCH('Scores per segment'!$A59,'Error Log'!$A:$A,0),MATCH('Scores per segment'!C$1,'Error Log'!$A$1:$J$1,0)))</f>
        <v>the high commute fees offer an insight into some of the most varied places for the rich and famous , from salzburg , in austria , to the monaco grand prix in may .
it is a growing trend , with 2.5 million private flights recorded in the us and the monaco grand prix in may .</v>
      </c>
      <c r="D59" s="65">
        <f>IF(H59=0,wdct(TRIM(C59)),0)</f>
        <v>51</v>
      </c>
      <c r="E59" s="65">
        <f>COUNTIFS('Error Log'!$A:$A,$A59,'Error Log'!$J:$J,E$1)</f>
        <v>8</v>
      </c>
      <c r="F59" s="65">
        <f>COUNTIFS('Error Log'!$A:$A,$A59,'Error Log'!$J:$J,F$1)</f>
        <v>2</v>
      </c>
      <c r="G59" s="65">
        <f>COUNTIFS('Error Log'!$A:$A,$A59,'Error Log'!$J:$J,G$1)</f>
        <v>0</v>
      </c>
      <c r="H59" s="65">
        <f>COUNTIFS('Error Log'!$A:$A,$A59,'Error Log'!$F:$F,"Source")</f>
        <v>0</v>
      </c>
      <c r="I59" s="65">
        <f>COUNTIFS('Error Log'!$A:$A,$A59,'Error Log'!$F:$F,"Target")</f>
        <v>0</v>
      </c>
      <c r="J59" s="66">
        <f t="shared" si="0"/>
        <v>11.764705882352942</v>
      </c>
    </row>
    <row r="60" spans="1:10">
      <c r="A60" s="74" t="s">
        <v>674</v>
      </c>
      <c r="B60" s="65" t="str">
        <f>IF(ISBLANK(A60),"",INDEX('Error Log'!$A:$J,MATCH('Scores per segment'!$A60,'Error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60" s="65" t="str">
        <f>IF(ISBLANK(A60),"",INDEX('Error Log'!$A:$J,MATCH('Scores per segment'!$A60,'Error Log'!$A:$A,0),MATCH('Scores per segment'!C$1,'Error Log'!$A$1:$J$1,0)))</f>
        <v>raheem sterling and daniel sturridge will remain at anfield this summer .
the new UNK design is presented to fans at anfield on friday .
the new UNK design is presented to fans at anfield on friday .</v>
      </c>
      <c r="D60" s="65">
        <f>IF(H60=0,wdct(TRIM(C60)),0)</f>
        <v>35</v>
      </c>
      <c r="E60" s="65">
        <f>COUNTIFS('Error Log'!$A:$A,$A60,'Error Log'!$J:$J,E$1)</f>
        <v>5</v>
      </c>
      <c r="F60" s="65">
        <f>COUNTIFS('Error Log'!$A:$A,$A60,'Error Log'!$J:$J,F$1)</f>
        <v>3</v>
      </c>
      <c r="G60" s="65">
        <f>COUNTIFS('Error Log'!$A:$A,$A60,'Error Log'!$J:$J,G$1)</f>
        <v>0</v>
      </c>
      <c r="H60" s="65">
        <f>COUNTIFS('Error Log'!$A:$A,$A60,'Error Log'!$F:$F,"Source")</f>
        <v>0</v>
      </c>
      <c r="I60" s="65">
        <f>COUNTIFS('Error Log'!$A:$A,$A60,'Error Log'!$F:$F,"Target")</f>
        <v>0</v>
      </c>
      <c r="J60" s="66">
        <f t="shared" si="0"/>
        <v>7.1428571428571388</v>
      </c>
    </row>
    <row r="61" spans="1:10">
      <c r="A61" s="74" t="s">
        <v>684</v>
      </c>
      <c r="B61" s="65" t="str">
        <f>IF(ISBLANK(A61),"",INDEX('Error Log'!$A:$J,MATCH('Scores per segment'!$A61,'Error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v>
      </c>
      <c r="C61" s="65" t="str">
        <f>IF(ISBLANK(A61),"",INDEX('Error Log'!$A:$J,MATCH('Scores per segment'!$A61,'Error Log'!$A:$A,0),MATCH('Scores per segment'!C$1,'Error Log'!$A$1:$J$1,0)))</f>
        <v>manny pacquiao will be the biggest fight of all time financially .
he will be the biggest fight of all time financially and the most significant fight .
the UNK UNK is the largest in the world .</v>
      </c>
      <c r="D61" s="65">
        <f>IF(H61=0,wdct(TRIM(C61)),0)</f>
        <v>35</v>
      </c>
      <c r="E61" s="65">
        <f>COUNTIFS('Error Log'!$A:$A,$A61,'Error Log'!$J:$J,E$1)</f>
        <v>6</v>
      </c>
      <c r="F61" s="65">
        <f>COUNTIFS('Error Log'!$A:$A,$A61,'Error Log'!$J:$J,F$1)</f>
        <v>3</v>
      </c>
      <c r="G61" s="65">
        <f>COUNTIFS('Error Log'!$A:$A,$A61,'Error Log'!$J:$J,G$1)</f>
        <v>0</v>
      </c>
      <c r="H61" s="65">
        <f>COUNTIFS('Error Log'!$A:$A,$A61,'Error Log'!$F:$F,"Source")</f>
        <v>0</v>
      </c>
      <c r="I61" s="65">
        <f>COUNTIFS('Error Log'!$A:$A,$A61,'Error Log'!$F:$F,"Target")</f>
        <v>0</v>
      </c>
      <c r="J61" s="66">
        <f t="shared" si="0"/>
        <v>-7.1428571428571388</v>
      </c>
    </row>
    <row r="62" spans="1:10">
      <c r="A62" s="74" t="s">
        <v>694</v>
      </c>
      <c r="B62" s="65" t="str">
        <f>IF(ISBLANK(A62),"",INDEX('Error Log'!$A:$J,MATCH('Scores per segment'!$A62,'Error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2" s="65" t="str">
        <f>IF(ISBLANK(A62),"",INDEX('Error Log'!$A:$J,MATCH('Scores per segment'!$A62,'Error Log'!$A:$A,0),MATCH('Scores per segment'!C$1,'Error Log'!$A$1:$J$1,0)))</f>
        <v>university of manchester researchers revealed an hd dark matter map .
it shows clumps of mystery particles across much per cent of the sky .
the goal is to eventually map 12.5 per cent over five years .</v>
      </c>
      <c r="D62" s="65">
        <f>IF(H62=0,wdct(TRIM(C62)),0)</f>
        <v>35</v>
      </c>
      <c r="E62" s="65">
        <f>COUNTIFS('Error Log'!$A:$A,$A62,'Error Log'!$J:$J,E$1)</f>
        <v>2</v>
      </c>
      <c r="F62" s="65">
        <f>COUNTIFS('Error Log'!$A:$A,$A62,'Error Log'!$J:$J,F$1)</f>
        <v>1</v>
      </c>
      <c r="G62" s="65">
        <f>COUNTIFS('Error Log'!$A:$A,$A62,'Error Log'!$J:$J,G$1)</f>
        <v>0</v>
      </c>
      <c r="H62" s="65">
        <f>COUNTIFS('Error Log'!$A:$A,$A62,'Error Log'!$F:$F,"Source")</f>
        <v>0</v>
      </c>
      <c r="I62" s="65">
        <f>COUNTIFS('Error Log'!$A:$A,$A62,'Error Log'!$F:$F,"Target")</f>
        <v>0</v>
      </c>
      <c r="J62" s="66">
        <f t="shared" si="0"/>
        <v>64.285714285714278</v>
      </c>
    </row>
    <row r="63" spans="1:10">
      <c r="A63" s="74" t="s">
        <v>700</v>
      </c>
      <c r="B63" s="65" t="str">
        <f>IF(ISBLANK(A63),"",INDEX('Error Log'!$A:$J,MATCH('Scores per segment'!$A63,'Error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3" s="65" t="str">
        <f>IF(ISBLANK(A63),"",INDEX('Error Log'!$A:$J,MATCH('Scores per segment'!$A63,'Error Log'!$A:$A,0),MATCH('Scores per segment'!C$1,'Error Log'!$A$1:$J$1,0)))</f>
        <v>the labrador , from idaho , decided to take the pooch to a mcdonald 's drive-thru for an ice cream with his pal daisy .
when the small female pup takes a few koala licks , cooper UNK the rest of the cone up in one bite .</v>
      </c>
      <c r="D63" s="65">
        <f>IF(H63=0,wdct(TRIM(C63)),0)</f>
        <v>43</v>
      </c>
      <c r="E63" s="65">
        <f>COUNTIFS('Error Log'!$A:$A,$A63,'Error Log'!$J:$J,E$1)</f>
        <v>5</v>
      </c>
      <c r="F63" s="65">
        <f>COUNTIFS('Error Log'!$A:$A,$A63,'Error Log'!$J:$J,F$1)</f>
        <v>0</v>
      </c>
      <c r="G63" s="65">
        <f>COUNTIFS('Error Log'!$A:$A,$A63,'Error Log'!$J:$J,G$1)</f>
        <v>0</v>
      </c>
      <c r="H63" s="65">
        <f>COUNTIFS('Error Log'!$A:$A,$A63,'Error Log'!$F:$F,"Source")</f>
        <v>0</v>
      </c>
      <c r="I63" s="65">
        <f>COUNTIFS('Error Log'!$A:$A,$A63,'Error Log'!$F:$F,"Target")</f>
        <v>0</v>
      </c>
      <c r="J63" s="66">
        <f t="shared" si="0"/>
        <v>41.860465116279066</v>
      </c>
    </row>
    <row r="64" spans="1:10">
      <c r="A64" s="73" t="s">
        <v>708</v>
      </c>
      <c r="B64" s="65" t="str">
        <f>IF(ISBLANK(A64),"",INDEX('Error Log'!$A:$J,MATCH('Scores per segment'!$A64,'Error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13th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4" s="65" t="str">
        <f>IF(ISBLANK(A64),"",INDEX('Error Log'!$A:$J,MATCH('Scores per segment'!$A64,'Error Log'!$A:$A,0),MATCH('Scores per segment'!C$1,'Error Log'!$A$1:$J$1,0)))</f>
        <v>chelsea have been in the top flight for a season since joining lille .
belgian club have been in the top flight for a season since joining lille .
belgian club have been in the top flight for a season since last summer .</v>
      </c>
      <c r="D64" s="65">
        <f>IF(H64=0,wdct(TRIM(C64)),0)</f>
        <v>41</v>
      </c>
      <c r="E64" s="65">
        <f>COUNTIFS('Error Log'!$A:$A,$A64,'Error Log'!$J:$J,E$1)</f>
        <v>7</v>
      </c>
      <c r="F64" s="65">
        <f>COUNTIFS('Error Log'!$A:$A,$A64,'Error Log'!$J:$J,F$1)</f>
        <v>2</v>
      </c>
      <c r="G64" s="65">
        <f>COUNTIFS('Error Log'!$A:$A,$A64,'Error Log'!$J:$J,G$1)</f>
        <v>0</v>
      </c>
      <c r="H64" s="65">
        <f>COUNTIFS('Error Log'!$A:$A,$A64,'Error Log'!$F:$F,"Source")</f>
        <v>0</v>
      </c>
      <c r="I64" s="65">
        <f>COUNTIFS('Error Log'!$A:$A,$A64,'Error Log'!$F:$F,"Target")</f>
        <v>0</v>
      </c>
      <c r="J64" s="66">
        <f t="shared" si="0"/>
        <v>2.4390243902439011</v>
      </c>
    </row>
    <row r="65" spans="1:10">
      <c r="A65" s="73" t="s">
        <v>727</v>
      </c>
      <c r="B65" s="65" t="str">
        <f>IF(ISBLANK(A65),"",INDEX('Error Log'!$A:$J,MATCH('Scores per segment'!$A65,'Error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v>
      </c>
      <c r="C65" s="65" t="str">
        <f>IF(ISBLANK(A65),"",INDEX('Error Log'!$A:$J,MATCH('Scores per segment'!$A65,'Error Log'!$A:$A,0),MATCH('Scores per segment'!C$1,'Error Log'!$A$1:$J$1,0)))</f>
        <v>the global UNK chain said in an update on its site that stores are expected to open for ' business as usual ' .
the company said earlier the outage affected 7,000 stores in the us and canada .
the company said earlier the outage affected 7,000 stores in the us and canada .</v>
      </c>
      <c r="D65" s="65">
        <f>IF(H65=0,wdct(TRIM(C65)),0)</f>
        <v>49</v>
      </c>
      <c r="E65" s="65">
        <f>COUNTIFS('Error Log'!$A:$A,$A65,'Error Log'!$J:$J,E$1)</f>
        <v>6</v>
      </c>
      <c r="F65" s="65">
        <f>COUNTIFS('Error Log'!$A:$A,$A65,'Error Log'!$J:$J,F$1)</f>
        <v>1</v>
      </c>
      <c r="G65" s="65">
        <f>COUNTIFS('Error Log'!$A:$A,$A65,'Error Log'!$J:$J,G$1)</f>
        <v>1</v>
      </c>
      <c r="H65" s="65">
        <f>COUNTIFS('Error Log'!$A:$A,$A65,'Error Log'!$F:$F,"Source")</f>
        <v>0</v>
      </c>
      <c r="I65" s="65">
        <f>COUNTIFS('Error Log'!$A:$A,$A65,'Error Log'!$F:$F,"Target")</f>
        <v>0</v>
      </c>
      <c r="J65" s="66">
        <f t="shared" si="0"/>
        <v>32.653061224489804</v>
      </c>
    </row>
    <row r="66" spans="1:10">
      <c r="A66" s="73" t="s">
        <v>738</v>
      </c>
      <c r="B66" s="65" t="str">
        <f>IF(ISBLANK(A66),"",INDEX('Error Log'!$A:$J,MATCH('Scores per segment'!$A66,'Error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2001 .
pacquiao is promoted by bob arum 's top rank company .
actor mark wahlberg is a big fan of pacquiao .</v>
      </c>
      <c r="C66" s="65" t="str">
        <f>IF(ISBLANK(A66),"",INDEX('Error Log'!$A:$J,MATCH('Scores per segment'!$A66,'Error Log'!$A:$A,0),MATCH('Scores per segment'!C$1,'Error Log'!$A$1:$J$1,0)))</f>
        <v>floyd mayweather and manny pacquiao are in the fight against pacquiao .
mayweather has been dating UNK medina since last year .
mayweather has been dating UNK medina since last year .
click here for all the latest boxing news .</v>
      </c>
      <c r="D66" s="65">
        <f>IF(H66=0,wdct(TRIM(C66)),0)</f>
        <v>37</v>
      </c>
      <c r="E66" s="65">
        <f>COUNTIFS('Error Log'!$A:$A,$A66,'Error Log'!$J:$J,E$1)</f>
        <v>6</v>
      </c>
      <c r="F66" s="65">
        <f>COUNTIFS('Error Log'!$A:$A,$A66,'Error Log'!$J:$J,F$1)</f>
        <v>3</v>
      </c>
      <c r="G66" s="65">
        <f>COUNTIFS('Error Log'!$A:$A,$A66,'Error Log'!$J:$J,G$1)</f>
        <v>0</v>
      </c>
      <c r="H66" s="65">
        <f>COUNTIFS('Error Log'!$A:$A,$A66,'Error Log'!$F:$F,"Source")</f>
        <v>0</v>
      </c>
      <c r="I66" s="65">
        <f>COUNTIFS('Error Log'!$A:$A,$A66,'Error Log'!$F:$F,"Target")</f>
        <v>0</v>
      </c>
      <c r="J66" s="66">
        <f t="shared" ref="J66:J129" si="1">IF(I66=0,IFERROR((((1-((E66*10+F66*5+G66*1)/D66))*100)+100)/2,0),-150)</f>
        <v>-1.3513513513513615</v>
      </c>
    </row>
    <row r="67" spans="1:10">
      <c r="A67" s="73" t="s">
        <v>756</v>
      </c>
      <c r="B67" s="65" t="str">
        <f>IF(ISBLANK(A67),"",INDEX('Error Log'!$A:$J,MATCH('Scores per segment'!$A67,'Error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7" s="65" t="str">
        <f>IF(ISBLANK(A67),"",INDEX('Error Log'!$A:$J,MATCH('Scores per segment'!$A67,'Error Log'!$A:$A,0),MATCH('Scores per segment'!C$1,'Error Log'!$A$1:$J$1,0)))</f>
        <v>residents in UNK , powys and pembrokeshire are being used to radicalise muslims , according to an officer from the wales extremism and counter terrorism unit .
they are being used to radicalise muslims , according to an officer from the wales extremism and counter terrorism unit .</v>
      </c>
      <c r="D67" s="65">
        <f>IF(H67=0,wdct(TRIM(C67)),0)</f>
        <v>43</v>
      </c>
      <c r="E67" s="65">
        <f>COUNTIFS('Error Log'!$A:$A,$A67,'Error Log'!$J:$J,E$1)</f>
        <v>2</v>
      </c>
      <c r="F67" s="65">
        <f>COUNTIFS('Error Log'!$A:$A,$A67,'Error Log'!$J:$J,F$1)</f>
        <v>1</v>
      </c>
      <c r="G67" s="65">
        <f>COUNTIFS('Error Log'!$A:$A,$A67,'Error Log'!$J:$J,G$1)</f>
        <v>0</v>
      </c>
      <c r="H67" s="65">
        <f>COUNTIFS('Error Log'!$A:$A,$A67,'Error Log'!$F:$F,"Source")</f>
        <v>0</v>
      </c>
      <c r="I67" s="65">
        <f>COUNTIFS('Error Log'!$A:$A,$A67,'Error Log'!$F:$F,"Target")</f>
        <v>0</v>
      </c>
      <c r="J67" s="66">
        <f t="shared" si="1"/>
        <v>70.930232558139537</v>
      </c>
    </row>
    <row r="68" spans="1:10">
      <c r="A68" s="73" t="s">
        <v>762</v>
      </c>
      <c r="B68" s="65" t="str">
        <f>IF(ISBLANK(A68),"",INDEX('Error Log'!$A:$J,MATCH('Scores per segment'!$A68,'Error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8" s="65" t="str">
        <f>IF(ISBLANK(A68),"",INDEX('Error Log'!$A:$J,MATCH('Scores per segment'!$A68,'Error Log'!$A:$A,0),MATCH('Scores per segment'!C$1,'Error Log'!$A$1:$J$1,0)))</f>
        <v>manchester united have made an official approach for william carvalho .
united have made an official approach for the 21-year-old .
united have made an official approach for the 21-year-old .
united have made an official approach for the dutch giants .</v>
      </c>
      <c r="D68" s="65">
        <f>IF(H68=0,wdct(TRIM(C68)),0)</f>
        <v>38</v>
      </c>
      <c r="E68" s="65">
        <f>COUNTIFS('Error Log'!$A:$A,$A68,'Error Log'!$J:$J,E$1)</f>
        <v>5</v>
      </c>
      <c r="F68" s="65">
        <f>COUNTIFS('Error Log'!$A:$A,$A68,'Error Log'!$J:$J,F$1)</f>
        <v>2</v>
      </c>
      <c r="G68" s="65">
        <f>COUNTIFS('Error Log'!$A:$A,$A68,'Error Log'!$J:$J,G$1)</f>
        <v>0</v>
      </c>
      <c r="H68" s="65">
        <f>COUNTIFS('Error Log'!$A:$A,$A68,'Error Log'!$F:$F,"Source")</f>
        <v>0</v>
      </c>
      <c r="I68" s="65">
        <f>COUNTIFS('Error Log'!$A:$A,$A68,'Error Log'!$F:$F,"Target")</f>
        <v>0</v>
      </c>
      <c r="J68" s="66">
        <f t="shared" si="1"/>
        <v>21.052631578947366</v>
      </c>
    </row>
    <row r="69" spans="1:10">
      <c r="A69" s="73" t="s">
        <v>773</v>
      </c>
      <c r="B69" s="65" t="str">
        <f>IF(ISBLANK(A69),"",INDEX('Error Log'!$A:$J,MATCH('Scores per segment'!$A69,'Error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53 vertebrae</v>
      </c>
      <c r="C69" s="65" t="str">
        <f>IF(ISBLANK(A69),"",INDEX('Error Log'!$A:$J,MATCH('Scores per segment'!$A69,'Error Log'!$A:$A,0),MATCH('Scores per segment'!C$1,'Error Log'!$A$1:$J$1,0)))</f>
        <v>the UNK 's whale was discovered on a nile carcass yesterday .
it left authorities confused as they struggled to identify the rare species .
it left authorities confused as they struggled to identify the rare species .</v>
      </c>
      <c r="D69" s="65">
        <f>IF(H69=0,wdct(TRIM(C69)),0)</f>
        <v>35</v>
      </c>
      <c r="E69" s="65">
        <f>COUNTIFS('Error Log'!$A:$A,$A69,'Error Log'!$J:$J,E$1)</f>
        <v>7</v>
      </c>
      <c r="F69" s="65">
        <f>COUNTIFS('Error Log'!$A:$A,$A69,'Error Log'!$J:$J,F$1)</f>
        <v>1</v>
      </c>
      <c r="G69" s="65">
        <f>COUNTIFS('Error Log'!$A:$A,$A69,'Error Log'!$J:$J,G$1)</f>
        <v>0</v>
      </c>
      <c r="H69" s="65">
        <f>COUNTIFS('Error Log'!$A:$A,$A69,'Error Log'!$F:$F,"Source")</f>
        <v>0</v>
      </c>
      <c r="I69" s="65">
        <f>COUNTIFS('Error Log'!$A:$A,$A69,'Error Log'!$F:$F,"Target")</f>
        <v>0</v>
      </c>
      <c r="J69" s="66">
        <f t="shared" si="1"/>
        <v>-7.1428571428571388</v>
      </c>
    </row>
    <row r="70" spans="1:10">
      <c r="A70" s="73" t="s">
        <v>791</v>
      </c>
      <c r="B70" s="65" t="str">
        <f>IF(ISBLANK(A70),"",INDEX('Error Log'!$A:$J,MATCH('Scores per segment'!$A70,'Error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6 ) : on for abraham and showed explosive pace straight away but was let down by a hurried attempt at a finish which flew over the bar .
isaiah brown holds off a tackle from fikayo tomori , during another impressive display for the young forward</v>
      </c>
      <c r="C70" s="65" t="str">
        <f>IF(ISBLANK(A70),"",INDEX('Error Log'!$A:$J,MATCH('Scores per segment'!$A70,'Error Log'!$A:$A,0),MATCH('Scores per segment'!C$1,'Error Log'!$A$1:$J$1,0)))</f>
        <v>chelsea beat west london 3-1 in the premier league on saturday .
dominic solanke scored late on to put a gloss on the gloss .
dominic solanke scored late on to put a gloss on the gloss .</v>
      </c>
      <c r="D70" s="65">
        <f>IF(H70=0,wdct(TRIM(C70)),0)</f>
        <v>35</v>
      </c>
      <c r="E70" s="65">
        <f>COUNTIFS('Error Log'!$A:$A,$A70,'Error Log'!$J:$J,E$1)</f>
        <v>7</v>
      </c>
      <c r="F70" s="65">
        <f>COUNTIFS('Error Log'!$A:$A,$A70,'Error Log'!$J:$J,F$1)</f>
        <v>1</v>
      </c>
      <c r="G70" s="65">
        <f>COUNTIFS('Error Log'!$A:$A,$A70,'Error Log'!$J:$J,G$1)</f>
        <v>3</v>
      </c>
      <c r="H70" s="65">
        <f>COUNTIFS('Error Log'!$A:$A,$A70,'Error Log'!$F:$F,"Source")</f>
        <v>0</v>
      </c>
      <c r="I70" s="65">
        <f>COUNTIFS('Error Log'!$A:$A,$A70,'Error Log'!$F:$F,"Target")</f>
        <v>0</v>
      </c>
      <c r="J70" s="66">
        <f t="shared" si="1"/>
        <v>-11.428571428571431</v>
      </c>
    </row>
    <row r="71" spans="1:10">
      <c r="A71" s="73" t="s">
        <v>821</v>
      </c>
      <c r="B71" s="65" t="str">
        <f>IF(ISBLANK(A71),"",INDEX('Error Log'!$A:$J,MATCH('Scores per segment'!$A71,'Error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1993 .
correction : an earlier version of this article incorrectly stated that canadians elected their first female prime minister , kim campbell .</v>
      </c>
      <c r="C71" s="65" t="str">
        <f>IF(ISBLANK(A71),"",INDEX('Error Log'!$A:$J,MATCH('Scores per segment'!$A71,'Error Log'!$A:$A,0),MATCH('Scores per segment'!C$1,'Error Log'!$A$1:$J$1,0)))</f>
        <v>borger : mitt romney 's hormones are a major factor one should consider .
brazile : progressives have different hormones , but are hormones are a key factor .
brazile : progressives have different feelings about what they have to look forward .</v>
      </c>
      <c r="D71" s="65">
        <f>IF(H71=0,wdct(TRIM(C71)),0)</f>
        <v>36</v>
      </c>
      <c r="E71" s="65">
        <f>COUNTIFS('Error Log'!$A:$A,$A71,'Error Log'!$J:$J,E$1)</f>
        <v>6</v>
      </c>
      <c r="F71" s="65">
        <f>COUNTIFS('Error Log'!$A:$A,$A71,'Error Log'!$J:$J,F$1)</f>
        <v>3</v>
      </c>
      <c r="G71" s="65">
        <f>COUNTIFS('Error Log'!$A:$A,$A71,'Error Log'!$J:$J,G$1)</f>
        <v>0</v>
      </c>
      <c r="H71" s="65">
        <f>COUNTIFS('Error Log'!$A:$A,$A71,'Error Log'!$F:$F,"Source")</f>
        <v>0</v>
      </c>
      <c r="I71" s="65">
        <f>COUNTIFS('Error Log'!$A:$A,$A71,'Error Log'!$F:$F,"Target")</f>
        <v>0</v>
      </c>
      <c r="J71" s="66">
        <f t="shared" si="1"/>
        <v>-4.1666666666666714</v>
      </c>
    </row>
    <row r="72" spans="1:10">
      <c r="A72" s="73" t="s">
        <v>842</v>
      </c>
      <c r="B72" s="65" t="str">
        <f>IF(ISBLANK(A72),"",INDEX('Error Log'!$A:$J,MATCH('Scores per segment'!$A72,'Error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$ 40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2" s="65" t="str">
        <f>IF(ISBLANK(A72),"",INDEX('Error Log'!$A:$J,MATCH('Scores per segment'!$A72,'Error Log'!$A:$A,0),MATCH('Scores per segment'!C$1,'Error Log'!$A$1:$J$1,0)))</f>
        <v>marco rubio said the ' definition of the institution of marriage should be between one man and one woman ' .
the florida senator said he would attend the same-sex wedding of a family member or staffer - even if he did n't agree with the decision .</v>
      </c>
      <c r="D72" s="65">
        <f>IF(H72=0,wdct(TRIM(C72)),0)</f>
        <v>43</v>
      </c>
      <c r="E72" s="65">
        <f>COUNTIFS('Error Log'!$A:$A,$A72,'Error Log'!$J:$J,E$1)</f>
        <v>2</v>
      </c>
      <c r="F72" s="65">
        <f>COUNTIFS('Error Log'!$A:$A,$A72,'Error Log'!$J:$J,F$1)</f>
        <v>1</v>
      </c>
      <c r="G72" s="65">
        <f>COUNTIFS('Error Log'!$A:$A,$A72,'Error Log'!$J:$J,G$1)</f>
        <v>0</v>
      </c>
      <c r="H72" s="65">
        <f>COUNTIFS('Error Log'!$A:$A,$A72,'Error Log'!$F:$F,"Source")</f>
        <v>0</v>
      </c>
      <c r="I72" s="65">
        <f>COUNTIFS('Error Log'!$A:$A,$A72,'Error Log'!$F:$F,"Target")</f>
        <v>0</v>
      </c>
      <c r="J72" s="66">
        <f t="shared" si="1"/>
        <v>70.930232558139537</v>
      </c>
    </row>
    <row r="73" spans="1:10">
      <c r="A73" s="73" t="s">
        <v>851</v>
      </c>
      <c r="B73" s="65" t="str">
        <f>IF(ISBLANK(A73),"",INDEX('Error Log'!$A:$J,MATCH('Scores per segment'!$A73,'Error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1990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3" s="65" t="str">
        <f>IF(ISBLANK(A73),"",INDEX('Error Log'!$A:$J,MATCH('Scores per segment'!$A73,'Error Log'!$A:$A,0),MATCH('Scores per segment'!C$1,'Error Log'!$A$1:$J$1,0)))</f>
        <v>actor robert hardy is selling his prized collection of antiques .
he is selling his collection of antiques including a UNK of the battle of UNK .
he is selling his collection of antiques including a UNK of the battle .</v>
      </c>
      <c r="D73" s="65">
        <f>IF(H73=0,wdct(TRIM(C73)),0)</f>
        <v>38</v>
      </c>
      <c r="E73" s="65">
        <f>COUNTIFS('Error Log'!$A:$A,$A73,'Error Log'!$J:$J,E$1)</f>
        <v>4</v>
      </c>
      <c r="F73" s="65">
        <f>COUNTIFS('Error Log'!$A:$A,$A73,'Error Log'!$J:$J,F$1)</f>
        <v>1</v>
      </c>
      <c r="G73" s="65">
        <f>COUNTIFS('Error Log'!$A:$A,$A73,'Error Log'!$J:$J,G$1)</f>
        <v>0</v>
      </c>
      <c r="H73" s="65">
        <f>COUNTIFS('Error Log'!$A:$A,$A73,'Error Log'!$F:$F,"Source")</f>
        <v>0</v>
      </c>
      <c r="I73" s="65">
        <f>COUNTIFS('Error Log'!$A:$A,$A73,'Error Log'!$F:$F,"Target")</f>
        <v>0</v>
      </c>
      <c r="J73" s="66">
        <f t="shared" si="1"/>
        <v>40.789473684210535</v>
      </c>
    </row>
    <row r="74" spans="1:10">
      <c r="A74" s="74" t="s">
        <v>861</v>
      </c>
      <c r="B74" s="65" t="str">
        <f>IF(ISBLANK(A74),"",INDEX('Error Log'!$A:$J,MATCH('Scores per segment'!$A74,'Error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4" s="65" t="str">
        <f>IF(ISBLANK(A74),"",INDEX('Error Log'!$A:$J,MATCH('Scores per segment'!$A74,'Error Log'!$A:$A,0),MATCH('Scores per segment'!C$1,'Error Log'!$A$1:$J$1,0)))</f>
        <v>spanish pablo , 27 , and latvian UNK , 31 , met in the uk in 2011 .
they were travelling around the world when they were on the road .
they have been living on less than three euros each a day , or by their ladders .</v>
      </c>
      <c r="D74" s="65">
        <f>IF(H74=0,wdct(TRIM(C74)),0)</f>
        <v>41</v>
      </c>
      <c r="E74" s="65">
        <f>COUNTIFS('Error Log'!$A:$A,$A74,'Error Log'!$J:$J,E$1)</f>
        <v>6</v>
      </c>
      <c r="F74" s="65">
        <f>COUNTIFS('Error Log'!$A:$A,$A74,'Error Log'!$J:$J,F$1)</f>
        <v>3</v>
      </c>
      <c r="G74" s="65">
        <f>COUNTIFS('Error Log'!$A:$A,$A74,'Error Log'!$J:$J,G$1)</f>
        <v>0</v>
      </c>
      <c r="H74" s="65">
        <f>COUNTIFS('Error Log'!$A:$A,$A74,'Error Log'!$F:$F,"Source")</f>
        <v>0</v>
      </c>
      <c r="I74" s="65">
        <f>COUNTIFS('Error Log'!$A:$A,$A74,'Error Log'!$F:$F,"Target")</f>
        <v>0</v>
      </c>
      <c r="J74" s="66">
        <f t="shared" si="1"/>
        <v>8.5365853658536537</v>
      </c>
    </row>
    <row r="75" spans="1:10">
      <c r="A75" s="74" t="s">
        <v>888</v>
      </c>
      <c r="B75" s="65" t="str">
        <f>IF(ISBLANK(A75),"",INDEX('Error Log'!$A:$J,MATCH('Scores per segment'!$A75,'Error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407-656-3636 .</v>
      </c>
      <c r="C75" s="65" t="str">
        <f>IF(ISBLANK(A75),"",INDEX('Error Log'!$A:$J,MATCH('Scores per segment'!$A75,'Error Log'!$A:$A,0),MATCH('Scores per segment'!C$1,'Error Log'!$A$1:$J$1,0)))</f>
        <v>michael scott UNK , 57 , has been on the run since saturday .
his mother , sandra UNK , 57 , was found dead at the home they shared in winter garden .
UNK 's mother , sandra UNK , 57 , was found dead at the home they shared in winter garden .</v>
      </c>
      <c r="D75" s="65">
        <f>IF(H75=0,wdct(TRIM(C75)),0)</f>
        <v>44</v>
      </c>
      <c r="E75" s="65">
        <f>COUNTIFS('Error Log'!$A:$A,$A75,'Error Log'!$J:$J,E$1)</f>
        <v>7</v>
      </c>
      <c r="F75" s="65">
        <f>COUNTIFS('Error Log'!$A:$A,$A75,'Error Log'!$J:$J,F$1)</f>
        <v>1</v>
      </c>
      <c r="G75" s="65">
        <f>COUNTIFS('Error Log'!$A:$A,$A75,'Error Log'!$J:$J,G$1)</f>
        <v>0</v>
      </c>
      <c r="H75" s="65">
        <f>COUNTIFS('Error Log'!$A:$A,$A75,'Error Log'!$F:$F,"Source")</f>
        <v>0</v>
      </c>
      <c r="I75" s="65">
        <f>COUNTIFS('Error Log'!$A:$A,$A75,'Error Log'!$F:$F,"Target")</f>
        <v>0</v>
      </c>
      <c r="J75" s="66">
        <f t="shared" si="1"/>
        <v>14.772727272727273</v>
      </c>
    </row>
    <row r="76" spans="1:10">
      <c r="A76" s="74" t="s">
        <v>909</v>
      </c>
      <c r="B76" s="65" t="str">
        <f>IF(ISBLANK(A76),"",INDEX('Error Log'!$A:$J,MATCH('Scores per segment'!$A76,'Error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100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6" s="65" t="str">
        <f>IF(ISBLANK(A76),"",INDEX('Error Log'!$A:$J,MATCH('Scores per segment'!$A76,'Error Log'!$A:$A,0),MATCH('Scores per segment'!C$1,'Error Log'!$A$1:$J$1,0)))</f>
        <v>the couple , who does not wish to be identified , hired attorney gloria hale to sue james evans the owner of premiere photos .
the couple , who does not wish to be identified , hired attorney gloria hale to sue james evans the owner of premiere photos .
the couple are suing the company under the texas deceptive trade practices act .</v>
      </c>
      <c r="D76" s="65">
        <f>IF(H76=0,wdct(TRIM(C76)),0)</f>
        <v>57</v>
      </c>
      <c r="E76" s="65">
        <f>COUNTIFS('Error Log'!$A:$A,$A76,'Error Log'!$J:$J,E$1)</f>
        <v>2</v>
      </c>
      <c r="F76" s="65">
        <f>COUNTIFS('Error Log'!$A:$A,$A76,'Error Log'!$J:$J,F$1)</f>
        <v>2</v>
      </c>
      <c r="G76" s="65">
        <f>COUNTIFS('Error Log'!$A:$A,$A76,'Error Log'!$J:$J,G$1)</f>
        <v>0</v>
      </c>
      <c r="H76" s="65">
        <f>COUNTIFS('Error Log'!$A:$A,$A76,'Error Log'!$F:$F,"Source")</f>
        <v>0</v>
      </c>
      <c r="I76" s="65">
        <f>COUNTIFS('Error Log'!$A:$A,$A76,'Error Log'!$F:$F,"Target")</f>
        <v>0</v>
      </c>
      <c r="J76" s="66">
        <f t="shared" si="1"/>
        <v>73.684210526315795</v>
      </c>
    </row>
    <row r="77" spans="1:10">
      <c r="A77" s="74" t="s">
        <v>920</v>
      </c>
      <c r="B77" s="65" t="str">
        <f>IF(ISBLANK(A77),"",INDEX('Error Log'!$A:$J,MATCH('Scores per segment'!$A77,'Error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2013 iaaf world athletics championships in moscow</v>
      </c>
      <c r="C77" s="65" t="str">
        <f>IF(ISBLANK(A77),"",INDEX('Error Log'!$A:$J,MATCH('Scores per segment'!$A77,'Error Log'!$A:$A,0),MATCH('Scores per segment'!C$1,'Error Log'!$A$1:$J$1,0)))</f>
        <v>eugene has been awarded the rights to host the eurasia iaaf world championships .
the decision was taken by the international association of athletics federations council .
the decision was taken by the international association of athletics federations council .</v>
      </c>
      <c r="D77" s="65">
        <f>IF(H77=0,wdct(TRIM(C77)),0)</f>
        <v>37</v>
      </c>
      <c r="E77" s="65">
        <f>COUNTIFS('Error Log'!$A:$A,$A77,'Error Log'!$J:$J,E$1)</f>
        <v>2</v>
      </c>
      <c r="F77" s="65">
        <f>COUNTIFS('Error Log'!$A:$A,$A77,'Error Log'!$J:$J,F$1)</f>
        <v>2</v>
      </c>
      <c r="G77" s="65">
        <f>COUNTIFS('Error Log'!$A:$A,$A77,'Error Log'!$J:$J,G$1)</f>
        <v>0</v>
      </c>
      <c r="H77" s="65">
        <f>COUNTIFS('Error Log'!$A:$A,$A77,'Error Log'!$F:$F,"Source")</f>
        <v>0</v>
      </c>
      <c r="I77" s="65">
        <f>COUNTIFS('Error Log'!$A:$A,$A77,'Error Log'!$F:$F,"Target")</f>
        <v>0</v>
      </c>
      <c r="J77" s="66">
        <f t="shared" si="1"/>
        <v>59.45945945945946</v>
      </c>
    </row>
    <row r="78" spans="1:10">
      <c r="A78" s="74" t="s">
        <v>930</v>
      </c>
      <c r="B78" s="65" t="str">
        <f>IF(ISBLANK(A78),"",INDEX('Error Log'!$A:$J,MATCH('Scores per segment'!$A78,'Error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2015 campaign that champions people at the heart and soul of the game by putting grassroots clubs on the global stage .</v>
      </c>
      <c r="C78" s="65" t="str">
        <f>IF(ISBLANK(A78),"",INDEX('Error Log'!$A:$J,MATCH('Scores per segment'!$A78,'Error Log'!$A:$A,0),MATCH('Scores per segment'!C$1,'Error Log'!$A$1:$J$1,0)))</f>
        <v>mike brown has been advised by leading medics not to play again this season .
the england full-back has been advised by leading medics not to play again this season .
brown has been advised by leading medics not to play again this season .</v>
      </c>
      <c r="D78" s="65">
        <f>IF(H78=0,wdct(TRIM(C78)),0)</f>
        <v>42</v>
      </c>
      <c r="E78" s="65">
        <f>COUNTIFS('Error Log'!$A:$A,$A78,'Error Log'!$J:$J,E$1)</f>
        <v>5</v>
      </c>
      <c r="F78" s="65">
        <f>COUNTIFS('Error Log'!$A:$A,$A78,'Error Log'!$J:$J,F$1)</f>
        <v>3</v>
      </c>
      <c r="G78" s="65">
        <f>COUNTIFS('Error Log'!$A:$A,$A78,'Error Log'!$J:$J,G$1)</f>
        <v>0</v>
      </c>
      <c r="H78" s="65">
        <f>COUNTIFS('Error Log'!$A:$A,$A78,'Error Log'!$F:$F,"Source")</f>
        <v>0</v>
      </c>
      <c r="I78" s="65">
        <f>COUNTIFS('Error Log'!$A:$A,$A78,'Error Log'!$F:$F,"Target")</f>
        <v>0</v>
      </c>
      <c r="J78" s="66">
        <f t="shared" si="1"/>
        <v>22.619047619047617</v>
      </c>
    </row>
    <row r="79" spans="1:10">
      <c r="A79" s="74" t="s">
        <v>948</v>
      </c>
      <c r="B79" s="65" t="str">
        <f>IF(ISBLANK(A79),"",INDEX('Error Log'!$A:$J,MATCH('Scores per segment'!$A79,'Error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£ 54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9" s="65" t="str">
        <f>IF(ISBLANK(A79),"",INDEX('Error Log'!$A:$J,MATCH('Scores per segment'!$A79,'Error Log'!$A:$A,0),MATCH('Scores per segment'!C$1,'Error Log'!$A$1:$J$1,0)))</f>
        <v>leonie granger , 25 , was jailed for 16 years at the old bailey today .
judge william kennedy described the attack as ' UNK and wicked ' .
he was found guilty of manslaughter over the death of a professional gambler .</v>
      </c>
      <c r="D79" s="65">
        <f>IF(H79=0,wdct(TRIM(C79)),0)</f>
        <v>36</v>
      </c>
      <c r="E79" s="65">
        <f>COUNTIFS('Error Log'!$A:$A,$A79,'Error Log'!$J:$J,E$1)</f>
        <v>3</v>
      </c>
      <c r="F79" s="65">
        <f>COUNTIFS('Error Log'!$A:$A,$A79,'Error Log'!$J:$J,F$1)</f>
        <v>2</v>
      </c>
      <c r="G79" s="65">
        <f>COUNTIFS('Error Log'!$A:$A,$A79,'Error Log'!$J:$J,G$1)</f>
        <v>0</v>
      </c>
      <c r="H79" s="65">
        <f>COUNTIFS('Error Log'!$A:$A,$A79,'Error Log'!$F:$F,"Source")</f>
        <v>0</v>
      </c>
      <c r="I79" s="65">
        <f>COUNTIFS('Error Log'!$A:$A,$A79,'Error Log'!$F:$F,"Target")</f>
        <v>0</v>
      </c>
      <c r="J79" s="66">
        <f t="shared" si="1"/>
        <v>44.444444444444443</v>
      </c>
    </row>
    <row r="80" spans="1:10">
      <c r="A80" s="74" t="s">
        <v>963</v>
      </c>
      <c r="B80" s="65" t="str">
        <f>IF(ISBLANK(A80),"",INDEX('Error Log'!$A:$J,MATCH('Scores per segment'!$A80,'Error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4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80" s="65" t="str">
        <f>IF(ISBLANK(A80),"",INDEX('Error Log'!$A:$J,MATCH('Scores per segment'!$A80,'Error Log'!$A:$A,0),MATCH('Scores per segment'!C$1,'Error Log'!$A$1:$J$1,0)))</f>
        <v>professor david UNK revealed in new book sex by numbers .
suggests britons are having sex with a ' very big split ' between public lives .
suggests britons are having sex has been in decline since emergence of the internet .</v>
      </c>
      <c r="D80" s="65">
        <f>IF(H80=0,wdct(TRIM(C80)),0)</f>
        <v>37</v>
      </c>
      <c r="E80" s="65">
        <f>COUNTIFS('Error Log'!$A:$A,$A80,'Error Log'!$J:$J,E$1)</f>
        <v>5</v>
      </c>
      <c r="F80" s="65">
        <f>COUNTIFS('Error Log'!$A:$A,$A80,'Error Log'!$J:$J,F$1)</f>
        <v>1</v>
      </c>
      <c r="G80" s="65">
        <f>COUNTIFS('Error Log'!$A:$A,$A80,'Error Log'!$J:$J,G$1)</f>
        <v>0</v>
      </c>
      <c r="H80" s="65">
        <f>COUNTIFS('Error Log'!$A:$A,$A80,'Error Log'!$F:$F,"Source")</f>
        <v>0</v>
      </c>
      <c r="I80" s="65">
        <f>COUNTIFS('Error Log'!$A:$A,$A80,'Error Log'!$F:$F,"Target")</f>
        <v>0</v>
      </c>
      <c r="J80" s="66">
        <f t="shared" si="1"/>
        <v>25.675675675675681</v>
      </c>
    </row>
    <row r="81" spans="1:10">
      <c r="A81" s="74" t="s">
        <v>976</v>
      </c>
      <c r="B81" s="65" t="str">
        <f>IF(ISBLANK(A81),"",INDEX('Error Log'!$A:$J,MATCH('Scores per segment'!$A81,'Error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3-6 win over hull city , but that was his first in five games
mourinho is looking to guide his team over the line in the premier league title race , with fabregas a key cog</v>
      </c>
      <c r="C81" s="65" t="str">
        <f>IF(ISBLANK(A81),"",INDEX('Error Log'!$A:$J,MATCH('Scores per segment'!$A81,'Error Log'!$A:$A,0),MATCH('Scores per segment'!C$1,'Error Log'!$A$1:$J$1,0)))</f>
        <v>cesc fabregas captained spain on tuesday night in the premier league .
the midfielder was given just four out of 10 by one spanish newspaper .
the midfielder was given just four out of 10 by one spanish newspaper .
he was given just four out of 10 by one spanish newspaper and was given four out of 10 by one spanish newspaper .</v>
      </c>
      <c r="D81" s="65">
        <f>IF(H81=0,wdct(TRIM(C81)),0)</f>
        <v>60</v>
      </c>
      <c r="E81" s="65">
        <f>COUNTIFS('Error Log'!$A:$A,$A81,'Error Log'!$J:$J,E$1)</f>
        <v>3</v>
      </c>
      <c r="F81" s="65">
        <f>COUNTIFS('Error Log'!$A:$A,$A81,'Error Log'!$J:$J,F$1)</f>
        <v>5</v>
      </c>
      <c r="G81" s="65">
        <f>COUNTIFS('Error Log'!$A:$A,$A81,'Error Log'!$J:$J,G$1)</f>
        <v>0</v>
      </c>
      <c r="H81" s="65">
        <f>COUNTIFS('Error Log'!$A:$A,$A81,'Error Log'!$F:$F,"Source")</f>
        <v>0</v>
      </c>
      <c r="I81" s="65">
        <f>COUNTIFS('Error Log'!$A:$A,$A81,'Error Log'!$F:$F,"Target")</f>
        <v>0</v>
      </c>
      <c r="J81" s="66">
        <f t="shared" si="1"/>
        <v>54.166666666666671</v>
      </c>
    </row>
    <row r="82" spans="1:10">
      <c r="A82" s="74" t="s">
        <v>1001</v>
      </c>
      <c r="B82" s="65" t="str">
        <f>IF(ISBLANK(A82),"",INDEX('Error Log'!$A:$J,MATCH('Scores per segment'!$A82,'Error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£ 600,000 .
the dogs are seen with a model</v>
      </c>
      <c r="C82" s="65" t="str">
        <f>IF(ISBLANK(A82),"",INDEX('Error Log'!$A:$J,MATCH('Scores per segment'!$A82,'Error Log'!$A:$A,0),MATCH('Scores per segment'!C$1,'Error Log'!$A$1:$J$1,0)))</f>
        <v>tibetan UNK laws are being partly blamed on chinese government 's UNK anti-corruption crackdown .
UNK , shanghai and catalonia are also being stolen from the streets by ruthless gangs , who sell them to the UNK .</v>
      </c>
      <c r="D82" s="65">
        <f>IF(H82=0,wdct(TRIM(C82)),0)</f>
        <v>34</v>
      </c>
      <c r="E82" s="65">
        <f>COUNTIFS('Error Log'!$A:$A,$A82,'Error Log'!$J:$J,E$1)</f>
        <v>7</v>
      </c>
      <c r="F82" s="65">
        <f>COUNTIFS('Error Log'!$A:$A,$A82,'Error Log'!$J:$J,F$1)</f>
        <v>1</v>
      </c>
      <c r="G82" s="65">
        <f>COUNTIFS('Error Log'!$A:$A,$A82,'Error Log'!$J:$J,G$1)</f>
        <v>0</v>
      </c>
      <c r="H82" s="65">
        <f>COUNTIFS('Error Log'!$A:$A,$A82,'Error Log'!$F:$F,"Source")</f>
        <v>0</v>
      </c>
      <c r="I82" s="65">
        <f>COUNTIFS('Error Log'!$A:$A,$A82,'Error Log'!$F:$F,"Target")</f>
        <v>0</v>
      </c>
      <c r="J82" s="66">
        <f t="shared" si="1"/>
        <v>-10.294117647058833</v>
      </c>
    </row>
    <row r="83" spans="1:10">
      <c r="A83" s="74" t="s">
        <v>1016</v>
      </c>
      <c r="B83" s="65" t="str">
        <f>IF(ISBLANK(A83),"",INDEX('Error Log'!$A:$J,MATCH('Scores per segment'!$A83,'Error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2016-17 season .</v>
      </c>
      <c r="C83" s="65" t="str">
        <f>IF(ISBLANK(A83),"",INDEX('Error Log'!$A:$J,MATCH('Scores per segment'!$A83,'Error Log'!$A:$A,0),MATCH('Scores per segment'!C$1,'Error Log'!$A$1:$J$1,0)))</f>
        <v>west ham are interested in signing UNK beckford .
the former west ham striker has been linked with a host of european clubs .
west ham have revealed season tickets at the olympic stadium will cost as little as UNK .
west ham have revealed tickets at the olympic stadium will cost as little as UNK .</v>
      </c>
      <c r="D83" s="65">
        <f>IF(H83=0,wdct(TRIM(C83)),0)</f>
        <v>53</v>
      </c>
      <c r="E83" s="65">
        <f>COUNTIFS('Error Log'!$A:$A,$A83,'Error Log'!$J:$J,E$1)</f>
        <v>3</v>
      </c>
      <c r="F83" s="65">
        <f>COUNTIFS('Error Log'!$A:$A,$A83,'Error Log'!$J:$J,F$1)</f>
        <v>1</v>
      </c>
      <c r="G83" s="65">
        <f>COUNTIFS('Error Log'!$A:$A,$A83,'Error Log'!$J:$J,G$1)</f>
        <v>0</v>
      </c>
      <c r="H83" s="65">
        <f>COUNTIFS('Error Log'!$A:$A,$A83,'Error Log'!$F:$F,"Source")</f>
        <v>0</v>
      </c>
      <c r="I83" s="65">
        <f>COUNTIFS('Error Log'!$A:$A,$A83,'Error Log'!$F:$F,"Target")</f>
        <v>0</v>
      </c>
      <c r="J83" s="66">
        <f t="shared" si="1"/>
        <v>66.981132075471692</v>
      </c>
    </row>
    <row r="84" spans="1:10">
      <c r="A84" s="74" t="s">
        <v>1023</v>
      </c>
      <c r="B84" s="65" t="str">
        <f>IF(ISBLANK(A84),"",INDEX('Error Log'!$A:$J,MATCH('Scores per segment'!$A84,'Error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v>
      </c>
      <c r="C84" s="65" t="str">
        <f>IF(ISBLANK(A84),"",INDEX('Error Log'!$A:$J,MATCH('Scores per segment'!$A84,'Error Log'!$A:$A,0),MATCH('Scores per segment'!C$1,'Error Log'!$A$1:$J$1,0)))</f>
        <v>survey of 600 women from the area around paris claimed to have been a victim of sexual harassment on the city 's public transport transport society .
survey of 600 women from the area around paris found that half of those interviewed said they had first suffered harassment under the age of 18 .</v>
      </c>
      <c r="D84" s="65">
        <f>IF(H84=0,wdct(TRIM(C84)),0)</f>
        <v>52</v>
      </c>
      <c r="E84" s="65">
        <f>COUNTIFS('Error Log'!$A:$A,$A84,'Error Log'!$J:$J,E$1)</f>
        <v>1</v>
      </c>
      <c r="F84" s="65">
        <f>COUNTIFS('Error Log'!$A:$A,$A84,'Error Log'!$J:$J,F$1)</f>
        <v>0</v>
      </c>
      <c r="G84" s="65">
        <f>COUNTIFS('Error Log'!$A:$A,$A84,'Error Log'!$J:$J,G$1)</f>
        <v>0</v>
      </c>
      <c r="H84" s="65">
        <f>COUNTIFS('Error Log'!$A:$A,$A84,'Error Log'!$F:$F,"Source")</f>
        <v>0</v>
      </c>
      <c r="I84" s="65">
        <f>COUNTIFS('Error Log'!$A:$A,$A84,'Error Log'!$F:$F,"Target")</f>
        <v>0</v>
      </c>
      <c r="J84" s="66">
        <f t="shared" si="1"/>
        <v>90.384615384615387</v>
      </c>
    </row>
    <row r="85" spans="1:10">
      <c r="A85" s="74" t="s">
        <v>1027</v>
      </c>
      <c r="B85" s="65" t="str">
        <f>IF(ISBLANK(A85),"",INDEX('Error Log'!$A:$J,MATCH('Scores per segment'!$A85,'Error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55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5" s="65" t="str">
        <f>IF(ISBLANK(A85),"",INDEX('Error Log'!$A:$J,MATCH('Scores per segment'!$A85,'Error Log'!$A:$A,0),MATCH('Scores per segment'!C$1,'Error Log'!$A$1:$J$1,0)))</f>
        <v>mike lane , 40 , was beaten by UNK protesters armed with iron bars on ropes .
he said : ‘ they could have made more effort , but the attackers are not likely to be found .</v>
      </c>
      <c r="D85" s="65">
        <f>IF(H85=0,wdct(TRIM(C85)),0)</f>
        <v>31</v>
      </c>
      <c r="E85" s="65">
        <f>COUNTIFS('Error Log'!$A:$A,$A85,'Error Log'!$J:$J,E$1)</f>
        <v>3</v>
      </c>
      <c r="F85" s="65">
        <f>COUNTIFS('Error Log'!$A:$A,$A85,'Error Log'!$J:$J,F$1)</f>
        <v>2</v>
      </c>
      <c r="G85" s="65">
        <f>COUNTIFS('Error Log'!$A:$A,$A85,'Error Log'!$J:$J,G$1)</f>
        <v>0</v>
      </c>
      <c r="H85" s="65">
        <f>COUNTIFS('Error Log'!$A:$A,$A85,'Error Log'!$F:$F,"Source")</f>
        <v>0</v>
      </c>
      <c r="I85" s="65">
        <f>COUNTIFS('Error Log'!$A:$A,$A85,'Error Log'!$F:$F,"Target")</f>
        <v>0</v>
      </c>
      <c r="J85" s="66">
        <f t="shared" si="1"/>
        <v>35.483870967741936</v>
      </c>
    </row>
    <row r="86" spans="1:10">
      <c r="A86" s="74" t="s">
        <v>1041</v>
      </c>
      <c r="B86" s="65" t="str">
        <f>IF(ISBLANK(A86),"",INDEX('Error Log'!$A:$J,MATCH('Scores per segment'!$A86,'Error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25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6" s="65" t="str">
        <f>IF(ISBLANK(A86),"",INDEX('Error Log'!$A:$J,MATCH('Scores per segment'!$A86,'Error Log'!$A:$A,0),MATCH('Scores per segment'!C$1,'Error Log'!$A$1:$J$1,0)))</f>
        <v>UNK direct line is running a competition called # UNK .
the products were designed as part of the direct line everyday fix design UNK .
the products were designed as part of the direct line everyday fix design UNK .</v>
      </c>
      <c r="D86" s="65">
        <f>IF(H86=0,wdct(TRIM(C86)),0)</f>
        <v>37</v>
      </c>
      <c r="E86" s="65">
        <f>COUNTIFS('Error Log'!$A:$A,$A86,'Error Log'!$J:$J,E$1)</f>
        <v>6</v>
      </c>
      <c r="F86" s="65">
        <f>COUNTIFS('Error Log'!$A:$A,$A86,'Error Log'!$J:$J,F$1)</f>
        <v>2</v>
      </c>
      <c r="G86" s="65">
        <f>COUNTIFS('Error Log'!$A:$A,$A86,'Error Log'!$J:$J,G$1)</f>
        <v>0</v>
      </c>
      <c r="H86" s="65">
        <f>COUNTIFS('Error Log'!$A:$A,$A86,'Error Log'!$F:$F,"Source")</f>
        <v>0</v>
      </c>
      <c r="I86" s="65">
        <f>COUNTIFS('Error Log'!$A:$A,$A86,'Error Log'!$F:$F,"Target")</f>
        <v>0</v>
      </c>
      <c r="J86" s="66">
        <f t="shared" si="1"/>
        <v>5.4054054054054035</v>
      </c>
    </row>
    <row r="87" spans="1:10">
      <c r="A87" s="74" t="s">
        <v>1056</v>
      </c>
      <c r="B87" s="65" t="str">
        <f>IF(ISBLANK(A87),"",INDEX('Error Log'!$A:$J,MATCH('Scores per segment'!$A87,'Error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39-year-old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7" s="65" t="str">
        <f>IF(ISBLANK(A87),"",INDEX('Error Log'!$A:$J,MATCH('Scores per segment'!$A87,'Error Log'!$A:$A,0),MATCH('Scores per segment'!C$1,'Error Log'!$A$1:$J$1,0)))</f>
        <v>kilmarnock manager gary locke has been given the role on a permanent basis after signing a three-year deal at the club .
the former hearts boss joined the club as assistant boss to allan johnston last season .
locke has been given the job at kilmarnock on a permanent basis .</v>
      </c>
      <c r="D87" s="65">
        <f>IF(H87=0,wdct(TRIM(C87)),0)</f>
        <v>48</v>
      </c>
      <c r="E87" s="65">
        <f>COUNTIFS('Error Log'!$A:$A,$A87,'Error Log'!$J:$J,E$1)</f>
        <v>1</v>
      </c>
      <c r="F87" s="65">
        <f>COUNTIFS('Error Log'!$A:$A,$A87,'Error Log'!$J:$J,F$1)</f>
        <v>2</v>
      </c>
      <c r="G87" s="65">
        <f>COUNTIFS('Error Log'!$A:$A,$A87,'Error Log'!$J:$J,G$1)</f>
        <v>0</v>
      </c>
      <c r="H87" s="65">
        <f>COUNTIFS('Error Log'!$A:$A,$A87,'Error Log'!$F:$F,"Source")</f>
        <v>0</v>
      </c>
      <c r="I87" s="65">
        <f>COUNTIFS('Error Log'!$A:$A,$A87,'Error Log'!$F:$F,"Target")</f>
        <v>0</v>
      </c>
      <c r="J87" s="66">
        <f t="shared" si="1"/>
        <v>79.166666666666657</v>
      </c>
    </row>
    <row r="88" spans="1:10">
      <c r="A88" s="74" t="s">
        <v>1065</v>
      </c>
      <c r="B88" s="65" t="str">
        <f>IF(ISBLANK(A88),"",INDEX('Error Log'!$A:$J,MATCH('Scores per segment'!$A88,'Error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2010 , said she was stepping down to spend more time with her family .
ms baird praised her ` passion and enthusiasm ' , adding : ` sue and i have worked well together over the two-and-a-half years since i became police and crime commissioner . '</v>
      </c>
      <c r="C88" s="65" t="str">
        <f>IF(ISBLANK(A88),"",INDEX('Error Log'!$A:$J,MATCH('Scores per segment'!$A88,'Error Log'!$A:$A,0),MATCH('Scores per segment'!C$1,'Error Log'!$A$1:$J$1,0)))</f>
        <v>vera baird donated £500,000 to victims first northumbria , a charity which supports crime victims in her area and of which she is a director .
the pair now face a ministry of justice investigation .</v>
      </c>
      <c r="D88" s="65">
        <f>IF(H88=0,wdct(TRIM(C88)),0)</f>
        <v>33</v>
      </c>
      <c r="E88" s="65">
        <f>COUNTIFS('Error Log'!$A:$A,$A88,'Error Log'!$J:$J,E$1)</f>
        <v>2</v>
      </c>
      <c r="F88" s="65">
        <f>COUNTIFS('Error Log'!$A:$A,$A88,'Error Log'!$J:$J,F$1)</f>
        <v>1</v>
      </c>
      <c r="G88" s="65">
        <f>COUNTIFS('Error Log'!$A:$A,$A88,'Error Log'!$J:$J,G$1)</f>
        <v>0</v>
      </c>
      <c r="H88" s="65">
        <f>COUNTIFS('Error Log'!$A:$A,$A88,'Error Log'!$F:$F,"Source")</f>
        <v>0</v>
      </c>
      <c r="I88" s="65">
        <f>COUNTIFS('Error Log'!$A:$A,$A88,'Error Log'!$F:$F,"Target")</f>
        <v>0</v>
      </c>
      <c r="J88" s="66">
        <f t="shared" si="1"/>
        <v>62.121212121212125</v>
      </c>
    </row>
    <row r="89" spans="1:10">
      <c r="A89" s="74" t="s">
        <v>1075</v>
      </c>
      <c r="B89" s="65" t="str">
        <f>IF(ISBLANK(A89),"",INDEX('Error Log'!$A:$J,MATCH('Scores per segment'!$A89,'Error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2016 letter from gadahn making recommendations for al qaeda 's media strategy .
gadahn was married to a muslim woman from afghanistan and reportedly had at least one child .
cnn 's steve almasy contributed to this report .</v>
      </c>
      <c r="C89" s="65" t="str">
        <f>IF(ISBLANK(A89),"",INDEX('Error Log'!$A:$J,MATCH('Scores per segment'!$A89,'Error Log'!$A:$A,0),MATCH('Scores per segment'!C$1,'Error Log'!$A$1:$J$1,0)))</f>
        <v>adam gadahn , 36 , was killed in january in a u.s. government counterterrorism operation .
he was killed along with another hostage , a u.s. citizen , who was born in 1978 .
he converted to islam in 1995 and left the united states for pakistan three years later .</v>
      </c>
      <c r="D89" s="65">
        <f>IF(H89=0,wdct(TRIM(C89)),0)</f>
        <v>46</v>
      </c>
      <c r="E89" s="65">
        <f>COUNTIFS('Error Log'!$A:$A,$A89,'Error Log'!$J:$J,E$1)</f>
        <v>4</v>
      </c>
      <c r="F89" s="65">
        <f>COUNTIFS('Error Log'!$A:$A,$A89,'Error Log'!$J:$J,F$1)</f>
        <v>2</v>
      </c>
      <c r="G89" s="65">
        <f>COUNTIFS('Error Log'!$A:$A,$A89,'Error Log'!$J:$J,G$1)</f>
        <v>0</v>
      </c>
      <c r="H89" s="65">
        <f>COUNTIFS('Error Log'!$A:$A,$A89,'Error Log'!$F:$F,"Source")</f>
        <v>0</v>
      </c>
      <c r="I89" s="65">
        <f>COUNTIFS('Error Log'!$A:$A,$A89,'Error Log'!$F:$F,"Target")</f>
        <v>0</v>
      </c>
      <c r="J89" s="66">
        <f t="shared" si="1"/>
        <v>45.652173913043484</v>
      </c>
    </row>
    <row r="90" spans="1:10">
      <c r="A90" s="86" t="s">
        <v>1387</v>
      </c>
      <c r="B90" s="65"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65" t="str">
        <f>IF(ISBLANK(A90),"",INDEX('Error Log'!$A:$J,MATCH('Scores per segment'!$A90,'Error Log'!$A:$A,0),MATCH('Scores per segment'!C$1,'Error Log'!$A$1:$J$1,0)))</f>
        <v>martin skrtel believes liverpool can overcome difficult challenge .
liverpool captain steven gerrard is still one of the best players in the world .
liverpool captain steven gerrard is still one of the best players in the world .</v>
      </c>
      <c r="D90" s="65">
        <f>IF(H90=0,wdct(TRIM(C90)),0)</f>
        <v>36</v>
      </c>
      <c r="E90" s="65">
        <f>COUNTIFS('Error Log'!$A:$A,$A90,'Error Log'!$J:$J,E$1)</f>
        <v>1</v>
      </c>
      <c r="F90" s="65">
        <f>COUNTIFS('Error Log'!$A:$A,$A90,'Error Log'!$J:$J,F$1)</f>
        <v>1</v>
      </c>
      <c r="G90" s="65">
        <f>COUNTIFS('Error Log'!$A:$A,$A90,'Error Log'!$J:$J,G$1)</f>
        <v>0</v>
      </c>
      <c r="H90" s="65">
        <f>COUNTIFS('Error Log'!$A:$A,$A90,'Error Log'!$F:$F,"Source")</f>
        <v>0</v>
      </c>
      <c r="I90" s="65">
        <f>COUNTIFS('Error Log'!$A:$A,$A90,'Error Log'!$F:$F,"Target")</f>
        <v>0</v>
      </c>
      <c r="J90" s="66">
        <f t="shared" si="1"/>
        <v>79.166666666666657</v>
      </c>
    </row>
    <row r="91" spans="1:10">
      <c r="A91" s="86" t="s">
        <v>1388</v>
      </c>
      <c r="B91" s="65"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65" t="str">
        <f>IF(ISBLANK(A91),"",INDEX('Error Log'!$A:$J,MATCH('Scores per segment'!$A91,'Error Log'!$A:$A,0),MATCH('Scores per segment'!C$1,'Error Log'!$A$1:$J$1,0)))</f>
        <v>jessica kemp says she applies the liquid to his head and neck as it helps him keep calm and focused .
the 32-year-old says she applies the liquid to his head and neck as it helps him keep calm and focused .</v>
      </c>
      <c r="D91" s="65">
        <f>IF(H91=0,wdct(TRIM(C91)),0)</f>
        <v>40</v>
      </c>
      <c r="E91" s="65">
        <f>COUNTIFS('Error Log'!$A:$A,$A91,'Error Log'!$J:$J,E$1)</f>
        <v>3</v>
      </c>
      <c r="F91" s="65">
        <f>COUNTIFS('Error Log'!$A:$A,$A91,'Error Log'!$J:$J,F$1)</f>
        <v>1</v>
      </c>
      <c r="G91" s="65">
        <f>COUNTIFS('Error Log'!$A:$A,$A91,'Error Log'!$J:$J,G$1)</f>
        <v>0</v>
      </c>
      <c r="H91" s="65">
        <f>COUNTIFS('Error Log'!$A:$A,$A91,'Error Log'!$F:$F,"Source")</f>
        <v>0</v>
      </c>
      <c r="I91" s="65">
        <f>COUNTIFS('Error Log'!$A:$A,$A91,'Error Log'!$F:$F,"Target")</f>
        <v>0</v>
      </c>
      <c r="J91" s="66">
        <f t="shared" si="1"/>
        <v>56.25</v>
      </c>
    </row>
    <row r="92" spans="1:10">
      <c r="A92" s="86" t="s">
        <v>1389</v>
      </c>
      <c r="B92" s="65"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65" t="str">
        <f>IF(ISBLANK(A92),"",INDEX('Error Log'!$A:$J,MATCH('Scores per segment'!$A92,'Error Log'!$A:$A,0),MATCH('Scores per segment'!C$1,'Error Log'!$A$1:$J$1,0)))</f>
        <v>a third of men have never picked up a bucket or UNK leather to clean their own motor .
a third of men have never picked up a bucket or UNK leather to clean their own motor .</v>
      </c>
      <c r="D92" s="65">
        <f>IF(H92=0,wdct(TRIM(C92)),0)</f>
        <v>36</v>
      </c>
      <c r="E92" s="65">
        <f>COUNTIFS('Error Log'!$A:$A,$A92,'Error Log'!$J:$J,E$1)</f>
        <v>0</v>
      </c>
      <c r="F92" s="65">
        <f>COUNTIFS('Error Log'!$A:$A,$A92,'Error Log'!$J:$J,F$1)</f>
        <v>2</v>
      </c>
      <c r="G92" s="65">
        <f>COUNTIFS('Error Log'!$A:$A,$A92,'Error Log'!$J:$J,G$1)</f>
        <v>0</v>
      </c>
      <c r="H92" s="65">
        <f>COUNTIFS('Error Log'!$A:$A,$A92,'Error Log'!$F:$F,"Source")</f>
        <v>0</v>
      </c>
      <c r="I92" s="65">
        <f>COUNTIFS('Error Log'!$A:$A,$A92,'Error Log'!$F:$F,"Target")</f>
        <v>0</v>
      </c>
      <c r="J92" s="66">
        <f t="shared" si="1"/>
        <v>86.111111111111114</v>
      </c>
    </row>
    <row r="93" spans="1:10">
      <c r="A93" s="86" t="s">
        <v>1390</v>
      </c>
      <c r="B93" s="65"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65" t="str">
        <f>IF(ISBLANK(A93),"",INDEX('Error Log'!$A:$J,MATCH('Scores per segment'!$A93,'Error Log'!$A:$A,0),MATCH('Scores per segment'!C$1,'Error Log'!$A$1:$J$1,0)))</f>
        <v>a UNK apartment complex in UNK , california , was spread through 90 residential buildings .
it is not known what started the paint off nearby buildings .
it is not known what started the burning building , which was so intense it melted the paint .</v>
      </c>
      <c r="D93" s="65">
        <f>IF(H93=0,wdct(TRIM(C93)),0)</f>
        <v>41</v>
      </c>
      <c r="E93" s="65">
        <f>COUNTIFS('Error Log'!$A:$A,$A93,'Error Log'!$J:$J,E$1)</f>
        <v>7</v>
      </c>
      <c r="F93" s="65">
        <f>COUNTIFS('Error Log'!$A:$A,$A93,'Error Log'!$J:$J,F$1)</f>
        <v>2</v>
      </c>
      <c r="G93" s="65">
        <f>COUNTIFS('Error Log'!$A:$A,$A93,'Error Log'!$J:$J,G$1)</f>
        <v>0</v>
      </c>
      <c r="H93" s="65">
        <f>COUNTIFS('Error Log'!$A:$A,$A93,'Error Log'!$F:$F,"Source")</f>
        <v>0</v>
      </c>
      <c r="I93" s="65">
        <f>COUNTIFS('Error Log'!$A:$A,$A93,'Error Log'!$F:$F,"Target")</f>
        <v>0</v>
      </c>
      <c r="J93" s="66">
        <f t="shared" si="1"/>
        <v>2.4390243902439011</v>
      </c>
    </row>
    <row r="94" spans="1:10">
      <c r="A94" s="86" t="s">
        <v>1391</v>
      </c>
      <c r="B94" s="65"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65" t="str">
        <f>IF(ISBLANK(A94),"",INDEX('Error Log'!$A:$J,MATCH('Scores per segment'!$A94,'Error Log'!$A:$A,0),MATCH('Scores per segment'!C$1,'Error Log'!$A$1:$J$1,0)))</f>
        <v>UNK alice barker was a dancer in such new york UNK as the cotton club .
she had never seen any of them , but had never seen any of them .
she had never seen any of them .</v>
      </c>
      <c r="D94" s="65">
        <f>IF(H94=0,wdct(TRIM(C94)),0)</f>
        <v>36</v>
      </c>
      <c r="E94" s="65">
        <f>COUNTIFS('Error Log'!$A:$A,$A94,'Error Log'!$J:$J,E$1)</f>
        <v>2</v>
      </c>
      <c r="F94" s="65">
        <f>COUNTIFS('Error Log'!$A:$A,$A94,'Error Log'!$J:$J,F$1)</f>
        <v>4</v>
      </c>
      <c r="G94" s="65">
        <f>COUNTIFS('Error Log'!$A:$A,$A94,'Error Log'!$J:$J,G$1)</f>
        <v>0</v>
      </c>
      <c r="H94" s="65">
        <f>COUNTIFS('Error Log'!$A:$A,$A94,'Error Log'!$F:$F,"Source")</f>
        <v>0</v>
      </c>
      <c r="I94" s="65">
        <f>COUNTIFS('Error Log'!$A:$A,$A94,'Error Log'!$F:$F,"Target")</f>
        <v>0</v>
      </c>
      <c r="J94" s="66">
        <f t="shared" si="1"/>
        <v>44.444444444444443</v>
      </c>
    </row>
    <row r="95" spans="1:10">
      <c r="A95" s="86" t="s">
        <v>1392</v>
      </c>
      <c r="B95" s="65"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65" t="str">
        <f>IF(ISBLANK(A95),"",INDEX('Error Log'!$A:$J,MATCH('Scores per segment'!$A95,'Error Log'!$A:$A,0),MATCH('Scores per segment'!C$1,'Error Log'!$A$1:$J$1,0)))</f>
        <v>monarch , 88 , was spotted at windsor great park in windsor , pudsey in 1961 .
joined by a groom on another of her falling pony , UNK emma .
joined by a groom on another of her falling pony , UNK emma .</v>
      </c>
      <c r="D95" s="65">
        <f>IF(H95=0,wdct(TRIM(C95)),0)</f>
        <v>37</v>
      </c>
      <c r="E95" s="65">
        <f>COUNTIFS('Error Log'!$A:$A,$A95,'Error Log'!$J:$J,E$1)</f>
        <v>4</v>
      </c>
      <c r="F95" s="65">
        <f>COUNTIFS('Error Log'!$A:$A,$A95,'Error Log'!$J:$J,F$1)</f>
        <v>2</v>
      </c>
      <c r="G95" s="65">
        <f>COUNTIFS('Error Log'!$A:$A,$A95,'Error Log'!$J:$J,G$1)</f>
        <v>1</v>
      </c>
      <c r="H95" s="65">
        <f>COUNTIFS('Error Log'!$A:$A,$A95,'Error Log'!$F:$F,"Source")</f>
        <v>0</v>
      </c>
      <c r="I95" s="65">
        <f>COUNTIFS('Error Log'!$A:$A,$A95,'Error Log'!$F:$F,"Target")</f>
        <v>0</v>
      </c>
      <c r="J95" s="66">
        <f t="shared" si="1"/>
        <v>31.081081081081084</v>
      </c>
    </row>
    <row r="96" spans="1:10">
      <c r="A96" s="86" t="s">
        <v>1393</v>
      </c>
      <c r="B96" s="65"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65" t="str">
        <f>IF(ISBLANK(A96),"",INDEX('Error Log'!$A:$J,MATCH('Scores per segment'!$A96,'Error Log'!$A:$A,0),MATCH('Scores per segment'!C$1,'Error Log'!$A$1:$J$1,0)))</f>
        <v>two french tourists trying to make contact with a UNK on UNK island off perth in western australia on april 3 .
two french tourists allegedly ignited an aerosol spray with a lighter causing a large flame to make contact with a UNK on UNK island off perth in western australia on april 3 .</v>
      </c>
      <c r="D96" s="65">
        <f>IF(H96=0,wdct(TRIM(C96)),0)</f>
        <v>53</v>
      </c>
      <c r="E96" s="65">
        <f>COUNTIFS('Error Log'!$A:$A,$A96,'Error Log'!$J:$J,E$1)</f>
        <v>5</v>
      </c>
      <c r="F96" s="65">
        <f>COUNTIFS('Error Log'!$A:$A,$A96,'Error Log'!$J:$J,F$1)</f>
        <v>1</v>
      </c>
      <c r="G96" s="65">
        <f>COUNTIFS('Error Log'!$A:$A,$A96,'Error Log'!$J:$J,G$1)</f>
        <v>0</v>
      </c>
      <c r="H96" s="65">
        <f>COUNTIFS('Error Log'!$A:$A,$A96,'Error Log'!$F:$F,"Source")</f>
        <v>0</v>
      </c>
      <c r="I96" s="65">
        <f>COUNTIFS('Error Log'!$A:$A,$A96,'Error Log'!$F:$F,"Target")</f>
        <v>0</v>
      </c>
      <c r="J96" s="66">
        <f t="shared" si="1"/>
        <v>48.113207547169814</v>
      </c>
    </row>
    <row r="97" spans="1:10">
      <c r="A97" s="86" t="s">
        <v>1394</v>
      </c>
      <c r="B97" s="65"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65" t="str">
        <f>IF(ISBLANK(A97),"",INDEX('Error Log'!$A:$J,MATCH('Scores per segment'!$A97,'Error Log'!$A:$A,0),MATCH('Scores per segment'!C$1,'Error Log'!$A$1:$J$1,0)))</f>
        <v>a single punch in the head of phillip UNK , 28 , was shot by a single punch in the head .
he was reportedly in his yard on muller road with a single punch .
UNK was reportedly in his yard on muller road and was in his yard .
mr UNK said his client grabbed his neighbour by the hand and hit out .</v>
      </c>
      <c r="D97" s="65">
        <f>IF(H97=0,wdct(TRIM(C97)),0)</f>
        <v>60</v>
      </c>
      <c r="E97" s="65">
        <f>COUNTIFS('Error Log'!$A:$A,$A97,'Error Log'!$J:$J,E$1)</f>
        <v>6</v>
      </c>
      <c r="F97" s="65">
        <f>COUNTIFS('Error Log'!$A:$A,$A97,'Error Log'!$J:$J,F$1)</f>
        <v>4</v>
      </c>
      <c r="G97" s="65">
        <f>COUNTIFS('Error Log'!$A:$A,$A97,'Error Log'!$J:$J,G$1)</f>
        <v>1</v>
      </c>
      <c r="H97" s="65">
        <f>COUNTIFS('Error Log'!$A:$A,$A97,'Error Log'!$F:$F,"Source")</f>
        <v>0</v>
      </c>
      <c r="I97" s="65">
        <f>COUNTIFS('Error Log'!$A:$A,$A97,'Error Log'!$F:$F,"Target")</f>
        <v>0</v>
      </c>
      <c r="J97" s="66">
        <f t="shared" si="1"/>
        <v>32.5</v>
      </c>
    </row>
    <row r="98" spans="1:10">
      <c r="A98" s="86" t="s">
        <v>1395</v>
      </c>
      <c r="B98" s="65"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65" t="str">
        <f>IF(ISBLANK(A98),"",INDEX('Error Log'!$A:$J,MATCH('Scores per segment'!$A98,'Error Log'!$A:$A,0),MATCH('Scores per segment'!C$1,'Error Log'!$A$1:$J$1,0)))</f>
        <v>the university of michigan has decided to proceed with a screening of the film `` american sniper '' .
the university of michigan has decided to proceed with a screening of the film `` american sniper '' .</v>
      </c>
      <c r="D98" s="65">
        <f>IF(H98=0,wdct(TRIM(C98)),0)</f>
        <v>32</v>
      </c>
      <c r="E98" s="65">
        <f>COUNTIFS('Error Log'!$A:$A,$A98,'Error Log'!$J:$J,E$1)</f>
        <v>2</v>
      </c>
      <c r="F98" s="65">
        <f>COUNTIFS('Error Log'!$A:$A,$A98,'Error Log'!$J:$J,F$1)</f>
        <v>1</v>
      </c>
      <c r="G98" s="65">
        <f>COUNTIFS('Error Log'!$A:$A,$A98,'Error Log'!$J:$J,G$1)</f>
        <v>0</v>
      </c>
      <c r="H98" s="65">
        <f>COUNTIFS('Error Log'!$A:$A,$A98,'Error Log'!$F:$F,"Source")</f>
        <v>0</v>
      </c>
      <c r="I98" s="65">
        <f>COUNTIFS('Error Log'!$A:$A,$A98,'Error Log'!$F:$F,"Target")</f>
        <v>0</v>
      </c>
      <c r="J98" s="66">
        <f t="shared" si="1"/>
        <v>60.9375</v>
      </c>
    </row>
    <row r="99" spans="1:10">
      <c r="A99" s="86" t="s">
        <v>1396</v>
      </c>
      <c r="B99" s="65"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65" t="str">
        <f>IF(ISBLANK(A99),"",INDEX('Error Log'!$A:$J,MATCH('Scores per segment'!$A99,'Error Log'!$A:$A,0),MATCH('Scores per segment'!C$1,'Error Log'!$A$1:$J$1,0)))</f>
        <v>yulia UNK faces 15 years behind bars after she asked a friend to find someone willing to hire a hitman to the victim .
the 52-year-old teacher had showered the pupil with gifts and money for a year before he ended their relationship .
police set up sting operation , sending one of undercover officers to pose as a hitman .</v>
      </c>
      <c r="D99" s="65">
        <f>IF(H99=0,wdct(TRIM(C99)),0)</f>
        <v>57</v>
      </c>
      <c r="E99" s="65">
        <f>COUNTIFS('Error Log'!$A:$A,$A99,'Error Log'!$J:$J,E$1)</f>
        <v>3</v>
      </c>
      <c r="F99" s="65">
        <f>COUNTIFS('Error Log'!$A:$A,$A99,'Error Log'!$J:$J,F$1)</f>
        <v>2</v>
      </c>
      <c r="G99" s="65">
        <f>COUNTIFS('Error Log'!$A:$A,$A99,'Error Log'!$J:$J,G$1)</f>
        <v>0</v>
      </c>
      <c r="H99" s="65">
        <f>COUNTIFS('Error Log'!$A:$A,$A99,'Error Log'!$F:$F,"Source")</f>
        <v>0</v>
      </c>
      <c r="I99" s="65">
        <f>COUNTIFS('Error Log'!$A:$A,$A99,'Error Log'!$F:$F,"Target")</f>
        <v>0</v>
      </c>
      <c r="J99" s="66">
        <f t="shared" si="1"/>
        <v>64.912280701754383</v>
      </c>
    </row>
    <row r="100" spans="1:10">
      <c r="A100" s="86" t="s">
        <v>1397</v>
      </c>
      <c r="B100" s="65"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65" t="str">
        <f>IF(ISBLANK(A100),"",INDEX('Error Log'!$A:$J,MATCH('Scores per segment'!$A100,'Error Log'!$A:$A,0),MATCH('Scores per segment'!C$1,'Error Log'!$A$1:$J$1,0)))</f>
        <v>this is the first time this summer 's look has made a comeback .
this is the first time this look has made a comeback since the seventies .
this is the first time this look has made a comeback since the seventies .</v>
      </c>
      <c r="D100" s="65">
        <f>IF(H100=0,wdct(TRIM(C100)),0)</f>
        <v>41</v>
      </c>
      <c r="E100" s="65">
        <f>COUNTIFS('Error Log'!$A:$A,$A100,'Error Log'!$J:$J,E$1)</f>
        <v>3</v>
      </c>
      <c r="F100" s="65">
        <f>COUNTIFS('Error Log'!$A:$A,$A100,'Error Log'!$J:$J,F$1)</f>
        <v>3</v>
      </c>
      <c r="G100" s="65">
        <f>COUNTIFS('Error Log'!$A:$A,$A100,'Error Log'!$J:$J,G$1)</f>
        <v>0</v>
      </c>
      <c r="H100" s="65">
        <f>COUNTIFS('Error Log'!$A:$A,$A100,'Error Log'!$F:$F,"Source")</f>
        <v>0</v>
      </c>
      <c r="I100" s="65">
        <f>COUNTIFS('Error Log'!$A:$A,$A100,'Error Log'!$F:$F,"Target")</f>
        <v>0</v>
      </c>
      <c r="J100" s="66">
        <f t="shared" si="1"/>
        <v>45.121951219512191</v>
      </c>
    </row>
    <row r="101" spans="1:10">
      <c r="A101" s="86" t="s">
        <v>1398</v>
      </c>
      <c r="B101" s="65"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65" t="str">
        <f>IF(ISBLANK(A101),"",INDEX('Error Log'!$A:$J,MATCH('Scores per segment'!$A101,'Error Log'!$A:$A,0),MATCH('Scores per segment'!C$1,'Error Log'!$A$1:$J$1,0)))</f>
        <v>jose mourinho has revealed he has a strong faith in god .
he said he and his family ' know about poverty ' and have worked with the word food programme as an ambassador against hunger .
mourinho admitted he has a strong faith in god .</v>
      </c>
      <c r="D101" s="65">
        <f>IF(H101=0,wdct(TRIM(C101)),0)</f>
        <v>42</v>
      </c>
      <c r="E101" s="65">
        <f>COUNTIFS('Error Log'!$A:$A,$A101,'Error Log'!$J:$J,E$1)</f>
        <v>2</v>
      </c>
      <c r="F101" s="65">
        <f>COUNTIFS('Error Log'!$A:$A,$A101,'Error Log'!$J:$J,F$1)</f>
        <v>1</v>
      </c>
      <c r="G101" s="65">
        <f>COUNTIFS('Error Log'!$A:$A,$A101,'Error Log'!$J:$J,G$1)</f>
        <v>0</v>
      </c>
      <c r="H101" s="65">
        <f>COUNTIFS('Error Log'!$A:$A,$A101,'Error Log'!$F:$F,"Source")</f>
        <v>0</v>
      </c>
      <c r="I101" s="65">
        <f>COUNTIFS('Error Log'!$A:$A,$A101,'Error Log'!$F:$F,"Target")</f>
        <v>0</v>
      </c>
      <c r="J101" s="66">
        <f t="shared" si="1"/>
        <v>70.238095238095241</v>
      </c>
    </row>
    <row r="102" spans="1:10">
      <c r="A102" s="86" t="s">
        <v>1399</v>
      </c>
      <c r="B102" s="65"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65" t="str">
        <f>IF(ISBLANK(A102),"",INDEX('Error Log'!$A:$J,MATCH('Scores per segment'!$A102,'Error Log'!$A:$A,0),MATCH('Scores per segment'!C$1,'Error Log'!$A$1:$J$1,0)))</f>
        <v>james haskell posted the photo on thursday along with the message : ' avengers movie is out so thought i would release the inner iron man ' .
the london wasps captain joined in on the show as he posted the picture on thursday along with the message : ' avengers movie is out so thought i would release the inner iron man ' .</v>
      </c>
      <c r="D102" s="65">
        <f>IF(H102=0,wdct(TRIM(C102)),0)</f>
        <v>57</v>
      </c>
      <c r="E102" s="65">
        <f>COUNTIFS('Error Log'!$A:$A,$A102,'Error Log'!$J:$J,E$1)</f>
        <v>3</v>
      </c>
      <c r="F102" s="65">
        <f>COUNTIFS('Error Log'!$A:$A,$A102,'Error Log'!$J:$J,F$1)</f>
        <v>2</v>
      </c>
      <c r="G102" s="65">
        <f>COUNTIFS('Error Log'!$A:$A,$A102,'Error Log'!$J:$J,G$1)</f>
        <v>0</v>
      </c>
      <c r="H102" s="65">
        <f>COUNTIFS('Error Log'!$A:$A,$A102,'Error Log'!$F:$F,"Source")</f>
        <v>0</v>
      </c>
      <c r="I102" s="65">
        <f>COUNTIFS('Error Log'!$A:$A,$A102,'Error Log'!$F:$F,"Target")</f>
        <v>0</v>
      </c>
      <c r="J102" s="66">
        <f t="shared" si="1"/>
        <v>64.912280701754383</v>
      </c>
    </row>
    <row r="103" spans="1:10">
      <c r="A103" s="74" t="s">
        <v>1400</v>
      </c>
      <c r="B103" s="65"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65" t="str">
        <f>IF(ISBLANK(A103),"",INDEX('Error Log'!$A:$J,MATCH('Scores per segment'!$A103,'Error Log'!$A:$A,0),MATCH('Scores per segment'!C$1,'Error Log'!$A$1:$J$1,0)))</f>
        <v>`` the price is right '' host drew carey , who finished up .
the classic `` lucky 7 '' is the classic `` lucky seven '' .
the classic `` lucky 7 '' is the classic `` lucky seven '' .</v>
      </c>
      <c r="D103" s="65">
        <f>IF(H103=0,wdct(TRIM(C103)),0)</f>
        <v>28</v>
      </c>
      <c r="E103" s="65">
        <f>COUNTIFS('Error Log'!$A:$A,$A103,'Error Log'!$J:$J,E$1)</f>
        <v>3</v>
      </c>
      <c r="F103" s="65">
        <f>COUNTIFS('Error Log'!$A:$A,$A103,'Error Log'!$J:$J,F$1)</f>
        <v>3</v>
      </c>
      <c r="G103" s="65">
        <f>COUNTIFS('Error Log'!$A:$A,$A103,'Error Log'!$J:$J,G$1)</f>
        <v>0</v>
      </c>
      <c r="H103" s="65">
        <f>COUNTIFS('Error Log'!$A:$A,$A103,'Error Log'!$F:$F,"Source")</f>
        <v>0</v>
      </c>
      <c r="I103" s="65">
        <f>COUNTIFS('Error Log'!$A:$A,$A103,'Error Log'!$F:$F,"Target")</f>
        <v>0</v>
      </c>
      <c r="J103" s="66">
        <f t="shared" si="1"/>
        <v>19.642857142857139</v>
      </c>
    </row>
    <row r="104" spans="1:10">
      <c r="A104" s="74" t="s">
        <v>1401</v>
      </c>
      <c r="B104" s="65"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65" t="str">
        <f>IF(ISBLANK(A104),"",INDEX('Error Log'!$A:$J,MATCH('Scores per segment'!$A104,'Error Log'!$A:$A,0),MATCH('Scores per segment'!C$1,'Error Log'!$A$1:$J$1,0)))</f>
        <v>lewis ferguson has just a cut on his nose to show for his ordeal .
he has just a cut on his nose to show for his ordeal .
he has just a cut on his nose to show for his ordeal .</v>
      </c>
      <c r="D104" s="65">
        <f>IF(H104=0,wdct(TRIM(C104)),0)</f>
        <v>40</v>
      </c>
      <c r="E104" s="65">
        <f>COUNTIFS('Error Log'!$A:$A,$A104,'Error Log'!$J:$J,E$1)</f>
        <v>2</v>
      </c>
      <c r="F104" s="65">
        <f>COUNTIFS('Error Log'!$A:$A,$A104,'Error Log'!$J:$J,F$1)</f>
        <v>2</v>
      </c>
      <c r="G104" s="65">
        <f>COUNTIFS('Error Log'!$A:$A,$A104,'Error Log'!$J:$J,G$1)</f>
        <v>0</v>
      </c>
      <c r="H104" s="65">
        <f>COUNTIFS('Error Log'!$A:$A,$A104,'Error Log'!$F:$F,"Source")</f>
        <v>0</v>
      </c>
      <c r="I104" s="65">
        <f>COUNTIFS('Error Log'!$A:$A,$A104,'Error Log'!$F:$F,"Target")</f>
        <v>0</v>
      </c>
      <c r="J104" s="66">
        <f t="shared" si="1"/>
        <v>62.5</v>
      </c>
    </row>
    <row r="105" spans="1:10">
      <c r="A105" s="74" t="s">
        <v>1402</v>
      </c>
      <c r="B105" s="65"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65" t="str">
        <f>IF(ISBLANK(A105),"",INDEX('Error Log'!$A:$J,MATCH('Scores per segment'!$A105,'Error Log'!$A:$A,0),MATCH('Scores per segment'!C$1,'Error Log'!$A$1:$J$1,0)))</f>
        <v>arthur baldwin was arrested on friday on a residential street in washington d.c .
he has been hit with a felony charge of attempted burglary and another of destruction of property .
he has been hit with a felony charge of attempted burglary and another of destruction of property .</v>
      </c>
      <c r="D105" s="65">
        <f>IF(H105=0,wdct(TRIM(C105)),0)</f>
        <v>48</v>
      </c>
      <c r="E105" s="65">
        <f>COUNTIFS('Error Log'!$A:$A,$A105,'Error Log'!$J:$J,E$1)</f>
        <v>1</v>
      </c>
      <c r="F105" s="65">
        <f>COUNTIFS('Error Log'!$A:$A,$A105,'Error Log'!$J:$J,F$1)</f>
        <v>1</v>
      </c>
      <c r="G105" s="65">
        <f>COUNTIFS('Error Log'!$A:$A,$A105,'Error Log'!$J:$J,G$1)</f>
        <v>0</v>
      </c>
      <c r="H105" s="65">
        <f>COUNTIFS('Error Log'!$A:$A,$A105,'Error Log'!$F:$F,"Source")</f>
        <v>0</v>
      </c>
      <c r="I105" s="65">
        <f>COUNTIFS('Error Log'!$A:$A,$A105,'Error Log'!$F:$F,"Target")</f>
        <v>0</v>
      </c>
      <c r="J105" s="66">
        <f t="shared" si="1"/>
        <v>84.375</v>
      </c>
    </row>
    <row r="106" spans="1:10">
      <c r="A106" s="74" t="s">
        <v>1403</v>
      </c>
      <c r="B106" s="65"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65" t="str">
        <f>IF(ISBLANK(A106),"",INDEX('Error Log'!$A:$J,MATCH('Scores per segment'!$A106,'Error Log'!$A:$A,0),MATCH('Scores per segment'!C$1,'Error Log'!$A$1:$J$1,0)))</f>
        <v>pablo osvaldo wants italian legends andrea pirlo and francesco totti to move .
the 29-year-old moved to a new club on a loan deal from southampton .
he has become an instant hit - scoring three goals in six games .</v>
      </c>
      <c r="D106" s="65">
        <f>IF(H106=0,wdct(TRIM(C106)),0)</f>
        <v>37</v>
      </c>
      <c r="E106" s="65">
        <f>COUNTIFS('Error Log'!$A:$A,$A106,'Error Log'!$J:$J,E$1)</f>
        <v>2</v>
      </c>
      <c r="F106" s="65">
        <f>COUNTIFS('Error Log'!$A:$A,$A106,'Error Log'!$J:$J,F$1)</f>
        <v>1</v>
      </c>
      <c r="G106" s="65">
        <f>COUNTIFS('Error Log'!$A:$A,$A106,'Error Log'!$J:$J,G$1)</f>
        <v>0</v>
      </c>
      <c r="H106" s="65">
        <f>COUNTIFS('Error Log'!$A:$A,$A106,'Error Log'!$F:$F,"Source")</f>
        <v>0</v>
      </c>
      <c r="I106" s="65">
        <f>COUNTIFS('Error Log'!$A:$A,$A106,'Error Log'!$F:$F,"Target")</f>
        <v>0</v>
      </c>
      <c r="J106" s="66">
        <f t="shared" si="1"/>
        <v>66.216216216216225</v>
      </c>
    </row>
    <row r="107" spans="1:10">
      <c r="A107" s="74" t="s">
        <v>1404</v>
      </c>
      <c r="B107" s="65"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65" t="str">
        <f>IF(ISBLANK(A107),"",INDEX('Error Log'!$A:$J,MATCH('Scores per segment'!$A107,'Error Log'!$A:$A,0),MATCH('Scores per segment'!C$1,'Error Log'!$A$1:$J$1,0)))</f>
        <v>UNK saeed spotted the male lion in a safari park when he spotted the male lion in the distance .
mr saeed managed to capture a couple of frames before disappearing .
mr saeed managed to capture a couple of frames before disappearing .</v>
      </c>
      <c r="D107" s="65">
        <f>IF(H107=0,wdct(TRIM(C107)),0)</f>
        <v>41</v>
      </c>
      <c r="E107" s="65">
        <f>COUNTIFS('Error Log'!$A:$A,$A107,'Error Log'!$J:$J,E$1)</f>
        <v>3</v>
      </c>
      <c r="F107" s="65">
        <f>COUNTIFS('Error Log'!$A:$A,$A107,'Error Log'!$J:$J,F$1)</f>
        <v>2</v>
      </c>
      <c r="G107" s="65">
        <f>COUNTIFS('Error Log'!$A:$A,$A107,'Error Log'!$J:$J,G$1)</f>
        <v>0</v>
      </c>
      <c r="H107" s="65">
        <f>COUNTIFS('Error Log'!$A:$A,$A107,'Error Log'!$F:$F,"Source")</f>
        <v>0</v>
      </c>
      <c r="I107" s="65">
        <f>COUNTIFS('Error Log'!$A:$A,$A107,'Error Log'!$F:$F,"Target")</f>
        <v>0</v>
      </c>
      <c r="J107" s="66">
        <f t="shared" si="1"/>
        <v>51.219512195121951</v>
      </c>
    </row>
    <row r="108" spans="1:10">
      <c r="A108" s="74" t="s">
        <v>1405</v>
      </c>
      <c r="B108" s="65"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65" t="str">
        <f>IF(ISBLANK(A108),"",INDEX('Error Log'!$A:$J,MATCH('Scores per segment'!$A108,'Error Log'!$A:$A,0),MATCH('Scores per segment'!C$1,'Error Log'!$A$1:$J$1,0)))</f>
        <v>dani alves has been unable to agree a new deal with barcelona .
the defender has been unable to agree a new deal with the catalan club .
alves has been unable to agree a new deal with the catalan club .</v>
      </c>
      <c r="D108" s="65">
        <f>IF(H108=0,wdct(TRIM(C108)),0)</f>
        <v>39</v>
      </c>
      <c r="E108" s="65">
        <f>COUNTIFS('Error Log'!$A:$A,$A108,'Error Log'!$J:$J,E$1)</f>
        <v>2</v>
      </c>
      <c r="F108" s="65">
        <f>COUNTIFS('Error Log'!$A:$A,$A108,'Error Log'!$J:$J,F$1)</f>
        <v>2</v>
      </c>
      <c r="G108" s="65">
        <f>COUNTIFS('Error Log'!$A:$A,$A108,'Error Log'!$J:$J,G$1)</f>
        <v>0</v>
      </c>
      <c r="H108" s="65">
        <f>COUNTIFS('Error Log'!$A:$A,$A108,'Error Log'!$F:$F,"Source")</f>
        <v>0</v>
      </c>
      <c r="I108" s="65">
        <f>COUNTIFS('Error Log'!$A:$A,$A108,'Error Log'!$F:$F,"Target")</f>
        <v>0</v>
      </c>
      <c r="J108" s="66">
        <f t="shared" si="1"/>
        <v>61.538461538461533</v>
      </c>
    </row>
    <row r="109" spans="1:10">
      <c r="A109" s="74" t="s">
        <v>1406</v>
      </c>
      <c r="B109" s="65"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65" t="str">
        <f>IF(ISBLANK(A109),"",INDEX('Error Log'!$A:$J,MATCH('Scores per segment'!$A109,'Error Log'!$A:$A,0),MATCH('Scores per segment'!C$1,'Error Log'!$A$1:$J$1,0)))</f>
        <v>the unidentified woman , believed to be between 25 and 45 years old , was discovered lying unconscious march 22 in the area near shore parkway and strangulation .
the unidentified woman , believed to be 25 to 45 years old , was found lying unconscious march 22 .</v>
      </c>
      <c r="D109" s="65">
        <f>IF(H109=0,wdct(TRIM(C109)),0)</f>
        <v>43</v>
      </c>
      <c r="E109" s="65">
        <f>COUNTIFS('Error Log'!$A:$A,$A109,'Error Log'!$J:$J,E$1)</f>
        <v>1</v>
      </c>
      <c r="F109" s="65">
        <f>COUNTIFS('Error Log'!$A:$A,$A109,'Error Log'!$J:$J,F$1)</f>
        <v>1</v>
      </c>
      <c r="G109" s="65">
        <f>COUNTIFS('Error Log'!$A:$A,$A109,'Error Log'!$J:$J,G$1)</f>
        <v>0</v>
      </c>
      <c r="H109" s="65">
        <f>COUNTIFS('Error Log'!$A:$A,$A109,'Error Log'!$F:$F,"Source")</f>
        <v>0</v>
      </c>
      <c r="I109" s="65">
        <f>COUNTIFS('Error Log'!$A:$A,$A109,'Error Log'!$F:$F,"Target")</f>
        <v>0</v>
      </c>
      <c r="J109" s="66">
        <f t="shared" si="1"/>
        <v>82.558139534883722</v>
      </c>
    </row>
    <row r="110" spans="1:10">
      <c r="A110" s="74" t="s">
        <v>1407</v>
      </c>
      <c r="B110" s="65"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65" t="str">
        <f>IF(ISBLANK(A110),"",INDEX('Error Log'!$A:$J,MATCH('Scores per segment'!$A110,'Error Log'!$A:$A,0),MATCH('Scores per segment'!C$1,'Error Log'!$A$1:$J$1,0)))</f>
        <v>a suicide bomber detonated his explosives near a group of protesters in eastern afghanistan on thursday , killing 17 .
no other organization has so far claimed responsibility .
no other organization has so far claimed responsibility .</v>
      </c>
      <c r="D110" s="65">
        <f>IF(H110=0,wdct(TRIM(C110)),0)</f>
        <v>34</v>
      </c>
      <c r="E110" s="65">
        <f>COUNTIFS('Error Log'!$A:$A,$A110,'Error Log'!$J:$J,E$1)</f>
        <v>2</v>
      </c>
      <c r="F110" s="65">
        <f>COUNTIFS('Error Log'!$A:$A,$A110,'Error Log'!$J:$J,F$1)</f>
        <v>2</v>
      </c>
      <c r="G110" s="65">
        <f>COUNTIFS('Error Log'!$A:$A,$A110,'Error Log'!$J:$J,G$1)</f>
        <v>0</v>
      </c>
      <c r="H110" s="65">
        <f>COUNTIFS('Error Log'!$A:$A,$A110,'Error Log'!$F:$F,"Source")</f>
        <v>0</v>
      </c>
      <c r="I110" s="65">
        <f>COUNTIFS('Error Log'!$A:$A,$A110,'Error Log'!$F:$F,"Target")</f>
        <v>0</v>
      </c>
      <c r="J110" s="66">
        <f t="shared" si="1"/>
        <v>55.882352941176471</v>
      </c>
    </row>
    <row r="111" spans="1:10">
      <c r="A111" s="74" t="s">
        <v>1408</v>
      </c>
      <c r="B111" s="65"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65" t="str">
        <f>IF(ISBLANK(A111),"",INDEX('Error Log'!$A:$J,MATCH('Scores per segment'!$A111,'Error Log'!$A:$A,0),MATCH('Scores per segment'!C$1,'Error Log'!$A$1:$J$1,0)))</f>
        <v>hannah and alex brady built a new zealand home on the back of an old flatbed truck .
the couple built a new zealand home on the back of an old flatbed truck .
the couple had to live in nelson , new zealand .
the couple have a UNK stove to keep out the cold .</v>
      </c>
      <c r="D111" s="65">
        <f>IF(H111=0,wdct(TRIM(C111)),0)</f>
        <v>52</v>
      </c>
      <c r="E111" s="65">
        <f>COUNTIFS('Error Log'!$A:$A,$A111,'Error Log'!$J:$J,E$1)</f>
        <v>1</v>
      </c>
      <c r="F111" s="65">
        <f>COUNTIFS('Error Log'!$A:$A,$A111,'Error Log'!$J:$J,F$1)</f>
        <v>4</v>
      </c>
      <c r="G111" s="65">
        <f>COUNTIFS('Error Log'!$A:$A,$A111,'Error Log'!$J:$J,G$1)</f>
        <v>0</v>
      </c>
      <c r="H111" s="65">
        <f>COUNTIFS('Error Log'!$A:$A,$A111,'Error Log'!$F:$F,"Source")</f>
        <v>0</v>
      </c>
      <c r="I111" s="65">
        <f>COUNTIFS('Error Log'!$A:$A,$A111,'Error Log'!$F:$F,"Target")</f>
        <v>0</v>
      </c>
      <c r="J111" s="66">
        <f t="shared" si="1"/>
        <v>71.15384615384616</v>
      </c>
    </row>
    <row r="112" spans="1:10">
      <c r="A112" s="74" t="s">
        <v>1409</v>
      </c>
      <c r="B112" s="65"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65" t="str">
        <f>IF(ISBLANK(A112),"",INDEX('Error Log'!$A:$J,MATCH('Scores per segment'!$A112,'Error Log'!$A:$A,0),MATCH('Scores per segment'!C$1,'Error Log'!$A$1:$J$1,0)))</f>
        <v>a new poll reveals that diana is the favourite option for baby if it is a girl .
a new poll has revealed that diana is the favourite option for baby if it is a girl .</v>
      </c>
      <c r="D112" s="65">
        <f>IF(H112=0,wdct(TRIM(C112)),0)</f>
        <v>35</v>
      </c>
      <c r="E112" s="65">
        <f>COUNTIFS('Error Log'!$A:$A,$A112,'Error Log'!$J:$J,E$1)</f>
        <v>2</v>
      </c>
      <c r="F112" s="65">
        <f>COUNTIFS('Error Log'!$A:$A,$A112,'Error Log'!$J:$J,F$1)</f>
        <v>1</v>
      </c>
      <c r="G112" s="65">
        <f>COUNTIFS('Error Log'!$A:$A,$A112,'Error Log'!$J:$J,G$1)</f>
        <v>0</v>
      </c>
      <c r="H112" s="65">
        <f>COUNTIFS('Error Log'!$A:$A,$A112,'Error Log'!$F:$F,"Source")</f>
        <v>0</v>
      </c>
      <c r="I112" s="65">
        <f>COUNTIFS('Error Log'!$A:$A,$A112,'Error Log'!$F:$F,"Target")</f>
        <v>0</v>
      </c>
      <c r="J112" s="66">
        <f t="shared" si="1"/>
        <v>64.285714285714278</v>
      </c>
    </row>
    <row r="113" spans="1:10">
      <c r="A113" s="74" t="s">
        <v>1410</v>
      </c>
      <c r="B113" s="65"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65" t="str">
        <f>IF(ISBLANK(A113),"",INDEX('Error Log'!$A:$J,MATCH('Scores per segment'!$A113,'Error Log'!$A:$A,0),MATCH('Scores per segment'!C$1,'Error Log'!$A$1:$J$1,0)))</f>
        <v>the general secretary of the national association of head teachers said he was unfairly using technology as a teaching aid in UNK classes .
students who shared ipads in class do much better in early literacy tests than students who use the device on their own .</v>
      </c>
      <c r="D113" s="65">
        <f>IF(H113=0,wdct(TRIM(C113)),0)</f>
        <v>45</v>
      </c>
      <c r="E113" s="65">
        <f>COUNTIFS('Error Log'!$A:$A,$A113,'Error Log'!$J:$J,E$1)</f>
        <v>0</v>
      </c>
      <c r="F113" s="65">
        <f>COUNTIFS('Error Log'!$A:$A,$A113,'Error Log'!$J:$J,F$1)</f>
        <v>3</v>
      </c>
      <c r="G113" s="65">
        <f>COUNTIFS('Error Log'!$A:$A,$A113,'Error Log'!$J:$J,G$1)</f>
        <v>0</v>
      </c>
      <c r="H113" s="65">
        <f>COUNTIFS('Error Log'!$A:$A,$A113,'Error Log'!$F:$F,"Source")</f>
        <v>0</v>
      </c>
      <c r="I113" s="65">
        <f>COUNTIFS('Error Log'!$A:$A,$A113,'Error Log'!$F:$F,"Target")</f>
        <v>0</v>
      </c>
      <c r="J113" s="66">
        <f t="shared" si="1"/>
        <v>83.333333333333343</v>
      </c>
    </row>
    <row r="114" spans="1:10">
      <c r="A114" s="74" t="s">
        <v>1411</v>
      </c>
      <c r="B114" s="65"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65" t="str">
        <f>IF(ISBLANK(A114),"",INDEX('Error Log'!$A:$J,MATCH('Scores per segment'!$A114,'Error Log'!$A:$A,0),MATCH('Scores per segment'!C$1,'Error Log'!$A$1:$J$1,0)))</f>
        <v>nina UNK , 38 , posted several pictures of heavy bruises on her instagram account .
she was found by her mother in the luxury apartment she shares with her boyfriend in milan .
ms UNK said she was ' shocked ' by the suicide claims .</v>
      </c>
      <c r="D114" s="65">
        <f>IF(H114=0,wdct(TRIM(C114)),0)</f>
        <v>40</v>
      </c>
      <c r="E114" s="65">
        <f>COUNTIFS('Error Log'!$A:$A,$A114,'Error Log'!$J:$J,E$1)</f>
        <v>5</v>
      </c>
      <c r="F114" s="65">
        <f>COUNTIFS('Error Log'!$A:$A,$A114,'Error Log'!$J:$J,F$1)</f>
        <v>3</v>
      </c>
      <c r="G114" s="65">
        <f>COUNTIFS('Error Log'!$A:$A,$A114,'Error Log'!$J:$J,G$1)</f>
        <v>0</v>
      </c>
      <c r="H114" s="65">
        <f>COUNTIFS('Error Log'!$A:$A,$A114,'Error Log'!$F:$F,"Source")</f>
        <v>0</v>
      </c>
      <c r="I114" s="65">
        <f>COUNTIFS('Error Log'!$A:$A,$A114,'Error Log'!$F:$F,"Target")</f>
        <v>0</v>
      </c>
      <c r="J114" s="66">
        <f t="shared" si="1"/>
        <v>18.75</v>
      </c>
    </row>
    <row r="115" spans="1:10">
      <c r="A115" s="74" t="s">
        <v>1412</v>
      </c>
      <c r="B115" s="65"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65" t="str">
        <f>IF(ISBLANK(A115),"",INDEX('Error Log'!$A:$J,MATCH('Scores per segment'!$A115,'Error Log'!$A:$A,0),MATCH('Scores per segment'!C$1,'Error Log'!$A$1:$J$1,0)))</f>
        <v>the piglet was born with its back legs missing and has mastered the art of balancing on its front .
the piglet was born with its back legs missing and has mastered the art of balancing on its front .</v>
      </c>
      <c r="D115" s="65">
        <f>IF(H115=0,wdct(TRIM(C115)),0)</f>
        <v>38</v>
      </c>
      <c r="E115" s="65">
        <f>COUNTIFS('Error Log'!$A:$A,$A115,'Error Log'!$J:$J,E$1)</f>
        <v>2</v>
      </c>
      <c r="F115" s="65">
        <f>COUNTIFS('Error Log'!$A:$A,$A115,'Error Log'!$J:$J,F$1)</f>
        <v>0</v>
      </c>
      <c r="G115" s="65">
        <f>COUNTIFS('Error Log'!$A:$A,$A115,'Error Log'!$J:$J,G$1)</f>
        <v>0</v>
      </c>
      <c r="H115" s="65">
        <f>COUNTIFS('Error Log'!$A:$A,$A115,'Error Log'!$F:$F,"Source")</f>
        <v>0</v>
      </c>
      <c r="I115" s="65">
        <f>COUNTIFS('Error Log'!$A:$A,$A115,'Error Log'!$F:$F,"Target")</f>
        <v>0</v>
      </c>
      <c r="J115" s="66">
        <f t="shared" si="1"/>
        <v>73.684210526315795</v>
      </c>
    </row>
    <row r="116" spans="1:10">
      <c r="A116" s="74" t="s">
        <v>1413</v>
      </c>
      <c r="B116" s="65"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65" t="str">
        <f>IF(ISBLANK(A116),"",INDEX('Error Log'!$A:$J,MATCH('Scores per segment'!$A116,'Error Log'!$A:$A,0),MATCH('Scores per segment'!C$1,'Error Log'!$A$1:$J$1,0)))</f>
        <v>the state emergency service was deluged with calls for assistance last week .
it lashed the state 's east coast for three days last week and has more than 4,000 jobs from the UNK requests still to be completed .</v>
      </c>
      <c r="D116" s="65">
        <f>IF(H116=0,wdct(TRIM(C116)),0)</f>
        <v>38</v>
      </c>
      <c r="E116" s="65">
        <f>COUNTIFS('Error Log'!$A:$A,$A116,'Error Log'!$J:$J,E$1)</f>
        <v>3</v>
      </c>
      <c r="F116" s="65">
        <f>COUNTIFS('Error Log'!$A:$A,$A116,'Error Log'!$J:$J,F$1)</f>
        <v>2</v>
      </c>
      <c r="G116" s="65">
        <f>COUNTIFS('Error Log'!$A:$A,$A116,'Error Log'!$J:$J,G$1)</f>
        <v>0</v>
      </c>
      <c r="H116" s="65">
        <f>COUNTIFS('Error Log'!$A:$A,$A116,'Error Log'!$F:$F,"Source")</f>
        <v>0</v>
      </c>
      <c r="I116" s="65">
        <f>COUNTIFS('Error Log'!$A:$A,$A116,'Error Log'!$F:$F,"Target")</f>
        <v>0</v>
      </c>
      <c r="J116" s="66">
        <f t="shared" si="1"/>
        <v>47.368421052631582</v>
      </c>
    </row>
    <row r="117" spans="1:10">
      <c r="A117" s="74" t="s">
        <v>1414</v>
      </c>
      <c r="B117" s="65"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65" t="str">
        <f>IF(ISBLANK(A117),"",INDEX('Error Log'!$A:$J,MATCH('Scores per segment'!$A117,'Error Log'!$A:$A,0),MATCH('Scores per segment'!C$1,'Error Log'!$A$1:$J$1,0)))</f>
        <v>francesco UNK was struck by the car of francesco UNK , who had come in on lap 25 for tires and fuel .
he was struck by the car of francesco UNK , who had come in on lap 25 for tires and fuel .</v>
      </c>
      <c r="D117" s="65">
        <f>IF(H117=0,wdct(TRIM(C117)),0)</f>
        <v>41</v>
      </c>
      <c r="E117" s="65">
        <f>COUNTIFS('Error Log'!$A:$A,$A117,'Error Log'!$J:$J,E$1)</f>
        <v>6</v>
      </c>
      <c r="F117" s="65">
        <f>COUNTIFS('Error Log'!$A:$A,$A117,'Error Log'!$J:$J,F$1)</f>
        <v>1</v>
      </c>
      <c r="G117" s="65">
        <f>COUNTIFS('Error Log'!$A:$A,$A117,'Error Log'!$J:$J,G$1)</f>
        <v>0</v>
      </c>
      <c r="H117" s="65">
        <f>COUNTIFS('Error Log'!$A:$A,$A117,'Error Log'!$F:$F,"Source")</f>
        <v>0</v>
      </c>
      <c r="I117" s="65">
        <f>COUNTIFS('Error Log'!$A:$A,$A117,'Error Log'!$F:$F,"Target")</f>
        <v>0</v>
      </c>
      <c r="J117" s="66">
        <f t="shared" si="1"/>
        <v>20.731707317073166</v>
      </c>
    </row>
    <row r="118" spans="1:10">
      <c r="A118" s="74" t="s">
        <v>1415</v>
      </c>
      <c r="B118" s="65"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65" t="str">
        <f>IF(ISBLANK(A118),"",INDEX('Error Log'!$A:$J,MATCH('Scores per segment'!$A118,'Error Log'!$A:$A,0),MATCH('Scores per segment'!C$1,'Error Log'!$A$1:$J$1,0)))</f>
        <v>anastasia UNK saved the match point in the second set to beat germany 's andrea UNK in straight sets .
svetlana kuznetsova had earlier beaten julia UNK in straight sets in the opening rubber .
svetlana kuznetsova had earlier beaten julia UNK in straight sets .</v>
      </c>
      <c r="D118" s="65">
        <f>IF(H118=0,wdct(TRIM(C118)),0)</f>
        <v>43</v>
      </c>
      <c r="E118" s="65">
        <f>COUNTIFS('Error Log'!$A:$A,$A118,'Error Log'!$J:$J,E$1)</f>
        <v>7</v>
      </c>
      <c r="F118" s="65">
        <f>COUNTIFS('Error Log'!$A:$A,$A118,'Error Log'!$J:$J,F$1)</f>
        <v>3</v>
      </c>
      <c r="G118" s="65">
        <f>COUNTIFS('Error Log'!$A:$A,$A118,'Error Log'!$J:$J,G$1)</f>
        <v>0</v>
      </c>
      <c r="H118" s="65">
        <f>COUNTIFS('Error Log'!$A:$A,$A118,'Error Log'!$F:$F,"Source")</f>
        <v>0</v>
      </c>
      <c r="I118" s="65">
        <f>COUNTIFS('Error Log'!$A:$A,$A118,'Error Log'!$F:$F,"Target")</f>
        <v>0</v>
      </c>
      <c r="J118" s="66">
        <f t="shared" si="1"/>
        <v>1.1627906976744242</v>
      </c>
    </row>
    <row r="119" spans="1:10">
      <c r="A119" s="74" t="s">
        <v>1416</v>
      </c>
      <c r="B119" s="65"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65" t="str">
        <f>IF(ISBLANK(A119),"",INDEX('Error Log'!$A:$J,MATCH('Scores per segment'!$A119,'Error Log'!$A:$A,0),MATCH('Scores per segment'!C$1,'Error Log'!$A$1:$J$1,0)))</f>
        <v>dancer UNK alves de blasio , 32 , attacked his wife 's head in the face five times before killing her in the face five times .
UNK alves de brito , 32 , was killed by his wife 's head in the face five times .
UNK alves de sena , 29 , was killed by her husband in the face five times .</v>
      </c>
      <c r="D119" s="65">
        <f>IF(H119=0,wdct(TRIM(C119)),0)</f>
        <v>56</v>
      </c>
      <c r="E119" s="65">
        <f>COUNTIFS('Error Log'!$A:$A,$A119,'Error Log'!$J:$J,E$1)</f>
        <v>9</v>
      </c>
      <c r="F119" s="65">
        <f>COUNTIFS('Error Log'!$A:$A,$A119,'Error Log'!$J:$J,F$1)</f>
        <v>5</v>
      </c>
      <c r="G119" s="65">
        <f>COUNTIFS('Error Log'!$A:$A,$A119,'Error Log'!$J:$J,G$1)</f>
        <v>0</v>
      </c>
      <c r="H119" s="65">
        <f>COUNTIFS('Error Log'!$A:$A,$A119,'Error Log'!$F:$F,"Source")</f>
        <v>0</v>
      </c>
      <c r="I119" s="65">
        <f>COUNTIFS('Error Log'!$A:$A,$A119,'Error Log'!$F:$F,"Target")</f>
        <v>0</v>
      </c>
      <c r="J119" s="66">
        <f t="shared" si="1"/>
        <v>-2.6785714285714164</v>
      </c>
    </row>
    <row r="120" spans="1:10">
      <c r="A120" s="74" t="s">
        <v>1417</v>
      </c>
      <c r="B120" s="65"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22-year-old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65" t="str">
        <f>IF(ISBLANK(A120),"",INDEX('Error Log'!$A:$J,MATCH('Scores per segment'!$A120,'Error Log'!$A:$A,0),MATCH('Scores per segment'!C$1,'Error Log'!$A$1:$J$1,0)))</f>
        <v>bobbi kristina brown is in a medically induced coma , her grandmother says .
bobbi kristina brown 's condition has improved but that the kind of life will be seen .
brown 's mother says bobbi kristina brown 's condition has improved .</v>
      </c>
      <c r="D120" s="65">
        <f>IF(H120=0,wdct(TRIM(C120)),0)</f>
        <v>39</v>
      </c>
      <c r="E120" s="65">
        <f>COUNTIFS('Error Log'!$A:$A,$A120,'Error Log'!$J:$J,E$1)</f>
        <v>2</v>
      </c>
      <c r="F120" s="65">
        <f>COUNTIFS('Error Log'!$A:$A,$A120,'Error Log'!$J:$J,F$1)</f>
        <v>2</v>
      </c>
      <c r="G120" s="65">
        <f>COUNTIFS('Error Log'!$A:$A,$A120,'Error Log'!$J:$J,G$1)</f>
        <v>0</v>
      </c>
      <c r="H120" s="65">
        <f>COUNTIFS('Error Log'!$A:$A,$A120,'Error Log'!$F:$F,"Source")</f>
        <v>0</v>
      </c>
      <c r="I120" s="65">
        <f>COUNTIFS('Error Log'!$A:$A,$A120,'Error Log'!$F:$F,"Target")</f>
        <v>0</v>
      </c>
      <c r="J120" s="66">
        <f t="shared" si="1"/>
        <v>61.538461538461533</v>
      </c>
    </row>
    <row r="121" spans="1:10">
      <c r="A121" s="74" t="s">
        <v>1418</v>
      </c>
      <c r="B121" s="65"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65" t="str">
        <f>IF(ISBLANK(A121),"",INDEX('Error Log'!$A:$J,MATCH('Scores per segment'!$A121,'Error Log'!$A:$A,0),MATCH('Scores per segment'!C$1,'Error Log'!$A$1:$J$1,0)))</f>
        <v>the author of the best-selling book quit sugar has opened up in a candid interview about how mental illness drove her to believe her life was n't worth living .
she said : ' my anxiety brought me to a point where i could n't see a way out ' .</v>
      </c>
      <c r="D121" s="65">
        <f>IF(H121=0,wdct(TRIM(C121)),0)</f>
        <v>46</v>
      </c>
      <c r="E121" s="65">
        <f>COUNTIFS('Error Log'!$A:$A,$A121,'Error Log'!$J:$J,E$1)</f>
        <v>2</v>
      </c>
      <c r="F121" s="65">
        <f>COUNTIFS('Error Log'!$A:$A,$A121,'Error Log'!$J:$J,F$1)</f>
        <v>1</v>
      </c>
      <c r="G121" s="65">
        <f>COUNTIFS('Error Log'!$A:$A,$A121,'Error Log'!$J:$J,G$1)</f>
        <v>0</v>
      </c>
      <c r="H121" s="65">
        <f>COUNTIFS('Error Log'!$A:$A,$A121,'Error Log'!$F:$F,"Source")</f>
        <v>0</v>
      </c>
      <c r="I121" s="65">
        <f>COUNTIFS('Error Log'!$A:$A,$A121,'Error Log'!$F:$F,"Target")</f>
        <v>0</v>
      </c>
      <c r="J121" s="66">
        <f t="shared" si="1"/>
        <v>72.826086956521749</v>
      </c>
    </row>
    <row r="122" spans="1:10">
      <c r="A122" s="74" t="s">
        <v>1419</v>
      </c>
      <c r="B122" s="65"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65" t="str">
        <f>IF(ISBLANK(A122),"",INDEX('Error Log'!$A:$J,MATCH('Scores per segment'!$A122,'Error Log'!$A:$A,0),MATCH('Scores per segment'!C$1,'Error Log'!$A$1:$J$1,0)))</f>
        <v>jack grealish is renowned for wearing his socks low when he takes to the field for aston villa .
grealish is renowned for wearing his socks low when he takes to the field for aston villa .
grealish is renowned for wearing his socks low when he takes to the field for aston villa .</v>
      </c>
      <c r="D122" s="65">
        <f>IF(H122=0,wdct(TRIM(C122)),0)</f>
        <v>52</v>
      </c>
      <c r="E122" s="65">
        <f>COUNTIFS('Error Log'!$A:$A,$A122,'Error Log'!$J:$J,E$1)</f>
        <v>2</v>
      </c>
      <c r="F122" s="65">
        <f>COUNTIFS('Error Log'!$A:$A,$A122,'Error Log'!$J:$J,F$1)</f>
        <v>2</v>
      </c>
      <c r="G122" s="65">
        <f>COUNTIFS('Error Log'!$A:$A,$A122,'Error Log'!$J:$J,G$1)</f>
        <v>0</v>
      </c>
      <c r="H122" s="65">
        <f>COUNTIFS('Error Log'!$A:$A,$A122,'Error Log'!$F:$F,"Source")</f>
        <v>0</v>
      </c>
      <c r="I122" s="65">
        <f>COUNTIFS('Error Log'!$A:$A,$A122,'Error Log'!$F:$F,"Target")</f>
        <v>0</v>
      </c>
      <c r="J122" s="66">
        <f t="shared" si="1"/>
        <v>71.15384615384616</v>
      </c>
    </row>
    <row r="123" spans="1:10">
      <c r="A123" s="74" t="s">
        <v>1420</v>
      </c>
      <c r="B123" s="65"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65" t="str">
        <f>IF(ISBLANK(A123),"",INDEX('Error Log'!$A:$J,MATCH('Scores per segment'!$A123,'Error Log'!$A:$A,0),MATCH('Scores per segment'!C$1,'Error Log'!$A$1:$J$1,0)))</f>
        <v>elena mckinley , oregon , was UNK pregnant when she was charged with second-degree assault .
she was charged with second-degree assault after she struck her boyfriend 's ex in the head and arm with a crowbar in november 2014 .</v>
      </c>
      <c r="D123" s="65">
        <f>IF(H123=0,wdct(TRIM(C123)),0)</f>
        <v>37</v>
      </c>
      <c r="E123" s="65">
        <f>COUNTIFS('Error Log'!$A:$A,$A123,'Error Log'!$J:$J,E$1)</f>
        <v>3</v>
      </c>
      <c r="F123" s="65">
        <f>COUNTIFS('Error Log'!$A:$A,$A123,'Error Log'!$J:$J,F$1)</f>
        <v>2</v>
      </c>
      <c r="G123" s="65">
        <f>COUNTIFS('Error Log'!$A:$A,$A123,'Error Log'!$J:$J,G$1)</f>
        <v>0</v>
      </c>
      <c r="H123" s="65">
        <f>COUNTIFS('Error Log'!$A:$A,$A123,'Error Log'!$F:$F,"Source")</f>
        <v>0</v>
      </c>
      <c r="I123" s="65">
        <f>COUNTIFS('Error Log'!$A:$A,$A123,'Error Log'!$F:$F,"Target")</f>
        <v>0</v>
      </c>
      <c r="J123" s="66">
        <f t="shared" si="1"/>
        <v>45.945945945945944</v>
      </c>
    </row>
    <row r="124" spans="1:10">
      <c r="A124" s="14" t="s">
        <v>1421</v>
      </c>
      <c r="B124" s="65"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65" t="str">
        <f>IF(ISBLANK(A124),"",INDEX('Error Log'!$A:$J,MATCH('Scores per segment'!$A124,'Error Log'!$A:$A,0),MATCH('Scores per segment'!C$1,'Error Log'!$A$1:$J$1,0)))</f>
        <v>xinhua : six people injured after explosion at chemical plant in china .
explosion occurred at an oil storage facility at an oil storage facility .
the explosion occurred at an oil storage facility monday night .</v>
      </c>
      <c r="D124" s="65">
        <f>IF(H124=0,wdct(TRIM(C124)),0)</f>
        <v>33</v>
      </c>
      <c r="E124" s="65">
        <f>COUNTIFS('Error Log'!$A:$A,$A124,'Error Log'!$J:$J,E$1)</f>
        <v>2</v>
      </c>
      <c r="F124" s="65">
        <f>COUNTIFS('Error Log'!$A:$A,$A124,'Error Log'!$J:$J,F$1)</f>
        <v>3</v>
      </c>
      <c r="G124" s="65">
        <f>COUNTIFS('Error Log'!$A:$A,$A124,'Error Log'!$J:$J,G$1)</f>
        <v>0</v>
      </c>
      <c r="H124" s="65">
        <f>COUNTIFS('Error Log'!$A:$A,$A124,'Error Log'!$F:$F,"Source")</f>
        <v>0</v>
      </c>
      <c r="I124" s="65">
        <f>COUNTIFS('Error Log'!$A:$A,$A124,'Error Log'!$F:$F,"Target")</f>
        <v>0</v>
      </c>
      <c r="J124" s="66">
        <f t="shared" si="1"/>
        <v>46.969696969696969</v>
      </c>
    </row>
    <row r="125" spans="1:10">
      <c r="A125" s="14" t="s">
        <v>1422</v>
      </c>
      <c r="B125" s="65"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65" t="str">
        <f>IF(ISBLANK(A125),"",INDEX('Error Log'!$A:$J,MATCH('Scores per segment'!$A125,'Error Log'!$A:$A,0),MATCH('Scores per segment'!C$1,'Error Log'!$A$1:$J$1,0)))</f>
        <v>gemma the pit bull was filmed at home in california in a bid to trick her .
she then throws a broccoli spear into the mix .
her owner throws a broccoli spear into the mix .</v>
      </c>
      <c r="D125" s="65">
        <f>IF(H125=0,wdct(TRIM(C125)),0)</f>
        <v>34</v>
      </c>
      <c r="E125" s="65">
        <f>COUNTIFS('Error Log'!$A:$A,$A125,'Error Log'!$J:$J,E$1)</f>
        <v>2</v>
      </c>
      <c r="F125" s="65">
        <f>COUNTIFS('Error Log'!$A:$A,$A125,'Error Log'!$J:$J,F$1)</f>
        <v>1</v>
      </c>
      <c r="G125" s="65">
        <f>COUNTIFS('Error Log'!$A:$A,$A125,'Error Log'!$J:$J,G$1)</f>
        <v>0</v>
      </c>
      <c r="H125" s="65">
        <f>COUNTIFS('Error Log'!$A:$A,$A125,'Error Log'!$F:$F,"Source")</f>
        <v>0</v>
      </c>
      <c r="I125" s="65">
        <f>COUNTIFS('Error Log'!$A:$A,$A125,'Error Log'!$F:$F,"Target")</f>
        <v>0</v>
      </c>
      <c r="J125" s="66">
        <f t="shared" si="1"/>
        <v>63.235294117647058</v>
      </c>
    </row>
    <row r="126" spans="1:10">
      <c r="A126" s="14" t="s">
        <v>1423</v>
      </c>
      <c r="B126" s="65"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65" t="str">
        <f>IF(ISBLANK(A126),"",INDEX('Error Log'!$A:$J,MATCH('Scores per segment'!$A126,'Error Log'!$A:$A,0),MATCH('Scores per segment'!C$1,'Error Log'!$A$1:$J$1,0)))</f>
        <v>witness robert kushner testified that the 2007 charges were unprofessional .
he testified that the 2007 charges were unprofessional .
he testified that the 2007 charges were unprofessional .
he admitted he was arrested again in 2011 and sentenced to four years .</v>
      </c>
      <c r="D126" s="65">
        <f>IF(H126=0,wdct(TRIM(C126)),0)</f>
        <v>39</v>
      </c>
      <c r="E126" s="65">
        <f>COUNTIFS('Error Log'!$A:$A,$A126,'Error Log'!$J:$J,E$1)</f>
        <v>3</v>
      </c>
      <c r="F126" s="65">
        <f>COUNTIFS('Error Log'!$A:$A,$A126,'Error Log'!$J:$J,F$1)</f>
        <v>4</v>
      </c>
      <c r="G126" s="65">
        <f>COUNTIFS('Error Log'!$A:$A,$A126,'Error Log'!$J:$J,G$1)</f>
        <v>0</v>
      </c>
      <c r="H126" s="65">
        <f>COUNTIFS('Error Log'!$A:$A,$A126,'Error Log'!$F:$F,"Source")</f>
        <v>0</v>
      </c>
      <c r="I126" s="65">
        <f>COUNTIFS('Error Log'!$A:$A,$A126,'Error Log'!$F:$F,"Target")</f>
        <v>0</v>
      </c>
      <c r="J126" s="66">
        <f t="shared" si="1"/>
        <v>35.897435897435891</v>
      </c>
    </row>
    <row r="127" spans="1:10">
      <c r="A127" s="14" t="s">
        <v>1424</v>
      </c>
      <c r="B127" s="65"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65" t="str">
        <f>IF(ISBLANK(A127),"",INDEX('Error Log'!$A:$J,MATCH('Scores per segment'!$A127,'Error Log'!$A:$A,0),MATCH('Scores per segment'!C$1,'Error Log'!$A$1:$J$1,0)))</f>
        <v>hsbc has apologised after a link on its official website website .
it took over the address after the awards were scrapped in 2011 .
hsbc has apologised after a link on its website website .</v>
      </c>
      <c r="D127" s="65">
        <f>IF(H127=0,wdct(TRIM(C127)),0)</f>
        <v>33</v>
      </c>
      <c r="E127" s="65">
        <f>COUNTIFS('Error Log'!$A:$A,$A127,'Error Log'!$J:$J,E$1)</f>
        <v>3</v>
      </c>
      <c r="F127" s="65">
        <f>COUNTIFS('Error Log'!$A:$A,$A127,'Error Log'!$J:$J,F$1)</f>
        <v>2</v>
      </c>
      <c r="G127" s="65">
        <f>COUNTIFS('Error Log'!$A:$A,$A127,'Error Log'!$J:$J,G$1)</f>
        <v>0</v>
      </c>
      <c r="H127" s="65">
        <f>COUNTIFS('Error Log'!$A:$A,$A127,'Error Log'!$F:$F,"Source")</f>
        <v>0</v>
      </c>
      <c r="I127" s="65">
        <f>COUNTIFS('Error Log'!$A:$A,$A127,'Error Log'!$F:$F,"Target")</f>
        <v>0</v>
      </c>
      <c r="J127" s="66">
        <f t="shared" si="1"/>
        <v>39.393939393939391</v>
      </c>
    </row>
    <row r="128" spans="1:10">
      <c r="A128" s="14" t="s">
        <v>1425</v>
      </c>
      <c r="B128" s="65"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65" t="str">
        <f>IF(ISBLANK(A128),"",INDEX('Error Log'!$A:$J,MATCH('Scores per segment'!$A128,'Error Log'!$A:$A,0),MATCH('Scores per segment'!C$1,'Error Log'!$A$1:$J$1,0)))</f>
        <v>brazilian UNK filmed his son chasing the family feline around the garden in a bid to get some rest .
the cat immediately gets up and UNK over to another spot .
the cat immediately gets up and UNK over to another spot .</v>
      </c>
      <c r="D128" s="65">
        <f>IF(H128=0,wdct(TRIM(C128)),0)</f>
        <v>41</v>
      </c>
      <c r="E128" s="65">
        <f>COUNTIFS('Error Log'!$A:$A,$A128,'Error Log'!$J:$J,E$1)</f>
        <v>2</v>
      </c>
      <c r="F128" s="65">
        <f>COUNTIFS('Error Log'!$A:$A,$A128,'Error Log'!$J:$J,F$1)</f>
        <v>2</v>
      </c>
      <c r="G128" s="65">
        <f>COUNTIFS('Error Log'!$A:$A,$A128,'Error Log'!$J:$J,G$1)</f>
        <v>0</v>
      </c>
      <c r="H128" s="65">
        <f>COUNTIFS('Error Log'!$A:$A,$A128,'Error Log'!$F:$F,"Source")</f>
        <v>0</v>
      </c>
      <c r="I128" s="65">
        <f>COUNTIFS('Error Log'!$A:$A,$A128,'Error Log'!$F:$F,"Target")</f>
        <v>0</v>
      </c>
      <c r="J128" s="66">
        <f t="shared" si="1"/>
        <v>63.414634146341463</v>
      </c>
    </row>
    <row r="129" spans="1:10">
      <c r="A129" s="14" t="s">
        <v>1426</v>
      </c>
      <c r="B129" s="65"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65" t="str">
        <f>IF(ISBLANK(A129),"",INDEX('Error Log'!$A:$J,MATCH('Scores per segment'!$A129,'Error Log'!$A:$A,0),MATCH('Scores per segment'!C$1,'Error Log'!$A$1:$J$1,0)))</f>
        <v>marcus and his nine-year-old sister were trapped in a second-floor bedroom after the fire broke out on the first floor of their home in clinton .
marcus and his nine-year-old sister were trapped in a second-floor bedroom after the fire broke out on the first floor of their home in clinton .</v>
      </c>
      <c r="D129" s="65">
        <f>IF(H129=0,wdct(TRIM(C129)),0)</f>
        <v>50</v>
      </c>
      <c r="E129" s="65">
        <f>COUNTIFS('Error Log'!$A:$A,$A129,'Error Log'!$J:$J,E$1)</f>
        <v>2</v>
      </c>
      <c r="F129" s="65">
        <f>COUNTIFS('Error Log'!$A:$A,$A129,'Error Log'!$J:$J,F$1)</f>
        <v>1</v>
      </c>
      <c r="G129" s="65">
        <f>COUNTIFS('Error Log'!$A:$A,$A129,'Error Log'!$J:$J,G$1)</f>
        <v>0</v>
      </c>
      <c r="H129" s="65">
        <f>COUNTIFS('Error Log'!$A:$A,$A129,'Error Log'!$F:$F,"Source")</f>
        <v>0</v>
      </c>
      <c r="I129" s="65">
        <f>COUNTIFS('Error Log'!$A:$A,$A129,'Error Log'!$F:$F,"Target")</f>
        <v>0</v>
      </c>
      <c r="J129" s="66">
        <f t="shared" si="1"/>
        <v>75</v>
      </c>
    </row>
    <row r="130" spans="1:10">
      <c r="A130" s="14" t="s">
        <v>1507</v>
      </c>
      <c r="B130" s="65"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65" t="str">
        <f>IF(ISBLANK(A130),"",INDEX('Error Log'!$A:$J,MATCH('Scores per segment'!$A130,'Error Log'!$A:$A,0),MATCH('Scores per segment'!C$1,'Error Log'!$A$1:$J$1,0)))</f>
        <v>mohammed abu khdeir 's name will be removed from palestinian memorial .
mohammed abu khdeir , 16 , was beaten and burned alive by three israelis in july , according to prosecutors .
mohammed abu khdeir 's family objected to his inclusion on the memorial wall .</v>
      </c>
      <c r="D130" s="65">
        <f>IF(H130=0,wdct(TRIM(C130)),0)</f>
        <v>41</v>
      </c>
      <c r="E130" s="65">
        <f>COUNTIFS('Error Log'!$A:$A,$A130,'Error Log'!$J:$J,E$1)</f>
        <v>0</v>
      </c>
      <c r="F130" s="65">
        <f>COUNTIFS('Error Log'!$A:$A,$A130,'Error Log'!$J:$J,F$1)</f>
        <v>0</v>
      </c>
      <c r="G130" s="65">
        <f>COUNTIFS('Error Log'!$A:$A,$A130,'Error Log'!$J:$J,G$1)</f>
        <v>0</v>
      </c>
      <c r="H130" s="65">
        <f>COUNTIFS('Error Log'!$A:$A,$A130,'Error Log'!$F:$F,"Source")</f>
        <v>0</v>
      </c>
      <c r="I130" s="65">
        <f>COUNTIFS('Error Log'!$A:$A,$A130,'Error Log'!$F:$F,"Target")</f>
        <v>0</v>
      </c>
      <c r="J130" s="66">
        <f t="shared" ref="J130:J193" si="2">IF(I130=0,IFERROR((((1-((E130*10+F130*5+G130*1)/D130))*100)+100)/2,0),-150)</f>
        <v>100</v>
      </c>
    </row>
    <row r="131" spans="1:10">
      <c r="A131" s="14" t="s">
        <v>1427</v>
      </c>
      <c r="B131" s="65"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65" t="str">
        <f>IF(ISBLANK(A131),"",INDEX('Error Log'!$A:$J,MATCH('Scores per segment'!$A131,'Error Log'!$A:$A,0),MATCH('Scores per segment'!C$1,'Error Log'!$A$1:$J$1,0)))</f>
        <v>the images were taken in UNK bay , the south coast of nsw .
the images were taken in UNK bay , the south coast of nsw .
the images were taken in UNK bay , the south coast of nsw .</v>
      </c>
      <c r="D131" s="65">
        <f>IF(H131=0,wdct(TRIM(C131)),0)</f>
        <v>36</v>
      </c>
      <c r="E131" s="65">
        <f>COUNTIFS('Error Log'!$A:$A,$A131,'Error Log'!$J:$J,E$1)</f>
        <v>4</v>
      </c>
      <c r="F131" s="65">
        <f>COUNTIFS('Error Log'!$A:$A,$A131,'Error Log'!$J:$J,F$1)</f>
        <v>2</v>
      </c>
      <c r="G131" s="65">
        <f>COUNTIFS('Error Log'!$A:$A,$A131,'Error Log'!$J:$J,G$1)</f>
        <v>0</v>
      </c>
      <c r="H131" s="65">
        <f>COUNTIFS('Error Log'!$A:$A,$A131,'Error Log'!$F:$F,"Source")</f>
        <v>0</v>
      </c>
      <c r="I131" s="65">
        <f>COUNTIFS('Error Log'!$A:$A,$A131,'Error Log'!$F:$F,"Target")</f>
        <v>0</v>
      </c>
      <c r="J131" s="66">
        <f t="shared" si="2"/>
        <v>30.555555555555557</v>
      </c>
    </row>
    <row r="132" spans="1:10">
      <c r="A132" s="14" t="s">
        <v>1428</v>
      </c>
      <c r="B132" s="65"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65" t="str">
        <f>IF(ISBLANK(A132),"",INDEX('Error Log'!$A:$J,MATCH('Scores per segment'!$A132,'Error Log'!$A:$A,0),MATCH('Scores per segment'!C$1,'Error Log'!$A$1:$J$1,0)))</f>
        <v>amir khan and his wife UNK khan pictured in a safari park in northern california .
khan was joined by his wife UNK UNK khan as well as their daughter UNK as they all enjoyed time off .
khan was joined by his wife UNK UNK khan as well as their daughter UNK as they all enjoyed time off .
khan has announced his next fight will be against chris algieri at welterweight on may 30 .</v>
      </c>
      <c r="D132" s="65">
        <f>IF(H132=0,wdct(TRIM(C132)),0)</f>
        <v>73</v>
      </c>
      <c r="E132" s="65">
        <f>COUNTIFS('Error Log'!$A:$A,$A132,'Error Log'!$J:$J,E$1)</f>
        <v>5</v>
      </c>
      <c r="F132" s="65">
        <f>COUNTIFS('Error Log'!$A:$A,$A132,'Error Log'!$J:$J,F$1)</f>
        <v>1</v>
      </c>
      <c r="G132" s="65">
        <f>COUNTIFS('Error Log'!$A:$A,$A132,'Error Log'!$J:$J,G$1)</f>
        <v>0</v>
      </c>
      <c r="H132" s="65">
        <f>COUNTIFS('Error Log'!$A:$A,$A132,'Error Log'!$F:$F,"Source")</f>
        <v>0</v>
      </c>
      <c r="I132" s="65">
        <f>COUNTIFS('Error Log'!$A:$A,$A132,'Error Log'!$F:$F,"Target")</f>
        <v>0</v>
      </c>
      <c r="J132" s="66">
        <f t="shared" si="2"/>
        <v>62.328767123287669</v>
      </c>
    </row>
    <row r="133" spans="1:10">
      <c r="A133" s="14" t="s">
        <v>1429</v>
      </c>
      <c r="B133" s="65"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65" t="str">
        <f>IF(ISBLANK(A133),"",INDEX('Error Log'!$A:$J,MATCH('Scores per segment'!$A133,'Error Log'!$A:$A,0),MATCH('Scores per segment'!C$1,'Error Log'!$A$1:$J$1,0)))</f>
        <v>breast cancer patients may be spared chemotherapy thanks to new tests .
patients can be told within days whether they have a high or low risk of the disease returning .
the majority of women who have breast cancer routinely given the preventative treatment following removal of the tumour .</v>
      </c>
      <c r="D133" s="65">
        <f>IF(H133=0,wdct(TRIM(C133)),0)</f>
        <v>47</v>
      </c>
      <c r="E133" s="65">
        <f>COUNTIFS('Error Log'!$A:$A,$A133,'Error Log'!$J:$J,E$1)</f>
        <v>1</v>
      </c>
      <c r="F133" s="65">
        <f>COUNTIFS('Error Log'!$A:$A,$A133,'Error Log'!$J:$J,F$1)</f>
        <v>1</v>
      </c>
      <c r="G133" s="65">
        <f>COUNTIFS('Error Log'!$A:$A,$A133,'Error Log'!$J:$J,G$1)</f>
        <v>0</v>
      </c>
      <c r="H133" s="65">
        <f>COUNTIFS('Error Log'!$A:$A,$A133,'Error Log'!$F:$F,"Source")</f>
        <v>0</v>
      </c>
      <c r="I133" s="65">
        <f>COUNTIFS('Error Log'!$A:$A,$A133,'Error Log'!$F:$F,"Target")</f>
        <v>0</v>
      </c>
      <c r="J133" s="66">
        <f t="shared" si="2"/>
        <v>84.042553191489361</v>
      </c>
    </row>
    <row r="134" spans="1:10">
      <c r="A134" s="14" t="s">
        <v>1430</v>
      </c>
      <c r="B134" s="65"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65" t="str">
        <f>IF(ISBLANK(A134),"",INDEX('Error Log'!$A:$J,MATCH('Scores per segment'!$A134,'Error Log'!$A:$A,0),MATCH('Scores per segment'!C$1,'Error Log'!$A$1:$J$1,0)))</f>
        <v>the new zealand were forced to take their exercise back to the beach as their beloved pool was drained for the fashion folk .
the collection of ten pieces of clothing designed to be worn by both sexes .</v>
      </c>
      <c r="D134" s="65">
        <f>IF(H134=0,wdct(TRIM(C134)),0)</f>
        <v>37</v>
      </c>
      <c r="E134" s="65">
        <f>COUNTIFS('Error Log'!$A:$A,$A134,'Error Log'!$J:$J,E$1)</f>
        <v>3</v>
      </c>
      <c r="F134" s="65">
        <f>COUNTIFS('Error Log'!$A:$A,$A134,'Error Log'!$J:$J,F$1)</f>
        <v>2</v>
      </c>
      <c r="G134" s="65">
        <f>COUNTIFS('Error Log'!$A:$A,$A134,'Error Log'!$J:$J,G$1)</f>
        <v>0</v>
      </c>
      <c r="H134" s="65">
        <f>COUNTIFS('Error Log'!$A:$A,$A134,'Error Log'!$F:$F,"Source")</f>
        <v>0</v>
      </c>
      <c r="I134" s="65">
        <f>COUNTIFS('Error Log'!$A:$A,$A134,'Error Log'!$F:$F,"Target")</f>
        <v>0</v>
      </c>
      <c r="J134" s="66">
        <f t="shared" si="2"/>
        <v>45.945945945945944</v>
      </c>
    </row>
    <row r="135" spans="1:10">
      <c r="A135" s="14" t="s">
        <v>1431</v>
      </c>
      <c r="B135" s="65"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65" t="str">
        <f>IF(ISBLANK(A135),"",INDEX('Error Log'!$A:$J,MATCH('Scores per segment'!$A135,'Error Log'!$A:$A,0),MATCH('Scores per segment'!C$1,'Error Log'!$A$1:$J$1,0)))</f>
        <v>more than 25 women have been airlifted from royal navy ships because of pregnancy .
more than 25 women have been airlifted from royal navy ships because of pregnancy , including at least one woman from hms illustrious .</v>
      </c>
      <c r="D135" s="65">
        <f>IF(H135=0,wdct(TRIM(C135)),0)</f>
        <v>36</v>
      </c>
      <c r="E135" s="65">
        <f>COUNTIFS('Error Log'!$A:$A,$A135,'Error Log'!$J:$J,E$1)</f>
        <v>2</v>
      </c>
      <c r="F135" s="65">
        <f>COUNTIFS('Error Log'!$A:$A,$A135,'Error Log'!$J:$J,F$1)</f>
        <v>1</v>
      </c>
      <c r="G135" s="65">
        <f>COUNTIFS('Error Log'!$A:$A,$A135,'Error Log'!$J:$J,G$1)</f>
        <v>0</v>
      </c>
      <c r="H135" s="65">
        <f>COUNTIFS('Error Log'!$A:$A,$A135,'Error Log'!$F:$F,"Source")</f>
        <v>0</v>
      </c>
      <c r="I135" s="65">
        <f>COUNTIFS('Error Log'!$A:$A,$A135,'Error Log'!$F:$F,"Target")</f>
        <v>0</v>
      </c>
      <c r="J135" s="66">
        <f t="shared" si="2"/>
        <v>65.277777777777771</v>
      </c>
    </row>
    <row r="136" spans="1:10">
      <c r="A136" s="14" t="s">
        <v>1432</v>
      </c>
      <c r="B136" s="65"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65" t="str">
        <f>IF(ISBLANK(A136),"",INDEX('Error Log'!$A:$J,MATCH('Scores per segment'!$A136,'Error Log'!$A:$A,0),MATCH('Scores per segment'!C$1,'Error Log'!$A$1:$J$1,0)))</f>
        <v>tom UNK campaigned to legalise child sex in the 1970s and 80s .
he has joined the supporters of the media pressure group hacked off .
the organisation campaigned to legalise child sex in the 1970s and 80s .</v>
      </c>
      <c r="D136" s="65">
        <f>IF(H136=0,wdct(TRIM(C136)),0)</f>
        <v>36</v>
      </c>
      <c r="E136" s="65">
        <f>COUNTIFS('Error Log'!$A:$A,$A136,'Error Log'!$J:$J,E$1)</f>
        <v>3</v>
      </c>
      <c r="F136" s="65">
        <f>COUNTIFS('Error Log'!$A:$A,$A136,'Error Log'!$J:$J,F$1)</f>
        <v>1</v>
      </c>
      <c r="G136" s="65">
        <f>COUNTIFS('Error Log'!$A:$A,$A136,'Error Log'!$J:$J,G$1)</f>
        <v>0</v>
      </c>
      <c r="H136" s="65">
        <f>COUNTIFS('Error Log'!$A:$A,$A136,'Error Log'!$F:$F,"Source")</f>
        <v>0</v>
      </c>
      <c r="I136" s="65">
        <f>COUNTIFS('Error Log'!$A:$A,$A136,'Error Log'!$F:$F,"Target")</f>
        <v>0</v>
      </c>
      <c r="J136" s="66">
        <f t="shared" si="2"/>
        <v>51.388888888888893</v>
      </c>
    </row>
    <row r="137" spans="1:10">
      <c r="A137" s="14" t="s">
        <v>1433</v>
      </c>
      <c r="B137" s="65"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65" t="str">
        <f>IF(ISBLANK(A137),"",INDEX('Error Log'!$A:$J,MATCH('Scores per segment'!$A137,'Error Log'!$A:$A,0),MATCH('Scores per segment'!C$1,'Error Log'!$A$1:$J$1,0)))</f>
        <v>a japanese court approved a government plan to restart two reactors at the UNK power plant in UNK prefecture , more than four years after the fukushima meltdowns .
the discovery came on the same day a japanese court approved a government plan to restart two reactors at the UNK power plant in UNK prefecture , more than four years after the fukushima meltdowns .</v>
      </c>
      <c r="D137" s="65">
        <f>IF(H137=0,wdct(TRIM(C137)),0)</f>
        <v>61</v>
      </c>
      <c r="E137" s="65">
        <f>COUNTIFS('Error Log'!$A:$A,$A137,'Error Log'!$J:$J,E$1)</f>
        <v>4</v>
      </c>
      <c r="F137" s="65">
        <f>COUNTIFS('Error Log'!$A:$A,$A137,'Error Log'!$J:$J,F$1)</f>
        <v>1</v>
      </c>
      <c r="G137" s="65">
        <f>COUNTIFS('Error Log'!$A:$A,$A137,'Error Log'!$J:$J,G$1)</f>
        <v>0</v>
      </c>
      <c r="H137" s="65">
        <f>COUNTIFS('Error Log'!$A:$A,$A137,'Error Log'!$F:$F,"Source")</f>
        <v>0</v>
      </c>
      <c r="I137" s="65">
        <f>COUNTIFS('Error Log'!$A:$A,$A137,'Error Log'!$F:$F,"Target")</f>
        <v>0</v>
      </c>
      <c r="J137" s="66">
        <f t="shared" si="2"/>
        <v>63.114754098360656</v>
      </c>
    </row>
    <row r="138" spans="1:10">
      <c r="A138" s="14" t="s">
        <v>1434</v>
      </c>
      <c r="B138" s="65"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65" t="str">
        <f>IF(ISBLANK(A138),"",INDEX('Error Log'!$A:$J,MATCH('Scores per segment'!$A138,'Error Log'!$A:$A,0),MATCH('Scores per segment'!C$1,'Error Log'!$A$1:$J$1,0)))</f>
        <v>a viral video is making the rounds in china .
it shows a small boy displaying a array of basketball skills that would put to shame many professional players .
the video starts off with the pint-sized sensation scoring a shelves .</v>
      </c>
      <c r="D138" s="65">
        <f>IF(H138=0,wdct(TRIM(C138)),0)</f>
        <v>39</v>
      </c>
      <c r="E138" s="65">
        <f>COUNTIFS('Error Log'!$A:$A,$A138,'Error Log'!$J:$J,E$1)</f>
        <v>2</v>
      </c>
      <c r="F138" s="65">
        <f>COUNTIFS('Error Log'!$A:$A,$A138,'Error Log'!$J:$J,F$1)</f>
        <v>2</v>
      </c>
      <c r="G138" s="65">
        <f>COUNTIFS('Error Log'!$A:$A,$A138,'Error Log'!$J:$J,G$1)</f>
        <v>0</v>
      </c>
      <c r="H138" s="65">
        <f>COUNTIFS('Error Log'!$A:$A,$A138,'Error Log'!$F:$F,"Source")</f>
        <v>0</v>
      </c>
      <c r="I138" s="65">
        <f>COUNTIFS('Error Log'!$A:$A,$A138,'Error Log'!$F:$F,"Target")</f>
        <v>0</v>
      </c>
      <c r="J138" s="66">
        <f t="shared" si="2"/>
        <v>61.538461538461533</v>
      </c>
    </row>
    <row r="139" spans="1:10">
      <c r="A139" s="14" t="s">
        <v>1435</v>
      </c>
      <c r="B139" s="65"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65" t="str">
        <f>IF(ISBLANK(A139),"",INDEX('Error Log'!$A:$J,MATCH('Scores per segment'!$A139,'Error Log'!$A:$A,0),MATCH('Scores per segment'!C$1,'Error Log'!$A$1:$J$1,0)))</f>
        <v>lu UNK , 84 , lives in zhejiang province in eastern china .
his mother , who lives in zhejiang province , lives in zhejiang province in eastern china .
he has been given her own room by his employers , a bank , to make sure she does n't fall off .</v>
      </c>
      <c r="D139" s="65">
        <f>IF(H139=0,wdct(TRIM(C139)),0)</f>
        <v>44</v>
      </c>
      <c r="E139" s="65">
        <f>COUNTIFS('Error Log'!$A:$A,$A139,'Error Log'!$J:$J,E$1)</f>
        <v>5</v>
      </c>
      <c r="F139" s="65">
        <f>COUNTIFS('Error Log'!$A:$A,$A139,'Error Log'!$J:$J,F$1)</f>
        <v>4</v>
      </c>
      <c r="G139" s="65">
        <f>COUNTIFS('Error Log'!$A:$A,$A139,'Error Log'!$J:$J,G$1)</f>
        <v>0</v>
      </c>
      <c r="H139" s="65">
        <f>COUNTIFS('Error Log'!$A:$A,$A139,'Error Log'!$F:$F,"Source")</f>
        <v>0</v>
      </c>
      <c r="I139" s="65">
        <f>COUNTIFS('Error Log'!$A:$A,$A139,'Error Log'!$F:$F,"Target")</f>
        <v>0</v>
      </c>
      <c r="J139" s="66">
        <f t="shared" si="2"/>
        <v>20.45454545454546</v>
      </c>
    </row>
    <row r="140" spans="1:10">
      <c r="A140" s="74" t="s">
        <v>1436</v>
      </c>
      <c r="B140" s="65"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65" t="str">
        <f>IF(ISBLANK(A140),"",INDEX('Error Log'!$A:$J,MATCH('Scores per segment'!$A140,'Error Log'!$A:$A,0),MATCH('Scores per segment'!C$1,'Error Log'!$A$1:$J$1,0)))</f>
        <v>UNK nicholson , 15 , and his friends were hanging out in an alleyway in south los angeles before school on february 10 .
the two police officers working for the lapd 's criminal UNK unit approached the boys with their guns drawn .</v>
      </c>
      <c r="D140" s="65">
        <f>IF(H140=0,wdct(TRIM(C140)),0)</f>
        <v>40</v>
      </c>
      <c r="E140" s="65">
        <f>COUNTIFS('Error Log'!$A:$A,$A140,'Error Log'!$J:$J,E$1)</f>
        <v>4</v>
      </c>
      <c r="F140" s="65">
        <f>COUNTIFS('Error Log'!$A:$A,$A140,'Error Log'!$J:$J,F$1)</f>
        <v>2</v>
      </c>
      <c r="G140" s="65">
        <f>COUNTIFS('Error Log'!$A:$A,$A140,'Error Log'!$J:$J,G$1)</f>
        <v>0</v>
      </c>
      <c r="H140" s="65">
        <f>COUNTIFS('Error Log'!$A:$A,$A140,'Error Log'!$F:$F,"Source")</f>
        <v>0</v>
      </c>
      <c r="I140" s="65">
        <f>COUNTIFS('Error Log'!$A:$A,$A140,'Error Log'!$F:$F,"Target")</f>
        <v>0</v>
      </c>
      <c r="J140" s="66">
        <f t="shared" si="2"/>
        <v>37.5</v>
      </c>
    </row>
    <row r="141" spans="1:10" ht="15.6">
      <c r="A141" s="94" t="s">
        <v>1444</v>
      </c>
      <c r="B141" s="65"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65" t="str">
        <f>IF(ISBLANK(A141),"",INDEX('Error Log'!$A:$J,MATCH('Scores per segment'!$A141,'Error Log'!$A:$A,0),MATCH('Scores per segment'!C$1,'Error Log'!$A$1:$J$1,0)))</f>
        <v>binge drinking is associated with drinking , drinking , drinking and drinking .
binge drinking is associated with drinking , drinking , drinking , drinking .
binge drinking is defined as four or more drinks for men .</v>
      </c>
      <c r="D141" s="65">
        <f>IF(H141=0,wdct(TRIM(C141)),0)</f>
        <v>30</v>
      </c>
      <c r="E141" s="65">
        <f>COUNTIFS('Error Log'!$A:$A,$A141,'Error Log'!$J:$J,E$1)</f>
        <v>3</v>
      </c>
      <c r="F141" s="65">
        <f>COUNTIFS('Error Log'!$A:$A,$A141,'Error Log'!$J:$J,F$1)</f>
        <v>3</v>
      </c>
      <c r="G141" s="65">
        <f>COUNTIFS('Error Log'!$A:$A,$A141,'Error Log'!$J:$J,G$1)</f>
        <v>0</v>
      </c>
      <c r="H141" s="65">
        <f>COUNTIFS('Error Log'!$A:$A,$A141,'Error Log'!$F:$F,"Source")</f>
        <v>0</v>
      </c>
      <c r="I141" s="65">
        <f>COUNTIFS('Error Log'!$A:$A,$A141,'Error Log'!$F:$F,"Target")</f>
        <v>0</v>
      </c>
      <c r="J141" s="66">
        <f t="shared" si="2"/>
        <v>25</v>
      </c>
    </row>
    <row r="142" spans="1:10">
      <c r="A142" s="92" t="s">
        <v>1453</v>
      </c>
      <c r="B142" s="65"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65" t="str">
        <f>IF(ISBLANK(A142),"",INDEX('Error Log'!$A:$J,MATCH('Scores per segment'!$A142,'Error Log'!$A:$A,0),MATCH('Scores per segment'!C$1,'Error Log'!$A$1:$J$1,0)))</f>
        <v>bus driver caught reading newspaper while driving in auckland , new zealand .
passenger filmed bus as bus slows to a stop at a set of traffic lights .
passenger filmed the driver and sent video to bus company UNK UNK .</v>
      </c>
      <c r="D142" s="65">
        <f>IF(H142=0,wdct(TRIM(C142)),0)</f>
        <v>38</v>
      </c>
      <c r="E142" s="65">
        <f>COUNTIFS('Error Log'!$A:$A,$A142,'Error Log'!$J:$J,E$1)</f>
        <v>3</v>
      </c>
      <c r="F142" s="65">
        <f>COUNTIFS('Error Log'!$A:$A,$A142,'Error Log'!$J:$J,F$1)</f>
        <v>0</v>
      </c>
      <c r="G142" s="65">
        <f>COUNTIFS('Error Log'!$A:$A,$A142,'Error Log'!$J:$J,G$1)</f>
        <v>0</v>
      </c>
      <c r="H142" s="65">
        <f>COUNTIFS('Error Log'!$A:$A,$A142,'Error Log'!$F:$F,"Source")</f>
        <v>0</v>
      </c>
      <c r="I142" s="65">
        <f>COUNTIFS('Error Log'!$A:$A,$A142,'Error Log'!$F:$F,"Target")</f>
        <v>0</v>
      </c>
      <c r="J142" s="66">
        <f t="shared" si="2"/>
        <v>60.526315789473685</v>
      </c>
    </row>
    <row r="143" spans="1:10">
      <c r="A143" s="92" t="s">
        <v>1457</v>
      </c>
      <c r="B143" s="65"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65" t="str">
        <f>IF(ISBLANK(A143),"",INDEX('Error Log'!$A:$J,MATCH('Scores per segment'!$A143,'Error Log'!$A:$A,0),MATCH('Scores per segment'!C$1,'Error Log'!$A$1:$J$1,0)))</f>
        <v>doctors are putting the health of women and their babies at risk .
they say the procedure should only be carried out when ' medically UNK ' .
this figure should be carried out when it can lead to infections and even death .</v>
      </c>
      <c r="D143" s="65">
        <f>IF(H143=0,wdct(TRIM(C143)),0)</f>
        <v>39</v>
      </c>
      <c r="E143" s="65">
        <f>COUNTIFS('Error Log'!$A:$A,$A143,'Error Log'!$J:$J,E$1)</f>
        <v>3</v>
      </c>
      <c r="F143" s="65">
        <f>COUNTIFS('Error Log'!$A:$A,$A143,'Error Log'!$J:$J,F$1)</f>
        <v>1</v>
      </c>
      <c r="G143" s="65">
        <f>COUNTIFS('Error Log'!$A:$A,$A143,'Error Log'!$J:$J,G$1)</f>
        <v>1</v>
      </c>
      <c r="H143" s="65">
        <f>COUNTIFS('Error Log'!$A:$A,$A143,'Error Log'!$F:$F,"Source")</f>
        <v>0</v>
      </c>
      <c r="I143" s="65">
        <f>COUNTIFS('Error Log'!$A:$A,$A143,'Error Log'!$F:$F,"Target")</f>
        <v>0</v>
      </c>
      <c r="J143" s="66">
        <f t="shared" si="2"/>
        <v>53.846153846153847</v>
      </c>
    </row>
    <row r="144" spans="1:10">
      <c r="A144" s="92" t="s">
        <v>1464</v>
      </c>
      <c r="B144" s="65"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65" t="str">
        <f>IF(ISBLANK(A144),"",INDEX('Error Log'!$A:$J,MATCH('Scores per segment'!$A144,'Error Log'!$A:$A,0),MATCH('Scores per segment'!C$1,'Error Log'!$A$1:$J$1,0)))</f>
        <v>james UNK , 45 , was convicted of second-degree murder in the death of his wife kelly UNK , 42 , who disappeared from her UNK home on june 27 , 2013 .
UNK has served nearly two years behind bars which means he could be eligible for parole in about 28 years .</v>
      </c>
      <c r="D144" s="65">
        <f>IF(H144=0,wdct(TRIM(C144)),0)</f>
        <v>47</v>
      </c>
      <c r="E144" s="65">
        <f>COUNTIFS('Error Log'!$A:$A,$A144,'Error Log'!$J:$J,E$1)</f>
        <v>5</v>
      </c>
      <c r="F144" s="65">
        <f>COUNTIFS('Error Log'!$A:$A,$A144,'Error Log'!$J:$J,F$1)</f>
        <v>0</v>
      </c>
      <c r="G144" s="65">
        <f>COUNTIFS('Error Log'!$A:$A,$A144,'Error Log'!$J:$J,G$1)</f>
        <v>0</v>
      </c>
      <c r="H144" s="65">
        <f>COUNTIFS('Error Log'!$A:$A,$A144,'Error Log'!$F:$F,"Source")</f>
        <v>0</v>
      </c>
      <c r="I144" s="65">
        <f>COUNTIFS('Error Log'!$A:$A,$A144,'Error Log'!$F:$F,"Target")</f>
        <v>0</v>
      </c>
      <c r="J144" s="66">
        <f t="shared" si="2"/>
        <v>46.808510638297875</v>
      </c>
    </row>
    <row r="145" spans="1:10">
      <c r="A145" s="93" t="s">
        <v>1468</v>
      </c>
      <c r="B145" s="65"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65" t="str">
        <f>IF(ISBLANK(A145),"",INDEX('Error Log'!$A:$J,MATCH('Scores per segment'!$A145,'Error Log'!$A:$A,0),MATCH('Scores per segment'!C$1,'Error Log'!$A$1:$J$1,0)))</f>
        <v>michelle UNK , 44 , has been charged with breaking and entering , larceny over $ 250 , and malicious destruction of property after she was arrested on april 17 .
she was arrested several hours later after she attempted to get back into the home thinking she owned the house .
UNK was arrested several hours later after she attempted to get back into the home thinking she owned the house .</v>
      </c>
      <c r="D145" s="65">
        <f>IF(H145=0,wdct(TRIM(C145)),0)</f>
        <v>65</v>
      </c>
      <c r="E145" s="65">
        <f>COUNTIFS('Error Log'!$A:$A,$A145,'Error Log'!$J:$J,E$1)</f>
        <v>3</v>
      </c>
      <c r="F145" s="65">
        <f>COUNTIFS('Error Log'!$A:$A,$A145,'Error Log'!$J:$J,F$1)</f>
        <v>2</v>
      </c>
      <c r="G145" s="65">
        <f>COUNTIFS('Error Log'!$A:$A,$A145,'Error Log'!$J:$J,G$1)</f>
        <v>0</v>
      </c>
      <c r="H145" s="65">
        <f>COUNTIFS('Error Log'!$A:$A,$A145,'Error Log'!$F:$F,"Source")</f>
        <v>0</v>
      </c>
      <c r="I145" s="65">
        <f>COUNTIFS('Error Log'!$A:$A,$A145,'Error Log'!$F:$F,"Target")</f>
        <v>0</v>
      </c>
      <c r="J145" s="66">
        <f t="shared" si="2"/>
        <v>69.230769230769226</v>
      </c>
    </row>
    <row r="146" spans="1:10">
      <c r="A146" s="93" t="s">
        <v>1474</v>
      </c>
      <c r="B146" s="65"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65" t="str">
        <f>IF(ISBLANK(A146),"",INDEX('Error Log'!$A:$J,MATCH('Scores per segment'!$A146,'Error Log'!$A:$A,0),MATCH('Scores per segment'!C$1,'Error Log'!$A$1:$J$1,0)))</f>
        <v>french customs officers seized more than 2 tons of cocaine aboard a sailboat .
the drugs , whose value is estimated at $ 105 million , are the biggest cocaine seizure ever carried out by french authorities .</v>
      </c>
      <c r="D146" s="65">
        <f>IF(H146=0,wdct(TRIM(C146)),0)</f>
        <v>33</v>
      </c>
      <c r="E146" s="65">
        <f>COUNTIFS('Error Log'!$A:$A,$A146,'Error Log'!$J:$J,E$1)</f>
        <v>1</v>
      </c>
      <c r="F146" s="65">
        <f>COUNTIFS('Error Log'!$A:$A,$A146,'Error Log'!$J:$J,F$1)</f>
        <v>0</v>
      </c>
      <c r="G146" s="65">
        <f>COUNTIFS('Error Log'!$A:$A,$A146,'Error Log'!$J:$J,G$1)</f>
        <v>0</v>
      </c>
      <c r="H146" s="65">
        <f>COUNTIFS('Error Log'!$A:$A,$A146,'Error Log'!$F:$F,"Source")</f>
        <v>0</v>
      </c>
      <c r="I146" s="65">
        <f>COUNTIFS('Error Log'!$A:$A,$A146,'Error Log'!$F:$F,"Target")</f>
        <v>0</v>
      </c>
      <c r="J146" s="66">
        <f t="shared" si="2"/>
        <v>84.848484848484844</v>
      </c>
    </row>
    <row r="147" spans="1:10">
      <c r="A147" s="93" t="s">
        <v>1478</v>
      </c>
      <c r="B147" s="65"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65" t="str">
        <f>IF(ISBLANK(A147),"",INDEX('Error Log'!$A:$J,MATCH('Scores per segment'!$A147,'Error Log'!$A:$A,0),MATCH('Scores per segment'!C$1,'Error Log'!$A$1:$J$1,0)))</f>
        <v>the phone , which belonged to bella UNK from melbourne , was handed in to UNK police station on the UNK border on sunday morning .
police officers on duty realised the phone was unlocked and used it to post selfies and photos of the phone in various locations around the police station on the UNK border .</v>
      </c>
      <c r="D147" s="65">
        <f>IF(H147=0,wdct(TRIM(C147)),0)</f>
        <v>54</v>
      </c>
      <c r="E147" s="65">
        <f>COUNTIFS('Error Log'!$A:$A,$A147,'Error Log'!$J:$J,E$1)</f>
        <v>5</v>
      </c>
      <c r="F147" s="65">
        <f>COUNTIFS('Error Log'!$A:$A,$A147,'Error Log'!$J:$J,F$1)</f>
        <v>0</v>
      </c>
      <c r="G147" s="65">
        <f>COUNTIFS('Error Log'!$A:$A,$A147,'Error Log'!$J:$J,G$1)</f>
        <v>0</v>
      </c>
      <c r="H147" s="65">
        <f>COUNTIFS('Error Log'!$A:$A,$A147,'Error Log'!$F:$F,"Source")</f>
        <v>0</v>
      </c>
      <c r="I147" s="65">
        <f>COUNTIFS('Error Log'!$A:$A,$A147,'Error Log'!$F:$F,"Target")</f>
        <v>0</v>
      </c>
      <c r="J147" s="66">
        <f t="shared" si="2"/>
        <v>53.703703703703702</v>
      </c>
    </row>
    <row r="148" spans="1:10">
      <c r="A148" s="93" t="s">
        <v>1482</v>
      </c>
      <c r="B148" s="65"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65" t="str">
        <f>IF(ISBLANK(A148),"",INDEX('Error Log'!$A:$J,MATCH('Scores per segment'!$A148,'Error Log'!$A:$A,0),MATCH('Scores per segment'!C$1,'Error Log'!$A$1:$J$1,0)))</f>
        <v>the baby girl was found in a toilet in a restaurant in chengdu , china .
staff at the restaurant said they saw the woman going into the toilet .
she was arrested after receiving medical attention and faces charges of neglect .</v>
      </c>
      <c r="D148" s="65">
        <f>IF(H148=0,wdct(TRIM(C148)),0)</f>
        <v>39</v>
      </c>
      <c r="E148" s="65">
        <f>COUNTIFS('Error Log'!$A:$A,$A148,'Error Log'!$J:$J,E$1)</f>
        <v>1</v>
      </c>
      <c r="F148" s="65">
        <f>COUNTIFS('Error Log'!$A:$A,$A148,'Error Log'!$J:$J,F$1)</f>
        <v>1</v>
      </c>
      <c r="G148" s="65">
        <f>COUNTIFS('Error Log'!$A:$A,$A148,'Error Log'!$J:$J,G$1)</f>
        <v>0</v>
      </c>
      <c r="H148" s="65">
        <f>COUNTIFS('Error Log'!$A:$A,$A148,'Error Log'!$F:$F,"Source")</f>
        <v>0</v>
      </c>
      <c r="I148" s="65">
        <f>COUNTIFS('Error Log'!$A:$A,$A148,'Error Log'!$F:$F,"Target")</f>
        <v>0</v>
      </c>
      <c r="J148" s="66">
        <f t="shared" si="2"/>
        <v>80.769230769230774</v>
      </c>
    </row>
    <row r="149" spans="1:10">
      <c r="A149" s="92" t="s">
        <v>1487</v>
      </c>
      <c r="B149" s="65"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65" t="str">
        <f>IF(ISBLANK(A149),"",INDEX('Error Log'!$A:$J,MATCH('Scores per segment'!$A149,'Error Log'!$A:$A,0),MATCH('Scores per segment'!C$1,'Error Log'!$A$1:$J$1,0)))</f>
        <v>UNK hippo dragged along the surface of water in UNK , south africa .
calf was dragged along the surface of water in UNK , south africa .
calf 's mother watched in horror as hippo was flung into air before being dragged along surface of the water .</v>
      </c>
      <c r="D149" s="65">
        <f>IF(H149=0,wdct(TRIM(C149)),0)</f>
        <v>44</v>
      </c>
      <c r="E149" s="65">
        <f>COUNTIFS('Error Log'!$A:$A,$A149,'Error Log'!$J:$J,E$1)</f>
        <v>4</v>
      </c>
      <c r="F149" s="65">
        <f>COUNTIFS('Error Log'!$A:$A,$A149,'Error Log'!$J:$J,F$1)</f>
        <v>2</v>
      </c>
      <c r="G149" s="65">
        <f>COUNTIFS('Error Log'!$A:$A,$A149,'Error Log'!$J:$J,G$1)</f>
        <v>0</v>
      </c>
      <c r="H149" s="65">
        <f>COUNTIFS('Error Log'!$A:$A,$A149,'Error Log'!$F:$F,"Source")</f>
        <v>0</v>
      </c>
      <c r="I149" s="65">
        <f>COUNTIFS('Error Log'!$A:$A,$A149,'Error Log'!$F:$F,"Target")</f>
        <v>0</v>
      </c>
      <c r="J149" s="66">
        <f t="shared" si="2"/>
        <v>43.181818181818173</v>
      </c>
    </row>
    <row r="150" spans="1:10">
      <c r="A150" s="92" t="s">
        <v>1493</v>
      </c>
      <c r="B150" s="65"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65" t="str">
        <f>IF(ISBLANK(A150),"",INDEX('Error Log'!$A:$J,MATCH('Scores per segment'!$A150,'Error Log'!$A:$A,0),MATCH('Scores per segment'!C$1,'Error Log'!$A$1:$J$1,0)))</f>
        <v>ian rogers , 36 , has curated a haunting collection of nine old dolls which he claims each have their own personality .
ian , who is single , and a vehicle image inspector from leicester says his obsession with the supernatural began at a young age .
he has spent hundreds of pounds on the creepy collection - and he 's on the hunt for more .</v>
      </c>
      <c r="D150" s="65">
        <f>IF(H150=0,wdct(TRIM(C150)),0)</f>
        <v>60</v>
      </c>
      <c r="E150" s="65">
        <f>COUNTIFS('Error Log'!$A:$A,$A150,'Error Log'!$J:$J,E$1)</f>
        <v>1</v>
      </c>
      <c r="F150" s="65">
        <f>COUNTIFS('Error Log'!$A:$A,$A150,'Error Log'!$J:$J,F$1)</f>
        <v>1</v>
      </c>
      <c r="G150" s="65">
        <f>COUNTIFS('Error Log'!$A:$A,$A150,'Error Log'!$J:$J,G$1)</f>
        <v>0</v>
      </c>
      <c r="H150" s="65">
        <f>COUNTIFS('Error Log'!$A:$A,$A150,'Error Log'!$F:$F,"Source")</f>
        <v>0</v>
      </c>
      <c r="I150" s="65">
        <f>COUNTIFS('Error Log'!$A:$A,$A150,'Error Log'!$F:$F,"Target")</f>
        <v>0</v>
      </c>
      <c r="J150" s="66">
        <f t="shared" si="2"/>
        <v>87.5</v>
      </c>
    </row>
    <row r="151" spans="1:10">
      <c r="A151" s="92" t="s">
        <v>1498</v>
      </c>
      <c r="B151" s="65"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65" t="str">
        <f>IF(ISBLANK(A151),"",INDEX('Error Log'!$A:$J,MATCH('Scores per segment'!$A151,'Error Log'!$A:$A,0),MATCH('Scores per segment'!C$1,'Error Log'!$A$1:$J$1,0)))</f>
        <v>knightsbridge flat , london , has just three years left on the market for UNK .
it boasts three bedrooms , two bathrooms , a reception room and utility room .
it boasts three bedrooms , two bathrooms , a reception room and utility room .
it is one of two UNK being sold with three years remaining on the lease .</v>
      </c>
      <c r="D151" s="65">
        <f>IF(H151=0,wdct(TRIM(C151)),0)</f>
        <v>52</v>
      </c>
      <c r="E151" s="65">
        <f>COUNTIFS('Error Log'!$A:$A,$A151,'Error Log'!$J:$J,E$1)</f>
        <v>4</v>
      </c>
      <c r="F151" s="65">
        <f>COUNTIFS('Error Log'!$A:$A,$A151,'Error Log'!$J:$J,F$1)</f>
        <v>4</v>
      </c>
      <c r="G151" s="65">
        <f>COUNTIFS('Error Log'!$A:$A,$A151,'Error Log'!$J:$J,G$1)</f>
        <v>0</v>
      </c>
      <c r="H151" s="65">
        <f>COUNTIFS('Error Log'!$A:$A,$A151,'Error Log'!$F:$F,"Source")</f>
        <v>0</v>
      </c>
      <c r="I151" s="65">
        <f>COUNTIFS('Error Log'!$A:$A,$A151,'Error Log'!$F:$F,"Target")</f>
        <v>0</v>
      </c>
      <c r="J151" s="66">
        <f t="shared" si="2"/>
        <v>42.307692307692314</v>
      </c>
    </row>
    <row r="152" spans="1:10">
      <c r="A152" s="76"/>
      <c r="B152" s="65" t="str">
        <f>IF(ISBLANK(A152),"",INDEX('Error Log'!$A:$J,MATCH('Scores per segment'!$A152,'Error Log'!$A:$A,0),MATCH('Scores per segment'!B$1,'Error Log'!$A$1:$J$1,0)))</f>
        <v/>
      </c>
      <c r="C152" s="65" t="str">
        <f>IF(ISBLANK(A152),"",INDEX('Error Log'!$A:$J,MATCH('Scores per segment'!$A152,'Error Log'!$A:$A,0),MATCH('Scores per segment'!C$1,'Error Log'!$A$1:$J$1,0)))</f>
        <v/>
      </c>
      <c r="D152" s="65">
        <f>IF(H152=0,wdct(TRIM(C152)),0)</f>
        <v>0</v>
      </c>
      <c r="E152" s="65">
        <f>COUNTIFS('Error Log'!$A:$A,$A152,'Error Log'!$J:$J,E$1)</f>
        <v>0</v>
      </c>
      <c r="F152" s="65">
        <f>COUNTIFS('Error Log'!$A:$A,$A152,'Error Log'!$J:$J,F$1)</f>
        <v>0</v>
      </c>
      <c r="G152" s="65">
        <f>COUNTIFS('Error Log'!$A:$A,$A152,'Error Log'!$J:$J,G$1)</f>
        <v>0</v>
      </c>
      <c r="H152" s="65">
        <f>COUNTIFS('Error Log'!$A:$A,$A152,'Error Log'!$F:$F,"Source")</f>
        <v>0</v>
      </c>
      <c r="I152" s="65">
        <f>COUNTIFS('Error Log'!$A:$A,$A152,'Error Log'!$F:$F,"Target")</f>
        <v>0</v>
      </c>
      <c r="J152" s="66">
        <f t="shared" si="2"/>
        <v>0</v>
      </c>
    </row>
    <row r="153" spans="1:10">
      <c r="A153" s="76"/>
      <c r="B153" s="65" t="str">
        <f>IF(ISBLANK(A153),"",INDEX('Error Log'!$A:$J,MATCH('Scores per segment'!$A153,'Error Log'!$A:$A,0),MATCH('Scores per segment'!B$1,'Error Log'!$A$1:$J$1,0)))</f>
        <v/>
      </c>
      <c r="C153" s="65" t="str">
        <f>IF(ISBLANK(A153),"",INDEX('Error Log'!$A:$J,MATCH('Scores per segment'!$A153,'Error Log'!$A:$A,0),MATCH('Scores per segment'!C$1,'Error Log'!$A$1:$J$1,0)))</f>
        <v/>
      </c>
      <c r="D153" s="65">
        <f>IF(H153=0,wdct(TRIM(C153)),0)</f>
        <v>0</v>
      </c>
      <c r="E153" s="65">
        <f>COUNTIFS('Error Log'!$A:$A,$A153,'Error Log'!$J:$J,E$1)</f>
        <v>0</v>
      </c>
      <c r="F153" s="65">
        <f>COUNTIFS('Error Log'!$A:$A,$A153,'Error Log'!$J:$J,F$1)</f>
        <v>0</v>
      </c>
      <c r="G153" s="65">
        <f>COUNTIFS('Error Log'!$A:$A,$A153,'Error Log'!$J:$J,G$1)</f>
        <v>0</v>
      </c>
      <c r="H153" s="65">
        <f>COUNTIFS('Error Log'!$A:$A,$A153,'Error Log'!$F:$F,"Source")</f>
        <v>0</v>
      </c>
      <c r="I153" s="65">
        <f>COUNTIFS('Error Log'!$A:$A,$A153,'Error Log'!$F:$F,"Target")</f>
        <v>0</v>
      </c>
      <c r="J153" s="66">
        <f t="shared" si="2"/>
        <v>0</v>
      </c>
    </row>
    <row r="154" spans="1:10">
      <c r="A154" s="76"/>
      <c r="B154" s="65" t="str">
        <f>IF(ISBLANK(A154),"",INDEX('Error Log'!$A:$J,MATCH('Scores per segment'!$A154,'Error Log'!$A:$A,0),MATCH('Scores per segment'!B$1,'Error Log'!$A$1:$J$1,0)))</f>
        <v/>
      </c>
      <c r="C154" s="65" t="str">
        <f>IF(ISBLANK(A154),"",INDEX('Error Log'!$A:$J,MATCH('Scores per segment'!$A154,'Error Log'!$A:$A,0),MATCH('Scores per segment'!C$1,'Error Log'!$A$1:$J$1,0)))</f>
        <v/>
      </c>
      <c r="D154" s="65">
        <f>IF(H154=0,wdct(TRIM(C154)),0)</f>
        <v>0</v>
      </c>
      <c r="E154" s="65">
        <f>COUNTIFS('Error Log'!$A:$A,$A154,'Error Log'!$J:$J,E$1)</f>
        <v>0</v>
      </c>
      <c r="F154" s="65">
        <f>COUNTIFS('Error Log'!$A:$A,$A154,'Error Log'!$J:$J,F$1)</f>
        <v>0</v>
      </c>
      <c r="G154" s="65">
        <f>COUNTIFS('Error Log'!$A:$A,$A154,'Error Log'!$J:$J,G$1)</f>
        <v>0</v>
      </c>
      <c r="H154" s="65">
        <f>COUNTIFS('Error Log'!$A:$A,$A154,'Error Log'!$F:$F,"Source")</f>
        <v>0</v>
      </c>
      <c r="I154" s="65">
        <f>COUNTIFS('Error Log'!$A:$A,$A154,'Error Log'!$F:$F,"Target")</f>
        <v>0</v>
      </c>
      <c r="J154" s="66">
        <f t="shared" si="2"/>
        <v>0</v>
      </c>
    </row>
    <row r="155" spans="1:10">
      <c r="A155" s="76"/>
      <c r="B155" s="65" t="str">
        <f>IF(ISBLANK(A155),"",INDEX('Error Log'!$A:$J,MATCH('Scores per segment'!$A155,'Error Log'!$A:$A,0),MATCH('Scores per segment'!B$1,'Error Log'!$A$1:$J$1,0)))</f>
        <v/>
      </c>
      <c r="C155" s="65" t="str">
        <f>IF(ISBLANK(A155),"",INDEX('Error Log'!$A:$J,MATCH('Scores per segment'!$A155,'Error Log'!$A:$A,0),MATCH('Scores per segment'!C$1,'Error Log'!$A$1:$J$1,0)))</f>
        <v/>
      </c>
      <c r="D155" s="65">
        <f>IF(H155=0,wdct(TRIM(C155)),0)</f>
        <v>0</v>
      </c>
      <c r="E155" s="65">
        <f>COUNTIFS('Error Log'!$A:$A,$A155,'Error Log'!$J:$J,E$1)</f>
        <v>0</v>
      </c>
      <c r="F155" s="65">
        <f>COUNTIFS('Error Log'!$A:$A,$A155,'Error Log'!$J:$J,F$1)</f>
        <v>0</v>
      </c>
      <c r="G155" s="65">
        <f>COUNTIFS('Error Log'!$A:$A,$A155,'Error Log'!$J:$J,G$1)</f>
        <v>0</v>
      </c>
      <c r="H155" s="65">
        <f>COUNTIFS('Error Log'!$A:$A,$A155,'Error Log'!$F:$F,"Source")</f>
        <v>0</v>
      </c>
      <c r="I155" s="65">
        <f>COUNTIFS('Error Log'!$A:$A,$A155,'Error Log'!$F:$F,"Target")</f>
        <v>0</v>
      </c>
      <c r="J155" s="66">
        <f t="shared" si="2"/>
        <v>0</v>
      </c>
    </row>
    <row r="156" spans="1:10">
      <c r="A156" s="76"/>
      <c r="B156" s="65" t="str">
        <f>IF(ISBLANK(A156),"",INDEX('Error Log'!$A:$J,MATCH('Scores per segment'!$A156,'Error Log'!$A:$A,0),MATCH('Scores per segment'!B$1,'Error Log'!$A$1:$J$1,0)))</f>
        <v/>
      </c>
      <c r="C156" s="65" t="str">
        <f>IF(ISBLANK(A156),"",INDEX('Error Log'!$A:$J,MATCH('Scores per segment'!$A156,'Error Log'!$A:$A,0),MATCH('Scores per segment'!C$1,'Error Log'!$A$1:$J$1,0)))</f>
        <v/>
      </c>
      <c r="D156" s="65">
        <f>IF(H156=0,wdct(TRIM(C156)),0)</f>
        <v>0</v>
      </c>
      <c r="E156" s="65">
        <f>COUNTIFS('Error Log'!$A:$A,$A156,'Error Log'!$J:$J,E$1)</f>
        <v>0</v>
      </c>
      <c r="F156" s="65">
        <f>COUNTIFS('Error Log'!$A:$A,$A156,'Error Log'!$J:$J,F$1)</f>
        <v>0</v>
      </c>
      <c r="G156" s="65">
        <f>COUNTIFS('Error Log'!$A:$A,$A156,'Error Log'!$J:$J,G$1)</f>
        <v>0</v>
      </c>
      <c r="H156" s="65">
        <f>COUNTIFS('Error Log'!$A:$A,$A156,'Error Log'!$F:$F,"Source")</f>
        <v>0</v>
      </c>
      <c r="I156" s="65">
        <f>COUNTIFS('Error Log'!$A:$A,$A156,'Error Log'!$F:$F,"Target")</f>
        <v>0</v>
      </c>
      <c r="J156" s="66">
        <f t="shared" si="2"/>
        <v>0</v>
      </c>
    </row>
    <row r="157" spans="1:10">
      <c r="A157" s="76"/>
      <c r="B157" s="65" t="str">
        <f>IF(ISBLANK(A157),"",INDEX('Error Log'!$A:$J,MATCH('Scores per segment'!$A157,'Error Log'!$A:$A,0),MATCH('Scores per segment'!B$1,'Error Log'!$A$1:$J$1,0)))</f>
        <v/>
      </c>
      <c r="C157" s="65" t="str">
        <f>IF(ISBLANK(A157),"",INDEX('Error Log'!$A:$J,MATCH('Scores per segment'!$A157,'Error Log'!$A:$A,0),MATCH('Scores per segment'!C$1,'Error Log'!$A$1:$J$1,0)))</f>
        <v/>
      </c>
      <c r="D157" s="65">
        <f>IF(H157=0,wdct(TRIM(C157)),0)</f>
        <v>0</v>
      </c>
      <c r="E157" s="65">
        <f>COUNTIFS('Error Log'!$A:$A,$A157,'Error Log'!$J:$J,E$1)</f>
        <v>0</v>
      </c>
      <c r="F157" s="65">
        <f>COUNTIFS('Error Log'!$A:$A,$A157,'Error Log'!$J:$J,F$1)</f>
        <v>0</v>
      </c>
      <c r="G157" s="65">
        <f>COUNTIFS('Error Log'!$A:$A,$A157,'Error Log'!$J:$J,G$1)</f>
        <v>0</v>
      </c>
      <c r="H157" s="65">
        <f>COUNTIFS('Error Log'!$A:$A,$A157,'Error Log'!$F:$F,"Source")</f>
        <v>0</v>
      </c>
      <c r="I157" s="65">
        <f>COUNTIFS('Error Log'!$A:$A,$A157,'Error Log'!$F:$F,"Target")</f>
        <v>0</v>
      </c>
      <c r="J157" s="66">
        <f t="shared" si="2"/>
        <v>0</v>
      </c>
    </row>
    <row r="158" spans="1:10">
      <c r="A158" s="76"/>
      <c r="B158" s="65" t="str">
        <f>IF(ISBLANK(A158),"",INDEX('Error Log'!$A:$J,MATCH('Scores per segment'!$A158,'Error Log'!$A:$A,0),MATCH('Scores per segment'!B$1,'Error Log'!$A$1:$J$1,0)))</f>
        <v/>
      </c>
      <c r="C158" s="65" t="str">
        <f>IF(ISBLANK(A158),"",INDEX('Error Log'!$A:$J,MATCH('Scores per segment'!$A158,'Error Log'!$A:$A,0),MATCH('Scores per segment'!C$1,'Error Log'!$A$1:$J$1,0)))</f>
        <v/>
      </c>
      <c r="D158" s="65">
        <f>IF(H158=0,wdct(TRIM(C158)),0)</f>
        <v>0</v>
      </c>
      <c r="E158" s="65">
        <f>COUNTIFS('Error Log'!$A:$A,$A158,'Error Log'!$J:$J,E$1)</f>
        <v>0</v>
      </c>
      <c r="F158" s="65">
        <f>COUNTIFS('Error Log'!$A:$A,$A158,'Error Log'!$J:$J,F$1)</f>
        <v>0</v>
      </c>
      <c r="G158" s="65">
        <f>COUNTIFS('Error Log'!$A:$A,$A158,'Error Log'!$J:$J,G$1)</f>
        <v>0</v>
      </c>
      <c r="H158" s="65">
        <f>COUNTIFS('Error Log'!$A:$A,$A158,'Error Log'!$F:$F,"Source")</f>
        <v>0</v>
      </c>
      <c r="I158" s="65">
        <f>COUNTIFS('Error Log'!$A:$A,$A158,'Error Log'!$F:$F,"Target")</f>
        <v>0</v>
      </c>
      <c r="J158" s="66">
        <f t="shared" si="2"/>
        <v>0</v>
      </c>
    </row>
    <row r="159" spans="1:10">
      <c r="A159" s="76"/>
      <c r="B159" s="65" t="str">
        <f>IF(ISBLANK(A159),"",INDEX('Error Log'!$A:$J,MATCH('Scores per segment'!$A159,'Error Log'!$A:$A,0),MATCH('Scores per segment'!B$1,'Error Log'!$A$1:$J$1,0)))</f>
        <v/>
      </c>
      <c r="C159" s="65" t="str">
        <f>IF(ISBLANK(A159),"",INDEX('Error Log'!$A:$J,MATCH('Scores per segment'!$A159,'Error Log'!$A:$A,0),MATCH('Scores per segment'!C$1,'Error Log'!$A$1:$J$1,0)))</f>
        <v/>
      </c>
      <c r="D159" s="65">
        <f>IF(H159=0,wdct(TRIM(C159)),0)</f>
        <v>0</v>
      </c>
      <c r="E159" s="65">
        <f>COUNTIFS('Error Log'!$A:$A,$A159,'Error Log'!$J:$J,E$1)</f>
        <v>0</v>
      </c>
      <c r="F159" s="65">
        <f>COUNTIFS('Error Log'!$A:$A,$A159,'Error Log'!$J:$J,F$1)</f>
        <v>0</v>
      </c>
      <c r="G159" s="65">
        <f>COUNTIFS('Error Log'!$A:$A,$A159,'Error Log'!$J:$J,G$1)</f>
        <v>0</v>
      </c>
      <c r="H159" s="65">
        <f>COUNTIFS('Error Log'!$A:$A,$A159,'Error Log'!$F:$F,"Source")</f>
        <v>0</v>
      </c>
      <c r="I159" s="65">
        <f>COUNTIFS('Error Log'!$A:$A,$A159,'Error Log'!$F:$F,"Target")</f>
        <v>0</v>
      </c>
      <c r="J159" s="66">
        <f t="shared" si="2"/>
        <v>0</v>
      </c>
    </row>
    <row r="160" spans="1:10">
      <c r="A160" s="76"/>
      <c r="B160" s="65" t="str">
        <f>IF(ISBLANK(A160),"",INDEX('Error Log'!$A:$J,MATCH('Scores per segment'!$A160,'Error Log'!$A:$A,0),MATCH('Scores per segment'!B$1,'Error Log'!$A$1:$J$1,0)))</f>
        <v/>
      </c>
      <c r="C160" s="65" t="str">
        <f>IF(ISBLANK(A160),"",INDEX('Error Log'!$A:$J,MATCH('Scores per segment'!$A160,'Error Log'!$A:$A,0),MATCH('Scores per segment'!C$1,'Error Log'!$A$1:$J$1,0)))</f>
        <v/>
      </c>
      <c r="D160" s="65">
        <f>IF(H160=0,wdct(TRIM(C160)),0)</f>
        <v>0</v>
      </c>
      <c r="E160" s="65">
        <f>COUNTIFS('Error Log'!$A:$A,$A160,'Error Log'!$J:$J,E$1)</f>
        <v>0</v>
      </c>
      <c r="F160" s="65">
        <f>COUNTIFS('Error Log'!$A:$A,$A160,'Error Log'!$J:$J,F$1)</f>
        <v>0</v>
      </c>
      <c r="G160" s="65">
        <f>COUNTIFS('Error Log'!$A:$A,$A160,'Error Log'!$J:$J,G$1)</f>
        <v>0</v>
      </c>
      <c r="H160" s="65">
        <f>COUNTIFS('Error Log'!$A:$A,$A160,'Error Log'!$F:$F,"Source")</f>
        <v>0</v>
      </c>
      <c r="I160" s="65">
        <f>COUNTIFS('Error Log'!$A:$A,$A160,'Error Log'!$F:$F,"Target")</f>
        <v>0</v>
      </c>
      <c r="J160" s="66">
        <f t="shared" si="2"/>
        <v>0</v>
      </c>
    </row>
    <row r="161" spans="1:10">
      <c r="A161" s="76"/>
      <c r="B161" s="65" t="str">
        <f>IF(ISBLANK(A161),"",INDEX('Error Log'!$A:$J,MATCH('Scores per segment'!$A161,'Error Log'!$A:$A,0),MATCH('Scores per segment'!B$1,'Error Log'!$A$1:$J$1,0)))</f>
        <v/>
      </c>
      <c r="C161" s="65" t="str">
        <f>IF(ISBLANK(A161),"",INDEX('Error Log'!$A:$J,MATCH('Scores per segment'!$A161,'Error Log'!$A:$A,0),MATCH('Scores per segment'!C$1,'Error Log'!$A$1:$J$1,0)))</f>
        <v/>
      </c>
      <c r="D161" s="65">
        <f>IF(H161=0,wdct(TRIM(C161)),0)</f>
        <v>0</v>
      </c>
      <c r="E161" s="65">
        <f>COUNTIFS('Error Log'!$A:$A,$A161,'Error Log'!$J:$J,E$1)</f>
        <v>0</v>
      </c>
      <c r="F161" s="65">
        <f>COUNTIFS('Error Log'!$A:$A,$A161,'Error Log'!$J:$J,F$1)</f>
        <v>0</v>
      </c>
      <c r="G161" s="65">
        <f>COUNTIFS('Error Log'!$A:$A,$A161,'Error Log'!$J:$J,G$1)</f>
        <v>0</v>
      </c>
      <c r="H161" s="65">
        <f>COUNTIFS('Error Log'!$A:$A,$A161,'Error Log'!$F:$F,"Source")</f>
        <v>0</v>
      </c>
      <c r="I161" s="65">
        <f>COUNTIFS('Error Log'!$A:$A,$A161,'Error Log'!$F:$F,"Target")</f>
        <v>0</v>
      </c>
      <c r="J161" s="66">
        <f t="shared" si="2"/>
        <v>0</v>
      </c>
    </row>
    <row r="162" spans="1:10">
      <c r="A162" s="76"/>
      <c r="B162" s="65" t="str">
        <f>IF(ISBLANK(A162),"",INDEX('Error Log'!$A:$J,MATCH('Scores per segment'!$A162,'Error Log'!$A:$A,0),MATCH('Scores per segment'!B$1,'Error Log'!$A$1:$J$1,0)))</f>
        <v/>
      </c>
      <c r="C162" s="65" t="str">
        <f>IF(ISBLANK(A162),"",INDEX('Error Log'!$A:$J,MATCH('Scores per segment'!$A162,'Error Log'!$A:$A,0),MATCH('Scores per segment'!C$1,'Error Log'!$A$1:$J$1,0)))</f>
        <v/>
      </c>
      <c r="D162" s="65">
        <f>IF(H162=0,wdct(TRIM(C162)),0)</f>
        <v>0</v>
      </c>
      <c r="E162" s="65">
        <f>COUNTIFS('Error Log'!$A:$A,$A162,'Error Log'!$J:$J,E$1)</f>
        <v>0</v>
      </c>
      <c r="F162" s="65">
        <f>COUNTIFS('Error Log'!$A:$A,$A162,'Error Log'!$J:$J,F$1)</f>
        <v>0</v>
      </c>
      <c r="G162" s="65">
        <f>COUNTIFS('Error Log'!$A:$A,$A162,'Error Log'!$J:$J,G$1)</f>
        <v>0</v>
      </c>
      <c r="H162" s="65">
        <f>COUNTIFS('Error Log'!$A:$A,$A162,'Error Log'!$F:$F,"Source")</f>
        <v>0</v>
      </c>
      <c r="I162" s="65">
        <f>COUNTIFS('Error Log'!$A:$A,$A162,'Error Log'!$F:$F,"Target")</f>
        <v>0</v>
      </c>
      <c r="J162" s="66">
        <f t="shared" si="2"/>
        <v>0</v>
      </c>
    </row>
    <row r="163" spans="1:10">
      <c r="A163" s="76"/>
      <c r="B163" s="65" t="str">
        <f>IF(ISBLANK(A163),"",INDEX('Error Log'!$A:$J,MATCH('Scores per segment'!$A163,'Error Log'!$A:$A,0),MATCH('Scores per segment'!B$1,'Error Log'!$A$1:$J$1,0)))</f>
        <v/>
      </c>
      <c r="C163" s="65" t="str">
        <f>IF(ISBLANK(A163),"",INDEX('Error Log'!$A:$J,MATCH('Scores per segment'!$A163,'Error Log'!$A:$A,0),MATCH('Scores per segment'!C$1,'Error Log'!$A$1:$J$1,0)))</f>
        <v/>
      </c>
      <c r="D163" s="65">
        <f>IF(H163=0,wdct(TRIM(C163)),0)</f>
        <v>0</v>
      </c>
      <c r="E163" s="65">
        <f>COUNTIFS('Error Log'!$A:$A,$A163,'Error Log'!$J:$J,E$1)</f>
        <v>0</v>
      </c>
      <c r="F163" s="65">
        <f>COUNTIFS('Error Log'!$A:$A,$A163,'Error Log'!$J:$J,F$1)</f>
        <v>0</v>
      </c>
      <c r="G163" s="65">
        <f>COUNTIFS('Error Log'!$A:$A,$A163,'Error Log'!$J:$J,G$1)</f>
        <v>0</v>
      </c>
      <c r="H163" s="65">
        <f>COUNTIFS('Error Log'!$A:$A,$A163,'Error Log'!$F:$F,"Source")</f>
        <v>0</v>
      </c>
      <c r="I163" s="65">
        <f>COUNTIFS('Error Log'!$A:$A,$A163,'Error Log'!$F:$F,"Target")</f>
        <v>0</v>
      </c>
      <c r="J163" s="66">
        <f t="shared" si="2"/>
        <v>0</v>
      </c>
    </row>
    <row r="164" spans="1:10">
      <c r="A164" s="76"/>
      <c r="B164" s="65" t="str">
        <f>IF(ISBLANK(A164),"",INDEX('Error Log'!$A:$J,MATCH('Scores per segment'!$A164,'Error Log'!$A:$A,0),MATCH('Scores per segment'!B$1,'Error Log'!$A$1:$J$1,0)))</f>
        <v/>
      </c>
      <c r="C164" s="65" t="str">
        <f>IF(ISBLANK(A164),"",INDEX('Error Log'!$A:$J,MATCH('Scores per segment'!$A164,'Error Log'!$A:$A,0),MATCH('Scores per segment'!C$1,'Error Log'!$A$1:$J$1,0)))</f>
        <v/>
      </c>
      <c r="D164" s="65">
        <f>IF(H164=0,wdct(TRIM(C164)),0)</f>
        <v>0</v>
      </c>
      <c r="E164" s="65">
        <f>COUNTIFS('Error Log'!$A:$A,$A164,'Error Log'!$J:$J,E$1)</f>
        <v>0</v>
      </c>
      <c r="F164" s="65">
        <f>COUNTIFS('Error Log'!$A:$A,$A164,'Error Log'!$J:$J,F$1)</f>
        <v>0</v>
      </c>
      <c r="G164" s="65">
        <f>COUNTIFS('Error Log'!$A:$A,$A164,'Error Log'!$J:$J,G$1)</f>
        <v>0</v>
      </c>
      <c r="H164" s="65">
        <f>COUNTIFS('Error Log'!$A:$A,$A164,'Error Log'!$F:$F,"Source")</f>
        <v>0</v>
      </c>
      <c r="I164" s="65">
        <f>COUNTIFS('Error Log'!$A:$A,$A164,'Error Log'!$F:$F,"Target")</f>
        <v>0</v>
      </c>
      <c r="J164" s="66">
        <f t="shared" si="2"/>
        <v>0</v>
      </c>
    </row>
    <row r="165" spans="1:10">
      <c r="A165" s="76"/>
      <c r="B165" s="65" t="str">
        <f>IF(ISBLANK(A165),"",INDEX('Error Log'!$A:$J,MATCH('Scores per segment'!$A165,'Error Log'!$A:$A,0),MATCH('Scores per segment'!B$1,'Error Log'!$A$1:$J$1,0)))</f>
        <v/>
      </c>
      <c r="C165" s="65" t="str">
        <f>IF(ISBLANK(A165),"",INDEX('Error Log'!$A:$J,MATCH('Scores per segment'!$A165,'Error Log'!$A:$A,0),MATCH('Scores per segment'!C$1,'Error Log'!$A$1:$J$1,0)))</f>
        <v/>
      </c>
      <c r="D165" s="65">
        <f>IF(H165=0,wdct(TRIM(C165)),0)</f>
        <v>0</v>
      </c>
      <c r="E165" s="65">
        <f>COUNTIFS('Error Log'!$A:$A,$A165,'Error Log'!$J:$J,E$1)</f>
        <v>0</v>
      </c>
      <c r="F165" s="65">
        <f>COUNTIFS('Error Log'!$A:$A,$A165,'Error Log'!$J:$J,F$1)</f>
        <v>0</v>
      </c>
      <c r="G165" s="65">
        <f>COUNTIFS('Error Log'!$A:$A,$A165,'Error Log'!$J:$J,G$1)</f>
        <v>0</v>
      </c>
      <c r="H165" s="65">
        <f>COUNTIFS('Error Log'!$A:$A,$A165,'Error Log'!$F:$F,"Source")</f>
        <v>0</v>
      </c>
      <c r="I165" s="65">
        <f>COUNTIFS('Error Log'!$A:$A,$A165,'Error Log'!$F:$F,"Target")</f>
        <v>0</v>
      </c>
      <c r="J165" s="66">
        <f t="shared" si="2"/>
        <v>0</v>
      </c>
    </row>
    <row r="166" spans="1:10">
      <c r="A166" s="76"/>
      <c r="B166" s="65" t="str">
        <f>IF(ISBLANK(A166),"",INDEX('Error Log'!$A:$J,MATCH('Scores per segment'!$A166,'Error Log'!$A:$A,0),MATCH('Scores per segment'!B$1,'Error Log'!$A$1:$J$1,0)))</f>
        <v/>
      </c>
      <c r="C166" s="65" t="str">
        <f>IF(ISBLANK(A166),"",INDEX('Error Log'!$A:$J,MATCH('Scores per segment'!$A166,'Error Log'!$A:$A,0),MATCH('Scores per segment'!C$1,'Error Log'!$A$1:$J$1,0)))</f>
        <v/>
      </c>
      <c r="D166" s="65">
        <f>IF(H166=0,wdct(TRIM(C166)),0)</f>
        <v>0</v>
      </c>
      <c r="E166" s="65">
        <f>COUNTIFS('Error Log'!$A:$A,$A166,'Error Log'!$J:$J,E$1)</f>
        <v>0</v>
      </c>
      <c r="F166" s="65">
        <f>COUNTIFS('Error Log'!$A:$A,$A166,'Error Log'!$J:$J,F$1)</f>
        <v>0</v>
      </c>
      <c r="G166" s="65">
        <f>COUNTIFS('Error Log'!$A:$A,$A166,'Error Log'!$J:$J,G$1)</f>
        <v>0</v>
      </c>
      <c r="H166" s="65">
        <f>COUNTIFS('Error Log'!$A:$A,$A166,'Error Log'!$F:$F,"Source")</f>
        <v>0</v>
      </c>
      <c r="I166" s="65">
        <f>COUNTIFS('Error Log'!$A:$A,$A166,'Error Log'!$F:$F,"Target")</f>
        <v>0</v>
      </c>
      <c r="J166" s="66">
        <f t="shared" si="2"/>
        <v>0</v>
      </c>
    </row>
    <row r="167" spans="1:10">
      <c r="A167" s="76"/>
      <c r="B167" s="65" t="str">
        <f>IF(ISBLANK(A167),"",INDEX('Error Log'!$A:$J,MATCH('Scores per segment'!$A167,'Error Log'!$A:$A,0),MATCH('Scores per segment'!B$1,'Error Log'!$A$1:$J$1,0)))</f>
        <v/>
      </c>
      <c r="C167" s="65" t="str">
        <f>IF(ISBLANK(A167),"",INDEX('Error Log'!$A:$J,MATCH('Scores per segment'!$A167,'Error Log'!$A:$A,0),MATCH('Scores per segment'!C$1,'Error Log'!$A$1:$J$1,0)))</f>
        <v/>
      </c>
      <c r="D167" s="65">
        <f>IF(H167=0,wdct(TRIM(C167)),0)</f>
        <v>0</v>
      </c>
      <c r="E167" s="65">
        <f>COUNTIFS('Error Log'!$A:$A,$A167,'Error Log'!$J:$J,E$1)</f>
        <v>0</v>
      </c>
      <c r="F167" s="65">
        <f>COUNTIFS('Error Log'!$A:$A,$A167,'Error Log'!$J:$J,F$1)</f>
        <v>0</v>
      </c>
      <c r="G167" s="65">
        <f>COUNTIFS('Error Log'!$A:$A,$A167,'Error Log'!$J:$J,G$1)</f>
        <v>0</v>
      </c>
      <c r="H167" s="65">
        <f>COUNTIFS('Error Log'!$A:$A,$A167,'Error Log'!$F:$F,"Source")</f>
        <v>0</v>
      </c>
      <c r="I167" s="65">
        <f>COUNTIFS('Error Log'!$A:$A,$A167,'Error Log'!$F:$F,"Target")</f>
        <v>0</v>
      </c>
      <c r="J167" s="66">
        <f t="shared" si="2"/>
        <v>0</v>
      </c>
    </row>
    <row r="168" spans="1:10">
      <c r="A168" s="76"/>
      <c r="B168" s="65" t="str">
        <f>IF(ISBLANK(A168),"",INDEX('Error Log'!$A:$J,MATCH('Scores per segment'!$A168,'Error Log'!$A:$A,0),MATCH('Scores per segment'!B$1,'Error Log'!$A$1:$J$1,0)))</f>
        <v/>
      </c>
      <c r="C168" s="65" t="str">
        <f>IF(ISBLANK(A168),"",INDEX('Error Log'!$A:$J,MATCH('Scores per segment'!$A168,'Error Log'!$A:$A,0),MATCH('Scores per segment'!C$1,'Error Log'!$A$1:$J$1,0)))</f>
        <v/>
      </c>
      <c r="D168" s="65">
        <f>IF(H168=0,wdct(TRIM(C168)),0)</f>
        <v>0</v>
      </c>
      <c r="E168" s="65">
        <f>COUNTIFS('Error Log'!$A:$A,$A168,'Error Log'!$J:$J,E$1)</f>
        <v>0</v>
      </c>
      <c r="F168" s="65">
        <f>COUNTIFS('Error Log'!$A:$A,$A168,'Error Log'!$J:$J,F$1)</f>
        <v>0</v>
      </c>
      <c r="G168" s="65">
        <f>COUNTIFS('Error Log'!$A:$A,$A168,'Error Log'!$J:$J,G$1)</f>
        <v>0</v>
      </c>
      <c r="H168" s="65">
        <f>COUNTIFS('Error Log'!$A:$A,$A168,'Error Log'!$F:$F,"Source")</f>
        <v>0</v>
      </c>
      <c r="I168" s="65">
        <f>COUNTIFS('Error Log'!$A:$A,$A168,'Error Log'!$F:$F,"Target")</f>
        <v>0</v>
      </c>
      <c r="J168" s="66">
        <f t="shared" si="2"/>
        <v>0</v>
      </c>
    </row>
    <row r="169" spans="1:10">
      <c r="A169" s="76"/>
      <c r="B169" s="65" t="str">
        <f>IF(ISBLANK(A169),"",INDEX('Error Log'!$A:$J,MATCH('Scores per segment'!$A169,'Error Log'!$A:$A,0),MATCH('Scores per segment'!B$1,'Error Log'!$A$1:$J$1,0)))</f>
        <v/>
      </c>
      <c r="C169" s="65" t="str">
        <f>IF(ISBLANK(A169),"",INDEX('Error Log'!$A:$J,MATCH('Scores per segment'!$A169,'Error Log'!$A:$A,0),MATCH('Scores per segment'!C$1,'Error Log'!$A$1:$J$1,0)))</f>
        <v/>
      </c>
      <c r="D169" s="65">
        <f>IF(H169=0,wdct(TRIM(C169)),0)</f>
        <v>0</v>
      </c>
      <c r="E169" s="65">
        <f>COUNTIFS('Error Log'!$A:$A,$A169,'Error Log'!$J:$J,E$1)</f>
        <v>0</v>
      </c>
      <c r="F169" s="65">
        <f>COUNTIFS('Error Log'!$A:$A,$A169,'Error Log'!$J:$J,F$1)</f>
        <v>0</v>
      </c>
      <c r="G169" s="65">
        <f>COUNTIFS('Error Log'!$A:$A,$A169,'Error Log'!$J:$J,G$1)</f>
        <v>0</v>
      </c>
      <c r="H169" s="65">
        <f>COUNTIFS('Error Log'!$A:$A,$A169,'Error Log'!$F:$F,"Source")</f>
        <v>0</v>
      </c>
      <c r="I169" s="65">
        <f>COUNTIFS('Error Log'!$A:$A,$A169,'Error Log'!$F:$F,"Target")</f>
        <v>0</v>
      </c>
      <c r="J169" s="66">
        <f t="shared" si="2"/>
        <v>0</v>
      </c>
    </row>
    <row r="170" spans="1:10">
      <c r="A170" s="76"/>
      <c r="B170" s="65" t="str">
        <f>IF(ISBLANK(A170),"",INDEX('Error Log'!$A:$J,MATCH('Scores per segment'!$A170,'Error Log'!$A:$A,0),MATCH('Scores per segment'!B$1,'Error Log'!$A$1:$J$1,0)))</f>
        <v/>
      </c>
      <c r="C170" s="65" t="str">
        <f>IF(ISBLANK(A170),"",INDEX('Error Log'!$A:$J,MATCH('Scores per segment'!$A170,'Error Log'!$A:$A,0),MATCH('Scores per segment'!C$1,'Error Log'!$A$1:$J$1,0)))</f>
        <v/>
      </c>
      <c r="D170" s="65">
        <f>IF(H170=0,wdct(TRIM(C170)),0)</f>
        <v>0</v>
      </c>
      <c r="E170" s="65">
        <f>COUNTIFS('Error Log'!$A:$A,$A170,'Error Log'!$J:$J,E$1)</f>
        <v>0</v>
      </c>
      <c r="F170" s="65">
        <f>COUNTIFS('Error Log'!$A:$A,$A170,'Error Log'!$J:$J,F$1)</f>
        <v>0</v>
      </c>
      <c r="G170" s="65">
        <f>COUNTIFS('Error Log'!$A:$A,$A170,'Error Log'!$J:$J,G$1)</f>
        <v>0</v>
      </c>
      <c r="H170" s="65">
        <f>COUNTIFS('Error Log'!$A:$A,$A170,'Error Log'!$F:$F,"Source")</f>
        <v>0</v>
      </c>
      <c r="I170" s="65">
        <f>COUNTIFS('Error Log'!$A:$A,$A170,'Error Log'!$F:$F,"Target")</f>
        <v>0</v>
      </c>
      <c r="J170" s="66">
        <f t="shared" si="2"/>
        <v>0</v>
      </c>
    </row>
    <row r="171" spans="1:10">
      <c r="A171" s="76"/>
      <c r="B171" s="65" t="str">
        <f>IF(ISBLANK(A171),"",INDEX('Error Log'!$A:$J,MATCH('Scores per segment'!$A171,'Error Log'!$A:$A,0),MATCH('Scores per segment'!B$1,'Error Log'!$A$1:$J$1,0)))</f>
        <v/>
      </c>
      <c r="C171" s="65" t="str">
        <f>IF(ISBLANK(A171),"",INDEX('Error Log'!$A:$J,MATCH('Scores per segment'!$A171,'Error Log'!$A:$A,0),MATCH('Scores per segment'!C$1,'Error Log'!$A$1:$J$1,0)))</f>
        <v/>
      </c>
      <c r="D171" s="65">
        <f>IF(H171=0,wdct(TRIM(C171)),0)</f>
        <v>0</v>
      </c>
      <c r="E171" s="65">
        <f>COUNTIFS('Error Log'!$A:$A,$A171,'Error Log'!$J:$J,E$1)</f>
        <v>0</v>
      </c>
      <c r="F171" s="65">
        <f>COUNTIFS('Error Log'!$A:$A,$A171,'Error Log'!$J:$J,F$1)</f>
        <v>0</v>
      </c>
      <c r="G171" s="65">
        <f>COUNTIFS('Error Log'!$A:$A,$A171,'Error Log'!$J:$J,G$1)</f>
        <v>0</v>
      </c>
      <c r="H171" s="65">
        <f>COUNTIFS('Error Log'!$A:$A,$A171,'Error Log'!$F:$F,"Source")</f>
        <v>0</v>
      </c>
      <c r="I171" s="65">
        <f>COUNTIFS('Error Log'!$A:$A,$A171,'Error Log'!$F:$F,"Target")</f>
        <v>0</v>
      </c>
      <c r="J171" s="66">
        <f t="shared" si="2"/>
        <v>0</v>
      </c>
    </row>
    <row r="172" spans="1:10">
      <c r="A172" s="76"/>
      <c r="B172" s="65" t="str">
        <f>IF(ISBLANK(A172),"",INDEX('Error Log'!$A:$J,MATCH('Scores per segment'!$A172,'Error Log'!$A:$A,0),MATCH('Scores per segment'!B$1,'Error Log'!$A$1:$J$1,0)))</f>
        <v/>
      </c>
      <c r="C172" s="65" t="str">
        <f>IF(ISBLANK(A172),"",INDEX('Error Log'!$A:$J,MATCH('Scores per segment'!$A172,'Error Log'!$A:$A,0),MATCH('Scores per segment'!C$1,'Error Log'!$A$1:$J$1,0)))</f>
        <v/>
      </c>
      <c r="D172" s="65">
        <f>IF(H172=0,wdct(TRIM(C172)),0)</f>
        <v>0</v>
      </c>
      <c r="E172" s="65">
        <f>COUNTIFS('Error Log'!$A:$A,$A172,'Error Log'!$J:$J,E$1)</f>
        <v>0</v>
      </c>
      <c r="F172" s="65">
        <f>COUNTIFS('Error Log'!$A:$A,$A172,'Error Log'!$J:$J,F$1)</f>
        <v>0</v>
      </c>
      <c r="G172" s="65">
        <f>COUNTIFS('Error Log'!$A:$A,$A172,'Error Log'!$J:$J,G$1)</f>
        <v>0</v>
      </c>
      <c r="H172" s="65">
        <f>COUNTIFS('Error Log'!$A:$A,$A172,'Error Log'!$F:$F,"Source")</f>
        <v>0</v>
      </c>
      <c r="I172" s="65">
        <f>COUNTIFS('Error Log'!$A:$A,$A172,'Error Log'!$F:$F,"Target")</f>
        <v>0</v>
      </c>
      <c r="J172" s="66">
        <f t="shared" si="2"/>
        <v>0</v>
      </c>
    </row>
    <row r="173" spans="1:10">
      <c r="A173" s="76"/>
      <c r="B173" s="65" t="str">
        <f>IF(ISBLANK(A173),"",INDEX('Error Log'!$A:$J,MATCH('Scores per segment'!$A173,'Error Log'!$A:$A,0),MATCH('Scores per segment'!B$1,'Error Log'!$A$1:$J$1,0)))</f>
        <v/>
      </c>
      <c r="C173" s="65" t="str">
        <f>IF(ISBLANK(A173),"",INDEX('Error Log'!$A:$J,MATCH('Scores per segment'!$A173,'Error Log'!$A:$A,0),MATCH('Scores per segment'!C$1,'Error Log'!$A$1:$J$1,0)))</f>
        <v/>
      </c>
      <c r="D173" s="65">
        <f>IF(H173=0,wdct(TRIM(C173)),0)</f>
        <v>0</v>
      </c>
      <c r="E173" s="65">
        <f>COUNTIFS('Error Log'!$A:$A,$A173,'Error Log'!$J:$J,E$1)</f>
        <v>0</v>
      </c>
      <c r="F173" s="65">
        <f>COUNTIFS('Error Log'!$A:$A,$A173,'Error Log'!$J:$J,F$1)</f>
        <v>0</v>
      </c>
      <c r="G173" s="65">
        <f>COUNTIFS('Error Log'!$A:$A,$A173,'Error Log'!$J:$J,G$1)</f>
        <v>0</v>
      </c>
      <c r="H173" s="65">
        <f>COUNTIFS('Error Log'!$A:$A,$A173,'Error Log'!$F:$F,"Source")</f>
        <v>0</v>
      </c>
      <c r="I173" s="65">
        <f>COUNTIFS('Error Log'!$A:$A,$A173,'Error Log'!$F:$F,"Target")</f>
        <v>0</v>
      </c>
      <c r="J173" s="66">
        <f t="shared" si="2"/>
        <v>0</v>
      </c>
    </row>
    <row r="174" spans="1:10">
      <c r="A174" s="76"/>
      <c r="B174" s="65" t="str">
        <f>IF(ISBLANK(A174),"",INDEX('Error Log'!$A:$J,MATCH('Scores per segment'!$A174,'Error Log'!$A:$A,0),MATCH('Scores per segment'!B$1,'Error Log'!$A$1:$J$1,0)))</f>
        <v/>
      </c>
      <c r="C174" s="65" t="str">
        <f>IF(ISBLANK(A174),"",INDEX('Error Log'!$A:$J,MATCH('Scores per segment'!$A174,'Error Log'!$A:$A,0),MATCH('Scores per segment'!C$1,'Error Log'!$A$1:$J$1,0)))</f>
        <v/>
      </c>
      <c r="D174" s="65">
        <f>IF(H174=0,wdct(TRIM(C174)),0)</f>
        <v>0</v>
      </c>
      <c r="E174" s="65">
        <f>COUNTIFS('Error Log'!$A:$A,$A174,'Error Log'!$J:$J,E$1)</f>
        <v>0</v>
      </c>
      <c r="F174" s="65">
        <f>COUNTIFS('Error Log'!$A:$A,$A174,'Error Log'!$J:$J,F$1)</f>
        <v>0</v>
      </c>
      <c r="G174" s="65">
        <f>COUNTIFS('Error Log'!$A:$A,$A174,'Error Log'!$J:$J,G$1)</f>
        <v>0</v>
      </c>
      <c r="H174" s="65">
        <f>COUNTIFS('Error Log'!$A:$A,$A174,'Error Log'!$F:$F,"Source")</f>
        <v>0</v>
      </c>
      <c r="I174" s="65">
        <f>COUNTIFS('Error Log'!$A:$A,$A174,'Error Log'!$F:$F,"Target")</f>
        <v>0</v>
      </c>
      <c r="J174" s="66">
        <f t="shared" si="2"/>
        <v>0</v>
      </c>
    </row>
    <row r="175" spans="1:10">
      <c r="A175" s="76"/>
      <c r="B175" s="65" t="str">
        <f>IF(ISBLANK(A175),"",INDEX('Error Log'!$A:$J,MATCH('Scores per segment'!$A175,'Error Log'!$A:$A,0),MATCH('Scores per segment'!B$1,'Error Log'!$A$1:$J$1,0)))</f>
        <v/>
      </c>
      <c r="C175" s="65" t="str">
        <f>IF(ISBLANK(A175),"",INDEX('Error Log'!$A:$J,MATCH('Scores per segment'!$A175,'Error Log'!$A:$A,0),MATCH('Scores per segment'!C$1,'Error Log'!$A$1:$J$1,0)))</f>
        <v/>
      </c>
      <c r="D175" s="65">
        <f>IF(H175=0,wdct(TRIM(C175)),0)</f>
        <v>0</v>
      </c>
      <c r="E175" s="65">
        <f>COUNTIFS('Error Log'!$A:$A,$A175,'Error Log'!$J:$J,E$1)</f>
        <v>0</v>
      </c>
      <c r="F175" s="65">
        <f>COUNTIFS('Error Log'!$A:$A,$A175,'Error Log'!$J:$J,F$1)</f>
        <v>0</v>
      </c>
      <c r="G175" s="65">
        <f>COUNTIFS('Error Log'!$A:$A,$A175,'Error Log'!$J:$J,G$1)</f>
        <v>0</v>
      </c>
      <c r="H175" s="65">
        <f>COUNTIFS('Error Log'!$A:$A,$A175,'Error Log'!$F:$F,"Source")</f>
        <v>0</v>
      </c>
      <c r="I175" s="65">
        <f>COUNTIFS('Error Log'!$A:$A,$A175,'Error Log'!$F:$F,"Target")</f>
        <v>0</v>
      </c>
      <c r="J175" s="66">
        <f t="shared" si="2"/>
        <v>0</v>
      </c>
    </row>
    <row r="176" spans="1:10">
      <c r="A176" s="76"/>
      <c r="B176" s="65" t="str">
        <f>IF(ISBLANK(A176),"",INDEX('Error Log'!$A:$J,MATCH('Scores per segment'!$A176,'Error Log'!$A:$A,0),MATCH('Scores per segment'!B$1,'Error Log'!$A$1:$J$1,0)))</f>
        <v/>
      </c>
      <c r="C176" s="65" t="str">
        <f>IF(ISBLANK(A176),"",INDEX('Error Log'!$A:$J,MATCH('Scores per segment'!$A176,'Error Log'!$A:$A,0),MATCH('Scores per segment'!C$1,'Error Log'!$A$1:$J$1,0)))</f>
        <v/>
      </c>
      <c r="D176" s="65">
        <f>IF(H176=0,wdct(TRIM(C176)),0)</f>
        <v>0</v>
      </c>
      <c r="E176" s="65">
        <f>COUNTIFS('Error Log'!$A:$A,$A176,'Error Log'!$J:$J,E$1)</f>
        <v>0</v>
      </c>
      <c r="F176" s="65">
        <f>COUNTIFS('Error Log'!$A:$A,$A176,'Error Log'!$J:$J,F$1)</f>
        <v>0</v>
      </c>
      <c r="G176" s="65">
        <f>COUNTIFS('Error Log'!$A:$A,$A176,'Error Log'!$J:$J,G$1)</f>
        <v>0</v>
      </c>
      <c r="H176" s="65">
        <f>COUNTIFS('Error Log'!$A:$A,$A176,'Error Log'!$F:$F,"Source")</f>
        <v>0</v>
      </c>
      <c r="I176" s="65">
        <f>COUNTIFS('Error Log'!$A:$A,$A176,'Error Log'!$F:$F,"Target")</f>
        <v>0</v>
      </c>
      <c r="J176" s="66">
        <f t="shared" si="2"/>
        <v>0</v>
      </c>
    </row>
    <row r="177" spans="1:10">
      <c r="A177" s="76"/>
      <c r="B177" s="65" t="str">
        <f>IF(ISBLANK(A177),"",INDEX('Error Log'!$A:$J,MATCH('Scores per segment'!$A177,'Error Log'!$A:$A,0),MATCH('Scores per segment'!B$1,'Error Log'!$A$1:$J$1,0)))</f>
        <v/>
      </c>
      <c r="C177" s="65" t="str">
        <f>IF(ISBLANK(A177),"",INDEX('Error Log'!$A:$J,MATCH('Scores per segment'!$A177,'Error Log'!$A:$A,0),MATCH('Scores per segment'!C$1,'Error Log'!$A$1:$J$1,0)))</f>
        <v/>
      </c>
      <c r="D177" s="65">
        <f>IF(H177=0,wdct(TRIM(C177)),0)</f>
        <v>0</v>
      </c>
      <c r="E177" s="65">
        <f>COUNTIFS('Error Log'!$A:$A,$A177,'Error Log'!$J:$J,E$1)</f>
        <v>0</v>
      </c>
      <c r="F177" s="65">
        <f>COUNTIFS('Error Log'!$A:$A,$A177,'Error Log'!$J:$J,F$1)</f>
        <v>0</v>
      </c>
      <c r="G177" s="65">
        <f>COUNTIFS('Error Log'!$A:$A,$A177,'Error Log'!$J:$J,G$1)</f>
        <v>0</v>
      </c>
      <c r="H177" s="65">
        <f>COUNTIFS('Error Log'!$A:$A,$A177,'Error Log'!$F:$F,"Source")</f>
        <v>0</v>
      </c>
      <c r="I177" s="65">
        <f>COUNTIFS('Error Log'!$A:$A,$A177,'Error Log'!$F:$F,"Target")</f>
        <v>0</v>
      </c>
      <c r="J177" s="66">
        <f t="shared" si="2"/>
        <v>0</v>
      </c>
    </row>
    <row r="178" spans="1:10">
      <c r="A178" s="76"/>
      <c r="B178" s="65" t="str">
        <f>IF(ISBLANK(A178),"",INDEX('Error Log'!$A:$J,MATCH('Scores per segment'!$A178,'Error Log'!$A:$A,0),MATCH('Scores per segment'!B$1,'Error Log'!$A$1:$J$1,0)))</f>
        <v/>
      </c>
      <c r="C178" s="65" t="str">
        <f>IF(ISBLANK(A178),"",INDEX('Error Log'!$A:$J,MATCH('Scores per segment'!$A178,'Error Log'!$A:$A,0),MATCH('Scores per segment'!C$1,'Error Log'!$A$1:$J$1,0)))</f>
        <v/>
      </c>
      <c r="D178" s="65">
        <f>IF(H178=0,wdct(TRIM(C178)),0)</f>
        <v>0</v>
      </c>
      <c r="E178" s="65">
        <f>COUNTIFS('Error Log'!$A:$A,$A178,'Error Log'!$J:$J,E$1)</f>
        <v>0</v>
      </c>
      <c r="F178" s="65">
        <f>COUNTIFS('Error Log'!$A:$A,$A178,'Error Log'!$J:$J,F$1)</f>
        <v>0</v>
      </c>
      <c r="G178" s="65">
        <f>COUNTIFS('Error Log'!$A:$A,$A178,'Error Log'!$J:$J,G$1)</f>
        <v>0</v>
      </c>
      <c r="H178" s="65">
        <f>COUNTIFS('Error Log'!$A:$A,$A178,'Error Log'!$F:$F,"Source")</f>
        <v>0</v>
      </c>
      <c r="I178" s="65">
        <f>COUNTIFS('Error Log'!$A:$A,$A178,'Error Log'!$F:$F,"Target")</f>
        <v>0</v>
      </c>
      <c r="J178" s="66">
        <f t="shared" si="2"/>
        <v>0</v>
      </c>
    </row>
    <row r="179" spans="1:10">
      <c r="A179" s="76"/>
      <c r="B179" s="65" t="str">
        <f>IF(ISBLANK(A179),"",INDEX('Error Log'!$A:$J,MATCH('Scores per segment'!$A179,'Error Log'!$A:$A,0),MATCH('Scores per segment'!B$1,'Error Log'!$A$1:$J$1,0)))</f>
        <v/>
      </c>
      <c r="C179" s="65" t="str">
        <f>IF(ISBLANK(A179),"",INDEX('Error Log'!$A:$J,MATCH('Scores per segment'!$A179,'Error Log'!$A:$A,0),MATCH('Scores per segment'!C$1,'Error Log'!$A$1:$J$1,0)))</f>
        <v/>
      </c>
      <c r="D179" s="65">
        <f>IF(H179=0,wdct(TRIM(C179)),0)</f>
        <v>0</v>
      </c>
      <c r="E179" s="65">
        <f>COUNTIFS('Error Log'!$A:$A,$A179,'Error Log'!$J:$J,E$1)</f>
        <v>0</v>
      </c>
      <c r="F179" s="65">
        <f>COUNTIFS('Error Log'!$A:$A,$A179,'Error Log'!$J:$J,F$1)</f>
        <v>0</v>
      </c>
      <c r="G179" s="65">
        <f>COUNTIFS('Error Log'!$A:$A,$A179,'Error Log'!$J:$J,G$1)</f>
        <v>0</v>
      </c>
      <c r="H179" s="65">
        <f>COUNTIFS('Error Log'!$A:$A,$A179,'Error Log'!$F:$F,"Source")</f>
        <v>0</v>
      </c>
      <c r="I179" s="65">
        <f>COUNTIFS('Error Log'!$A:$A,$A179,'Error Log'!$F:$F,"Target")</f>
        <v>0</v>
      </c>
      <c r="J179" s="66">
        <f t="shared" si="2"/>
        <v>0</v>
      </c>
    </row>
    <row r="180" spans="1:10">
      <c r="A180" s="76"/>
      <c r="B180" s="65" t="str">
        <f>IF(ISBLANK(A180),"",INDEX('Error Log'!$A:$J,MATCH('Scores per segment'!$A180,'Error Log'!$A:$A,0),MATCH('Scores per segment'!B$1,'Error Log'!$A$1:$J$1,0)))</f>
        <v/>
      </c>
      <c r="C180" s="65" t="str">
        <f>IF(ISBLANK(A180),"",INDEX('Error Log'!$A:$J,MATCH('Scores per segment'!$A180,'Error Log'!$A:$A,0),MATCH('Scores per segment'!C$1,'Error Log'!$A$1:$J$1,0)))</f>
        <v/>
      </c>
      <c r="D180" s="65">
        <f>IF(H180=0,wdct(TRIM(C180)),0)</f>
        <v>0</v>
      </c>
      <c r="E180" s="65">
        <f>COUNTIFS('Error Log'!$A:$A,$A180,'Error Log'!$J:$J,E$1)</f>
        <v>0</v>
      </c>
      <c r="F180" s="65">
        <f>COUNTIFS('Error Log'!$A:$A,$A180,'Error Log'!$J:$J,F$1)</f>
        <v>0</v>
      </c>
      <c r="G180" s="65">
        <f>COUNTIFS('Error Log'!$A:$A,$A180,'Error Log'!$J:$J,G$1)</f>
        <v>0</v>
      </c>
      <c r="H180" s="65">
        <f>COUNTIFS('Error Log'!$A:$A,$A180,'Error Log'!$F:$F,"Source")</f>
        <v>0</v>
      </c>
      <c r="I180" s="65">
        <f>COUNTIFS('Error Log'!$A:$A,$A180,'Error Log'!$F:$F,"Target")</f>
        <v>0</v>
      </c>
      <c r="J180" s="66">
        <f t="shared" si="2"/>
        <v>0</v>
      </c>
    </row>
    <row r="181" spans="1:10">
      <c r="A181" s="76"/>
      <c r="B181" s="65" t="str">
        <f>IF(ISBLANK(A181),"",INDEX('Error Log'!$A:$J,MATCH('Scores per segment'!$A181,'Error Log'!$A:$A,0),MATCH('Scores per segment'!B$1,'Error Log'!$A$1:$J$1,0)))</f>
        <v/>
      </c>
      <c r="C181" s="65" t="str">
        <f>IF(ISBLANK(A181),"",INDEX('Error Log'!$A:$J,MATCH('Scores per segment'!$A181,'Error Log'!$A:$A,0),MATCH('Scores per segment'!C$1,'Error Log'!$A$1:$J$1,0)))</f>
        <v/>
      </c>
      <c r="D181" s="65">
        <f>IF(H181=0,wdct(TRIM(C181)),0)</f>
        <v>0</v>
      </c>
      <c r="E181" s="65">
        <f>COUNTIFS('Error Log'!$A:$A,$A181,'Error Log'!$J:$J,E$1)</f>
        <v>0</v>
      </c>
      <c r="F181" s="65">
        <f>COUNTIFS('Error Log'!$A:$A,$A181,'Error Log'!$J:$J,F$1)</f>
        <v>0</v>
      </c>
      <c r="G181" s="65">
        <f>COUNTIFS('Error Log'!$A:$A,$A181,'Error Log'!$J:$J,G$1)</f>
        <v>0</v>
      </c>
      <c r="H181" s="65">
        <f>COUNTIFS('Error Log'!$A:$A,$A181,'Error Log'!$F:$F,"Source")</f>
        <v>0</v>
      </c>
      <c r="I181" s="65">
        <f>COUNTIFS('Error Log'!$A:$A,$A181,'Error Log'!$F:$F,"Target")</f>
        <v>0</v>
      </c>
      <c r="J181" s="66">
        <f t="shared" si="2"/>
        <v>0</v>
      </c>
    </row>
    <row r="182" spans="1:10">
      <c r="A182" s="76"/>
      <c r="B182" s="65" t="str">
        <f>IF(ISBLANK(A182),"",INDEX('Error Log'!$A:$J,MATCH('Scores per segment'!$A182,'Error Log'!$A:$A,0),MATCH('Scores per segment'!B$1,'Error Log'!$A$1:$J$1,0)))</f>
        <v/>
      </c>
      <c r="C182" s="65" t="str">
        <f>IF(ISBLANK(A182),"",INDEX('Error Log'!$A:$J,MATCH('Scores per segment'!$A182,'Error Log'!$A:$A,0),MATCH('Scores per segment'!C$1,'Error Log'!$A$1:$J$1,0)))</f>
        <v/>
      </c>
      <c r="D182" s="65">
        <f>IF(H182=0,wdct(TRIM(C182)),0)</f>
        <v>0</v>
      </c>
      <c r="E182" s="65">
        <f>COUNTIFS('Error Log'!$A:$A,$A182,'Error Log'!$J:$J,E$1)</f>
        <v>0</v>
      </c>
      <c r="F182" s="65">
        <f>COUNTIFS('Error Log'!$A:$A,$A182,'Error Log'!$J:$J,F$1)</f>
        <v>0</v>
      </c>
      <c r="G182" s="65">
        <f>COUNTIFS('Error Log'!$A:$A,$A182,'Error Log'!$J:$J,G$1)</f>
        <v>0</v>
      </c>
      <c r="H182" s="65">
        <f>COUNTIFS('Error Log'!$A:$A,$A182,'Error Log'!$F:$F,"Source")</f>
        <v>0</v>
      </c>
      <c r="I182" s="65">
        <f>COUNTIFS('Error Log'!$A:$A,$A182,'Error Log'!$F:$F,"Target")</f>
        <v>0</v>
      </c>
      <c r="J182" s="66">
        <f t="shared" si="2"/>
        <v>0</v>
      </c>
    </row>
    <row r="183" spans="1:10">
      <c r="A183" s="76"/>
      <c r="B183" s="65" t="str">
        <f>IF(ISBLANK(A183),"",INDEX('Error Log'!$A:$J,MATCH('Scores per segment'!$A183,'Error Log'!$A:$A,0),MATCH('Scores per segment'!B$1,'Error Log'!$A$1:$J$1,0)))</f>
        <v/>
      </c>
      <c r="C183" s="65" t="str">
        <f>IF(ISBLANK(A183),"",INDEX('Error Log'!$A:$J,MATCH('Scores per segment'!$A183,'Error Log'!$A:$A,0),MATCH('Scores per segment'!C$1,'Error Log'!$A$1:$J$1,0)))</f>
        <v/>
      </c>
      <c r="D183" s="65">
        <f>IF(H183=0,wdct(TRIM(C183)),0)</f>
        <v>0</v>
      </c>
      <c r="E183" s="65">
        <f>COUNTIFS('Error Log'!$A:$A,$A183,'Error Log'!$J:$J,E$1)</f>
        <v>0</v>
      </c>
      <c r="F183" s="65">
        <f>COUNTIFS('Error Log'!$A:$A,$A183,'Error Log'!$J:$J,F$1)</f>
        <v>0</v>
      </c>
      <c r="G183" s="65">
        <f>COUNTIFS('Error Log'!$A:$A,$A183,'Error Log'!$J:$J,G$1)</f>
        <v>0</v>
      </c>
      <c r="H183" s="65">
        <f>COUNTIFS('Error Log'!$A:$A,$A183,'Error Log'!$F:$F,"Source")</f>
        <v>0</v>
      </c>
      <c r="I183" s="65">
        <f>COUNTIFS('Error Log'!$A:$A,$A183,'Error Log'!$F:$F,"Target")</f>
        <v>0</v>
      </c>
      <c r="J183" s="66">
        <f t="shared" si="2"/>
        <v>0</v>
      </c>
    </row>
    <row r="184" spans="1:10">
      <c r="A184" s="76"/>
      <c r="B184" s="65" t="str">
        <f>IF(ISBLANK(A184),"",INDEX('Error Log'!$A:$J,MATCH('Scores per segment'!$A184,'Error Log'!$A:$A,0),MATCH('Scores per segment'!B$1,'Error Log'!$A$1:$J$1,0)))</f>
        <v/>
      </c>
      <c r="C184" s="65" t="str">
        <f>IF(ISBLANK(A184),"",INDEX('Error Log'!$A:$J,MATCH('Scores per segment'!$A184,'Error Log'!$A:$A,0),MATCH('Scores per segment'!C$1,'Error Log'!$A$1:$J$1,0)))</f>
        <v/>
      </c>
      <c r="D184" s="65">
        <f>IF(H184=0,wdct(TRIM(C184)),0)</f>
        <v>0</v>
      </c>
      <c r="E184" s="65">
        <f>COUNTIFS('Error Log'!$A:$A,$A184,'Error Log'!$J:$J,E$1)</f>
        <v>0</v>
      </c>
      <c r="F184" s="65">
        <f>COUNTIFS('Error Log'!$A:$A,$A184,'Error Log'!$J:$J,F$1)</f>
        <v>0</v>
      </c>
      <c r="G184" s="65">
        <f>COUNTIFS('Error Log'!$A:$A,$A184,'Error Log'!$J:$J,G$1)</f>
        <v>0</v>
      </c>
      <c r="H184" s="65">
        <f>COUNTIFS('Error Log'!$A:$A,$A184,'Error Log'!$F:$F,"Source")</f>
        <v>0</v>
      </c>
      <c r="I184" s="65">
        <f>COUNTIFS('Error Log'!$A:$A,$A184,'Error Log'!$F:$F,"Target")</f>
        <v>0</v>
      </c>
      <c r="J184" s="66">
        <f t="shared" si="2"/>
        <v>0</v>
      </c>
    </row>
    <row r="185" spans="1:10">
      <c r="A185" s="76"/>
      <c r="B185" s="65" t="str">
        <f>IF(ISBLANK(A185),"",INDEX('Error Log'!$A:$J,MATCH('Scores per segment'!$A185,'Error Log'!$A:$A,0),MATCH('Scores per segment'!B$1,'Error Log'!$A$1:$J$1,0)))</f>
        <v/>
      </c>
      <c r="C185" s="65" t="str">
        <f>IF(ISBLANK(A185),"",INDEX('Error Log'!$A:$J,MATCH('Scores per segment'!$A185,'Error Log'!$A:$A,0),MATCH('Scores per segment'!C$1,'Error Log'!$A$1:$J$1,0)))</f>
        <v/>
      </c>
      <c r="D185" s="65">
        <f>IF(H185=0,wdct(TRIM(C185)),0)</f>
        <v>0</v>
      </c>
      <c r="E185" s="65">
        <f>COUNTIFS('Error Log'!$A:$A,$A185,'Error Log'!$J:$J,E$1)</f>
        <v>0</v>
      </c>
      <c r="F185" s="65">
        <f>COUNTIFS('Error Log'!$A:$A,$A185,'Error Log'!$J:$J,F$1)</f>
        <v>0</v>
      </c>
      <c r="G185" s="65">
        <f>COUNTIFS('Error Log'!$A:$A,$A185,'Error Log'!$J:$J,G$1)</f>
        <v>0</v>
      </c>
      <c r="H185" s="65">
        <f>COUNTIFS('Error Log'!$A:$A,$A185,'Error Log'!$F:$F,"Source")</f>
        <v>0</v>
      </c>
      <c r="I185" s="65">
        <f>COUNTIFS('Error Log'!$A:$A,$A185,'Error Log'!$F:$F,"Target")</f>
        <v>0</v>
      </c>
      <c r="J185" s="66">
        <f t="shared" si="2"/>
        <v>0</v>
      </c>
    </row>
    <row r="186" spans="1:10">
      <c r="A186" s="76"/>
      <c r="B186" s="65" t="str">
        <f>IF(ISBLANK(A186),"",INDEX('Error Log'!$A:$J,MATCH('Scores per segment'!$A186,'Error Log'!$A:$A,0),MATCH('Scores per segment'!B$1,'Error Log'!$A$1:$J$1,0)))</f>
        <v/>
      </c>
      <c r="C186" s="65" t="str">
        <f>IF(ISBLANK(A186),"",INDEX('Error Log'!$A:$J,MATCH('Scores per segment'!$A186,'Error Log'!$A:$A,0),MATCH('Scores per segment'!C$1,'Error Log'!$A$1:$J$1,0)))</f>
        <v/>
      </c>
      <c r="D186" s="65">
        <f>IF(H186=0,wdct(TRIM(C186)),0)</f>
        <v>0</v>
      </c>
      <c r="E186" s="65">
        <f>COUNTIFS('Error Log'!$A:$A,$A186,'Error Log'!$J:$J,E$1)</f>
        <v>0</v>
      </c>
      <c r="F186" s="65">
        <f>COUNTIFS('Error Log'!$A:$A,$A186,'Error Log'!$J:$J,F$1)</f>
        <v>0</v>
      </c>
      <c r="G186" s="65">
        <f>COUNTIFS('Error Log'!$A:$A,$A186,'Error Log'!$J:$J,G$1)</f>
        <v>0</v>
      </c>
      <c r="H186" s="65">
        <f>COUNTIFS('Error Log'!$A:$A,$A186,'Error Log'!$F:$F,"Source")</f>
        <v>0</v>
      </c>
      <c r="I186" s="65">
        <f>COUNTIFS('Error Log'!$A:$A,$A186,'Error Log'!$F:$F,"Target")</f>
        <v>0</v>
      </c>
      <c r="J186" s="66">
        <f t="shared" si="2"/>
        <v>0</v>
      </c>
    </row>
    <row r="187" spans="1:10">
      <c r="A187" s="76"/>
      <c r="B187" s="65" t="str">
        <f>IF(ISBLANK(A187),"",INDEX('Error Log'!$A:$J,MATCH('Scores per segment'!$A187,'Error Log'!$A:$A,0),MATCH('Scores per segment'!B$1,'Error Log'!$A$1:$J$1,0)))</f>
        <v/>
      </c>
      <c r="C187" s="65" t="str">
        <f>IF(ISBLANK(A187),"",INDEX('Error Log'!$A:$J,MATCH('Scores per segment'!$A187,'Error Log'!$A:$A,0),MATCH('Scores per segment'!C$1,'Error Log'!$A$1:$J$1,0)))</f>
        <v/>
      </c>
      <c r="D187" s="65">
        <f>IF(H187=0,wdct(TRIM(C187)),0)</f>
        <v>0</v>
      </c>
      <c r="E187" s="65">
        <f>COUNTIFS('Error Log'!$A:$A,$A187,'Error Log'!$J:$J,E$1)</f>
        <v>0</v>
      </c>
      <c r="F187" s="65">
        <f>COUNTIFS('Error Log'!$A:$A,$A187,'Error Log'!$J:$J,F$1)</f>
        <v>0</v>
      </c>
      <c r="G187" s="65">
        <f>COUNTIFS('Error Log'!$A:$A,$A187,'Error Log'!$J:$J,G$1)</f>
        <v>0</v>
      </c>
      <c r="H187" s="65">
        <f>COUNTIFS('Error Log'!$A:$A,$A187,'Error Log'!$F:$F,"Source")</f>
        <v>0</v>
      </c>
      <c r="I187" s="65">
        <f>COUNTIFS('Error Log'!$A:$A,$A187,'Error Log'!$F:$F,"Target")</f>
        <v>0</v>
      </c>
      <c r="J187" s="66">
        <f t="shared" si="2"/>
        <v>0</v>
      </c>
    </row>
    <row r="188" spans="1:10">
      <c r="A188" s="76"/>
      <c r="B188" s="65" t="str">
        <f>IF(ISBLANK(A188),"",INDEX('Error Log'!$A:$J,MATCH('Scores per segment'!$A188,'Error Log'!$A:$A,0),MATCH('Scores per segment'!B$1,'Error Log'!$A$1:$J$1,0)))</f>
        <v/>
      </c>
      <c r="C188" s="65" t="str">
        <f>IF(ISBLANK(A188),"",INDEX('Error Log'!$A:$J,MATCH('Scores per segment'!$A188,'Error Log'!$A:$A,0),MATCH('Scores per segment'!C$1,'Error Log'!$A$1:$J$1,0)))</f>
        <v/>
      </c>
      <c r="D188" s="65">
        <f>IF(H188=0,wdct(TRIM(C188)),0)</f>
        <v>0</v>
      </c>
      <c r="E188" s="65">
        <f>COUNTIFS('Error Log'!$A:$A,$A188,'Error Log'!$J:$J,E$1)</f>
        <v>0</v>
      </c>
      <c r="F188" s="65">
        <f>COUNTIFS('Error Log'!$A:$A,$A188,'Error Log'!$J:$J,F$1)</f>
        <v>0</v>
      </c>
      <c r="G188" s="65">
        <f>COUNTIFS('Error Log'!$A:$A,$A188,'Error Log'!$J:$J,G$1)</f>
        <v>0</v>
      </c>
      <c r="H188" s="65">
        <f>COUNTIFS('Error Log'!$A:$A,$A188,'Error Log'!$F:$F,"Source")</f>
        <v>0</v>
      </c>
      <c r="I188" s="65">
        <f>COUNTIFS('Error Log'!$A:$A,$A188,'Error Log'!$F:$F,"Target")</f>
        <v>0</v>
      </c>
      <c r="J188" s="66">
        <f t="shared" si="2"/>
        <v>0</v>
      </c>
    </row>
    <row r="189" spans="1:10">
      <c r="A189" s="76"/>
      <c r="B189" s="65" t="str">
        <f>IF(ISBLANK(A189),"",INDEX('Error Log'!$A:$J,MATCH('Scores per segment'!$A189,'Error Log'!$A:$A,0),MATCH('Scores per segment'!B$1,'Error Log'!$A$1:$J$1,0)))</f>
        <v/>
      </c>
      <c r="C189" s="65" t="str">
        <f>IF(ISBLANK(A189),"",INDEX('Error Log'!$A:$J,MATCH('Scores per segment'!$A189,'Error Log'!$A:$A,0),MATCH('Scores per segment'!C$1,'Error Log'!$A$1:$J$1,0)))</f>
        <v/>
      </c>
      <c r="D189" s="65">
        <f>IF(H189=0,wdct(TRIM(C189)),0)</f>
        <v>0</v>
      </c>
      <c r="E189" s="65">
        <f>COUNTIFS('Error Log'!$A:$A,$A189,'Error Log'!$J:$J,E$1)</f>
        <v>0</v>
      </c>
      <c r="F189" s="65">
        <f>COUNTIFS('Error Log'!$A:$A,$A189,'Error Log'!$J:$J,F$1)</f>
        <v>0</v>
      </c>
      <c r="G189" s="65">
        <f>COUNTIFS('Error Log'!$A:$A,$A189,'Error Log'!$J:$J,G$1)</f>
        <v>0</v>
      </c>
      <c r="H189" s="65">
        <f>COUNTIFS('Error Log'!$A:$A,$A189,'Error Log'!$F:$F,"Source")</f>
        <v>0</v>
      </c>
      <c r="I189" s="65">
        <f>COUNTIFS('Error Log'!$A:$A,$A189,'Error Log'!$F:$F,"Target")</f>
        <v>0</v>
      </c>
      <c r="J189" s="66">
        <f t="shared" si="2"/>
        <v>0</v>
      </c>
    </row>
    <row r="190" spans="1:10">
      <c r="A190" s="76"/>
      <c r="B190" s="65" t="str">
        <f>IF(ISBLANK(A190),"",INDEX('Error Log'!$A:$J,MATCH('Scores per segment'!$A190,'Error Log'!$A:$A,0),MATCH('Scores per segment'!B$1,'Error Log'!$A$1:$J$1,0)))</f>
        <v/>
      </c>
      <c r="C190" s="65" t="str">
        <f>IF(ISBLANK(A190),"",INDEX('Error Log'!$A:$J,MATCH('Scores per segment'!$A190,'Error Log'!$A:$A,0),MATCH('Scores per segment'!C$1,'Error Log'!$A$1:$J$1,0)))</f>
        <v/>
      </c>
      <c r="D190" s="65">
        <f>IF(H190=0,wdct(TRIM(C190)),0)</f>
        <v>0</v>
      </c>
      <c r="E190" s="65">
        <f>COUNTIFS('Error Log'!$A:$A,$A190,'Error Log'!$J:$J,E$1)</f>
        <v>0</v>
      </c>
      <c r="F190" s="65">
        <f>COUNTIFS('Error Log'!$A:$A,$A190,'Error Log'!$J:$J,F$1)</f>
        <v>0</v>
      </c>
      <c r="G190" s="65">
        <f>COUNTIFS('Error Log'!$A:$A,$A190,'Error Log'!$J:$J,G$1)</f>
        <v>0</v>
      </c>
      <c r="H190" s="65">
        <f>COUNTIFS('Error Log'!$A:$A,$A190,'Error Log'!$F:$F,"Source")</f>
        <v>0</v>
      </c>
      <c r="I190" s="65">
        <f>COUNTIFS('Error Log'!$A:$A,$A190,'Error Log'!$F:$F,"Target")</f>
        <v>0</v>
      </c>
      <c r="J190" s="66">
        <f t="shared" si="2"/>
        <v>0</v>
      </c>
    </row>
    <row r="191" spans="1:10">
      <c r="A191" s="76"/>
      <c r="B191" s="65" t="str">
        <f>IF(ISBLANK(A191),"",INDEX('Error Log'!$A:$J,MATCH('Scores per segment'!$A191,'Error Log'!$A:$A,0),MATCH('Scores per segment'!B$1,'Error Log'!$A$1:$J$1,0)))</f>
        <v/>
      </c>
      <c r="C191" s="65" t="str">
        <f>IF(ISBLANK(A191),"",INDEX('Error Log'!$A:$J,MATCH('Scores per segment'!$A191,'Error Log'!$A:$A,0),MATCH('Scores per segment'!C$1,'Error Log'!$A$1:$J$1,0)))</f>
        <v/>
      </c>
      <c r="D191" s="65">
        <f>IF(H191=0,wdct(TRIM(C191)),0)</f>
        <v>0</v>
      </c>
      <c r="E191" s="65">
        <f>COUNTIFS('Error Log'!$A:$A,$A191,'Error Log'!$J:$J,E$1)</f>
        <v>0</v>
      </c>
      <c r="F191" s="65">
        <f>COUNTIFS('Error Log'!$A:$A,$A191,'Error Log'!$J:$J,F$1)</f>
        <v>0</v>
      </c>
      <c r="G191" s="65">
        <f>COUNTIFS('Error Log'!$A:$A,$A191,'Error Log'!$J:$J,G$1)</f>
        <v>0</v>
      </c>
      <c r="H191" s="65">
        <f>COUNTIFS('Error Log'!$A:$A,$A191,'Error Log'!$F:$F,"Source")</f>
        <v>0</v>
      </c>
      <c r="I191" s="65">
        <f>COUNTIFS('Error Log'!$A:$A,$A191,'Error Log'!$F:$F,"Target")</f>
        <v>0</v>
      </c>
      <c r="J191" s="66">
        <f t="shared" si="2"/>
        <v>0</v>
      </c>
    </row>
    <row r="192" spans="1:10">
      <c r="A192" s="76"/>
      <c r="B192" s="65" t="str">
        <f>IF(ISBLANK(A192),"",INDEX('Error Log'!$A:$J,MATCH('Scores per segment'!$A192,'Error Log'!$A:$A,0),MATCH('Scores per segment'!B$1,'Error Log'!$A$1:$J$1,0)))</f>
        <v/>
      </c>
      <c r="C192" s="65" t="str">
        <f>IF(ISBLANK(A192),"",INDEX('Error Log'!$A:$J,MATCH('Scores per segment'!$A192,'Error Log'!$A:$A,0),MATCH('Scores per segment'!C$1,'Error Log'!$A$1:$J$1,0)))</f>
        <v/>
      </c>
      <c r="D192" s="65">
        <f>IF(H192=0,wdct(TRIM(C192)),0)</f>
        <v>0</v>
      </c>
      <c r="E192" s="65">
        <f>COUNTIFS('Error Log'!$A:$A,$A192,'Error Log'!$J:$J,E$1)</f>
        <v>0</v>
      </c>
      <c r="F192" s="65">
        <f>COUNTIFS('Error Log'!$A:$A,$A192,'Error Log'!$J:$J,F$1)</f>
        <v>0</v>
      </c>
      <c r="G192" s="65">
        <f>COUNTIFS('Error Log'!$A:$A,$A192,'Error Log'!$J:$J,G$1)</f>
        <v>0</v>
      </c>
      <c r="H192" s="65">
        <f>COUNTIFS('Error Log'!$A:$A,$A192,'Error Log'!$F:$F,"Source")</f>
        <v>0</v>
      </c>
      <c r="I192" s="65">
        <f>COUNTIFS('Error Log'!$A:$A,$A192,'Error Log'!$F:$F,"Target")</f>
        <v>0</v>
      </c>
      <c r="J192" s="66">
        <f t="shared" si="2"/>
        <v>0</v>
      </c>
    </row>
    <row r="193" spans="1:10">
      <c r="A193" s="76"/>
      <c r="B193" s="65" t="str">
        <f>IF(ISBLANK(A193),"",INDEX('Error Log'!$A:$J,MATCH('Scores per segment'!$A193,'Error Log'!$A:$A,0),MATCH('Scores per segment'!B$1,'Error Log'!$A$1:$J$1,0)))</f>
        <v/>
      </c>
      <c r="C193" s="65" t="str">
        <f>IF(ISBLANK(A193),"",INDEX('Error Log'!$A:$J,MATCH('Scores per segment'!$A193,'Error Log'!$A:$A,0),MATCH('Scores per segment'!C$1,'Error Log'!$A$1:$J$1,0)))</f>
        <v/>
      </c>
      <c r="D193" s="65">
        <f>IF(H193=0,wdct(TRIM(C193)),0)</f>
        <v>0</v>
      </c>
      <c r="E193" s="65">
        <f>COUNTIFS('Error Log'!$A:$A,$A193,'Error Log'!$J:$J,E$1)</f>
        <v>0</v>
      </c>
      <c r="F193" s="65">
        <f>COUNTIFS('Error Log'!$A:$A,$A193,'Error Log'!$J:$J,F$1)</f>
        <v>0</v>
      </c>
      <c r="G193" s="65">
        <f>COUNTIFS('Error Log'!$A:$A,$A193,'Error Log'!$J:$J,G$1)</f>
        <v>0</v>
      </c>
      <c r="H193" s="65">
        <f>COUNTIFS('Error Log'!$A:$A,$A193,'Error Log'!$F:$F,"Source")</f>
        <v>0</v>
      </c>
      <c r="I193" s="65">
        <f>COUNTIFS('Error Log'!$A:$A,$A193,'Error Log'!$F:$F,"Target")</f>
        <v>0</v>
      </c>
      <c r="J193" s="66">
        <f t="shared" si="2"/>
        <v>0</v>
      </c>
    </row>
    <row r="194" spans="1:10">
      <c r="A194" s="76"/>
      <c r="B194" s="65" t="str">
        <f>IF(ISBLANK(A194),"",INDEX('Error Log'!$A:$J,MATCH('Scores per segment'!$A194,'Error Log'!$A:$A,0),MATCH('Scores per segment'!B$1,'Error Log'!$A$1:$J$1,0)))</f>
        <v/>
      </c>
      <c r="C194" s="65" t="str">
        <f>IF(ISBLANK(A194),"",INDEX('Error Log'!$A:$J,MATCH('Scores per segment'!$A194,'Error Log'!$A:$A,0),MATCH('Scores per segment'!C$1,'Error Log'!$A$1:$J$1,0)))</f>
        <v/>
      </c>
      <c r="D194" s="65">
        <f>IF(H194=0,wdct(TRIM(C194)),0)</f>
        <v>0</v>
      </c>
      <c r="E194" s="65">
        <f>COUNTIFS('Error Log'!$A:$A,$A194,'Error Log'!$J:$J,E$1)</f>
        <v>0</v>
      </c>
      <c r="F194" s="65">
        <f>COUNTIFS('Error Log'!$A:$A,$A194,'Error Log'!$J:$J,F$1)</f>
        <v>0</v>
      </c>
      <c r="G194" s="65">
        <f>COUNTIFS('Error Log'!$A:$A,$A194,'Error Log'!$J:$J,G$1)</f>
        <v>0</v>
      </c>
      <c r="H194" s="65">
        <f>COUNTIFS('Error Log'!$A:$A,$A194,'Error Log'!$F:$F,"Source")</f>
        <v>0</v>
      </c>
      <c r="I194" s="65">
        <f>COUNTIFS('Error Log'!$A:$A,$A194,'Error Log'!$F:$F,"Target")</f>
        <v>0</v>
      </c>
      <c r="J194" s="66">
        <f t="shared" ref="J194:J257" si="3">IF(I194=0,IFERROR((((1-((E194*10+F194*5+G194*1)/D194))*100)+100)/2,0),-150)</f>
        <v>0</v>
      </c>
    </row>
    <row r="195" spans="1:10">
      <c r="A195" s="76"/>
      <c r="B195" s="65" t="str">
        <f>IF(ISBLANK(A195),"",INDEX('Error Log'!$A:$J,MATCH('Scores per segment'!$A195,'Error Log'!$A:$A,0),MATCH('Scores per segment'!B$1,'Error Log'!$A$1:$J$1,0)))</f>
        <v/>
      </c>
      <c r="C195" s="65" t="str">
        <f>IF(ISBLANK(A195),"",INDEX('Error Log'!$A:$J,MATCH('Scores per segment'!$A195,'Error Log'!$A:$A,0),MATCH('Scores per segment'!C$1,'Error Log'!$A$1:$J$1,0)))</f>
        <v/>
      </c>
      <c r="D195" s="65">
        <f>IF(H195=0,wdct(TRIM(C195)),0)</f>
        <v>0</v>
      </c>
      <c r="E195" s="65">
        <f>COUNTIFS('Error Log'!$A:$A,$A195,'Error Log'!$J:$J,E$1)</f>
        <v>0</v>
      </c>
      <c r="F195" s="65">
        <f>COUNTIFS('Error Log'!$A:$A,$A195,'Error Log'!$J:$J,F$1)</f>
        <v>0</v>
      </c>
      <c r="G195" s="65">
        <f>COUNTIFS('Error Log'!$A:$A,$A195,'Error Log'!$J:$J,G$1)</f>
        <v>0</v>
      </c>
      <c r="H195" s="65">
        <f>COUNTIFS('Error Log'!$A:$A,$A195,'Error Log'!$F:$F,"Source")</f>
        <v>0</v>
      </c>
      <c r="I195" s="65">
        <f>COUNTIFS('Error Log'!$A:$A,$A195,'Error Log'!$F:$F,"Target")</f>
        <v>0</v>
      </c>
      <c r="J195" s="66">
        <f t="shared" si="3"/>
        <v>0</v>
      </c>
    </row>
    <row r="196" spans="1:10">
      <c r="A196" s="76"/>
      <c r="B196" s="65" t="str">
        <f>IF(ISBLANK(A196),"",INDEX('Error Log'!$A:$J,MATCH('Scores per segment'!$A196,'Error Log'!$A:$A,0),MATCH('Scores per segment'!B$1,'Error Log'!$A$1:$J$1,0)))</f>
        <v/>
      </c>
      <c r="C196" s="65" t="str">
        <f>IF(ISBLANK(A196),"",INDEX('Error Log'!$A:$J,MATCH('Scores per segment'!$A196,'Error Log'!$A:$A,0),MATCH('Scores per segment'!C$1,'Error Log'!$A$1:$J$1,0)))</f>
        <v/>
      </c>
      <c r="D196" s="65">
        <f>IF(H196=0,wdct(TRIM(C196)),0)</f>
        <v>0</v>
      </c>
      <c r="E196" s="65">
        <f>COUNTIFS('Error Log'!$A:$A,$A196,'Error Log'!$J:$J,E$1)</f>
        <v>0</v>
      </c>
      <c r="F196" s="65">
        <f>COUNTIFS('Error Log'!$A:$A,$A196,'Error Log'!$J:$J,F$1)</f>
        <v>0</v>
      </c>
      <c r="G196" s="65">
        <f>COUNTIFS('Error Log'!$A:$A,$A196,'Error Log'!$J:$J,G$1)</f>
        <v>0</v>
      </c>
      <c r="H196" s="65">
        <f>COUNTIFS('Error Log'!$A:$A,$A196,'Error Log'!$F:$F,"Source")</f>
        <v>0</v>
      </c>
      <c r="I196" s="65">
        <f>COUNTIFS('Error Log'!$A:$A,$A196,'Error Log'!$F:$F,"Target")</f>
        <v>0</v>
      </c>
      <c r="J196" s="66">
        <f t="shared" si="3"/>
        <v>0</v>
      </c>
    </row>
    <row r="197" spans="1:10">
      <c r="A197" s="76"/>
      <c r="B197" s="65" t="str">
        <f>IF(ISBLANK(A197),"",INDEX('Error Log'!$A:$J,MATCH('Scores per segment'!$A197,'Error Log'!$A:$A,0),MATCH('Scores per segment'!B$1,'Error Log'!$A$1:$J$1,0)))</f>
        <v/>
      </c>
      <c r="C197" s="65" t="str">
        <f>IF(ISBLANK(A197),"",INDEX('Error Log'!$A:$J,MATCH('Scores per segment'!$A197,'Error Log'!$A:$A,0),MATCH('Scores per segment'!C$1,'Error Log'!$A$1:$J$1,0)))</f>
        <v/>
      </c>
      <c r="D197" s="65">
        <f>IF(H197=0,wdct(TRIM(C197)),0)</f>
        <v>0</v>
      </c>
      <c r="E197" s="65">
        <f>COUNTIFS('Error Log'!$A:$A,$A197,'Error Log'!$J:$J,E$1)</f>
        <v>0</v>
      </c>
      <c r="F197" s="65">
        <f>COUNTIFS('Error Log'!$A:$A,$A197,'Error Log'!$J:$J,F$1)</f>
        <v>0</v>
      </c>
      <c r="G197" s="65">
        <f>COUNTIFS('Error Log'!$A:$A,$A197,'Error Log'!$J:$J,G$1)</f>
        <v>0</v>
      </c>
      <c r="H197" s="65">
        <f>COUNTIFS('Error Log'!$A:$A,$A197,'Error Log'!$F:$F,"Source")</f>
        <v>0</v>
      </c>
      <c r="I197" s="65">
        <f>COUNTIFS('Error Log'!$A:$A,$A197,'Error Log'!$F:$F,"Target")</f>
        <v>0</v>
      </c>
      <c r="J197" s="66">
        <f t="shared" si="3"/>
        <v>0</v>
      </c>
    </row>
    <row r="198" spans="1:10">
      <c r="A198" s="76"/>
      <c r="B198" s="65" t="str">
        <f>IF(ISBLANK(A198),"",INDEX('Error Log'!$A:$J,MATCH('Scores per segment'!$A198,'Error Log'!$A:$A,0),MATCH('Scores per segment'!B$1,'Error Log'!$A$1:$J$1,0)))</f>
        <v/>
      </c>
      <c r="C198" s="65" t="str">
        <f>IF(ISBLANK(A198),"",INDEX('Error Log'!$A:$J,MATCH('Scores per segment'!$A198,'Error Log'!$A:$A,0),MATCH('Scores per segment'!C$1,'Error Log'!$A$1:$J$1,0)))</f>
        <v/>
      </c>
      <c r="D198" s="65">
        <f>IF(H198=0,wdct(TRIM(C198)),0)</f>
        <v>0</v>
      </c>
      <c r="E198" s="65">
        <f>COUNTIFS('Error Log'!$A:$A,$A198,'Error Log'!$J:$J,E$1)</f>
        <v>0</v>
      </c>
      <c r="F198" s="65">
        <f>COUNTIFS('Error Log'!$A:$A,$A198,'Error Log'!$J:$J,F$1)</f>
        <v>0</v>
      </c>
      <c r="G198" s="65">
        <f>COUNTIFS('Error Log'!$A:$A,$A198,'Error Log'!$J:$J,G$1)</f>
        <v>0</v>
      </c>
      <c r="H198" s="65">
        <f>COUNTIFS('Error Log'!$A:$A,$A198,'Error Log'!$F:$F,"Source")</f>
        <v>0</v>
      </c>
      <c r="I198" s="65">
        <f>COUNTIFS('Error Log'!$A:$A,$A198,'Error Log'!$F:$F,"Target")</f>
        <v>0</v>
      </c>
      <c r="J198" s="66">
        <f t="shared" si="3"/>
        <v>0</v>
      </c>
    </row>
    <row r="199" spans="1:10">
      <c r="A199" s="76"/>
      <c r="B199" s="65" t="str">
        <f>IF(ISBLANK(A199),"",INDEX('Error Log'!$A:$J,MATCH('Scores per segment'!$A199,'Error Log'!$A:$A,0),MATCH('Scores per segment'!B$1,'Error Log'!$A$1:$J$1,0)))</f>
        <v/>
      </c>
      <c r="C199" s="65" t="str">
        <f>IF(ISBLANK(A199),"",INDEX('Error Log'!$A:$J,MATCH('Scores per segment'!$A199,'Error Log'!$A:$A,0),MATCH('Scores per segment'!C$1,'Error Log'!$A$1:$J$1,0)))</f>
        <v/>
      </c>
      <c r="D199" s="65">
        <f>IF(H199=0,wdct(TRIM(C199)),0)</f>
        <v>0</v>
      </c>
      <c r="E199" s="65">
        <f>COUNTIFS('Error Log'!$A:$A,$A199,'Error Log'!$J:$J,E$1)</f>
        <v>0</v>
      </c>
      <c r="F199" s="65">
        <f>COUNTIFS('Error Log'!$A:$A,$A199,'Error Log'!$J:$J,F$1)</f>
        <v>0</v>
      </c>
      <c r="G199" s="65">
        <f>COUNTIFS('Error Log'!$A:$A,$A199,'Error Log'!$J:$J,G$1)</f>
        <v>0</v>
      </c>
      <c r="H199" s="65">
        <f>COUNTIFS('Error Log'!$A:$A,$A199,'Error Log'!$F:$F,"Source")</f>
        <v>0</v>
      </c>
      <c r="I199" s="65">
        <f>COUNTIFS('Error Log'!$A:$A,$A199,'Error Log'!$F:$F,"Target")</f>
        <v>0</v>
      </c>
      <c r="J199" s="66">
        <f t="shared" si="3"/>
        <v>0</v>
      </c>
    </row>
    <row r="200" spans="1:10">
      <c r="A200" s="76"/>
      <c r="B200" s="65" t="str">
        <f>IF(ISBLANK(A200),"",INDEX('Error Log'!$A:$J,MATCH('Scores per segment'!$A200,'Error Log'!$A:$A,0),MATCH('Scores per segment'!B$1,'Error Log'!$A$1:$J$1,0)))</f>
        <v/>
      </c>
      <c r="C200" s="65" t="str">
        <f>IF(ISBLANK(A200),"",INDEX('Error Log'!$A:$J,MATCH('Scores per segment'!$A200,'Error Log'!$A:$A,0),MATCH('Scores per segment'!C$1,'Error Log'!$A$1:$J$1,0)))</f>
        <v/>
      </c>
      <c r="D200" s="65">
        <f>IF(H200=0,wdct(TRIM(C200)),0)</f>
        <v>0</v>
      </c>
      <c r="E200" s="65">
        <f>COUNTIFS('Error Log'!$A:$A,$A200,'Error Log'!$J:$J,E$1)</f>
        <v>0</v>
      </c>
      <c r="F200" s="65">
        <f>COUNTIFS('Error Log'!$A:$A,$A200,'Error Log'!$J:$J,F$1)</f>
        <v>0</v>
      </c>
      <c r="G200" s="65">
        <f>COUNTIFS('Error Log'!$A:$A,$A200,'Error Log'!$J:$J,G$1)</f>
        <v>0</v>
      </c>
      <c r="H200" s="65">
        <f>COUNTIFS('Error Log'!$A:$A,$A200,'Error Log'!$F:$F,"Source")</f>
        <v>0</v>
      </c>
      <c r="I200" s="65">
        <f>COUNTIFS('Error Log'!$A:$A,$A200,'Error Log'!$F:$F,"Target")</f>
        <v>0</v>
      </c>
      <c r="J200" s="66">
        <f t="shared" si="3"/>
        <v>0</v>
      </c>
    </row>
    <row r="201" spans="1:10">
      <c r="A201" s="76"/>
      <c r="B201" s="65" t="str">
        <f>IF(ISBLANK(A201),"",INDEX('Error Log'!$A:$J,MATCH('Scores per segment'!$A201,'Error Log'!$A:$A,0),MATCH('Scores per segment'!B$1,'Error Log'!$A$1:$J$1,0)))</f>
        <v/>
      </c>
      <c r="C201" s="65" t="str">
        <f>IF(ISBLANK(A201),"",INDEX('Error Log'!$A:$J,MATCH('Scores per segment'!$A201,'Error Log'!$A:$A,0),MATCH('Scores per segment'!C$1,'Error Log'!$A$1:$J$1,0)))</f>
        <v/>
      </c>
      <c r="D201" s="65">
        <f>IF(H201=0,wdct(TRIM(C201)),0)</f>
        <v>0</v>
      </c>
      <c r="E201" s="65">
        <f>COUNTIFS('Error Log'!$A:$A,$A201,'Error Log'!$J:$J,E$1)</f>
        <v>0</v>
      </c>
      <c r="F201" s="65">
        <f>COUNTIFS('Error Log'!$A:$A,$A201,'Error Log'!$J:$J,F$1)</f>
        <v>0</v>
      </c>
      <c r="G201" s="65">
        <f>COUNTIFS('Error Log'!$A:$A,$A201,'Error Log'!$J:$J,G$1)</f>
        <v>0</v>
      </c>
      <c r="H201" s="65">
        <f>COUNTIFS('Error Log'!$A:$A,$A201,'Error Log'!$F:$F,"Source")</f>
        <v>0</v>
      </c>
      <c r="I201" s="65">
        <f>COUNTIFS('Error Log'!$A:$A,$A201,'Error Log'!$F:$F,"Target")</f>
        <v>0</v>
      </c>
      <c r="J201" s="66">
        <f t="shared" si="3"/>
        <v>0</v>
      </c>
    </row>
    <row r="202" spans="1:10">
      <c r="A202" s="76"/>
      <c r="B202" s="65" t="str">
        <f>IF(ISBLANK(A202),"",INDEX('Error Log'!$A:$J,MATCH('Scores per segment'!$A202,'Error Log'!$A:$A,0),MATCH('Scores per segment'!B$1,'Error Log'!$A$1:$J$1,0)))</f>
        <v/>
      </c>
      <c r="C202" s="65" t="str">
        <f>IF(ISBLANK(A202),"",INDEX('Error Log'!$A:$J,MATCH('Scores per segment'!$A202,'Error Log'!$A:$A,0),MATCH('Scores per segment'!C$1,'Error Log'!$A$1:$J$1,0)))</f>
        <v/>
      </c>
      <c r="D202" s="65">
        <f>IF(H202=0,wdct(TRIM(C202)),0)</f>
        <v>0</v>
      </c>
      <c r="E202" s="65">
        <f>COUNTIFS('Error Log'!$A:$A,$A202,'Error Log'!$J:$J,E$1)</f>
        <v>0</v>
      </c>
      <c r="F202" s="65">
        <f>COUNTIFS('Error Log'!$A:$A,$A202,'Error Log'!$J:$J,F$1)</f>
        <v>0</v>
      </c>
      <c r="G202" s="65">
        <f>COUNTIFS('Error Log'!$A:$A,$A202,'Error Log'!$J:$J,G$1)</f>
        <v>0</v>
      </c>
      <c r="H202" s="65">
        <f>COUNTIFS('Error Log'!$A:$A,$A202,'Error Log'!$F:$F,"Source")</f>
        <v>0</v>
      </c>
      <c r="I202" s="65">
        <f>COUNTIFS('Error Log'!$A:$A,$A202,'Error Log'!$F:$F,"Target")</f>
        <v>0</v>
      </c>
      <c r="J202" s="66">
        <f t="shared" si="3"/>
        <v>0</v>
      </c>
    </row>
    <row r="203" spans="1:10">
      <c r="A203" s="76"/>
      <c r="B203" s="65" t="str">
        <f>IF(ISBLANK(A203),"",INDEX('Error Log'!$A:$J,MATCH('Scores per segment'!$A203,'Error Log'!$A:$A,0),MATCH('Scores per segment'!B$1,'Error Log'!$A$1:$J$1,0)))</f>
        <v/>
      </c>
      <c r="C203" s="65" t="str">
        <f>IF(ISBLANK(A203),"",INDEX('Error Log'!$A:$J,MATCH('Scores per segment'!$A203,'Error Log'!$A:$A,0),MATCH('Scores per segment'!C$1,'Error Log'!$A$1:$J$1,0)))</f>
        <v/>
      </c>
      <c r="D203" s="65">
        <f>IF(H203=0,wdct(TRIM(C203)),0)</f>
        <v>0</v>
      </c>
      <c r="E203" s="65">
        <f>COUNTIFS('Error Log'!$A:$A,$A203,'Error Log'!$J:$J,E$1)</f>
        <v>0</v>
      </c>
      <c r="F203" s="65">
        <f>COUNTIFS('Error Log'!$A:$A,$A203,'Error Log'!$J:$J,F$1)</f>
        <v>0</v>
      </c>
      <c r="G203" s="65">
        <f>COUNTIFS('Error Log'!$A:$A,$A203,'Error Log'!$J:$J,G$1)</f>
        <v>0</v>
      </c>
      <c r="H203" s="65">
        <f>COUNTIFS('Error Log'!$A:$A,$A203,'Error Log'!$F:$F,"Source")</f>
        <v>0</v>
      </c>
      <c r="I203" s="65">
        <f>COUNTIFS('Error Log'!$A:$A,$A203,'Error Log'!$F:$F,"Target")</f>
        <v>0</v>
      </c>
      <c r="J203" s="66">
        <f t="shared" si="3"/>
        <v>0</v>
      </c>
    </row>
    <row r="204" spans="1:10">
      <c r="A204" s="76"/>
      <c r="B204" s="65" t="str">
        <f>IF(ISBLANK(A204),"",INDEX('Error Log'!$A:$J,MATCH('Scores per segment'!$A204,'Error Log'!$A:$A,0),MATCH('Scores per segment'!B$1,'Error Log'!$A$1:$J$1,0)))</f>
        <v/>
      </c>
      <c r="C204" s="65" t="str">
        <f>IF(ISBLANK(A204),"",INDEX('Error Log'!$A:$J,MATCH('Scores per segment'!$A204,'Error Log'!$A:$A,0),MATCH('Scores per segment'!C$1,'Error Log'!$A$1:$J$1,0)))</f>
        <v/>
      </c>
      <c r="D204" s="65">
        <f>IF(H204=0,wdct(TRIM(C204)),0)</f>
        <v>0</v>
      </c>
      <c r="E204" s="65">
        <f>COUNTIFS('Error Log'!$A:$A,$A204,'Error Log'!$J:$J,E$1)</f>
        <v>0</v>
      </c>
      <c r="F204" s="65">
        <f>COUNTIFS('Error Log'!$A:$A,$A204,'Error Log'!$J:$J,F$1)</f>
        <v>0</v>
      </c>
      <c r="G204" s="65">
        <f>COUNTIFS('Error Log'!$A:$A,$A204,'Error Log'!$J:$J,G$1)</f>
        <v>0</v>
      </c>
      <c r="H204" s="65">
        <f>COUNTIFS('Error Log'!$A:$A,$A204,'Error Log'!$F:$F,"Source")</f>
        <v>0</v>
      </c>
      <c r="I204" s="65">
        <f>COUNTIFS('Error Log'!$A:$A,$A204,'Error Log'!$F:$F,"Target")</f>
        <v>0</v>
      </c>
      <c r="J204" s="66">
        <f t="shared" si="3"/>
        <v>0</v>
      </c>
    </row>
    <row r="205" spans="1:10">
      <c r="A205" s="76"/>
      <c r="B205" s="65" t="str">
        <f>IF(ISBLANK(A205),"",INDEX('Error Log'!$A:$J,MATCH('Scores per segment'!$A205,'Error Log'!$A:$A,0),MATCH('Scores per segment'!B$1,'Error Log'!$A$1:$J$1,0)))</f>
        <v/>
      </c>
      <c r="C205" s="65" t="str">
        <f>IF(ISBLANK(A205),"",INDEX('Error Log'!$A:$J,MATCH('Scores per segment'!$A205,'Error Log'!$A:$A,0),MATCH('Scores per segment'!C$1,'Error Log'!$A$1:$J$1,0)))</f>
        <v/>
      </c>
      <c r="D205" s="65">
        <f>IF(H205=0,wdct(TRIM(C205)),0)</f>
        <v>0</v>
      </c>
      <c r="E205" s="65">
        <f>COUNTIFS('Error Log'!$A:$A,$A205,'Error Log'!$J:$J,E$1)</f>
        <v>0</v>
      </c>
      <c r="F205" s="65">
        <f>COUNTIFS('Error Log'!$A:$A,$A205,'Error Log'!$J:$J,F$1)</f>
        <v>0</v>
      </c>
      <c r="G205" s="65">
        <f>COUNTIFS('Error Log'!$A:$A,$A205,'Error Log'!$J:$J,G$1)</f>
        <v>0</v>
      </c>
      <c r="H205" s="65">
        <f>COUNTIFS('Error Log'!$A:$A,$A205,'Error Log'!$F:$F,"Source")</f>
        <v>0</v>
      </c>
      <c r="I205" s="65">
        <f>COUNTIFS('Error Log'!$A:$A,$A205,'Error Log'!$F:$F,"Target")</f>
        <v>0</v>
      </c>
      <c r="J205" s="66">
        <f t="shared" si="3"/>
        <v>0</v>
      </c>
    </row>
    <row r="206" spans="1:10">
      <c r="A206" s="76"/>
      <c r="B206" s="65" t="str">
        <f>IF(ISBLANK(A206),"",INDEX('Error Log'!$A:$J,MATCH('Scores per segment'!$A206,'Error Log'!$A:$A,0),MATCH('Scores per segment'!B$1,'Error Log'!$A$1:$J$1,0)))</f>
        <v/>
      </c>
      <c r="C206" s="65" t="str">
        <f>IF(ISBLANK(A206),"",INDEX('Error Log'!$A:$J,MATCH('Scores per segment'!$A206,'Error Log'!$A:$A,0),MATCH('Scores per segment'!C$1,'Error Log'!$A$1:$J$1,0)))</f>
        <v/>
      </c>
      <c r="D206" s="65">
        <f>IF(H206=0,wdct(TRIM(C206)),0)</f>
        <v>0</v>
      </c>
      <c r="E206" s="65">
        <f>COUNTIFS('Error Log'!$A:$A,$A206,'Error Log'!$J:$J,E$1)</f>
        <v>0</v>
      </c>
      <c r="F206" s="65">
        <f>COUNTIFS('Error Log'!$A:$A,$A206,'Error Log'!$J:$J,F$1)</f>
        <v>0</v>
      </c>
      <c r="G206" s="65">
        <f>COUNTIFS('Error Log'!$A:$A,$A206,'Error Log'!$J:$J,G$1)</f>
        <v>0</v>
      </c>
      <c r="H206" s="65">
        <f>COUNTIFS('Error Log'!$A:$A,$A206,'Error Log'!$F:$F,"Source")</f>
        <v>0</v>
      </c>
      <c r="I206" s="65">
        <f>COUNTIFS('Error Log'!$A:$A,$A206,'Error Log'!$F:$F,"Target")</f>
        <v>0</v>
      </c>
      <c r="J206" s="66">
        <f t="shared" si="3"/>
        <v>0</v>
      </c>
    </row>
    <row r="207" spans="1:10">
      <c r="A207" s="76"/>
      <c r="B207" s="65" t="str">
        <f>IF(ISBLANK(A207),"",INDEX('Error Log'!$A:$J,MATCH('Scores per segment'!$A207,'Error Log'!$A:$A,0),MATCH('Scores per segment'!B$1,'Error Log'!$A$1:$J$1,0)))</f>
        <v/>
      </c>
      <c r="C207" s="65" t="str">
        <f>IF(ISBLANK(A207),"",INDEX('Error Log'!$A:$J,MATCH('Scores per segment'!$A207,'Error Log'!$A:$A,0),MATCH('Scores per segment'!C$1,'Error Log'!$A$1:$J$1,0)))</f>
        <v/>
      </c>
      <c r="D207" s="65">
        <f>IF(H207=0,wdct(TRIM(C207)),0)</f>
        <v>0</v>
      </c>
      <c r="E207" s="65">
        <f>COUNTIFS('Error Log'!$A:$A,$A207,'Error Log'!$J:$J,E$1)</f>
        <v>0</v>
      </c>
      <c r="F207" s="65">
        <f>COUNTIFS('Error Log'!$A:$A,$A207,'Error Log'!$J:$J,F$1)</f>
        <v>0</v>
      </c>
      <c r="G207" s="65">
        <f>COUNTIFS('Error Log'!$A:$A,$A207,'Error Log'!$J:$J,G$1)</f>
        <v>0</v>
      </c>
      <c r="H207" s="65">
        <f>COUNTIFS('Error Log'!$A:$A,$A207,'Error Log'!$F:$F,"Source")</f>
        <v>0</v>
      </c>
      <c r="I207" s="65">
        <f>COUNTIFS('Error Log'!$A:$A,$A207,'Error Log'!$F:$F,"Target")</f>
        <v>0</v>
      </c>
      <c r="J207" s="66">
        <f t="shared" si="3"/>
        <v>0</v>
      </c>
    </row>
    <row r="208" spans="1:10">
      <c r="A208" s="76"/>
      <c r="B208" s="65" t="str">
        <f>IF(ISBLANK(A208),"",INDEX('Error Log'!$A:$J,MATCH('Scores per segment'!$A208,'Error Log'!$A:$A,0),MATCH('Scores per segment'!B$1,'Error Log'!$A$1:$J$1,0)))</f>
        <v/>
      </c>
      <c r="C208" s="65" t="str">
        <f>IF(ISBLANK(A208),"",INDEX('Error Log'!$A:$J,MATCH('Scores per segment'!$A208,'Error Log'!$A:$A,0),MATCH('Scores per segment'!C$1,'Error Log'!$A$1:$J$1,0)))</f>
        <v/>
      </c>
      <c r="D208" s="65">
        <f>IF(H208=0,wdct(TRIM(C208)),0)</f>
        <v>0</v>
      </c>
      <c r="E208" s="65">
        <f>COUNTIFS('Error Log'!$A:$A,$A208,'Error Log'!$J:$J,E$1)</f>
        <v>0</v>
      </c>
      <c r="F208" s="65">
        <f>COUNTIFS('Error Log'!$A:$A,$A208,'Error Log'!$J:$J,F$1)</f>
        <v>0</v>
      </c>
      <c r="G208" s="65">
        <f>COUNTIFS('Error Log'!$A:$A,$A208,'Error Log'!$J:$J,G$1)</f>
        <v>0</v>
      </c>
      <c r="H208" s="65">
        <f>COUNTIFS('Error Log'!$A:$A,$A208,'Error Log'!$F:$F,"Source")</f>
        <v>0</v>
      </c>
      <c r="I208" s="65">
        <f>COUNTIFS('Error Log'!$A:$A,$A208,'Error Log'!$F:$F,"Target")</f>
        <v>0</v>
      </c>
      <c r="J208" s="66">
        <f t="shared" si="3"/>
        <v>0</v>
      </c>
    </row>
    <row r="209" spans="1:10">
      <c r="A209" s="76"/>
      <c r="B209" s="65" t="str">
        <f>IF(ISBLANK(A209),"",INDEX('Error Log'!$A:$J,MATCH('Scores per segment'!$A209,'Error Log'!$A:$A,0),MATCH('Scores per segment'!B$1,'Error Log'!$A$1:$J$1,0)))</f>
        <v/>
      </c>
      <c r="C209" s="65" t="str">
        <f>IF(ISBLANK(A209),"",INDEX('Error Log'!$A:$J,MATCH('Scores per segment'!$A209,'Error Log'!$A:$A,0),MATCH('Scores per segment'!C$1,'Error Log'!$A$1:$J$1,0)))</f>
        <v/>
      </c>
      <c r="D209" s="65">
        <f>IF(H209=0,wdct(TRIM(C209)),0)</f>
        <v>0</v>
      </c>
      <c r="E209" s="65">
        <f>COUNTIFS('Error Log'!$A:$A,$A209,'Error Log'!$J:$J,E$1)</f>
        <v>0</v>
      </c>
      <c r="F209" s="65">
        <f>COUNTIFS('Error Log'!$A:$A,$A209,'Error Log'!$J:$J,F$1)</f>
        <v>0</v>
      </c>
      <c r="G209" s="65">
        <f>COUNTIFS('Error Log'!$A:$A,$A209,'Error Log'!$J:$J,G$1)</f>
        <v>0</v>
      </c>
      <c r="H209" s="65">
        <f>COUNTIFS('Error Log'!$A:$A,$A209,'Error Log'!$F:$F,"Source")</f>
        <v>0</v>
      </c>
      <c r="I209" s="65">
        <f>COUNTIFS('Error Log'!$A:$A,$A209,'Error Log'!$F:$F,"Target")</f>
        <v>0</v>
      </c>
      <c r="J209" s="66">
        <f t="shared" si="3"/>
        <v>0</v>
      </c>
    </row>
    <row r="210" spans="1:10">
      <c r="A210" s="76"/>
      <c r="B210" s="65" t="str">
        <f>IF(ISBLANK(A210),"",INDEX('Error Log'!$A:$J,MATCH('Scores per segment'!$A210,'Error Log'!$A:$A,0),MATCH('Scores per segment'!B$1,'Error Log'!$A$1:$J$1,0)))</f>
        <v/>
      </c>
      <c r="C210" s="65" t="str">
        <f>IF(ISBLANK(A210),"",INDEX('Error Log'!$A:$J,MATCH('Scores per segment'!$A210,'Error Log'!$A:$A,0),MATCH('Scores per segment'!C$1,'Error Log'!$A$1:$J$1,0)))</f>
        <v/>
      </c>
      <c r="D210" s="65">
        <f>IF(H210=0,wdct(TRIM(C210)),0)</f>
        <v>0</v>
      </c>
      <c r="E210" s="65">
        <f>COUNTIFS('Error Log'!$A:$A,$A210,'Error Log'!$J:$J,E$1)</f>
        <v>0</v>
      </c>
      <c r="F210" s="65">
        <f>COUNTIFS('Error Log'!$A:$A,$A210,'Error Log'!$J:$J,F$1)</f>
        <v>0</v>
      </c>
      <c r="G210" s="65">
        <f>COUNTIFS('Error Log'!$A:$A,$A210,'Error Log'!$J:$J,G$1)</f>
        <v>0</v>
      </c>
      <c r="H210" s="65">
        <f>COUNTIFS('Error Log'!$A:$A,$A210,'Error Log'!$F:$F,"Source")</f>
        <v>0</v>
      </c>
      <c r="I210" s="65">
        <f>COUNTIFS('Error Log'!$A:$A,$A210,'Error Log'!$F:$F,"Target")</f>
        <v>0</v>
      </c>
      <c r="J210" s="66">
        <f t="shared" si="3"/>
        <v>0</v>
      </c>
    </row>
    <row r="211" spans="1:10">
      <c r="A211" s="76"/>
      <c r="B211" s="65" t="str">
        <f>IF(ISBLANK(A211),"",INDEX('Error Log'!$A:$J,MATCH('Scores per segment'!$A211,'Error Log'!$A:$A,0),MATCH('Scores per segment'!B$1,'Error Log'!$A$1:$J$1,0)))</f>
        <v/>
      </c>
      <c r="C211" s="65" t="str">
        <f>IF(ISBLANK(A211),"",INDEX('Error Log'!$A:$J,MATCH('Scores per segment'!$A211,'Error Log'!$A:$A,0),MATCH('Scores per segment'!C$1,'Error Log'!$A$1:$J$1,0)))</f>
        <v/>
      </c>
      <c r="D211" s="65">
        <f>IF(H211=0,wdct(TRIM(C211)),0)</f>
        <v>0</v>
      </c>
      <c r="E211" s="65">
        <f>COUNTIFS('Error Log'!$A:$A,$A211,'Error Log'!$J:$J,E$1)</f>
        <v>0</v>
      </c>
      <c r="F211" s="65">
        <f>COUNTIFS('Error Log'!$A:$A,$A211,'Error Log'!$J:$J,F$1)</f>
        <v>0</v>
      </c>
      <c r="G211" s="65">
        <f>COUNTIFS('Error Log'!$A:$A,$A211,'Error Log'!$J:$J,G$1)</f>
        <v>0</v>
      </c>
      <c r="H211" s="65">
        <f>COUNTIFS('Error Log'!$A:$A,$A211,'Error Log'!$F:$F,"Source")</f>
        <v>0</v>
      </c>
      <c r="I211" s="65">
        <f>COUNTIFS('Error Log'!$A:$A,$A211,'Error Log'!$F:$F,"Target")</f>
        <v>0</v>
      </c>
      <c r="J211" s="66">
        <f t="shared" si="3"/>
        <v>0</v>
      </c>
    </row>
    <row r="212" spans="1:10">
      <c r="A212" s="76"/>
      <c r="B212" s="65" t="str">
        <f>IF(ISBLANK(A212),"",INDEX('Error Log'!$A:$J,MATCH('Scores per segment'!$A212,'Error Log'!$A:$A,0),MATCH('Scores per segment'!B$1,'Error Log'!$A$1:$J$1,0)))</f>
        <v/>
      </c>
      <c r="C212" s="65" t="str">
        <f>IF(ISBLANK(A212),"",INDEX('Error Log'!$A:$J,MATCH('Scores per segment'!$A212,'Error Log'!$A:$A,0),MATCH('Scores per segment'!C$1,'Error Log'!$A$1:$J$1,0)))</f>
        <v/>
      </c>
      <c r="D212" s="65">
        <f>IF(H212=0,wdct(TRIM(C212)),0)</f>
        <v>0</v>
      </c>
      <c r="E212" s="65">
        <f>COUNTIFS('Error Log'!$A:$A,$A212,'Error Log'!$J:$J,E$1)</f>
        <v>0</v>
      </c>
      <c r="F212" s="65">
        <f>COUNTIFS('Error Log'!$A:$A,$A212,'Error Log'!$J:$J,F$1)</f>
        <v>0</v>
      </c>
      <c r="G212" s="65">
        <f>COUNTIFS('Error Log'!$A:$A,$A212,'Error Log'!$J:$J,G$1)</f>
        <v>0</v>
      </c>
      <c r="H212" s="65">
        <f>COUNTIFS('Error Log'!$A:$A,$A212,'Error Log'!$F:$F,"Source")</f>
        <v>0</v>
      </c>
      <c r="I212" s="65">
        <f>COUNTIFS('Error Log'!$A:$A,$A212,'Error Log'!$F:$F,"Target")</f>
        <v>0</v>
      </c>
      <c r="J212" s="66">
        <f t="shared" si="3"/>
        <v>0</v>
      </c>
    </row>
    <row r="213" spans="1:10">
      <c r="A213" s="76"/>
      <c r="B213" s="65" t="str">
        <f>IF(ISBLANK(A213),"",INDEX('Error Log'!$A:$J,MATCH('Scores per segment'!$A213,'Error Log'!$A:$A,0),MATCH('Scores per segment'!B$1,'Error Log'!$A$1:$J$1,0)))</f>
        <v/>
      </c>
      <c r="C213" s="65" t="str">
        <f>IF(ISBLANK(A213),"",INDEX('Error Log'!$A:$J,MATCH('Scores per segment'!$A213,'Error Log'!$A:$A,0),MATCH('Scores per segment'!C$1,'Error Log'!$A$1:$J$1,0)))</f>
        <v/>
      </c>
      <c r="D213" s="65">
        <f>IF(H213=0,wdct(TRIM(C213)),0)</f>
        <v>0</v>
      </c>
      <c r="E213" s="65">
        <f>COUNTIFS('Error Log'!$A:$A,$A213,'Error Log'!$J:$J,E$1)</f>
        <v>0</v>
      </c>
      <c r="F213" s="65">
        <f>COUNTIFS('Error Log'!$A:$A,$A213,'Error Log'!$J:$J,F$1)</f>
        <v>0</v>
      </c>
      <c r="G213" s="65">
        <f>COUNTIFS('Error Log'!$A:$A,$A213,'Error Log'!$J:$J,G$1)</f>
        <v>0</v>
      </c>
      <c r="H213" s="65">
        <f>COUNTIFS('Error Log'!$A:$A,$A213,'Error Log'!$F:$F,"Source")</f>
        <v>0</v>
      </c>
      <c r="I213" s="65">
        <f>COUNTIFS('Error Log'!$A:$A,$A213,'Error Log'!$F:$F,"Target")</f>
        <v>0</v>
      </c>
      <c r="J213" s="66">
        <f t="shared" si="3"/>
        <v>0</v>
      </c>
    </row>
    <row r="214" spans="1:10">
      <c r="A214" s="76"/>
      <c r="B214" s="65" t="str">
        <f>IF(ISBLANK(A214),"",INDEX('Error Log'!$A:$J,MATCH('Scores per segment'!$A214,'Error Log'!$A:$A,0),MATCH('Scores per segment'!B$1,'Error Log'!$A$1:$J$1,0)))</f>
        <v/>
      </c>
      <c r="C214" s="65" t="str">
        <f>IF(ISBLANK(A214),"",INDEX('Error Log'!$A:$J,MATCH('Scores per segment'!$A214,'Error Log'!$A:$A,0),MATCH('Scores per segment'!C$1,'Error Log'!$A$1:$J$1,0)))</f>
        <v/>
      </c>
      <c r="D214" s="65">
        <f>IF(H214=0,wdct(TRIM(C214)),0)</f>
        <v>0</v>
      </c>
      <c r="E214" s="65">
        <f>COUNTIFS('Error Log'!$A:$A,$A214,'Error Log'!$J:$J,E$1)</f>
        <v>0</v>
      </c>
      <c r="F214" s="65">
        <f>COUNTIFS('Error Log'!$A:$A,$A214,'Error Log'!$J:$J,F$1)</f>
        <v>0</v>
      </c>
      <c r="G214" s="65">
        <f>COUNTIFS('Error Log'!$A:$A,$A214,'Error Log'!$J:$J,G$1)</f>
        <v>0</v>
      </c>
      <c r="H214" s="65">
        <f>COUNTIFS('Error Log'!$A:$A,$A214,'Error Log'!$F:$F,"Source")</f>
        <v>0</v>
      </c>
      <c r="I214" s="65">
        <f>COUNTIFS('Error Log'!$A:$A,$A214,'Error Log'!$F:$F,"Target")</f>
        <v>0</v>
      </c>
      <c r="J214" s="66">
        <f t="shared" si="3"/>
        <v>0</v>
      </c>
    </row>
    <row r="215" spans="1:10">
      <c r="A215" s="76"/>
      <c r="B215" s="65" t="str">
        <f>IF(ISBLANK(A215),"",INDEX('Error Log'!$A:$J,MATCH('Scores per segment'!$A215,'Error Log'!$A:$A,0),MATCH('Scores per segment'!B$1,'Error Log'!$A$1:$J$1,0)))</f>
        <v/>
      </c>
      <c r="C215" s="65" t="str">
        <f>IF(ISBLANK(A215),"",INDEX('Error Log'!$A:$J,MATCH('Scores per segment'!$A215,'Error Log'!$A:$A,0),MATCH('Scores per segment'!C$1,'Error Log'!$A$1:$J$1,0)))</f>
        <v/>
      </c>
      <c r="D215" s="65">
        <f>IF(H215=0,wdct(TRIM(C215)),0)</f>
        <v>0</v>
      </c>
      <c r="E215" s="65">
        <f>COUNTIFS('Error Log'!$A:$A,$A215,'Error Log'!$J:$J,E$1)</f>
        <v>0</v>
      </c>
      <c r="F215" s="65">
        <f>COUNTIFS('Error Log'!$A:$A,$A215,'Error Log'!$J:$J,F$1)</f>
        <v>0</v>
      </c>
      <c r="G215" s="65">
        <f>COUNTIFS('Error Log'!$A:$A,$A215,'Error Log'!$J:$J,G$1)</f>
        <v>0</v>
      </c>
      <c r="H215" s="65">
        <f>COUNTIFS('Error Log'!$A:$A,$A215,'Error Log'!$F:$F,"Source")</f>
        <v>0</v>
      </c>
      <c r="I215" s="65">
        <f>COUNTIFS('Error Log'!$A:$A,$A215,'Error Log'!$F:$F,"Target")</f>
        <v>0</v>
      </c>
      <c r="J215" s="66">
        <f t="shared" si="3"/>
        <v>0</v>
      </c>
    </row>
    <row r="216" spans="1:10">
      <c r="A216" s="76"/>
      <c r="B216" s="65" t="str">
        <f>IF(ISBLANK(A216),"",INDEX('Error Log'!$A:$J,MATCH('Scores per segment'!$A216,'Error Log'!$A:$A,0),MATCH('Scores per segment'!B$1,'Error Log'!$A$1:$J$1,0)))</f>
        <v/>
      </c>
      <c r="C216" s="65" t="str">
        <f>IF(ISBLANK(A216),"",INDEX('Error Log'!$A:$J,MATCH('Scores per segment'!$A216,'Error Log'!$A:$A,0),MATCH('Scores per segment'!C$1,'Error Log'!$A$1:$J$1,0)))</f>
        <v/>
      </c>
      <c r="D216" s="65">
        <f>IF(H216=0,wdct(TRIM(C216)),0)</f>
        <v>0</v>
      </c>
      <c r="E216" s="65">
        <f>COUNTIFS('Error Log'!$A:$A,$A216,'Error Log'!$J:$J,E$1)</f>
        <v>0</v>
      </c>
      <c r="F216" s="65">
        <f>COUNTIFS('Error Log'!$A:$A,$A216,'Error Log'!$J:$J,F$1)</f>
        <v>0</v>
      </c>
      <c r="G216" s="65">
        <f>COUNTIFS('Error Log'!$A:$A,$A216,'Error Log'!$J:$J,G$1)</f>
        <v>0</v>
      </c>
      <c r="H216" s="65">
        <f>COUNTIFS('Error Log'!$A:$A,$A216,'Error Log'!$F:$F,"Source")</f>
        <v>0</v>
      </c>
      <c r="I216" s="65">
        <f>COUNTIFS('Error Log'!$A:$A,$A216,'Error Log'!$F:$F,"Target")</f>
        <v>0</v>
      </c>
      <c r="J216" s="66">
        <f t="shared" si="3"/>
        <v>0</v>
      </c>
    </row>
    <row r="217" spans="1:10">
      <c r="A217" s="76"/>
      <c r="B217" s="65" t="str">
        <f>IF(ISBLANK(A217),"",INDEX('Error Log'!$A:$J,MATCH('Scores per segment'!$A217,'Error Log'!$A:$A,0),MATCH('Scores per segment'!B$1,'Error Log'!$A$1:$J$1,0)))</f>
        <v/>
      </c>
      <c r="C217" s="65" t="str">
        <f>IF(ISBLANK(A217),"",INDEX('Error Log'!$A:$J,MATCH('Scores per segment'!$A217,'Error Log'!$A:$A,0),MATCH('Scores per segment'!C$1,'Error Log'!$A$1:$J$1,0)))</f>
        <v/>
      </c>
      <c r="D217" s="65">
        <f>IF(H217=0,wdct(TRIM(C217)),0)</f>
        <v>0</v>
      </c>
      <c r="E217" s="65">
        <f>COUNTIFS('Error Log'!$A:$A,$A217,'Error Log'!$J:$J,E$1)</f>
        <v>0</v>
      </c>
      <c r="F217" s="65">
        <f>COUNTIFS('Error Log'!$A:$A,$A217,'Error Log'!$J:$J,F$1)</f>
        <v>0</v>
      </c>
      <c r="G217" s="65">
        <f>COUNTIFS('Error Log'!$A:$A,$A217,'Error Log'!$J:$J,G$1)</f>
        <v>0</v>
      </c>
      <c r="H217" s="65">
        <f>COUNTIFS('Error Log'!$A:$A,$A217,'Error Log'!$F:$F,"Source")</f>
        <v>0</v>
      </c>
      <c r="I217" s="65">
        <f>COUNTIFS('Error Log'!$A:$A,$A217,'Error Log'!$F:$F,"Target")</f>
        <v>0</v>
      </c>
      <c r="J217" s="66">
        <f t="shared" si="3"/>
        <v>0</v>
      </c>
    </row>
    <row r="218" spans="1:10">
      <c r="A218" s="76"/>
      <c r="B218" s="65" t="str">
        <f>IF(ISBLANK(A218),"",INDEX('Error Log'!$A:$J,MATCH('Scores per segment'!$A218,'Error Log'!$A:$A,0),MATCH('Scores per segment'!B$1,'Error Log'!$A$1:$J$1,0)))</f>
        <v/>
      </c>
      <c r="C218" s="65" t="str">
        <f>IF(ISBLANK(A218),"",INDEX('Error Log'!$A:$J,MATCH('Scores per segment'!$A218,'Error Log'!$A:$A,0),MATCH('Scores per segment'!C$1,'Error Log'!$A$1:$J$1,0)))</f>
        <v/>
      </c>
      <c r="D218" s="65">
        <f>IF(H218=0,wdct(TRIM(C218)),0)</f>
        <v>0</v>
      </c>
      <c r="E218" s="65">
        <f>COUNTIFS('Error Log'!$A:$A,$A218,'Error Log'!$J:$J,E$1)</f>
        <v>0</v>
      </c>
      <c r="F218" s="65">
        <f>COUNTIFS('Error Log'!$A:$A,$A218,'Error Log'!$J:$J,F$1)</f>
        <v>0</v>
      </c>
      <c r="G218" s="65">
        <f>COUNTIFS('Error Log'!$A:$A,$A218,'Error Log'!$J:$J,G$1)</f>
        <v>0</v>
      </c>
      <c r="H218" s="65">
        <f>COUNTIFS('Error Log'!$A:$A,$A218,'Error Log'!$F:$F,"Source")</f>
        <v>0</v>
      </c>
      <c r="I218" s="65">
        <f>COUNTIFS('Error Log'!$A:$A,$A218,'Error Log'!$F:$F,"Target")</f>
        <v>0</v>
      </c>
      <c r="J218" s="66">
        <f t="shared" si="3"/>
        <v>0</v>
      </c>
    </row>
    <row r="219" spans="1:10">
      <c r="A219" s="76"/>
      <c r="B219" s="65" t="str">
        <f>IF(ISBLANK(A219),"",INDEX('Error Log'!$A:$J,MATCH('Scores per segment'!$A219,'Error Log'!$A:$A,0),MATCH('Scores per segment'!B$1,'Error Log'!$A$1:$J$1,0)))</f>
        <v/>
      </c>
      <c r="C219" s="65" t="str">
        <f>IF(ISBLANK(A219),"",INDEX('Error Log'!$A:$J,MATCH('Scores per segment'!$A219,'Error Log'!$A:$A,0),MATCH('Scores per segment'!C$1,'Error Log'!$A$1:$J$1,0)))</f>
        <v/>
      </c>
      <c r="D219" s="65">
        <f>IF(H219=0,wdct(TRIM(C219)),0)</f>
        <v>0</v>
      </c>
      <c r="E219" s="65">
        <f>COUNTIFS('Error Log'!$A:$A,$A219,'Error Log'!$J:$J,E$1)</f>
        <v>0</v>
      </c>
      <c r="F219" s="65">
        <f>COUNTIFS('Error Log'!$A:$A,$A219,'Error Log'!$J:$J,F$1)</f>
        <v>0</v>
      </c>
      <c r="G219" s="65">
        <f>COUNTIFS('Error Log'!$A:$A,$A219,'Error Log'!$J:$J,G$1)</f>
        <v>0</v>
      </c>
      <c r="H219" s="65">
        <f>COUNTIFS('Error Log'!$A:$A,$A219,'Error Log'!$F:$F,"Source")</f>
        <v>0</v>
      </c>
      <c r="I219" s="65">
        <f>COUNTIFS('Error Log'!$A:$A,$A219,'Error Log'!$F:$F,"Target")</f>
        <v>0</v>
      </c>
      <c r="J219" s="66">
        <f t="shared" si="3"/>
        <v>0</v>
      </c>
    </row>
    <row r="220" spans="1:10">
      <c r="A220" s="76"/>
      <c r="B220" s="65" t="str">
        <f>IF(ISBLANK(A220),"",INDEX('Error Log'!$A:$J,MATCH('Scores per segment'!$A220,'Error Log'!$A:$A,0),MATCH('Scores per segment'!B$1,'Error Log'!$A$1:$J$1,0)))</f>
        <v/>
      </c>
      <c r="C220" s="65" t="str">
        <f>IF(ISBLANK(A220),"",INDEX('Error Log'!$A:$J,MATCH('Scores per segment'!$A220,'Error Log'!$A:$A,0),MATCH('Scores per segment'!C$1,'Error Log'!$A$1:$J$1,0)))</f>
        <v/>
      </c>
      <c r="D220" s="65">
        <f>IF(H220=0,wdct(TRIM(C220)),0)</f>
        <v>0</v>
      </c>
      <c r="E220" s="65">
        <f>COUNTIFS('Error Log'!$A:$A,$A220,'Error Log'!$J:$J,E$1)</f>
        <v>0</v>
      </c>
      <c r="F220" s="65">
        <f>COUNTIFS('Error Log'!$A:$A,$A220,'Error Log'!$J:$J,F$1)</f>
        <v>0</v>
      </c>
      <c r="G220" s="65">
        <f>COUNTIFS('Error Log'!$A:$A,$A220,'Error Log'!$J:$J,G$1)</f>
        <v>0</v>
      </c>
      <c r="H220" s="65">
        <f>COUNTIFS('Error Log'!$A:$A,$A220,'Error Log'!$F:$F,"Source")</f>
        <v>0</v>
      </c>
      <c r="I220" s="65">
        <f>COUNTIFS('Error Log'!$A:$A,$A220,'Error Log'!$F:$F,"Target")</f>
        <v>0</v>
      </c>
      <c r="J220" s="66">
        <f t="shared" si="3"/>
        <v>0</v>
      </c>
    </row>
    <row r="221" spans="1:10">
      <c r="A221" s="76"/>
      <c r="B221" s="65" t="str">
        <f>IF(ISBLANK(A221),"",INDEX('Error Log'!$A:$J,MATCH('Scores per segment'!$A221,'Error Log'!$A:$A,0),MATCH('Scores per segment'!B$1,'Error Log'!$A$1:$J$1,0)))</f>
        <v/>
      </c>
      <c r="C221" s="65" t="str">
        <f>IF(ISBLANK(A221),"",INDEX('Error Log'!$A:$J,MATCH('Scores per segment'!$A221,'Error Log'!$A:$A,0),MATCH('Scores per segment'!C$1,'Error Log'!$A$1:$J$1,0)))</f>
        <v/>
      </c>
      <c r="D221" s="65">
        <f>IF(H221=0,wdct(TRIM(C221)),0)</f>
        <v>0</v>
      </c>
      <c r="E221" s="65">
        <f>COUNTIFS('Error Log'!$A:$A,$A221,'Error Log'!$J:$J,E$1)</f>
        <v>0</v>
      </c>
      <c r="F221" s="65">
        <f>COUNTIFS('Error Log'!$A:$A,$A221,'Error Log'!$J:$J,F$1)</f>
        <v>0</v>
      </c>
      <c r="G221" s="65">
        <f>COUNTIFS('Error Log'!$A:$A,$A221,'Error Log'!$J:$J,G$1)</f>
        <v>0</v>
      </c>
      <c r="H221" s="65">
        <f>COUNTIFS('Error Log'!$A:$A,$A221,'Error Log'!$F:$F,"Source")</f>
        <v>0</v>
      </c>
      <c r="I221" s="65">
        <f>COUNTIFS('Error Log'!$A:$A,$A221,'Error Log'!$F:$F,"Target")</f>
        <v>0</v>
      </c>
      <c r="J221" s="66">
        <f t="shared" si="3"/>
        <v>0</v>
      </c>
    </row>
    <row r="222" spans="1:10">
      <c r="A222" s="76"/>
      <c r="B222" s="65" t="str">
        <f>IF(ISBLANK(A222),"",INDEX('Error Log'!$A:$J,MATCH('Scores per segment'!$A222,'Error Log'!$A:$A,0),MATCH('Scores per segment'!B$1,'Error Log'!$A$1:$J$1,0)))</f>
        <v/>
      </c>
      <c r="C222" s="65" t="str">
        <f>IF(ISBLANK(A222),"",INDEX('Error Log'!$A:$J,MATCH('Scores per segment'!$A222,'Error Log'!$A:$A,0),MATCH('Scores per segment'!C$1,'Error Log'!$A$1:$J$1,0)))</f>
        <v/>
      </c>
      <c r="D222" s="65">
        <f>IF(H222=0,wdct(TRIM(C222)),0)</f>
        <v>0</v>
      </c>
      <c r="E222" s="65">
        <f>COUNTIFS('Error Log'!$A:$A,$A222,'Error Log'!$J:$J,E$1)</f>
        <v>0</v>
      </c>
      <c r="F222" s="65">
        <f>COUNTIFS('Error Log'!$A:$A,$A222,'Error Log'!$J:$J,F$1)</f>
        <v>0</v>
      </c>
      <c r="G222" s="65">
        <f>COUNTIFS('Error Log'!$A:$A,$A222,'Error Log'!$J:$J,G$1)</f>
        <v>0</v>
      </c>
      <c r="H222" s="65">
        <f>COUNTIFS('Error Log'!$A:$A,$A222,'Error Log'!$F:$F,"Source")</f>
        <v>0</v>
      </c>
      <c r="I222" s="65">
        <f>COUNTIFS('Error Log'!$A:$A,$A222,'Error Log'!$F:$F,"Target")</f>
        <v>0</v>
      </c>
      <c r="J222" s="66">
        <f t="shared" si="3"/>
        <v>0</v>
      </c>
    </row>
    <row r="223" spans="1:10">
      <c r="A223" s="76"/>
      <c r="B223" s="65" t="str">
        <f>IF(ISBLANK(A223),"",INDEX('Error Log'!$A:$J,MATCH('Scores per segment'!$A223,'Error Log'!$A:$A,0),MATCH('Scores per segment'!B$1,'Error Log'!$A$1:$J$1,0)))</f>
        <v/>
      </c>
      <c r="C223" s="65" t="str">
        <f>IF(ISBLANK(A223),"",INDEX('Error Log'!$A:$J,MATCH('Scores per segment'!$A223,'Error Log'!$A:$A,0),MATCH('Scores per segment'!C$1,'Error Log'!$A$1:$J$1,0)))</f>
        <v/>
      </c>
      <c r="D223" s="65">
        <f>IF(H223=0,wdct(TRIM(C223)),0)</f>
        <v>0</v>
      </c>
      <c r="E223" s="65">
        <f>COUNTIFS('Error Log'!$A:$A,$A223,'Error Log'!$J:$J,E$1)</f>
        <v>0</v>
      </c>
      <c r="F223" s="65">
        <f>COUNTIFS('Error Log'!$A:$A,$A223,'Error Log'!$J:$J,F$1)</f>
        <v>0</v>
      </c>
      <c r="G223" s="65">
        <f>COUNTIFS('Error Log'!$A:$A,$A223,'Error Log'!$J:$J,G$1)</f>
        <v>0</v>
      </c>
      <c r="H223" s="65">
        <f>COUNTIFS('Error Log'!$A:$A,$A223,'Error Log'!$F:$F,"Source")</f>
        <v>0</v>
      </c>
      <c r="I223" s="65">
        <f>COUNTIFS('Error Log'!$A:$A,$A223,'Error Log'!$F:$F,"Target")</f>
        <v>0</v>
      </c>
      <c r="J223" s="66">
        <f t="shared" si="3"/>
        <v>0</v>
      </c>
    </row>
    <row r="224" spans="1:10">
      <c r="A224" s="76"/>
      <c r="B224" s="65" t="str">
        <f>IF(ISBLANK(A224),"",INDEX('Error Log'!$A:$J,MATCH('Scores per segment'!$A224,'Error Log'!$A:$A,0),MATCH('Scores per segment'!B$1,'Error Log'!$A$1:$J$1,0)))</f>
        <v/>
      </c>
      <c r="C224" s="65" t="str">
        <f>IF(ISBLANK(A224),"",INDEX('Error Log'!$A:$J,MATCH('Scores per segment'!$A224,'Error Log'!$A:$A,0),MATCH('Scores per segment'!C$1,'Error Log'!$A$1:$J$1,0)))</f>
        <v/>
      </c>
      <c r="D224" s="65">
        <f>IF(H224=0,wdct(TRIM(C224)),0)</f>
        <v>0</v>
      </c>
      <c r="E224" s="65">
        <f>COUNTIFS('Error Log'!$A:$A,$A224,'Error Log'!$J:$J,E$1)</f>
        <v>0</v>
      </c>
      <c r="F224" s="65">
        <f>COUNTIFS('Error Log'!$A:$A,$A224,'Error Log'!$J:$J,F$1)</f>
        <v>0</v>
      </c>
      <c r="G224" s="65">
        <f>COUNTIFS('Error Log'!$A:$A,$A224,'Error Log'!$J:$J,G$1)</f>
        <v>0</v>
      </c>
      <c r="H224" s="65">
        <f>COUNTIFS('Error Log'!$A:$A,$A224,'Error Log'!$F:$F,"Source")</f>
        <v>0</v>
      </c>
      <c r="I224" s="65">
        <f>COUNTIFS('Error Log'!$A:$A,$A224,'Error Log'!$F:$F,"Target")</f>
        <v>0</v>
      </c>
      <c r="J224" s="66">
        <f t="shared" si="3"/>
        <v>0</v>
      </c>
    </row>
    <row r="225" spans="1:10">
      <c r="A225" s="76"/>
      <c r="B225" s="65" t="str">
        <f>IF(ISBLANK(A225),"",INDEX('Error Log'!$A:$J,MATCH('Scores per segment'!$A225,'Error Log'!$A:$A,0),MATCH('Scores per segment'!B$1,'Error Log'!$A$1:$J$1,0)))</f>
        <v/>
      </c>
      <c r="C225" s="65" t="str">
        <f>IF(ISBLANK(A225),"",INDEX('Error Log'!$A:$J,MATCH('Scores per segment'!$A225,'Error Log'!$A:$A,0),MATCH('Scores per segment'!C$1,'Error Log'!$A$1:$J$1,0)))</f>
        <v/>
      </c>
      <c r="D225" s="65">
        <f>IF(H225=0,wdct(TRIM(C225)),0)</f>
        <v>0</v>
      </c>
      <c r="E225" s="65">
        <f>COUNTIFS('Error Log'!$A:$A,$A225,'Error Log'!$J:$J,E$1)</f>
        <v>0</v>
      </c>
      <c r="F225" s="65">
        <f>COUNTIFS('Error Log'!$A:$A,$A225,'Error Log'!$J:$J,F$1)</f>
        <v>0</v>
      </c>
      <c r="G225" s="65">
        <f>COUNTIFS('Error Log'!$A:$A,$A225,'Error Log'!$J:$J,G$1)</f>
        <v>0</v>
      </c>
      <c r="H225" s="65">
        <f>COUNTIFS('Error Log'!$A:$A,$A225,'Error Log'!$F:$F,"Source")</f>
        <v>0</v>
      </c>
      <c r="I225" s="65">
        <f>COUNTIFS('Error Log'!$A:$A,$A225,'Error Log'!$F:$F,"Target")</f>
        <v>0</v>
      </c>
      <c r="J225" s="66">
        <f t="shared" si="3"/>
        <v>0</v>
      </c>
    </row>
    <row r="226" spans="1:10">
      <c r="A226" s="76"/>
      <c r="B226" s="65" t="str">
        <f>IF(ISBLANK(A226),"",INDEX('Error Log'!$A:$J,MATCH('Scores per segment'!$A226,'Error Log'!$A:$A,0),MATCH('Scores per segment'!B$1,'Error Log'!$A$1:$J$1,0)))</f>
        <v/>
      </c>
      <c r="C226" s="65" t="str">
        <f>IF(ISBLANK(A226),"",INDEX('Error Log'!$A:$J,MATCH('Scores per segment'!$A226,'Error Log'!$A:$A,0),MATCH('Scores per segment'!C$1,'Error Log'!$A$1:$J$1,0)))</f>
        <v/>
      </c>
      <c r="D226" s="65">
        <f>IF(H226=0,wdct(TRIM(C226)),0)</f>
        <v>0</v>
      </c>
      <c r="E226" s="65">
        <f>COUNTIFS('Error Log'!$A:$A,$A226,'Error Log'!$J:$J,E$1)</f>
        <v>0</v>
      </c>
      <c r="F226" s="65">
        <f>COUNTIFS('Error Log'!$A:$A,$A226,'Error Log'!$J:$J,F$1)</f>
        <v>0</v>
      </c>
      <c r="G226" s="65">
        <f>COUNTIFS('Error Log'!$A:$A,$A226,'Error Log'!$J:$J,G$1)</f>
        <v>0</v>
      </c>
      <c r="H226" s="65">
        <f>COUNTIFS('Error Log'!$A:$A,$A226,'Error Log'!$F:$F,"Source")</f>
        <v>0</v>
      </c>
      <c r="I226" s="65">
        <f>COUNTIFS('Error Log'!$A:$A,$A226,'Error Log'!$F:$F,"Target")</f>
        <v>0</v>
      </c>
      <c r="J226" s="66">
        <f t="shared" si="3"/>
        <v>0</v>
      </c>
    </row>
    <row r="227" spans="1:10">
      <c r="A227" s="76"/>
      <c r="B227" s="65" t="str">
        <f>IF(ISBLANK(A227),"",INDEX('Error Log'!$A:$J,MATCH('Scores per segment'!$A227,'Error Log'!$A:$A,0),MATCH('Scores per segment'!B$1,'Error Log'!$A$1:$J$1,0)))</f>
        <v/>
      </c>
      <c r="C227" s="65" t="str">
        <f>IF(ISBLANK(A227),"",INDEX('Error Log'!$A:$J,MATCH('Scores per segment'!$A227,'Error Log'!$A:$A,0),MATCH('Scores per segment'!C$1,'Error Log'!$A$1:$J$1,0)))</f>
        <v/>
      </c>
      <c r="D227" s="65">
        <f>IF(H227=0,wdct(TRIM(C227)),0)</f>
        <v>0</v>
      </c>
      <c r="E227" s="65">
        <f>COUNTIFS('Error Log'!$A:$A,$A227,'Error Log'!$J:$J,E$1)</f>
        <v>0</v>
      </c>
      <c r="F227" s="65">
        <f>COUNTIFS('Error Log'!$A:$A,$A227,'Error Log'!$J:$J,F$1)</f>
        <v>0</v>
      </c>
      <c r="G227" s="65">
        <f>COUNTIFS('Error Log'!$A:$A,$A227,'Error Log'!$J:$J,G$1)</f>
        <v>0</v>
      </c>
      <c r="H227" s="65">
        <f>COUNTIFS('Error Log'!$A:$A,$A227,'Error Log'!$F:$F,"Source")</f>
        <v>0</v>
      </c>
      <c r="I227" s="65">
        <f>COUNTIFS('Error Log'!$A:$A,$A227,'Error Log'!$F:$F,"Target")</f>
        <v>0</v>
      </c>
      <c r="J227" s="66">
        <f t="shared" si="3"/>
        <v>0</v>
      </c>
    </row>
    <row r="228" spans="1:10">
      <c r="A228" s="76"/>
      <c r="B228" s="65" t="str">
        <f>IF(ISBLANK(A228),"",INDEX('Error Log'!$A:$J,MATCH('Scores per segment'!$A228,'Error Log'!$A:$A,0),MATCH('Scores per segment'!B$1,'Error Log'!$A$1:$J$1,0)))</f>
        <v/>
      </c>
      <c r="C228" s="65" t="str">
        <f>IF(ISBLANK(A228),"",INDEX('Error Log'!$A:$J,MATCH('Scores per segment'!$A228,'Error Log'!$A:$A,0),MATCH('Scores per segment'!C$1,'Error Log'!$A$1:$J$1,0)))</f>
        <v/>
      </c>
      <c r="D228" s="65">
        <f>IF(H228=0,wdct(TRIM(C228)),0)</f>
        <v>0</v>
      </c>
      <c r="E228" s="65">
        <f>COUNTIFS('Error Log'!$A:$A,$A228,'Error Log'!$J:$J,E$1)</f>
        <v>0</v>
      </c>
      <c r="F228" s="65">
        <f>COUNTIFS('Error Log'!$A:$A,$A228,'Error Log'!$J:$J,F$1)</f>
        <v>0</v>
      </c>
      <c r="G228" s="65">
        <f>COUNTIFS('Error Log'!$A:$A,$A228,'Error Log'!$J:$J,G$1)</f>
        <v>0</v>
      </c>
      <c r="H228" s="65">
        <f>COUNTIFS('Error Log'!$A:$A,$A228,'Error Log'!$F:$F,"Source")</f>
        <v>0</v>
      </c>
      <c r="I228" s="65">
        <f>COUNTIFS('Error Log'!$A:$A,$A228,'Error Log'!$F:$F,"Target")</f>
        <v>0</v>
      </c>
      <c r="J228" s="66">
        <f t="shared" si="3"/>
        <v>0</v>
      </c>
    </row>
    <row r="229" spans="1:10">
      <c r="A229" s="76"/>
      <c r="B229" s="65" t="str">
        <f>IF(ISBLANK(A229),"",INDEX('Error Log'!$A:$J,MATCH('Scores per segment'!$A229,'Error Log'!$A:$A,0),MATCH('Scores per segment'!B$1,'Error Log'!$A$1:$J$1,0)))</f>
        <v/>
      </c>
      <c r="C229" s="65" t="str">
        <f>IF(ISBLANK(A229),"",INDEX('Error Log'!$A:$J,MATCH('Scores per segment'!$A229,'Error Log'!$A:$A,0),MATCH('Scores per segment'!C$1,'Error Log'!$A$1:$J$1,0)))</f>
        <v/>
      </c>
      <c r="D229" s="65">
        <f>IF(H229=0,wdct(TRIM(C229)),0)</f>
        <v>0</v>
      </c>
      <c r="E229" s="65">
        <f>COUNTIFS('Error Log'!$A:$A,$A229,'Error Log'!$J:$J,E$1)</f>
        <v>0</v>
      </c>
      <c r="F229" s="65">
        <f>COUNTIFS('Error Log'!$A:$A,$A229,'Error Log'!$J:$J,F$1)</f>
        <v>0</v>
      </c>
      <c r="G229" s="65">
        <f>COUNTIFS('Error Log'!$A:$A,$A229,'Error Log'!$J:$J,G$1)</f>
        <v>0</v>
      </c>
      <c r="H229" s="65">
        <f>COUNTIFS('Error Log'!$A:$A,$A229,'Error Log'!$F:$F,"Source")</f>
        <v>0</v>
      </c>
      <c r="I229" s="65">
        <f>COUNTIFS('Error Log'!$A:$A,$A229,'Error Log'!$F:$F,"Target")</f>
        <v>0</v>
      </c>
      <c r="J229" s="66">
        <f t="shared" si="3"/>
        <v>0</v>
      </c>
    </row>
    <row r="230" spans="1:10">
      <c r="A230" s="76"/>
      <c r="B230" s="65" t="str">
        <f>IF(ISBLANK(A230),"",INDEX('Error Log'!$A:$J,MATCH('Scores per segment'!$A230,'Error Log'!$A:$A,0),MATCH('Scores per segment'!B$1,'Error Log'!$A$1:$J$1,0)))</f>
        <v/>
      </c>
      <c r="C230" s="65" t="str">
        <f>IF(ISBLANK(A230),"",INDEX('Error Log'!$A:$J,MATCH('Scores per segment'!$A230,'Error Log'!$A:$A,0),MATCH('Scores per segment'!C$1,'Error Log'!$A$1:$J$1,0)))</f>
        <v/>
      </c>
      <c r="D230" s="65">
        <f>IF(H230=0,wdct(TRIM(C230)),0)</f>
        <v>0</v>
      </c>
      <c r="E230" s="65">
        <f>COUNTIFS('Error Log'!$A:$A,$A230,'Error Log'!$J:$J,E$1)</f>
        <v>0</v>
      </c>
      <c r="F230" s="65">
        <f>COUNTIFS('Error Log'!$A:$A,$A230,'Error Log'!$J:$J,F$1)</f>
        <v>0</v>
      </c>
      <c r="G230" s="65">
        <f>COUNTIFS('Error Log'!$A:$A,$A230,'Error Log'!$J:$J,G$1)</f>
        <v>0</v>
      </c>
      <c r="H230" s="65">
        <f>COUNTIFS('Error Log'!$A:$A,$A230,'Error Log'!$F:$F,"Source")</f>
        <v>0</v>
      </c>
      <c r="I230" s="65">
        <f>COUNTIFS('Error Log'!$A:$A,$A230,'Error Log'!$F:$F,"Target")</f>
        <v>0</v>
      </c>
      <c r="J230" s="66">
        <f t="shared" si="3"/>
        <v>0</v>
      </c>
    </row>
    <row r="231" spans="1:10">
      <c r="A231" s="76"/>
      <c r="B231" s="65" t="str">
        <f>IF(ISBLANK(A231),"",INDEX('Error Log'!$A:$J,MATCH('Scores per segment'!$A231,'Error Log'!$A:$A,0),MATCH('Scores per segment'!B$1,'Error Log'!$A$1:$J$1,0)))</f>
        <v/>
      </c>
      <c r="C231" s="65" t="str">
        <f>IF(ISBLANK(A231),"",INDEX('Error Log'!$A:$J,MATCH('Scores per segment'!$A231,'Error Log'!$A:$A,0),MATCH('Scores per segment'!C$1,'Error Log'!$A$1:$J$1,0)))</f>
        <v/>
      </c>
      <c r="D231" s="65">
        <f>IF(H231=0,wdct(TRIM(C231)),0)</f>
        <v>0</v>
      </c>
      <c r="E231" s="65">
        <f>COUNTIFS('Error Log'!$A:$A,$A231,'Error Log'!$J:$J,E$1)</f>
        <v>0</v>
      </c>
      <c r="F231" s="65">
        <f>COUNTIFS('Error Log'!$A:$A,$A231,'Error Log'!$J:$J,F$1)</f>
        <v>0</v>
      </c>
      <c r="G231" s="65">
        <f>COUNTIFS('Error Log'!$A:$A,$A231,'Error Log'!$J:$J,G$1)</f>
        <v>0</v>
      </c>
      <c r="H231" s="65">
        <f>COUNTIFS('Error Log'!$A:$A,$A231,'Error Log'!$F:$F,"Source")</f>
        <v>0</v>
      </c>
      <c r="I231" s="65">
        <f>COUNTIFS('Error Log'!$A:$A,$A231,'Error Log'!$F:$F,"Target")</f>
        <v>0</v>
      </c>
      <c r="J231" s="66">
        <f t="shared" si="3"/>
        <v>0</v>
      </c>
    </row>
    <row r="232" spans="1:10">
      <c r="A232" s="76"/>
      <c r="B232" s="65" t="str">
        <f>IF(ISBLANK(A232),"",INDEX('Error Log'!$A:$J,MATCH('Scores per segment'!$A232,'Error Log'!$A:$A,0),MATCH('Scores per segment'!B$1,'Error Log'!$A$1:$J$1,0)))</f>
        <v/>
      </c>
      <c r="C232" s="65" t="str">
        <f>IF(ISBLANK(A232),"",INDEX('Error Log'!$A:$J,MATCH('Scores per segment'!$A232,'Error Log'!$A:$A,0),MATCH('Scores per segment'!C$1,'Error Log'!$A$1:$J$1,0)))</f>
        <v/>
      </c>
      <c r="D232" s="65">
        <f>IF(H232=0,wdct(TRIM(C232)),0)</f>
        <v>0</v>
      </c>
      <c r="E232" s="65">
        <f>COUNTIFS('Error Log'!$A:$A,$A232,'Error Log'!$J:$J,E$1)</f>
        <v>0</v>
      </c>
      <c r="F232" s="65">
        <f>COUNTIFS('Error Log'!$A:$A,$A232,'Error Log'!$J:$J,F$1)</f>
        <v>0</v>
      </c>
      <c r="G232" s="65">
        <f>COUNTIFS('Error Log'!$A:$A,$A232,'Error Log'!$J:$J,G$1)</f>
        <v>0</v>
      </c>
      <c r="H232" s="65">
        <f>COUNTIFS('Error Log'!$A:$A,$A232,'Error Log'!$F:$F,"Source")</f>
        <v>0</v>
      </c>
      <c r="I232" s="65">
        <f>COUNTIFS('Error Log'!$A:$A,$A232,'Error Log'!$F:$F,"Target")</f>
        <v>0</v>
      </c>
      <c r="J232" s="66">
        <f t="shared" si="3"/>
        <v>0</v>
      </c>
    </row>
    <row r="233" spans="1:10">
      <c r="A233" s="76"/>
      <c r="B233" s="65" t="str">
        <f>IF(ISBLANK(A233),"",INDEX('Error Log'!$A:$J,MATCH('Scores per segment'!$A233,'Error Log'!$A:$A,0),MATCH('Scores per segment'!B$1,'Error Log'!$A$1:$J$1,0)))</f>
        <v/>
      </c>
      <c r="C233" s="65" t="str">
        <f>IF(ISBLANK(A233),"",INDEX('Error Log'!$A:$J,MATCH('Scores per segment'!$A233,'Error Log'!$A:$A,0),MATCH('Scores per segment'!C$1,'Error Log'!$A$1:$J$1,0)))</f>
        <v/>
      </c>
      <c r="D233" s="65">
        <f>IF(H233=0,wdct(TRIM(C233)),0)</f>
        <v>0</v>
      </c>
      <c r="E233" s="65">
        <f>COUNTIFS('Error Log'!$A:$A,$A233,'Error Log'!$J:$J,E$1)</f>
        <v>0</v>
      </c>
      <c r="F233" s="65">
        <f>COUNTIFS('Error Log'!$A:$A,$A233,'Error Log'!$J:$J,F$1)</f>
        <v>0</v>
      </c>
      <c r="G233" s="65">
        <f>COUNTIFS('Error Log'!$A:$A,$A233,'Error Log'!$J:$J,G$1)</f>
        <v>0</v>
      </c>
      <c r="H233" s="65">
        <f>COUNTIFS('Error Log'!$A:$A,$A233,'Error Log'!$F:$F,"Source")</f>
        <v>0</v>
      </c>
      <c r="I233" s="65">
        <f>COUNTIFS('Error Log'!$A:$A,$A233,'Error Log'!$F:$F,"Target")</f>
        <v>0</v>
      </c>
      <c r="J233" s="66">
        <f t="shared" si="3"/>
        <v>0</v>
      </c>
    </row>
    <row r="234" spans="1:10">
      <c r="A234" s="76"/>
      <c r="B234" s="65" t="str">
        <f>IF(ISBLANK(A234),"",INDEX('Error Log'!$A:$J,MATCH('Scores per segment'!$A234,'Error Log'!$A:$A,0),MATCH('Scores per segment'!B$1,'Error Log'!$A$1:$J$1,0)))</f>
        <v/>
      </c>
      <c r="C234" s="65" t="str">
        <f>IF(ISBLANK(A234),"",INDEX('Error Log'!$A:$J,MATCH('Scores per segment'!$A234,'Error Log'!$A:$A,0),MATCH('Scores per segment'!C$1,'Error Log'!$A$1:$J$1,0)))</f>
        <v/>
      </c>
      <c r="D234" s="65">
        <f>IF(H234=0,wdct(TRIM(C234)),0)</f>
        <v>0</v>
      </c>
      <c r="E234" s="65">
        <f>COUNTIFS('Error Log'!$A:$A,$A234,'Error Log'!$J:$J,E$1)</f>
        <v>0</v>
      </c>
      <c r="F234" s="65">
        <f>COUNTIFS('Error Log'!$A:$A,$A234,'Error Log'!$J:$J,F$1)</f>
        <v>0</v>
      </c>
      <c r="G234" s="65">
        <f>COUNTIFS('Error Log'!$A:$A,$A234,'Error Log'!$J:$J,G$1)</f>
        <v>0</v>
      </c>
      <c r="H234" s="65">
        <f>COUNTIFS('Error Log'!$A:$A,$A234,'Error Log'!$F:$F,"Source")</f>
        <v>0</v>
      </c>
      <c r="I234" s="65">
        <f>COUNTIFS('Error Log'!$A:$A,$A234,'Error Log'!$F:$F,"Target")</f>
        <v>0</v>
      </c>
      <c r="J234" s="66">
        <f t="shared" si="3"/>
        <v>0</v>
      </c>
    </row>
    <row r="235" spans="1:10">
      <c r="A235" s="76"/>
      <c r="B235" s="65" t="str">
        <f>IF(ISBLANK(A235),"",INDEX('Error Log'!$A:$J,MATCH('Scores per segment'!$A235,'Error Log'!$A:$A,0),MATCH('Scores per segment'!B$1,'Error Log'!$A$1:$J$1,0)))</f>
        <v/>
      </c>
      <c r="C235" s="65" t="str">
        <f>IF(ISBLANK(A235),"",INDEX('Error Log'!$A:$J,MATCH('Scores per segment'!$A235,'Error Log'!$A:$A,0),MATCH('Scores per segment'!C$1,'Error Log'!$A$1:$J$1,0)))</f>
        <v/>
      </c>
      <c r="D235" s="65">
        <f>IF(H235=0,wdct(TRIM(C235)),0)</f>
        <v>0</v>
      </c>
      <c r="E235" s="65">
        <f>COUNTIFS('Error Log'!$A:$A,$A235,'Error Log'!$J:$J,E$1)</f>
        <v>0</v>
      </c>
      <c r="F235" s="65">
        <f>COUNTIFS('Error Log'!$A:$A,$A235,'Error Log'!$J:$J,F$1)</f>
        <v>0</v>
      </c>
      <c r="G235" s="65">
        <f>COUNTIFS('Error Log'!$A:$A,$A235,'Error Log'!$J:$J,G$1)</f>
        <v>0</v>
      </c>
      <c r="H235" s="65">
        <f>COUNTIFS('Error Log'!$A:$A,$A235,'Error Log'!$F:$F,"Source")</f>
        <v>0</v>
      </c>
      <c r="I235" s="65">
        <f>COUNTIFS('Error Log'!$A:$A,$A235,'Error Log'!$F:$F,"Target")</f>
        <v>0</v>
      </c>
      <c r="J235" s="66">
        <f t="shared" si="3"/>
        <v>0</v>
      </c>
    </row>
    <row r="236" spans="1:10">
      <c r="A236" s="76"/>
      <c r="B236" s="65" t="str">
        <f>IF(ISBLANK(A236),"",INDEX('Error Log'!$A:$J,MATCH('Scores per segment'!$A236,'Error Log'!$A:$A,0),MATCH('Scores per segment'!B$1,'Error Log'!$A$1:$J$1,0)))</f>
        <v/>
      </c>
      <c r="C236" s="65" t="str">
        <f>IF(ISBLANK(A236),"",INDEX('Error Log'!$A:$J,MATCH('Scores per segment'!$A236,'Error Log'!$A:$A,0),MATCH('Scores per segment'!C$1,'Error Log'!$A$1:$J$1,0)))</f>
        <v/>
      </c>
      <c r="D236" s="65">
        <f>IF(H236=0,wdct(TRIM(C236)),0)</f>
        <v>0</v>
      </c>
      <c r="E236" s="65">
        <f>COUNTIFS('Error Log'!$A:$A,$A236,'Error Log'!$J:$J,E$1)</f>
        <v>0</v>
      </c>
      <c r="F236" s="65">
        <f>COUNTIFS('Error Log'!$A:$A,$A236,'Error Log'!$J:$J,F$1)</f>
        <v>0</v>
      </c>
      <c r="G236" s="65">
        <f>COUNTIFS('Error Log'!$A:$A,$A236,'Error Log'!$J:$J,G$1)</f>
        <v>0</v>
      </c>
      <c r="H236" s="65">
        <f>COUNTIFS('Error Log'!$A:$A,$A236,'Error Log'!$F:$F,"Source")</f>
        <v>0</v>
      </c>
      <c r="I236" s="65">
        <f>COUNTIFS('Error Log'!$A:$A,$A236,'Error Log'!$F:$F,"Target")</f>
        <v>0</v>
      </c>
      <c r="J236" s="66">
        <f t="shared" si="3"/>
        <v>0</v>
      </c>
    </row>
    <row r="237" spans="1:10">
      <c r="A237" s="76"/>
      <c r="B237" s="65" t="str">
        <f>IF(ISBLANK(A237),"",INDEX('Error Log'!$A:$J,MATCH('Scores per segment'!$A237,'Error Log'!$A:$A,0),MATCH('Scores per segment'!B$1,'Error Log'!$A$1:$J$1,0)))</f>
        <v/>
      </c>
      <c r="C237" s="65" t="str">
        <f>IF(ISBLANK(A237),"",INDEX('Error Log'!$A:$J,MATCH('Scores per segment'!$A237,'Error Log'!$A:$A,0),MATCH('Scores per segment'!C$1,'Error Log'!$A$1:$J$1,0)))</f>
        <v/>
      </c>
      <c r="D237" s="65">
        <f>IF(H237=0,wdct(TRIM(C237)),0)</f>
        <v>0</v>
      </c>
      <c r="E237" s="65">
        <f>COUNTIFS('Error Log'!$A:$A,$A237,'Error Log'!$J:$J,E$1)</f>
        <v>0</v>
      </c>
      <c r="F237" s="65">
        <f>COUNTIFS('Error Log'!$A:$A,$A237,'Error Log'!$J:$J,F$1)</f>
        <v>0</v>
      </c>
      <c r="G237" s="65">
        <f>COUNTIFS('Error Log'!$A:$A,$A237,'Error Log'!$J:$J,G$1)</f>
        <v>0</v>
      </c>
      <c r="H237" s="65">
        <f>COUNTIFS('Error Log'!$A:$A,$A237,'Error Log'!$F:$F,"Source")</f>
        <v>0</v>
      </c>
      <c r="I237" s="65">
        <f>COUNTIFS('Error Log'!$A:$A,$A237,'Error Log'!$F:$F,"Target")</f>
        <v>0</v>
      </c>
      <c r="J237" s="66">
        <f t="shared" si="3"/>
        <v>0</v>
      </c>
    </row>
    <row r="238" spans="1:10">
      <c r="A238" s="76"/>
      <c r="B238" s="65" t="str">
        <f>IF(ISBLANK(A238),"",INDEX('Error Log'!$A:$J,MATCH('Scores per segment'!$A238,'Error Log'!$A:$A,0),MATCH('Scores per segment'!B$1,'Error Log'!$A$1:$J$1,0)))</f>
        <v/>
      </c>
      <c r="C238" s="65" t="str">
        <f>IF(ISBLANK(A238),"",INDEX('Error Log'!$A:$J,MATCH('Scores per segment'!$A238,'Error Log'!$A:$A,0),MATCH('Scores per segment'!C$1,'Error Log'!$A$1:$J$1,0)))</f>
        <v/>
      </c>
      <c r="D238" s="65">
        <f>IF(H238=0,wdct(TRIM(C238)),0)</f>
        <v>0</v>
      </c>
      <c r="E238" s="65">
        <f>COUNTIFS('Error Log'!$A:$A,$A238,'Error Log'!$J:$J,E$1)</f>
        <v>0</v>
      </c>
      <c r="F238" s="65">
        <f>COUNTIFS('Error Log'!$A:$A,$A238,'Error Log'!$J:$J,F$1)</f>
        <v>0</v>
      </c>
      <c r="G238" s="65">
        <f>COUNTIFS('Error Log'!$A:$A,$A238,'Error Log'!$J:$J,G$1)</f>
        <v>0</v>
      </c>
      <c r="H238" s="65">
        <f>COUNTIFS('Error Log'!$A:$A,$A238,'Error Log'!$F:$F,"Source")</f>
        <v>0</v>
      </c>
      <c r="I238" s="65">
        <f>COUNTIFS('Error Log'!$A:$A,$A238,'Error Log'!$F:$F,"Target")</f>
        <v>0</v>
      </c>
      <c r="J238" s="66">
        <f t="shared" si="3"/>
        <v>0</v>
      </c>
    </row>
    <row r="239" spans="1:10">
      <c r="A239" s="76"/>
      <c r="B239" s="65" t="str">
        <f>IF(ISBLANK(A239),"",INDEX('Error Log'!$A:$J,MATCH('Scores per segment'!$A239,'Error Log'!$A:$A,0),MATCH('Scores per segment'!B$1,'Error Log'!$A$1:$J$1,0)))</f>
        <v/>
      </c>
      <c r="C239" s="65" t="str">
        <f>IF(ISBLANK(A239),"",INDEX('Error Log'!$A:$J,MATCH('Scores per segment'!$A239,'Error Log'!$A:$A,0),MATCH('Scores per segment'!C$1,'Error Log'!$A$1:$J$1,0)))</f>
        <v/>
      </c>
      <c r="D239" s="65">
        <f>IF(H239=0,wdct(TRIM(C239)),0)</f>
        <v>0</v>
      </c>
      <c r="E239" s="65">
        <f>COUNTIFS('Error Log'!$A:$A,$A239,'Error Log'!$J:$J,E$1)</f>
        <v>0</v>
      </c>
      <c r="F239" s="65">
        <f>COUNTIFS('Error Log'!$A:$A,$A239,'Error Log'!$J:$J,F$1)</f>
        <v>0</v>
      </c>
      <c r="G239" s="65">
        <f>COUNTIFS('Error Log'!$A:$A,$A239,'Error Log'!$J:$J,G$1)</f>
        <v>0</v>
      </c>
      <c r="H239" s="65">
        <f>COUNTIFS('Error Log'!$A:$A,$A239,'Error Log'!$F:$F,"Source")</f>
        <v>0</v>
      </c>
      <c r="I239" s="65">
        <f>COUNTIFS('Error Log'!$A:$A,$A239,'Error Log'!$F:$F,"Target")</f>
        <v>0</v>
      </c>
      <c r="J239" s="66">
        <f t="shared" si="3"/>
        <v>0</v>
      </c>
    </row>
    <row r="240" spans="1:10">
      <c r="A240" s="76"/>
      <c r="B240" s="65" t="str">
        <f>IF(ISBLANK(A240),"",INDEX('Error Log'!$A:$J,MATCH('Scores per segment'!$A240,'Error Log'!$A:$A,0),MATCH('Scores per segment'!B$1,'Error Log'!$A$1:$J$1,0)))</f>
        <v/>
      </c>
      <c r="C240" s="65" t="str">
        <f>IF(ISBLANK(A240),"",INDEX('Error Log'!$A:$J,MATCH('Scores per segment'!$A240,'Error Log'!$A:$A,0),MATCH('Scores per segment'!C$1,'Error Log'!$A$1:$J$1,0)))</f>
        <v/>
      </c>
      <c r="D240" s="65">
        <f>IF(H240=0,wdct(TRIM(C240)),0)</f>
        <v>0</v>
      </c>
      <c r="E240" s="65">
        <f>COUNTIFS('Error Log'!$A:$A,$A240,'Error Log'!$J:$J,E$1)</f>
        <v>0</v>
      </c>
      <c r="F240" s="65">
        <f>COUNTIFS('Error Log'!$A:$A,$A240,'Error Log'!$J:$J,F$1)</f>
        <v>0</v>
      </c>
      <c r="G240" s="65">
        <f>COUNTIFS('Error Log'!$A:$A,$A240,'Error Log'!$J:$J,G$1)</f>
        <v>0</v>
      </c>
      <c r="H240" s="65">
        <f>COUNTIFS('Error Log'!$A:$A,$A240,'Error Log'!$F:$F,"Source")</f>
        <v>0</v>
      </c>
      <c r="I240" s="65">
        <f>COUNTIFS('Error Log'!$A:$A,$A240,'Error Log'!$F:$F,"Target")</f>
        <v>0</v>
      </c>
      <c r="J240" s="66">
        <f t="shared" si="3"/>
        <v>0</v>
      </c>
    </row>
    <row r="241" spans="1:10">
      <c r="A241" s="76"/>
      <c r="B241" s="65" t="str">
        <f>IF(ISBLANK(A241),"",INDEX('Error Log'!$A:$J,MATCH('Scores per segment'!$A241,'Error Log'!$A:$A,0),MATCH('Scores per segment'!B$1,'Error Log'!$A$1:$J$1,0)))</f>
        <v/>
      </c>
      <c r="C241" s="65" t="str">
        <f>IF(ISBLANK(A241),"",INDEX('Error Log'!$A:$J,MATCH('Scores per segment'!$A241,'Error Log'!$A:$A,0),MATCH('Scores per segment'!C$1,'Error Log'!$A$1:$J$1,0)))</f>
        <v/>
      </c>
      <c r="D241" s="65">
        <f>IF(H241=0,wdct(TRIM(C241)),0)</f>
        <v>0</v>
      </c>
      <c r="E241" s="65">
        <f>COUNTIFS('Error Log'!$A:$A,$A241,'Error Log'!$J:$J,E$1)</f>
        <v>0</v>
      </c>
      <c r="F241" s="65">
        <f>COUNTIFS('Error Log'!$A:$A,$A241,'Error Log'!$J:$J,F$1)</f>
        <v>0</v>
      </c>
      <c r="G241" s="65">
        <f>COUNTIFS('Error Log'!$A:$A,$A241,'Error Log'!$J:$J,G$1)</f>
        <v>0</v>
      </c>
      <c r="H241" s="65">
        <f>COUNTIFS('Error Log'!$A:$A,$A241,'Error Log'!$F:$F,"Source")</f>
        <v>0</v>
      </c>
      <c r="I241" s="65">
        <f>COUNTIFS('Error Log'!$A:$A,$A241,'Error Log'!$F:$F,"Target")</f>
        <v>0</v>
      </c>
      <c r="J241" s="66">
        <f t="shared" si="3"/>
        <v>0</v>
      </c>
    </row>
    <row r="242" spans="1:10">
      <c r="A242" s="76"/>
      <c r="B242" s="65" t="str">
        <f>IF(ISBLANK(A242),"",INDEX('Error Log'!$A:$J,MATCH('Scores per segment'!$A242,'Error Log'!$A:$A,0),MATCH('Scores per segment'!B$1,'Error Log'!$A$1:$J$1,0)))</f>
        <v/>
      </c>
      <c r="C242" s="65" t="str">
        <f>IF(ISBLANK(A242),"",INDEX('Error Log'!$A:$J,MATCH('Scores per segment'!$A242,'Error Log'!$A:$A,0),MATCH('Scores per segment'!C$1,'Error Log'!$A$1:$J$1,0)))</f>
        <v/>
      </c>
      <c r="D242" s="65">
        <f>IF(H242=0,wdct(TRIM(C242)),0)</f>
        <v>0</v>
      </c>
      <c r="E242" s="65">
        <f>COUNTIFS('Error Log'!$A:$A,$A242,'Error Log'!$J:$J,E$1)</f>
        <v>0</v>
      </c>
      <c r="F242" s="65">
        <f>COUNTIFS('Error Log'!$A:$A,$A242,'Error Log'!$J:$J,F$1)</f>
        <v>0</v>
      </c>
      <c r="G242" s="65">
        <f>COUNTIFS('Error Log'!$A:$A,$A242,'Error Log'!$J:$J,G$1)</f>
        <v>0</v>
      </c>
      <c r="H242" s="65">
        <f>COUNTIFS('Error Log'!$A:$A,$A242,'Error Log'!$F:$F,"Source")</f>
        <v>0</v>
      </c>
      <c r="I242" s="65">
        <f>COUNTIFS('Error Log'!$A:$A,$A242,'Error Log'!$F:$F,"Target")</f>
        <v>0</v>
      </c>
      <c r="J242" s="66">
        <f t="shared" si="3"/>
        <v>0</v>
      </c>
    </row>
    <row r="243" spans="1:10">
      <c r="A243" s="76"/>
      <c r="B243" s="65" t="str">
        <f>IF(ISBLANK(A243),"",INDEX('Error Log'!$A:$J,MATCH('Scores per segment'!$A243,'Error Log'!$A:$A,0),MATCH('Scores per segment'!B$1,'Error Log'!$A$1:$J$1,0)))</f>
        <v/>
      </c>
      <c r="C243" s="65" t="str">
        <f>IF(ISBLANK(A243),"",INDEX('Error Log'!$A:$J,MATCH('Scores per segment'!$A243,'Error Log'!$A:$A,0),MATCH('Scores per segment'!C$1,'Error Log'!$A$1:$J$1,0)))</f>
        <v/>
      </c>
      <c r="D243" s="65">
        <f>IF(H243=0,wdct(TRIM(C243)),0)</f>
        <v>0</v>
      </c>
      <c r="E243" s="65">
        <f>COUNTIFS('Error Log'!$A:$A,$A243,'Error Log'!$J:$J,E$1)</f>
        <v>0</v>
      </c>
      <c r="F243" s="65">
        <f>COUNTIFS('Error Log'!$A:$A,$A243,'Error Log'!$J:$J,F$1)</f>
        <v>0</v>
      </c>
      <c r="G243" s="65">
        <f>COUNTIFS('Error Log'!$A:$A,$A243,'Error Log'!$J:$J,G$1)</f>
        <v>0</v>
      </c>
      <c r="H243" s="65">
        <f>COUNTIFS('Error Log'!$A:$A,$A243,'Error Log'!$F:$F,"Source")</f>
        <v>0</v>
      </c>
      <c r="I243" s="65">
        <f>COUNTIFS('Error Log'!$A:$A,$A243,'Error Log'!$F:$F,"Target")</f>
        <v>0</v>
      </c>
      <c r="J243" s="66">
        <f t="shared" si="3"/>
        <v>0</v>
      </c>
    </row>
    <row r="244" spans="1:10">
      <c r="A244" s="76"/>
      <c r="B244" s="65" t="str">
        <f>IF(ISBLANK(A244),"",INDEX('Error Log'!$A:$J,MATCH('Scores per segment'!$A244,'Error Log'!$A:$A,0),MATCH('Scores per segment'!B$1,'Error Log'!$A$1:$J$1,0)))</f>
        <v/>
      </c>
      <c r="C244" s="65" t="str">
        <f>IF(ISBLANK(A244),"",INDEX('Error Log'!$A:$J,MATCH('Scores per segment'!$A244,'Error Log'!$A:$A,0),MATCH('Scores per segment'!C$1,'Error Log'!$A$1:$J$1,0)))</f>
        <v/>
      </c>
      <c r="D244" s="65">
        <f>IF(H244=0,wdct(TRIM(C244)),0)</f>
        <v>0</v>
      </c>
      <c r="E244" s="65">
        <f>COUNTIFS('Error Log'!$A:$A,$A244,'Error Log'!$J:$J,E$1)</f>
        <v>0</v>
      </c>
      <c r="F244" s="65">
        <f>COUNTIFS('Error Log'!$A:$A,$A244,'Error Log'!$J:$J,F$1)</f>
        <v>0</v>
      </c>
      <c r="G244" s="65">
        <f>COUNTIFS('Error Log'!$A:$A,$A244,'Error Log'!$J:$J,G$1)</f>
        <v>0</v>
      </c>
      <c r="H244" s="65">
        <f>COUNTIFS('Error Log'!$A:$A,$A244,'Error Log'!$F:$F,"Source")</f>
        <v>0</v>
      </c>
      <c r="I244" s="65">
        <f>COUNTIFS('Error Log'!$A:$A,$A244,'Error Log'!$F:$F,"Target")</f>
        <v>0</v>
      </c>
      <c r="J244" s="66">
        <f t="shared" si="3"/>
        <v>0</v>
      </c>
    </row>
    <row r="245" spans="1:10">
      <c r="A245" s="76"/>
      <c r="B245" s="65" t="str">
        <f>IF(ISBLANK(A245),"",INDEX('Error Log'!$A:$J,MATCH('Scores per segment'!$A245,'Error Log'!$A:$A,0),MATCH('Scores per segment'!B$1,'Error Log'!$A$1:$J$1,0)))</f>
        <v/>
      </c>
      <c r="C245" s="65" t="str">
        <f>IF(ISBLANK(A245),"",INDEX('Error Log'!$A:$J,MATCH('Scores per segment'!$A245,'Error Log'!$A:$A,0),MATCH('Scores per segment'!C$1,'Error Log'!$A$1:$J$1,0)))</f>
        <v/>
      </c>
      <c r="D245" s="65">
        <f>IF(H245=0,wdct(TRIM(C245)),0)</f>
        <v>0</v>
      </c>
      <c r="E245" s="65">
        <f>COUNTIFS('Error Log'!$A:$A,$A245,'Error Log'!$J:$J,E$1)</f>
        <v>0</v>
      </c>
      <c r="F245" s="65">
        <f>COUNTIFS('Error Log'!$A:$A,$A245,'Error Log'!$J:$J,F$1)</f>
        <v>0</v>
      </c>
      <c r="G245" s="65">
        <f>COUNTIFS('Error Log'!$A:$A,$A245,'Error Log'!$J:$J,G$1)</f>
        <v>0</v>
      </c>
      <c r="H245" s="65">
        <f>COUNTIFS('Error Log'!$A:$A,$A245,'Error Log'!$F:$F,"Source")</f>
        <v>0</v>
      </c>
      <c r="I245" s="65">
        <f>COUNTIFS('Error Log'!$A:$A,$A245,'Error Log'!$F:$F,"Target")</f>
        <v>0</v>
      </c>
      <c r="J245" s="66">
        <f t="shared" si="3"/>
        <v>0</v>
      </c>
    </row>
    <row r="246" spans="1:10">
      <c r="A246" s="76"/>
      <c r="B246" s="65" t="str">
        <f>IF(ISBLANK(A246),"",INDEX('Error Log'!$A:$J,MATCH('Scores per segment'!$A246,'Error Log'!$A:$A,0),MATCH('Scores per segment'!B$1,'Error Log'!$A$1:$J$1,0)))</f>
        <v/>
      </c>
      <c r="C246" s="65" t="str">
        <f>IF(ISBLANK(A246),"",INDEX('Error Log'!$A:$J,MATCH('Scores per segment'!$A246,'Error Log'!$A:$A,0),MATCH('Scores per segment'!C$1,'Error Log'!$A$1:$J$1,0)))</f>
        <v/>
      </c>
      <c r="D246" s="65">
        <f>IF(H246=0,wdct(TRIM(C246)),0)</f>
        <v>0</v>
      </c>
      <c r="E246" s="65">
        <f>COUNTIFS('Error Log'!$A:$A,$A246,'Error Log'!$J:$J,E$1)</f>
        <v>0</v>
      </c>
      <c r="F246" s="65">
        <f>COUNTIFS('Error Log'!$A:$A,$A246,'Error Log'!$J:$J,F$1)</f>
        <v>0</v>
      </c>
      <c r="G246" s="65">
        <f>COUNTIFS('Error Log'!$A:$A,$A246,'Error Log'!$J:$J,G$1)</f>
        <v>0</v>
      </c>
      <c r="H246" s="65">
        <f>COUNTIFS('Error Log'!$A:$A,$A246,'Error Log'!$F:$F,"Source")</f>
        <v>0</v>
      </c>
      <c r="I246" s="65">
        <f>COUNTIFS('Error Log'!$A:$A,$A246,'Error Log'!$F:$F,"Target")</f>
        <v>0</v>
      </c>
      <c r="J246" s="66">
        <f t="shared" si="3"/>
        <v>0</v>
      </c>
    </row>
    <row r="247" spans="1:10">
      <c r="A247" s="76"/>
      <c r="B247" s="65" t="str">
        <f>IF(ISBLANK(A247),"",INDEX('Error Log'!$A:$J,MATCH('Scores per segment'!$A247,'Error Log'!$A:$A,0),MATCH('Scores per segment'!B$1,'Error Log'!$A$1:$J$1,0)))</f>
        <v/>
      </c>
      <c r="C247" s="65" t="str">
        <f>IF(ISBLANK(A247),"",INDEX('Error Log'!$A:$J,MATCH('Scores per segment'!$A247,'Error Log'!$A:$A,0),MATCH('Scores per segment'!C$1,'Error Log'!$A$1:$J$1,0)))</f>
        <v/>
      </c>
      <c r="D247" s="65">
        <f>IF(H247=0,wdct(TRIM(C247)),0)</f>
        <v>0</v>
      </c>
      <c r="E247" s="65">
        <f>COUNTIFS('Error Log'!$A:$A,$A247,'Error Log'!$J:$J,E$1)</f>
        <v>0</v>
      </c>
      <c r="F247" s="65">
        <f>COUNTIFS('Error Log'!$A:$A,$A247,'Error Log'!$J:$J,F$1)</f>
        <v>0</v>
      </c>
      <c r="G247" s="65">
        <f>COUNTIFS('Error Log'!$A:$A,$A247,'Error Log'!$J:$J,G$1)</f>
        <v>0</v>
      </c>
      <c r="H247" s="65">
        <f>COUNTIFS('Error Log'!$A:$A,$A247,'Error Log'!$F:$F,"Source")</f>
        <v>0</v>
      </c>
      <c r="I247" s="65">
        <f>COUNTIFS('Error Log'!$A:$A,$A247,'Error Log'!$F:$F,"Target")</f>
        <v>0</v>
      </c>
      <c r="J247" s="66">
        <f t="shared" si="3"/>
        <v>0</v>
      </c>
    </row>
    <row r="248" spans="1:10">
      <c r="A248" s="76"/>
      <c r="B248" s="65" t="str">
        <f>IF(ISBLANK(A248),"",INDEX('Error Log'!$A:$J,MATCH('Scores per segment'!$A248,'Error Log'!$A:$A,0),MATCH('Scores per segment'!B$1,'Error Log'!$A$1:$J$1,0)))</f>
        <v/>
      </c>
      <c r="C248" s="65" t="str">
        <f>IF(ISBLANK(A248),"",INDEX('Error Log'!$A:$J,MATCH('Scores per segment'!$A248,'Error Log'!$A:$A,0),MATCH('Scores per segment'!C$1,'Error Log'!$A$1:$J$1,0)))</f>
        <v/>
      </c>
      <c r="D248" s="65">
        <f>IF(H248=0,wdct(TRIM(C248)),0)</f>
        <v>0</v>
      </c>
      <c r="E248" s="65">
        <f>COUNTIFS('Error Log'!$A:$A,$A248,'Error Log'!$J:$J,E$1)</f>
        <v>0</v>
      </c>
      <c r="F248" s="65">
        <f>COUNTIFS('Error Log'!$A:$A,$A248,'Error Log'!$J:$J,F$1)</f>
        <v>0</v>
      </c>
      <c r="G248" s="65">
        <f>COUNTIFS('Error Log'!$A:$A,$A248,'Error Log'!$J:$J,G$1)</f>
        <v>0</v>
      </c>
      <c r="H248" s="65">
        <f>COUNTIFS('Error Log'!$A:$A,$A248,'Error Log'!$F:$F,"Source")</f>
        <v>0</v>
      </c>
      <c r="I248" s="65">
        <f>COUNTIFS('Error Log'!$A:$A,$A248,'Error Log'!$F:$F,"Target")</f>
        <v>0</v>
      </c>
      <c r="J248" s="66">
        <f t="shared" si="3"/>
        <v>0</v>
      </c>
    </row>
    <row r="249" spans="1:10">
      <c r="A249" s="76"/>
      <c r="B249" s="65" t="str">
        <f>IF(ISBLANK(A249),"",INDEX('Error Log'!$A:$J,MATCH('Scores per segment'!$A249,'Error Log'!$A:$A,0),MATCH('Scores per segment'!B$1,'Error Log'!$A$1:$J$1,0)))</f>
        <v/>
      </c>
      <c r="C249" s="65" t="str">
        <f>IF(ISBLANK(A249),"",INDEX('Error Log'!$A:$J,MATCH('Scores per segment'!$A249,'Error Log'!$A:$A,0),MATCH('Scores per segment'!C$1,'Error Log'!$A$1:$J$1,0)))</f>
        <v/>
      </c>
      <c r="D249" s="65">
        <f>IF(H249=0,wdct(TRIM(C249)),0)</f>
        <v>0</v>
      </c>
      <c r="E249" s="65">
        <f>COUNTIFS('Error Log'!$A:$A,$A249,'Error Log'!$J:$J,E$1)</f>
        <v>0</v>
      </c>
      <c r="F249" s="65">
        <f>COUNTIFS('Error Log'!$A:$A,$A249,'Error Log'!$J:$J,F$1)</f>
        <v>0</v>
      </c>
      <c r="G249" s="65">
        <f>COUNTIFS('Error Log'!$A:$A,$A249,'Error Log'!$J:$J,G$1)</f>
        <v>0</v>
      </c>
      <c r="H249" s="65">
        <f>COUNTIFS('Error Log'!$A:$A,$A249,'Error Log'!$F:$F,"Source")</f>
        <v>0</v>
      </c>
      <c r="I249" s="65">
        <f>COUNTIFS('Error Log'!$A:$A,$A249,'Error Log'!$F:$F,"Target")</f>
        <v>0</v>
      </c>
      <c r="J249" s="66">
        <f t="shared" si="3"/>
        <v>0</v>
      </c>
    </row>
    <row r="250" spans="1:10">
      <c r="A250" s="76"/>
      <c r="B250" s="65" t="str">
        <f>IF(ISBLANK(A250),"",INDEX('Error Log'!$A:$J,MATCH('Scores per segment'!$A250,'Error Log'!$A:$A,0),MATCH('Scores per segment'!B$1,'Error Log'!$A$1:$J$1,0)))</f>
        <v/>
      </c>
      <c r="C250" s="65" t="str">
        <f>IF(ISBLANK(A250),"",INDEX('Error Log'!$A:$J,MATCH('Scores per segment'!$A250,'Error Log'!$A:$A,0),MATCH('Scores per segment'!C$1,'Error Log'!$A$1:$J$1,0)))</f>
        <v/>
      </c>
      <c r="D250" s="65">
        <f>IF(H250=0,wdct(TRIM(C250)),0)</f>
        <v>0</v>
      </c>
      <c r="E250" s="65">
        <f>COUNTIFS('Error Log'!$A:$A,$A250,'Error Log'!$J:$J,E$1)</f>
        <v>0</v>
      </c>
      <c r="F250" s="65">
        <f>COUNTIFS('Error Log'!$A:$A,$A250,'Error Log'!$J:$J,F$1)</f>
        <v>0</v>
      </c>
      <c r="G250" s="65">
        <f>COUNTIFS('Error Log'!$A:$A,$A250,'Error Log'!$J:$J,G$1)</f>
        <v>0</v>
      </c>
      <c r="H250" s="65">
        <f>COUNTIFS('Error Log'!$A:$A,$A250,'Error Log'!$F:$F,"Source")</f>
        <v>0</v>
      </c>
      <c r="I250" s="65">
        <f>COUNTIFS('Error Log'!$A:$A,$A250,'Error Log'!$F:$F,"Target")</f>
        <v>0</v>
      </c>
      <c r="J250" s="66">
        <f t="shared" si="3"/>
        <v>0</v>
      </c>
    </row>
    <row r="251" spans="1:10">
      <c r="A251" s="76"/>
      <c r="B251" s="65" t="str">
        <f>IF(ISBLANK(A251),"",INDEX('Error Log'!$A:$J,MATCH('Scores per segment'!$A251,'Error Log'!$A:$A,0),MATCH('Scores per segment'!B$1,'Error Log'!$A$1:$J$1,0)))</f>
        <v/>
      </c>
      <c r="C251" s="65" t="str">
        <f>IF(ISBLANK(A251),"",INDEX('Error Log'!$A:$J,MATCH('Scores per segment'!$A251,'Error Log'!$A:$A,0),MATCH('Scores per segment'!C$1,'Error Log'!$A$1:$J$1,0)))</f>
        <v/>
      </c>
      <c r="D251" s="65">
        <f>IF(H251=0,wdct(TRIM(C251)),0)</f>
        <v>0</v>
      </c>
      <c r="E251" s="65">
        <f>COUNTIFS('Error Log'!$A:$A,$A251,'Error Log'!$J:$J,E$1)</f>
        <v>0</v>
      </c>
      <c r="F251" s="65">
        <f>COUNTIFS('Error Log'!$A:$A,$A251,'Error Log'!$J:$J,F$1)</f>
        <v>0</v>
      </c>
      <c r="G251" s="65">
        <f>COUNTIFS('Error Log'!$A:$A,$A251,'Error Log'!$J:$J,G$1)</f>
        <v>0</v>
      </c>
      <c r="H251" s="65">
        <f>COUNTIFS('Error Log'!$A:$A,$A251,'Error Log'!$F:$F,"Source")</f>
        <v>0</v>
      </c>
      <c r="I251" s="65">
        <f>COUNTIFS('Error Log'!$A:$A,$A251,'Error Log'!$F:$F,"Target")</f>
        <v>0</v>
      </c>
      <c r="J251" s="66">
        <f t="shared" si="3"/>
        <v>0</v>
      </c>
    </row>
    <row r="252" spans="1:10">
      <c r="A252" s="76"/>
      <c r="B252" s="65" t="str">
        <f>IF(ISBLANK(A252),"",INDEX('Error Log'!$A:$J,MATCH('Scores per segment'!$A252,'Error Log'!$A:$A,0),MATCH('Scores per segment'!B$1,'Error Log'!$A$1:$J$1,0)))</f>
        <v/>
      </c>
      <c r="C252" s="65" t="str">
        <f>IF(ISBLANK(A252),"",INDEX('Error Log'!$A:$J,MATCH('Scores per segment'!$A252,'Error Log'!$A:$A,0),MATCH('Scores per segment'!C$1,'Error Log'!$A$1:$J$1,0)))</f>
        <v/>
      </c>
      <c r="D252" s="65">
        <f>IF(H252=0,wdct(TRIM(C252)),0)</f>
        <v>0</v>
      </c>
      <c r="E252" s="65">
        <f>COUNTIFS('Error Log'!$A:$A,$A252,'Error Log'!$J:$J,E$1)</f>
        <v>0</v>
      </c>
      <c r="F252" s="65">
        <f>COUNTIFS('Error Log'!$A:$A,$A252,'Error Log'!$J:$J,F$1)</f>
        <v>0</v>
      </c>
      <c r="G252" s="65">
        <f>COUNTIFS('Error Log'!$A:$A,$A252,'Error Log'!$J:$J,G$1)</f>
        <v>0</v>
      </c>
      <c r="H252" s="65">
        <f>COUNTIFS('Error Log'!$A:$A,$A252,'Error Log'!$F:$F,"Source")</f>
        <v>0</v>
      </c>
      <c r="I252" s="65">
        <f>COUNTIFS('Error Log'!$A:$A,$A252,'Error Log'!$F:$F,"Target")</f>
        <v>0</v>
      </c>
      <c r="J252" s="66">
        <f t="shared" si="3"/>
        <v>0</v>
      </c>
    </row>
    <row r="253" spans="1:10">
      <c r="A253" s="76"/>
      <c r="B253" s="65" t="str">
        <f>IF(ISBLANK(A253),"",INDEX('Error Log'!$A:$J,MATCH('Scores per segment'!$A253,'Error Log'!$A:$A,0),MATCH('Scores per segment'!B$1,'Error Log'!$A$1:$J$1,0)))</f>
        <v/>
      </c>
      <c r="C253" s="65" t="str">
        <f>IF(ISBLANK(A253),"",INDEX('Error Log'!$A:$J,MATCH('Scores per segment'!$A253,'Error Log'!$A:$A,0),MATCH('Scores per segment'!C$1,'Error Log'!$A$1:$J$1,0)))</f>
        <v/>
      </c>
      <c r="D253" s="65">
        <f>IF(H253=0,wdct(TRIM(C253)),0)</f>
        <v>0</v>
      </c>
      <c r="E253" s="65">
        <f>COUNTIFS('Error Log'!$A:$A,$A253,'Error Log'!$J:$J,E$1)</f>
        <v>0</v>
      </c>
      <c r="F253" s="65">
        <f>COUNTIFS('Error Log'!$A:$A,$A253,'Error Log'!$J:$J,F$1)</f>
        <v>0</v>
      </c>
      <c r="G253" s="65">
        <f>COUNTIFS('Error Log'!$A:$A,$A253,'Error Log'!$J:$J,G$1)</f>
        <v>0</v>
      </c>
      <c r="H253" s="65">
        <f>COUNTIFS('Error Log'!$A:$A,$A253,'Error Log'!$F:$F,"Source")</f>
        <v>0</v>
      </c>
      <c r="I253" s="65">
        <f>COUNTIFS('Error Log'!$A:$A,$A253,'Error Log'!$F:$F,"Target")</f>
        <v>0</v>
      </c>
      <c r="J253" s="66">
        <f t="shared" si="3"/>
        <v>0</v>
      </c>
    </row>
    <row r="254" spans="1:10">
      <c r="A254" s="76"/>
      <c r="B254" s="65" t="str">
        <f>IF(ISBLANK(A254),"",INDEX('Error Log'!$A:$J,MATCH('Scores per segment'!$A254,'Error Log'!$A:$A,0),MATCH('Scores per segment'!B$1,'Error Log'!$A$1:$J$1,0)))</f>
        <v/>
      </c>
      <c r="C254" s="65" t="str">
        <f>IF(ISBLANK(A254),"",INDEX('Error Log'!$A:$J,MATCH('Scores per segment'!$A254,'Error Log'!$A:$A,0),MATCH('Scores per segment'!C$1,'Error Log'!$A$1:$J$1,0)))</f>
        <v/>
      </c>
      <c r="D254" s="65">
        <f>IF(H254=0,wdct(TRIM(C254)),0)</f>
        <v>0</v>
      </c>
      <c r="E254" s="65">
        <f>COUNTIFS('Error Log'!$A:$A,$A254,'Error Log'!$J:$J,E$1)</f>
        <v>0</v>
      </c>
      <c r="F254" s="65">
        <f>COUNTIFS('Error Log'!$A:$A,$A254,'Error Log'!$J:$J,F$1)</f>
        <v>0</v>
      </c>
      <c r="G254" s="65">
        <f>COUNTIFS('Error Log'!$A:$A,$A254,'Error Log'!$J:$J,G$1)</f>
        <v>0</v>
      </c>
      <c r="H254" s="65">
        <f>COUNTIFS('Error Log'!$A:$A,$A254,'Error Log'!$F:$F,"Source")</f>
        <v>0</v>
      </c>
      <c r="I254" s="65">
        <f>COUNTIFS('Error Log'!$A:$A,$A254,'Error Log'!$F:$F,"Target")</f>
        <v>0</v>
      </c>
      <c r="J254" s="66">
        <f t="shared" si="3"/>
        <v>0</v>
      </c>
    </row>
    <row r="255" spans="1:10">
      <c r="A255" s="76"/>
      <c r="B255" s="65" t="str">
        <f>IF(ISBLANK(A255),"",INDEX('Error Log'!$A:$J,MATCH('Scores per segment'!$A255,'Error Log'!$A:$A,0),MATCH('Scores per segment'!B$1,'Error Log'!$A$1:$J$1,0)))</f>
        <v/>
      </c>
      <c r="C255" s="65" t="str">
        <f>IF(ISBLANK(A255),"",INDEX('Error Log'!$A:$J,MATCH('Scores per segment'!$A255,'Error Log'!$A:$A,0),MATCH('Scores per segment'!C$1,'Error Log'!$A$1:$J$1,0)))</f>
        <v/>
      </c>
      <c r="D255" s="65">
        <f>IF(H255=0,wdct(TRIM(C255)),0)</f>
        <v>0</v>
      </c>
      <c r="E255" s="65">
        <f>COUNTIFS('Error Log'!$A:$A,$A255,'Error Log'!$J:$J,E$1)</f>
        <v>0</v>
      </c>
      <c r="F255" s="65">
        <f>COUNTIFS('Error Log'!$A:$A,$A255,'Error Log'!$J:$J,F$1)</f>
        <v>0</v>
      </c>
      <c r="G255" s="65">
        <f>COUNTIFS('Error Log'!$A:$A,$A255,'Error Log'!$J:$J,G$1)</f>
        <v>0</v>
      </c>
      <c r="H255" s="65">
        <f>COUNTIFS('Error Log'!$A:$A,$A255,'Error Log'!$F:$F,"Source")</f>
        <v>0</v>
      </c>
      <c r="I255" s="65">
        <f>COUNTIFS('Error Log'!$A:$A,$A255,'Error Log'!$F:$F,"Target")</f>
        <v>0</v>
      </c>
      <c r="J255" s="66">
        <f t="shared" si="3"/>
        <v>0</v>
      </c>
    </row>
    <row r="256" spans="1:10">
      <c r="A256" s="76"/>
      <c r="B256" s="65" t="str">
        <f>IF(ISBLANK(A256),"",INDEX('Error Log'!$A:$J,MATCH('Scores per segment'!$A256,'Error Log'!$A:$A,0),MATCH('Scores per segment'!B$1,'Error Log'!$A$1:$J$1,0)))</f>
        <v/>
      </c>
      <c r="C256" s="65" t="str">
        <f>IF(ISBLANK(A256),"",INDEX('Error Log'!$A:$J,MATCH('Scores per segment'!$A256,'Error Log'!$A:$A,0),MATCH('Scores per segment'!C$1,'Error Log'!$A$1:$J$1,0)))</f>
        <v/>
      </c>
      <c r="D256" s="65">
        <f>IF(H256=0,wdct(TRIM(C256)),0)</f>
        <v>0</v>
      </c>
      <c r="E256" s="65">
        <f>COUNTIFS('Error Log'!$A:$A,$A256,'Error Log'!$J:$J,E$1)</f>
        <v>0</v>
      </c>
      <c r="F256" s="65">
        <f>COUNTIFS('Error Log'!$A:$A,$A256,'Error Log'!$J:$J,F$1)</f>
        <v>0</v>
      </c>
      <c r="G256" s="65">
        <f>COUNTIFS('Error Log'!$A:$A,$A256,'Error Log'!$J:$J,G$1)</f>
        <v>0</v>
      </c>
      <c r="H256" s="65">
        <f>COUNTIFS('Error Log'!$A:$A,$A256,'Error Log'!$F:$F,"Source")</f>
        <v>0</v>
      </c>
      <c r="I256" s="65">
        <f>COUNTIFS('Error Log'!$A:$A,$A256,'Error Log'!$F:$F,"Target")</f>
        <v>0</v>
      </c>
      <c r="J256" s="66">
        <f t="shared" si="3"/>
        <v>0</v>
      </c>
    </row>
    <row r="257" spans="1:10">
      <c r="A257" s="76"/>
      <c r="B257" s="65" t="str">
        <f>IF(ISBLANK(A257),"",INDEX('Error Log'!$A:$J,MATCH('Scores per segment'!$A257,'Error Log'!$A:$A,0),MATCH('Scores per segment'!B$1,'Error Log'!$A$1:$J$1,0)))</f>
        <v/>
      </c>
      <c r="C257" s="65" t="str">
        <f>IF(ISBLANK(A257),"",INDEX('Error Log'!$A:$J,MATCH('Scores per segment'!$A257,'Error Log'!$A:$A,0),MATCH('Scores per segment'!C$1,'Error Log'!$A$1:$J$1,0)))</f>
        <v/>
      </c>
      <c r="D257" s="65">
        <f>IF(H257=0,wdct(TRIM(C257)),0)</f>
        <v>0</v>
      </c>
      <c r="E257" s="65">
        <f>COUNTIFS('Error Log'!$A:$A,$A257,'Error Log'!$J:$J,E$1)</f>
        <v>0</v>
      </c>
      <c r="F257" s="65">
        <f>COUNTIFS('Error Log'!$A:$A,$A257,'Error Log'!$J:$J,F$1)</f>
        <v>0</v>
      </c>
      <c r="G257" s="65">
        <f>COUNTIFS('Error Log'!$A:$A,$A257,'Error Log'!$J:$J,G$1)</f>
        <v>0</v>
      </c>
      <c r="H257" s="65">
        <f>COUNTIFS('Error Log'!$A:$A,$A257,'Error Log'!$F:$F,"Source")</f>
        <v>0</v>
      </c>
      <c r="I257" s="65">
        <f>COUNTIFS('Error Log'!$A:$A,$A257,'Error Log'!$F:$F,"Target")</f>
        <v>0</v>
      </c>
      <c r="J257" s="66">
        <f t="shared" si="3"/>
        <v>0</v>
      </c>
    </row>
    <row r="258" spans="1:10">
      <c r="A258" s="76"/>
      <c r="B258" s="65" t="str">
        <f>IF(ISBLANK(A258),"",INDEX('Error Log'!$A:$J,MATCH('Scores per segment'!$A258,'Error Log'!$A:$A,0),MATCH('Scores per segment'!B$1,'Error Log'!$A$1:$J$1,0)))</f>
        <v/>
      </c>
      <c r="C258" s="65" t="str">
        <f>IF(ISBLANK(A258),"",INDEX('Error Log'!$A:$J,MATCH('Scores per segment'!$A258,'Error Log'!$A:$A,0),MATCH('Scores per segment'!C$1,'Error Log'!$A$1:$J$1,0)))</f>
        <v/>
      </c>
      <c r="D258" s="65">
        <f>IF(H258=0,wdct(TRIM(C258)),0)</f>
        <v>0</v>
      </c>
      <c r="E258" s="65">
        <f>COUNTIFS('Error Log'!$A:$A,$A258,'Error Log'!$J:$J,E$1)</f>
        <v>0</v>
      </c>
      <c r="F258" s="65">
        <f>COUNTIFS('Error Log'!$A:$A,$A258,'Error Log'!$J:$J,F$1)</f>
        <v>0</v>
      </c>
      <c r="G258" s="65">
        <f>COUNTIFS('Error Log'!$A:$A,$A258,'Error Log'!$J:$J,G$1)</f>
        <v>0</v>
      </c>
      <c r="H258" s="65">
        <f>COUNTIFS('Error Log'!$A:$A,$A258,'Error Log'!$F:$F,"Source")</f>
        <v>0</v>
      </c>
      <c r="I258" s="65">
        <f>COUNTIFS('Error Log'!$A:$A,$A258,'Error Log'!$F:$F,"Target")</f>
        <v>0</v>
      </c>
      <c r="J258" s="66">
        <f t="shared" ref="J258:J321" si="4">IF(I258=0,IFERROR((((1-((E258*10+F258*5+G258*1)/D258))*100)+100)/2,0),-150)</f>
        <v>0</v>
      </c>
    </row>
    <row r="259" spans="1:10">
      <c r="A259" s="76"/>
      <c r="B259" s="65" t="str">
        <f>IF(ISBLANK(A259),"",INDEX('Error Log'!$A:$J,MATCH('Scores per segment'!$A259,'Error Log'!$A:$A,0),MATCH('Scores per segment'!B$1,'Error Log'!$A$1:$J$1,0)))</f>
        <v/>
      </c>
      <c r="C259" s="65" t="str">
        <f>IF(ISBLANK(A259),"",INDEX('Error Log'!$A:$J,MATCH('Scores per segment'!$A259,'Error Log'!$A:$A,0),MATCH('Scores per segment'!C$1,'Error Log'!$A$1:$J$1,0)))</f>
        <v/>
      </c>
      <c r="D259" s="65">
        <f>IF(H259=0,wdct(TRIM(C259)),0)</f>
        <v>0</v>
      </c>
      <c r="E259" s="65">
        <f>COUNTIFS('Error Log'!$A:$A,$A259,'Error Log'!$J:$J,E$1)</f>
        <v>0</v>
      </c>
      <c r="F259" s="65">
        <f>COUNTIFS('Error Log'!$A:$A,$A259,'Error Log'!$J:$J,F$1)</f>
        <v>0</v>
      </c>
      <c r="G259" s="65">
        <f>COUNTIFS('Error Log'!$A:$A,$A259,'Error Log'!$J:$J,G$1)</f>
        <v>0</v>
      </c>
      <c r="H259" s="65">
        <f>COUNTIFS('Error Log'!$A:$A,$A259,'Error Log'!$F:$F,"Source")</f>
        <v>0</v>
      </c>
      <c r="I259" s="65">
        <f>COUNTIFS('Error Log'!$A:$A,$A259,'Error Log'!$F:$F,"Target")</f>
        <v>0</v>
      </c>
      <c r="J259" s="66">
        <f t="shared" si="4"/>
        <v>0</v>
      </c>
    </row>
    <row r="260" spans="1:10">
      <c r="A260" s="76"/>
      <c r="B260" s="65" t="str">
        <f>IF(ISBLANK(A260),"",INDEX('Error Log'!$A:$J,MATCH('Scores per segment'!$A260,'Error Log'!$A:$A,0),MATCH('Scores per segment'!B$1,'Error Log'!$A$1:$J$1,0)))</f>
        <v/>
      </c>
      <c r="C260" s="65" t="str">
        <f>IF(ISBLANK(A260),"",INDEX('Error Log'!$A:$J,MATCH('Scores per segment'!$A260,'Error Log'!$A:$A,0),MATCH('Scores per segment'!C$1,'Error Log'!$A$1:$J$1,0)))</f>
        <v/>
      </c>
      <c r="D260" s="65">
        <f>IF(H260=0,wdct(TRIM(C260)),0)</f>
        <v>0</v>
      </c>
      <c r="E260" s="65">
        <f>COUNTIFS('Error Log'!$A:$A,$A260,'Error Log'!$J:$J,E$1)</f>
        <v>0</v>
      </c>
      <c r="F260" s="65">
        <f>COUNTIFS('Error Log'!$A:$A,$A260,'Error Log'!$J:$J,F$1)</f>
        <v>0</v>
      </c>
      <c r="G260" s="65">
        <f>COUNTIFS('Error Log'!$A:$A,$A260,'Error Log'!$J:$J,G$1)</f>
        <v>0</v>
      </c>
      <c r="H260" s="65">
        <f>COUNTIFS('Error Log'!$A:$A,$A260,'Error Log'!$F:$F,"Source")</f>
        <v>0</v>
      </c>
      <c r="I260" s="65">
        <f>COUNTIFS('Error Log'!$A:$A,$A260,'Error Log'!$F:$F,"Target")</f>
        <v>0</v>
      </c>
      <c r="J260" s="66">
        <f t="shared" si="4"/>
        <v>0</v>
      </c>
    </row>
    <row r="261" spans="1:10">
      <c r="A261" s="76"/>
      <c r="B261" s="65" t="str">
        <f>IF(ISBLANK(A261),"",INDEX('Error Log'!$A:$J,MATCH('Scores per segment'!$A261,'Error Log'!$A:$A,0),MATCH('Scores per segment'!B$1,'Error Log'!$A$1:$J$1,0)))</f>
        <v/>
      </c>
      <c r="C261" s="65" t="str">
        <f>IF(ISBLANK(A261),"",INDEX('Error Log'!$A:$J,MATCH('Scores per segment'!$A261,'Error Log'!$A:$A,0),MATCH('Scores per segment'!C$1,'Error Log'!$A$1:$J$1,0)))</f>
        <v/>
      </c>
      <c r="D261" s="65">
        <f>IF(H261=0,wdct(TRIM(C261)),0)</f>
        <v>0</v>
      </c>
      <c r="E261" s="65">
        <f>COUNTIFS('Error Log'!$A:$A,$A261,'Error Log'!$J:$J,E$1)</f>
        <v>0</v>
      </c>
      <c r="F261" s="65">
        <f>COUNTIFS('Error Log'!$A:$A,$A261,'Error Log'!$J:$J,F$1)</f>
        <v>0</v>
      </c>
      <c r="G261" s="65">
        <f>COUNTIFS('Error Log'!$A:$A,$A261,'Error Log'!$J:$J,G$1)</f>
        <v>0</v>
      </c>
      <c r="H261" s="65">
        <f>COUNTIFS('Error Log'!$A:$A,$A261,'Error Log'!$F:$F,"Source")</f>
        <v>0</v>
      </c>
      <c r="I261" s="65">
        <f>COUNTIFS('Error Log'!$A:$A,$A261,'Error Log'!$F:$F,"Target")</f>
        <v>0</v>
      </c>
      <c r="J261" s="66">
        <f t="shared" si="4"/>
        <v>0</v>
      </c>
    </row>
    <row r="262" spans="1:10">
      <c r="A262" s="76"/>
      <c r="B262" s="65" t="str">
        <f>IF(ISBLANK(A262),"",INDEX('Error Log'!$A:$J,MATCH('Scores per segment'!$A262,'Error Log'!$A:$A,0),MATCH('Scores per segment'!B$1,'Error Log'!$A$1:$J$1,0)))</f>
        <v/>
      </c>
      <c r="C262" s="65" t="str">
        <f>IF(ISBLANK(A262),"",INDEX('Error Log'!$A:$J,MATCH('Scores per segment'!$A262,'Error Log'!$A:$A,0),MATCH('Scores per segment'!C$1,'Error Log'!$A$1:$J$1,0)))</f>
        <v/>
      </c>
      <c r="D262" s="65">
        <f>IF(H262=0,wdct(TRIM(C262)),0)</f>
        <v>0</v>
      </c>
      <c r="E262" s="65">
        <f>COUNTIFS('Error Log'!$A:$A,$A262,'Error Log'!$J:$J,E$1)</f>
        <v>0</v>
      </c>
      <c r="F262" s="65">
        <f>COUNTIFS('Error Log'!$A:$A,$A262,'Error Log'!$J:$J,F$1)</f>
        <v>0</v>
      </c>
      <c r="G262" s="65">
        <f>COUNTIFS('Error Log'!$A:$A,$A262,'Error Log'!$J:$J,G$1)</f>
        <v>0</v>
      </c>
      <c r="H262" s="65">
        <f>COUNTIFS('Error Log'!$A:$A,$A262,'Error Log'!$F:$F,"Source")</f>
        <v>0</v>
      </c>
      <c r="I262" s="65">
        <f>COUNTIFS('Error Log'!$A:$A,$A262,'Error Log'!$F:$F,"Target")</f>
        <v>0</v>
      </c>
      <c r="J262" s="66">
        <f t="shared" si="4"/>
        <v>0</v>
      </c>
    </row>
    <row r="263" spans="1:10">
      <c r="A263" s="76"/>
      <c r="B263" s="65" t="str">
        <f>IF(ISBLANK(A263),"",INDEX('Error Log'!$A:$J,MATCH('Scores per segment'!$A263,'Error Log'!$A:$A,0),MATCH('Scores per segment'!B$1,'Error Log'!$A$1:$J$1,0)))</f>
        <v/>
      </c>
      <c r="C263" s="65" t="str">
        <f>IF(ISBLANK(A263),"",INDEX('Error Log'!$A:$J,MATCH('Scores per segment'!$A263,'Error Log'!$A:$A,0),MATCH('Scores per segment'!C$1,'Error Log'!$A$1:$J$1,0)))</f>
        <v/>
      </c>
      <c r="D263" s="65">
        <f>IF(H263=0,wdct(TRIM(C263)),0)</f>
        <v>0</v>
      </c>
      <c r="E263" s="65">
        <f>COUNTIFS('Error Log'!$A:$A,$A263,'Error Log'!$J:$J,E$1)</f>
        <v>0</v>
      </c>
      <c r="F263" s="65">
        <f>COUNTIFS('Error Log'!$A:$A,$A263,'Error Log'!$J:$J,F$1)</f>
        <v>0</v>
      </c>
      <c r="G263" s="65">
        <f>COUNTIFS('Error Log'!$A:$A,$A263,'Error Log'!$J:$J,G$1)</f>
        <v>0</v>
      </c>
      <c r="H263" s="65">
        <f>COUNTIFS('Error Log'!$A:$A,$A263,'Error Log'!$F:$F,"Source")</f>
        <v>0</v>
      </c>
      <c r="I263" s="65">
        <f>COUNTIFS('Error Log'!$A:$A,$A263,'Error Log'!$F:$F,"Target")</f>
        <v>0</v>
      </c>
      <c r="J263" s="66">
        <f t="shared" si="4"/>
        <v>0</v>
      </c>
    </row>
    <row r="264" spans="1:10">
      <c r="A264" s="76"/>
      <c r="B264" s="65" t="str">
        <f>IF(ISBLANK(A264),"",INDEX('Error Log'!$A:$J,MATCH('Scores per segment'!$A264,'Error Log'!$A:$A,0),MATCH('Scores per segment'!B$1,'Error Log'!$A$1:$J$1,0)))</f>
        <v/>
      </c>
      <c r="C264" s="65" t="str">
        <f>IF(ISBLANK(A264),"",INDEX('Error Log'!$A:$J,MATCH('Scores per segment'!$A264,'Error Log'!$A:$A,0),MATCH('Scores per segment'!C$1,'Error Log'!$A$1:$J$1,0)))</f>
        <v/>
      </c>
      <c r="D264" s="65">
        <f>IF(H264=0,wdct(TRIM(C264)),0)</f>
        <v>0</v>
      </c>
      <c r="E264" s="65">
        <f>COUNTIFS('Error Log'!$A:$A,$A264,'Error Log'!$J:$J,E$1)</f>
        <v>0</v>
      </c>
      <c r="F264" s="65">
        <f>COUNTIFS('Error Log'!$A:$A,$A264,'Error Log'!$J:$J,F$1)</f>
        <v>0</v>
      </c>
      <c r="G264" s="65">
        <f>COUNTIFS('Error Log'!$A:$A,$A264,'Error Log'!$J:$J,G$1)</f>
        <v>0</v>
      </c>
      <c r="H264" s="65">
        <f>COUNTIFS('Error Log'!$A:$A,$A264,'Error Log'!$F:$F,"Source")</f>
        <v>0</v>
      </c>
      <c r="I264" s="65">
        <f>COUNTIFS('Error Log'!$A:$A,$A264,'Error Log'!$F:$F,"Target")</f>
        <v>0</v>
      </c>
      <c r="J264" s="66">
        <f t="shared" si="4"/>
        <v>0</v>
      </c>
    </row>
    <row r="265" spans="1:10">
      <c r="A265" s="76"/>
      <c r="B265" s="65" t="str">
        <f>IF(ISBLANK(A265),"",INDEX('Error Log'!$A:$J,MATCH('Scores per segment'!$A265,'Error Log'!$A:$A,0),MATCH('Scores per segment'!B$1,'Error Log'!$A$1:$J$1,0)))</f>
        <v/>
      </c>
      <c r="C265" s="65" t="str">
        <f>IF(ISBLANK(A265),"",INDEX('Error Log'!$A:$J,MATCH('Scores per segment'!$A265,'Error Log'!$A:$A,0),MATCH('Scores per segment'!C$1,'Error Log'!$A$1:$J$1,0)))</f>
        <v/>
      </c>
      <c r="D265" s="65">
        <f>IF(H265=0,wdct(TRIM(C265)),0)</f>
        <v>0</v>
      </c>
      <c r="E265" s="65">
        <f>COUNTIFS('Error Log'!$A:$A,$A265,'Error Log'!$J:$J,E$1)</f>
        <v>0</v>
      </c>
      <c r="F265" s="65">
        <f>COUNTIFS('Error Log'!$A:$A,$A265,'Error Log'!$J:$J,F$1)</f>
        <v>0</v>
      </c>
      <c r="G265" s="65">
        <f>COUNTIFS('Error Log'!$A:$A,$A265,'Error Log'!$J:$J,G$1)</f>
        <v>0</v>
      </c>
      <c r="H265" s="65">
        <f>COUNTIFS('Error Log'!$A:$A,$A265,'Error Log'!$F:$F,"Source")</f>
        <v>0</v>
      </c>
      <c r="I265" s="65">
        <f>COUNTIFS('Error Log'!$A:$A,$A265,'Error Log'!$F:$F,"Target")</f>
        <v>0</v>
      </c>
      <c r="J265" s="66">
        <f t="shared" si="4"/>
        <v>0</v>
      </c>
    </row>
    <row r="266" spans="1:10">
      <c r="A266" s="76"/>
      <c r="B266" s="65" t="str">
        <f>IF(ISBLANK(A266),"",INDEX('Error Log'!$A:$J,MATCH('Scores per segment'!$A266,'Error Log'!$A:$A,0),MATCH('Scores per segment'!B$1,'Error Log'!$A$1:$J$1,0)))</f>
        <v/>
      </c>
      <c r="C266" s="65" t="str">
        <f>IF(ISBLANK(A266),"",INDEX('Error Log'!$A:$J,MATCH('Scores per segment'!$A266,'Error Log'!$A:$A,0),MATCH('Scores per segment'!C$1,'Error Log'!$A$1:$J$1,0)))</f>
        <v/>
      </c>
      <c r="D266" s="65">
        <f>IF(H266=0,wdct(TRIM(C266)),0)</f>
        <v>0</v>
      </c>
      <c r="E266" s="65">
        <f>COUNTIFS('Error Log'!$A:$A,$A266,'Error Log'!$J:$J,E$1)</f>
        <v>0</v>
      </c>
      <c r="F266" s="65">
        <f>COUNTIFS('Error Log'!$A:$A,$A266,'Error Log'!$J:$J,F$1)</f>
        <v>0</v>
      </c>
      <c r="G266" s="65">
        <f>COUNTIFS('Error Log'!$A:$A,$A266,'Error Log'!$J:$J,G$1)</f>
        <v>0</v>
      </c>
      <c r="H266" s="65">
        <f>COUNTIFS('Error Log'!$A:$A,$A266,'Error Log'!$F:$F,"Source")</f>
        <v>0</v>
      </c>
      <c r="I266" s="65">
        <f>COUNTIFS('Error Log'!$A:$A,$A266,'Error Log'!$F:$F,"Target")</f>
        <v>0</v>
      </c>
      <c r="J266" s="66">
        <f t="shared" si="4"/>
        <v>0</v>
      </c>
    </row>
    <row r="267" spans="1:10">
      <c r="A267" s="76"/>
      <c r="B267" s="65" t="str">
        <f>IF(ISBLANK(A267),"",INDEX('Error Log'!$A:$J,MATCH('Scores per segment'!$A267,'Error Log'!$A:$A,0),MATCH('Scores per segment'!B$1,'Error Log'!$A$1:$J$1,0)))</f>
        <v/>
      </c>
      <c r="C267" s="65" t="str">
        <f>IF(ISBLANK(A267),"",INDEX('Error Log'!$A:$J,MATCH('Scores per segment'!$A267,'Error Log'!$A:$A,0),MATCH('Scores per segment'!C$1,'Error Log'!$A$1:$J$1,0)))</f>
        <v/>
      </c>
      <c r="D267" s="65">
        <f>IF(H267=0,wdct(TRIM(C267)),0)</f>
        <v>0</v>
      </c>
      <c r="E267" s="65">
        <f>COUNTIFS('Error Log'!$A:$A,$A267,'Error Log'!$J:$J,E$1)</f>
        <v>0</v>
      </c>
      <c r="F267" s="65">
        <f>COUNTIFS('Error Log'!$A:$A,$A267,'Error Log'!$J:$J,F$1)</f>
        <v>0</v>
      </c>
      <c r="G267" s="65">
        <f>COUNTIFS('Error Log'!$A:$A,$A267,'Error Log'!$J:$J,G$1)</f>
        <v>0</v>
      </c>
      <c r="H267" s="65">
        <f>COUNTIFS('Error Log'!$A:$A,$A267,'Error Log'!$F:$F,"Source")</f>
        <v>0</v>
      </c>
      <c r="I267" s="65">
        <f>COUNTIFS('Error Log'!$A:$A,$A267,'Error Log'!$F:$F,"Target")</f>
        <v>0</v>
      </c>
      <c r="J267" s="66">
        <f t="shared" si="4"/>
        <v>0</v>
      </c>
    </row>
    <row r="268" spans="1:10">
      <c r="A268" s="76"/>
      <c r="B268" s="65" t="str">
        <f>IF(ISBLANK(A268),"",INDEX('Error Log'!$A:$J,MATCH('Scores per segment'!$A268,'Error Log'!$A:$A,0),MATCH('Scores per segment'!B$1,'Error Log'!$A$1:$J$1,0)))</f>
        <v/>
      </c>
      <c r="C268" s="65" t="str">
        <f>IF(ISBLANK(A268),"",INDEX('Error Log'!$A:$J,MATCH('Scores per segment'!$A268,'Error Log'!$A:$A,0),MATCH('Scores per segment'!C$1,'Error Log'!$A$1:$J$1,0)))</f>
        <v/>
      </c>
      <c r="D268" s="65">
        <f>IF(H268=0,wdct(TRIM(C268)),0)</f>
        <v>0</v>
      </c>
      <c r="E268" s="65">
        <f>COUNTIFS('Error Log'!$A:$A,$A268,'Error Log'!$J:$J,E$1)</f>
        <v>0</v>
      </c>
      <c r="F268" s="65">
        <f>COUNTIFS('Error Log'!$A:$A,$A268,'Error Log'!$J:$J,F$1)</f>
        <v>0</v>
      </c>
      <c r="G268" s="65">
        <f>COUNTIFS('Error Log'!$A:$A,$A268,'Error Log'!$J:$J,G$1)</f>
        <v>0</v>
      </c>
      <c r="H268" s="65">
        <f>COUNTIFS('Error Log'!$A:$A,$A268,'Error Log'!$F:$F,"Source")</f>
        <v>0</v>
      </c>
      <c r="I268" s="65">
        <f>COUNTIFS('Error Log'!$A:$A,$A268,'Error Log'!$F:$F,"Target")</f>
        <v>0</v>
      </c>
      <c r="J268" s="66">
        <f t="shared" si="4"/>
        <v>0</v>
      </c>
    </row>
    <row r="269" spans="1:10">
      <c r="A269" s="76"/>
      <c r="B269" s="65" t="str">
        <f>IF(ISBLANK(A269),"",INDEX('Error Log'!$A:$J,MATCH('Scores per segment'!$A269,'Error Log'!$A:$A,0),MATCH('Scores per segment'!B$1,'Error Log'!$A$1:$J$1,0)))</f>
        <v/>
      </c>
      <c r="C269" s="65" t="str">
        <f>IF(ISBLANK(A269),"",INDEX('Error Log'!$A:$J,MATCH('Scores per segment'!$A269,'Error Log'!$A:$A,0),MATCH('Scores per segment'!C$1,'Error Log'!$A$1:$J$1,0)))</f>
        <v/>
      </c>
      <c r="D269" s="65">
        <f>IF(H269=0,wdct(TRIM(C269)),0)</f>
        <v>0</v>
      </c>
      <c r="E269" s="65">
        <f>COUNTIFS('Error Log'!$A:$A,$A269,'Error Log'!$J:$J,E$1)</f>
        <v>0</v>
      </c>
      <c r="F269" s="65">
        <f>COUNTIFS('Error Log'!$A:$A,$A269,'Error Log'!$J:$J,F$1)</f>
        <v>0</v>
      </c>
      <c r="G269" s="65">
        <f>COUNTIFS('Error Log'!$A:$A,$A269,'Error Log'!$J:$J,G$1)</f>
        <v>0</v>
      </c>
      <c r="H269" s="65">
        <f>COUNTIFS('Error Log'!$A:$A,$A269,'Error Log'!$F:$F,"Source")</f>
        <v>0</v>
      </c>
      <c r="I269" s="65">
        <f>COUNTIFS('Error Log'!$A:$A,$A269,'Error Log'!$F:$F,"Target")</f>
        <v>0</v>
      </c>
      <c r="J269" s="66">
        <f t="shared" si="4"/>
        <v>0</v>
      </c>
    </row>
    <row r="270" spans="1:10">
      <c r="A270" s="76"/>
      <c r="B270" s="65" t="str">
        <f>IF(ISBLANK(A270),"",INDEX('Error Log'!$A:$J,MATCH('Scores per segment'!$A270,'Error Log'!$A:$A,0),MATCH('Scores per segment'!B$1,'Error Log'!$A$1:$J$1,0)))</f>
        <v/>
      </c>
      <c r="C270" s="65" t="str">
        <f>IF(ISBLANK(A270),"",INDEX('Error Log'!$A:$J,MATCH('Scores per segment'!$A270,'Error Log'!$A:$A,0),MATCH('Scores per segment'!C$1,'Error Log'!$A$1:$J$1,0)))</f>
        <v/>
      </c>
      <c r="D270" s="65">
        <f>IF(H270=0,wdct(TRIM(C270)),0)</f>
        <v>0</v>
      </c>
      <c r="E270" s="65">
        <f>COUNTIFS('Error Log'!$A:$A,$A270,'Error Log'!$J:$J,E$1)</f>
        <v>0</v>
      </c>
      <c r="F270" s="65">
        <f>COUNTIFS('Error Log'!$A:$A,$A270,'Error Log'!$J:$J,F$1)</f>
        <v>0</v>
      </c>
      <c r="G270" s="65">
        <f>COUNTIFS('Error Log'!$A:$A,$A270,'Error Log'!$J:$J,G$1)</f>
        <v>0</v>
      </c>
      <c r="H270" s="65">
        <f>COUNTIFS('Error Log'!$A:$A,$A270,'Error Log'!$F:$F,"Source")</f>
        <v>0</v>
      </c>
      <c r="I270" s="65">
        <f>COUNTIFS('Error Log'!$A:$A,$A270,'Error Log'!$F:$F,"Target")</f>
        <v>0</v>
      </c>
      <c r="J270" s="66">
        <f t="shared" si="4"/>
        <v>0</v>
      </c>
    </row>
    <row r="271" spans="1:10">
      <c r="A271" s="76"/>
      <c r="B271" s="65" t="str">
        <f>IF(ISBLANK(A271),"",INDEX('Error Log'!$A:$J,MATCH('Scores per segment'!$A271,'Error Log'!$A:$A,0),MATCH('Scores per segment'!B$1,'Error Log'!$A$1:$J$1,0)))</f>
        <v/>
      </c>
      <c r="C271" s="65" t="str">
        <f>IF(ISBLANK(A271),"",INDEX('Error Log'!$A:$J,MATCH('Scores per segment'!$A271,'Error Log'!$A:$A,0),MATCH('Scores per segment'!C$1,'Error Log'!$A$1:$J$1,0)))</f>
        <v/>
      </c>
      <c r="D271" s="65">
        <f>IF(H271=0,wdct(TRIM(C271)),0)</f>
        <v>0</v>
      </c>
      <c r="E271" s="65">
        <f>COUNTIFS('Error Log'!$A:$A,$A271,'Error Log'!$J:$J,E$1)</f>
        <v>0</v>
      </c>
      <c r="F271" s="65">
        <f>COUNTIFS('Error Log'!$A:$A,$A271,'Error Log'!$J:$J,F$1)</f>
        <v>0</v>
      </c>
      <c r="G271" s="65">
        <f>COUNTIFS('Error Log'!$A:$A,$A271,'Error Log'!$J:$J,G$1)</f>
        <v>0</v>
      </c>
      <c r="H271" s="65">
        <f>COUNTIFS('Error Log'!$A:$A,$A271,'Error Log'!$F:$F,"Source")</f>
        <v>0</v>
      </c>
      <c r="I271" s="65">
        <f>COUNTIFS('Error Log'!$A:$A,$A271,'Error Log'!$F:$F,"Target")</f>
        <v>0</v>
      </c>
      <c r="J271" s="66">
        <f t="shared" si="4"/>
        <v>0</v>
      </c>
    </row>
    <row r="272" spans="1:10">
      <c r="A272" s="76"/>
      <c r="B272" s="65" t="str">
        <f>IF(ISBLANK(A272),"",INDEX('Error Log'!$A:$J,MATCH('Scores per segment'!$A272,'Error Log'!$A:$A,0),MATCH('Scores per segment'!B$1,'Error Log'!$A$1:$J$1,0)))</f>
        <v/>
      </c>
      <c r="C272" s="65" t="str">
        <f>IF(ISBLANK(A272),"",INDEX('Error Log'!$A:$J,MATCH('Scores per segment'!$A272,'Error Log'!$A:$A,0),MATCH('Scores per segment'!C$1,'Error Log'!$A$1:$J$1,0)))</f>
        <v/>
      </c>
      <c r="D272" s="65">
        <f>IF(H272=0,wdct(TRIM(C272)),0)</f>
        <v>0</v>
      </c>
      <c r="E272" s="65">
        <f>COUNTIFS('Error Log'!$A:$A,$A272,'Error Log'!$J:$J,E$1)</f>
        <v>0</v>
      </c>
      <c r="F272" s="65">
        <f>COUNTIFS('Error Log'!$A:$A,$A272,'Error Log'!$J:$J,F$1)</f>
        <v>0</v>
      </c>
      <c r="G272" s="65">
        <f>COUNTIFS('Error Log'!$A:$A,$A272,'Error Log'!$J:$J,G$1)</f>
        <v>0</v>
      </c>
      <c r="H272" s="65">
        <f>COUNTIFS('Error Log'!$A:$A,$A272,'Error Log'!$F:$F,"Source")</f>
        <v>0</v>
      </c>
      <c r="I272" s="65">
        <f>COUNTIFS('Error Log'!$A:$A,$A272,'Error Log'!$F:$F,"Target")</f>
        <v>0</v>
      </c>
      <c r="J272" s="66">
        <f t="shared" si="4"/>
        <v>0</v>
      </c>
    </row>
    <row r="273" spans="1:10">
      <c r="A273" s="76"/>
      <c r="B273" s="65" t="str">
        <f>IF(ISBLANK(A273),"",INDEX('Error Log'!$A:$J,MATCH('Scores per segment'!$A273,'Error Log'!$A:$A,0),MATCH('Scores per segment'!B$1,'Error Log'!$A$1:$J$1,0)))</f>
        <v/>
      </c>
      <c r="C273" s="65" t="str">
        <f>IF(ISBLANK(A273),"",INDEX('Error Log'!$A:$J,MATCH('Scores per segment'!$A273,'Error Log'!$A:$A,0),MATCH('Scores per segment'!C$1,'Error Log'!$A$1:$J$1,0)))</f>
        <v/>
      </c>
      <c r="D273" s="65">
        <f>IF(H273=0,wdct(TRIM(C273)),0)</f>
        <v>0</v>
      </c>
      <c r="E273" s="65">
        <f>COUNTIFS('Error Log'!$A:$A,$A273,'Error Log'!$J:$J,E$1)</f>
        <v>0</v>
      </c>
      <c r="F273" s="65">
        <f>COUNTIFS('Error Log'!$A:$A,$A273,'Error Log'!$J:$J,F$1)</f>
        <v>0</v>
      </c>
      <c r="G273" s="65">
        <f>COUNTIFS('Error Log'!$A:$A,$A273,'Error Log'!$J:$J,G$1)</f>
        <v>0</v>
      </c>
      <c r="H273" s="65">
        <f>COUNTIFS('Error Log'!$A:$A,$A273,'Error Log'!$F:$F,"Source")</f>
        <v>0</v>
      </c>
      <c r="I273" s="65">
        <f>COUNTIFS('Error Log'!$A:$A,$A273,'Error Log'!$F:$F,"Target")</f>
        <v>0</v>
      </c>
      <c r="J273" s="66">
        <f t="shared" si="4"/>
        <v>0</v>
      </c>
    </row>
    <row r="274" spans="1:10">
      <c r="A274" s="76"/>
      <c r="B274" s="65" t="str">
        <f>IF(ISBLANK(A274),"",INDEX('Error Log'!$A:$J,MATCH('Scores per segment'!$A274,'Error Log'!$A:$A,0),MATCH('Scores per segment'!B$1,'Error Log'!$A$1:$J$1,0)))</f>
        <v/>
      </c>
      <c r="C274" s="65" t="str">
        <f>IF(ISBLANK(A274),"",INDEX('Error Log'!$A:$J,MATCH('Scores per segment'!$A274,'Error Log'!$A:$A,0),MATCH('Scores per segment'!C$1,'Error Log'!$A$1:$J$1,0)))</f>
        <v/>
      </c>
      <c r="D274" s="65">
        <f>IF(H274=0,wdct(TRIM(C274)),0)</f>
        <v>0</v>
      </c>
      <c r="E274" s="65">
        <f>COUNTIFS('Error Log'!$A:$A,$A274,'Error Log'!$J:$J,E$1)</f>
        <v>0</v>
      </c>
      <c r="F274" s="65">
        <f>COUNTIFS('Error Log'!$A:$A,$A274,'Error Log'!$J:$J,F$1)</f>
        <v>0</v>
      </c>
      <c r="G274" s="65">
        <f>COUNTIFS('Error Log'!$A:$A,$A274,'Error Log'!$J:$J,G$1)</f>
        <v>0</v>
      </c>
      <c r="H274" s="65">
        <f>COUNTIFS('Error Log'!$A:$A,$A274,'Error Log'!$F:$F,"Source")</f>
        <v>0</v>
      </c>
      <c r="I274" s="65">
        <f>COUNTIFS('Error Log'!$A:$A,$A274,'Error Log'!$F:$F,"Target")</f>
        <v>0</v>
      </c>
      <c r="J274" s="66">
        <f t="shared" si="4"/>
        <v>0</v>
      </c>
    </row>
    <row r="275" spans="1:10">
      <c r="A275" s="76"/>
      <c r="B275" s="65" t="str">
        <f>IF(ISBLANK(A275),"",INDEX('Error Log'!$A:$J,MATCH('Scores per segment'!$A275,'Error Log'!$A:$A,0),MATCH('Scores per segment'!B$1,'Error Log'!$A$1:$J$1,0)))</f>
        <v/>
      </c>
      <c r="C275" s="65" t="str">
        <f>IF(ISBLANK(A275),"",INDEX('Error Log'!$A:$J,MATCH('Scores per segment'!$A275,'Error Log'!$A:$A,0),MATCH('Scores per segment'!C$1,'Error Log'!$A$1:$J$1,0)))</f>
        <v/>
      </c>
      <c r="D275" s="65">
        <f>IF(H275=0,wdct(TRIM(C275)),0)</f>
        <v>0</v>
      </c>
      <c r="E275" s="65">
        <f>COUNTIFS('Error Log'!$A:$A,$A275,'Error Log'!$J:$J,E$1)</f>
        <v>0</v>
      </c>
      <c r="F275" s="65">
        <f>COUNTIFS('Error Log'!$A:$A,$A275,'Error Log'!$J:$J,F$1)</f>
        <v>0</v>
      </c>
      <c r="G275" s="65">
        <f>COUNTIFS('Error Log'!$A:$A,$A275,'Error Log'!$J:$J,G$1)</f>
        <v>0</v>
      </c>
      <c r="H275" s="65">
        <f>COUNTIFS('Error Log'!$A:$A,$A275,'Error Log'!$F:$F,"Source")</f>
        <v>0</v>
      </c>
      <c r="I275" s="65">
        <f>COUNTIFS('Error Log'!$A:$A,$A275,'Error Log'!$F:$F,"Target")</f>
        <v>0</v>
      </c>
      <c r="J275" s="66">
        <f t="shared" si="4"/>
        <v>0</v>
      </c>
    </row>
    <row r="276" spans="1:10">
      <c r="A276" s="76"/>
      <c r="B276" s="65" t="str">
        <f>IF(ISBLANK(A276),"",INDEX('Error Log'!$A:$J,MATCH('Scores per segment'!$A276,'Error Log'!$A:$A,0),MATCH('Scores per segment'!B$1,'Error Log'!$A$1:$J$1,0)))</f>
        <v/>
      </c>
      <c r="C276" s="65" t="str">
        <f>IF(ISBLANK(A276),"",INDEX('Error Log'!$A:$J,MATCH('Scores per segment'!$A276,'Error Log'!$A:$A,0),MATCH('Scores per segment'!C$1,'Error Log'!$A$1:$J$1,0)))</f>
        <v/>
      </c>
      <c r="D276" s="65">
        <f>IF(H276=0,wdct(TRIM(C276)),0)</f>
        <v>0</v>
      </c>
      <c r="E276" s="65">
        <f>COUNTIFS('Error Log'!$A:$A,$A276,'Error Log'!$J:$J,E$1)</f>
        <v>0</v>
      </c>
      <c r="F276" s="65">
        <f>COUNTIFS('Error Log'!$A:$A,$A276,'Error Log'!$J:$J,F$1)</f>
        <v>0</v>
      </c>
      <c r="G276" s="65">
        <f>COUNTIFS('Error Log'!$A:$A,$A276,'Error Log'!$J:$J,G$1)</f>
        <v>0</v>
      </c>
      <c r="H276" s="65">
        <f>COUNTIFS('Error Log'!$A:$A,$A276,'Error Log'!$F:$F,"Source")</f>
        <v>0</v>
      </c>
      <c r="I276" s="65">
        <f>COUNTIFS('Error Log'!$A:$A,$A276,'Error Log'!$F:$F,"Target")</f>
        <v>0</v>
      </c>
      <c r="J276" s="66">
        <f t="shared" si="4"/>
        <v>0</v>
      </c>
    </row>
    <row r="277" spans="1:10">
      <c r="A277" s="76"/>
      <c r="B277" s="65" t="str">
        <f>IF(ISBLANK(A277),"",INDEX('Error Log'!$A:$J,MATCH('Scores per segment'!$A277,'Error Log'!$A:$A,0),MATCH('Scores per segment'!B$1,'Error Log'!$A$1:$J$1,0)))</f>
        <v/>
      </c>
      <c r="C277" s="65" t="str">
        <f>IF(ISBLANK(A277),"",INDEX('Error Log'!$A:$J,MATCH('Scores per segment'!$A277,'Error Log'!$A:$A,0),MATCH('Scores per segment'!C$1,'Error Log'!$A$1:$J$1,0)))</f>
        <v/>
      </c>
      <c r="D277" s="65">
        <f>IF(H277=0,wdct(TRIM(C277)),0)</f>
        <v>0</v>
      </c>
      <c r="E277" s="65">
        <f>COUNTIFS('Error Log'!$A:$A,$A277,'Error Log'!$J:$J,E$1)</f>
        <v>0</v>
      </c>
      <c r="F277" s="65">
        <f>COUNTIFS('Error Log'!$A:$A,$A277,'Error Log'!$J:$J,F$1)</f>
        <v>0</v>
      </c>
      <c r="G277" s="65">
        <f>COUNTIFS('Error Log'!$A:$A,$A277,'Error Log'!$J:$J,G$1)</f>
        <v>0</v>
      </c>
      <c r="H277" s="65">
        <f>COUNTIFS('Error Log'!$A:$A,$A277,'Error Log'!$F:$F,"Source")</f>
        <v>0</v>
      </c>
      <c r="I277" s="65">
        <f>COUNTIFS('Error Log'!$A:$A,$A277,'Error Log'!$F:$F,"Target")</f>
        <v>0</v>
      </c>
      <c r="J277" s="66">
        <f t="shared" si="4"/>
        <v>0</v>
      </c>
    </row>
    <row r="278" spans="1:10">
      <c r="A278" s="76"/>
      <c r="B278" s="65" t="str">
        <f>IF(ISBLANK(A278),"",INDEX('Error Log'!$A:$J,MATCH('Scores per segment'!$A278,'Error Log'!$A:$A,0),MATCH('Scores per segment'!B$1,'Error Log'!$A$1:$J$1,0)))</f>
        <v/>
      </c>
      <c r="C278" s="65" t="str">
        <f>IF(ISBLANK(A278),"",INDEX('Error Log'!$A:$J,MATCH('Scores per segment'!$A278,'Error Log'!$A:$A,0),MATCH('Scores per segment'!C$1,'Error Log'!$A$1:$J$1,0)))</f>
        <v/>
      </c>
      <c r="D278" s="65">
        <f>IF(H278=0,wdct(TRIM(C278)),0)</f>
        <v>0</v>
      </c>
      <c r="E278" s="65">
        <f>COUNTIFS('Error Log'!$A:$A,$A278,'Error Log'!$J:$J,E$1)</f>
        <v>0</v>
      </c>
      <c r="F278" s="65">
        <f>COUNTIFS('Error Log'!$A:$A,$A278,'Error Log'!$J:$J,F$1)</f>
        <v>0</v>
      </c>
      <c r="G278" s="65">
        <f>COUNTIFS('Error Log'!$A:$A,$A278,'Error Log'!$J:$J,G$1)</f>
        <v>0</v>
      </c>
      <c r="H278" s="65">
        <f>COUNTIFS('Error Log'!$A:$A,$A278,'Error Log'!$F:$F,"Source")</f>
        <v>0</v>
      </c>
      <c r="I278" s="65">
        <f>COUNTIFS('Error Log'!$A:$A,$A278,'Error Log'!$F:$F,"Target")</f>
        <v>0</v>
      </c>
      <c r="J278" s="66">
        <f t="shared" si="4"/>
        <v>0</v>
      </c>
    </row>
    <row r="279" spans="1:10">
      <c r="A279" s="76"/>
      <c r="B279" s="65" t="str">
        <f>IF(ISBLANK(A279),"",INDEX('Error Log'!$A:$J,MATCH('Scores per segment'!$A279,'Error Log'!$A:$A,0),MATCH('Scores per segment'!B$1,'Error Log'!$A$1:$J$1,0)))</f>
        <v/>
      </c>
      <c r="C279" s="65" t="str">
        <f>IF(ISBLANK(A279),"",INDEX('Error Log'!$A:$J,MATCH('Scores per segment'!$A279,'Error Log'!$A:$A,0),MATCH('Scores per segment'!C$1,'Error Log'!$A$1:$J$1,0)))</f>
        <v/>
      </c>
      <c r="D279" s="65">
        <f>IF(H279=0,wdct(TRIM(C279)),0)</f>
        <v>0</v>
      </c>
      <c r="E279" s="65">
        <f>COUNTIFS('Error Log'!$A:$A,$A279,'Error Log'!$J:$J,E$1)</f>
        <v>0</v>
      </c>
      <c r="F279" s="65">
        <f>COUNTIFS('Error Log'!$A:$A,$A279,'Error Log'!$J:$J,F$1)</f>
        <v>0</v>
      </c>
      <c r="G279" s="65">
        <f>COUNTIFS('Error Log'!$A:$A,$A279,'Error Log'!$J:$J,G$1)</f>
        <v>0</v>
      </c>
      <c r="H279" s="65">
        <f>COUNTIFS('Error Log'!$A:$A,$A279,'Error Log'!$F:$F,"Source")</f>
        <v>0</v>
      </c>
      <c r="I279" s="65">
        <f>COUNTIFS('Error Log'!$A:$A,$A279,'Error Log'!$F:$F,"Target")</f>
        <v>0</v>
      </c>
      <c r="J279" s="66">
        <f t="shared" si="4"/>
        <v>0</v>
      </c>
    </row>
    <row r="280" spans="1:10">
      <c r="A280" s="76"/>
      <c r="B280" s="65" t="str">
        <f>IF(ISBLANK(A280),"",INDEX('Error Log'!$A:$J,MATCH('Scores per segment'!$A280,'Error Log'!$A:$A,0),MATCH('Scores per segment'!B$1,'Error Log'!$A$1:$J$1,0)))</f>
        <v/>
      </c>
      <c r="C280" s="65" t="str">
        <f>IF(ISBLANK(A280),"",INDEX('Error Log'!$A:$J,MATCH('Scores per segment'!$A280,'Error Log'!$A:$A,0),MATCH('Scores per segment'!C$1,'Error Log'!$A$1:$J$1,0)))</f>
        <v/>
      </c>
      <c r="D280" s="65">
        <f>IF(H280=0,wdct(TRIM(C280)),0)</f>
        <v>0</v>
      </c>
      <c r="E280" s="65">
        <f>COUNTIFS('Error Log'!$A:$A,$A280,'Error Log'!$J:$J,E$1)</f>
        <v>0</v>
      </c>
      <c r="F280" s="65">
        <f>COUNTIFS('Error Log'!$A:$A,$A280,'Error Log'!$J:$J,F$1)</f>
        <v>0</v>
      </c>
      <c r="G280" s="65">
        <f>COUNTIFS('Error Log'!$A:$A,$A280,'Error Log'!$J:$J,G$1)</f>
        <v>0</v>
      </c>
      <c r="H280" s="65">
        <f>COUNTIFS('Error Log'!$A:$A,$A280,'Error Log'!$F:$F,"Source")</f>
        <v>0</v>
      </c>
      <c r="I280" s="65">
        <f>COUNTIFS('Error Log'!$A:$A,$A280,'Error Log'!$F:$F,"Target")</f>
        <v>0</v>
      </c>
      <c r="J280" s="66">
        <f t="shared" si="4"/>
        <v>0</v>
      </c>
    </row>
    <row r="281" spans="1:10">
      <c r="A281" s="76"/>
      <c r="B281" s="65" t="str">
        <f>IF(ISBLANK(A281),"",INDEX('Error Log'!$A:$J,MATCH('Scores per segment'!$A281,'Error Log'!$A:$A,0),MATCH('Scores per segment'!B$1,'Error Log'!$A$1:$J$1,0)))</f>
        <v/>
      </c>
      <c r="C281" s="65" t="str">
        <f>IF(ISBLANK(A281),"",INDEX('Error Log'!$A:$J,MATCH('Scores per segment'!$A281,'Error Log'!$A:$A,0),MATCH('Scores per segment'!C$1,'Error Log'!$A$1:$J$1,0)))</f>
        <v/>
      </c>
      <c r="D281" s="65">
        <f>IF(H281=0,wdct(TRIM(C281)),0)</f>
        <v>0</v>
      </c>
      <c r="E281" s="65">
        <f>COUNTIFS('Error Log'!$A:$A,$A281,'Error Log'!$J:$J,E$1)</f>
        <v>0</v>
      </c>
      <c r="F281" s="65">
        <f>COUNTIFS('Error Log'!$A:$A,$A281,'Error Log'!$J:$J,F$1)</f>
        <v>0</v>
      </c>
      <c r="G281" s="65">
        <f>COUNTIFS('Error Log'!$A:$A,$A281,'Error Log'!$J:$J,G$1)</f>
        <v>0</v>
      </c>
      <c r="H281" s="65">
        <f>COUNTIFS('Error Log'!$A:$A,$A281,'Error Log'!$F:$F,"Source")</f>
        <v>0</v>
      </c>
      <c r="I281" s="65">
        <f>COUNTIFS('Error Log'!$A:$A,$A281,'Error Log'!$F:$F,"Target")</f>
        <v>0</v>
      </c>
      <c r="J281" s="66">
        <f t="shared" si="4"/>
        <v>0</v>
      </c>
    </row>
    <row r="282" spans="1:10">
      <c r="A282" s="76"/>
      <c r="B282" s="65" t="str">
        <f>IF(ISBLANK(A282),"",INDEX('Error Log'!$A:$J,MATCH('Scores per segment'!$A282,'Error Log'!$A:$A,0),MATCH('Scores per segment'!B$1,'Error Log'!$A$1:$J$1,0)))</f>
        <v/>
      </c>
      <c r="C282" s="65" t="str">
        <f>IF(ISBLANK(A282),"",INDEX('Error Log'!$A:$J,MATCH('Scores per segment'!$A282,'Error Log'!$A:$A,0),MATCH('Scores per segment'!C$1,'Error Log'!$A$1:$J$1,0)))</f>
        <v/>
      </c>
      <c r="D282" s="65">
        <f>IF(H282=0,wdct(TRIM(C282)),0)</f>
        <v>0</v>
      </c>
      <c r="E282" s="65">
        <f>COUNTIFS('Error Log'!$A:$A,$A282,'Error Log'!$J:$J,E$1)</f>
        <v>0</v>
      </c>
      <c r="F282" s="65">
        <f>COUNTIFS('Error Log'!$A:$A,$A282,'Error Log'!$J:$J,F$1)</f>
        <v>0</v>
      </c>
      <c r="G282" s="65">
        <f>COUNTIFS('Error Log'!$A:$A,$A282,'Error Log'!$J:$J,G$1)</f>
        <v>0</v>
      </c>
      <c r="H282" s="65">
        <f>COUNTIFS('Error Log'!$A:$A,$A282,'Error Log'!$F:$F,"Source")</f>
        <v>0</v>
      </c>
      <c r="I282" s="65">
        <f>COUNTIFS('Error Log'!$A:$A,$A282,'Error Log'!$F:$F,"Target")</f>
        <v>0</v>
      </c>
      <c r="J282" s="66">
        <f t="shared" si="4"/>
        <v>0</v>
      </c>
    </row>
    <row r="283" spans="1:10">
      <c r="A283" s="76"/>
      <c r="B283" s="65" t="str">
        <f>IF(ISBLANK(A283),"",INDEX('Error Log'!$A:$J,MATCH('Scores per segment'!$A283,'Error Log'!$A:$A,0),MATCH('Scores per segment'!B$1,'Error Log'!$A$1:$J$1,0)))</f>
        <v/>
      </c>
      <c r="C283" s="65" t="str">
        <f>IF(ISBLANK(A283),"",INDEX('Error Log'!$A:$J,MATCH('Scores per segment'!$A283,'Error Log'!$A:$A,0),MATCH('Scores per segment'!C$1,'Error Log'!$A$1:$J$1,0)))</f>
        <v/>
      </c>
      <c r="D283" s="65">
        <f>IF(H283=0,wdct(TRIM(C283)),0)</f>
        <v>0</v>
      </c>
      <c r="E283" s="65">
        <f>COUNTIFS('Error Log'!$A:$A,$A283,'Error Log'!$J:$J,E$1)</f>
        <v>0</v>
      </c>
      <c r="F283" s="65">
        <f>COUNTIFS('Error Log'!$A:$A,$A283,'Error Log'!$J:$J,F$1)</f>
        <v>0</v>
      </c>
      <c r="G283" s="65">
        <f>COUNTIFS('Error Log'!$A:$A,$A283,'Error Log'!$J:$J,G$1)</f>
        <v>0</v>
      </c>
      <c r="H283" s="65">
        <f>COUNTIFS('Error Log'!$A:$A,$A283,'Error Log'!$F:$F,"Source")</f>
        <v>0</v>
      </c>
      <c r="I283" s="65">
        <f>COUNTIFS('Error Log'!$A:$A,$A283,'Error Log'!$F:$F,"Target")</f>
        <v>0</v>
      </c>
      <c r="J283" s="66">
        <f t="shared" si="4"/>
        <v>0</v>
      </c>
    </row>
    <row r="284" spans="1:10">
      <c r="A284" s="76"/>
      <c r="B284" s="65" t="str">
        <f>IF(ISBLANK(A284),"",INDEX('Error Log'!$A:$J,MATCH('Scores per segment'!$A284,'Error Log'!$A:$A,0),MATCH('Scores per segment'!B$1,'Error Log'!$A$1:$J$1,0)))</f>
        <v/>
      </c>
      <c r="C284" s="65" t="str">
        <f>IF(ISBLANK(A284),"",INDEX('Error Log'!$A:$J,MATCH('Scores per segment'!$A284,'Error Log'!$A:$A,0),MATCH('Scores per segment'!C$1,'Error Log'!$A$1:$J$1,0)))</f>
        <v/>
      </c>
      <c r="D284" s="65">
        <f>IF(H284=0,wdct(TRIM(C284)),0)</f>
        <v>0</v>
      </c>
      <c r="E284" s="65">
        <f>COUNTIFS('Error Log'!$A:$A,$A284,'Error Log'!$J:$J,E$1)</f>
        <v>0</v>
      </c>
      <c r="F284" s="65">
        <f>COUNTIFS('Error Log'!$A:$A,$A284,'Error Log'!$J:$J,F$1)</f>
        <v>0</v>
      </c>
      <c r="G284" s="65">
        <f>COUNTIFS('Error Log'!$A:$A,$A284,'Error Log'!$J:$J,G$1)</f>
        <v>0</v>
      </c>
      <c r="H284" s="65">
        <f>COUNTIFS('Error Log'!$A:$A,$A284,'Error Log'!$F:$F,"Source")</f>
        <v>0</v>
      </c>
      <c r="I284" s="65">
        <f>COUNTIFS('Error Log'!$A:$A,$A284,'Error Log'!$F:$F,"Target")</f>
        <v>0</v>
      </c>
      <c r="J284" s="66">
        <f t="shared" si="4"/>
        <v>0</v>
      </c>
    </row>
    <row r="285" spans="1:10">
      <c r="A285" s="76"/>
      <c r="B285" s="65" t="str">
        <f>IF(ISBLANK(A285),"",INDEX('Error Log'!$A:$J,MATCH('Scores per segment'!$A285,'Error Log'!$A:$A,0),MATCH('Scores per segment'!B$1,'Error Log'!$A$1:$J$1,0)))</f>
        <v/>
      </c>
      <c r="C285" s="65" t="str">
        <f>IF(ISBLANK(A285),"",INDEX('Error Log'!$A:$J,MATCH('Scores per segment'!$A285,'Error Log'!$A:$A,0),MATCH('Scores per segment'!C$1,'Error Log'!$A$1:$J$1,0)))</f>
        <v/>
      </c>
      <c r="D285" s="65">
        <f>IF(H285=0,wdct(TRIM(C285)),0)</f>
        <v>0</v>
      </c>
      <c r="E285" s="65">
        <f>COUNTIFS('Error Log'!$A:$A,$A285,'Error Log'!$J:$J,E$1)</f>
        <v>0</v>
      </c>
      <c r="F285" s="65">
        <f>COUNTIFS('Error Log'!$A:$A,$A285,'Error Log'!$J:$J,F$1)</f>
        <v>0</v>
      </c>
      <c r="G285" s="65">
        <f>COUNTIFS('Error Log'!$A:$A,$A285,'Error Log'!$J:$J,G$1)</f>
        <v>0</v>
      </c>
      <c r="H285" s="65">
        <f>COUNTIFS('Error Log'!$A:$A,$A285,'Error Log'!$F:$F,"Source")</f>
        <v>0</v>
      </c>
      <c r="I285" s="65">
        <f>COUNTIFS('Error Log'!$A:$A,$A285,'Error Log'!$F:$F,"Target")</f>
        <v>0</v>
      </c>
      <c r="J285" s="66">
        <f t="shared" si="4"/>
        <v>0</v>
      </c>
    </row>
    <row r="286" spans="1:10">
      <c r="A286" s="76"/>
      <c r="B286" s="65" t="str">
        <f>IF(ISBLANK(A286),"",INDEX('Error Log'!$A:$J,MATCH('Scores per segment'!$A286,'Error Log'!$A:$A,0),MATCH('Scores per segment'!B$1,'Error Log'!$A$1:$J$1,0)))</f>
        <v/>
      </c>
      <c r="C286" s="65" t="str">
        <f>IF(ISBLANK(A286),"",INDEX('Error Log'!$A:$J,MATCH('Scores per segment'!$A286,'Error Log'!$A:$A,0),MATCH('Scores per segment'!C$1,'Error Log'!$A$1:$J$1,0)))</f>
        <v/>
      </c>
      <c r="D286" s="65">
        <f>IF(H286=0,wdct(TRIM(C286)),0)</f>
        <v>0</v>
      </c>
      <c r="E286" s="65">
        <f>COUNTIFS('Error Log'!$A:$A,$A286,'Error Log'!$J:$J,E$1)</f>
        <v>0</v>
      </c>
      <c r="F286" s="65">
        <f>COUNTIFS('Error Log'!$A:$A,$A286,'Error Log'!$J:$J,F$1)</f>
        <v>0</v>
      </c>
      <c r="G286" s="65">
        <f>COUNTIFS('Error Log'!$A:$A,$A286,'Error Log'!$J:$J,G$1)</f>
        <v>0</v>
      </c>
      <c r="H286" s="65">
        <f>COUNTIFS('Error Log'!$A:$A,$A286,'Error Log'!$F:$F,"Source")</f>
        <v>0</v>
      </c>
      <c r="I286" s="65">
        <f>COUNTIFS('Error Log'!$A:$A,$A286,'Error Log'!$F:$F,"Target")</f>
        <v>0</v>
      </c>
      <c r="J286" s="66">
        <f t="shared" si="4"/>
        <v>0</v>
      </c>
    </row>
    <row r="287" spans="1:10">
      <c r="A287" s="76"/>
      <c r="B287" s="65" t="str">
        <f>IF(ISBLANK(A287),"",INDEX('Error Log'!$A:$J,MATCH('Scores per segment'!$A287,'Error Log'!$A:$A,0),MATCH('Scores per segment'!B$1,'Error Log'!$A$1:$J$1,0)))</f>
        <v/>
      </c>
      <c r="C287" s="65" t="str">
        <f>IF(ISBLANK(A287),"",INDEX('Error Log'!$A:$J,MATCH('Scores per segment'!$A287,'Error Log'!$A:$A,0),MATCH('Scores per segment'!C$1,'Error Log'!$A$1:$J$1,0)))</f>
        <v/>
      </c>
      <c r="D287" s="65">
        <f>IF(H287=0,wdct(TRIM(C287)),0)</f>
        <v>0</v>
      </c>
      <c r="E287" s="65">
        <f>COUNTIFS('Error Log'!$A:$A,$A287,'Error Log'!$J:$J,E$1)</f>
        <v>0</v>
      </c>
      <c r="F287" s="65">
        <f>COUNTIFS('Error Log'!$A:$A,$A287,'Error Log'!$J:$J,F$1)</f>
        <v>0</v>
      </c>
      <c r="G287" s="65">
        <f>COUNTIFS('Error Log'!$A:$A,$A287,'Error Log'!$J:$J,G$1)</f>
        <v>0</v>
      </c>
      <c r="H287" s="65">
        <f>COUNTIFS('Error Log'!$A:$A,$A287,'Error Log'!$F:$F,"Source")</f>
        <v>0</v>
      </c>
      <c r="I287" s="65">
        <f>COUNTIFS('Error Log'!$A:$A,$A287,'Error Log'!$F:$F,"Target")</f>
        <v>0</v>
      </c>
      <c r="J287" s="66">
        <f t="shared" si="4"/>
        <v>0</v>
      </c>
    </row>
    <row r="288" spans="1:10">
      <c r="A288" s="76"/>
      <c r="B288" s="65" t="str">
        <f>IF(ISBLANK(A288),"",INDEX('Error Log'!$A:$J,MATCH('Scores per segment'!$A288,'Error Log'!$A:$A,0),MATCH('Scores per segment'!B$1,'Error Log'!$A$1:$J$1,0)))</f>
        <v/>
      </c>
      <c r="C288" s="65" t="str">
        <f>IF(ISBLANK(A288),"",INDEX('Error Log'!$A:$J,MATCH('Scores per segment'!$A288,'Error Log'!$A:$A,0),MATCH('Scores per segment'!C$1,'Error Log'!$A$1:$J$1,0)))</f>
        <v/>
      </c>
      <c r="D288" s="65">
        <f>IF(H288=0,wdct(TRIM(C288)),0)</f>
        <v>0</v>
      </c>
      <c r="E288" s="65">
        <f>COUNTIFS('Error Log'!$A:$A,$A288,'Error Log'!$J:$J,E$1)</f>
        <v>0</v>
      </c>
      <c r="F288" s="65">
        <f>COUNTIFS('Error Log'!$A:$A,$A288,'Error Log'!$J:$J,F$1)</f>
        <v>0</v>
      </c>
      <c r="G288" s="65">
        <f>COUNTIFS('Error Log'!$A:$A,$A288,'Error Log'!$J:$J,G$1)</f>
        <v>0</v>
      </c>
      <c r="H288" s="65">
        <f>COUNTIFS('Error Log'!$A:$A,$A288,'Error Log'!$F:$F,"Source")</f>
        <v>0</v>
      </c>
      <c r="I288" s="65">
        <f>COUNTIFS('Error Log'!$A:$A,$A288,'Error Log'!$F:$F,"Target")</f>
        <v>0</v>
      </c>
      <c r="J288" s="66">
        <f t="shared" si="4"/>
        <v>0</v>
      </c>
    </row>
    <row r="289" spans="1:10">
      <c r="A289" s="76"/>
      <c r="B289" s="65" t="str">
        <f>IF(ISBLANK(A289),"",INDEX('Error Log'!$A:$J,MATCH('Scores per segment'!$A289,'Error Log'!$A:$A,0),MATCH('Scores per segment'!B$1,'Error Log'!$A$1:$J$1,0)))</f>
        <v/>
      </c>
      <c r="C289" s="65" t="str">
        <f>IF(ISBLANK(A289),"",INDEX('Error Log'!$A:$J,MATCH('Scores per segment'!$A289,'Error Log'!$A:$A,0),MATCH('Scores per segment'!C$1,'Error Log'!$A$1:$J$1,0)))</f>
        <v/>
      </c>
      <c r="D289" s="65">
        <f>IF(H289=0,wdct(TRIM(C289)),0)</f>
        <v>0</v>
      </c>
      <c r="E289" s="65">
        <f>COUNTIFS('Error Log'!$A:$A,$A289,'Error Log'!$J:$J,E$1)</f>
        <v>0</v>
      </c>
      <c r="F289" s="65">
        <f>COUNTIFS('Error Log'!$A:$A,$A289,'Error Log'!$J:$J,F$1)</f>
        <v>0</v>
      </c>
      <c r="G289" s="65">
        <f>COUNTIFS('Error Log'!$A:$A,$A289,'Error Log'!$J:$J,G$1)</f>
        <v>0</v>
      </c>
      <c r="H289" s="65">
        <f>COUNTIFS('Error Log'!$A:$A,$A289,'Error Log'!$F:$F,"Source")</f>
        <v>0</v>
      </c>
      <c r="I289" s="65">
        <f>COUNTIFS('Error Log'!$A:$A,$A289,'Error Log'!$F:$F,"Target")</f>
        <v>0</v>
      </c>
      <c r="J289" s="66">
        <f t="shared" si="4"/>
        <v>0</v>
      </c>
    </row>
    <row r="290" spans="1:10">
      <c r="A290" s="76"/>
      <c r="B290" s="65" t="str">
        <f>IF(ISBLANK(A290),"",INDEX('Error Log'!$A:$J,MATCH('Scores per segment'!$A290,'Error Log'!$A:$A,0),MATCH('Scores per segment'!B$1,'Error Log'!$A$1:$J$1,0)))</f>
        <v/>
      </c>
      <c r="C290" s="65" t="str">
        <f>IF(ISBLANK(A290),"",INDEX('Error Log'!$A:$J,MATCH('Scores per segment'!$A290,'Error Log'!$A:$A,0),MATCH('Scores per segment'!C$1,'Error Log'!$A$1:$J$1,0)))</f>
        <v/>
      </c>
      <c r="D290" s="65">
        <f>IF(H290=0,wdct(TRIM(C290)),0)</f>
        <v>0</v>
      </c>
      <c r="E290" s="65">
        <f>COUNTIFS('Error Log'!$A:$A,$A290,'Error Log'!$J:$J,E$1)</f>
        <v>0</v>
      </c>
      <c r="F290" s="65">
        <f>COUNTIFS('Error Log'!$A:$A,$A290,'Error Log'!$J:$J,F$1)</f>
        <v>0</v>
      </c>
      <c r="G290" s="65">
        <f>COUNTIFS('Error Log'!$A:$A,$A290,'Error Log'!$J:$J,G$1)</f>
        <v>0</v>
      </c>
      <c r="H290" s="65">
        <f>COUNTIFS('Error Log'!$A:$A,$A290,'Error Log'!$F:$F,"Source")</f>
        <v>0</v>
      </c>
      <c r="I290" s="65">
        <f>COUNTIFS('Error Log'!$A:$A,$A290,'Error Log'!$F:$F,"Target")</f>
        <v>0</v>
      </c>
      <c r="J290" s="66">
        <f t="shared" si="4"/>
        <v>0</v>
      </c>
    </row>
    <row r="291" spans="1:10">
      <c r="A291" s="76"/>
      <c r="B291" s="65" t="str">
        <f>IF(ISBLANK(A291),"",INDEX('Error Log'!$A:$J,MATCH('Scores per segment'!$A291,'Error Log'!$A:$A,0),MATCH('Scores per segment'!B$1,'Error Log'!$A$1:$J$1,0)))</f>
        <v/>
      </c>
      <c r="C291" s="65" t="str">
        <f>IF(ISBLANK(A291),"",INDEX('Error Log'!$A:$J,MATCH('Scores per segment'!$A291,'Error Log'!$A:$A,0),MATCH('Scores per segment'!C$1,'Error Log'!$A$1:$J$1,0)))</f>
        <v/>
      </c>
      <c r="D291" s="65">
        <f>IF(H291=0,wdct(TRIM(C291)),0)</f>
        <v>0</v>
      </c>
      <c r="E291" s="65">
        <f>COUNTIFS('Error Log'!$A:$A,$A291,'Error Log'!$J:$J,E$1)</f>
        <v>0</v>
      </c>
      <c r="F291" s="65">
        <f>COUNTIFS('Error Log'!$A:$A,$A291,'Error Log'!$J:$J,F$1)</f>
        <v>0</v>
      </c>
      <c r="G291" s="65">
        <f>COUNTIFS('Error Log'!$A:$A,$A291,'Error Log'!$J:$J,G$1)</f>
        <v>0</v>
      </c>
      <c r="H291" s="65">
        <f>COUNTIFS('Error Log'!$A:$A,$A291,'Error Log'!$F:$F,"Source")</f>
        <v>0</v>
      </c>
      <c r="I291" s="65">
        <f>COUNTIFS('Error Log'!$A:$A,$A291,'Error Log'!$F:$F,"Target")</f>
        <v>0</v>
      </c>
      <c r="J291" s="66">
        <f t="shared" si="4"/>
        <v>0</v>
      </c>
    </row>
    <row r="292" spans="1:10">
      <c r="A292" s="76"/>
      <c r="B292" s="65" t="str">
        <f>IF(ISBLANK(A292),"",INDEX('Error Log'!$A:$J,MATCH('Scores per segment'!$A292,'Error Log'!$A:$A,0),MATCH('Scores per segment'!B$1,'Error Log'!$A$1:$J$1,0)))</f>
        <v/>
      </c>
      <c r="C292" s="65" t="str">
        <f>IF(ISBLANK(A292),"",INDEX('Error Log'!$A:$J,MATCH('Scores per segment'!$A292,'Error Log'!$A:$A,0),MATCH('Scores per segment'!C$1,'Error Log'!$A$1:$J$1,0)))</f>
        <v/>
      </c>
      <c r="D292" s="65">
        <f>IF(H292=0,wdct(TRIM(C292)),0)</f>
        <v>0</v>
      </c>
      <c r="E292" s="65">
        <f>COUNTIFS('Error Log'!$A:$A,$A292,'Error Log'!$J:$J,E$1)</f>
        <v>0</v>
      </c>
      <c r="F292" s="65">
        <f>COUNTIFS('Error Log'!$A:$A,$A292,'Error Log'!$J:$J,F$1)</f>
        <v>0</v>
      </c>
      <c r="G292" s="65">
        <f>COUNTIFS('Error Log'!$A:$A,$A292,'Error Log'!$J:$J,G$1)</f>
        <v>0</v>
      </c>
      <c r="H292" s="65">
        <f>COUNTIFS('Error Log'!$A:$A,$A292,'Error Log'!$F:$F,"Source")</f>
        <v>0</v>
      </c>
      <c r="I292" s="65">
        <f>COUNTIFS('Error Log'!$A:$A,$A292,'Error Log'!$F:$F,"Target")</f>
        <v>0</v>
      </c>
      <c r="J292" s="66">
        <f t="shared" si="4"/>
        <v>0</v>
      </c>
    </row>
    <row r="293" spans="1:10">
      <c r="A293" s="76"/>
      <c r="B293" s="65" t="str">
        <f>IF(ISBLANK(A293),"",INDEX('Error Log'!$A:$J,MATCH('Scores per segment'!$A293,'Error Log'!$A:$A,0),MATCH('Scores per segment'!B$1,'Error Log'!$A$1:$J$1,0)))</f>
        <v/>
      </c>
      <c r="C293" s="65" t="str">
        <f>IF(ISBLANK(A293),"",INDEX('Error Log'!$A:$J,MATCH('Scores per segment'!$A293,'Error Log'!$A:$A,0),MATCH('Scores per segment'!C$1,'Error Log'!$A$1:$J$1,0)))</f>
        <v/>
      </c>
      <c r="D293" s="65">
        <f>IF(H293=0,wdct(TRIM(C293)),0)</f>
        <v>0</v>
      </c>
      <c r="E293" s="65">
        <f>COUNTIFS('Error Log'!$A:$A,$A293,'Error Log'!$J:$J,E$1)</f>
        <v>0</v>
      </c>
      <c r="F293" s="65">
        <f>COUNTIFS('Error Log'!$A:$A,$A293,'Error Log'!$J:$J,F$1)</f>
        <v>0</v>
      </c>
      <c r="G293" s="65">
        <f>COUNTIFS('Error Log'!$A:$A,$A293,'Error Log'!$J:$J,G$1)</f>
        <v>0</v>
      </c>
      <c r="H293" s="65">
        <f>COUNTIFS('Error Log'!$A:$A,$A293,'Error Log'!$F:$F,"Source")</f>
        <v>0</v>
      </c>
      <c r="I293" s="65">
        <f>COUNTIFS('Error Log'!$A:$A,$A293,'Error Log'!$F:$F,"Target")</f>
        <v>0</v>
      </c>
      <c r="J293" s="66">
        <f t="shared" si="4"/>
        <v>0</v>
      </c>
    </row>
    <row r="294" spans="1:10">
      <c r="A294" s="76"/>
      <c r="B294" s="65" t="str">
        <f>IF(ISBLANK(A294),"",INDEX('Error Log'!$A:$J,MATCH('Scores per segment'!$A294,'Error Log'!$A:$A,0),MATCH('Scores per segment'!B$1,'Error Log'!$A$1:$J$1,0)))</f>
        <v/>
      </c>
      <c r="C294" s="65" t="str">
        <f>IF(ISBLANK(A294),"",INDEX('Error Log'!$A:$J,MATCH('Scores per segment'!$A294,'Error Log'!$A:$A,0),MATCH('Scores per segment'!C$1,'Error Log'!$A$1:$J$1,0)))</f>
        <v/>
      </c>
      <c r="D294" s="65">
        <f>IF(H294=0,wdct(TRIM(C294)),0)</f>
        <v>0</v>
      </c>
      <c r="E294" s="65">
        <f>COUNTIFS('Error Log'!$A:$A,$A294,'Error Log'!$J:$J,E$1)</f>
        <v>0</v>
      </c>
      <c r="F294" s="65">
        <f>COUNTIFS('Error Log'!$A:$A,$A294,'Error Log'!$J:$J,F$1)</f>
        <v>0</v>
      </c>
      <c r="G294" s="65">
        <f>COUNTIFS('Error Log'!$A:$A,$A294,'Error Log'!$J:$J,G$1)</f>
        <v>0</v>
      </c>
      <c r="H294" s="65">
        <f>COUNTIFS('Error Log'!$A:$A,$A294,'Error Log'!$F:$F,"Source")</f>
        <v>0</v>
      </c>
      <c r="I294" s="65">
        <f>COUNTIFS('Error Log'!$A:$A,$A294,'Error Log'!$F:$F,"Target")</f>
        <v>0</v>
      </c>
      <c r="J294" s="66">
        <f t="shared" si="4"/>
        <v>0</v>
      </c>
    </row>
    <row r="295" spans="1:10">
      <c r="A295" s="76"/>
      <c r="B295" s="65" t="str">
        <f>IF(ISBLANK(A295),"",INDEX('Error Log'!$A:$J,MATCH('Scores per segment'!$A295,'Error Log'!$A:$A,0),MATCH('Scores per segment'!B$1,'Error Log'!$A$1:$J$1,0)))</f>
        <v/>
      </c>
      <c r="C295" s="65" t="str">
        <f>IF(ISBLANK(A295),"",INDEX('Error Log'!$A:$J,MATCH('Scores per segment'!$A295,'Error Log'!$A:$A,0),MATCH('Scores per segment'!C$1,'Error Log'!$A$1:$J$1,0)))</f>
        <v/>
      </c>
      <c r="D295" s="65">
        <f>IF(H295=0,wdct(TRIM(C295)),0)</f>
        <v>0</v>
      </c>
      <c r="E295" s="65">
        <f>COUNTIFS('Error Log'!$A:$A,$A295,'Error Log'!$J:$J,E$1)</f>
        <v>0</v>
      </c>
      <c r="F295" s="65">
        <f>COUNTIFS('Error Log'!$A:$A,$A295,'Error Log'!$J:$J,F$1)</f>
        <v>0</v>
      </c>
      <c r="G295" s="65">
        <f>COUNTIFS('Error Log'!$A:$A,$A295,'Error Log'!$J:$J,G$1)</f>
        <v>0</v>
      </c>
      <c r="H295" s="65">
        <f>COUNTIFS('Error Log'!$A:$A,$A295,'Error Log'!$F:$F,"Source")</f>
        <v>0</v>
      </c>
      <c r="I295" s="65">
        <f>COUNTIFS('Error Log'!$A:$A,$A295,'Error Log'!$F:$F,"Target")</f>
        <v>0</v>
      </c>
      <c r="J295" s="66">
        <f t="shared" si="4"/>
        <v>0</v>
      </c>
    </row>
    <row r="296" spans="1:10">
      <c r="A296" s="76"/>
      <c r="B296" s="65" t="str">
        <f>IF(ISBLANK(A296),"",INDEX('Error Log'!$A:$J,MATCH('Scores per segment'!$A296,'Error Log'!$A:$A,0),MATCH('Scores per segment'!B$1,'Error Log'!$A$1:$J$1,0)))</f>
        <v/>
      </c>
      <c r="C296" s="65" t="str">
        <f>IF(ISBLANK(A296),"",INDEX('Error Log'!$A:$J,MATCH('Scores per segment'!$A296,'Error Log'!$A:$A,0),MATCH('Scores per segment'!C$1,'Error Log'!$A$1:$J$1,0)))</f>
        <v/>
      </c>
      <c r="D296" s="65">
        <f>IF(H296=0,wdct(TRIM(C296)),0)</f>
        <v>0</v>
      </c>
      <c r="E296" s="65">
        <f>COUNTIFS('Error Log'!$A:$A,$A296,'Error Log'!$J:$J,E$1)</f>
        <v>0</v>
      </c>
      <c r="F296" s="65">
        <f>COUNTIFS('Error Log'!$A:$A,$A296,'Error Log'!$J:$J,F$1)</f>
        <v>0</v>
      </c>
      <c r="G296" s="65">
        <f>COUNTIFS('Error Log'!$A:$A,$A296,'Error Log'!$J:$J,G$1)</f>
        <v>0</v>
      </c>
      <c r="H296" s="65">
        <f>COUNTIFS('Error Log'!$A:$A,$A296,'Error Log'!$F:$F,"Source")</f>
        <v>0</v>
      </c>
      <c r="I296" s="65">
        <f>COUNTIFS('Error Log'!$A:$A,$A296,'Error Log'!$F:$F,"Target")</f>
        <v>0</v>
      </c>
      <c r="J296" s="66">
        <f t="shared" si="4"/>
        <v>0</v>
      </c>
    </row>
    <row r="297" spans="1:10">
      <c r="A297" s="76"/>
      <c r="B297" s="65" t="str">
        <f>IF(ISBLANK(A297),"",INDEX('Error Log'!$A:$J,MATCH('Scores per segment'!$A297,'Error Log'!$A:$A,0),MATCH('Scores per segment'!B$1,'Error Log'!$A$1:$J$1,0)))</f>
        <v/>
      </c>
      <c r="C297" s="65" t="str">
        <f>IF(ISBLANK(A297),"",INDEX('Error Log'!$A:$J,MATCH('Scores per segment'!$A297,'Error Log'!$A:$A,0),MATCH('Scores per segment'!C$1,'Error Log'!$A$1:$J$1,0)))</f>
        <v/>
      </c>
      <c r="D297" s="65">
        <f>IF(H297=0,wdct(TRIM(C297)),0)</f>
        <v>0</v>
      </c>
      <c r="E297" s="65">
        <f>COUNTIFS('Error Log'!$A:$A,$A297,'Error Log'!$J:$J,E$1)</f>
        <v>0</v>
      </c>
      <c r="F297" s="65">
        <f>COUNTIFS('Error Log'!$A:$A,$A297,'Error Log'!$J:$J,F$1)</f>
        <v>0</v>
      </c>
      <c r="G297" s="65">
        <f>COUNTIFS('Error Log'!$A:$A,$A297,'Error Log'!$J:$J,G$1)</f>
        <v>0</v>
      </c>
      <c r="H297" s="65">
        <f>COUNTIFS('Error Log'!$A:$A,$A297,'Error Log'!$F:$F,"Source")</f>
        <v>0</v>
      </c>
      <c r="I297" s="65">
        <f>COUNTIFS('Error Log'!$A:$A,$A297,'Error Log'!$F:$F,"Target")</f>
        <v>0</v>
      </c>
      <c r="J297" s="66">
        <f t="shared" si="4"/>
        <v>0</v>
      </c>
    </row>
    <row r="298" spans="1:10">
      <c r="A298" s="76"/>
      <c r="B298" s="65" t="str">
        <f>IF(ISBLANK(A298),"",INDEX('Error Log'!$A:$J,MATCH('Scores per segment'!$A298,'Error Log'!$A:$A,0),MATCH('Scores per segment'!B$1,'Error Log'!$A$1:$J$1,0)))</f>
        <v/>
      </c>
      <c r="C298" s="65" t="str">
        <f>IF(ISBLANK(A298),"",INDEX('Error Log'!$A:$J,MATCH('Scores per segment'!$A298,'Error Log'!$A:$A,0),MATCH('Scores per segment'!C$1,'Error Log'!$A$1:$J$1,0)))</f>
        <v/>
      </c>
      <c r="D298" s="65">
        <f>IF(H298=0,wdct(TRIM(C298)),0)</f>
        <v>0</v>
      </c>
      <c r="E298" s="65">
        <f>COUNTIFS('Error Log'!$A:$A,$A298,'Error Log'!$J:$J,E$1)</f>
        <v>0</v>
      </c>
      <c r="F298" s="65">
        <f>COUNTIFS('Error Log'!$A:$A,$A298,'Error Log'!$J:$J,F$1)</f>
        <v>0</v>
      </c>
      <c r="G298" s="65">
        <f>COUNTIFS('Error Log'!$A:$A,$A298,'Error Log'!$J:$J,G$1)</f>
        <v>0</v>
      </c>
      <c r="H298" s="65">
        <f>COUNTIFS('Error Log'!$A:$A,$A298,'Error Log'!$F:$F,"Source")</f>
        <v>0</v>
      </c>
      <c r="I298" s="65">
        <f>COUNTIFS('Error Log'!$A:$A,$A298,'Error Log'!$F:$F,"Target")</f>
        <v>0</v>
      </c>
      <c r="J298" s="66">
        <f t="shared" si="4"/>
        <v>0</v>
      </c>
    </row>
    <row r="299" spans="1:10">
      <c r="A299" s="76"/>
      <c r="B299" s="65" t="str">
        <f>IF(ISBLANK(A299),"",INDEX('Error Log'!$A:$J,MATCH('Scores per segment'!$A299,'Error Log'!$A:$A,0),MATCH('Scores per segment'!B$1,'Error Log'!$A$1:$J$1,0)))</f>
        <v/>
      </c>
      <c r="C299" s="65" t="str">
        <f>IF(ISBLANK(A299),"",INDEX('Error Log'!$A:$J,MATCH('Scores per segment'!$A299,'Error Log'!$A:$A,0),MATCH('Scores per segment'!C$1,'Error Log'!$A$1:$J$1,0)))</f>
        <v/>
      </c>
      <c r="D299" s="65">
        <f>IF(H299=0,wdct(TRIM(C299)),0)</f>
        <v>0</v>
      </c>
      <c r="E299" s="65">
        <f>COUNTIFS('Error Log'!$A:$A,$A299,'Error Log'!$J:$J,E$1)</f>
        <v>0</v>
      </c>
      <c r="F299" s="65">
        <f>COUNTIFS('Error Log'!$A:$A,$A299,'Error Log'!$J:$J,F$1)</f>
        <v>0</v>
      </c>
      <c r="G299" s="65">
        <f>COUNTIFS('Error Log'!$A:$A,$A299,'Error Log'!$J:$J,G$1)</f>
        <v>0</v>
      </c>
      <c r="H299" s="65">
        <f>COUNTIFS('Error Log'!$A:$A,$A299,'Error Log'!$F:$F,"Source")</f>
        <v>0</v>
      </c>
      <c r="I299" s="65">
        <f>COUNTIFS('Error Log'!$A:$A,$A299,'Error Log'!$F:$F,"Target")</f>
        <v>0</v>
      </c>
      <c r="J299" s="66">
        <f t="shared" si="4"/>
        <v>0</v>
      </c>
    </row>
    <row r="300" spans="1:10">
      <c r="A300" s="76"/>
      <c r="B300" s="65" t="str">
        <f>IF(ISBLANK(A300),"",INDEX('Error Log'!$A:$J,MATCH('Scores per segment'!$A300,'Error Log'!$A:$A,0),MATCH('Scores per segment'!B$1,'Error Log'!$A$1:$J$1,0)))</f>
        <v/>
      </c>
      <c r="C300" s="65" t="str">
        <f>IF(ISBLANK(A300),"",INDEX('Error Log'!$A:$J,MATCH('Scores per segment'!$A300,'Error Log'!$A:$A,0),MATCH('Scores per segment'!C$1,'Error Log'!$A$1:$J$1,0)))</f>
        <v/>
      </c>
      <c r="D300" s="65">
        <f>IF(H300=0,wdct(TRIM(C300)),0)</f>
        <v>0</v>
      </c>
      <c r="E300" s="65">
        <f>COUNTIFS('Error Log'!$A:$A,$A300,'Error Log'!$J:$J,E$1)</f>
        <v>0</v>
      </c>
      <c r="F300" s="65">
        <f>COUNTIFS('Error Log'!$A:$A,$A300,'Error Log'!$J:$J,F$1)</f>
        <v>0</v>
      </c>
      <c r="G300" s="65">
        <f>COUNTIFS('Error Log'!$A:$A,$A300,'Error Log'!$J:$J,G$1)</f>
        <v>0</v>
      </c>
      <c r="H300" s="65">
        <f>COUNTIFS('Error Log'!$A:$A,$A300,'Error Log'!$F:$F,"Source")</f>
        <v>0</v>
      </c>
      <c r="I300" s="65">
        <f>COUNTIFS('Error Log'!$A:$A,$A300,'Error Log'!$F:$F,"Target")</f>
        <v>0</v>
      </c>
      <c r="J300" s="66">
        <f t="shared" si="4"/>
        <v>0</v>
      </c>
    </row>
    <row r="301" spans="1:10">
      <c r="A301" s="76"/>
      <c r="B301" s="65" t="str">
        <f>IF(ISBLANK(A301),"",INDEX('Error Log'!$A:$J,MATCH('Scores per segment'!$A301,'Error Log'!$A:$A,0),MATCH('Scores per segment'!B$1,'Error Log'!$A$1:$J$1,0)))</f>
        <v/>
      </c>
      <c r="C301" s="65" t="str">
        <f>IF(ISBLANK(A301),"",INDEX('Error Log'!$A:$J,MATCH('Scores per segment'!$A301,'Error Log'!$A:$A,0),MATCH('Scores per segment'!C$1,'Error Log'!$A$1:$J$1,0)))</f>
        <v/>
      </c>
      <c r="D301" s="65">
        <f>IF(H301=0,wdct(TRIM(C301)),0)</f>
        <v>0</v>
      </c>
      <c r="E301" s="65">
        <f>COUNTIFS('Error Log'!$A:$A,$A301,'Error Log'!$J:$J,E$1)</f>
        <v>0</v>
      </c>
      <c r="F301" s="65">
        <f>COUNTIFS('Error Log'!$A:$A,$A301,'Error Log'!$J:$J,F$1)</f>
        <v>0</v>
      </c>
      <c r="G301" s="65">
        <f>COUNTIFS('Error Log'!$A:$A,$A301,'Error Log'!$J:$J,G$1)</f>
        <v>0</v>
      </c>
      <c r="H301" s="65">
        <f>COUNTIFS('Error Log'!$A:$A,$A301,'Error Log'!$F:$F,"Source")</f>
        <v>0</v>
      </c>
      <c r="I301" s="65">
        <f>COUNTIFS('Error Log'!$A:$A,$A301,'Error Log'!$F:$F,"Target")</f>
        <v>0</v>
      </c>
      <c r="J301" s="66">
        <f t="shared" si="4"/>
        <v>0</v>
      </c>
    </row>
    <row r="302" spans="1:10">
      <c r="A302" s="76"/>
      <c r="B302" s="65" t="str">
        <f>IF(ISBLANK(A302),"",INDEX('Error Log'!$A:$J,MATCH('Scores per segment'!$A302,'Error Log'!$A:$A,0),MATCH('Scores per segment'!B$1,'Error Log'!$A$1:$J$1,0)))</f>
        <v/>
      </c>
      <c r="C302" s="65" t="str">
        <f>IF(ISBLANK(A302),"",INDEX('Error Log'!$A:$J,MATCH('Scores per segment'!$A302,'Error Log'!$A:$A,0),MATCH('Scores per segment'!C$1,'Error Log'!$A$1:$J$1,0)))</f>
        <v/>
      </c>
      <c r="D302" s="65">
        <f>IF(H302=0,wdct(TRIM(C302)),0)</f>
        <v>0</v>
      </c>
      <c r="E302" s="65">
        <f>COUNTIFS('Error Log'!$A:$A,$A302,'Error Log'!$J:$J,E$1)</f>
        <v>0</v>
      </c>
      <c r="F302" s="65">
        <f>COUNTIFS('Error Log'!$A:$A,$A302,'Error Log'!$J:$J,F$1)</f>
        <v>0</v>
      </c>
      <c r="G302" s="65">
        <f>COUNTIFS('Error Log'!$A:$A,$A302,'Error Log'!$J:$J,G$1)</f>
        <v>0</v>
      </c>
      <c r="H302" s="65">
        <f>COUNTIFS('Error Log'!$A:$A,$A302,'Error Log'!$F:$F,"Source")</f>
        <v>0</v>
      </c>
      <c r="I302" s="65">
        <f>COUNTIFS('Error Log'!$A:$A,$A302,'Error Log'!$F:$F,"Target")</f>
        <v>0</v>
      </c>
      <c r="J302" s="66">
        <f t="shared" si="4"/>
        <v>0</v>
      </c>
    </row>
    <row r="303" spans="1:10">
      <c r="A303" s="76"/>
      <c r="B303" s="65" t="str">
        <f>IF(ISBLANK(A303),"",INDEX('Error Log'!$A:$J,MATCH('Scores per segment'!$A303,'Error Log'!$A:$A,0),MATCH('Scores per segment'!B$1,'Error Log'!$A$1:$J$1,0)))</f>
        <v/>
      </c>
      <c r="C303" s="65" t="str">
        <f>IF(ISBLANK(A303),"",INDEX('Error Log'!$A:$J,MATCH('Scores per segment'!$A303,'Error Log'!$A:$A,0),MATCH('Scores per segment'!C$1,'Error Log'!$A$1:$J$1,0)))</f>
        <v/>
      </c>
      <c r="D303" s="65">
        <f>IF(H303=0,wdct(TRIM(C303)),0)</f>
        <v>0</v>
      </c>
      <c r="E303" s="65">
        <f>COUNTIFS('Error Log'!$A:$A,$A303,'Error Log'!$J:$J,E$1)</f>
        <v>0</v>
      </c>
      <c r="F303" s="65">
        <f>COUNTIFS('Error Log'!$A:$A,$A303,'Error Log'!$J:$J,F$1)</f>
        <v>0</v>
      </c>
      <c r="G303" s="65">
        <f>COUNTIFS('Error Log'!$A:$A,$A303,'Error Log'!$J:$J,G$1)</f>
        <v>0</v>
      </c>
      <c r="H303" s="65">
        <f>COUNTIFS('Error Log'!$A:$A,$A303,'Error Log'!$F:$F,"Source")</f>
        <v>0</v>
      </c>
      <c r="I303" s="65">
        <f>COUNTIFS('Error Log'!$A:$A,$A303,'Error Log'!$F:$F,"Target")</f>
        <v>0</v>
      </c>
      <c r="J303" s="66">
        <f t="shared" si="4"/>
        <v>0</v>
      </c>
    </row>
    <row r="304" spans="1:10">
      <c r="A304" s="76"/>
      <c r="B304" s="65" t="str">
        <f>IF(ISBLANK(A304),"",INDEX('Error Log'!$A:$J,MATCH('Scores per segment'!$A304,'Error Log'!$A:$A,0),MATCH('Scores per segment'!B$1,'Error Log'!$A$1:$J$1,0)))</f>
        <v/>
      </c>
      <c r="C304" s="65" t="str">
        <f>IF(ISBLANK(A304),"",INDEX('Error Log'!$A:$J,MATCH('Scores per segment'!$A304,'Error Log'!$A:$A,0),MATCH('Scores per segment'!C$1,'Error Log'!$A$1:$J$1,0)))</f>
        <v/>
      </c>
      <c r="D304" s="65">
        <f>IF(H304=0,wdct(TRIM(C304)),0)</f>
        <v>0</v>
      </c>
      <c r="E304" s="65">
        <f>COUNTIFS('Error Log'!$A:$A,$A304,'Error Log'!$J:$J,E$1)</f>
        <v>0</v>
      </c>
      <c r="F304" s="65">
        <f>COUNTIFS('Error Log'!$A:$A,$A304,'Error Log'!$J:$J,F$1)</f>
        <v>0</v>
      </c>
      <c r="G304" s="65">
        <f>COUNTIFS('Error Log'!$A:$A,$A304,'Error Log'!$J:$J,G$1)</f>
        <v>0</v>
      </c>
      <c r="H304" s="65">
        <f>COUNTIFS('Error Log'!$A:$A,$A304,'Error Log'!$F:$F,"Source")</f>
        <v>0</v>
      </c>
      <c r="I304" s="65">
        <f>COUNTIFS('Error Log'!$A:$A,$A304,'Error Log'!$F:$F,"Target")</f>
        <v>0</v>
      </c>
      <c r="J304" s="66">
        <f t="shared" si="4"/>
        <v>0</v>
      </c>
    </row>
    <row r="305" spans="1:10">
      <c r="A305" s="76"/>
      <c r="B305" s="65" t="str">
        <f>IF(ISBLANK(A305),"",INDEX('Error Log'!$A:$J,MATCH('Scores per segment'!$A305,'Error Log'!$A:$A,0),MATCH('Scores per segment'!B$1,'Error Log'!$A$1:$J$1,0)))</f>
        <v/>
      </c>
      <c r="C305" s="65" t="str">
        <f>IF(ISBLANK(A305),"",INDEX('Error Log'!$A:$J,MATCH('Scores per segment'!$A305,'Error Log'!$A:$A,0),MATCH('Scores per segment'!C$1,'Error Log'!$A$1:$J$1,0)))</f>
        <v/>
      </c>
      <c r="D305" s="65">
        <f>IF(H305=0,wdct(TRIM(C305)),0)</f>
        <v>0</v>
      </c>
      <c r="E305" s="65">
        <f>COUNTIFS('Error Log'!$A:$A,$A305,'Error Log'!$J:$J,E$1)</f>
        <v>0</v>
      </c>
      <c r="F305" s="65">
        <f>COUNTIFS('Error Log'!$A:$A,$A305,'Error Log'!$J:$J,F$1)</f>
        <v>0</v>
      </c>
      <c r="G305" s="65">
        <f>COUNTIFS('Error Log'!$A:$A,$A305,'Error Log'!$J:$J,G$1)</f>
        <v>0</v>
      </c>
      <c r="H305" s="65">
        <f>COUNTIFS('Error Log'!$A:$A,$A305,'Error Log'!$F:$F,"Source")</f>
        <v>0</v>
      </c>
      <c r="I305" s="65">
        <f>COUNTIFS('Error Log'!$A:$A,$A305,'Error Log'!$F:$F,"Target")</f>
        <v>0</v>
      </c>
      <c r="J305" s="66">
        <f t="shared" si="4"/>
        <v>0</v>
      </c>
    </row>
    <row r="306" spans="1:10">
      <c r="A306" s="76"/>
      <c r="B306" s="65" t="str">
        <f>IF(ISBLANK(A306),"",INDEX('Error Log'!$A:$J,MATCH('Scores per segment'!$A306,'Error Log'!$A:$A,0),MATCH('Scores per segment'!B$1,'Error Log'!$A$1:$J$1,0)))</f>
        <v/>
      </c>
      <c r="C306" s="65" t="str">
        <f>IF(ISBLANK(A306),"",INDEX('Error Log'!$A:$J,MATCH('Scores per segment'!$A306,'Error Log'!$A:$A,0),MATCH('Scores per segment'!C$1,'Error Log'!$A$1:$J$1,0)))</f>
        <v/>
      </c>
      <c r="D306" s="65">
        <f>IF(H306=0,wdct(TRIM(C306)),0)</f>
        <v>0</v>
      </c>
      <c r="E306" s="65">
        <f>COUNTIFS('Error Log'!$A:$A,$A306,'Error Log'!$J:$J,E$1)</f>
        <v>0</v>
      </c>
      <c r="F306" s="65">
        <f>COUNTIFS('Error Log'!$A:$A,$A306,'Error Log'!$J:$J,F$1)</f>
        <v>0</v>
      </c>
      <c r="G306" s="65">
        <f>COUNTIFS('Error Log'!$A:$A,$A306,'Error Log'!$J:$J,G$1)</f>
        <v>0</v>
      </c>
      <c r="H306" s="65">
        <f>COUNTIFS('Error Log'!$A:$A,$A306,'Error Log'!$F:$F,"Source")</f>
        <v>0</v>
      </c>
      <c r="I306" s="65">
        <f>COUNTIFS('Error Log'!$A:$A,$A306,'Error Log'!$F:$F,"Target")</f>
        <v>0</v>
      </c>
      <c r="J306" s="66">
        <f t="shared" si="4"/>
        <v>0</v>
      </c>
    </row>
    <row r="307" spans="1:10">
      <c r="A307" s="76"/>
      <c r="B307" s="65" t="str">
        <f>IF(ISBLANK(A307),"",INDEX('Error Log'!$A:$J,MATCH('Scores per segment'!$A307,'Error Log'!$A:$A,0),MATCH('Scores per segment'!B$1,'Error Log'!$A$1:$J$1,0)))</f>
        <v/>
      </c>
      <c r="C307" s="65" t="str">
        <f>IF(ISBLANK(A307),"",INDEX('Error Log'!$A:$J,MATCH('Scores per segment'!$A307,'Error Log'!$A:$A,0),MATCH('Scores per segment'!C$1,'Error Log'!$A$1:$J$1,0)))</f>
        <v/>
      </c>
      <c r="D307" s="65">
        <f>IF(H307=0,wdct(TRIM(C307)),0)</f>
        <v>0</v>
      </c>
      <c r="E307" s="65">
        <f>COUNTIFS('Error Log'!$A:$A,$A307,'Error Log'!$J:$J,E$1)</f>
        <v>0</v>
      </c>
      <c r="F307" s="65">
        <f>COUNTIFS('Error Log'!$A:$A,$A307,'Error Log'!$J:$J,F$1)</f>
        <v>0</v>
      </c>
      <c r="G307" s="65">
        <f>COUNTIFS('Error Log'!$A:$A,$A307,'Error Log'!$J:$J,G$1)</f>
        <v>0</v>
      </c>
      <c r="H307" s="65">
        <f>COUNTIFS('Error Log'!$A:$A,$A307,'Error Log'!$F:$F,"Source")</f>
        <v>0</v>
      </c>
      <c r="I307" s="65">
        <f>COUNTIFS('Error Log'!$A:$A,$A307,'Error Log'!$F:$F,"Target")</f>
        <v>0</v>
      </c>
      <c r="J307" s="66">
        <f t="shared" si="4"/>
        <v>0</v>
      </c>
    </row>
    <row r="308" spans="1:10">
      <c r="A308" s="76"/>
      <c r="B308" s="65" t="str">
        <f>IF(ISBLANK(A308),"",INDEX('Error Log'!$A:$J,MATCH('Scores per segment'!$A308,'Error Log'!$A:$A,0),MATCH('Scores per segment'!B$1,'Error Log'!$A$1:$J$1,0)))</f>
        <v/>
      </c>
      <c r="C308" s="65" t="str">
        <f>IF(ISBLANK(A308),"",INDEX('Error Log'!$A:$J,MATCH('Scores per segment'!$A308,'Error Log'!$A:$A,0),MATCH('Scores per segment'!C$1,'Error Log'!$A$1:$J$1,0)))</f>
        <v/>
      </c>
      <c r="D308" s="65">
        <f>IF(H308=0,wdct(TRIM(C308)),0)</f>
        <v>0</v>
      </c>
      <c r="E308" s="65">
        <f>COUNTIFS('Error Log'!$A:$A,$A308,'Error Log'!$J:$J,E$1)</f>
        <v>0</v>
      </c>
      <c r="F308" s="65">
        <f>COUNTIFS('Error Log'!$A:$A,$A308,'Error Log'!$J:$J,F$1)</f>
        <v>0</v>
      </c>
      <c r="G308" s="65">
        <f>COUNTIFS('Error Log'!$A:$A,$A308,'Error Log'!$J:$J,G$1)</f>
        <v>0</v>
      </c>
      <c r="H308" s="65">
        <f>COUNTIFS('Error Log'!$A:$A,$A308,'Error Log'!$F:$F,"Source")</f>
        <v>0</v>
      </c>
      <c r="I308" s="65">
        <f>COUNTIFS('Error Log'!$A:$A,$A308,'Error Log'!$F:$F,"Target")</f>
        <v>0</v>
      </c>
      <c r="J308" s="66">
        <f t="shared" si="4"/>
        <v>0</v>
      </c>
    </row>
    <row r="309" spans="1:10">
      <c r="A309" s="76"/>
      <c r="B309" s="65" t="str">
        <f>IF(ISBLANK(A309),"",INDEX('Error Log'!$A:$J,MATCH('Scores per segment'!$A309,'Error Log'!$A:$A,0),MATCH('Scores per segment'!B$1,'Error Log'!$A$1:$J$1,0)))</f>
        <v/>
      </c>
      <c r="C309" s="65" t="str">
        <f>IF(ISBLANK(A309),"",INDEX('Error Log'!$A:$J,MATCH('Scores per segment'!$A309,'Error Log'!$A:$A,0),MATCH('Scores per segment'!C$1,'Error Log'!$A$1:$J$1,0)))</f>
        <v/>
      </c>
      <c r="D309" s="65">
        <f>IF(H309=0,wdct(TRIM(C309)),0)</f>
        <v>0</v>
      </c>
      <c r="E309" s="65">
        <f>COUNTIFS('Error Log'!$A:$A,$A309,'Error Log'!$J:$J,E$1)</f>
        <v>0</v>
      </c>
      <c r="F309" s="65">
        <f>COUNTIFS('Error Log'!$A:$A,$A309,'Error Log'!$J:$J,F$1)</f>
        <v>0</v>
      </c>
      <c r="G309" s="65">
        <f>COUNTIFS('Error Log'!$A:$A,$A309,'Error Log'!$J:$J,G$1)</f>
        <v>0</v>
      </c>
      <c r="H309" s="65">
        <f>COUNTIFS('Error Log'!$A:$A,$A309,'Error Log'!$F:$F,"Source")</f>
        <v>0</v>
      </c>
      <c r="I309" s="65">
        <f>COUNTIFS('Error Log'!$A:$A,$A309,'Error Log'!$F:$F,"Target")</f>
        <v>0</v>
      </c>
      <c r="J309" s="66">
        <f t="shared" si="4"/>
        <v>0</v>
      </c>
    </row>
    <row r="310" spans="1:10">
      <c r="A310" s="76"/>
      <c r="B310" s="65" t="str">
        <f>IF(ISBLANK(A310),"",INDEX('Error Log'!$A:$J,MATCH('Scores per segment'!$A310,'Error Log'!$A:$A,0),MATCH('Scores per segment'!B$1,'Error Log'!$A$1:$J$1,0)))</f>
        <v/>
      </c>
      <c r="C310" s="65" t="str">
        <f>IF(ISBLANK(A310),"",INDEX('Error Log'!$A:$J,MATCH('Scores per segment'!$A310,'Error Log'!$A:$A,0),MATCH('Scores per segment'!C$1,'Error Log'!$A$1:$J$1,0)))</f>
        <v/>
      </c>
      <c r="D310" s="65">
        <f>IF(H310=0,wdct(TRIM(C310)),0)</f>
        <v>0</v>
      </c>
      <c r="E310" s="65">
        <f>COUNTIFS('Error Log'!$A:$A,$A310,'Error Log'!$J:$J,E$1)</f>
        <v>0</v>
      </c>
      <c r="F310" s="65">
        <f>COUNTIFS('Error Log'!$A:$A,$A310,'Error Log'!$J:$J,F$1)</f>
        <v>0</v>
      </c>
      <c r="G310" s="65">
        <f>COUNTIFS('Error Log'!$A:$A,$A310,'Error Log'!$J:$J,G$1)</f>
        <v>0</v>
      </c>
      <c r="H310" s="65">
        <f>COUNTIFS('Error Log'!$A:$A,$A310,'Error Log'!$F:$F,"Source")</f>
        <v>0</v>
      </c>
      <c r="I310" s="65">
        <f>COUNTIFS('Error Log'!$A:$A,$A310,'Error Log'!$F:$F,"Target")</f>
        <v>0</v>
      </c>
      <c r="J310" s="66">
        <f t="shared" si="4"/>
        <v>0</v>
      </c>
    </row>
    <row r="311" spans="1:10">
      <c r="A311" s="76"/>
      <c r="B311" s="65" t="str">
        <f>IF(ISBLANK(A311),"",INDEX('Error Log'!$A:$J,MATCH('Scores per segment'!$A311,'Error Log'!$A:$A,0),MATCH('Scores per segment'!B$1,'Error Log'!$A$1:$J$1,0)))</f>
        <v/>
      </c>
      <c r="C311" s="65" t="str">
        <f>IF(ISBLANK(A311),"",INDEX('Error Log'!$A:$J,MATCH('Scores per segment'!$A311,'Error Log'!$A:$A,0),MATCH('Scores per segment'!C$1,'Error Log'!$A$1:$J$1,0)))</f>
        <v/>
      </c>
      <c r="D311" s="65">
        <f>IF(H311=0,wdct(TRIM(C311)),0)</f>
        <v>0</v>
      </c>
      <c r="E311" s="65">
        <f>COUNTIFS('Error Log'!$A:$A,$A311,'Error Log'!$J:$J,E$1)</f>
        <v>0</v>
      </c>
      <c r="F311" s="65">
        <f>COUNTIFS('Error Log'!$A:$A,$A311,'Error Log'!$J:$J,F$1)</f>
        <v>0</v>
      </c>
      <c r="G311" s="65">
        <f>COUNTIFS('Error Log'!$A:$A,$A311,'Error Log'!$J:$J,G$1)</f>
        <v>0</v>
      </c>
      <c r="H311" s="65">
        <f>COUNTIFS('Error Log'!$A:$A,$A311,'Error Log'!$F:$F,"Source")</f>
        <v>0</v>
      </c>
      <c r="I311" s="65">
        <f>COUNTIFS('Error Log'!$A:$A,$A311,'Error Log'!$F:$F,"Target")</f>
        <v>0</v>
      </c>
      <c r="J311" s="66">
        <f t="shared" si="4"/>
        <v>0</v>
      </c>
    </row>
    <row r="312" spans="1:10">
      <c r="A312" s="76"/>
      <c r="B312" s="65" t="str">
        <f>IF(ISBLANK(A312),"",INDEX('Error Log'!$A:$J,MATCH('Scores per segment'!$A312,'Error Log'!$A:$A,0),MATCH('Scores per segment'!B$1,'Error Log'!$A$1:$J$1,0)))</f>
        <v/>
      </c>
      <c r="C312" s="65" t="str">
        <f>IF(ISBLANK(A312),"",INDEX('Error Log'!$A:$J,MATCH('Scores per segment'!$A312,'Error Log'!$A:$A,0),MATCH('Scores per segment'!C$1,'Error Log'!$A$1:$J$1,0)))</f>
        <v/>
      </c>
      <c r="D312" s="65">
        <f>IF(H312=0,wdct(TRIM(C312)),0)</f>
        <v>0</v>
      </c>
      <c r="E312" s="65">
        <f>COUNTIFS('Error Log'!$A:$A,$A312,'Error Log'!$J:$J,E$1)</f>
        <v>0</v>
      </c>
      <c r="F312" s="65">
        <f>COUNTIFS('Error Log'!$A:$A,$A312,'Error Log'!$J:$J,F$1)</f>
        <v>0</v>
      </c>
      <c r="G312" s="65">
        <f>COUNTIFS('Error Log'!$A:$A,$A312,'Error Log'!$J:$J,G$1)</f>
        <v>0</v>
      </c>
      <c r="H312" s="65">
        <f>COUNTIFS('Error Log'!$A:$A,$A312,'Error Log'!$F:$F,"Source")</f>
        <v>0</v>
      </c>
      <c r="I312" s="65">
        <f>COUNTIFS('Error Log'!$A:$A,$A312,'Error Log'!$F:$F,"Target")</f>
        <v>0</v>
      </c>
      <c r="J312" s="66">
        <f t="shared" si="4"/>
        <v>0</v>
      </c>
    </row>
    <row r="313" spans="1:10">
      <c r="A313" s="76"/>
      <c r="B313" s="65" t="str">
        <f>IF(ISBLANK(A313),"",INDEX('Error Log'!$A:$J,MATCH('Scores per segment'!$A313,'Error Log'!$A:$A,0),MATCH('Scores per segment'!B$1,'Error Log'!$A$1:$J$1,0)))</f>
        <v/>
      </c>
      <c r="C313" s="65" t="str">
        <f>IF(ISBLANK(A313),"",INDEX('Error Log'!$A:$J,MATCH('Scores per segment'!$A313,'Error Log'!$A:$A,0),MATCH('Scores per segment'!C$1,'Error Log'!$A$1:$J$1,0)))</f>
        <v/>
      </c>
      <c r="D313" s="65">
        <f>IF(H313=0,wdct(TRIM(C313)),0)</f>
        <v>0</v>
      </c>
      <c r="E313" s="65">
        <f>COUNTIFS('Error Log'!$A:$A,$A313,'Error Log'!$J:$J,E$1)</f>
        <v>0</v>
      </c>
      <c r="F313" s="65">
        <f>COUNTIFS('Error Log'!$A:$A,$A313,'Error Log'!$J:$J,F$1)</f>
        <v>0</v>
      </c>
      <c r="G313" s="65">
        <f>COUNTIFS('Error Log'!$A:$A,$A313,'Error Log'!$J:$J,G$1)</f>
        <v>0</v>
      </c>
      <c r="H313" s="65">
        <f>COUNTIFS('Error Log'!$A:$A,$A313,'Error Log'!$F:$F,"Source")</f>
        <v>0</v>
      </c>
      <c r="I313" s="65">
        <f>COUNTIFS('Error Log'!$A:$A,$A313,'Error Log'!$F:$F,"Target")</f>
        <v>0</v>
      </c>
      <c r="J313" s="66">
        <f t="shared" si="4"/>
        <v>0</v>
      </c>
    </row>
    <row r="314" spans="1:10">
      <c r="A314" s="76"/>
      <c r="B314" s="65" t="str">
        <f>IF(ISBLANK(A314),"",INDEX('Error Log'!$A:$J,MATCH('Scores per segment'!$A314,'Error Log'!$A:$A,0),MATCH('Scores per segment'!B$1,'Error Log'!$A$1:$J$1,0)))</f>
        <v/>
      </c>
      <c r="C314" s="65" t="str">
        <f>IF(ISBLANK(A314),"",INDEX('Error Log'!$A:$J,MATCH('Scores per segment'!$A314,'Error Log'!$A:$A,0),MATCH('Scores per segment'!C$1,'Error Log'!$A$1:$J$1,0)))</f>
        <v/>
      </c>
      <c r="D314" s="65">
        <f>IF(H314=0,wdct(TRIM(C314)),0)</f>
        <v>0</v>
      </c>
      <c r="E314" s="65">
        <f>COUNTIFS('Error Log'!$A:$A,$A314,'Error Log'!$J:$J,E$1)</f>
        <v>0</v>
      </c>
      <c r="F314" s="65">
        <f>COUNTIFS('Error Log'!$A:$A,$A314,'Error Log'!$J:$J,F$1)</f>
        <v>0</v>
      </c>
      <c r="G314" s="65">
        <f>COUNTIFS('Error Log'!$A:$A,$A314,'Error Log'!$J:$J,G$1)</f>
        <v>0</v>
      </c>
      <c r="H314" s="65">
        <f>COUNTIFS('Error Log'!$A:$A,$A314,'Error Log'!$F:$F,"Source")</f>
        <v>0</v>
      </c>
      <c r="I314" s="65">
        <f>COUNTIFS('Error Log'!$A:$A,$A314,'Error Log'!$F:$F,"Target")</f>
        <v>0</v>
      </c>
      <c r="J314" s="66">
        <f t="shared" si="4"/>
        <v>0</v>
      </c>
    </row>
    <row r="315" spans="1:10">
      <c r="A315" s="76"/>
      <c r="B315" s="65" t="str">
        <f>IF(ISBLANK(A315),"",INDEX('Error Log'!$A:$J,MATCH('Scores per segment'!$A315,'Error Log'!$A:$A,0),MATCH('Scores per segment'!B$1,'Error Log'!$A$1:$J$1,0)))</f>
        <v/>
      </c>
      <c r="C315" s="65" t="str">
        <f>IF(ISBLANK(A315),"",INDEX('Error Log'!$A:$J,MATCH('Scores per segment'!$A315,'Error Log'!$A:$A,0),MATCH('Scores per segment'!C$1,'Error Log'!$A$1:$J$1,0)))</f>
        <v/>
      </c>
      <c r="D315" s="65">
        <f>IF(H315=0,wdct(TRIM(C315)),0)</f>
        <v>0</v>
      </c>
      <c r="E315" s="65">
        <f>COUNTIFS('Error Log'!$A:$A,$A315,'Error Log'!$J:$J,E$1)</f>
        <v>0</v>
      </c>
      <c r="F315" s="65">
        <f>COUNTIFS('Error Log'!$A:$A,$A315,'Error Log'!$J:$J,F$1)</f>
        <v>0</v>
      </c>
      <c r="G315" s="65">
        <f>COUNTIFS('Error Log'!$A:$A,$A315,'Error Log'!$J:$J,G$1)</f>
        <v>0</v>
      </c>
      <c r="H315" s="65">
        <f>COUNTIFS('Error Log'!$A:$A,$A315,'Error Log'!$F:$F,"Source")</f>
        <v>0</v>
      </c>
      <c r="I315" s="65">
        <f>COUNTIFS('Error Log'!$A:$A,$A315,'Error Log'!$F:$F,"Target")</f>
        <v>0</v>
      </c>
      <c r="J315" s="66">
        <f t="shared" si="4"/>
        <v>0</v>
      </c>
    </row>
    <row r="316" spans="1:10">
      <c r="A316" s="76"/>
      <c r="B316" s="65" t="str">
        <f>IF(ISBLANK(A316),"",INDEX('Error Log'!$A:$J,MATCH('Scores per segment'!$A316,'Error Log'!$A:$A,0),MATCH('Scores per segment'!B$1,'Error Log'!$A$1:$J$1,0)))</f>
        <v/>
      </c>
      <c r="C316" s="65" t="str">
        <f>IF(ISBLANK(A316),"",INDEX('Error Log'!$A:$J,MATCH('Scores per segment'!$A316,'Error Log'!$A:$A,0),MATCH('Scores per segment'!C$1,'Error Log'!$A$1:$J$1,0)))</f>
        <v/>
      </c>
      <c r="D316" s="65">
        <f>IF(H316=0,wdct(TRIM(C316)),0)</f>
        <v>0</v>
      </c>
      <c r="E316" s="65">
        <f>COUNTIFS('Error Log'!$A:$A,$A316,'Error Log'!$J:$J,E$1)</f>
        <v>0</v>
      </c>
      <c r="F316" s="65">
        <f>COUNTIFS('Error Log'!$A:$A,$A316,'Error Log'!$J:$J,F$1)</f>
        <v>0</v>
      </c>
      <c r="G316" s="65">
        <f>COUNTIFS('Error Log'!$A:$A,$A316,'Error Log'!$J:$J,G$1)</f>
        <v>0</v>
      </c>
      <c r="H316" s="65">
        <f>COUNTIFS('Error Log'!$A:$A,$A316,'Error Log'!$F:$F,"Source")</f>
        <v>0</v>
      </c>
      <c r="I316" s="65">
        <f>COUNTIFS('Error Log'!$A:$A,$A316,'Error Log'!$F:$F,"Target")</f>
        <v>0</v>
      </c>
      <c r="J316" s="66">
        <f t="shared" si="4"/>
        <v>0</v>
      </c>
    </row>
    <row r="317" spans="1:10">
      <c r="A317" s="76"/>
      <c r="B317" s="65" t="str">
        <f>IF(ISBLANK(A317),"",INDEX('Error Log'!$A:$J,MATCH('Scores per segment'!$A317,'Error Log'!$A:$A,0),MATCH('Scores per segment'!B$1,'Error Log'!$A$1:$J$1,0)))</f>
        <v/>
      </c>
      <c r="C317" s="65" t="str">
        <f>IF(ISBLANK(A317),"",INDEX('Error Log'!$A:$J,MATCH('Scores per segment'!$A317,'Error Log'!$A:$A,0),MATCH('Scores per segment'!C$1,'Error Log'!$A$1:$J$1,0)))</f>
        <v/>
      </c>
      <c r="D317" s="65">
        <f>IF(H317=0,wdct(TRIM(C317)),0)</f>
        <v>0</v>
      </c>
      <c r="E317" s="65">
        <f>COUNTIFS('Error Log'!$A:$A,$A317,'Error Log'!$J:$J,E$1)</f>
        <v>0</v>
      </c>
      <c r="F317" s="65">
        <f>COUNTIFS('Error Log'!$A:$A,$A317,'Error Log'!$J:$J,F$1)</f>
        <v>0</v>
      </c>
      <c r="G317" s="65">
        <f>COUNTIFS('Error Log'!$A:$A,$A317,'Error Log'!$J:$J,G$1)</f>
        <v>0</v>
      </c>
      <c r="H317" s="65">
        <f>COUNTIFS('Error Log'!$A:$A,$A317,'Error Log'!$F:$F,"Source")</f>
        <v>0</v>
      </c>
      <c r="I317" s="65">
        <f>COUNTIFS('Error Log'!$A:$A,$A317,'Error Log'!$F:$F,"Target")</f>
        <v>0</v>
      </c>
      <c r="J317" s="66">
        <f t="shared" si="4"/>
        <v>0</v>
      </c>
    </row>
    <row r="318" spans="1:10">
      <c r="A318" s="76"/>
      <c r="B318" s="65" t="str">
        <f>IF(ISBLANK(A318),"",INDEX('Error Log'!$A:$J,MATCH('Scores per segment'!$A318,'Error Log'!$A:$A,0),MATCH('Scores per segment'!B$1,'Error Log'!$A$1:$J$1,0)))</f>
        <v/>
      </c>
      <c r="C318" s="65" t="str">
        <f>IF(ISBLANK(A318),"",INDEX('Error Log'!$A:$J,MATCH('Scores per segment'!$A318,'Error Log'!$A:$A,0),MATCH('Scores per segment'!C$1,'Error Log'!$A$1:$J$1,0)))</f>
        <v/>
      </c>
      <c r="D318" s="65">
        <f>IF(H318=0,wdct(TRIM(C318)),0)</f>
        <v>0</v>
      </c>
      <c r="E318" s="65">
        <f>COUNTIFS('Error Log'!$A:$A,$A318,'Error Log'!$J:$J,E$1)</f>
        <v>0</v>
      </c>
      <c r="F318" s="65">
        <f>COUNTIFS('Error Log'!$A:$A,$A318,'Error Log'!$J:$J,F$1)</f>
        <v>0</v>
      </c>
      <c r="G318" s="65">
        <f>COUNTIFS('Error Log'!$A:$A,$A318,'Error Log'!$J:$J,G$1)</f>
        <v>0</v>
      </c>
      <c r="H318" s="65">
        <f>COUNTIFS('Error Log'!$A:$A,$A318,'Error Log'!$F:$F,"Source")</f>
        <v>0</v>
      </c>
      <c r="I318" s="65">
        <f>COUNTIFS('Error Log'!$A:$A,$A318,'Error Log'!$F:$F,"Target")</f>
        <v>0</v>
      </c>
      <c r="J318" s="66">
        <f t="shared" si="4"/>
        <v>0</v>
      </c>
    </row>
    <row r="319" spans="1:10">
      <c r="A319" s="76"/>
      <c r="B319" s="65" t="str">
        <f>IF(ISBLANK(A319),"",INDEX('Error Log'!$A:$J,MATCH('Scores per segment'!$A319,'Error Log'!$A:$A,0),MATCH('Scores per segment'!B$1,'Error Log'!$A$1:$J$1,0)))</f>
        <v/>
      </c>
      <c r="C319" s="65" t="str">
        <f>IF(ISBLANK(A319),"",INDEX('Error Log'!$A:$J,MATCH('Scores per segment'!$A319,'Error Log'!$A:$A,0),MATCH('Scores per segment'!C$1,'Error Log'!$A$1:$J$1,0)))</f>
        <v/>
      </c>
      <c r="D319" s="65">
        <f>IF(H319=0,wdct(TRIM(C319)),0)</f>
        <v>0</v>
      </c>
      <c r="E319" s="65">
        <f>COUNTIFS('Error Log'!$A:$A,$A319,'Error Log'!$J:$J,E$1)</f>
        <v>0</v>
      </c>
      <c r="F319" s="65">
        <f>COUNTIFS('Error Log'!$A:$A,$A319,'Error Log'!$J:$J,F$1)</f>
        <v>0</v>
      </c>
      <c r="G319" s="65">
        <f>COUNTIFS('Error Log'!$A:$A,$A319,'Error Log'!$J:$J,G$1)</f>
        <v>0</v>
      </c>
      <c r="H319" s="65">
        <f>COUNTIFS('Error Log'!$A:$A,$A319,'Error Log'!$F:$F,"Source")</f>
        <v>0</v>
      </c>
      <c r="I319" s="65">
        <f>COUNTIFS('Error Log'!$A:$A,$A319,'Error Log'!$F:$F,"Target")</f>
        <v>0</v>
      </c>
      <c r="J319" s="66">
        <f t="shared" si="4"/>
        <v>0</v>
      </c>
    </row>
    <row r="320" spans="1:10">
      <c r="A320" s="76"/>
      <c r="B320" s="65" t="str">
        <f>IF(ISBLANK(A320),"",INDEX('Error Log'!$A:$J,MATCH('Scores per segment'!$A320,'Error Log'!$A:$A,0),MATCH('Scores per segment'!B$1,'Error Log'!$A$1:$J$1,0)))</f>
        <v/>
      </c>
      <c r="C320" s="65" t="str">
        <f>IF(ISBLANK(A320),"",INDEX('Error Log'!$A:$J,MATCH('Scores per segment'!$A320,'Error Log'!$A:$A,0),MATCH('Scores per segment'!C$1,'Error Log'!$A$1:$J$1,0)))</f>
        <v/>
      </c>
      <c r="D320" s="65">
        <f>IF(H320=0,wdct(TRIM(C320)),0)</f>
        <v>0</v>
      </c>
      <c r="E320" s="65">
        <f>COUNTIFS('Error Log'!$A:$A,$A320,'Error Log'!$J:$J,E$1)</f>
        <v>0</v>
      </c>
      <c r="F320" s="65">
        <f>COUNTIFS('Error Log'!$A:$A,$A320,'Error Log'!$J:$J,F$1)</f>
        <v>0</v>
      </c>
      <c r="G320" s="65">
        <f>COUNTIFS('Error Log'!$A:$A,$A320,'Error Log'!$J:$J,G$1)</f>
        <v>0</v>
      </c>
      <c r="H320" s="65">
        <f>COUNTIFS('Error Log'!$A:$A,$A320,'Error Log'!$F:$F,"Source")</f>
        <v>0</v>
      </c>
      <c r="I320" s="65">
        <f>COUNTIFS('Error Log'!$A:$A,$A320,'Error Log'!$F:$F,"Target")</f>
        <v>0</v>
      </c>
      <c r="J320" s="66">
        <f t="shared" si="4"/>
        <v>0</v>
      </c>
    </row>
    <row r="321" spans="1:10">
      <c r="A321" s="76"/>
      <c r="B321" s="65" t="str">
        <f>IF(ISBLANK(A321),"",INDEX('Error Log'!$A:$J,MATCH('Scores per segment'!$A321,'Error Log'!$A:$A,0),MATCH('Scores per segment'!B$1,'Error Log'!$A$1:$J$1,0)))</f>
        <v/>
      </c>
      <c r="C321" s="65" t="str">
        <f>IF(ISBLANK(A321),"",INDEX('Error Log'!$A:$J,MATCH('Scores per segment'!$A321,'Error Log'!$A:$A,0),MATCH('Scores per segment'!C$1,'Error Log'!$A$1:$J$1,0)))</f>
        <v/>
      </c>
      <c r="D321" s="65">
        <f>IF(H321=0,wdct(TRIM(C321)),0)</f>
        <v>0</v>
      </c>
      <c r="E321" s="65">
        <f>COUNTIFS('Error Log'!$A:$A,$A321,'Error Log'!$J:$J,E$1)</f>
        <v>0</v>
      </c>
      <c r="F321" s="65">
        <f>COUNTIFS('Error Log'!$A:$A,$A321,'Error Log'!$J:$J,F$1)</f>
        <v>0</v>
      </c>
      <c r="G321" s="65">
        <f>COUNTIFS('Error Log'!$A:$A,$A321,'Error Log'!$J:$J,G$1)</f>
        <v>0</v>
      </c>
      <c r="H321" s="65">
        <f>COUNTIFS('Error Log'!$A:$A,$A321,'Error Log'!$F:$F,"Source")</f>
        <v>0</v>
      </c>
      <c r="I321" s="65">
        <f>COUNTIFS('Error Log'!$A:$A,$A321,'Error Log'!$F:$F,"Target")</f>
        <v>0</v>
      </c>
      <c r="J321" s="66">
        <f t="shared" si="4"/>
        <v>0</v>
      </c>
    </row>
    <row r="322" spans="1:10">
      <c r="A322" s="76"/>
      <c r="B322" s="65" t="str">
        <f>IF(ISBLANK(A322),"",INDEX('Error Log'!$A:$J,MATCH('Scores per segment'!$A322,'Error Log'!$A:$A,0),MATCH('Scores per segment'!B$1,'Error Log'!$A$1:$J$1,0)))</f>
        <v/>
      </c>
      <c r="C322" s="65" t="str">
        <f>IF(ISBLANK(A322),"",INDEX('Error Log'!$A:$J,MATCH('Scores per segment'!$A322,'Error Log'!$A:$A,0),MATCH('Scores per segment'!C$1,'Error Log'!$A$1:$J$1,0)))</f>
        <v/>
      </c>
      <c r="D322" s="65">
        <f>IF(H322=0,wdct(TRIM(C322)),0)</f>
        <v>0</v>
      </c>
      <c r="E322" s="65">
        <f>COUNTIFS('Error Log'!$A:$A,$A322,'Error Log'!$J:$J,E$1)</f>
        <v>0</v>
      </c>
      <c r="F322" s="65">
        <f>COUNTIFS('Error Log'!$A:$A,$A322,'Error Log'!$J:$J,F$1)</f>
        <v>0</v>
      </c>
      <c r="G322" s="65">
        <f>COUNTIFS('Error Log'!$A:$A,$A322,'Error Log'!$J:$J,G$1)</f>
        <v>0</v>
      </c>
      <c r="H322" s="65">
        <f>COUNTIFS('Error Log'!$A:$A,$A322,'Error Log'!$F:$F,"Source")</f>
        <v>0</v>
      </c>
      <c r="I322" s="65">
        <f>COUNTIFS('Error Log'!$A:$A,$A322,'Error Log'!$F:$F,"Target")</f>
        <v>0</v>
      </c>
      <c r="J322" s="66">
        <f t="shared" ref="J322:J385" si="5">IF(I322=0,IFERROR((((1-((E322*10+F322*5+G322*1)/D322))*100)+100)/2,0),-150)</f>
        <v>0</v>
      </c>
    </row>
    <row r="323" spans="1:10">
      <c r="A323" s="76"/>
      <c r="B323" s="65" t="str">
        <f>IF(ISBLANK(A323),"",INDEX('Error Log'!$A:$J,MATCH('Scores per segment'!$A323,'Error Log'!$A:$A,0),MATCH('Scores per segment'!B$1,'Error Log'!$A$1:$J$1,0)))</f>
        <v/>
      </c>
      <c r="C323" s="65" t="str">
        <f>IF(ISBLANK(A323),"",INDEX('Error Log'!$A:$J,MATCH('Scores per segment'!$A323,'Error Log'!$A:$A,0),MATCH('Scores per segment'!C$1,'Error Log'!$A$1:$J$1,0)))</f>
        <v/>
      </c>
      <c r="D323" s="65">
        <f>IF(H323=0,wdct(TRIM(C323)),0)</f>
        <v>0</v>
      </c>
      <c r="E323" s="65">
        <f>COUNTIFS('Error Log'!$A:$A,$A323,'Error Log'!$J:$J,E$1)</f>
        <v>0</v>
      </c>
      <c r="F323" s="65">
        <f>COUNTIFS('Error Log'!$A:$A,$A323,'Error Log'!$J:$J,F$1)</f>
        <v>0</v>
      </c>
      <c r="G323" s="65">
        <f>COUNTIFS('Error Log'!$A:$A,$A323,'Error Log'!$J:$J,G$1)</f>
        <v>0</v>
      </c>
      <c r="H323" s="65">
        <f>COUNTIFS('Error Log'!$A:$A,$A323,'Error Log'!$F:$F,"Source")</f>
        <v>0</v>
      </c>
      <c r="I323" s="65">
        <f>COUNTIFS('Error Log'!$A:$A,$A323,'Error Log'!$F:$F,"Target")</f>
        <v>0</v>
      </c>
      <c r="J323" s="66">
        <f t="shared" si="5"/>
        <v>0</v>
      </c>
    </row>
    <row r="324" spans="1:10">
      <c r="A324" s="76"/>
      <c r="B324" s="65" t="str">
        <f>IF(ISBLANK(A324),"",INDEX('Error Log'!$A:$J,MATCH('Scores per segment'!$A324,'Error Log'!$A:$A,0),MATCH('Scores per segment'!B$1,'Error Log'!$A$1:$J$1,0)))</f>
        <v/>
      </c>
      <c r="C324" s="65" t="str">
        <f>IF(ISBLANK(A324),"",INDEX('Error Log'!$A:$J,MATCH('Scores per segment'!$A324,'Error Log'!$A:$A,0),MATCH('Scores per segment'!C$1,'Error Log'!$A$1:$J$1,0)))</f>
        <v/>
      </c>
      <c r="D324" s="65">
        <f>IF(H324=0,wdct(TRIM(C324)),0)</f>
        <v>0</v>
      </c>
      <c r="E324" s="65">
        <f>COUNTIFS('Error Log'!$A:$A,$A324,'Error Log'!$J:$J,E$1)</f>
        <v>0</v>
      </c>
      <c r="F324" s="65">
        <f>COUNTIFS('Error Log'!$A:$A,$A324,'Error Log'!$J:$J,F$1)</f>
        <v>0</v>
      </c>
      <c r="G324" s="65">
        <f>COUNTIFS('Error Log'!$A:$A,$A324,'Error Log'!$J:$J,G$1)</f>
        <v>0</v>
      </c>
      <c r="H324" s="65">
        <f>COUNTIFS('Error Log'!$A:$A,$A324,'Error Log'!$F:$F,"Source")</f>
        <v>0</v>
      </c>
      <c r="I324" s="65">
        <f>COUNTIFS('Error Log'!$A:$A,$A324,'Error Log'!$F:$F,"Target")</f>
        <v>0</v>
      </c>
      <c r="J324" s="66">
        <f t="shared" si="5"/>
        <v>0</v>
      </c>
    </row>
    <row r="325" spans="1:10">
      <c r="A325" s="76"/>
      <c r="B325" s="65" t="str">
        <f>IF(ISBLANK(A325),"",INDEX('Error Log'!$A:$J,MATCH('Scores per segment'!$A325,'Error Log'!$A:$A,0),MATCH('Scores per segment'!B$1,'Error Log'!$A$1:$J$1,0)))</f>
        <v/>
      </c>
      <c r="C325" s="65" t="str">
        <f>IF(ISBLANK(A325),"",INDEX('Error Log'!$A:$J,MATCH('Scores per segment'!$A325,'Error Log'!$A:$A,0),MATCH('Scores per segment'!C$1,'Error Log'!$A$1:$J$1,0)))</f>
        <v/>
      </c>
      <c r="D325" s="65">
        <f>IF(H325=0,wdct(TRIM(C325)),0)</f>
        <v>0</v>
      </c>
      <c r="E325" s="65">
        <f>COUNTIFS('Error Log'!$A:$A,$A325,'Error Log'!$J:$J,E$1)</f>
        <v>0</v>
      </c>
      <c r="F325" s="65">
        <f>COUNTIFS('Error Log'!$A:$A,$A325,'Error Log'!$J:$J,F$1)</f>
        <v>0</v>
      </c>
      <c r="G325" s="65">
        <f>COUNTIFS('Error Log'!$A:$A,$A325,'Error Log'!$J:$J,G$1)</f>
        <v>0</v>
      </c>
      <c r="H325" s="65">
        <f>COUNTIFS('Error Log'!$A:$A,$A325,'Error Log'!$F:$F,"Source")</f>
        <v>0</v>
      </c>
      <c r="I325" s="65">
        <f>COUNTIFS('Error Log'!$A:$A,$A325,'Error Log'!$F:$F,"Target")</f>
        <v>0</v>
      </c>
      <c r="J325" s="66">
        <f t="shared" si="5"/>
        <v>0</v>
      </c>
    </row>
    <row r="326" spans="1:10">
      <c r="A326" s="76"/>
      <c r="B326" s="65" t="str">
        <f>IF(ISBLANK(A326),"",INDEX('Error Log'!$A:$J,MATCH('Scores per segment'!$A326,'Error Log'!$A:$A,0),MATCH('Scores per segment'!B$1,'Error Log'!$A$1:$J$1,0)))</f>
        <v/>
      </c>
      <c r="C326" s="65" t="str">
        <f>IF(ISBLANK(A326),"",INDEX('Error Log'!$A:$J,MATCH('Scores per segment'!$A326,'Error Log'!$A:$A,0),MATCH('Scores per segment'!C$1,'Error Log'!$A$1:$J$1,0)))</f>
        <v/>
      </c>
      <c r="D326" s="65">
        <f>IF(H326=0,wdct(TRIM(C326)),0)</f>
        <v>0</v>
      </c>
      <c r="E326" s="65">
        <f>COUNTIFS('Error Log'!$A:$A,$A326,'Error Log'!$J:$J,E$1)</f>
        <v>0</v>
      </c>
      <c r="F326" s="65">
        <f>COUNTIFS('Error Log'!$A:$A,$A326,'Error Log'!$J:$J,F$1)</f>
        <v>0</v>
      </c>
      <c r="G326" s="65">
        <f>COUNTIFS('Error Log'!$A:$A,$A326,'Error Log'!$J:$J,G$1)</f>
        <v>0</v>
      </c>
      <c r="H326" s="65">
        <f>COUNTIFS('Error Log'!$A:$A,$A326,'Error Log'!$F:$F,"Source")</f>
        <v>0</v>
      </c>
      <c r="I326" s="65">
        <f>COUNTIFS('Error Log'!$A:$A,$A326,'Error Log'!$F:$F,"Target")</f>
        <v>0</v>
      </c>
      <c r="J326" s="66">
        <f t="shared" si="5"/>
        <v>0</v>
      </c>
    </row>
    <row r="327" spans="1:10">
      <c r="A327" s="76"/>
      <c r="B327" s="65" t="str">
        <f>IF(ISBLANK(A327),"",INDEX('Error Log'!$A:$J,MATCH('Scores per segment'!$A327,'Error Log'!$A:$A,0),MATCH('Scores per segment'!B$1,'Error Log'!$A$1:$J$1,0)))</f>
        <v/>
      </c>
      <c r="C327" s="65" t="str">
        <f>IF(ISBLANK(A327),"",INDEX('Error Log'!$A:$J,MATCH('Scores per segment'!$A327,'Error Log'!$A:$A,0),MATCH('Scores per segment'!C$1,'Error Log'!$A$1:$J$1,0)))</f>
        <v/>
      </c>
      <c r="D327" s="65">
        <f>IF(H327=0,wdct(TRIM(C327)),0)</f>
        <v>0</v>
      </c>
      <c r="E327" s="65">
        <f>COUNTIFS('Error Log'!$A:$A,$A327,'Error Log'!$J:$J,E$1)</f>
        <v>0</v>
      </c>
      <c r="F327" s="65">
        <f>COUNTIFS('Error Log'!$A:$A,$A327,'Error Log'!$J:$J,F$1)</f>
        <v>0</v>
      </c>
      <c r="G327" s="65">
        <f>COUNTIFS('Error Log'!$A:$A,$A327,'Error Log'!$J:$J,G$1)</f>
        <v>0</v>
      </c>
      <c r="H327" s="65">
        <f>COUNTIFS('Error Log'!$A:$A,$A327,'Error Log'!$F:$F,"Source")</f>
        <v>0</v>
      </c>
      <c r="I327" s="65">
        <f>COUNTIFS('Error Log'!$A:$A,$A327,'Error Log'!$F:$F,"Target")</f>
        <v>0</v>
      </c>
      <c r="J327" s="66">
        <f t="shared" si="5"/>
        <v>0</v>
      </c>
    </row>
    <row r="328" spans="1:10">
      <c r="A328" s="76"/>
      <c r="B328" s="65" t="str">
        <f>IF(ISBLANK(A328),"",INDEX('Error Log'!$A:$J,MATCH('Scores per segment'!$A328,'Error Log'!$A:$A,0),MATCH('Scores per segment'!B$1,'Error Log'!$A$1:$J$1,0)))</f>
        <v/>
      </c>
      <c r="C328" s="65" t="str">
        <f>IF(ISBLANK(A328),"",INDEX('Error Log'!$A:$J,MATCH('Scores per segment'!$A328,'Error Log'!$A:$A,0),MATCH('Scores per segment'!C$1,'Error Log'!$A$1:$J$1,0)))</f>
        <v/>
      </c>
      <c r="D328" s="65">
        <f>IF(H328=0,wdct(TRIM(C328)),0)</f>
        <v>0</v>
      </c>
      <c r="E328" s="65">
        <f>COUNTIFS('Error Log'!$A:$A,$A328,'Error Log'!$J:$J,E$1)</f>
        <v>0</v>
      </c>
      <c r="F328" s="65">
        <f>COUNTIFS('Error Log'!$A:$A,$A328,'Error Log'!$J:$J,F$1)</f>
        <v>0</v>
      </c>
      <c r="G328" s="65">
        <f>COUNTIFS('Error Log'!$A:$A,$A328,'Error Log'!$J:$J,G$1)</f>
        <v>0</v>
      </c>
      <c r="H328" s="65">
        <f>COUNTIFS('Error Log'!$A:$A,$A328,'Error Log'!$F:$F,"Source")</f>
        <v>0</v>
      </c>
      <c r="I328" s="65">
        <f>COUNTIFS('Error Log'!$A:$A,$A328,'Error Log'!$F:$F,"Target")</f>
        <v>0</v>
      </c>
      <c r="J328" s="66">
        <f t="shared" si="5"/>
        <v>0</v>
      </c>
    </row>
    <row r="329" spans="1:10">
      <c r="A329" s="76"/>
      <c r="B329" s="65" t="str">
        <f>IF(ISBLANK(A329),"",INDEX('Error Log'!$A:$J,MATCH('Scores per segment'!$A329,'Error Log'!$A:$A,0),MATCH('Scores per segment'!B$1,'Error Log'!$A$1:$J$1,0)))</f>
        <v/>
      </c>
      <c r="C329" s="65" t="str">
        <f>IF(ISBLANK(A329),"",INDEX('Error Log'!$A:$J,MATCH('Scores per segment'!$A329,'Error Log'!$A:$A,0),MATCH('Scores per segment'!C$1,'Error Log'!$A$1:$J$1,0)))</f>
        <v/>
      </c>
      <c r="D329" s="65">
        <f>IF(H329=0,wdct(TRIM(C329)),0)</f>
        <v>0</v>
      </c>
      <c r="E329" s="65">
        <f>COUNTIFS('Error Log'!$A:$A,$A329,'Error Log'!$J:$J,E$1)</f>
        <v>0</v>
      </c>
      <c r="F329" s="65">
        <f>COUNTIFS('Error Log'!$A:$A,$A329,'Error Log'!$J:$J,F$1)</f>
        <v>0</v>
      </c>
      <c r="G329" s="65">
        <f>COUNTIFS('Error Log'!$A:$A,$A329,'Error Log'!$J:$J,G$1)</f>
        <v>0</v>
      </c>
      <c r="H329" s="65">
        <f>COUNTIFS('Error Log'!$A:$A,$A329,'Error Log'!$F:$F,"Source")</f>
        <v>0</v>
      </c>
      <c r="I329" s="65">
        <f>COUNTIFS('Error Log'!$A:$A,$A329,'Error Log'!$F:$F,"Target")</f>
        <v>0</v>
      </c>
      <c r="J329" s="66">
        <f t="shared" si="5"/>
        <v>0</v>
      </c>
    </row>
    <row r="330" spans="1:10">
      <c r="A330" s="76"/>
      <c r="B330" s="65" t="str">
        <f>IF(ISBLANK(A330),"",INDEX('Error Log'!$A:$J,MATCH('Scores per segment'!$A330,'Error Log'!$A:$A,0),MATCH('Scores per segment'!B$1,'Error Log'!$A$1:$J$1,0)))</f>
        <v/>
      </c>
      <c r="C330" s="65" t="str">
        <f>IF(ISBLANK(A330),"",INDEX('Error Log'!$A:$J,MATCH('Scores per segment'!$A330,'Error Log'!$A:$A,0),MATCH('Scores per segment'!C$1,'Error Log'!$A$1:$J$1,0)))</f>
        <v/>
      </c>
      <c r="D330" s="65">
        <f>IF(H330=0,wdct(TRIM(C330)),0)</f>
        <v>0</v>
      </c>
      <c r="E330" s="65">
        <f>COUNTIFS('Error Log'!$A:$A,$A330,'Error Log'!$J:$J,E$1)</f>
        <v>0</v>
      </c>
      <c r="F330" s="65">
        <f>COUNTIFS('Error Log'!$A:$A,$A330,'Error Log'!$J:$J,F$1)</f>
        <v>0</v>
      </c>
      <c r="G330" s="65">
        <f>COUNTIFS('Error Log'!$A:$A,$A330,'Error Log'!$J:$J,G$1)</f>
        <v>0</v>
      </c>
      <c r="H330" s="65">
        <f>COUNTIFS('Error Log'!$A:$A,$A330,'Error Log'!$F:$F,"Source")</f>
        <v>0</v>
      </c>
      <c r="I330" s="65">
        <f>COUNTIFS('Error Log'!$A:$A,$A330,'Error Log'!$F:$F,"Target")</f>
        <v>0</v>
      </c>
      <c r="J330" s="66">
        <f t="shared" si="5"/>
        <v>0</v>
      </c>
    </row>
    <row r="331" spans="1:10">
      <c r="A331" s="76"/>
      <c r="B331" s="65" t="str">
        <f>IF(ISBLANK(A331),"",INDEX('Error Log'!$A:$J,MATCH('Scores per segment'!$A331,'Error Log'!$A:$A,0),MATCH('Scores per segment'!B$1,'Error Log'!$A$1:$J$1,0)))</f>
        <v/>
      </c>
      <c r="C331" s="65" t="str">
        <f>IF(ISBLANK(A331),"",INDEX('Error Log'!$A:$J,MATCH('Scores per segment'!$A331,'Error Log'!$A:$A,0),MATCH('Scores per segment'!C$1,'Error Log'!$A$1:$J$1,0)))</f>
        <v/>
      </c>
      <c r="D331" s="65">
        <f>IF(H331=0,wdct(TRIM(C331)),0)</f>
        <v>0</v>
      </c>
      <c r="E331" s="65">
        <f>COUNTIFS('Error Log'!$A:$A,$A331,'Error Log'!$J:$J,E$1)</f>
        <v>0</v>
      </c>
      <c r="F331" s="65">
        <f>COUNTIFS('Error Log'!$A:$A,$A331,'Error Log'!$J:$J,F$1)</f>
        <v>0</v>
      </c>
      <c r="G331" s="65">
        <f>COUNTIFS('Error Log'!$A:$A,$A331,'Error Log'!$J:$J,G$1)</f>
        <v>0</v>
      </c>
      <c r="H331" s="65">
        <f>COUNTIFS('Error Log'!$A:$A,$A331,'Error Log'!$F:$F,"Source")</f>
        <v>0</v>
      </c>
      <c r="I331" s="65">
        <f>COUNTIFS('Error Log'!$A:$A,$A331,'Error Log'!$F:$F,"Target")</f>
        <v>0</v>
      </c>
      <c r="J331" s="66">
        <f t="shared" si="5"/>
        <v>0</v>
      </c>
    </row>
    <row r="332" spans="1:10">
      <c r="A332" s="76"/>
      <c r="B332" s="65" t="str">
        <f>IF(ISBLANK(A332),"",INDEX('Error Log'!$A:$J,MATCH('Scores per segment'!$A332,'Error Log'!$A:$A,0),MATCH('Scores per segment'!B$1,'Error Log'!$A$1:$J$1,0)))</f>
        <v/>
      </c>
      <c r="C332" s="65" t="str">
        <f>IF(ISBLANK(A332),"",INDEX('Error Log'!$A:$J,MATCH('Scores per segment'!$A332,'Error Log'!$A:$A,0),MATCH('Scores per segment'!C$1,'Error Log'!$A$1:$J$1,0)))</f>
        <v/>
      </c>
      <c r="D332" s="65">
        <f>IF(H332=0,wdct(TRIM(C332)),0)</f>
        <v>0</v>
      </c>
      <c r="E332" s="65">
        <f>COUNTIFS('Error Log'!$A:$A,$A332,'Error Log'!$J:$J,E$1)</f>
        <v>0</v>
      </c>
      <c r="F332" s="65">
        <f>COUNTIFS('Error Log'!$A:$A,$A332,'Error Log'!$J:$J,F$1)</f>
        <v>0</v>
      </c>
      <c r="G332" s="65">
        <f>COUNTIFS('Error Log'!$A:$A,$A332,'Error Log'!$J:$J,G$1)</f>
        <v>0</v>
      </c>
      <c r="H332" s="65">
        <f>COUNTIFS('Error Log'!$A:$A,$A332,'Error Log'!$F:$F,"Source")</f>
        <v>0</v>
      </c>
      <c r="I332" s="65">
        <f>COUNTIFS('Error Log'!$A:$A,$A332,'Error Log'!$F:$F,"Target")</f>
        <v>0</v>
      </c>
      <c r="J332" s="66">
        <f t="shared" si="5"/>
        <v>0</v>
      </c>
    </row>
    <row r="333" spans="1:10">
      <c r="A333" s="76"/>
      <c r="B333" s="65" t="str">
        <f>IF(ISBLANK(A333),"",INDEX('Error Log'!$A:$J,MATCH('Scores per segment'!$A333,'Error Log'!$A:$A,0),MATCH('Scores per segment'!B$1,'Error Log'!$A$1:$J$1,0)))</f>
        <v/>
      </c>
      <c r="C333" s="65" t="str">
        <f>IF(ISBLANK(A333),"",INDEX('Error Log'!$A:$J,MATCH('Scores per segment'!$A333,'Error Log'!$A:$A,0),MATCH('Scores per segment'!C$1,'Error Log'!$A$1:$J$1,0)))</f>
        <v/>
      </c>
      <c r="D333" s="65">
        <f>IF(H333=0,wdct(TRIM(C333)),0)</f>
        <v>0</v>
      </c>
      <c r="E333" s="65">
        <f>COUNTIFS('Error Log'!$A:$A,$A333,'Error Log'!$J:$J,E$1)</f>
        <v>0</v>
      </c>
      <c r="F333" s="65">
        <f>COUNTIFS('Error Log'!$A:$A,$A333,'Error Log'!$J:$J,F$1)</f>
        <v>0</v>
      </c>
      <c r="G333" s="65">
        <f>COUNTIFS('Error Log'!$A:$A,$A333,'Error Log'!$J:$J,G$1)</f>
        <v>0</v>
      </c>
      <c r="H333" s="65">
        <f>COUNTIFS('Error Log'!$A:$A,$A333,'Error Log'!$F:$F,"Source")</f>
        <v>0</v>
      </c>
      <c r="I333" s="65">
        <f>COUNTIFS('Error Log'!$A:$A,$A333,'Error Log'!$F:$F,"Target")</f>
        <v>0</v>
      </c>
      <c r="J333" s="66">
        <f t="shared" si="5"/>
        <v>0</v>
      </c>
    </row>
    <row r="334" spans="1:10">
      <c r="A334" s="76"/>
      <c r="B334" s="65" t="str">
        <f>IF(ISBLANK(A334),"",INDEX('Error Log'!$A:$J,MATCH('Scores per segment'!$A334,'Error Log'!$A:$A,0),MATCH('Scores per segment'!B$1,'Error Log'!$A$1:$J$1,0)))</f>
        <v/>
      </c>
      <c r="C334" s="65" t="str">
        <f>IF(ISBLANK(A334),"",INDEX('Error Log'!$A:$J,MATCH('Scores per segment'!$A334,'Error Log'!$A:$A,0),MATCH('Scores per segment'!C$1,'Error Log'!$A$1:$J$1,0)))</f>
        <v/>
      </c>
      <c r="D334" s="65">
        <f>IF(H334=0,wdct(TRIM(C334)),0)</f>
        <v>0</v>
      </c>
      <c r="E334" s="65">
        <f>COUNTIFS('Error Log'!$A:$A,$A334,'Error Log'!$J:$J,E$1)</f>
        <v>0</v>
      </c>
      <c r="F334" s="65">
        <f>COUNTIFS('Error Log'!$A:$A,$A334,'Error Log'!$J:$J,F$1)</f>
        <v>0</v>
      </c>
      <c r="G334" s="65">
        <f>COUNTIFS('Error Log'!$A:$A,$A334,'Error Log'!$J:$J,G$1)</f>
        <v>0</v>
      </c>
      <c r="H334" s="65">
        <f>COUNTIFS('Error Log'!$A:$A,$A334,'Error Log'!$F:$F,"Source")</f>
        <v>0</v>
      </c>
      <c r="I334" s="65">
        <f>COUNTIFS('Error Log'!$A:$A,$A334,'Error Log'!$F:$F,"Target")</f>
        <v>0</v>
      </c>
      <c r="J334" s="66">
        <f t="shared" si="5"/>
        <v>0</v>
      </c>
    </row>
    <row r="335" spans="1:10">
      <c r="A335" s="76"/>
      <c r="B335" s="65" t="str">
        <f>IF(ISBLANK(A335),"",INDEX('Error Log'!$A:$J,MATCH('Scores per segment'!$A335,'Error Log'!$A:$A,0),MATCH('Scores per segment'!B$1,'Error Log'!$A$1:$J$1,0)))</f>
        <v/>
      </c>
      <c r="C335" s="65" t="str">
        <f>IF(ISBLANK(A335),"",INDEX('Error Log'!$A:$J,MATCH('Scores per segment'!$A335,'Error Log'!$A:$A,0),MATCH('Scores per segment'!C$1,'Error Log'!$A$1:$J$1,0)))</f>
        <v/>
      </c>
      <c r="D335" s="65">
        <f>IF(H335=0,wdct(TRIM(C335)),0)</f>
        <v>0</v>
      </c>
      <c r="E335" s="65">
        <f>COUNTIFS('Error Log'!$A:$A,$A335,'Error Log'!$J:$J,E$1)</f>
        <v>0</v>
      </c>
      <c r="F335" s="65">
        <f>COUNTIFS('Error Log'!$A:$A,$A335,'Error Log'!$J:$J,F$1)</f>
        <v>0</v>
      </c>
      <c r="G335" s="65">
        <f>COUNTIFS('Error Log'!$A:$A,$A335,'Error Log'!$J:$J,G$1)</f>
        <v>0</v>
      </c>
      <c r="H335" s="65">
        <f>COUNTIFS('Error Log'!$A:$A,$A335,'Error Log'!$F:$F,"Source")</f>
        <v>0</v>
      </c>
      <c r="I335" s="65">
        <f>COUNTIFS('Error Log'!$A:$A,$A335,'Error Log'!$F:$F,"Target")</f>
        <v>0</v>
      </c>
      <c r="J335" s="66">
        <f t="shared" si="5"/>
        <v>0</v>
      </c>
    </row>
    <row r="336" spans="1:10">
      <c r="A336" s="76"/>
      <c r="B336" s="65" t="str">
        <f>IF(ISBLANK(A336),"",INDEX('Error Log'!$A:$J,MATCH('Scores per segment'!$A336,'Error Log'!$A:$A,0),MATCH('Scores per segment'!B$1,'Error Log'!$A$1:$J$1,0)))</f>
        <v/>
      </c>
      <c r="C336" s="65" t="str">
        <f>IF(ISBLANK(A336),"",INDEX('Error Log'!$A:$J,MATCH('Scores per segment'!$A336,'Error Log'!$A:$A,0),MATCH('Scores per segment'!C$1,'Error Log'!$A$1:$J$1,0)))</f>
        <v/>
      </c>
      <c r="D336" s="65">
        <f>IF(H336=0,wdct(TRIM(C336)),0)</f>
        <v>0</v>
      </c>
      <c r="E336" s="65">
        <f>COUNTIFS('Error Log'!$A:$A,$A336,'Error Log'!$J:$J,E$1)</f>
        <v>0</v>
      </c>
      <c r="F336" s="65">
        <f>COUNTIFS('Error Log'!$A:$A,$A336,'Error Log'!$J:$J,F$1)</f>
        <v>0</v>
      </c>
      <c r="G336" s="65">
        <f>COUNTIFS('Error Log'!$A:$A,$A336,'Error Log'!$J:$J,G$1)</f>
        <v>0</v>
      </c>
      <c r="H336" s="65">
        <f>COUNTIFS('Error Log'!$A:$A,$A336,'Error Log'!$F:$F,"Source")</f>
        <v>0</v>
      </c>
      <c r="I336" s="65">
        <f>COUNTIFS('Error Log'!$A:$A,$A336,'Error Log'!$F:$F,"Target")</f>
        <v>0</v>
      </c>
      <c r="J336" s="66">
        <f t="shared" si="5"/>
        <v>0</v>
      </c>
    </row>
    <row r="337" spans="1:10">
      <c r="A337" s="76"/>
      <c r="B337" s="65" t="str">
        <f>IF(ISBLANK(A337),"",INDEX('Error Log'!$A:$J,MATCH('Scores per segment'!$A337,'Error Log'!$A:$A,0),MATCH('Scores per segment'!B$1,'Error Log'!$A$1:$J$1,0)))</f>
        <v/>
      </c>
      <c r="C337" s="65" t="str">
        <f>IF(ISBLANK(A337),"",INDEX('Error Log'!$A:$J,MATCH('Scores per segment'!$A337,'Error Log'!$A:$A,0),MATCH('Scores per segment'!C$1,'Error Log'!$A$1:$J$1,0)))</f>
        <v/>
      </c>
      <c r="D337" s="65">
        <f>IF(H337=0,wdct(TRIM(C337)),0)</f>
        <v>0</v>
      </c>
      <c r="E337" s="65">
        <f>COUNTIFS('Error Log'!$A:$A,$A337,'Error Log'!$J:$J,E$1)</f>
        <v>0</v>
      </c>
      <c r="F337" s="65">
        <f>COUNTIFS('Error Log'!$A:$A,$A337,'Error Log'!$J:$J,F$1)</f>
        <v>0</v>
      </c>
      <c r="G337" s="65">
        <f>COUNTIFS('Error Log'!$A:$A,$A337,'Error Log'!$J:$J,G$1)</f>
        <v>0</v>
      </c>
      <c r="H337" s="65">
        <f>COUNTIFS('Error Log'!$A:$A,$A337,'Error Log'!$F:$F,"Source")</f>
        <v>0</v>
      </c>
      <c r="I337" s="65">
        <f>COUNTIFS('Error Log'!$A:$A,$A337,'Error Log'!$F:$F,"Target")</f>
        <v>0</v>
      </c>
      <c r="J337" s="66">
        <f t="shared" si="5"/>
        <v>0</v>
      </c>
    </row>
    <row r="338" spans="1:10">
      <c r="A338" s="76"/>
      <c r="B338" s="65" t="str">
        <f>IF(ISBLANK(A338),"",INDEX('Error Log'!$A:$J,MATCH('Scores per segment'!$A338,'Error Log'!$A:$A,0),MATCH('Scores per segment'!B$1,'Error Log'!$A$1:$J$1,0)))</f>
        <v/>
      </c>
      <c r="C338" s="65" t="str">
        <f>IF(ISBLANK(A338),"",INDEX('Error Log'!$A:$J,MATCH('Scores per segment'!$A338,'Error Log'!$A:$A,0),MATCH('Scores per segment'!C$1,'Error Log'!$A$1:$J$1,0)))</f>
        <v/>
      </c>
      <c r="D338" s="65">
        <f>IF(H338=0,wdct(TRIM(C338)),0)</f>
        <v>0</v>
      </c>
      <c r="E338" s="65">
        <f>COUNTIFS('Error Log'!$A:$A,$A338,'Error Log'!$J:$J,E$1)</f>
        <v>0</v>
      </c>
      <c r="F338" s="65">
        <f>COUNTIFS('Error Log'!$A:$A,$A338,'Error Log'!$J:$J,F$1)</f>
        <v>0</v>
      </c>
      <c r="G338" s="65">
        <f>COUNTIFS('Error Log'!$A:$A,$A338,'Error Log'!$J:$J,G$1)</f>
        <v>0</v>
      </c>
      <c r="H338" s="65">
        <f>COUNTIFS('Error Log'!$A:$A,$A338,'Error Log'!$F:$F,"Source")</f>
        <v>0</v>
      </c>
      <c r="I338" s="65">
        <f>COUNTIFS('Error Log'!$A:$A,$A338,'Error Log'!$F:$F,"Target")</f>
        <v>0</v>
      </c>
      <c r="J338" s="66">
        <f t="shared" si="5"/>
        <v>0</v>
      </c>
    </row>
    <row r="339" spans="1:10">
      <c r="A339" s="76"/>
      <c r="B339" s="65" t="str">
        <f>IF(ISBLANK(A339),"",INDEX('Error Log'!$A:$J,MATCH('Scores per segment'!$A339,'Error Log'!$A:$A,0),MATCH('Scores per segment'!B$1,'Error Log'!$A$1:$J$1,0)))</f>
        <v/>
      </c>
      <c r="C339" s="65" t="str">
        <f>IF(ISBLANK(A339),"",INDEX('Error Log'!$A:$J,MATCH('Scores per segment'!$A339,'Error Log'!$A:$A,0),MATCH('Scores per segment'!C$1,'Error Log'!$A$1:$J$1,0)))</f>
        <v/>
      </c>
      <c r="D339" s="65">
        <f>IF(H339=0,wdct(TRIM(C339)),0)</f>
        <v>0</v>
      </c>
      <c r="E339" s="65">
        <f>COUNTIFS('Error Log'!$A:$A,$A339,'Error Log'!$J:$J,E$1)</f>
        <v>0</v>
      </c>
      <c r="F339" s="65">
        <f>COUNTIFS('Error Log'!$A:$A,$A339,'Error Log'!$J:$J,F$1)</f>
        <v>0</v>
      </c>
      <c r="G339" s="65">
        <f>COUNTIFS('Error Log'!$A:$A,$A339,'Error Log'!$J:$J,G$1)</f>
        <v>0</v>
      </c>
      <c r="H339" s="65">
        <f>COUNTIFS('Error Log'!$A:$A,$A339,'Error Log'!$F:$F,"Source")</f>
        <v>0</v>
      </c>
      <c r="I339" s="65">
        <f>COUNTIFS('Error Log'!$A:$A,$A339,'Error Log'!$F:$F,"Target")</f>
        <v>0</v>
      </c>
      <c r="J339" s="66">
        <f t="shared" si="5"/>
        <v>0</v>
      </c>
    </row>
    <row r="340" spans="1:10">
      <c r="A340" s="76"/>
      <c r="B340" s="65" t="str">
        <f>IF(ISBLANK(A340),"",INDEX('Error Log'!$A:$J,MATCH('Scores per segment'!$A340,'Error Log'!$A:$A,0),MATCH('Scores per segment'!B$1,'Error Log'!$A$1:$J$1,0)))</f>
        <v/>
      </c>
      <c r="C340" s="65" t="str">
        <f>IF(ISBLANK(A340),"",INDEX('Error Log'!$A:$J,MATCH('Scores per segment'!$A340,'Error Log'!$A:$A,0),MATCH('Scores per segment'!C$1,'Error Log'!$A$1:$J$1,0)))</f>
        <v/>
      </c>
      <c r="D340" s="65">
        <f>IF(H340=0,wdct(TRIM(C340)),0)</f>
        <v>0</v>
      </c>
      <c r="E340" s="65">
        <f>COUNTIFS('Error Log'!$A:$A,$A340,'Error Log'!$J:$J,E$1)</f>
        <v>0</v>
      </c>
      <c r="F340" s="65">
        <f>COUNTIFS('Error Log'!$A:$A,$A340,'Error Log'!$J:$J,F$1)</f>
        <v>0</v>
      </c>
      <c r="G340" s="65">
        <f>COUNTIFS('Error Log'!$A:$A,$A340,'Error Log'!$J:$J,G$1)</f>
        <v>0</v>
      </c>
      <c r="H340" s="65">
        <f>COUNTIFS('Error Log'!$A:$A,$A340,'Error Log'!$F:$F,"Source")</f>
        <v>0</v>
      </c>
      <c r="I340" s="65">
        <f>COUNTIFS('Error Log'!$A:$A,$A340,'Error Log'!$F:$F,"Target")</f>
        <v>0</v>
      </c>
      <c r="J340" s="66">
        <f t="shared" si="5"/>
        <v>0</v>
      </c>
    </row>
    <row r="341" spans="1:10">
      <c r="A341" s="76"/>
      <c r="B341" s="65" t="str">
        <f>IF(ISBLANK(A341),"",INDEX('Error Log'!$A:$J,MATCH('Scores per segment'!$A341,'Error Log'!$A:$A,0),MATCH('Scores per segment'!B$1,'Error Log'!$A$1:$J$1,0)))</f>
        <v/>
      </c>
      <c r="C341" s="65" t="str">
        <f>IF(ISBLANK(A341),"",INDEX('Error Log'!$A:$J,MATCH('Scores per segment'!$A341,'Error Log'!$A:$A,0),MATCH('Scores per segment'!C$1,'Error Log'!$A$1:$J$1,0)))</f>
        <v/>
      </c>
      <c r="D341" s="65">
        <f>IF(H341=0,wdct(TRIM(C341)),0)</f>
        <v>0</v>
      </c>
      <c r="E341" s="65">
        <f>COUNTIFS('Error Log'!$A:$A,$A341,'Error Log'!$J:$J,E$1)</f>
        <v>0</v>
      </c>
      <c r="F341" s="65">
        <f>COUNTIFS('Error Log'!$A:$A,$A341,'Error Log'!$J:$J,F$1)</f>
        <v>0</v>
      </c>
      <c r="G341" s="65">
        <f>COUNTIFS('Error Log'!$A:$A,$A341,'Error Log'!$J:$J,G$1)</f>
        <v>0</v>
      </c>
      <c r="H341" s="65">
        <f>COUNTIFS('Error Log'!$A:$A,$A341,'Error Log'!$F:$F,"Source")</f>
        <v>0</v>
      </c>
      <c r="I341" s="65">
        <f>COUNTIFS('Error Log'!$A:$A,$A341,'Error Log'!$F:$F,"Target")</f>
        <v>0</v>
      </c>
      <c r="J341" s="66">
        <f t="shared" si="5"/>
        <v>0</v>
      </c>
    </row>
    <row r="342" spans="1:10">
      <c r="A342" s="76"/>
      <c r="B342" s="65" t="str">
        <f>IF(ISBLANK(A342),"",INDEX('Error Log'!$A:$J,MATCH('Scores per segment'!$A342,'Error Log'!$A:$A,0),MATCH('Scores per segment'!B$1,'Error Log'!$A$1:$J$1,0)))</f>
        <v/>
      </c>
      <c r="C342" s="65" t="str">
        <f>IF(ISBLANK(A342),"",INDEX('Error Log'!$A:$J,MATCH('Scores per segment'!$A342,'Error Log'!$A:$A,0),MATCH('Scores per segment'!C$1,'Error Log'!$A$1:$J$1,0)))</f>
        <v/>
      </c>
      <c r="D342" s="65">
        <f>IF(H342=0,wdct(TRIM(C342)),0)</f>
        <v>0</v>
      </c>
      <c r="E342" s="65">
        <f>COUNTIFS('Error Log'!$A:$A,$A342,'Error Log'!$J:$J,E$1)</f>
        <v>0</v>
      </c>
      <c r="F342" s="65">
        <f>COUNTIFS('Error Log'!$A:$A,$A342,'Error Log'!$J:$J,F$1)</f>
        <v>0</v>
      </c>
      <c r="G342" s="65">
        <f>COUNTIFS('Error Log'!$A:$A,$A342,'Error Log'!$J:$J,G$1)</f>
        <v>0</v>
      </c>
      <c r="H342" s="65">
        <f>COUNTIFS('Error Log'!$A:$A,$A342,'Error Log'!$F:$F,"Source")</f>
        <v>0</v>
      </c>
      <c r="I342" s="65">
        <f>COUNTIFS('Error Log'!$A:$A,$A342,'Error Log'!$F:$F,"Target")</f>
        <v>0</v>
      </c>
      <c r="J342" s="66">
        <f t="shared" si="5"/>
        <v>0</v>
      </c>
    </row>
    <row r="343" spans="1:10">
      <c r="A343" s="76"/>
      <c r="B343" s="65" t="str">
        <f>IF(ISBLANK(A343),"",INDEX('Error Log'!$A:$J,MATCH('Scores per segment'!$A343,'Error Log'!$A:$A,0),MATCH('Scores per segment'!B$1,'Error Log'!$A$1:$J$1,0)))</f>
        <v/>
      </c>
      <c r="C343" s="65" t="str">
        <f>IF(ISBLANK(A343),"",INDEX('Error Log'!$A:$J,MATCH('Scores per segment'!$A343,'Error Log'!$A:$A,0),MATCH('Scores per segment'!C$1,'Error Log'!$A$1:$J$1,0)))</f>
        <v/>
      </c>
      <c r="D343" s="65">
        <f>IF(H343=0,wdct(TRIM(C343)),0)</f>
        <v>0</v>
      </c>
      <c r="E343" s="65">
        <f>COUNTIFS('Error Log'!$A:$A,$A343,'Error Log'!$J:$J,E$1)</f>
        <v>0</v>
      </c>
      <c r="F343" s="65">
        <f>COUNTIFS('Error Log'!$A:$A,$A343,'Error Log'!$J:$J,F$1)</f>
        <v>0</v>
      </c>
      <c r="G343" s="65">
        <f>COUNTIFS('Error Log'!$A:$A,$A343,'Error Log'!$J:$J,G$1)</f>
        <v>0</v>
      </c>
      <c r="H343" s="65">
        <f>COUNTIFS('Error Log'!$A:$A,$A343,'Error Log'!$F:$F,"Source")</f>
        <v>0</v>
      </c>
      <c r="I343" s="65">
        <f>COUNTIFS('Error Log'!$A:$A,$A343,'Error Log'!$F:$F,"Target")</f>
        <v>0</v>
      </c>
      <c r="J343" s="66">
        <f t="shared" si="5"/>
        <v>0</v>
      </c>
    </row>
    <row r="344" spans="1:10">
      <c r="A344" s="76"/>
      <c r="B344" s="65" t="str">
        <f>IF(ISBLANK(A344),"",INDEX('Error Log'!$A:$J,MATCH('Scores per segment'!$A344,'Error Log'!$A:$A,0),MATCH('Scores per segment'!B$1,'Error Log'!$A$1:$J$1,0)))</f>
        <v/>
      </c>
      <c r="C344" s="65" t="str">
        <f>IF(ISBLANK(A344),"",INDEX('Error Log'!$A:$J,MATCH('Scores per segment'!$A344,'Error Log'!$A:$A,0),MATCH('Scores per segment'!C$1,'Error Log'!$A$1:$J$1,0)))</f>
        <v/>
      </c>
      <c r="D344" s="65">
        <f>IF(H344=0,wdct(TRIM(C344)),0)</f>
        <v>0</v>
      </c>
      <c r="E344" s="65">
        <f>COUNTIFS('Error Log'!$A:$A,$A344,'Error Log'!$J:$J,E$1)</f>
        <v>0</v>
      </c>
      <c r="F344" s="65">
        <f>COUNTIFS('Error Log'!$A:$A,$A344,'Error Log'!$J:$J,F$1)</f>
        <v>0</v>
      </c>
      <c r="G344" s="65">
        <f>COUNTIFS('Error Log'!$A:$A,$A344,'Error Log'!$J:$J,G$1)</f>
        <v>0</v>
      </c>
      <c r="H344" s="65">
        <f>COUNTIFS('Error Log'!$A:$A,$A344,'Error Log'!$F:$F,"Source")</f>
        <v>0</v>
      </c>
      <c r="I344" s="65">
        <f>COUNTIFS('Error Log'!$A:$A,$A344,'Error Log'!$F:$F,"Target")</f>
        <v>0</v>
      </c>
      <c r="J344" s="66">
        <f t="shared" si="5"/>
        <v>0</v>
      </c>
    </row>
    <row r="345" spans="1:10">
      <c r="A345" s="76"/>
      <c r="B345" s="65" t="str">
        <f>IF(ISBLANK(A345),"",INDEX('Error Log'!$A:$J,MATCH('Scores per segment'!$A345,'Error Log'!$A:$A,0),MATCH('Scores per segment'!B$1,'Error Log'!$A$1:$J$1,0)))</f>
        <v/>
      </c>
      <c r="C345" s="65" t="str">
        <f>IF(ISBLANK(A345),"",INDEX('Error Log'!$A:$J,MATCH('Scores per segment'!$A345,'Error Log'!$A:$A,0),MATCH('Scores per segment'!C$1,'Error Log'!$A$1:$J$1,0)))</f>
        <v/>
      </c>
      <c r="D345" s="65">
        <f>IF(H345=0,wdct(TRIM(C345)),0)</f>
        <v>0</v>
      </c>
      <c r="E345" s="65">
        <f>COUNTIFS('Error Log'!$A:$A,$A345,'Error Log'!$J:$J,E$1)</f>
        <v>0</v>
      </c>
      <c r="F345" s="65">
        <f>COUNTIFS('Error Log'!$A:$A,$A345,'Error Log'!$J:$J,F$1)</f>
        <v>0</v>
      </c>
      <c r="G345" s="65">
        <f>COUNTIFS('Error Log'!$A:$A,$A345,'Error Log'!$J:$J,G$1)</f>
        <v>0</v>
      </c>
      <c r="H345" s="65">
        <f>COUNTIFS('Error Log'!$A:$A,$A345,'Error Log'!$F:$F,"Source")</f>
        <v>0</v>
      </c>
      <c r="I345" s="65">
        <f>COUNTIFS('Error Log'!$A:$A,$A345,'Error Log'!$F:$F,"Target")</f>
        <v>0</v>
      </c>
      <c r="J345" s="66">
        <f t="shared" si="5"/>
        <v>0</v>
      </c>
    </row>
    <row r="346" spans="1:10">
      <c r="A346" s="76"/>
      <c r="B346" s="65" t="str">
        <f>IF(ISBLANK(A346),"",INDEX('Error Log'!$A:$J,MATCH('Scores per segment'!$A346,'Error Log'!$A:$A,0),MATCH('Scores per segment'!B$1,'Error Log'!$A$1:$J$1,0)))</f>
        <v/>
      </c>
      <c r="C346" s="65" t="str">
        <f>IF(ISBLANK(A346),"",INDEX('Error Log'!$A:$J,MATCH('Scores per segment'!$A346,'Error Log'!$A:$A,0),MATCH('Scores per segment'!C$1,'Error Log'!$A$1:$J$1,0)))</f>
        <v/>
      </c>
      <c r="D346" s="65">
        <f>IF(H346=0,wdct(TRIM(C346)),0)</f>
        <v>0</v>
      </c>
      <c r="E346" s="65">
        <f>COUNTIFS('Error Log'!$A:$A,$A346,'Error Log'!$J:$J,E$1)</f>
        <v>0</v>
      </c>
      <c r="F346" s="65">
        <f>COUNTIFS('Error Log'!$A:$A,$A346,'Error Log'!$J:$J,F$1)</f>
        <v>0</v>
      </c>
      <c r="G346" s="65">
        <f>COUNTIFS('Error Log'!$A:$A,$A346,'Error Log'!$J:$J,G$1)</f>
        <v>0</v>
      </c>
      <c r="H346" s="65">
        <f>COUNTIFS('Error Log'!$A:$A,$A346,'Error Log'!$F:$F,"Source")</f>
        <v>0</v>
      </c>
      <c r="I346" s="65">
        <f>COUNTIFS('Error Log'!$A:$A,$A346,'Error Log'!$F:$F,"Target")</f>
        <v>0</v>
      </c>
      <c r="J346" s="66">
        <f t="shared" si="5"/>
        <v>0</v>
      </c>
    </row>
    <row r="347" spans="1:10">
      <c r="A347" s="76"/>
      <c r="B347" s="65" t="str">
        <f>IF(ISBLANK(A347),"",INDEX('Error Log'!$A:$J,MATCH('Scores per segment'!$A347,'Error Log'!$A:$A,0),MATCH('Scores per segment'!B$1,'Error Log'!$A$1:$J$1,0)))</f>
        <v/>
      </c>
      <c r="C347" s="65" t="str">
        <f>IF(ISBLANK(A347),"",INDEX('Error Log'!$A:$J,MATCH('Scores per segment'!$A347,'Error Log'!$A:$A,0),MATCH('Scores per segment'!C$1,'Error Log'!$A$1:$J$1,0)))</f>
        <v/>
      </c>
      <c r="D347" s="65">
        <f>IF(H347=0,wdct(TRIM(C347)),0)</f>
        <v>0</v>
      </c>
      <c r="E347" s="65">
        <f>COUNTIFS('Error Log'!$A:$A,$A347,'Error Log'!$J:$J,E$1)</f>
        <v>0</v>
      </c>
      <c r="F347" s="65">
        <f>COUNTIFS('Error Log'!$A:$A,$A347,'Error Log'!$J:$J,F$1)</f>
        <v>0</v>
      </c>
      <c r="G347" s="65">
        <f>COUNTIFS('Error Log'!$A:$A,$A347,'Error Log'!$J:$J,G$1)</f>
        <v>0</v>
      </c>
      <c r="H347" s="65">
        <f>COUNTIFS('Error Log'!$A:$A,$A347,'Error Log'!$F:$F,"Source")</f>
        <v>0</v>
      </c>
      <c r="I347" s="65">
        <f>COUNTIFS('Error Log'!$A:$A,$A347,'Error Log'!$F:$F,"Target")</f>
        <v>0</v>
      </c>
      <c r="J347" s="66">
        <f t="shared" si="5"/>
        <v>0</v>
      </c>
    </row>
    <row r="348" spans="1:10">
      <c r="A348" s="76"/>
      <c r="B348" s="65" t="str">
        <f>IF(ISBLANK(A348),"",INDEX('Error Log'!$A:$J,MATCH('Scores per segment'!$A348,'Error Log'!$A:$A,0),MATCH('Scores per segment'!B$1,'Error Log'!$A$1:$J$1,0)))</f>
        <v/>
      </c>
      <c r="C348" s="65" t="str">
        <f>IF(ISBLANK(A348),"",INDEX('Error Log'!$A:$J,MATCH('Scores per segment'!$A348,'Error Log'!$A:$A,0),MATCH('Scores per segment'!C$1,'Error Log'!$A$1:$J$1,0)))</f>
        <v/>
      </c>
      <c r="D348" s="65">
        <f>IF(H348=0,wdct(TRIM(C348)),0)</f>
        <v>0</v>
      </c>
      <c r="E348" s="65">
        <f>COUNTIFS('Error Log'!$A:$A,$A348,'Error Log'!$J:$J,E$1)</f>
        <v>0</v>
      </c>
      <c r="F348" s="65">
        <f>COUNTIFS('Error Log'!$A:$A,$A348,'Error Log'!$J:$J,F$1)</f>
        <v>0</v>
      </c>
      <c r="G348" s="65">
        <f>COUNTIFS('Error Log'!$A:$A,$A348,'Error Log'!$J:$J,G$1)</f>
        <v>0</v>
      </c>
      <c r="H348" s="65">
        <f>COUNTIFS('Error Log'!$A:$A,$A348,'Error Log'!$F:$F,"Source")</f>
        <v>0</v>
      </c>
      <c r="I348" s="65">
        <f>COUNTIFS('Error Log'!$A:$A,$A348,'Error Log'!$F:$F,"Target")</f>
        <v>0</v>
      </c>
      <c r="J348" s="66">
        <f t="shared" si="5"/>
        <v>0</v>
      </c>
    </row>
    <row r="349" spans="1:10">
      <c r="A349" s="76"/>
      <c r="B349" s="65" t="str">
        <f>IF(ISBLANK(A349),"",INDEX('Error Log'!$A:$J,MATCH('Scores per segment'!$A349,'Error Log'!$A:$A,0),MATCH('Scores per segment'!B$1,'Error Log'!$A$1:$J$1,0)))</f>
        <v/>
      </c>
      <c r="C349" s="65" t="str">
        <f>IF(ISBLANK(A349),"",INDEX('Error Log'!$A:$J,MATCH('Scores per segment'!$A349,'Error Log'!$A:$A,0),MATCH('Scores per segment'!C$1,'Error Log'!$A$1:$J$1,0)))</f>
        <v/>
      </c>
      <c r="D349" s="65">
        <f>IF(H349=0,wdct(TRIM(C349)),0)</f>
        <v>0</v>
      </c>
      <c r="E349" s="65">
        <f>COUNTIFS('Error Log'!$A:$A,$A349,'Error Log'!$J:$J,E$1)</f>
        <v>0</v>
      </c>
      <c r="F349" s="65">
        <f>COUNTIFS('Error Log'!$A:$A,$A349,'Error Log'!$J:$J,F$1)</f>
        <v>0</v>
      </c>
      <c r="G349" s="65">
        <f>COUNTIFS('Error Log'!$A:$A,$A349,'Error Log'!$J:$J,G$1)</f>
        <v>0</v>
      </c>
      <c r="H349" s="65">
        <f>COUNTIFS('Error Log'!$A:$A,$A349,'Error Log'!$F:$F,"Source")</f>
        <v>0</v>
      </c>
      <c r="I349" s="65">
        <f>COUNTIFS('Error Log'!$A:$A,$A349,'Error Log'!$F:$F,"Target")</f>
        <v>0</v>
      </c>
      <c r="J349" s="66">
        <f t="shared" si="5"/>
        <v>0</v>
      </c>
    </row>
    <row r="350" spans="1:10">
      <c r="A350" s="76"/>
      <c r="B350" s="65" t="str">
        <f>IF(ISBLANK(A350),"",INDEX('Error Log'!$A:$J,MATCH('Scores per segment'!$A350,'Error Log'!$A:$A,0),MATCH('Scores per segment'!B$1,'Error Log'!$A$1:$J$1,0)))</f>
        <v/>
      </c>
      <c r="C350" s="65" t="str">
        <f>IF(ISBLANK(A350),"",INDEX('Error Log'!$A:$J,MATCH('Scores per segment'!$A350,'Error Log'!$A:$A,0),MATCH('Scores per segment'!C$1,'Error Log'!$A$1:$J$1,0)))</f>
        <v/>
      </c>
      <c r="D350" s="65">
        <f>IF(H350=0,wdct(TRIM(C350)),0)</f>
        <v>0</v>
      </c>
      <c r="E350" s="65">
        <f>COUNTIFS('Error Log'!$A:$A,$A350,'Error Log'!$J:$J,E$1)</f>
        <v>0</v>
      </c>
      <c r="F350" s="65">
        <f>COUNTIFS('Error Log'!$A:$A,$A350,'Error Log'!$J:$J,F$1)</f>
        <v>0</v>
      </c>
      <c r="G350" s="65">
        <f>COUNTIFS('Error Log'!$A:$A,$A350,'Error Log'!$J:$J,G$1)</f>
        <v>0</v>
      </c>
      <c r="H350" s="65">
        <f>COUNTIFS('Error Log'!$A:$A,$A350,'Error Log'!$F:$F,"Source")</f>
        <v>0</v>
      </c>
      <c r="I350" s="65">
        <f>COUNTIFS('Error Log'!$A:$A,$A350,'Error Log'!$F:$F,"Target")</f>
        <v>0</v>
      </c>
      <c r="J350" s="66">
        <f t="shared" si="5"/>
        <v>0</v>
      </c>
    </row>
    <row r="351" spans="1:10">
      <c r="A351" s="76"/>
      <c r="B351" s="65" t="str">
        <f>IF(ISBLANK(A351),"",INDEX('Error Log'!$A:$J,MATCH('Scores per segment'!$A351,'Error Log'!$A:$A,0),MATCH('Scores per segment'!B$1,'Error Log'!$A$1:$J$1,0)))</f>
        <v/>
      </c>
      <c r="C351" s="65" t="str">
        <f>IF(ISBLANK(A351),"",INDEX('Error Log'!$A:$J,MATCH('Scores per segment'!$A351,'Error Log'!$A:$A,0),MATCH('Scores per segment'!C$1,'Error Log'!$A$1:$J$1,0)))</f>
        <v/>
      </c>
      <c r="D351" s="65">
        <f>IF(H351=0,wdct(TRIM(C351)),0)</f>
        <v>0</v>
      </c>
      <c r="E351" s="65">
        <f>COUNTIFS('Error Log'!$A:$A,$A351,'Error Log'!$J:$J,E$1)</f>
        <v>0</v>
      </c>
      <c r="F351" s="65">
        <f>COUNTIFS('Error Log'!$A:$A,$A351,'Error Log'!$J:$J,F$1)</f>
        <v>0</v>
      </c>
      <c r="G351" s="65">
        <f>COUNTIFS('Error Log'!$A:$A,$A351,'Error Log'!$J:$J,G$1)</f>
        <v>0</v>
      </c>
      <c r="H351" s="65">
        <f>COUNTIFS('Error Log'!$A:$A,$A351,'Error Log'!$F:$F,"Source")</f>
        <v>0</v>
      </c>
      <c r="I351" s="65">
        <f>COUNTIFS('Error Log'!$A:$A,$A351,'Error Log'!$F:$F,"Target")</f>
        <v>0</v>
      </c>
      <c r="J351" s="66">
        <f t="shared" si="5"/>
        <v>0</v>
      </c>
    </row>
    <row r="352" spans="1:10">
      <c r="A352" s="76"/>
      <c r="B352" s="65" t="str">
        <f>IF(ISBLANK(A352),"",INDEX('Error Log'!$A:$J,MATCH('Scores per segment'!$A352,'Error Log'!$A:$A,0),MATCH('Scores per segment'!B$1,'Error Log'!$A$1:$J$1,0)))</f>
        <v/>
      </c>
      <c r="C352" s="65" t="str">
        <f>IF(ISBLANK(A352),"",INDEX('Error Log'!$A:$J,MATCH('Scores per segment'!$A352,'Error Log'!$A:$A,0),MATCH('Scores per segment'!C$1,'Error Log'!$A$1:$J$1,0)))</f>
        <v/>
      </c>
      <c r="D352" s="65">
        <f>IF(H352=0,wdct(TRIM(C352)),0)</f>
        <v>0</v>
      </c>
      <c r="E352" s="65">
        <f>COUNTIFS('Error Log'!$A:$A,$A352,'Error Log'!$J:$J,E$1)</f>
        <v>0</v>
      </c>
      <c r="F352" s="65">
        <f>COUNTIFS('Error Log'!$A:$A,$A352,'Error Log'!$J:$J,F$1)</f>
        <v>0</v>
      </c>
      <c r="G352" s="65">
        <f>COUNTIFS('Error Log'!$A:$A,$A352,'Error Log'!$J:$J,G$1)</f>
        <v>0</v>
      </c>
      <c r="H352" s="65">
        <f>COUNTIFS('Error Log'!$A:$A,$A352,'Error Log'!$F:$F,"Source")</f>
        <v>0</v>
      </c>
      <c r="I352" s="65">
        <f>COUNTIFS('Error Log'!$A:$A,$A352,'Error Log'!$F:$F,"Target")</f>
        <v>0</v>
      </c>
      <c r="J352" s="66">
        <f t="shared" si="5"/>
        <v>0</v>
      </c>
    </row>
    <row r="353" spans="1:10">
      <c r="A353" s="76"/>
      <c r="B353" s="65" t="str">
        <f>IF(ISBLANK(A353),"",INDEX('Error Log'!$A:$J,MATCH('Scores per segment'!$A353,'Error Log'!$A:$A,0),MATCH('Scores per segment'!B$1,'Error Log'!$A$1:$J$1,0)))</f>
        <v/>
      </c>
      <c r="C353" s="65" t="str">
        <f>IF(ISBLANK(A353),"",INDEX('Error Log'!$A:$J,MATCH('Scores per segment'!$A353,'Error Log'!$A:$A,0),MATCH('Scores per segment'!C$1,'Error Log'!$A$1:$J$1,0)))</f>
        <v/>
      </c>
      <c r="D353" s="65">
        <f>IF(H353=0,wdct(TRIM(C353)),0)</f>
        <v>0</v>
      </c>
      <c r="E353" s="65">
        <f>COUNTIFS('Error Log'!$A:$A,$A353,'Error Log'!$J:$J,E$1)</f>
        <v>0</v>
      </c>
      <c r="F353" s="65">
        <f>COUNTIFS('Error Log'!$A:$A,$A353,'Error Log'!$J:$J,F$1)</f>
        <v>0</v>
      </c>
      <c r="G353" s="65">
        <f>COUNTIFS('Error Log'!$A:$A,$A353,'Error Log'!$J:$J,G$1)</f>
        <v>0</v>
      </c>
      <c r="H353" s="65">
        <f>COUNTIFS('Error Log'!$A:$A,$A353,'Error Log'!$F:$F,"Source")</f>
        <v>0</v>
      </c>
      <c r="I353" s="65">
        <f>COUNTIFS('Error Log'!$A:$A,$A353,'Error Log'!$F:$F,"Target")</f>
        <v>0</v>
      </c>
      <c r="J353" s="66">
        <f t="shared" si="5"/>
        <v>0</v>
      </c>
    </row>
    <row r="354" spans="1:10">
      <c r="A354" s="76"/>
      <c r="B354" s="65" t="str">
        <f>IF(ISBLANK(A354),"",INDEX('Error Log'!$A:$J,MATCH('Scores per segment'!$A354,'Error Log'!$A:$A,0),MATCH('Scores per segment'!B$1,'Error Log'!$A$1:$J$1,0)))</f>
        <v/>
      </c>
      <c r="C354" s="65" t="str">
        <f>IF(ISBLANK(A354),"",INDEX('Error Log'!$A:$J,MATCH('Scores per segment'!$A354,'Error Log'!$A:$A,0),MATCH('Scores per segment'!C$1,'Error Log'!$A$1:$J$1,0)))</f>
        <v/>
      </c>
      <c r="D354" s="65">
        <f>IF(H354=0,wdct(TRIM(C354)),0)</f>
        <v>0</v>
      </c>
      <c r="E354" s="65">
        <f>COUNTIFS('Error Log'!$A:$A,$A354,'Error Log'!$J:$J,E$1)</f>
        <v>0</v>
      </c>
      <c r="F354" s="65">
        <f>COUNTIFS('Error Log'!$A:$A,$A354,'Error Log'!$J:$J,F$1)</f>
        <v>0</v>
      </c>
      <c r="G354" s="65">
        <f>COUNTIFS('Error Log'!$A:$A,$A354,'Error Log'!$J:$J,G$1)</f>
        <v>0</v>
      </c>
      <c r="H354" s="65">
        <f>COUNTIFS('Error Log'!$A:$A,$A354,'Error Log'!$F:$F,"Source")</f>
        <v>0</v>
      </c>
      <c r="I354" s="65">
        <f>COUNTIFS('Error Log'!$A:$A,$A354,'Error Log'!$F:$F,"Target")</f>
        <v>0</v>
      </c>
      <c r="J354" s="66">
        <f t="shared" si="5"/>
        <v>0</v>
      </c>
    </row>
    <row r="355" spans="1:10">
      <c r="A355" s="76"/>
      <c r="B355" s="65" t="str">
        <f>IF(ISBLANK(A355),"",INDEX('Error Log'!$A:$J,MATCH('Scores per segment'!$A355,'Error Log'!$A:$A,0),MATCH('Scores per segment'!B$1,'Error Log'!$A$1:$J$1,0)))</f>
        <v/>
      </c>
      <c r="C355" s="65" t="str">
        <f>IF(ISBLANK(A355),"",INDEX('Error Log'!$A:$J,MATCH('Scores per segment'!$A355,'Error Log'!$A:$A,0),MATCH('Scores per segment'!C$1,'Error Log'!$A$1:$J$1,0)))</f>
        <v/>
      </c>
      <c r="D355" s="65">
        <f>IF(H355=0,wdct(TRIM(C355)),0)</f>
        <v>0</v>
      </c>
      <c r="E355" s="65">
        <f>COUNTIFS('Error Log'!$A:$A,$A355,'Error Log'!$J:$J,E$1)</f>
        <v>0</v>
      </c>
      <c r="F355" s="65">
        <f>COUNTIFS('Error Log'!$A:$A,$A355,'Error Log'!$J:$J,F$1)</f>
        <v>0</v>
      </c>
      <c r="G355" s="65">
        <f>COUNTIFS('Error Log'!$A:$A,$A355,'Error Log'!$J:$J,G$1)</f>
        <v>0</v>
      </c>
      <c r="H355" s="65">
        <f>COUNTIFS('Error Log'!$A:$A,$A355,'Error Log'!$F:$F,"Source")</f>
        <v>0</v>
      </c>
      <c r="I355" s="65">
        <f>COUNTIFS('Error Log'!$A:$A,$A355,'Error Log'!$F:$F,"Target")</f>
        <v>0</v>
      </c>
      <c r="J355" s="66">
        <f t="shared" si="5"/>
        <v>0</v>
      </c>
    </row>
    <row r="356" spans="1:10">
      <c r="A356" s="76"/>
      <c r="B356" s="65" t="str">
        <f>IF(ISBLANK(A356),"",INDEX('Error Log'!$A:$J,MATCH('Scores per segment'!$A356,'Error Log'!$A:$A,0),MATCH('Scores per segment'!B$1,'Error Log'!$A$1:$J$1,0)))</f>
        <v/>
      </c>
      <c r="C356" s="65" t="str">
        <f>IF(ISBLANK(A356),"",INDEX('Error Log'!$A:$J,MATCH('Scores per segment'!$A356,'Error Log'!$A:$A,0),MATCH('Scores per segment'!C$1,'Error Log'!$A$1:$J$1,0)))</f>
        <v/>
      </c>
      <c r="D356" s="65">
        <f>IF(H356=0,wdct(TRIM(C356)),0)</f>
        <v>0</v>
      </c>
      <c r="E356" s="65">
        <f>COUNTIFS('Error Log'!$A:$A,$A356,'Error Log'!$J:$J,E$1)</f>
        <v>0</v>
      </c>
      <c r="F356" s="65">
        <f>COUNTIFS('Error Log'!$A:$A,$A356,'Error Log'!$J:$J,F$1)</f>
        <v>0</v>
      </c>
      <c r="G356" s="65">
        <f>COUNTIFS('Error Log'!$A:$A,$A356,'Error Log'!$J:$J,G$1)</f>
        <v>0</v>
      </c>
      <c r="H356" s="65">
        <f>COUNTIFS('Error Log'!$A:$A,$A356,'Error Log'!$F:$F,"Source")</f>
        <v>0</v>
      </c>
      <c r="I356" s="65">
        <f>COUNTIFS('Error Log'!$A:$A,$A356,'Error Log'!$F:$F,"Target")</f>
        <v>0</v>
      </c>
      <c r="J356" s="66">
        <f t="shared" si="5"/>
        <v>0</v>
      </c>
    </row>
    <row r="357" spans="1:10">
      <c r="A357" s="76"/>
      <c r="B357" s="65" t="str">
        <f>IF(ISBLANK(A357),"",INDEX('Error Log'!$A:$J,MATCH('Scores per segment'!$A357,'Error Log'!$A:$A,0),MATCH('Scores per segment'!B$1,'Error Log'!$A$1:$J$1,0)))</f>
        <v/>
      </c>
      <c r="C357" s="65" t="str">
        <f>IF(ISBLANK(A357),"",INDEX('Error Log'!$A:$J,MATCH('Scores per segment'!$A357,'Error Log'!$A:$A,0),MATCH('Scores per segment'!C$1,'Error Log'!$A$1:$J$1,0)))</f>
        <v/>
      </c>
      <c r="D357" s="65">
        <f>IF(H357=0,wdct(TRIM(C357)),0)</f>
        <v>0</v>
      </c>
      <c r="E357" s="65">
        <f>COUNTIFS('Error Log'!$A:$A,$A357,'Error Log'!$J:$J,E$1)</f>
        <v>0</v>
      </c>
      <c r="F357" s="65">
        <f>COUNTIFS('Error Log'!$A:$A,$A357,'Error Log'!$J:$J,F$1)</f>
        <v>0</v>
      </c>
      <c r="G357" s="65">
        <f>COUNTIFS('Error Log'!$A:$A,$A357,'Error Log'!$J:$J,G$1)</f>
        <v>0</v>
      </c>
      <c r="H357" s="65">
        <f>COUNTIFS('Error Log'!$A:$A,$A357,'Error Log'!$F:$F,"Source")</f>
        <v>0</v>
      </c>
      <c r="I357" s="65">
        <f>COUNTIFS('Error Log'!$A:$A,$A357,'Error Log'!$F:$F,"Target")</f>
        <v>0</v>
      </c>
      <c r="J357" s="66">
        <f t="shared" si="5"/>
        <v>0</v>
      </c>
    </row>
    <row r="358" spans="1:10">
      <c r="A358" s="76"/>
      <c r="B358" s="65" t="str">
        <f>IF(ISBLANK(A358),"",INDEX('Error Log'!$A:$J,MATCH('Scores per segment'!$A358,'Error Log'!$A:$A,0),MATCH('Scores per segment'!B$1,'Error Log'!$A$1:$J$1,0)))</f>
        <v/>
      </c>
      <c r="C358" s="65" t="str">
        <f>IF(ISBLANK(A358),"",INDEX('Error Log'!$A:$J,MATCH('Scores per segment'!$A358,'Error Log'!$A:$A,0),MATCH('Scores per segment'!C$1,'Error Log'!$A$1:$J$1,0)))</f>
        <v/>
      </c>
      <c r="D358" s="65">
        <f>IF(H358=0,wdct(TRIM(C358)),0)</f>
        <v>0</v>
      </c>
      <c r="E358" s="65">
        <f>COUNTIFS('Error Log'!$A:$A,$A358,'Error Log'!$J:$J,E$1)</f>
        <v>0</v>
      </c>
      <c r="F358" s="65">
        <f>COUNTIFS('Error Log'!$A:$A,$A358,'Error Log'!$J:$J,F$1)</f>
        <v>0</v>
      </c>
      <c r="G358" s="65">
        <f>COUNTIFS('Error Log'!$A:$A,$A358,'Error Log'!$J:$J,G$1)</f>
        <v>0</v>
      </c>
      <c r="H358" s="65">
        <f>COUNTIFS('Error Log'!$A:$A,$A358,'Error Log'!$F:$F,"Source")</f>
        <v>0</v>
      </c>
      <c r="I358" s="65">
        <f>COUNTIFS('Error Log'!$A:$A,$A358,'Error Log'!$F:$F,"Target")</f>
        <v>0</v>
      </c>
      <c r="J358" s="66">
        <f t="shared" si="5"/>
        <v>0</v>
      </c>
    </row>
    <row r="359" spans="1:10">
      <c r="A359" s="76"/>
      <c r="B359" s="65" t="str">
        <f>IF(ISBLANK(A359),"",INDEX('Error Log'!$A:$J,MATCH('Scores per segment'!$A359,'Error Log'!$A:$A,0),MATCH('Scores per segment'!B$1,'Error Log'!$A$1:$J$1,0)))</f>
        <v/>
      </c>
      <c r="C359" s="65" t="str">
        <f>IF(ISBLANK(A359),"",INDEX('Error Log'!$A:$J,MATCH('Scores per segment'!$A359,'Error Log'!$A:$A,0),MATCH('Scores per segment'!C$1,'Error Log'!$A$1:$J$1,0)))</f>
        <v/>
      </c>
      <c r="D359" s="65">
        <f>IF(H359=0,wdct(TRIM(C359)),0)</f>
        <v>0</v>
      </c>
      <c r="E359" s="65">
        <f>COUNTIFS('Error Log'!$A:$A,$A359,'Error Log'!$J:$J,E$1)</f>
        <v>0</v>
      </c>
      <c r="F359" s="65">
        <f>COUNTIFS('Error Log'!$A:$A,$A359,'Error Log'!$J:$J,F$1)</f>
        <v>0</v>
      </c>
      <c r="G359" s="65">
        <f>COUNTIFS('Error Log'!$A:$A,$A359,'Error Log'!$J:$J,G$1)</f>
        <v>0</v>
      </c>
      <c r="H359" s="65">
        <f>COUNTIFS('Error Log'!$A:$A,$A359,'Error Log'!$F:$F,"Source")</f>
        <v>0</v>
      </c>
      <c r="I359" s="65">
        <f>COUNTIFS('Error Log'!$A:$A,$A359,'Error Log'!$F:$F,"Target")</f>
        <v>0</v>
      </c>
      <c r="J359" s="66">
        <f t="shared" si="5"/>
        <v>0</v>
      </c>
    </row>
    <row r="360" spans="1:10">
      <c r="A360" s="76"/>
      <c r="B360" s="65" t="str">
        <f>IF(ISBLANK(A360),"",INDEX('Error Log'!$A:$J,MATCH('Scores per segment'!$A360,'Error Log'!$A:$A,0),MATCH('Scores per segment'!B$1,'Error Log'!$A$1:$J$1,0)))</f>
        <v/>
      </c>
      <c r="C360" s="65" t="str">
        <f>IF(ISBLANK(A360),"",INDEX('Error Log'!$A:$J,MATCH('Scores per segment'!$A360,'Error Log'!$A:$A,0),MATCH('Scores per segment'!C$1,'Error Log'!$A$1:$J$1,0)))</f>
        <v/>
      </c>
      <c r="D360" s="65">
        <f>IF(H360=0,wdct(TRIM(C360)),0)</f>
        <v>0</v>
      </c>
      <c r="E360" s="65">
        <f>COUNTIFS('Error Log'!$A:$A,$A360,'Error Log'!$J:$J,E$1)</f>
        <v>0</v>
      </c>
      <c r="F360" s="65">
        <f>COUNTIFS('Error Log'!$A:$A,$A360,'Error Log'!$J:$J,F$1)</f>
        <v>0</v>
      </c>
      <c r="G360" s="65">
        <f>COUNTIFS('Error Log'!$A:$A,$A360,'Error Log'!$J:$J,G$1)</f>
        <v>0</v>
      </c>
      <c r="H360" s="65">
        <f>COUNTIFS('Error Log'!$A:$A,$A360,'Error Log'!$F:$F,"Source")</f>
        <v>0</v>
      </c>
      <c r="I360" s="65">
        <f>COUNTIFS('Error Log'!$A:$A,$A360,'Error Log'!$F:$F,"Target")</f>
        <v>0</v>
      </c>
      <c r="J360" s="66">
        <f t="shared" si="5"/>
        <v>0</v>
      </c>
    </row>
    <row r="361" spans="1:10">
      <c r="A361" s="76"/>
      <c r="B361" s="65" t="str">
        <f>IF(ISBLANK(A361),"",INDEX('Error Log'!$A:$J,MATCH('Scores per segment'!$A361,'Error Log'!$A:$A,0),MATCH('Scores per segment'!B$1,'Error Log'!$A$1:$J$1,0)))</f>
        <v/>
      </c>
      <c r="C361" s="65" t="str">
        <f>IF(ISBLANK(A361),"",INDEX('Error Log'!$A:$J,MATCH('Scores per segment'!$A361,'Error Log'!$A:$A,0),MATCH('Scores per segment'!C$1,'Error Log'!$A$1:$J$1,0)))</f>
        <v/>
      </c>
      <c r="D361" s="65">
        <f>IF(H361=0,wdct(TRIM(C361)),0)</f>
        <v>0</v>
      </c>
      <c r="E361" s="65">
        <f>COUNTIFS('Error Log'!$A:$A,$A361,'Error Log'!$J:$J,E$1)</f>
        <v>0</v>
      </c>
      <c r="F361" s="65">
        <f>COUNTIFS('Error Log'!$A:$A,$A361,'Error Log'!$J:$J,F$1)</f>
        <v>0</v>
      </c>
      <c r="G361" s="65">
        <f>COUNTIFS('Error Log'!$A:$A,$A361,'Error Log'!$J:$J,G$1)</f>
        <v>0</v>
      </c>
      <c r="H361" s="65">
        <f>COUNTIFS('Error Log'!$A:$A,$A361,'Error Log'!$F:$F,"Source")</f>
        <v>0</v>
      </c>
      <c r="I361" s="65">
        <f>COUNTIFS('Error Log'!$A:$A,$A361,'Error Log'!$F:$F,"Target")</f>
        <v>0</v>
      </c>
      <c r="J361" s="66">
        <f t="shared" si="5"/>
        <v>0</v>
      </c>
    </row>
    <row r="362" spans="1:10">
      <c r="A362" s="76"/>
      <c r="B362" s="65" t="str">
        <f>IF(ISBLANK(A362),"",INDEX('Error Log'!$A:$J,MATCH('Scores per segment'!$A362,'Error Log'!$A:$A,0),MATCH('Scores per segment'!B$1,'Error Log'!$A$1:$J$1,0)))</f>
        <v/>
      </c>
      <c r="C362" s="65" t="str">
        <f>IF(ISBLANK(A362),"",INDEX('Error Log'!$A:$J,MATCH('Scores per segment'!$A362,'Error Log'!$A:$A,0),MATCH('Scores per segment'!C$1,'Error Log'!$A$1:$J$1,0)))</f>
        <v/>
      </c>
      <c r="D362" s="65">
        <f>IF(H362=0,wdct(TRIM(C362)),0)</f>
        <v>0</v>
      </c>
      <c r="E362" s="65">
        <f>COUNTIFS('Error Log'!$A:$A,$A362,'Error Log'!$J:$J,E$1)</f>
        <v>0</v>
      </c>
      <c r="F362" s="65">
        <f>COUNTIFS('Error Log'!$A:$A,$A362,'Error Log'!$J:$J,F$1)</f>
        <v>0</v>
      </c>
      <c r="G362" s="65">
        <f>COUNTIFS('Error Log'!$A:$A,$A362,'Error Log'!$J:$J,G$1)</f>
        <v>0</v>
      </c>
      <c r="H362" s="65">
        <f>COUNTIFS('Error Log'!$A:$A,$A362,'Error Log'!$F:$F,"Source")</f>
        <v>0</v>
      </c>
      <c r="I362" s="65">
        <f>COUNTIFS('Error Log'!$A:$A,$A362,'Error Log'!$F:$F,"Target")</f>
        <v>0</v>
      </c>
      <c r="J362" s="66">
        <f t="shared" si="5"/>
        <v>0</v>
      </c>
    </row>
    <row r="363" spans="1:10">
      <c r="A363" s="76"/>
      <c r="B363" s="65" t="str">
        <f>IF(ISBLANK(A363),"",INDEX('Error Log'!$A:$J,MATCH('Scores per segment'!$A363,'Error Log'!$A:$A,0),MATCH('Scores per segment'!B$1,'Error Log'!$A$1:$J$1,0)))</f>
        <v/>
      </c>
      <c r="C363" s="65" t="str">
        <f>IF(ISBLANK(A363),"",INDEX('Error Log'!$A:$J,MATCH('Scores per segment'!$A363,'Error Log'!$A:$A,0),MATCH('Scores per segment'!C$1,'Error Log'!$A$1:$J$1,0)))</f>
        <v/>
      </c>
      <c r="D363" s="65">
        <f>IF(H363=0,wdct(TRIM(C363)),0)</f>
        <v>0</v>
      </c>
      <c r="E363" s="65">
        <f>COUNTIFS('Error Log'!$A:$A,$A363,'Error Log'!$J:$J,E$1)</f>
        <v>0</v>
      </c>
      <c r="F363" s="65">
        <f>COUNTIFS('Error Log'!$A:$A,$A363,'Error Log'!$J:$J,F$1)</f>
        <v>0</v>
      </c>
      <c r="G363" s="65">
        <f>COUNTIFS('Error Log'!$A:$A,$A363,'Error Log'!$J:$J,G$1)</f>
        <v>0</v>
      </c>
      <c r="H363" s="65">
        <f>COUNTIFS('Error Log'!$A:$A,$A363,'Error Log'!$F:$F,"Source")</f>
        <v>0</v>
      </c>
      <c r="I363" s="65">
        <f>COUNTIFS('Error Log'!$A:$A,$A363,'Error Log'!$F:$F,"Target")</f>
        <v>0</v>
      </c>
      <c r="J363" s="66">
        <f t="shared" si="5"/>
        <v>0</v>
      </c>
    </row>
    <row r="364" spans="1:10">
      <c r="A364" s="76"/>
      <c r="B364" s="65" t="str">
        <f>IF(ISBLANK(A364),"",INDEX('Error Log'!$A:$J,MATCH('Scores per segment'!$A364,'Error Log'!$A:$A,0),MATCH('Scores per segment'!B$1,'Error Log'!$A$1:$J$1,0)))</f>
        <v/>
      </c>
      <c r="C364" s="65" t="str">
        <f>IF(ISBLANK(A364),"",INDEX('Error Log'!$A:$J,MATCH('Scores per segment'!$A364,'Error Log'!$A:$A,0),MATCH('Scores per segment'!C$1,'Error Log'!$A$1:$J$1,0)))</f>
        <v/>
      </c>
      <c r="D364" s="65">
        <f>IF(H364=0,wdct(TRIM(C364)),0)</f>
        <v>0</v>
      </c>
      <c r="E364" s="65">
        <f>COUNTIFS('Error Log'!$A:$A,$A364,'Error Log'!$J:$J,E$1)</f>
        <v>0</v>
      </c>
      <c r="F364" s="65">
        <f>COUNTIFS('Error Log'!$A:$A,$A364,'Error Log'!$J:$J,F$1)</f>
        <v>0</v>
      </c>
      <c r="G364" s="65">
        <f>COUNTIFS('Error Log'!$A:$A,$A364,'Error Log'!$J:$J,G$1)</f>
        <v>0</v>
      </c>
      <c r="H364" s="65">
        <f>COUNTIFS('Error Log'!$A:$A,$A364,'Error Log'!$F:$F,"Source")</f>
        <v>0</v>
      </c>
      <c r="I364" s="65">
        <f>COUNTIFS('Error Log'!$A:$A,$A364,'Error Log'!$F:$F,"Target")</f>
        <v>0</v>
      </c>
      <c r="J364" s="66">
        <f t="shared" si="5"/>
        <v>0</v>
      </c>
    </row>
    <row r="365" spans="1:10">
      <c r="A365" s="76"/>
      <c r="B365" s="65" t="str">
        <f>IF(ISBLANK(A365),"",INDEX('Error Log'!$A:$J,MATCH('Scores per segment'!$A365,'Error Log'!$A:$A,0),MATCH('Scores per segment'!B$1,'Error Log'!$A$1:$J$1,0)))</f>
        <v/>
      </c>
      <c r="C365" s="65" t="str">
        <f>IF(ISBLANK(A365),"",INDEX('Error Log'!$A:$J,MATCH('Scores per segment'!$A365,'Error Log'!$A:$A,0),MATCH('Scores per segment'!C$1,'Error Log'!$A$1:$J$1,0)))</f>
        <v/>
      </c>
      <c r="D365" s="65">
        <f>IF(H365=0,wdct(TRIM(C365)),0)</f>
        <v>0</v>
      </c>
      <c r="E365" s="65">
        <f>COUNTIFS('Error Log'!$A:$A,$A365,'Error Log'!$J:$J,E$1)</f>
        <v>0</v>
      </c>
      <c r="F365" s="65">
        <f>COUNTIFS('Error Log'!$A:$A,$A365,'Error Log'!$J:$J,F$1)</f>
        <v>0</v>
      </c>
      <c r="G365" s="65">
        <f>COUNTIFS('Error Log'!$A:$A,$A365,'Error Log'!$J:$J,G$1)</f>
        <v>0</v>
      </c>
      <c r="H365" s="65">
        <f>COUNTIFS('Error Log'!$A:$A,$A365,'Error Log'!$F:$F,"Source")</f>
        <v>0</v>
      </c>
      <c r="I365" s="65">
        <f>COUNTIFS('Error Log'!$A:$A,$A365,'Error Log'!$F:$F,"Target")</f>
        <v>0</v>
      </c>
      <c r="J365" s="66">
        <f t="shared" si="5"/>
        <v>0</v>
      </c>
    </row>
    <row r="366" spans="1:10">
      <c r="A366" s="76"/>
      <c r="B366" s="65" t="str">
        <f>IF(ISBLANK(A366),"",INDEX('Error Log'!$A:$J,MATCH('Scores per segment'!$A366,'Error Log'!$A:$A,0),MATCH('Scores per segment'!B$1,'Error Log'!$A$1:$J$1,0)))</f>
        <v/>
      </c>
      <c r="C366" s="65" t="str">
        <f>IF(ISBLANK(A366),"",INDEX('Error Log'!$A:$J,MATCH('Scores per segment'!$A366,'Error Log'!$A:$A,0),MATCH('Scores per segment'!C$1,'Error Log'!$A$1:$J$1,0)))</f>
        <v/>
      </c>
      <c r="D366" s="65">
        <f>IF(H366=0,wdct(TRIM(C366)),0)</f>
        <v>0</v>
      </c>
      <c r="E366" s="65">
        <f>COUNTIFS('Error Log'!$A:$A,$A366,'Error Log'!$J:$J,E$1)</f>
        <v>0</v>
      </c>
      <c r="F366" s="65">
        <f>COUNTIFS('Error Log'!$A:$A,$A366,'Error Log'!$J:$J,F$1)</f>
        <v>0</v>
      </c>
      <c r="G366" s="65">
        <f>COUNTIFS('Error Log'!$A:$A,$A366,'Error Log'!$J:$J,G$1)</f>
        <v>0</v>
      </c>
      <c r="H366" s="65">
        <f>COUNTIFS('Error Log'!$A:$A,$A366,'Error Log'!$F:$F,"Source")</f>
        <v>0</v>
      </c>
      <c r="I366" s="65">
        <f>COUNTIFS('Error Log'!$A:$A,$A366,'Error Log'!$F:$F,"Target")</f>
        <v>0</v>
      </c>
      <c r="J366" s="66">
        <f t="shared" si="5"/>
        <v>0</v>
      </c>
    </row>
    <row r="367" spans="1:10">
      <c r="A367" s="76"/>
      <c r="B367" s="65" t="str">
        <f>IF(ISBLANK(A367),"",INDEX('Error Log'!$A:$J,MATCH('Scores per segment'!$A367,'Error Log'!$A:$A,0),MATCH('Scores per segment'!B$1,'Error Log'!$A$1:$J$1,0)))</f>
        <v/>
      </c>
      <c r="C367" s="65" t="str">
        <f>IF(ISBLANK(A367),"",INDEX('Error Log'!$A:$J,MATCH('Scores per segment'!$A367,'Error Log'!$A:$A,0),MATCH('Scores per segment'!C$1,'Error Log'!$A$1:$J$1,0)))</f>
        <v/>
      </c>
      <c r="D367" s="65">
        <f>IF(H367=0,wdct(TRIM(C367)),0)</f>
        <v>0</v>
      </c>
      <c r="E367" s="65">
        <f>COUNTIFS('Error Log'!$A:$A,$A367,'Error Log'!$J:$J,E$1)</f>
        <v>0</v>
      </c>
      <c r="F367" s="65">
        <f>COUNTIFS('Error Log'!$A:$A,$A367,'Error Log'!$J:$J,F$1)</f>
        <v>0</v>
      </c>
      <c r="G367" s="65">
        <f>COUNTIFS('Error Log'!$A:$A,$A367,'Error Log'!$J:$J,G$1)</f>
        <v>0</v>
      </c>
      <c r="H367" s="65">
        <f>COUNTIFS('Error Log'!$A:$A,$A367,'Error Log'!$F:$F,"Source")</f>
        <v>0</v>
      </c>
      <c r="I367" s="65">
        <f>COUNTIFS('Error Log'!$A:$A,$A367,'Error Log'!$F:$F,"Target")</f>
        <v>0</v>
      </c>
      <c r="J367" s="66">
        <f t="shared" si="5"/>
        <v>0</v>
      </c>
    </row>
    <row r="368" spans="1:10">
      <c r="A368" s="76"/>
      <c r="B368" s="65" t="str">
        <f>IF(ISBLANK(A368),"",INDEX('Error Log'!$A:$J,MATCH('Scores per segment'!$A368,'Error Log'!$A:$A,0),MATCH('Scores per segment'!B$1,'Error Log'!$A$1:$J$1,0)))</f>
        <v/>
      </c>
      <c r="C368" s="65" t="str">
        <f>IF(ISBLANK(A368),"",INDEX('Error Log'!$A:$J,MATCH('Scores per segment'!$A368,'Error Log'!$A:$A,0),MATCH('Scores per segment'!C$1,'Error Log'!$A$1:$J$1,0)))</f>
        <v/>
      </c>
      <c r="D368" s="65">
        <f>IF(H368=0,wdct(TRIM(C368)),0)</f>
        <v>0</v>
      </c>
      <c r="E368" s="65">
        <f>COUNTIFS('Error Log'!$A:$A,$A368,'Error Log'!$J:$J,E$1)</f>
        <v>0</v>
      </c>
      <c r="F368" s="65">
        <f>COUNTIFS('Error Log'!$A:$A,$A368,'Error Log'!$J:$J,F$1)</f>
        <v>0</v>
      </c>
      <c r="G368" s="65">
        <f>COUNTIFS('Error Log'!$A:$A,$A368,'Error Log'!$J:$J,G$1)</f>
        <v>0</v>
      </c>
      <c r="H368" s="65">
        <f>COUNTIFS('Error Log'!$A:$A,$A368,'Error Log'!$F:$F,"Source")</f>
        <v>0</v>
      </c>
      <c r="I368" s="65">
        <f>COUNTIFS('Error Log'!$A:$A,$A368,'Error Log'!$F:$F,"Target")</f>
        <v>0</v>
      </c>
      <c r="J368" s="66">
        <f t="shared" si="5"/>
        <v>0</v>
      </c>
    </row>
    <row r="369" spans="1:10">
      <c r="A369" s="76"/>
      <c r="B369" s="65" t="str">
        <f>IF(ISBLANK(A369),"",INDEX('Error Log'!$A:$J,MATCH('Scores per segment'!$A369,'Error Log'!$A:$A,0),MATCH('Scores per segment'!B$1,'Error Log'!$A$1:$J$1,0)))</f>
        <v/>
      </c>
      <c r="C369" s="65" t="str">
        <f>IF(ISBLANK(A369),"",INDEX('Error Log'!$A:$J,MATCH('Scores per segment'!$A369,'Error Log'!$A:$A,0),MATCH('Scores per segment'!C$1,'Error Log'!$A$1:$J$1,0)))</f>
        <v/>
      </c>
      <c r="D369" s="65">
        <f>IF(H369=0,wdct(TRIM(C369)),0)</f>
        <v>0</v>
      </c>
      <c r="E369" s="65">
        <f>COUNTIFS('Error Log'!$A:$A,$A369,'Error Log'!$J:$J,E$1)</f>
        <v>0</v>
      </c>
      <c r="F369" s="65">
        <f>COUNTIFS('Error Log'!$A:$A,$A369,'Error Log'!$J:$J,F$1)</f>
        <v>0</v>
      </c>
      <c r="G369" s="65">
        <f>COUNTIFS('Error Log'!$A:$A,$A369,'Error Log'!$J:$J,G$1)</f>
        <v>0</v>
      </c>
      <c r="H369" s="65">
        <f>COUNTIFS('Error Log'!$A:$A,$A369,'Error Log'!$F:$F,"Source")</f>
        <v>0</v>
      </c>
      <c r="I369" s="65">
        <f>COUNTIFS('Error Log'!$A:$A,$A369,'Error Log'!$F:$F,"Target")</f>
        <v>0</v>
      </c>
      <c r="J369" s="66">
        <f t="shared" si="5"/>
        <v>0</v>
      </c>
    </row>
    <row r="370" spans="1:10">
      <c r="A370" s="76"/>
      <c r="B370" s="65" t="str">
        <f>IF(ISBLANK(A370),"",INDEX('Error Log'!$A:$J,MATCH('Scores per segment'!$A370,'Error Log'!$A:$A,0),MATCH('Scores per segment'!B$1,'Error Log'!$A$1:$J$1,0)))</f>
        <v/>
      </c>
      <c r="C370" s="65" t="str">
        <f>IF(ISBLANK(A370),"",INDEX('Error Log'!$A:$J,MATCH('Scores per segment'!$A370,'Error Log'!$A:$A,0),MATCH('Scores per segment'!C$1,'Error Log'!$A$1:$J$1,0)))</f>
        <v/>
      </c>
      <c r="D370" s="65">
        <f>IF(H370=0,wdct(TRIM(C370)),0)</f>
        <v>0</v>
      </c>
      <c r="E370" s="65">
        <f>COUNTIFS('Error Log'!$A:$A,$A370,'Error Log'!$J:$J,E$1)</f>
        <v>0</v>
      </c>
      <c r="F370" s="65">
        <f>COUNTIFS('Error Log'!$A:$A,$A370,'Error Log'!$J:$J,F$1)</f>
        <v>0</v>
      </c>
      <c r="G370" s="65">
        <f>COUNTIFS('Error Log'!$A:$A,$A370,'Error Log'!$J:$J,G$1)</f>
        <v>0</v>
      </c>
      <c r="H370" s="65">
        <f>COUNTIFS('Error Log'!$A:$A,$A370,'Error Log'!$F:$F,"Source")</f>
        <v>0</v>
      </c>
      <c r="I370" s="65">
        <f>COUNTIFS('Error Log'!$A:$A,$A370,'Error Log'!$F:$F,"Target")</f>
        <v>0</v>
      </c>
      <c r="J370" s="66">
        <f t="shared" si="5"/>
        <v>0</v>
      </c>
    </row>
    <row r="371" spans="1:10">
      <c r="A371" s="76"/>
      <c r="B371" s="65" t="str">
        <f>IF(ISBLANK(A371),"",INDEX('Error Log'!$A:$J,MATCH('Scores per segment'!$A371,'Error Log'!$A:$A,0),MATCH('Scores per segment'!B$1,'Error Log'!$A$1:$J$1,0)))</f>
        <v/>
      </c>
      <c r="C371" s="65" t="str">
        <f>IF(ISBLANK(A371),"",INDEX('Error Log'!$A:$J,MATCH('Scores per segment'!$A371,'Error Log'!$A:$A,0),MATCH('Scores per segment'!C$1,'Error Log'!$A$1:$J$1,0)))</f>
        <v/>
      </c>
      <c r="D371" s="65">
        <f>IF(H371=0,wdct(TRIM(C371)),0)</f>
        <v>0</v>
      </c>
      <c r="E371" s="65">
        <f>COUNTIFS('Error Log'!$A:$A,$A371,'Error Log'!$J:$J,E$1)</f>
        <v>0</v>
      </c>
      <c r="F371" s="65">
        <f>COUNTIFS('Error Log'!$A:$A,$A371,'Error Log'!$J:$J,F$1)</f>
        <v>0</v>
      </c>
      <c r="G371" s="65">
        <f>COUNTIFS('Error Log'!$A:$A,$A371,'Error Log'!$J:$J,G$1)</f>
        <v>0</v>
      </c>
      <c r="H371" s="65">
        <f>COUNTIFS('Error Log'!$A:$A,$A371,'Error Log'!$F:$F,"Source")</f>
        <v>0</v>
      </c>
      <c r="I371" s="65">
        <f>COUNTIFS('Error Log'!$A:$A,$A371,'Error Log'!$F:$F,"Target")</f>
        <v>0</v>
      </c>
      <c r="J371" s="66">
        <f t="shared" si="5"/>
        <v>0</v>
      </c>
    </row>
    <row r="372" spans="1:10">
      <c r="A372" s="76"/>
      <c r="B372" s="65" t="str">
        <f>IF(ISBLANK(A372),"",INDEX('Error Log'!$A:$J,MATCH('Scores per segment'!$A372,'Error Log'!$A:$A,0),MATCH('Scores per segment'!B$1,'Error Log'!$A$1:$J$1,0)))</f>
        <v/>
      </c>
      <c r="C372" s="65" t="str">
        <f>IF(ISBLANK(A372),"",INDEX('Error Log'!$A:$J,MATCH('Scores per segment'!$A372,'Error Log'!$A:$A,0),MATCH('Scores per segment'!C$1,'Error Log'!$A$1:$J$1,0)))</f>
        <v/>
      </c>
      <c r="D372" s="65">
        <f>IF(H372=0,wdct(TRIM(C372)),0)</f>
        <v>0</v>
      </c>
      <c r="E372" s="65">
        <f>COUNTIFS('Error Log'!$A:$A,$A372,'Error Log'!$J:$J,E$1)</f>
        <v>0</v>
      </c>
      <c r="F372" s="65">
        <f>COUNTIFS('Error Log'!$A:$A,$A372,'Error Log'!$J:$J,F$1)</f>
        <v>0</v>
      </c>
      <c r="G372" s="65">
        <f>COUNTIFS('Error Log'!$A:$A,$A372,'Error Log'!$J:$J,G$1)</f>
        <v>0</v>
      </c>
      <c r="H372" s="65">
        <f>COUNTIFS('Error Log'!$A:$A,$A372,'Error Log'!$F:$F,"Source")</f>
        <v>0</v>
      </c>
      <c r="I372" s="65">
        <f>COUNTIFS('Error Log'!$A:$A,$A372,'Error Log'!$F:$F,"Target")</f>
        <v>0</v>
      </c>
      <c r="J372" s="66">
        <f t="shared" si="5"/>
        <v>0</v>
      </c>
    </row>
    <row r="373" spans="1:10">
      <c r="A373" s="76"/>
      <c r="B373" s="65" t="str">
        <f>IF(ISBLANK(A373),"",INDEX('Error Log'!$A:$J,MATCH('Scores per segment'!$A373,'Error Log'!$A:$A,0),MATCH('Scores per segment'!B$1,'Error Log'!$A$1:$J$1,0)))</f>
        <v/>
      </c>
      <c r="C373" s="65" t="str">
        <f>IF(ISBLANK(A373),"",INDEX('Error Log'!$A:$J,MATCH('Scores per segment'!$A373,'Error Log'!$A:$A,0),MATCH('Scores per segment'!C$1,'Error Log'!$A$1:$J$1,0)))</f>
        <v/>
      </c>
      <c r="D373" s="65">
        <f>IF(H373=0,wdct(TRIM(C373)),0)</f>
        <v>0</v>
      </c>
      <c r="E373" s="65">
        <f>COUNTIFS('Error Log'!$A:$A,$A373,'Error Log'!$J:$J,E$1)</f>
        <v>0</v>
      </c>
      <c r="F373" s="65">
        <f>COUNTIFS('Error Log'!$A:$A,$A373,'Error Log'!$J:$J,F$1)</f>
        <v>0</v>
      </c>
      <c r="G373" s="65">
        <f>COUNTIFS('Error Log'!$A:$A,$A373,'Error Log'!$J:$J,G$1)</f>
        <v>0</v>
      </c>
      <c r="H373" s="65">
        <f>COUNTIFS('Error Log'!$A:$A,$A373,'Error Log'!$F:$F,"Source")</f>
        <v>0</v>
      </c>
      <c r="I373" s="65">
        <f>COUNTIFS('Error Log'!$A:$A,$A373,'Error Log'!$F:$F,"Target")</f>
        <v>0</v>
      </c>
      <c r="J373" s="66">
        <f t="shared" si="5"/>
        <v>0</v>
      </c>
    </row>
    <row r="374" spans="1:10">
      <c r="A374" s="76"/>
      <c r="B374" s="65" t="str">
        <f>IF(ISBLANK(A374),"",INDEX('Error Log'!$A:$J,MATCH('Scores per segment'!$A374,'Error Log'!$A:$A,0),MATCH('Scores per segment'!B$1,'Error Log'!$A$1:$J$1,0)))</f>
        <v/>
      </c>
      <c r="C374" s="65" t="str">
        <f>IF(ISBLANK(A374),"",INDEX('Error Log'!$A:$J,MATCH('Scores per segment'!$A374,'Error Log'!$A:$A,0),MATCH('Scores per segment'!C$1,'Error Log'!$A$1:$J$1,0)))</f>
        <v/>
      </c>
      <c r="D374" s="65">
        <f>IF(H374=0,wdct(TRIM(C374)),0)</f>
        <v>0</v>
      </c>
      <c r="E374" s="65">
        <f>COUNTIFS('Error Log'!$A:$A,$A374,'Error Log'!$J:$J,E$1)</f>
        <v>0</v>
      </c>
      <c r="F374" s="65">
        <f>COUNTIFS('Error Log'!$A:$A,$A374,'Error Log'!$J:$J,F$1)</f>
        <v>0</v>
      </c>
      <c r="G374" s="65">
        <f>COUNTIFS('Error Log'!$A:$A,$A374,'Error Log'!$J:$J,G$1)</f>
        <v>0</v>
      </c>
      <c r="H374" s="65">
        <f>COUNTIFS('Error Log'!$A:$A,$A374,'Error Log'!$F:$F,"Source")</f>
        <v>0</v>
      </c>
      <c r="I374" s="65">
        <f>COUNTIFS('Error Log'!$A:$A,$A374,'Error Log'!$F:$F,"Target")</f>
        <v>0</v>
      </c>
      <c r="J374" s="66">
        <f t="shared" si="5"/>
        <v>0</v>
      </c>
    </row>
    <row r="375" spans="1:10">
      <c r="A375" s="76"/>
      <c r="B375" s="65" t="str">
        <f>IF(ISBLANK(A375),"",INDEX('Error Log'!$A:$J,MATCH('Scores per segment'!$A375,'Error Log'!$A:$A,0),MATCH('Scores per segment'!B$1,'Error Log'!$A$1:$J$1,0)))</f>
        <v/>
      </c>
      <c r="C375" s="65" t="str">
        <f>IF(ISBLANK(A375),"",INDEX('Error Log'!$A:$J,MATCH('Scores per segment'!$A375,'Error Log'!$A:$A,0),MATCH('Scores per segment'!C$1,'Error Log'!$A$1:$J$1,0)))</f>
        <v/>
      </c>
      <c r="D375" s="65">
        <f>IF(H375=0,wdct(TRIM(C375)),0)</f>
        <v>0</v>
      </c>
      <c r="E375" s="65">
        <f>COUNTIFS('Error Log'!$A:$A,$A375,'Error Log'!$J:$J,E$1)</f>
        <v>0</v>
      </c>
      <c r="F375" s="65">
        <f>COUNTIFS('Error Log'!$A:$A,$A375,'Error Log'!$J:$J,F$1)</f>
        <v>0</v>
      </c>
      <c r="G375" s="65">
        <f>COUNTIFS('Error Log'!$A:$A,$A375,'Error Log'!$J:$J,G$1)</f>
        <v>0</v>
      </c>
      <c r="H375" s="65">
        <f>COUNTIFS('Error Log'!$A:$A,$A375,'Error Log'!$F:$F,"Source")</f>
        <v>0</v>
      </c>
      <c r="I375" s="65">
        <f>COUNTIFS('Error Log'!$A:$A,$A375,'Error Log'!$F:$F,"Target")</f>
        <v>0</v>
      </c>
      <c r="J375" s="66">
        <f t="shared" si="5"/>
        <v>0</v>
      </c>
    </row>
    <row r="376" spans="1:10">
      <c r="A376" s="76"/>
      <c r="B376" s="65" t="str">
        <f>IF(ISBLANK(A376),"",INDEX('Error Log'!$A:$J,MATCH('Scores per segment'!$A376,'Error Log'!$A:$A,0),MATCH('Scores per segment'!B$1,'Error Log'!$A$1:$J$1,0)))</f>
        <v/>
      </c>
      <c r="C376" s="65" t="str">
        <f>IF(ISBLANK(A376),"",INDEX('Error Log'!$A:$J,MATCH('Scores per segment'!$A376,'Error Log'!$A:$A,0),MATCH('Scores per segment'!C$1,'Error Log'!$A$1:$J$1,0)))</f>
        <v/>
      </c>
      <c r="D376" s="65">
        <f>IF(H376=0,wdct(TRIM(C376)),0)</f>
        <v>0</v>
      </c>
      <c r="E376" s="65">
        <f>COUNTIFS('Error Log'!$A:$A,$A376,'Error Log'!$J:$J,E$1)</f>
        <v>0</v>
      </c>
      <c r="F376" s="65">
        <f>COUNTIFS('Error Log'!$A:$A,$A376,'Error Log'!$J:$J,F$1)</f>
        <v>0</v>
      </c>
      <c r="G376" s="65">
        <f>COUNTIFS('Error Log'!$A:$A,$A376,'Error Log'!$J:$J,G$1)</f>
        <v>0</v>
      </c>
      <c r="H376" s="65">
        <f>COUNTIFS('Error Log'!$A:$A,$A376,'Error Log'!$F:$F,"Source")</f>
        <v>0</v>
      </c>
      <c r="I376" s="65">
        <f>COUNTIFS('Error Log'!$A:$A,$A376,'Error Log'!$F:$F,"Target")</f>
        <v>0</v>
      </c>
      <c r="J376" s="66">
        <f t="shared" si="5"/>
        <v>0</v>
      </c>
    </row>
    <row r="377" spans="1:10">
      <c r="A377" s="76"/>
      <c r="B377" s="65" t="str">
        <f>IF(ISBLANK(A377),"",INDEX('Error Log'!$A:$J,MATCH('Scores per segment'!$A377,'Error Log'!$A:$A,0),MATCH('Scores per segment'!B$1,'Error Log'!$A$1:$J$1,0)))</f>
        <v/>
      </c>
      <c r="C377" s="65" t="str">
        <f>IF(ISBLANK(A377),"",INDEX('Error Log'!$A:$J,MATCH('Scores per segment'!$A377,'Error Log'!$A:$A,0),MATCH('Scores per segment'!C$1,'Error Log'!$A$1:$J$1,0)))</f>
        <v/>
      </c>
      <c r="D377" s="65">
        <f>IF(H377=0,wdct(TRIM(C377)),0)</f>
        <v>0</v>
      </c>
      <c r="E377" s="65">
        <f>COUNTIFS('Error Log'!$A:$A,$A377,'Error Log'!$J:$J,E$1)</f>
        <v>0</v>
      </c>
      <c r="F377" s="65">
        <f>COUNTIFS('Error Log'!$A:$A,$A377,'Error Log'!$J:$J,F$1)</f>
        <v>0</v>
      </c>
      <c r="G377" s="65">
        <f>COUNTIFS('Error Log'!$A:$A,$A377,'Error Log'!$J:$J,G$1)</f>
        <v>0</v>
      </c>
      <c r="H377" s="65">
        <f>COUNTIFS('Error Log'!$A:$A,$A377,'Error Log'!$F:$F,"Source")</f>
        <v>0</v>
      </c>
      <c r="I377" s="65">
        <f>COUNTIFS('Error Log'!$A:$A,$A377,'Error Log'!$F:$F,"Target")</f>
        <v>0</v>
      </c>
      <c r="J377" s="66">
        <f t="shared" si="5"/>
        <v>0</v>
      </c>
    </row>
    <row r="378" spans="1:10">
      <c r="A378" s="76"/>
      <c r="B378" s="65" t="str">
        <f>IF(ISBLANK(A378),"",INDEX('Error Log'!$A:$J,MATCH('Scores per segment'!$A378,'Error Log'!$A:$A,0),MATCH('Scores per segment'!B$1,'Error Log'!$A$1:$J$1,0)))</f>
        <v/>
      </c>
      <c r="C378" s="65" t="str">
        <f>IF(ISBLANK(A378),"",INDEX('Error Log'!$A:$J,MATCH('Scores per segment'!$A378,'Error Log'!$A:$A,0),MATCH('Scores per segment'!C$1,'Error Log'!$A$1:$J$1,0)))</f>
        <v/>
      </c>
      <c r="D378" s="65">
        <f>IF(H378=0,wdct(TRIM(C378)),0)</f>
        <v>0</v>
      </c>
      <c r="E378" s="65">
        <f>COUNTIFS('Error Log'!$A:$A,$A378,'Error Log'!$J:$J,E$1)</f>
        <v>0</v>
      </c>
      <c r="F378" s="65">
        <f>COUNTIFS('Error Log'!$A:$A,$A378,'Error Log'!$J:$J,F$1)</f>
        <v>0</v>
      </c>
      <c r="G378" s="65">
        <f>COUNTIFS('Error Log'!$A:$A,$A378,'Error Log'!$J:$J,G$1)</f>
        <v>0</v>
      </c>
      <c r="H378" s="65">
        <f>COUNTIFS('Error Log'!$A:$A,$A378,'Error Log'!$F:$F,"Source")</f>
        <v>0</v>
      </c>
      <c r="I378" s="65">
        <f>COUNTIFS('Error Log'!$A:$A,$A378,'Error Log'!$F:$F,"Target")</f>
        <v>0</v>
      </c>
      <c r="J378" s="66">
        <f t="shared" si="5"/>
        <v>0</v>
      </c>
    </row>
    <row r="379" spans="1:10">
      <c r="A379" s="76"/>
      <c r="B379" s="65" t="str">
        <f>IF(ISBLANK(A379),"",INDEX('Error Log'!$A:$J,MATCH('Scores per segment'!$A379,'Error Log'!$A:$A,0),MATCH('Scores per segment'!B$1,'Error Log'!$A$1:$J$1,0)))</f>
        <v/>
      </c>
      <c r="C379" s="65" t="str">
        <f>IF(ISBLANK(A379),"",INDEX('Error Log'!$A:$J,MATCH('Scores per segment'!$A379,'Error Log'!$A:$A,0),MATCH('Scores per segment'!C$1,'Error Log'!$A$1:$J$1,0)))</f>
        <v/>
      </c>
      <c r="D379" s="65">
        <f>IF(H379=0,wdct(TRIM(C379)),0)</f>
        <v>0</v>
      </c>
      <c r="E379" s="65">
        <f>COUNTIFS('Error Log'!$A:$A,$A379,'Error Log'!$J:$J,E$1)</f>
        <v>0</v>
      </c>
      <c r="F379" s="65">
        <f>COUNTIFS('Error Log'!$A:$A,$A379,'Error Log'!$J:$J,F$1)</f>
        <v>0</v>
      </c>
      <c r="G379" s="65">
        <f>COUNTIFS('Error Log'!$A:$A,$A379,'Error Log'!$J:$J,G$1)</f>
        <v>0</v>
      </c>
      <c r="H379" s="65">
        <f>COUNTIFS('Error Log'!$A:$A,$A379,'Error Log'!$F:$F,"Source")</f>
        <v>0</v>
      </c>
      <c r="I379" s="65">
        <f>COUNTIFS('Error Log'!$A:$A,$A379,'Error Log'!$F:$F,"Target")</f>
        <v>0</v>
      </c>
      <c r="J379" s="66">
        <f t="shared" si="5"/>
        <v>0</v>
      </c>
    </row>
    <row r="380" spans="1:10">
      <c r="A380" s="76"/>
      <c r="B380" s="65" t="str">
        <f>IF(ISBLANK(A380),"",INDEX('Error Log'!$A:$J,MATCH('Scores per segment'!$A380,'Error Log'!$A:$A,0),MATCH('Scores per segment'!B$1,'Error Log'!$A$1:$J$1,0)))</f>
        <v/>
      </c>
      <c r="C380" s="65" t="str">
        <f>IF(ISBLANK(A380),"",INDEX('Error Log'!$A:$J,MATCH('Scores per segment'!$A380,'Error Log'!$A:$A,0),MATCH('Scores per segment'!C$1,'Error Log'!$A$1:$J$1,0)))</f>
        <v/>
      </c>
      <c r="D380" s="65">
        <f>IF(H380=0,wdct(TRIM(C380)),0)</f>
        <v>0</v>
      </c>
      <c r="E380" s="65">
        <f>COUNTIFS('Error Log'!$A:$A,$A380,'Error Log'!$J:$J,E$1)</f>
        <v>0</v>
      </c>
      <c r="F380" s="65">
        <f>COUNTIFS('Error Log'!$A:$A,$A380,'Error Log'!$J:$J,F$1)</f>
        <v>0</v>
      </c>
      <c r="G380" s="65">
        <f>COUNTIFS('Error Log'!$A:$A,$A380,'Error Log'!$J:$J,G$1)</f>
        <v>0</v>
      </c>
      <c r="H380" s="65">
        <f>COUNTIFS('Error Log'!$A:$A,$A380,'Error Log'!$F:$F,"Source")</f>
        <v>0</v>
      </c>
      <c r="I380" s="65">
        <f>COUNTIFS('Error Log'!$A:$A,$A380,'Error Log'!$F:$F,"Target")</f>
        <v>0</v>
      </c>
      <c r="J380" s="66">
        <f t="shared" si="5"/>
        <v>0</v>
      </c>
    </row>
    <row r="381" spans="1:10">
      <c r="A381" s="76"/>
      <c r="B381" s="65" t="str">
        <f>IF(ISBLANK(A381),"",INDEX('Error Log'!$A:$J,MATCH('Scores per segment'!$A381,'Error Log'!$A:$A,0),MATCH('Scores per segment'!B$1,'Error Log'!$A$1:$J$1,0)))</f>
        <v/>
      </c>
      <c r="C381" s="65" t="str">
        <f>IF(ISBLANK(A381),"",INDEX('Error Log'!$A:$J,MATCH('Scores per segment'!$A381,'Error Log'!$A:$A,0),MATCH('Scores per segment'!C$1,'Error Log'!$A$1:$J$1,0)))</f>
        <v/>
      </c>
      <c r="D381" s="65">
        <f>IF(H381=0,wdct(TRIM(C381)),0)</f>
        <v>0</v>
      </c>
      <c r="E381" s="65">
        <f>COUNTIFS('Error Log'!$A:$A,$A381,'Error Log'!$J:$J,E$1)</f>
        <v>0</v>
      </c>
      <c r="F381" s="65">
        <f>COUNTIFS('Error Log'!$A:$A,$A381,'Error Log'!$J:$J,F$1)</f>
        <v>0</v>
      </c>
      <c r="G381" s="65">
        <f>COUNTIFS('Error Log'!$A:$A,$A381,'Error Log'!$J:$J,G$1)</f>
        <v>0</v>
      </c>
      <c r="H381" s="65">
        <f>COUNTIFS('Error Log'!$A:$A,$A381,'Error Log'!$F:$F,"Source")</f>
        <v>0</v>
      </c>
      <c r="I381" s="65">
        <f>COUNTIFS('Error Log'!$A:$A,$A381,'Error Log'!$F:$F,"Target")</f>
        <v>0</v>
      </c>
      <c r="J381" s="66">
        <f t="shared" si="5"/>
        <v>0</v>
      </c>
    </row>
    <row r="382" spans="1:10">
      <c r="A382" s="76"/>
      <c r="B382" s="65" t="str">
        <f>IF(ISBLANK(A382),"",INDEX('Error Log'!$A:$J,MATCH('Scores per segment'!$A382,'Error Log'!$A:$A,0),MATCH('Scores per segment'!B$1,'Error Log'!$A$1:$J$1,0)))</f>
        <v/>
      </c>
      <c r="C382" s="65" t="str">
        <f>IF(ISBLANK(A382),"",INDEX('Error Log'!$A:$J,MATCH('Scores per segment'!$A382,'Error Log'!$A:$A,0),MATCH('Scores per segment'!C$1,'Error Log'!$A$1:$J$1,0)))</f>
        <v/>
      </c>
      <c r="D382" s="65">
        <f>IF(H382=0,wdct(TRIM(C382)),0)</f>
        <v>0</v>
      </c>
      <c r="E382" s="65">
        <f>COUNTIFS('Error Log'!$A:$A,$A382,'Error Log'!$J:$J,E$1)</f>
        <v>0</v>
      </c>
      <c r="F382" s="65">
        <f>COUNTIFS('Error Log'!$A:$A,$A382,'Error Log'!$J:$J,F$1)</f>
        <v>0</v>
      </c>
      <c r="G382" s="65">
        <f>COUNTIFS('Error Log'!$A:$A,$A382,'Error Log'!$J:$J,G$1)</f>
        <v>0</v>
      </c>
      <c r="H382" s="65">
        <f>COUNTIFS('Error Log'!$A:$A,$A382,'Error Log'!$F:$F,"Source")</f>
        <v>0</v>
      </c>
      <c r="I382" s="65">
        <f>COUNTIFS('Error Log'!$A:$A,$A382,'Error Log'!$F:$F,"Target")</f>
        <v>0</v>
      </c>
      <c r="J382" s="66">
        <f t="shared" si="5"/>
        <v>0</v>
      </c>
    </row>
    <row r="383" spans="1:10">
      <c r="A383" s="76"/>
      <c r="B383" s="65" t="str">
        <f>IF(ISBLANK(A383),"",INDEX('Error Log'!$A:$J,MATCH('Scores per segment'!$A383,'Error Log'!$A:$A,0),MATCH('Scores per segment'!B$1,'Error Log'!$A$1:$J$1,0)))</f>
        <v/>
      </c>
      <c r="C383" s="65" t="str">
        <f>IF(ISBLANK(A383),"",INDEX('Error Log'!$A:$J,MATCH('Scores per segment'!$A383,'Error Log'!$A:$A,0),MATCH('Scores per segment'!C$1,'Error Log'!$A$1:$J$1,0)))</f>
        <v/>
      </c>
      <c r="D383" s="65">
        <f>IF(H383=0,wdct(TRIM(C383)),0)</f>
        <v>0</v>
      </c>
      <c r="E383" s="65">
        <f>COUNTIFS('Error Log'!$A:$A,$A383,'Error Log'!$J:$J,E$1)</f>
        <v>0</v>
      </c>
      <c r="F383" s="65">
        <f>COUNTIFS('Error Log'!$A:$A,$A383,'Error Log'!$J:$J,F$1)</f>
        <v>0</v>
      </c>
      <c r="G383" s="65">
        <f>COUNTIFS('Error Log'!$A:$A,$A383,'Error Log'!$J:$J,G$1)</f>
        <v>0</v>
      </c>
      <c r="H383" s="65">
        <f>COUNTIFS('Error Log'!$A:$A,$A383,'Error Log'!$F:$F,"Source")</f>
        <v>0</v>
      </c>
      <c r="I383" s="65">
        <f>COUNTIFS('Error Log'!$A:$A,$A383,'Error Log'!$F:$F,"Target")</f>
        <v>0</v>
      </c>
      <c r="J383" s="66">
        <f t="shared" si="5"/>
        <v>0</v>
      </c>
    </row>
    <row r="384" spans="1:10">
      <c r="A384" s="76"/>
      <c r="B384" s="65" t="str">
        <f>IF(ISBLANK(A384),"",INDEX('Error Log'!$A:$J,MATCH('Scores per segment'!$A384,'Error Log'!$A:$A,0),MATCH('Scores per segment'!B$1,'Error Log'!$A$1:$J$1,0)))</f>
        <v/>
      </c>
      <c r="C384" s="65" t="str">
        <f>IF(ISBLANK(A384),"",INDEX('Error Log'!$A:$J,MATCH('Scores per segment'!$A384,'Error Log'!$A:$A,0),MATCH('Scores per segment'!C$1,'Error Log'!$A$1:$J$1,0)))</f>
        <v/>
      </c>
      <c r="D384" s="65">
        <f>IF(H384=0,wdct(TRIM(C384)),0)</f>
        <v>0</v>
      </c>
      <c r="E384" s="65">
        <f>COUNTIFS('Error Log'!$A:$A,$A384,'Error Log'!$J:$J,E$1)</f>
        <v>0</v>
      </c>
      <c r="F384" s="65">
        <f>COUNTIFS('Error Log'!$A:$A,$A384,'Error Log'!$J:$J,F$1)</f>
        <v>0</v>
      </c>
      <c r="G384" s="65">
        <f>COUNTIFS('Error Log'!$A:$A,$A384,'Error Log'!$J:$J,G$1)</f>
        <v>0</v>
      </c>
      <c r="H384" s="65">
        <f>COUNTIFS('Error Log'!$A:$A,$A384,'Error Log'!$F:$F,"Source")</f>
        <v>0</v>
      </c>
      <c r="I384" s="65">
        <f>COUNTIFS('Error Log'!$A:$A,$A384,'Error Log'!$F:$F,"Target")</f>
        <v>0</v>
      </c>
      <c r="J384" s="66">
        <f t="shared" si="5"/>
        <v>0</v>
      </c>
    </row>
    <row r="385" spans="1:10">
      <c r="A385" s="76"/>
      <c r="B385" s="65" t="str">
        <f>IF(ISBLANK(A385),"",INDEX('Error Log'!$A:$J,MATCH('Scores per segment'!$A385,'Error Log'!$A:$A,0),MATCH('Scores per segment'!B$1,'Error Log'!$A$1:$J$1,0)))</f>
        <v/>
      </c>
      <c r="C385" s="65" t="str">
        <f>IF(ISBLANK(A385),"",INDEX('Error Log'!$A:$J,MATCH('Scores per segment'!$A385,'Error Log'!$A:$A,0),MATCH('Scores per segment'!C$1,'Error Log'!$A$1:$J$1,0)))</f>
        <v/>
      </c>
      <c r="D385" s="65">
        <f>IF(H385=0,wdct(TRIM(C385)),0)</f>
        <v>0</v>
      </c>
      <c r="E385" s="65">
        <f>COUNTIFS('Error Log'!$A:$A,$A385,'Error Log'!$J:$J,E$1)</f>
        <v>0</v>
      </c>
      <c r="F385" s="65">
        <f>COUNTIFS('Error Log'!$A:$A,$A385,'Error Log'!$J:$J,F$1)</f>
        <v>0</v>
      </c>
      <c r="G385" s="65">
        <f>COUNTIFS('Error Log'!$A:$A,$A385,'Error Log'!$J:$J,G$1)</f>
        <v>0</v>
      </c>
      <c r="H385" s="65">
        <f>COUNTIFS('Error Log'!$A:$A,$A385,'Error Log'!$F:$F,"Source")</f>
        <v>0</v>
      </c>
      <c r="I385" s="65">
        <f>COUNTIFS('Error Log'!$A:$A,$A385,'Error Log'!$F:$F,"Target")</f>
        <v>0</v>
      </c>
      <c r="J385" s="66">
        <f t="shared" si="5"/>
        <v>0</v>
      </c>
    </row>
    <row r="386" spans="1:10">
      <c r="A386" s="76"/>
      <c r="B386" s="65" t="str">
        <f>IF(ISBLANK(A386),"",INDEX('Error Log'!$A:$J,MATCH('Scores per segment'!$A386,'Error Log'!$A:$A,0),MATCH('Scores per segment'!B$1,'Error Log'!$A$1:$J$1,0)))</f>
        <v/>
      </c>
      <c r="C386" s="65" t="str">
        <f>IF(ISBLANK(A386),"",INDEX('Error Log'!$A:$J,MATCH('Scores per segment'!$A386,'Error Log'!$A:$A,0),MATCH('Scores per segment'!C$1,'Error Log'!$A$1:$J$1,0)))</f>
        <v/>
      </c>
      <c r="D386" s="65">
        <f>IF(H386=0,wdct(TRIM(C386)),0)</f>
        <v>0</v>
      </c>
      <c r="E386" s="65">
        <f>COUNTIFS('Error Log'!$A:$A,$A386,'Error Log'!$J:$J,E$1)</f>
        <v>0</v>
      </c>
      <c r="F386" s="65">
        <f>COUNTIFS('Error Log'!$A:$A,$A386,'Error Log'!$J:$J,F$1)</f>
        <v>0</v>
      </c>
      <c r="G386" s="65">
        <f>COUNTIFS('Error Log'!$A:$A,$A386,'Error Log'!$J:$J,G$1)</f>
        <v>0</v>
      </c>
      <c r="H386" s="65">
        <f>COUNTIFS('Error Log'!$A:$A,$A386,'Error Log'!$F:$F,"Source")</f>
        <v>0</v>
      </c>
      <c r="I386" s="65">
        <f>COUNTIFS('Error Log'!$A:$A,$A386,'Error Log'!$F:$F,"Target")</f>
        <v>0</v>
      </c>
      <c r="J386" s="66">
        <f t="shared" ref="J386:J449" si="6">IF(I386=0,IFERROR((((1-((E386*10+F386*5+G386*1)/D386))*100)+100)/2,0),-150)</f>
        <v>0</v>
      </c>
    </row>
    <row r="387" spans="1:10">
      <c r="A387" s="76"/>
      <c r="B387" s="65" t="str">
        <f>IF(ISBLANK(A387),"",INDEX('Error Log'!$A:$J,MATCH('Scores per segment'!$A387,'Error Log'!$A:$A,0),MATCH('Scores per segment'!B$1,'Error Log'!$A$1:$J$1,0)))</f>
        <v/>
      </c>
      <c r="C387" s="65" t="str">
        <f>IF(ISBLANK(A387),"",INDEX('Error Log'!$A:$J,MATCH('Scores per segment'!$A387,'Error Log'!$A:$A,0),MATCH('Scores per segment'!C$1,'Error Log'!$A$1:$J$1,0)))</f>
        <v/>
      </c>
      <c r="D387" s="65">
        <f>IF(H387=0,wdct(TRIM(C387)),0)</f>
        <v>0</v>
      </c>
      <c r="E387" s="65">
        <f>COUNTIFS('Error Log'!$A:$A,$A387,'Error Log'!$J:$J,E$1)</f>
        <v>0</v>
      </c>
      <c r="F387" s="65">
        <f>COUNTIFS('Error Log'!$A:$A,$A387,'Error Log'!$J:$J,F$1)</f>
        <v>0</v>
      </c>
      <c r="G387" s="65">
        <f>COUNTIFS('Error Log'!$A:$A,$A387,'Error Log'!$J:$J,G$1)</f>
        <v>0</v>
      </c>
      <c r="H387" s="65">
        <f>COUNTIFS('Error Log'!$A:$A,$A387,'Error Log'!$F:$F,"Source")</f>
        <v>0</v>
      </c>
      <c r="I387" s="65">
        <f>COUNTIFS('Error Log'!$A:$A,$A387,'Error Log'!$F:$F,"Target")</f>
        <v>0</v>
      </c>
      <c r="J387" s="66">
        <f t="shared" si="6"/>
        <v>0</v>
      </c>
    </row>
    <row r="388" spans="1:10">
      <c r="A388" s="76"/>
      <c r="B388" s="65" t="str">
        <f>IF(ISBLANK(A388),"",INDEX('Error Log'!$A:$J,MATCH('Scores per segment'!$A388,'Error Log'!$A:$A,0),MATCH('Scores per segment'!B$1,'Error Log'!$A$1:$J$1,0)))</f>
        <v/>
      </c>
      <c r="C388" s="65" t="str">
        <f>IF(ISBLANK(A388),"",INDEX('Error Log'!$A:$J,MATCH('Scores per segment'!$A388,'Error Log'!$A:$A,0),MATCH('Scores per segment'!C$1,'Error Log'!$A$1:$J$1,0)))</f>
        <v/>
      </c>
      <c r="D388" s="65">
        <f>IF(H388=0,wdct(TRIM(C388)),0)</f>
        <v>0</v>
      </c>
      <c r="E388" s="65">
        <f>COUNTIFS('Error Log'!$A:$A,$A388,'Error Log'!$J:$J,E$1)</f>
        <v>0</v>
      </c>
      <c r="F388" s="65">
        <f>COUNTIFS('Error Log'!$A:$A,$A388,'Error Log'!$J:$J,F$1)</f>
        <v>0</v>
      </c>
      <c r="G388" s="65">
        <f>COUNTIFS('Error Log'!$A:$A,$A388,'Error Log'!$J:$J,G$1)</f>
        <v>0</v>
      </c>
      <c r="H388" s="65">
        <f>COUNTIFS('Error Log'!$A:$A,$A388,'Error Log'!$F:$F,"Source")</f>
        <v>0</v>
      </c>
      <c r="I388" s="65">
        <f>COUNTIFS('Error Log'!$A:$A,$A388,'Error Log'!$F:$F,"Target")</f>
        <v>0</v>
      </c>
      <c r="J388" s="66">
        <f t="shared" si="6"/>
        <v>0</v>
      </c>
    </row>
    <row r="389" spans="1:10">
      <c r="A389" s="76"/>
      <c r="B389" s="65" t="str">
        <f>IF(ISBLANK(A389),"",INDEX('Error Log'!$A:$J,MATCH('Scores per segment'!$A389,'Error Log'!$A:$A,0),MATCH('Scores per segment'!B$1,'Error Log'!$A$1:$J$1,0)))</f>
        <v/>
      </c>
      <c r="C389" s="65" t="str">
        <f>IF(ISBLANK(A389),"",INDEX('Error Log'!$A:$J,MATCH('Scores per segment'!$A389,'Error Log'!$A:$A,0),MATCH('Scores per segment'!C$1,'Error Log'!$A$1:$J$1,0)))</f>
        <v/>
      </c>
      <c r="D389" s="65">
        <f>IF(H389=0,wdct(TRIM(C389)),0)</f>
        <v>0</v>
      </c>
      <c r="E389" s="65">
        <f>COUNTIFS('Error Log'!$A:$A,$A389,'Error Log'!$J:$J,E$1)</f>
        <v>0</v>
      </c>
      <c r="F389" s="65">
        <f>COUNTIFS('Error Log'!$A:$A,$A389,'Error Log'!$J:$J,F$1)</f>
        <v>0</v>
      </c>
      <c r="G389" s="65">
        <f>COUNTIFS('Error Log'!$A:$A,$A389,'Error Log'!$J:$J,G$1)</f>
        <v>0</v>
      </c>
      <c r="H389" s="65">
        <f>COUNTIFS('Error Log'!$A:$A,$A389,'Error Log'!$F:$F,"Source")</f>
        <v>0</v>
      </c>
      <c r="I389" s="65">
        <f>COUNTIFS('Error Log'!$A:$A,$A389,'Error Log'!$F:$F,"Target")</f>
        <v>0</v>
      </c>
      <c r="J389" s="66">
        <f t="shared" si="6"/>
        <v>0</v>
      </c>
    </row>
    <row r="390" spans="1:10">
      <c r="A390" s="76"/>
      <c r="B390" s="65" t="str">
        <f>IF(ISBLANK(A390),"",INDEX('Error Log'!$A:$J,MATCH('Scores per segment'!$A390,'Error Log'!$A:$A,0),MATCH('Scores per segment'!B$1,'Error Log'!$A$1:$J$1,0)))</f>
        <v/>
      </c>
      <c r="C390" s="65" t="str">
        <f>IF(ISBLANK(A390),"",INDEX('Error Log'!$A:$J,MATCH('Scores per segment'!$A390,'Error Log'!$A:$A,0),MATCH('Scores per segment'!C$1,'Error Log'!$A$1:$J$1,0)))</f>
        <v/>
      </c>
      <c r="D390" s="65">
        <f>IF(H390=0,wdct(TRIM(C390)),0)</f>
        <v>0</v>
      </c>
      <c r="E390" s="65">
        <f>COUNTIFS('Error Log'!$A:$A,$A390,'Error Log'!$J:$J,E$1)</f>
        <v>0</v>
      </c>
      <c r="F390" s="65">
        <f>COUNTIFS('Error Log'!$A:$A,$A390,'Error Log'!$J:$J,F$1)</f>
        <v>0</v>
      </c>
      <c r="G390" s="65">
        <f>COUNTIFS('Error Log'!$A:$A,$A390,'Error Log'!$J:$J,G$1)</f>
        <v>0</v>
      </c>
      <c r="H390" s="65">
        <f>COUNTIFS('Error Log'!$A:$A,$A390,'Error Log'!$F:$F,"Source")</f>
        <v>0</v>
      </c>
      <c r="I390" s="65">
        <f>COUNTIFS('Error Log'!$A:$A,$A390,'Error Log'!$F:$F,"Target")</f>
        <v>0</v>
      </c>
      <c r="J390" s="66">
        <f t="shared" si="6"/>
        <v>0</v>
      </c>
    </row>
    <row r="391" spans="1:10">
      <c r="A391" s="76"/>
      <c r="B391" s="65" t="str">
        <f>IF(ISBLANK(A391),"",INDEX('Error Log'!$A:$J,MATCH('Scores per segment'!$A391,'Error Log'!$A:$A,0),MATCH('Scores per segment'!B$1,'Error Log'!$A$1:$J$1,0)))</f>
        <v/>
      </c>
      <c r="C391" s="65" t="str">
        <f>IF(ISBLANK(A391),"",INDEX('Error Log'!$A:$J,MATCH('Scores per segment'!$A391,'Error Log'!$A:$A,0),MATCH('Scores per segment'!C$1,'Error Log'!$A$1:$J$1,0)))</f>
        <v/>
      </c>
      <c r="D391" s="65">
        <f>IF(H391=0,wdct(TRIM(C391)),0)</f>
        <v>0</v>
      </c>
      <c r="E391" s="65">
        <f>COUNTIFS('Error Log'!$A:$A,$A391,'Error Log'!$J:$J,E$1)</f>
        <v>0</v>
      </c>
      <c r="F391" s="65">
        <f>COUNTIFS('Error Log'!$A:$A,$A391,'Error Log'!$J:$J,F$1)</f>
        <v>0</v>
      </c>
      <c r="G391" s="65">
        <f>COUNTIFS('Error Log'!$A:$A,$A391,'Error Log'!$J:$J,G$1)</f>
        <v>0</v>
      </c>
      <c r="H391" s="65">
        <f>COUNTIFS('Error Log'!$A:$A,$A391,'Error Log'!$F:$F,"Source")</f>
        <v>0</v>
      </c>
      <c r="I391" s="65">
        <f>COUNTIFS('Error Log'!$A:$A,$A391,'Error Log'!$F:$F,"Target")</f>
        <v>0</v>
      </c>
      <c r="J391" s="66">
        <f t="shared" si="6"/>
        <v>0</v>
      </c>
    </row>
    <row r="392" spans="1:10">
      <c r="A392" s="76"/>
      <c r="B392" s="65" t="str">
        <f>IF(ISBLANK(A392),"",INDEX('Error Log'!$A:$J,MATCH('Scores per segment'!$A392,'Error Log'!$A:$A,0),MATCH('Scores per segment'!B$1,'Error Log'!$A$1:$J$1,0)))</f>
        <v/>
      </c>
      <c r="C392" s="65" t="str">
        <f>IF(ISBLANK(A392),"",INDEX('Error Log'!$A:$J,MATCH('Scores per segment'!$A392,'Error Log'!$A:$A,0),MATCH('Scores per segment'!C$1,'Error Log'!$A$1:$J$1,0)))</f>
        <v/>
      </c>
      <c r="D392" s="65">
        <f>IF(H392=0,wdct(TRIM(C392)),0)</f>
        <v>0</v>
      </c>
      <c r="E392" s="65">
        <f>COUNTIFS('Error Log'!$A:$A,$A392,'Error Log'!$J:$J,E$1)</f>
        <v>0</v>
      </c>
      <c r="F392" s="65">
        <f>COUNTIFS('Error Log'!$A:$A,$A392,'Error Log'!$J:$J,F$1)</f>
        <v>0</v>
      </c>
      <c r="G392" s="65">
        <f>COUNTIFS('Error Log'!$A:$A,$A392,'Error Log'!$J:$J,G$1)</f>
        <v>0</v>
      </c>
      <c r="H392" s="65">
        <f>COUNTIFS('Error Log'!$A:$A,$A392,'Error Log'!$F:$F,"Source")</f>
        <v>0</v>
      </c>
      <c r="I392" s="65">
        <f>COUNTIFS('Error Log'!$A:$A,$A392,'Error Log'!$F:$F,"Target")</f>
        <v>0</v>
      </c>
      <c r="J392" s="66">
        <f t="shared" si="6"/>
        <v>0</v>
      </c>
    </row>
    <row r="393" spans="1:10">
      <c r="A393" s="76"/>
      <c r="B393" s="65" t="str">
        <f>IF(ISBLANK(A393),"",INDEX('Error Log'!$A:$J,MATCH('Scores per segment'!$A393,'Error Log'!$A:$A,0),MATCH('Scores per segment'!B$1,'Error Log'!$A$1:$J$1,0)))</f>
        <v/>
      </c>
      <c r="C393" s="65" t="str">
        <f>IF(ISBLANK(A393),"",INDEX('Error Log'!$A:$J,MATCH('Scores per segment'!$A393,'Error Log'!$A:$A,0),MATCH('Scores per segment'!C$1,'Error Log'!$A$1:$J$1,0)))</f>
        <v/>
      </c>
      <c r="D393" s="65">
        <f>IF(H393=0,wdct(TRIM(C393)),0)</f>
        <v>0</v>
      </c>
      <c r="E393" s="65">
        <f>COUNTIFS('Error Log'!$A:$A,$A393,'Error Log'!$J:$J,E$1)</f>
        <v>0</v>
      </c>
      <c r="F393" s="65">
        <f>COUNTIFS('Error Log'!$A:$A,$A393,'Error Log'!$J:$J,F$1)</f>
        <v>0</v>
      </c>
      <c r="G393" s="65">
        <f>COUNTIFS('Error Log'!$A:$A,$A393,'Error Log'!$J:$J,G$1)</f>
        <v>0</v>
      </c>
      <c r="H393" s="65">
        <f>COUNTIFS('Error Log'!$A:$A,$A393,'Error Log'!$F:$F,"Source")</f>
        <v>0</v>
      </c>
      <c r="I393" s="65">
        <f>COUNTIFS('Error Log'!$A:$A,$A393,'Error Log'!$F:$F,"Target")</f>
        <v>0</v>
      </c>
      <c r="J393" s="66">
        <f t="shared" si="6"/>
        <v>0</v>
      </c>
    </row>
    <row r="394" spans="1:10">
      <c r="A394" s="76"/>
      <c r="B394" s="65" t="str">
        <f>IF(ISBLANK(A394),"",INDEX('Error Log'!$A:$J,MATCH('Scores per segment'!$A394,'Error Log'!$A:$A,0),MATCH('Scores per segment'!B$1,'Error Log'!$A$1:$J$1,0)))</f>
        <v/>
      </c>
      <c r="C394" s="65" t="str">
        <f>IF(ISBLANK(A394),"",INDEX('Error Log'!$A:$J,MATCH('Scores per segment'!$A394,'Error Log'!$A:$A,0),MATCH('Scores per segment'!C$1,'Error Log'!$A$1:$J$1,0)))</f>
        <v/>
      </c>
      <c r="D394" s="65">
        <f>IF(H394=0,wdct(TRIM(C394)),0)</f>
        <v>0</v>
      </c>
      <c r="E394" s="65">
        <f>COUNTIFS('Error Log'!$A:$A,$A394,'Error Log'!$J:$J,E$1)</f>
        <v>0</v>
      </c>
      <c r="F394" s="65">
        <f>COUNTIFS('Error Log'!$A:$A,$A394,'Error Log'!$J:$J,F$1)</f>
        <v>0</v>
      </c>
      <c r="G394" s="65">
        <f>COUNTIFS('Error Log'!$A:$A,$A394,'Error Log'!$J:$J,G$1)</f>
        <v>0</v>
      </c>
      <c r="H394" s="65">
        <f>COUNTIFS('Error Log'!$A:$A,$A394,'Error Log'!$F:$F,"Source")</f>
        <v>0</v>
      </c>
      <c r="I394" s="65">
        <f>COUNTIFS('Error Log'!$A:$A,$A394,'Error Log'!$F:$F,"Target")</f>
        <v>0</v>
      </c>
      <c r="J394" s="66">
        <f t="shared" si="6"/>
        <v>0</v>
      </c>
    </row>
    <row r="395" spans="1:10">
      <c r="A395" s="76"/>
      <c r="B395" s="65" t="str">
        <f>IF(ISBLANK(A395),"",INDEX('Error Log'!$A:$J,MATCH('Scores per segment'!$A395,'Error Log'!$A:$A,0),MATCH('Scores per segment'!B$1,'Error Log'!$A$1:$J$1,0)))</f>
        <v/>
      </c>
      <c r="C395" s="65" t="str">
        <f>IF(ISBLANK(A395),"",INDEX('Error Log'!$A:$J,MATCH('Scores per segment'!$A395,'Error Log'!$A:$A,0),MATCH('Scores per segment'!C$1,'Error Log'!$A$1:$J$1,0)))</f>
        <v/>
      </c>
      <c r="D395" s="65">
        <f>IF(H395=0,wdct(TRIM(C395)),0)</f>
        <v>0</v>
      </c>
      <c r="E395" s="65">
        <f>COUNTIFS('Error Log'!$A:$A,$A395,'Error Log'!$J:$J,E$1)</f>
        <v>0</v>
      </c>
      <c r="F395" s="65">
        <f>COUNTIFS('Error Log'!$A:$A,$A395,'Error Log'!$J:$J,F$1)</f>
        <v>0</v>
      </c>
      <c r="G395" s="65">
        <f>COUNTIFS('Error Log'!$A:$A,$A395,'Error Log'!$J:$J,G$1)</f>
        <v>0</v>
      </c>
      <c r="H395" s="65">
        <f>COUNTIFS('Error Log'!$A:$A,$A395,'Error Log'!$F:$F,"Source")</f>
        <v>0</v>
      </c>
      <c r="I395" s="65">
        <f>COUNTIFS('Error Log'!$A:$A,$A395,'Error Log'!$F:$F,"Target")</f>
        <v>0</v>
      </c>
      <c r="J395" s="66">
        <f t="shared" si="6"/>
        <v>0</v>
      </c>
    </row>
    <row r="396" spans="1:10">
      <c r="A396" s="76"/>
      <c r="B396" s="65" t="str">
        <f>IF(ISBLANK(A396),"",INDEX('Error Log'!$A:$J,MATCH('Scores per segment'!$A396,'Error Log'!$A:$A,0),MATCH('Scores per segment'!B$1,'Error Log'!$A$1:$J$1,0)))</f>
        <v/>
      </c>
      <c r="C396" s="65" t="str">
        <f>IF(ISBLANK(A396),"",INDEX('Error Log'!$A:$J,MATCH('Scores per segment'!$A396,'Error Log'!$A:$A,0),MATCH('Scores per segment'!C$1,'Error Log'!$A$1:$J$1,0)))</f>
        <v/>
      </c>
      <c r="D396" s="65">
        <f>IF(H396=0,wdct(TRIM(C396)),0)</f>
        <v>0</v>
      </c>
      <c r="E396" s="65">
        <f>COUNTIFS('Error Log'!$A:$A,$A396,'Error Log'!$J:$J,E$1)</f>
        <v>0</v>
      </c>
      <c r="F396" s="65">
        <f>COUNTIFS('Error Log'!$A:$A,$A396,'Error Log'!$J:$J,F$1)</f>
        <v>0</v>
      </c>
      <c r="G396" s="65">
        <f>COUNTIFS('Error Log'!$A:$A,$A396,'Error Log'!$J:$J,G$1)</f>
        <v>0</v>
      </c>
      <c r="H396" s="65">
        <f>COUNTIFS('Error Log'!$A:$A,$A396,'Error Log'!$F:$F,"Source")</f>
        <v>0</v>
      </c>
      <c r="I396" s="65">
        <f>COUNTIFS('Error Log'!$A:$A,$A396,'Error Log'!$F:$F,"Target")</f>
        <v>0</v>
      </c>
      <c r="J396" s="66">
        <f t="shared" si="6"/>
        <v>0</v>
      </c>
    </row>
    <row r="397" spans="1:10">
      <c r="A397" s="76"/>
      <c r="B397" s="65" t="str">
        <f>IF(ISBLANK(A397),"",INDEX('Error Log'!$A:$J,MATCH('Scores per segment'!$A397,'Error Log'!$A:$A,0),MATCH('Scores per segment'!B$1,'Error Log'!$A$1:$J$1,0)))</f>
        <v/>
      </c>
      <c r="C397" s="65" t="str">
        <f>IF(ISBLANK(A397),"",INDEX('Error Log'!$A:$J,MATCH('Scores per segment'!$A397,'Error Log'!$A:$A,0),MATCH('Scores per segment'!C$1,'Error Log'!$A$1:$J$1,0)))</f>
        <v/>
      </c>
      <c r="D397" s="65">
        <f>IF(H397=0,wdct(TRIM(C397)),0)</f>
        <v>0</v>
      </c>
      <c r="E397" s="65">
        <f>COUNTIFS('Error Log'!$A:$A,$A397,'Error Log'!$J:$J,E$1)</f>
        <v>0</v>
      </c>
      <c r="F397" s="65">
        <f>COUNTIFS('Error Log'!$A:$A,$A397,'Error Log'!$J:$J,F$1)</f>
        <v>0</v>
      </c>
      <c r="G397" s="65">
        <f>COUNTIFS('Error Log'!$A:$A,$A397,'Error Log'!$J:$J,G$1)</f>
        <v>0</v>
      </c>
      <c r="H397" s="65">
        <f>COUNTIFS('Error Log'!$A:$A,$A397,'Error Log'!$F:$F,"Source")</f>
        <v>0</v>
      </c>
      <c r="I397" s="65">
        <f>COUNTIFS('Error Log'!$A:$A,$A397,'Error Log'!$F:$F,"Target")</f>
        <v>0</v>
      </c>
      <c r="J397" s="66">
        <f t="shared" si="6"/>
        <v>0</v>
      </c>
    </row>
    <row r="398" spans="1:10">
      <c r="A398" s="76"/>
      <c r="B398" s="65" t="str">
        <f>IF(ISBLANK(A398),"",INDEX('Error Log'!$A:$J,MATCH('Scores per segment'!$A398,'Error Log'!$A:$A,0),MATCH('Scores per segment'!B$1,'Error Log'!$A$1:$J$1,0)))</f>
        <v/>
      </c>
      <c r="C398" s="65" t="str">
        <f>IF(ISBLANK(A398),"",INDEX('Error Log'!$A:$J,MATCH('Scores per segment'!$A398,'Error Log'!$A:$A,0),MATCH('Scores per segment'!C$1,'Error Log'!$A$1:$J$1,0)))</f>
        <v/>
      </c>
      <c r="D398" s="65">
        <f>IF(H398=0,wdct(TRIM(C398)),0)</f>
        <v>0</v>
      </c>
      <c r="E398" s="65">
        <f>COUNTIFS('Error Log'!$A:$A,$A398,'Error Log'!$J:$J,E$1)</f>
        <v>0</v>
      </c>
      <c r="F398" s="65">
        <f>COUNTIFS('Error Log'!$A:$A,$A398,'Error Log'!$J:$J,F$1)</f>
        <v>0</v>
      </c>
      <c r="G398" s="65">
        <f>COUNTIFS('Error Log'!$A:$A,$A398,'Error Log'!$J:$J,G$1)</f>
        <v>0</v>
      </c>
      <c r="H398" s="65">
        <f>COUNTIFS('Error Log'!$A:$A,$A398,'Error Log'!$F:$F,"Source")</f>
        <v>0</v>
      </c>
      <c r="I398" s="65">
        <f>COUNTIFS('Error Log'!$A:$A,$A398,'Error Log'!$F:$F,"Target")</f>
        <v>0</v>
      </c>
      <c r="J398" s="66">
        <f t="shared" si="6"/>
        <v>0</v>
      </c>
    </row>
    <row r="399" spans="1:10">
      <c r="A399" s="76"/>
      <c r="B399" s="65" t="str">
        <f>IF(ISBLANK(A399),"",INDEX('Error Log'!$A:$J,MATCH('Scores per segment'!$A399,'Error Log'!$A:$A,0),MATCH('Scores per segment'!B$1,'Error Log'!$A$1:$J$1,0)))</f>
        <v/>
      </c>
      <c r="C399" s="65" t="str">
        <f>IF(ISBLANK(A399),"",INDEX('Error Log'!$A:$J,MATCH('Scores per segment'!$A399,'Error Log'!$A:$A,0),MATCH('Scores per segment'!C$1,'Error Log'!$A$1:$J$1,0)))</f>
        <v/>
      </c>
      <c r="D399" s="65">
        <f>IF(H399=0,wdct(TRIM(C399)),0)</f>
        <v>0</v>
      </c>
      <c r="E399" s="65">
        <f>COUNTIFS('Error Log'!$A:$A,$A399,'Error Log'!$J:$J,E$1)</f>
        <v>0</v>
      </c>
      <c r="F399" s="65">
        <f>COUNTIFS('Error Log'!$A:$A,$A399,'Error Log'!$J:$J,F$1)</f>
        <v>0</v>
      </c>
      <c r="G399" s="65">
        <f>COUNTIFS('Error Log'!$A:$A,$A399,'Error Log'!$J:$J,G$1)</f>
        <v>0</v>
      </c>
      <c r="H399" s="65">
        <f>COUNTIFS('Error Log'!$A:$A,$A399,'Error Log'!$F:$F,"Source")</f>
        <v>0</v>
      </c>
      <c r="I399" s="65">
        <f>COUNTIFS('Error Log'!$A:$A,$A399,'Error Log'!$F:$F,"Target")</f>
        <v>0</v>
      </c>
      <c r="J399" s="66">
        <f t="shared" si="6"/>
        <v>0</v>
      </c>
    </row>
    <row r="400" spans="1:10">
      <c r="A400" s="76"/>
      <c r="B400" s="65" t="str">
        <f>IF(ISBLANK(A400),"",INDEX('Error Log'!$A:$J,MATCH('Scores per segment'!$A400,'Error Log'!$A:$A,0),MATCH('Scores per segment'!B$1,'Error Log'!$A$1:$J$1,0)))</f>
        <v/>
      </c>
      <c r="C400" s="65" t="str">
        <f>IF(ISBLANK(A400),"",INDEX('Error Log'!$A:$J,MATCH('Scores per segment'!$A400,'Error Log'!$A:$A,0),MATCH('Scores per segment'!C$1,'Error Log'!$A$1:$J$1,0)))</f>
        <v/>
      </c>
      <c r="D400" s="65">
        <f>IF(H400=0,wdct(TRIM(C400)),0)</f>
        <v>0</v>
      </c>
      <c r="E400" s="65">
        <f>COUNTIFS('Error Log'!$A:$A,$A400,'Error Log'!$J:$J,E$1)</f>
        <v>0</v>
      </c>
      <c r="F400" s="65">
        <f>COUNTIFS('Error Log'!$A:$A,$A400,'Error Log'!$J:$J,F$1)</f>
        <v>0</v>
      </c>
      <c r="G400" s="65">
        <f>COUNTIFS('Error Log'!$A:$A,$A400,'Error Log'!$J:$J,G$1)</f>
        <v>0</v>
      </c>
      <c r="H400" s="65">
        <f>COUNTIFS('Error Log'!$A:$A,$A400,'Error Log'!$F:$F,"Source")</f>
        <v>0</v>
      </c>
      <c r="I400" s="65">
        <f>COUNTIFS('Error Log'!$A:$A,$A400,'Error Log'!$F:$F,"Target")</f>
        <v>0</v>
      </c>
      <c r="J400" s="66">
        <f t="shared" si="6"/>
        <v>0</v>
      </c>
    </row>
    <row r="401" spans="1:10">
      <c r="A401" s="76"/>
      <c r="B401" s="65" t="str">
        <f>IF(ISBLANK(A401),"",INDEX('Error Log'!$A:$J,MATCH('Scores per segment'!$A401,'Error Log'!$A:$A,0),MATCH('Scores per segment'!B$1,'Error Log'!$A$1:$J$1,0)))</f>
        <v/>
      </c>
      <c r="C401" s="65" t="str">
        <f>IF(ISBLANK(A401),"",INDEX('Error Log'!$A:$J,MATCH('Scores per segment'!$A401,'Error Log'!$A:$A,0),MATCH('Scores per segment'!C$1,'Error Log'!$A$1:$J$1,0)))</f>
        <v/>
      </c>
      <c r="D401" s="65">
        <f>IF(H401=0,wdct(TRIM(C401)),0)</f>
        <v>0</v>
      </c>
      <c r="E401" s="65">
        <f>COUNTIFS('Error Log'!$A:$A,$A401,'Error Log'!$J:$J,E$1)</f>
        <v>0</v>
      </c>
      <c r="F401" s="65">
        <f>COUNTIFS('Error Log'!$A:$A,$A401,'Error Log'!$J:$J,F$1)</f>
        <v>0</v>
      </c>
      <c r="G401" s="65">
        <f>COUNTIFS('Error Log'!$A:$A,$A401,'Error Log'!$J:$J,G$1)</f>
        <v>0</v>
      </c>
      <c r="H401" s="65">
        <f>COUNTIFS('Error Log'!$A:$A,$A401,'Error Log'!$F:$F,"Source")</f>
        <v>0</v>
      </c>
      <c r="I401" s="65">
        <f>COUNTIFS('Error Log'!$A:$A,$A401,'Error Log'!$F:$F,"Target")</f>
        <v>0</v>
      </c>
      <c r="J401" s="66">
        <f t="shared" si="6"/>
        <v>0</v>
      </c>
    </row>
    <row r="402" spans="1:10">
      <c r="A402" s="76"/>
      <c r="B402" s="65" t="str">
        <f>IF(ISBLANK(A402),"",INDEX('Error Log'!$A:$J,MATCH('Scores per segment'!$A402,'Error Log'!$A:$A,0),MATCH('Scores per segment'!B$1,'Error Log'!$A$1:$J$1,0)))</f>
        <v/>
      </c>
      <c r="C402" s="65" t="str">
        <f>IF(ISBLANK(A402),"",INDEX('Error Log'!$A:$J,MATCH('Scores per segment'!$A402,'Error Log'!$A:$A,0),MATCH('Scores per segment'!C$1,'Error Log'!$A$1:$J$1,0)))</f>
        <v/>
      </c>
      <c r="D402" s="65">
        <f>IF(H402=0,wdct(TRIM(C402)),0)</f>
        <v>0</v>
      </c>
      <c r="E402" s="65">
        <f>COUNTIFS('Error Log'!$A:$A,$A402,'Error Log'!$J:$J,E$1)</f>
        <v>0</v>
      </c>
      <c r="F402" s="65">
        <f>COUNTIFS('Error Log'!$A:$A,$A402,'Error Log'!$J:$J,F$1)</f>
        <v>0</v>
      </c>
      <c r="G402" s="65">
        <f>COUNTIFS('Error Log'!$A:$A,$A402,'Error Log'!$J:$J,G$1)</f>
        <v>0</v>
      </c>
      <c r="H402" s="65">
        <f>COUNTIFS('Error Log'!$A:$A,$A402,'Error Log'!$F:$F,"Source")</f>
        <v>0</v>
      </c>
      <c r="I402" s="65">
        <f>COUNTIFS('Error Log'!$A:$A,$A402,'Error Log'!$F:$F,"Target")</f>
        <v>0</v>
      </c>
      <c r="J402" s="66">
        <f t="shared" si="6"/>
        <v>0</v>
      </c>
    </row>
    <row r="403" spans="1:10">
      <c r="A403" s="76"/>
      <c r="B403" s="65" t="str">
        <f>IF(ISBLANK(A403),"",INDEX('Error Log'!$A:$J,MATCH('Scores per segment'!$A403,'Error Log'!$A:$A,0),MATCH('Scores per segment'!B$1,'Error Log'!$A$1:$J$1,0)))</f>
        <v/>
      </c>
      <c r="C403" s="65" t="str">
        <f>IF(ISBLANK(A403),"",INDEX('Error Log'!$A:$J,MATCH('Scores per segment'!$A403,'Error Log'!$A:$A,0),MATCH('Scores per segment'!C$1,'Error Log'!$A$1:$J$1,0)))</f>
        <v/>
      </c>
      <c r="D403" s="65">
        <f>IF(H403=0,wdct(TRIM(C403)),0)</f>
        <v>0</v>
      </c>
      <c r="E403" s="65">
        <f>COUNTIFS('Error Log'!$A:$A,$A403,'Error Log'!$J:$J,E$1)</f>
        <v>0</v>
      </c>
      <c r="F403" s="65">
        <f>COUNTIFS('Error Log'!$A:$A,$A403,'Error Log'!$J:$J,F$1)</f>
        <v>0</v>
      </c>
      <c r="G403" s="65">
        <f>COUNTIFS('Error Log'!$A:$A,$A403,'Error Log'!$J:$J,G$1)</f>
        <v>0</v>
      </c>
      <c r="H403" s="65">
        <f>COUNTIFS('Error Log'!$A:$A,$A403,'Error Log'!$F:$F,"Source")</f>
        <v>0</v>
      </c>
      <c r="I403" s="65">
        <f>COUNTIFS('Error Log'!$A:$A,$A403,'Error Log'!$F:$F,"Target")</f>
        <v>0</v>
      </c>
      <c r="J403" s="66">
        <f t="shared" si="6"/>
        <v>0</v>
      </c>
    </row>
    <row r="404" spans="1:10">
      <c r="A404" s="76"/>
      <c r="B404" s="65" t="str">
        <f>IF(ISBLANK(A404),"",INDEX('Error Log'!$A:$J,MATCH('Scores per segment'!$A404,'Error Log'!$A:$A,0),MATCH('Scores per segment'!B$1,'Error Log'!$A$1:$J$1,0)))</f>
        <v/>
      </c>
      <c r="C404" s="65" t="str">
        <f>IF(ISBLANK(A404),"",INDEX('Error Log'!$A:$J,MATCH('Scores per segment'!$A404,'Error Log'!$A:$A,0),MATCH('Scores per segment'!C$1,'Error Log'!$A$1:$J$1,0)))</f>
        <v/>
      </c>
      <c r="D404" s="65">
        <f>IF(H404=0,wdct(TRIM(C404)),0)</f>
        <v>0</v>
      </c>
      <c r="E404" s="65">
        <f>COUNTIFS('Error Log'!$A:$A,$A404,'Error Log'!$J:$J,E$1)</f>
        <v>0</v>
      </c>
      <c r="F404" s="65">
        <f>COUNTIFS('Error Log'!$A:$A,$A404,'Error Log'!$J:$J,F$1)</f>
        <v>0</v>
      </c>
      <c r="G404" s="65">
        <f>COUNTIFS('Error Log'!$A:$A,$A404,'Error Log'!$J:$J,G$1)</f>
        <v>0</v>
      </c>
      <c r="H404" s="65">
        <f>COUNTIFS('Error Log'!$A:$A,$A404,'Error Log'!$F:$F,"Source")</f>
        <v>0</v>
      </c>
      <c r="I404" s="65">
        <f>COUNTIFS('Error Log'!$A:$A,$A404,'Error Log'!$F:$F,"Target")</f>
        <v>0</v>
      </c>
      <c r="J404" s="66">
        <f t="shared" si="6"/>
        <v>0</v>
      </c>
    </row>
    <row r="405" spans="1:10">
      <c r="A405" s="76"/>
      <c r="B405" s="65" t="str">
        <f>IF(ISBLANK(A405),"",INDEX('Error Log'!$A:$J,MATCH('Scores per segment'!$A405,'Error Log'!$A:$A,0),MATCH('Scores per segment'!B$1,'Error Log'!$A$1:$J$1,0)))</f>
        <v/>
      </c>
      <c r="C405" s="65" t="str">
        <f>IF(ISBLANK(A405),"",INDEX('Error Log'!$A:$J,MATCH('Scores per segment'!$A405,'Error Log'!$A:$A,0),MATCH('Scores per segment'!C$1,'Error Log'!$A$1:$J$1,0)))</f>
        <v/>
      </c>
      <c r="D405" s="65">
        <f>IF(H405=0,wdct(TRIM(C405)),0)</f>
        <v>0</v>
      </c>
      <c r="E405" s="65">
        <f>COUNTIFS('Error Log'!$A:$A,$A405,'Error Log'!$J:$J,E$1)</f>
        <v>0</v>
      </c>
      <c r="F405" s="65">
        <f>COUNTIFS('Error Log'!$A:$A,$A405,'Error Log'!$J:$J,F$1)</f>
        <v>0</v>
      </c>
      <c r="G405" s="65">
        <f>COUNTIFS('Error Log'!$A:$A,$A405,'Error Log'!$J:$J,G$1)</f>
        <v>0</v>
      </c>
      <c r="H405" s="65">
        <f>COUNTIFS('Error Log'!$A:$A,$A405,'Error Log'!$F:$F,"Source")</f>
        <v>0</v>
      </c>
      <c r="I405" s="65">
        <f>COUNTIFS('Error Log'!$A:$A,$A405,'Error Log'!$F:$F,"Target")</f>
        <v>0</v>
      </c>
      <c r="J405" s="66">
        <f t="shared" si="6"/>
        <v>0</v>
      </c>
    </row>
    <row r="406" spans="1:10">
      <c r="A406" s="76"/>
      <c r="B406" s="65" t="str">
        <f>IF(ISBLANK(A406),"",INDEX('Error Log'!$A:$J,MATCH('Scores per segment'!$A406,'Error Log'!$A:$A,0),MATCH('Scores per segment'!B$1,'Error Log'!$A$1:$J$1,0)))</f>
        <v/>
      </c>
      <c r="C406" s="65" t="str">
        <f>IF(ISBLANK(A406),"",INDEX('Error Log'!$A:$J,MATCH('Scores per segment'!$A406,'Error Log'!$A:$A,0),MATCH('Scores per segment'!C$1,'Error Log'!$A$1:$J$1,0)))</f>
        <v/>
      </c>
      <c r="D406" s="65">
        <f>IF(H406=0,wdct(TRIM(C406)),0)</f>
        <v>0</v>
      </c>
      <c r="E406" s="65">
        <f>COUNTIFS('Error Log'!$A:$A,$A406,'Error Log'!$J:$J,E$1)</f>
        <v>0</v>
      </c>
      <c r="F406" s="65">
        <f>COUNTIFS('Error Log'!$A:$A,$A406,'Error Log'!$J:$J,F$1)</f>
        <v>0</v>
      </c>
      <c r="G406" s="65">
        <f>COUNTIFS('Error Log'!$A:$A,$A406,'Error Log'!$J:$J,G$1)</f>
        <v>0</v>
      </c>
      <c r="H406" s="65">
        <f>COUNTIFS('Error Log'!$A:$A,$A406,'Error Log'!$F:$F,"Source")</f>
        <v>0</v>
      </c>
      <c r="I406" s="65">
        <f>COUNTIFS('Error Log'!$A:$A,$A406,'Error Log'!$F:$F,"Target")</f>
        <v>0</v>
      </c>
      <c r="J406" s="66">
        <f t="shared" si="6"/>
        <v>0</v>
      </c>
    </row>
    <row r="407" spans="1:10">
      <c r="A407" s="76"/>
      <c r="B407" s="65" t="str">
        <f>IF(ISBLANK(A407),"",INDEX('Error Log'!$A:$J,MATCH('Scores per segment'!$A407,'Error Log'!$A:$A,0),MATCH('Scores per segment'!B$1,'Error Log'!$A$1:$J$1,0)))</f>
        <v/>
      </c>
      <c r="C407" s="65" t="str">
        <f>IF(ISBLANK(A407),"",INDEX('Error Log'!$A:$J,MATCH('Scores per segment'!$A407,'Error Log'!$A:$A,0),MATCH('Scores per segment'!C$1,'Error Log'!$A$1:$J$1,0)))</f>
        <v/>
      </c>
      <c r="D407" s="65">
        <f>IF(H407=0,wdct(TRIM(C407)),0)</f>
        <v>0</v>
      </c>
      <c r="E407" s="65">
        <f>COUNTIFS('Error Log'!$A:$A,$A407,'Error Log'!$J:$J,E$1)</f>
        <v>0</v>
      </c>
      <c r="F407" s="65">
        <f>COUNTIFS('Error Log'!$A:$A,$A407,'Error Log'!$J:$J,F$1)</f>
        <v>0</v>
      </c>
      <c r="G407" s="65">
        <f>COUNTIFS('Error Log'!$A:$A,$A407,'Error Log'!$J:$J,G$1)</f>
        <v>0</v>
      </c>
      <c r="H407" s="65">
        <f>COUNTIFS('Error Log'!$A:$A,$A407,'Error Log'!$F:$F,"Source")</f>
        <v>0</v>
      </c>
      <c r="I407" s="65">
        <f>COUNTIFS('Error Log'!$A:$A,$A407,'Error Log'!$F:$F,"Target")</f>
        <v>0</v>
      </c>
      <c r="J407" s="66">
        <f t="shared" si="6"/>
        <v>0</v>
      </c>
    </row>
    <row r="408" spans="1:10">
      <c r="A408" s="76"/>
      <c r="B408" s="65" t="str">
        <f>IF(ISBLANK(A408),"",INDEX('Error Log'!$A:$J,MATCH('Scores per segment'!$A408,'Error Log'!$A:$A,0),MATCH('Scores per segment'!B$1,'Error Log'!$A$1:$J$1,0)))</f>
        <v/>
      </c>
      <c r="C408" s="65" t="str">
        <f>IF(ISBLANK(A408),"",INDEX('Error Log'!$A:$J,MATCH('Scores per segment'!$A408,'Error Log'!$A:$A,0),MATCH('Scores per segment'!C$1,'Error Log'!$A$1:$J$1,0)))</f>
        <v/>
      </c>
      <c r="D408" s="65">
        <f>IF(H408=0,wdct(TRIM(C408)),0)</f>
        <v>0</v>
      </c>
      <c r="E408" s="65">
        <f>COUNTIFS('Error Log'!$A:$A,$A408,'Error Log'!$J:$J,E$1)</f>
        <v>0</v>
      </c>
      <c r="F408" s="65">
        <f>COUNTIFS('Error Log'!$A:$A,$A408,'Error Log'!$J:$J,F$1)</f>
        <v>0</v>
      </c>
      <c r="G408" s="65">
        <f>COUNTIFS('Error Log'!$A:$A,$A408,'Error Log'!$J:$J,G$1)</f>
        <v>0</v>
      </c>
      <c r="H408" s="65">
        <f>COUNTIFS('Error Log'!$A:$A,$A408,'Error Log'!$F:$F,"Source")</f>
        <v>0</v>
      </c>
      <c r="I408" s="65">
        <f>COUNTIFS('Error Log'!$A:$A,$A408,'Error Log'!$F:$F,"Target")</f>
        <v>0</v>
      </c>
      <c r="J408" s="66">
        <f t="shared" si="6"/>
        <v>0</v>
      </c>
    </row>
    <row r="409" spans="1:10">
      <c r="A409" s="76"/>
      <c r="B409" s="65" t="str">
        <f>IF(ISBLANK(A409),"",INDEX('Error Log'!$A:$J,MATCH('Scores per segment'!$A409,'Error Log'!$A:$A,0),MATCH('Scores per segment'!B$1,'Error Log'!$A$1:$J$1,0)))</f>
        <v/>
      </c>
      <c r="C409" s="65" t="str">
        <f>IF(ISBLANK(A409),"",INDEX('Error Log'!$A:$J,MATCH('Scores per segment'!$A409,'Error Log'!$A:$A,0),MATCH('Scores per segment'!C$1,'Error Log'!$A$1:$J$1,0)))</f>
        <v/>
      </c>
      <c r="D409" s="65">
        <f>IF(H409=0,wdct(TRIM(C409)),0)</f>
        <v>0</v>
      </c>
      <c r="E409" s="65">
        <f>COUNTIFS('Error Log'!$A:$A,$A409,'Error Log'!$J:$J,E$1)</f>
        <v>0</v>
      </c>
      <c r="F409" s="65">
        <f>COUNTIFS('Error Log'!$A:$A,$A409,'Error Log'!$J:$J,F$1)</f>
        <v>0</v>
      </c>
      <c r="G409" s="65">
        <f>COUNTIFS('Error Log'!$A:$A,$A409,'Error Log'!$J:$J,G$1)</f>
        <v>0</v>
      </c>
      <c r="H409" s="65">
        <f>COUNTIFS('Error Log'!$A:$A,$A409,'Error Log'!$F:$F,"Source")</f>
        <v>0</v>
      </c>
      <c r="I409" s="65">
        <f>COUNTIFS('Error Log'!$A:$A,$A409,'Error Log'!$F:$F,"Target")</f>
        <v>0</v>
      </c>
      <c r="J409" s="66">
        <f t="shared" si="6"/>
        <v>0</v>
      </c>
    </row>
    <row r="410" spans="1:10">
      <c r="A410" s="76"/>
      <c r="B410" s="65" t="str">
        <f>IF(ISBLANK(A410),"",INDEX('Error Log'!$A:$J,MATCH('Scores per segment'!$A410,'Error Log'!$A:$A,0),MATCH('Scores per segment'!B$1,'Error Log'!$A$1:$J$1,0)))</f>
        <v/>
      </c>
      <c r="C410" s="65" t="str">
        <f>IF(ISBLANK(A410),"",INDEX('Error Log'!$A:$J,MATCH('Scores per segment'!$A410,'Error Log'!$A:$A,0),MATCH('Scores per segment'!C$1,'Error Log'!$A$1:$J$1,0)))</f>
        <v/>
      </c>
      <c r="D410" s="65">
        <f>IF(H410=0,wdct(TRIM(C410)),0)</f>
        <v>0</v>
      </c>
      <c r="E410" s="65">
        <f>COUNTIFS('Error Log'!$A:$A,$A410,'Error Log'!$J:$J,E$1)</f>
        <v>0</v>
      </c>
      <c r="F410" s="65">
        <f>COUNTIFS('Error Log'!$A:$A,$A410,'Error Log'!$J:$J,F$1)</f>
        <v>0</v>
      </c>
      <c r="G410" s="65">
        <f>COUNTIFS('Error Log'!$A:$A,$A410,'Error Log'!$J:$J,G$1)</f>
        <v>0</v>
      </c>
      <c r="H410" s="65">
        <f>COUNTIFS('Error Log'!$A:$A,$A410,'Error Log'!$F:$F,"Source")</f>
        <v>0</v>
      </c>
      <c r="I410" s="65">
        <f>COUNTIFS('Error Log'!$A:$A,$A410,'Error Log'!$F:$F,"Target")</f>
        <v>0</v>
      </c>
      <c r="J410" s="66">
        <f t="shared" si="6"/>
        <v>0</v>
      </c>
    </row>
    <row r="411" spans="1:10">
      <c r="A411" s="76"/>
      <c r="B411" s="65" t="str">
        <f>IF(ISBLANK(A411),"",INDEX('Error Log'!$A:$J,MATCH('Scores per segment'!$A411,'Error Log'!$A:$A,0),MATCH('Scores per segment'!B$1,'Error Log'!$A$1:$J$1,0)))</f>
        <v/>
      </c>
      <c r="C411" s="65" t="str">
        <f>IF(ISBLANK(A411),"",INDEX('Error Log'!$A:$J,MATCH('Scores per segment'!$A411,'Error Log'!$A:$A,0),MATCH('Scores per segment'!C$1,'Error Log'!$A$1:$J$1,0)))</f>
        <v/>
      </c>
      <c r="D411" s="65">
        <f>IF(H411=0,wdct(TRIM(C411)),0)</f>
        <v>0</v>
      </c>
      <c r="E411" s="65">
        <f>COUNTIFS('Error Log'!$A:$A,$A411,'Error Log'!$J:$J,E$1)</f>
        <v>0</v>
      </c>
      <c r="F411" s="65">
        <f>COUNTIFS('Error Log'!$A:$A,$A411,'Error Log'!$J:$J,F$1)</f>
        <v>0</v>
      </c>
      <c r="G411" s="65">
        <f>COUNTIFS('Error Log'!$A:$A,$A411,'Error Log'!$J:$J,G$1)</f>
        <v>0</v>
      </c>
      <c r="H411" s="65">
        <f>COUNTIFS('Error Log'!$A:$A,$A411,'Error Log'!$F:$F,"Source")</f>
        <v>0</v>
      </c>
      <c r="I411" s="65">
        <f>COUNTIFS('Error Log'!$A:$A,$A411,'Error Log'!$F:$F,"Target")</f>
        <v>0</v>
      </c>
      <c r="J411" s="66">
        <f t="shared" si="6"/>
        <v>0</v>
      </c>
    </row>
    <row r="412" spans="1:10">
      <c r="A412" s="76"/>
      <c r="B412" s="65" t="str">
        <f>IF(ISBLANK(A412),"",INDEX('Error Log'!$A:$J,MATCH('Scores per segment'!$A412,'Error Log'!$A:$A,0),MATCH('Scores per segment'!B$1,'Error Log'!$A$1:$J$1,0)))</f>
        <v/>
      </c>
      <c r="C412" s="65" t="str">
        <f>IF(ISBLANK(A412),"",INDEX('Error Log'!$A:$J,MATCH('Scores per segment'!$A412,'Error Log'!$A:$A,0),MATCH('Scores per segment'!C$1,'Error Log'!$A$1:$J$1,0)))</f>
        <v/>
      </c>
      <c r="D412" s="65">
        <f>IF(H412=0,wdct(TRIM(C412)),0)</f>
        <v>0</v>
      </c>
      <c r="E412" s="65">
        <f>COUNTIFS('Error Log'!$A:$A,$A412,'Error Log'!$J:$J,E$1)</f>
        <v>0</v>
      </c>
      <c r="F412" s="65">
        <f>COUNTIFS('Error Log'!$A:$A,$A412,'Error Log'!$J:$J,F$1)</f>
        <v>0</v>
      </c>
      <c r="G412" s="65">
        <f>COUNTIFS('Error Log'!$A:$A,$A412,'Error Log'!$J:$J,G$1)</f>
        <v>0</v>
      </c>
      <c r="H412" s="65">
        <f>COUNTIFS('Error Log'!$A:$A,$A412,'Error Log'!$F:$F,"Source")</f>
        <v>0</v>
      </c>
      <c r="I412" s="65">
        <f>COUNTIFS('Error Log'!$A:$A,$A412,'Error Log'!$F:$F,"Target")</f>
        <v>0</v>
      </c>
      <c r="J412" s="66">
        <f t="shared" si="6"/>
        <v>0</v>
      </c>
    </row>
    <row r="413" spans="1:10">
      <c r="A413" s="76"/>
      <c r="B413" s="65" t="str">
        <f>IF(ISBLANK(A413),"",INDEX('Error Log'!$A:$J,MATCH('Scores per segment'!$A413,'Error Log'!$A:$A,0),MATCH('Scores per segment'!B$1,'Error Log'!$A$1:$J$1,0)))</f>
        <v/>
      </c>
      <c r="C413" s="65" t="str">
        <f>IF(ISBLANK(A413),"",INDEX('Error Log'!$A:$J,MATCH('Scores per segment'!$A413,'Error Log'!$A:$A,0),MATCH('Scores per segment'!C$1,'Error Log'!$A$1:$J$1,0)))</f>
        <v/>
      </c>
      <c r="D413" s="65">
        <f>IF(H413=0,wdct(TRIM(C413)),0)</f>
        <v>0</v>
      </c>
      <c r="E413" s="65">
        <f>COUNTIFS('Error Log'!$A:$A,$A413,'Error Log'!$J:$J,E$1)</f>
        <v>0</v>
      </c>
      <c r="F413" s="65">
        <f>COUNTIFS('Error Log'!$A:$A,$A413,'Error Log'!$J:$J,F$1)</f>
        <v>0</v>
      </c>
      <c r="G413" s="65">
        <f>COUNTIFS('Error Log'!$A:$A,$A413,'Error Log'!$J:$J,G$1)</f>
        <v>0</v>
      </c>
      <c r="H413" s="65">
        <f>COUNTIFS('Error Log'!$A:$A,$A413,'Error Log'!$F:$F,"Source")</f>
        <v>0</v>
      </c>
      <c r="I413" s="65">
        <f>COUNTIFS('Error Log'!$A:$A,$A413,'Error Log'!$F:$F,"Target")</f>
        <v>0</v>
      </c>
      <c r="J413" s="66">
        <f t="shared" si="6"/>
        <v>0</v>
      </c>
    </row>
    <row r="414" spans="1:10">
      <c r="A414" s="76"/>
      <c r="B414" s="65" t="str">
        <f>IF(ISBLANK(A414),"",INDEX('Error Log'!$A:$J,MATCH('Scores per segment'!$A414,'Error Log'!$A:$A,0),MATCH('Scores per segment'!B$1,'Error Log'!$A$1:$J$1,0)))</f>
        <v/>
      </c>
      <c r="C414" s="65" t="str">
        <f>IF(ISBLANK(A414),"",INDEX('Error Log'!$A:$J,MATCH('Scores per segment'!$A414,'Error Log'!$A:$A,0),MATCH('Scores per segment'!C$1,'Error Log'!$A$1:$J$1,0)))</f>
        <v/>
      </c>
      <c r="D414" s="65">
        <f>IF(H414=0,wdct(TRIM(C414)),0)</f>
        <v>0</v>
      </c>
      <c r="E414" s="65">
        <f>COUNTIFS('Error Log'!$A:$A,$A414,'Error Log'!$J:$J,E$1)</f>
        <v>0</v>
      </c>
      <c r="F414" s="65">
        <f>COUNTIFS('Error Log'!$A:$A,$A414,'Error Log'!$J:$J,F$1)</f>
        <v>0</v>
      </c>
      <c r="G414" s="65">
        <f>COUNTIFS('Error Log'!$A:$A,$A414,'Error Log'!$J:$J,G$1)</f>
        <v>0</v>
      </c>
      <c r="H414" s="65">
        <f>COUNTIFS('Error Log'!$A:$A,$A414,'Error Log'!$F:$F,"Source")</f>
        <v>0</v>
      </c>
      <c r="I414" s="65">
        <f>COUNTIFS('Error Log'!$A:$A,$A414,'Error Log'!$F:$F,"Target")</f>
        <v>0</v>
      </c>
      <c r="J414" s="66">
        <f t="shared" si="6"/>
        <v>0</v>
      </c>
    </row>
    <row r="415" spans="1:10">
      <c r="A415" s="76"/>
      <c r="B415" s="65" t="str">
        <f>IF(ISBLANK(A415),"",INDEX('Error Log'!$A:$J,MATCH('Scores per segment'!$A415,'Error Log'!$A:$A,0),MATCH('Scores per segment'!B$1,'Error Log'!$A$1:$J$1,0)))</f>
        <v/>
      </c>
      <c r="C415" s="65" t="str">
        <f>IF(ISBLANK(A415),"",INDEX('Error Log'!$A:$J,MATCH('Scores per segment'!$A415,'Error Log'!$A:$A,0),MATCH('Scores per segment'!C$1,'Error Log'!$A$1:$J$1,0)))</f>
        <v/>
      </c>
      <c r="D415" s="65">
        <f>IF(H415=0,wdct(TRIM(C415)),0)</f>
        <v>0</v>
      </c>
      <c r="E415" s="65">
        <f>COUNTIFS('Error Log'!$A:$A,$A415,'Error Log'!$J:$J,E$1)</f>
        <v>0</v>
      </c>
      <c r="F415" s="65">
        <f>COUNTIFS('Error Log'!$A:$A,$A415,'Error Log'!$J:$J,F$1)</f>
        <v>0</v>
      </c>
      <c r="G415" s="65">
        <f>COUNTIFS('Error Log'!$A:$A,$A415,'Error Log'!$J:$J,G$1)</f>
        <v>0</v>
      </c>
      <c r="H415" s="65">
        <f>COUNTIFS('Error Log'!$A:$A,$A415,'Error Log'!$F:$F,"Source")</f>
        <v>0</v>
      </c>
      <c r="I415" s="65">
        <f>COUNTIFS('Error Log'!$A:$A,$A415,'Error Log'!$F:$F,"Target")</f>
        <v>0</v>
      </c>
      <c r="J415" s="66">
        <f t="shared" si="6"/>
        <v>0</v>
      </c>
    </row>
    <row r="416" spans="1:10">
      <c r="A416" s="76"/>
      <c r="B416" s="65" t="str">
        <f>IF(ISBLANK(A416),"",INDEX('Error Log'!$A:$J,MATCH('Scores per segment'!$A416,'Error Log'!$A:$A,0),MATCH('Scores per segment'!B$1,'Error Log'!$A$1:$J$1,0)))</f>
        <v/>
      </c>
      <c r="C416" s="65" t="str">
        <f>IF(ISBLANK(A416),"",INDEX('Error Log'!$A:$J,MATCH('Scores per segment'!$A416,'Error Log'!$A:$A,0),MATCH('Scores per segment'!C$1,'Error Log'!$A$1:$J$1,0)))</f>
        <v/>
      </c>
      <c r="D416" s="65">
        <f>IF(H416=0,wdct(TRIM(C416)),0)</f>
        <v>0</v>
      </c>
      <c r="E416" s="65">
        <f>COUNTIFS('Error Log'!$A:$A,$A416,'Error Log'!$J:$J,E$1)</f>
        <v>0</v>
      </c>
      <c r="F416" s="65">
        <f>COUNTIFS('Error Log'!$A:$A,$A416,'Error Log'!$J:$J,F$1)</f>
        <v>0</v>
      </c>
      <c r="G416" s="65">
        <f>COUNTIFS('Error Log'!$A:$A,$A416,'Error Log'!$J:$J,G$1)</f>
        <v>0</v>
      </c>
      <c r="H416" s="65">
        <f>COUNTIFS('Error Log'!$A:$A,$A416,'Error Log'!$F:$F,"Source")</f>
        <v>0</v>
      </c>
      <c r="I416" s="65">
        <f>COUNTIFS('Error Log'!$A:$A,$A416,'Error Log'!$F:$F,"Target")</f>
        <v>0</v>
      </c>
      <c r="J416" s="66">
        <f t="shared" si="6"/>
        <v>0</v>
      </c>
    </row>
    <row r="417" spans="1:10">
      <c r="A417" s="76"/>
      <c r="B417" s="65" t="str">
        <f>IF(ISBLANK(A417),"",INDEX('Error Log'!$A:$J,MATCH('Scores per segment'!$A417,'Error Log'!$A:$A,0),MATCH('Scores per segment'!B$1,'Error Log'!$A$1:$J$1,0)))</f>
        <v/>
      </c>
      <c r="C417" s="65" t="str">
        <f>IF(ISBLANK(A417),"",INDEX('Error Log'!$A:$J,MATCH('Scores per segment'!$A417,'Error Log'!$A:$A,0),MATCH('Scores per segment'!C$1,'Error Log'!$A$1:$J$1,0)))</f>
        <v/>
      </c>
      <c r="D417" s="65">
        <f>IF(H417=0,wdct(TRIM(C417)),0)</f>
        <v>0</v>
      </c>
      <c r="E417" s="65">
        <f>COUNTIFS('Error Log'!$A:$A,$A417,'Error Log'!$J:$J,E$1)</f>
        <v>0</v>
      </c>
      <c r="F417" s="65">
        <f>COUNTIFS('Error Log'!$A:$A,$A417,'Error Log'!$J:$J,F$1)</f>
        <v>0</v>
      </c>
      <c r="G417" s="65">
        <f>COUNTIFS('Error Log'!$A:$A,$A417,'Error Log'!$J:$J,G$1)</f>
        <v>0</v>
      </c>
      <c r="H417" s="65">
        <f>COUNTIFS('Error Log'!$A:$A,$A417,'Error Log'!$F:$F,"Source")</f>
        <v>0</v>
      </c>
      <c r="I417" s="65">
        <f>COUNTIFS('Error Log'!$A:$A,$A417,'Error Log'!$F:$F,"Target")</f>
        <v>0</v>
      </c>
      <c r="J417" s="66">
        <f t="shared" si="6"/>
        <v>0</v>
      </c>
    </row>
    <row r="418" spans="1:10">
      <c r="A418" s="76"/>
      <c r="B418" s="65" t="str">
        <f>IF(ISBLANK(A418),"",INDEX('Error Log'!$A:$J,MATCH('Scores per segment'!$A418,'Error Log'!$A:$A,0),MATCH('Scores per segment'!B$1,'Error Log'!$A$1:$J$1,0)))</f>
        <v/>
      </c>
      <c r="C418" s="65" t="str">
        <f>IF(ISBLANK(A418),"",INDEX('Error Log'!$A:$J,MATCH('Scores per segment'!$A418,'Error Log'!$A:$A,0),MATCH('Scores per segment'!C$1,'Error Log'!$A$1:$J$1,0)))</f>
        <v/>
      </c>
      <c r="D418" s="65">
        <f>IF(H418=0,wdct(TRIM(C418)),0)</f>
        <v>0</v>
      </c>
      <c r="E418" s="65">
        <f>COUNTIFS('Error Log'!$A:$A,$A418,'Error Log'!$J:$J,E$1)</f>
        <v>0</v>
      </c>
      <c r="F418" s="65">
        <f>COUNTIFS('Error Log'!$A:$A,$A418,'Error Log'!$J:$J,F$1)</f>
        <v>0</v>
      </c>
      <c r="G418" s="65">
        <f>COUNTIFS('Error Log'!$A:$A,$A418,'Error Log'!$J:$J,G$1)</f>
        <v>0</v>
      </c>
      <c r="H418" s="65">
        <f>COUNTIFS('Error Log'!$A:$A,$A418,'Error Log'!$F:$F,"Source")</f>
        <v>0</v>
      </c>
      <c r="I418" s="65">
        <f>COUNTIFS('Error Log'!$A:$A,$A418,'Error Log'!$F:$F,"Target")</f>
        <v>0</v>
      </c>
      <c r="J418" s="66">
        <f t="shared" si="6"/>
        <v>0</v>
      </c>
    </row>
    <row r="419" spans="1:10">
      <c r="A419" s="76"/>
      <c r="B419" s="65" t="str">
        <f>IF(ISBLANK(A419),"",INDEX('Error Log'!$A:$J,MATCH('Scores per segment'!$A419,'Error Log'!$A:$A,0),MATCH('Scores per segment'!B$1,'Error Log'!$A$1:$J$1,0)))</f>
        <v/>
      </c>
      <c r="C419" s="65" t="str">
        <f>IF(ISBLANK(A419),"",INDEX('Error Log'!$A:$J,MATCH('Scores per segment'!$A419,'Error Log'!$A:$A,0),MATCH('Scores per segment'!C$1,'Error Log'!$A$1:$J$1,0)))</f>
        <v/>
      </c>
      <c r="D419" s="65">
        <f>IF(H419=0,wdct(TRIM(C419)),0)</f>
        <v>0</v>
      </c>
      <c r="E419" s="65">
        <f>COUNTIFS('Error Log'!$A:$A,$A419,'Error Log'!$J:$J,E$1)</f>
        <v>0</v>
      </c>
      <c r="F419" s="65">
        <f>COUNTIFS('Error Log'!$A:$A,$A419,'Error Log'!$J:$J,F$1)</f>
        <v>0</v>
      </c>
      <c r="G419" s="65">
        <f>COUNTIFS('Error Log'!$A:$A,$A419,'Error Log'!$J:$J,G$1)</f>
        <v>0</v>
      </c>
      <c r="H419" s="65">
        <f>COUNTIFS('Error Log'!$A:$A,$A419,'Error Log'!$F:$F,"Source")</f>
        <v>0</v>
      </c>
      <c r="I419" s="65">
        <f>COUNTIFS('Error Log'!$A:$A,$A419,'Error Log'!$F:$F,"Target")</f>
        <v>0</v>
      </c>
      <c r="J419" s="66">
        <f t="shared" si="6"/>
        <v>0</v>
      </c>
    </row>
    <row r="420" spans="1:10">
      <c r="A420" s="76"/>
      <c r="B420" s="65" t="str">
        <f>IF(ISBLANK(A420),"",INDEX('Error Log'!$A:$J,MATCH('Scores per segment'!$A420,'Error Log'!$A:$A,0),MATCH('Scores per segment'!B$1,'Error Log'!$A$1:$J$1,0)))</f>
        <v/>
      </c>
      <c r="C420" s="65" t="str">
        <f>IF(ISBLANK(A420),"",INDEX('Error Log'!$A:$J,MATCH('Scores per segment'!$A420,'Error Log'!$A:$A,0),MATCH('Scores per segment'!C$1,'Error Log'!$A$1:$J$1,0)))</f>
        <v/>
      </c>
      <c r="D420" s="65">
        <f>IF(H420=0,wdct(TRIM(C420)),0)</f>
        <v>0</v>
      </c>
      <c r="E420" s="65">
        <f>COUNTIFS('Error Log'!$A:$A,$A420,'Error Log'!$J:$J,E$1)</f>
        <v>0</v>
      </c>
      <c r="F420" s="65">
        <f>COUNTIFS('Error Log'!$A:$A,$A420,'Error Log'!$J:$J,F$1)</f>
        <v>0</v>
      </c>
      <c r="G420" s="65">
        <f>COUNTIFS('Error Log'!$A:$A,$A420,'Error Log'!$J:$J,G$1)</f>
        <v>0</v>
      </c>
      <c r="H420" s="65">
        <f>COUNTIFS('Error Log'!$A:$A,$A420,'Error Log'!$F:$F,"Source")</f>
        <v>0</v>
      </c>
      <c r="I420" s="65">
        <f>COUNTIFS('Error Log'!$A:$A,$A420,'Error Log'!$F:$F,"Target")</f>
        <v>0</v>
      </c>
      <c r="J420" s="66">
        <f t="shared" si="6"/>
        <v>0</v>
      </c>
    </row>
    <row r="421" spans="1:10">
      <c r="A421" s="76"/>
      <c r="B421" s="65" t="str">
        <f>IF(ISBLANK(A421),"",INDEX('Error Log'!$A:$J,MATCH('Scores per segment'!$A421,'Error Log'!$A:$A,0),MATCH('Scores per segment'!B$1,'Error Log'!$A$1:$J$1,0)))</f>
        <v/>
      </c>
      <c r="C421" s="65" t="str">
        <f>IF(ISBLANK(A421),"",INDEX('Error Log'!$A:$J,MATCH('Scores per segment'!$A421,'Error Log'!$A:$A,0),MATCH('Scores per segment'!C$1,'Error Log'!$A$1:$J$1,0)))</f>
        <v/>
      </c>
      <c r="D421" s="65">
        <f>IF(H421=0,wdct(TRIM(C421)),0)</f>
        <v>0</v>
      </c>
      <c r="E421" s="65">
        <f>COUNTIFS('Error Log'!$A:$A,$A421,'Error Log'!$J:$J,E$1)</f>
        <v>0</v>
      </c>
      <c r="F421" s="65">
        <f>COUNTIFS('Error Log'!$A:$A,$A421,'Error Log'!$J:$J,F$1)</f>
        <v>0</v>
      </c>
      <c r="G421" s="65">
        <f>COUNTIFS('Error Log'!$A:$A,$A421,'Error Log'!$J:$J,G$1)</f>
        <v>0</v>
      </c>
      <c r="H421" s="65">
        <f>COUNTIFS('Error Log'!$A:$A,$A421,'Error Log'!$F:$F,"Source")</f>
        <v>0</v>
      </c>
      <c r="I421" s="65">
        <f>COUNTIFS('Error Log'!$A:$A,$A421,'Error Log'!$F:$F,"Target")</f>
        <v>0</v>
      </c>
      <c r="J421" s="66">
        <f t="shared" si="6"/>
        <v>0</v>
      </c>
    </row>
    <row r="422" spans="1:10">
      <c r="A422" s="76"/>
      <c r="B422" s="65" t="str">
        <f>IF(ISBLANK(A422),"",INDEX('Error Log'!$A:$J,MATCH('Scores per segment'!$A422,'Error Log'!$A:$A,0),MATCH('Scores per segment'!B$1,'Error Log'!$A$1:$J$1,0)))</f>
        <v/>
      </c>
      <c r="C422" s="65" t="str">
        <f>IF(ISBLANK(A422),"",INDEX('Error Log'!$A:$J,MATCH('Scores per segment'!$A422,'Error Log'!$A:$A,0),MATCH('Scores per segment'!C$1,'Error Log'!$A$1:$J$1,0)))</f>
        <v/>
      </c>
      <c r="D422" s="65">
        <f>IF(H422=0,wdct(TRIM(C422)),0)</f>
        <v>0</v>
      </c>
      <c r="E422" s="65">
        <f>COUNTIFS('Error Log'!$A:$A,$A422,'Error Log'!$J:$J,E$1)</f>
        <v>0</v>
      </c>
      <c r="F422" s="65">
        <f>COUNTIFS('Error Log'!$A:$A,$A422,'Error Log'!$J:$J,F$1)</f>
        <v>0</v>
      </c>
      <c r="G422" s="65">
        <f>COUNTIFS('Error Log'!$A:$A,$A422,'Error Log'!$J:$J,G$1)</f>
        <v>0</v>
      </c>
      <c r="H422" s="65">
        <f>COUNTIFS('Error Log'!$A:$A,$A422,'Error Log'!$F:$F,"Source")</f>
        <v>0</v>
      </c>
      <c r="I422" s="65">
        <f>COUNTIFS('Error Log'!$A:$A,$A422,'Error Log'!$F:$F,"Target")</f>
        <v>0</v>
      </c>
      <c r="J422" s="66">
        <f t="shared" si="6"/>
        <v>0</v>
      </c>
    </row>
    <row r="423" spans="1:10">
      <c r="A423" s="76"/>
      <c r="B423" s="65" t="str">
        <f>IF(ISBLANK(A423),"",INDEX('Error Log'!$A:$J,MATCH('Scores per segment'!$A423,'Error Log'!$A:$A,0),MATCH('Scores per segment'!B$1,'Error Log'!$A$1:$J$1,0)))</f>
        <v/>
      </c>
      <c r="C423" s="65" t="str">
        <f>IF(ISBLANK(A423),"",INDEX('Error Log'!$A:$J,MATCH('Scores per segment'!$A423,'Error Log'!$A:$A,0),MATCH('Scores per segment'!C$1,'Error Log'!$A$1:$J$1,0)))</f>
        <v/>
      </c>
      <c r="D423" s="65">
        <f>IF(H423=0,wdct(TRIM(C423)),0)</f>
        <v>0</v>
      </c>
      <c r="E423" s="65">
        <f>COUNTIFS('Error Log'!$A:$A,$A423,'Error Log'!$J:$J,E$1)</f>
        <v>0</v>
      </c>
      <c r="F423" s="65">
        <f>COUNTIFS('Error Log'!$A:$A,$A423,'Error Log'!$J:$J,F$1)</f>
        <v>0</v>
      </c>
      <c r="G423" s="65">
        <f>COUNTIFS('Error Log'!$A:$A,$A423,'Error Log'!$J:$J,G$1)</f>
        <v>0</v>
      </c>
      <c r="H423" s="65">
        <f>COUNTIFS('Error Log'!$A:$A,$A423,'Error Log'!$F:$F,"Source")</f>
        <v>0</v>
      </c>
      <c r="I423" s="65">
        <f>COUNTIFS('Error Log'!$A:$A,$A423,'Error Log'!$F:$F,"Target")</f>
        <v>0</v>
      </c>
      <c r="J423" s="66">
        <f t="shared" si="6"/>
        <v>0</v>
      </c>
    </row>
    <row r="424" spans="1:10">
      <c r="A424" s="76"/>
      <c r="B424" s="65" t="str">
        <f>IF(ISBLANK(A424),"",INDEX('Error Log'!$A:$J,MATCH('Scores per segment'!$A424,'Error Log'!$A:$A,0),MATCH('Scores per segment'!B$1,'Error Log'!$A$1:$J$1,0)))</f>
        <v/>
      </c>
      <c r="C424" s="65" t="str">
        <f>IF(ISBLANK(A424),"",INDEX('Error Log'!$A:$J,MATCH('Scores per segment'!$A424,'Error Log'!$A:$A,0),MATCH('Scores per segment'!C$1,'Error Log'!$A$1:$J$1,0)))</f>
        <v/>
      </c>
      <c r="D424" s="65">
        <f>IF(H424=0,wdct(TRIM(C424)),0)</f>
        <v>0</v>
      </c>
      <c r="E424" s="65">
        <f>COUNTIFS('Error Log'!$A:$A,$A424,'Error Log'!$J:$J,E$1)</f>
        <v>0</v>
      </c>
      <c r="F424" s="65">
        <f>COUNTIFS('Error Log'!$A:$A,$A424,'Error Log'!$J:$J,F$1)</f>
        <v>0</v>
      </c>
      <c r="G424" s="65">
        <f>COUNTIFS('Error Log'!$A:$A,$A424,'Error Log'!$J:$J,G$1)</f>
        <v>0</v>
      </c>
      <c r="H424" s="65">
        <f>COUNTIFS('Error Log'!$A:$A,$A424,'Error Log'!$F:$F,"Source")</f>
        <v>0</v>
      </c>
      <c r="I424" s="65">
        <f>COUNTIFS('Error Log'!$A:$A,$A424,'Error Log'!$F:$F,"Target")</f>
        <v>0</v>
      </c>
      <c r="J424" s="66">
        <f t="shared" si="6"/>
        <v>0</v>
      </c>
    </row>
    <row r="425" spans="1:10">
      <c r="A425" s="76"/>
      <c r="B425" s="65" t="str">
        <f>IF(ISBLANK(A425),"",INDEX('Error Log'!$A:$J,MATCH('Scores per segment'!$A425,'Error Log'!$A:$A,0),MATCH('Scores per segment'!B$1,'Error Log'!$A$1:$J$1,0)))</f>
        <v/>
      </c>
      <c r="C425" s="65" t="str">
        <f>IF(ISBLANK(A425),"",INDEX('Error Log'!$A:$J,MATCH('Scores per segment'!$A425,'Error Log'!$A:$A,0),MATCH('Scores per segment'!C$1,'Error Log'!$A$1:$J$1,0)))</f>
        <v/>
      </c>
      <c r="D425" s="65">
        <f>IF(H425=0,wdct(TRIM(C425)),0)</f>
        <v>0</v>
      </c>
      <c r="E425" s="65">
        <f>COUNTIFS('Error Log'!$A:$A,$A425,'Error Log'!$J:$J,E$1)</f>
        <v>0</v>
      </c>
      <c r="F425" s="65">
        <f>COUNTIFS('Error Log'!$A:$A,$A425,'Error Log'!$J:$J,F$1)</f>
        <v>0</v>
      </c>
      <c r="G425" s="65">
        <f>COUNTIFS('Error Log'!$A:$A,$A425,'Error Log'!$J:$J,G$1)</f>
        <v>0</v>
      </c>
      <c r="H425" s="65">
        <f>COUNTIFS('Error Log'!$A:$A,$A425,'Error Log'!$F:$F,"Source")</f>
        <v>0</v>
      </c>
      <c r="I425" s="65">
        <f>COUNTIFS('Error Log'!$A:$A,$A425,'Error Log'!$F:$F,"Target")</f>
        <v>0</v>
      </c>
      <c r="J425" s="66">
        <f t="shared" si="6"/>
        <v>0</v>
      </c>
    </row>
    <row r="426" spans="1:10">
      <c r="A426" s="76"/>
      <c r="B426" s="65" t="str">
        <f>IF(ISBLANK(A426),"",INDEX('Error Log'!$A:$J,MATCH('Scores per segment'!$A426,'Error Log'!$A:$A,0),MATCH('Scores per segment'!B$1,'Error Log'!$A$1:$J$1,0)))</f>
        <v/>
      </c>
      <c r="C426" s="65" t="str">
        <f>IF(ISBLANK(A426),"",INDEX('Error Log'!$A:$J,MATCH('Scores per segment'!$A426,'Error Log'!$A:$A,0),MATCH('Scores per segment'!C$1,'Error Log'!$A$1:$J$1,0)))</f>
        <v/>
      </c>
      <c r="D426" s="65">
        <f>IF(H426=0,wdct(TRIM(C426)),0)</f>
        <v>0</v>
      </c>
      <c r="E426" s="65">
        <f>COUNTIFS('Error Log'!$A:$A,$A426,'Error Log'!$J:$J,E$1)</f>
        <v>0</v>
      </c>
      <c r="F426" s="65">
        <f>COUNTIFS('Error Log'!$A:$A,$A426,'Error Log'!$J:$J,F$1)</f>
        <v>0</v>
      </c>
      <c r="G426" s="65">
        <f>COUNTIFS('Error Log'!$A:$A,$A426,'Error Log'!$J:$J,G$1)</f>
        <v>0</v>
      </c>
      <c r="H426" s="65">
        <f>COUNTIFS('Error Log'!$A:$A,$A426,'Error Log'!$F:$F,"Source")</f>
        <v>0</v>
      </c>
      <c r="I426" s="65">
        <f>COUNTIFS('Error Log'!$A:$A,$A426,'Error Log'!$F:$F,"Target")</f>
        <v>0</v>
      </c>
      <c r="J426" s="66">
        <f t="shared" si="6"/>
        <v>0</v>
      </c>
    </row>
    <row r="427" spans="1:10">
      <c r="A427" s="76"/>
      <c r="B427" s="65" t="str">
        <f>IF(ISBLANK(A427),"",INDEX('Error Log'!$A:$J,MATCH('Scores per segment'!$A427,'Error Log'!$A:$A,0),MATCH('Scores per segment'!B$1,'Error Log'!$A$1:$J$1,0)))</f>
        <v/>
      </c>
      <c r="C427" s="65" t="str">
        <f>IF(ISBLANK(A427),"",INDEX('Error Log'!$A:$J,MATCH('Scores per segment'!$A427,'Error Log'!$A:$A,0),MATCH('Scores per segment'!C$1,'Error Log'!$A$1:$J$1,0)))</f>
        <v/>
      </c>
      <c r="D427" s="65">
        <f>IF(H427=0,wdct(TRIM(C427)),0)</f>
        <v>0</v>
      </c>
      <c r="E427" s="65">
        <f>COUNTIFS('Error Log'!$A:$A,$A427,'Error Log'!$J:$J,E$1)</f>
        <v>0</v>
      </c>
      <c r="F427" s="65">
        <f>COUNTIFS('Error Log'!$A:$A,$A427,'Error Log'!$J:$J,F$1)</f>
        <v>0</v>
      </c>
      <c r="G427" s="65">
        <f>COUNTIFS('Error Log'!$A:$A,$A427,'Error Log'!$J:$J,G$1)</f>
        <v>0</v>
      </c>
      <c r="H427" s="65">
        <f>COUNTIFS('Error Log'!$A:$A,$A427,'Error Log'!$F:$F,"Source")</f>
        <v>0</v>
      </c>
      <c r="I427" s="65">
        <f>COUNTIFS('Error Log'!$A:$A,$A427,'Error Log'!$F:$F,"Target")</f>
        <v>0</v>
      </c>
      <c r="J427" s="66">
        <f t="shared" si="6"/>
        <v>0</v>
      </c>
    </row>
    <row r="428" spans="1:10">
      <c r="A428" s="76"/>
      <c r="B428" s="65" t="str">
        <f>IF(ISBLANK(A428),"",INDEX('Error Log'!$A:$J,MATCH('Scores per segment'!$A428,'Error Log'!$A:$A,0),MATCH('Scores per segment'!B$1,'Error Log'!$A$1:$J$1,0)))</f>
        <v/>
      </c>
      <c r="C428" s="65" t="str">
        <f>IF(ISBLANK(A428),"",INDEX('Error Log'!$A:$J,MATCH('Scores per segment'!$A428,'Error Log'!$A:$A,0),MATCH('Scores per segment'!C$1,'Error Log'!$A$1:$J$1,0)))</f>
        <v/>
      </c>
      <c r="D428" s="65">
        <f>IF(H428=0,wdct(TRIM(C428)),0)</f>
        <v>0</v>
      </c>
      <c r="E428" s="65">
        <f>COUNTIFS('Error Log'!$A:$A,$A428,'Error Log'!$J:$J,E$1)</f>
        <v>0</v>
      </c>
      <c r="F428" s="65">
        <f>COUNTIFS('Error Log'!$A:$A,$A428,'Error Log'!$J:$J,F$1)</f>
        <v>0</v>
      </c>
      <c r="G428" s="65">
        <f>COUNTIFS('Error Log'!$A:$A,$A428,'Error Log'!$J:$J,G$1)</f>
        <v>0</v>
      </c>
      <c r="H428" s="65">
        <f>COUNTIFS('Error Log'!$A:$A,$A428,'Error Log'!$F:$F,"Source")</f>
        <v>0</v>
      </c>
      <c r="I428" s="65">
        <f>COUNTIFS('Error Log'!$A:$A,$A428,'Error Log'!$F:$F,"Target")</f>
        <v>0</v>
      </c>
      <c r="J428" s="66">
        <f t="shared" si="6"/>
        <v>0</v>
      </c>
    </row>
    <row r="429" spans="1:10">
      <c r="A429" s="76"/>
      <c r="B429" s="65" t="str">
        <f>IF(ISBLANK(A429),"",INDEX('Error Log'!$A:$J,MATCH('Scores per segment'!$A429,'Error Log'!$A:$A,0),MATCH('Scores per segment'!B$1,'Error Log'!$A$1:$J$1,0)))</f>
        <v/>
      </c>
      <c r="C429" s="65" t="str">
        <f>IF(ISBLANK(A429),"",INDEX('Error Log'!$A:$J,MATCH('Scores per segment'!$A429,'Error Log'!$A:$A,0),MATCH('Scores per segment'!C$1,'Error Log'!$A$1:$J$1,0)))</f>
        <v/>
      </c>
      <c r="D429" s="65">
        <f>IF(H429=0,wdct(TRIM(C429)),0)</f>
        <v>0</v>
      </c>
      <c r="E429" s="65">
        <f>COUNTIFS('Error Log'!$A:$A,$A429,'Error Log'!$J:$J,E$1)</f>
        <v>0</v>
      </c>
      <c r="F429" s="65">
        <f>COUNTIFS('Error Log'!$A:$A,$A429,'Error Log'!$J:$J,F$1)</f>
        <v>0</v>
      </c>
      <c r="G429" s="65">
        <f>COUNTIFS('Error Log'!$A:$A,$A429,'Error Log'!$J:$J,G$1)</f>
        <v>0</v>
      </c>
      <c r="H429" s="65">
        <f>COUNTIFS('Error Log'!$A:$A,$A429,'Error Log'!$F:$F,"Source")</f>
        <v>0</v>
      </c>
      <c r="I429" s="65">
        <f>COUNTIFS('Error Log'!$A:$A,$A429,'Error Log'!$F:$F,"Target")</f>
        <v>0</v>
      </c>
      <c r="J429" s="66">
        <f t="shared" si="6"/>
        <v>0</v>
      </c>
    </row>
    <row r="430" spans="1:10">
      <c r="A430" s="76"/>
      <c r="B430" s="65" t="str">
        <f>IF(ISBLANK(A430),"",INDEX('Error Log'!$A:$J,MATCH('Scores per segment'!$A430,'Error Log'!$A:$A,0),MATCH('Scores per segment'!B$1,'Error Log'!$A$1:$J$1,0)))</f>
        <v/>
      </c>
      <c r="C430" s="65" t="str">
        <f>IF(ISBLANK(A430),"",INDEX('Error Log'!$A:$J,MATCH('Scores per segment'!$A430,'Error Log'!$A:$A,0),MATCH('Scores per segment'!C$1,'Error Log'!$A$1:$J$1,0)))</f>
        <v/>
      </c>
      <c r="D430" s="65">
        <f>IF(H430=0,wdct(TRIM(C430)),0)</f>
        <v>0</v>
      </c>
      <c r="E430" s="65">
        <f>COUNTIFS('Error Log'!$A:$A,$A430,'Error Log'!$J:$J,E$1)</f>
        <v>0</v>
      </c>
      <c r="F430" s="65">
        <f>COUNTIFS('Error Log'!$A:$A,$A430,'Error Log'!$J:$J,F$1)</f>
        <v>0</v>
      </c>
      <c r="G430" s="65">
        <f>COUNTIFS('Error Log'!$A:$A,$A430,'Error Log'!$J:$J,G$1)</f>
        <v>0</v>
      </c>
      <c r="H430" s="65">
        <f>COUNTIFS('Error Log'!$A:$A,$A430,'Error Log'!$F:$F,"Source")</f>
        <v>0</v>
      </c>
      <c r="I430" s="65">
        <f>COUNTIFS('Error Log'!$A:$A,$A430,'Error Log'!$F:$F,"Target")</f>
        <v>0</v>
      </c>
      <c r="J430" s="66">
        <f t="shared" si="6"/>
        <v>0</v>
      </c>
    </row>
    <row r="431" spans="1:10">
      <c r="A431" s="76"/>
      <c r="B431" s="65" t="str">
        <f>IF(ISBLANK(A431),"",INDEX('Error Log'!$A:$J,MATCH('Scores per segment'!$A431,'Error Log'!$A:$A,0),MATCH('Scores per segment'!B$1,'Error Log'!$A$1:$J$1,0)))</f>
        <v/>
      </c>
      <c r="C431" s="65" t="str">
        <f>IF(ISBLANK(A431),"",INDEX('Error Log'!$A:$J,MATCH('Scores per segment'!$A431,'Error Log'!$A:$A,0),MATCH('Scores per segment'!C$1,'Error Log'!$A$1:$J$1,0)))</f>
        <v/>
      </c>
      <c r="D431" s="65">
        <f>IF(H431=0,wdct(TRIM(C431)),0)</f>
        <v>0</v>
      </c>
      <c r="E431" s="65">
        <f>COUNTIFS('Error Log'!$A:$A,$A431,'Error Log'!$J:$J,E$1)</f>
        <v>0</v>
      </c>
      <c r="F431" s="65">
        <f>COUNTIFS('Error Log'!$A:$A,$A431,'Error Log'!$J:$J,F$1)</f>
        <v>0</v>
      </c>
      <c r="G431" s="65">
        <f>COUNTIFS('Error Log'!$A:$A,$A431,'Error Log'!$J:$J,G$1)</f>
        <v>0</v>
      </c>
      <c r="H431" s="65">
        <f>COUNTIFS('Error Log'!$A:$A,$A431,'Error Log'!$F:$F,"Source")</f>
        <v>0</v>
      </c>
      <c r="I431" s="65">
        <f>COUNTIFS('Error Log'!$A:$A,$A431,'Error Log'!$F:$F,"Target")</f>
        <v>0</v>
      </c>
      <c r="J431" s="66">
        <f t="shared" si="6"/>
        <v>0</v>
      </c>
    </row>
    <row r="432" spans="1:10">
      <c r="A432" s="76"/>
      <c r="B432" s="65" t="str">
        <f>IF(ISBLANK(A432),"",INDEX('Error Log'!$A:$J,MATCH('Scores per segment'!$A432,'Error Log'!$A:$A,0),MATCH('Scores per segment'!B$1,'Error Log'!$A$1:$J$1,0)))</f>
        <v/>
      </c>
      <c r="C432" s="65" t="str">
        <f>IF(ISBLANK(A432),"",INDEX('Error Log'!$A:$J,MATCH('Scores per segment'!$A432,'Error Log'!$A:$A,0),MATCH('Scores per segment'!C$1,'Error Log'!$A$1:$J$1,0)))</f>
        <v/>
      </c>
      <c r="D432" s="65">
        <f>IF(H432=0,wdct(TRIM(C432)),0)</f>
        <v>0</v>
      </c>
      <c r="E432" s="65">
        <f>COUNTIFS('Error Log'!$A:$A,$A432,'Error Log'!$J:$J,E$1)</f>
        <v>0</v>
      </c>
      <c r="F432" s="65">
        <f>COUNTIFS('Error Log'!$A:$A,$A432,'Error Log'!$J:$J,F$1)</f>
        <v>0</v>
      </c>
      <c r="G432" s="65">
        <f>COUNTIFS('Error Log'!$A:$A,$A432,'Error Log'!$J:$J,G$1)</f>
        <v>0</v>
      </c>
      <c r="H432" s="65">
        <f>COUNTIFS('Error Log'!$A:$A,$A432,'Error Log'!$F:$F,"Source")</f>
        <v>0</v>
      </c>
      <c r="I432" s="65">
        <f>COUNTIFS('Error Log'!$A:$A,$A432,'Error Log'!$F:$F,"Target")</f>
        <v>0</v>
      </c>
      <c r="J432" s="66">
        <f t="shared" si="6"/>
        <v>0</v>
      </c>
    </row>
    <row r="433" spans="1:10">
      <c r="A433" s="76"/>
      <c r="B433" s="65" t="str">
        <f>IF(ISBLANK(A433),"",INDEX('Error Log'!$A:$J,MATCH('Scores per segment'!$A433,'Error Log'!$A:$A,0),MATCH('Scores per segment'!B$1,'Error Log'!$A$1:$J$1,0)))</f>
        <v/>
      </c>
      <c r="C433" s="65" t="str">
        <f>IF(ISBLANK(A433),"",INDEX('Error Log'!$A:$J,MATCH('Scores per segment'!$A433,'Error Log'!$A:$A,0),MATCH('Scores per segment'!C$1,'Error Log'!$A$1:$J$1,0)))</f>
        <v/>
      </c>
      <c r="D433" s="65">
        <f>IF(H433=0,wdct(TRIM(C433)),0)</f>
        <v>0</v>
      </c>
      <c r="E433" s="65">
        <f>COUNTIFS('Error Log'!$A:$A,$A433,'Error Log'!$J:$J,E$1)</f>
        <v>0</v>
      </c>
      <c r="F433" s="65">
        <f>COUNTIFS('Error Log'!$A:$A,$A433,'Error Log'!$J:$J,F$1)</f>
        <v>0</v>
      </c>
      <c r="G433" s="65">
        <f>COUNTIFS('Error Log'!$A:$A,$A433,'Error Log'!$J:$J,G$1)</f>
        <v>0</v>
      </c>
      <c r="H433" s="65">
        <f>COUNTIFS('Error Log'!$A:$A,$A433,'Error Log'!$F:$F,"Source")</f>
        <v>0</v>
      </c>
      <c r="I433" s="65">
        <f>COUNTIFS('Error Log'!$A:$A,$A433,'Error Log'!$F:$F,"Target")</f>
        <v>0</v>
      </c>
      <c r="J433" s="66">
        <f t="shared" si="6"/>
        <v>0</v>
      </c>
    </row>
    <row r="434" spans="1:10">
      <c r="A434" s="76"/>
      <c r="B434" s="65" t="str">
        <f>IF(ISBLANK(A434),"",INDEX('Error Log'!$A:$J,MATCH('Scores per segment'!$A434,'Error Log'!$A:$A,0),MATCH('Scores per segment'!B$1,'Error Log'!$A$1:$J$1,0)))</f>
        <v/>
      </c>
      <c r="C434" s="65" t="str">
        <f>IF(ISBLANK(A434),"",INDEX('Error Log'!$A:$J,MATCH('Scores per segment'!$A434,'Error Log'!$A:$A,0),MATCH('Scores per segment'!C$1,'Error Log'!$A$1:$J$1,0)))</f>
        <v/>
      </c>
      <c r="D434" s="65">
        <f>IF(H434=0,wdct(TRIM(C434)),0)</f>
        <v>0</v>
      </c>
      <c r="E434" s="65">
        <f>COUNTIFS('Error Log'!$A:$A,$A434,'Error Log'!$J:$J,E$1)</f>
        <v>0</v>
      </c>
      <c r="F434" s="65">
        <f>COUNTIFS('Error Log'!$A:$A,$A434,'Error Log'!$J:$J,F$1)</f>
        <v>0</v>
      </c>
      <c r="G434" s="65">
        <f>COUNTIFS('Error Log'!$A:$A,$A434,'Error Log'!$J:$J,G$1)</f>
        <v>0</v>
      </c>
      <c r="H434" s="65">
        <f>COUNTIFS('Error Log'!$A:$A,$A434,'Error Log'!$F:$F,"Source")</f>
        <v>0</v>
      </c>
      <c r="I434" s="65">
        <f>COUNTIFS('Error Log'!$A:$A,$A434,'Error Log'!$F:$F,"Target")</f>
        <v>0</v>
      </c>
      <c r="J434" s="66">
        <f t="shared" si="6"/>
        <v>0</v>
      </c>
    </row>
    <row r="435" spans="1:10">
      <c r="A435" s="76"/>
      <c r="B435" s="65" t="str">
        <f>IF(ISBLANK(A435),"",INDEX('Error Log'!$A:$J,MATCH('Scores per segment'!$A435,'Error Log'!$A:$A,0),MATCH('Scores per segment'!B$1,'Error Log'!$A$1:$J$1,0)))</f>
        <v/>
      </c>
      <c r="C435" s="65" t="str">
        <f>IF(ISBLANK(A435),"",INDEX('Error Log'!$A:$J,MATCH('Scores per segment'!$A435,'Error Log'!$A:$A,0),MATCH('Scores per segment'!C$1,'Error Log'!$A$1:$J$1,0)))</f>
        <v/>
      </c>
      <c r="D435" s="65">
        <f>IF(H435=0,wdct(TRIM(C435)),0)</f>
        <v>0</v>
      </c>
      <c r="E435" s="65">
        <f>COUNTIFS('Error Log'!$A:$A,$A435,'Error Log'!$J:$J,E$1)</f>
        <v>0</v>
      </c>
      <c r="F435" s="65">
        <f>COUNTIFS('Error Log'!$A:$A,$A435,'Error Log'!$J:$J,F$1)</f>
        <v>0</v>
      </c>
      <c r="G435" s="65">
        <f>COUNTIFS('Error Log'!$A:$A,$A435,'Error Log'!$J:$J,G$1)</f>
        <v>0</v>
      </c>
      <c r="H435" s="65">
        <f>COUNTIFS('Error Log'!$A:$A,$A435,'Error Log'!$F:$F,"Source")</f>
        <v>0</v>
      </c>
      <c r="I435" s="65">
        <f>COUNTIFS('Error Log'!$A:$A,$A435,'Error Log'!$F:$F,"Target")</f>
        <v>0</v>
      </c>
      <c r="J435" s="66">
        <f t="shared" si="6"/>
        <v>0</v>
      </c>
    </row>
    <row r="436" spans="1:10">
      <c r="A436" s="76"/>
      <c r="B436" s="65" t="str">
        <f>IF(ISBLANK(A436),"",INDEX('Error Log'!$A:$J,MATCH('Scores per segment'!$A436,'Error Log'!$A:$A,0),MATCH('Scores per segment'!B$1,'Error Log'!$A$1:$J$1,0)))</f>
        <v/>
      </c>
      <c r="C436" s="65" t="str">
        <f>IF(ISBLANK(A436),"",INDEX('Error Log'!$A:$J,MATCH('Scores per segment'!$A436,'Error Log'!$A:$A,0),MATCH('Scores per segment'!C$1,'Error Log'!$A$1:$J$1,0)))</f>
        <v/>
      </c>
      <c r="D436" s="65">
        <f>IF(H436=0,wdct(TRIM(C436)),0)</f>
        <v>0</v>
      </c>
      <c r="E436" s="65">
        <f>COUNTIFS('Error Log'!$A:$A,$A436,'Error Log'!$J:$J,E$1)</f>
        <v>0</v>
      </c>
      <c r="F436" s="65">
        <f>COUNTIFS('Error Log'!$A:$A,$A436,'Error Log'!$J:$J,F$1)</f>
        <v>0</v>
      </c>
      <c r="G436" s="65">
        <f>COUNTIFS('Error Log'!$A:$A,$A436,'Error Log'!$J:$J,G$1)</f>
        <v>0</v>
      </c>
      <c r="H436" s="65">
        <f>COUNTIFS('Error Log'!$A:$A,$A436,'Error Log'!$F:$F,"Source")</f>
        <v>0</v>
      </c>
      <c r="I436" s="65">
        <f>COUNTIFS('Error Log'!$A:$A,$A436,'Error Log'!$F:$F,"Target")</f>
        <v>0</v>
      </c>
      <c r="J436" s="66">
        <f t="shared" si="6"/>
        <v>0</v>
      </c>
    </row>
    <row r="437" spans="1:10">
      <c r="A437" s="76"/>
      <c r="B437" s="65" t="str">
        <f>IF(ISBLANK(A437),"",INDEX('Error Log'!$A:$J,MATCH('Scores per segment'!$A437,'Error Log'!$A:$A,0),MATCH('Scores per segment'!B$1,'Error Log'!$A$1:$J$1,0)))</f>
        <v/>
      </c>
      <c r="C437" s="65" t="str">
        <f>IF(ISBLANK(A437),"",INDEX('Error Log'!$A:$J,MATCH('Scores per segment'!$A437,'Error Log'!$A:$A,0),MATCH('Scores per segment'!C$1,'Error Log'!$A$1:$J$1,0)))</f>
        <v/>
      </c>
      <c r="D437" s="65">
        <f>IF(H437=0,wdct(TRIM(C437)),0)</f>
        <v>0</v>
      </c>
      <c r="E437" s="65">
        <f>COUNTIFS('Error Log'!$A:$A,$A437,'Error Log'!$J:$J,E$1)</f>
        <v>0</v>
      </c>
      <c r="F437" s="65">
        <f>COUNTIFS('Error Log'!$A:$A,$A437,'Error Log'!$J:$J,F$1)</f>
        <v>0</v>
      </c>
      <c r="G437" s="65">
        <f>COUNTIFS('Error Log'!$A:$A,$A437,'Error Log'!$J:$J,G$1)</f>
        <v>0</v>
      </c>
      <c r="H437" s="65">
        <f>COUNTIFS('Error Log'!$A:$A,$A437,'Error Log'!$F:$F,"Source")</f>
        <v>0</v>
      </c>
      <c r="I437" s="65">
        <f>COUNTIFS('Error Log'!$A:$A,$A437,'Error Log'!$F:$F,"Target")</f>
        <v>0</v>
      </c>
      <c r="J437" s="66">
        <f t="shared" si="6"/>
        <v>0</v>
      </c>
    </row>
    <row r="438" spans="1:10">
      <c r="A438" s="76"/>
      <c r="B438" s="65" t="str">
        <f>IF(ISBLANK(A438),"",INDEX('Error Log'!$A:$J,MATCH('Scores per segment'!$A438,'Error Log'!$A:$A,0),MATCH('Scores per segment'!B$1,'Error Log'!$A$1:$J$1,0)))</f>
        <v/>
      </c>
      <c r="C438" s="65" t="str">
        <f>IF(ISBLANK(A438),"",INDEX('Error Log'!$A:$J,MATCH('Scores per segment'!$A438,'Error Log'!$A:$A,0),MATCH('Scores per segment'!C$1,'Error Log'!$A$1:$J$1,0)))</f>
        <v/>
      </c>
      <c r="D438" s="65">
        <f>IF(H438=0,wdct(TRIM(C438)),0)</f>
        <v>0</v>
      </c>
      <c r="E438" s="65">
        <f>COUNTIFS('Error Log'!$A:$A,$A438,'Error Log'!$J:$J,E$1)</f>
        <v>0</v>
      </c>
      <c r="F438" s="65">
        <f>COUNTIFS('Error Log'!$A:$A,$A438,'Error Log'!$J:$J,F$1)</f>
        <v>0</v>
      </c>
      <c r="G438" s="65">
        <f>COUNTIFS('Error Log'!$A:$A,$A438,'Error Log'!$J:$J,G$1)</f>
        <v>0</v>
      </c>
      <c r="H438" s="65">
        <f>COUNTIFS('Error Log'!$A:$A,$A438,'Error Log'!$F:$F,"Source")</f>
        <v>0</v>
      </c>
      <c r="I438" s="65">
        <f>COUNTIFS('Error Log'!$A:$A,$A438,'Error Log'!$F:$F,"Target")</f>
        <v>0</v>
      </c>
      <c r="J438" s="66">
        <f t="shared" si="6"/>
        <v>0</v>
      </c>
    </row>
    <row r="439" spans="1:10">
      <c r="A439" s="76"/>
      <c r="B439" s="65" t="str">
        <f>IF(ISBLANK(A439),"",INDEX('Error Log'!$A:$J,MATCH('Scores per segment'!$A439,'Error Log'!$A:$A,0),MATCH('Scores per segment'!B$1,'Error Log'!$A$1:$J$1,0)))</f>
        <v/>
      </c>
      <c r="C439" s="65" t="str">
        <f>IF(ISBLANK(A439),"",INDEX('Error Log'!$A:$J,MATCH('Scores per segment'!$A439,'Error Log'!$A:$A,0),MATCH('Scores per segment'!C$1,'Error Log'!$A$1:$J$1,0)))</f>
        <v/>
      </c>
      <c r="D439" s="65">
        <f>IF(H439=0,wdct(TRIM(C439)),0)</f>
        <v>0</v>
      </c>
      <c r="E439" s="65">
        <f>COUNTIFS('Error Log'!$A:$A,$A439,'Error Log'!$J:$J,E$1)</f>
        <v>0</v>
      </c>
      <c r="F439" s="65">
        <f>COUNTIFS('Error Log'!$A:$A,$A439,'Error Log'!$J:$J,F$1)</f>
        <v>0</v>
      </c>
      <c r="G439" s="65">
        <f>COUNTIFS('Error Log'!$A:$A,$A439,'Error Log'!$J:$J,G$1)</f>
        <v>0</v>
      </c>
      <c r="H439" s="65">
        <f>COUNTIFS('Error Log'!$A:$A,$A439,'Error Log'!$F:$F,"Source")</f>
        <v>0</v>
      </c>
      <c r="I439" s="65">
        <f>COUNTIFS('Error Log'!$A:$A,$A439,'Error Log'!$F:$F,"Target")</f>
        <v>0</v>
      </c>
      <c r="J439" s="66">
        <f t="shared" si="6"/>
        <v>0</v>
      </c>
    </row>
    <row r="440" spans="1:10">
      <c r="A440" s="76"/>
      <c r="B440" s="65" t="str">
        <f>IF(ISBLANK(A440),"",INDEX('Error Log'!$A:$J,MATCH('Scores per segment'!$A440,'Error Log'!$A:$A,0),MATCH('Scores per segment'!B$1,'Error Log'!$A$1:$J$1,0)))</f>
        <v/>
      </c>
      <c r="C440" s="65" t="str">
        <f>IF(ISBLANK(A440),"",INDEX('Error Log'!$A:$J,MATCH('Scores per segment'!$A440,'Error Log'!$A:$A,0),MATCH('Scores per segment'!C$1,'Error Log'!$A$1:$J$1,0)))</f>
        <v/>
      </c>
      <c r="D440" s="65">
        <f>IF(H440=0,wdct(TRIM(C440)),0)</f>
        <v>0</v>
      </c>
      <c r="E440" s="65">
        <f>COUNTIFS('Error Log'!$A:$A,$A440,'Error Log'!$J:$J,E$1)</f>
        <v>0</v>
      </c>
      <c r="F440" s="65">
        <f>COUNTIFS('Error Log'!$A:$A,$A440,'Error Log'!$J:$J,F$1)</f>
        <v>0</v>
      </c>
      <c r="G440" s="65">
        <f>COUNTIFS('Error Log'!$A:$A,$A440,'Error Log'!$J:$J,G$1)</f>
        <v>0</v>
      </c>
      <c r="H440" s="65">
        <f>COUNTIFS('Error Log'!$A:$A,$A440,'Error Log'!$F:$F,"Source")</f>
        <v>0</v>
      </c>
      <c r="I440" s="65">
        <f>COUNTIFS('Error Log'!$A:$A,$A440,'Error Log'!$F:$F,"Target")</f>
        <v>0</v>
      </c>
      <c r="J440" s="66">
        <f t="shared" si="6"/>
        <v>0</v>
      </c>
    </row>
    <row r="441" spans="1:10">
      <c r="A441" s="76"/>
      <c r="B441" s="65" t="str">
        <f>IF(ISBLANK(A441),"",INDEX('Error Log'!$A:$J,MATCH('Scores per segment'!$A441,'Error Log'!$A:$A,0),MATCH('Scores per segment'!B$1,'Error Log'!$A$1:$J$1,0)))</f>
        <v/>
      </c>
      <c r="C441" s="65" t="str">
        <f>IF(ISBLANK(A441),"",INDEX('Error Log'!$A:$J,MATCH('Scores per segment'!$A441,'Error Log'!$A:$A,0),MATCH('Scores per segment'!C$1,'Error Log'!$A$1:$J$1,0)))</f>
        <v/>
      </c>
      <c r="D441" s="65">
        <f>IF(H441=0,wdct(TRIM(C441)),0)</f>
        <v>0</v>
      </c>
      <c r="E441" s="65">
        <f>COUNTIFS('Error Log'!$A:$A,$A441,'Error Log'!$J:$J,E$1)</f>
        <v>0</v>
      </c>
      <c r="F441" s="65">
        <f>COUNTIFS('Error Log'!$A:$A,$A441,'Error Log'!$J:$J,F$1)</f>
        <v>0</v>
      </c>
      <c r="G441" s="65">
        <f>COUNTIFS('Error Log'!$A:$A,$A441,'Error Log'!$J:$J,G$1)</f>
        <v>0</v>
      </c>
      <c r="H441" s="65">
        <f>COUNTIFS('Error Log'!$A:$A,$A441,'Error Log'!$F:$F,"Source")</f>
        <v>0</v>
      </c>
      <c r="I441" s="65">
        <f>COUNTIFS('Error Log'!$A:$A,$A441,'Error Log'!$F:$F,"Target")</f>
        <v>0</v>
      </c>
      <c r="J441" s="66">
        <f t="shared" si="6"/>
        <v>0</v>
      </c>
    </row>
    <row r="442" spans="1:10">
      <c r="A442" s="76"/>
      <c r="B442" s="65" t="str">
        <f>IF(ISBLANK(A442),"",INDEX('Error Log'!$A:$J,MATCH('Scores per segment'!$A442,'Error Log'!$A:$A,0),MATCH('Scores per segment'!B$1,'Error Log'!$A$1:$J$1,0)))</f>
        <v/>
      </c>
      <c r="C442" s="65" t="str">
        <f>IF(ISBLANK(A442),"",INDEX('Error Log'!$A:$J,MATCH('Scores per segment'!$A442,'Error Log'!$A:$A,0),MATCH('Scores per segment'!C$1,'Error Log'!$A$1:$J$1,0)))</f>
        <v/>
      </c>
      <c r="D442" s="65">
        <f>IF(H442=0,wdct(TRIM(C442)),0)</f>
        <v>0</v>
      </c>
      <c r="E442" s="65">
        <f>COUNTIFS('Error Log'!$A:$A,$A442,'Error Log'!$J:$J,E$1)</f>
        <v>0</v>
      </c>
      <c r="F442" s="65">
        <f>COUNTIFS('Error Log'!$A:$A,$A442,'Error Log'!$J:$J,F$1)</f>
        <v>0</v>
      </c>
      <c r="G442" s="65">
        <f>COUNTIFS('Error Log'!$A:$A,$A442,'Error Log'!$J:$J,G$1)</f>
        <v>0</v>
      </c>
      <c r="H442" s="65">
        <f>COUNTIFS('Error Log'!$A:$A,$A442,'Error Log'!$F:$F,"Source")</f>
        <v>0</v>
      </c>
      <c r="I442" s="65">
        <f>COUNTIFS('Error Log'!$A:$A,$A442,'Error Log'!$F:$F,"Target")</f>
        <v>0</v>
      </c>
      <c r="J442" s="66">
        <f t="shared" si="6"/>
        <v>0</v>
      </c>
    </row>
    <row r="443" spans="1:10">
      <c r="A443" s="76"/>
      <c r="B443" s="65" t="str">
        <f>IF(ISBLANK(A443),"",INDEX('Error Log'!$A:$J,MATCH('Scores per segment'!$A443,'Error Log'!$A:$A,0),MATCH('Scores per segment'!B$1,'Error Log'!$A$1:$J$1,0)))</f>
        <v/>
      </c>
      <c r="C443" s="65" t="str">
        <f>IF(ISBLANK(A443),"",INDEX('Error Log'!$A:$J,MATCH('Scores per segment'!$A443,'Error Log'!$A:$A,0),MATCH('Scores per segment'!C$1,'Error Log'!$A$1:$J$1,0)))</f>
        <v/>
      </c>
      <c r="D443" s="65">
        <f>IF(H443=0,wdct(TRIM(C443)),0)</f>
        <v>0</v>
      </c>
      <c r="E443" s="65">
        <f>COUNTIFS('Error Log'!$A:$A,$A443,'Error Log'!$J:$J,E$1)</f>
        <v>0</v>
      </c>
      <c r="F443" s="65">
        <f>COUNTIFS('Error Log'!$A:$A,$A443,'Error Log'!$J:$J,F$1)</f>
        <v>0</v>
      </c>
      <c r="G443" s="65">
        <f>COUNTIFS('Error Log'!$A:$A,$A443,'Error Log'!$J:$J,G$1)</f>
        <v>0</v>
      </c>
      <c r="H443" s="65">
        <f>COUNTIFS('Error Log'!$A:$A,$A443,'Error Log'!$F:$F,"Source")</f>
        <v>0</v>
      </c>
      <c r="I443" s="65">
        <f>COUNTIFS('Error Log'!$A:$A,$A443,'Error Log'!$F:$F,"Target")</f>
        <v>0</v>
      </c>
      <c r="J443" s="66">
        <f t="shared" si="6"/>
        <v>0</v>
      </c>
    </row>
    <row r="444" spans="1:10">
      <c r="A444" s="76"/>
      <c r="B444" s="65" t="str">
        <f>IF(ISBLANK(A444),"",INDEX('Error Log'!$A:$J,MATCH('Scores per segment'!$A444,'Error Log'!$A:$A,0),MATCH('Scores per segment'!B$1,'Error Log'!$A$1:$J$1,0)))</f>
        <v/>
      </c>
      <c r="C444" s="65" t="str">
        <f>IF(ISBLANK(A444),"",INDEX('Error Log'!$A:$J,MATCH('Scores per segment'!$A444,'Error Log'!$A:$A,0),MATCH('Scores per segment'!C$1,'Error Log'!$A$1:$J$1,0)))</f>
        <v/>
      </c>
      <c r="D444" s="65">
        <f>IF(H444=0,wdct(TRIM(C444)),0)</f>
        <v>0</v>
      </c>
      <c r="E444" s="65">
        <f>COUNTIFS('Error Log'!$A:$A,$A444,'Error Log'!$J:$J,E$1)</f>
        <v>0</v>
      </c>
      <c r="F444" s="65">
        <f>COUNTIFS('Error Log'!$A:$A,$A444,'Error Log'!$J:$J,F$1)</f>
        <v>0</v>
      </c>
      <c r="G444" s="65">
        <f>COUNTIFS('Error Log'!$A:$A,$A444,'Error Log'!$J:$J,G$1)</f>
        <v>0</v>
      </c>
      <c r="H444" s="65">
        <f>COUNTIFS('Error Log'!$A:$A,$A444,'Error Log'!$F:$F,"Source")</f>
        <v>0</v>
      </c>
      <c r="I444" s="65">
        <f>COUNTIFS('Error Log'!$A:$A,$A444,'Error Log'!$F:$F,"Target")</f>
        <v>0</v>
      </c>
      <c r="J444" s="66">
        <f t="shared" si="6"/>
        <v>0</v>
      </c>
    </row>
    <row r="445" spans="1:10">
      <c r="A445" s="76"/>
      <c r="B445" s="65" t="str">
        <f>IF(ISBLANK(A445),"",INDEX('Error Log'!$A:$J,MATCH('Scores per segment'!$A445,'Error Log'!$A:$A,0),MATCH('Scores per segment'!B$1,'Error Log'!$A$1:$J$1,0)))</f>
        <v/>
      </c>
      <c r="C445" s="65" t="str">
        <f>IF(ISBLANK(A445),"",INDEX('Error Log'!$A:$J,MATCH('Scores per segment'!$A445,'Error Log'!$A:$A,0),MATCH('Scores per segment'!C$1,'Error Log'!$A$1:$J$1,0)))</f>
        <v/>
      </c>
      <c r="D445" s="65">
        <f>IF(H445=0,wdct(TRIM(C445)),0)</f>
        <v>0</v>
      </c>
      <c r="E445" s="65">
        <f>COUNTIFS('Error Log'!$A:$A,$A445,'Error Log'!$J:$J,E$1)</f>
        <v>0</v>
      </c>
      <c r="F445" s="65">
        <f>COUNTIFS('Error Log'!$A:$A,$A445,'Error Log'!$J:$J,F$1)</f>
        <v>0</v>
      </c>
      <c r="G445" s="65">
        <f>COUNTIFS('Error Log'!$A:$A,$A445,'Error Log'!$J:$J,G$1)</f>
        <v>0</v>
      </c>
      <c r="H445" s="65">
        <f>COUNTIFS('Error Log'!$A:$A,$A445,'Error Log'!$F:$F,"Source")</f>
        <v>0</v>
      </c>
      <c r="I445" s="65">
        <f>COUNTIFS('Error Log'!$A:$A,$A445,'Error Log'!$F:$F,"Target")</f>
        <v>0</v>
      </c>
      <c r="J445" s="66">
        <f t="shared" si="6"/>
        <v>0</v>
      </c>
    </row>
    <row r="446" spans="1:10">
      <c r="A446" s="76"/>
      <c r="B446" s="65" t="str">
        <f>IF(ISBLANK(A446),"",INDEX('Error Log'!$A:$J,MATCH('Scores per segment'!$A446,'Error Log'!$A:$A,0),MATCH('Scores per segment'!B$1,'Error Log'!$A$1:$J$1,0)))</f>
        <v/>
      </c>
      <c r="C446" s="65" t="str">
        <f>IF(ISBLANK(A446),"",INDEX('Error Log'!$A:$J,MATCH('Scores per segment'!$A446,'Error Log'!$A:$A,0),MATCH('Scores per segment'!C$1,'Error Log'!$A$1:$J$1,0)))</f>
        <v/>
      </c>
      <c r="D446" s="65">
        <f>IF(H446=0,wdct(TRIM(C446)),0)</f>
        <v>0</v>
      </c>
      <c r="E446" s="65">
        <f>COUNTIFS('Error Log'!$A:$A,$A446,'Error Log'!$J:$J,E$1)</f>
        <v>0</v>
      </c>
      <c r="F446" s="65">
        <f>COUNTIFS('Error Log'!$A:$A,$A446,'Error Log'!$J:$J,F$1)</f>
        <v>0</v>
      </c>
      <c r="G446" s="65">
        <f>COUNTIFS('Error Log'!$A:$A,$A446,'Error Log'!$J:$J,G$1)</f>
        <v>0</v>
      </c>
      <c r="H446" s="65">
        <f>COUNTIFS('Error Log'!$A:$A,$A446,'Error Log'!$F:$F,"Source")</f>
        <v>0</v>
      </c>
      <c r="I446" s="65">
        <f>COUNTIFS('Error Log'!$A:$A,$A446,'Error Log'!$F:$F,"Target")</f>
        <v>0</v>
      </c>
      <c r="J446" s="66">
        <f t="shared" si="6"/>
        <v>0</v>
      </c>
    </row>
    <row r="447" spans="1:10">
      <c r="A447" s="76"/>
      <c r="B447" s="65" t="str">
        <f>IF(ISBLANK(A447),"",INDEX('Error Log'!$A:$J,MATCH('Scores per segment'!$A447,'Error Log'!$A:$A,0),MATCH('Scores per segment'!B$1,'Error Log'!$A$1:$J$1,0)))</f>
        <v/>
      </c>
      <c r="C447" s="65" t="str">
        <f>IF(ISBLANK(A447),"",INDEX('Error Log'!$A:$J,MATCH('Scores per segment'!$A447,'Error Log'!$A:$A,0),MATCH('Scores per segment'!C$1,'Error Log'!$A$1:$J$1,0)))</f>
        <v/>
      </c>
      <c r="D447" s="65">
        <f>IF(H447=0,wdct(TRIM(C447)),0)</f>
        <v>0</v>
      </c>
      <c r="E447" s="65">
        <f>COUNTIFS('Error Log'!$A:$A,$A447,'Error Log'!$J:$J,E$1)</f>
        <v>0</v>
      </c>
      <c r="F447" s="65">
        <f>COUNTIFS('Error Log'!$A:$A,$A447,'Error Log'!$J:$J,F$1)</f>
        <v>0</v>
      </c>
      <c r="G447" s="65">
        <f>COUNTIFS('Error Log'!$A:$A,$A447,'Error Log'!$J:$J,G$1)</f>
        <v>0</v>
      </c>
      <c r="H447" s="65">
        <f>COUNTIFS('Error Log'!$A:$A,$A447,'Error Log'!$F:$F,"Source")</f>
        <v>0</v>
      </c>
      <c r="I447" s="65">
        <f>COUNTIFS('Error Log'!$A:$A,$A447,'Error Log'!$F:$F,"Target")</f>
        <v>0</v>
      </c>
      <c r="J447" s="66">
        <f t="shared" si="6"/>
        <v>0</v>
      </c>
    </row>
    <row r="448" spans="1:10">
      <c r="A448" s="76"/>
      <c r="B448" s="65" t="str">
        <f>IF(ISBLANK(A448),"",INDEX('Error Log'!$A:$J,MATCH('Scores per segment'!$A448,'Error Log'!$A:$A,0),MATCH('Scores per segment'!B$1,'Error Log'!$A$1:$J$1,0)))</f>
        <v/>
      </c>
      <c r="C448" s="65" t="str">
        <f>IF(ISBLANK(A448),"",INDEX('Error Log'!$A:$J,MATCH('Scores per segment'!$A448,'Error Log'!$A:$A,0),MATCH('Scores per segment'!C$1,'Error Log'!$A$1:$J$1,0)))</f>
        <v/>
      </c>
      <c r="D448" s="65">
        <f>IF(H448=0,wdct(TRIM(C448)),0)</f>
        <v>0</v>
      </c>
      <c r="E448" s="65">
        <f>COUNTIFS('Error Log'!$A:$A,$A448,'Error Log'!$J:$J,E$1)</f>
        <v>0</v>
      </c>
      <c r="F448" s="65">
        <f>COUNTIFS('Error Log'!$A:$A,$A448,'Error Log'!$J:$J,F$1)</f>
        <v>0</v>
      </c>
      <c r="G448" s="65">
        <f>COUNTIFS('Error Log'!$A:$A,$A448,'Error Log'!$J:$J,G$1)</f>
        <v>0</v>
      </c>
      <c r="H448" s="65">
        <f>COUNTIFS('Error Log'!$A:$A,$A448,'Error Log'!$F:$F,"Source")</f>
        <v>0</v>
      </c>
      <c r="I448" s="65">
        <f>COUNTIFS('Error Log'!$A:$A,$A448,'Error Log'!$F:$F,"Target")</f>
        <v>0</v>
      </c>
      <c r="J448" s="66">
        <f t="shared" si="6"/>
        <v>0</v>
      </c>
    </row>
    <row r="449" spans="1:10">
      <c r="A449" s="76"/>
      <c r="B449" s="65" t="str">
        <f>IF(ISBLANK(A449),"",INDEX('Error Log'!$A:$J,MATCH('Scores per segment'!$A449,'Error Log'!$A:$A,0),MATCH('Scores per segment'!B$1,'Error Log'!$A$1:$J$1,0)))</f>
        <v/>
      </c>
      <c r="C449" s="65" t="str">
        <f>IF(ISBLANK(A449),"",INDEX('Error Log'!$A:$J,MATCH('Scores per segment'!$A449,'Error Log'!$A:$A,0),MATCH('Scores per segment'!C$1,'Error Log'!$A$1:$J$1,0)))</f>
        <v/>
      </c>
      <c r="D449" s="65">
        <f>IF(H449=0,wdct(TRIM(C449)),0)</f>
        <v>0</v>
      </c>
      <c r="E449" s="65">
        <f>COUNTIFS('Error Log'!$A:$A,$A449,'Error Log'!$J:$J,E$1)</f>
        <v>0</v>
      </c>
      <c r="F449" s="65">
        <f>COUNTIFS('Error Log'!$A:$A,$A449,'Error Log'!$J:$J,F$1)</f>
        <v>0</v>
      </c>
      <c r="G449" s="65">
        <f>COUNTIFS('Error Log'!$A:$A,$A449,'Error Log'!$J:$J,G$1)</f>
        <v>0</v>
      </c>
      <c r="H449" s="65">
        <f>COUNTIFS('Error Log'!$A:$A,$A449,'Error Log'!$F:$F,"Source")</f>
        <v>0</v>
      </c>
      <c r="I449" s="65">
        <f>COUNTIFS('Error Log'!$A:$A,$A449,'Error Log'!$F:$F,"Target")</f>
        <v>0</v>
      </c>
      <c r="J449" s="66">
        <f t="shared" si="6"/>
        <v>0</v>
      </c>
    </row>
    <row r="450" spans="1:10">
      <c r="A450" s="76"/>
      <c r="B450" s="65" t="str">
        <f>IF(ISBLANK(A450),"",INDEX('Error Log'!$A:$J,MATCH('Scores per segment'!$A450,'Error Log'!$A:$A,0),MATCH('Scores per segment'!B$1,'Error Log'!$A$1:$J$1,0)))</f>
        <v/>
      </c>
      <c r="C450" s="65" t="str">
        <f>IF(ISBLANK(A450),"",INDEX('Error Log'!$A:$J,MATCH('Scores per segment'!$A450,'Error Log'!$A:$A,0),MATCH('Scores per segment'!C$1,'Error Log'!$A$1:$J$1,0)))</f>
        <v/>
      </c>
      <c r="D450" s="65">
        <f>IF(H450=0,wdct(TRIM(C450)),0)</f>
        <v>0</v>
      </c>
      <c r="E450" s="65">
        <f>COUNTIFS('Error Log'!$A:$A,$A450,'Error Log'!$J:$J,E$1)</f>
        <v>0</v>
      </c>
      <c r="F450" s="65">
        <f>COUNTIFS('Error Log'!$A:$A,$A450,'Error Log'!$J:$J,F$1)</f>
        <v>0</v>
      </c>
      <c r="G450" s="65">
        <f>COUNTIFS('Error Log'!$A:$A,$A450,'Error Log'!$J:$J,G$1)</f>
        <v>0</v>
      </c>
      <c r="H450" s="65">
        <f>COUNTIFS('Error Log'!$A:$A,$A450,'Error Log'!$F:$F,"Source")</f>
        <v>0</v>
      </c>
      <c r="I450" s="65">
        <f>COUNTIFS('Error Log'!$A:$A,$A450,'Error Log'!$F:$F,"Target")</f>
        <v>0</v>
      </c>
      <c r="J450" s="66">
        <f t="shared" ref="J450:J501" si="7">IF(I450=0,IFERROR((((1-((E450*10+F450*5+G450*1)/D450))*100)+100)/2,0),-150)</f>
        <v>0</v>
      </c>
    </row>
    <row r="451" spans="1:10">
      <c r="A451" s="76"/>
      <c r="B451" s="65" t="str">
        <f>IF(ISBLANK(A451),"",INDEX('Error Log'!$A:$J,MATCH('Scores per segment'!$A451,'Error Log'!$A:$A,0),MATCH('Scores per segment'!B$1,'Error Log'!$A$1:$J$1,0)))</f>
        <v/>
      </c>
      <c r="C451" s="65" t="str">
        <f>IF(ISBLANK(A451),"",INDEX('Error Log'!$A:$J,MATCH('Scores per segment'!$A451,'Error Log'!$A:$A,0),MATCH('Scores per segment'!C$1,'Error Log'!$A$1:$J$1,0)))</f>
        <v/>
      </c>
      <c r="D451" s="65">
        <f>IF(H451=0,wdct(TRIM(C451)),0)</f>
        <v>0</v>
      </c>
      <c r="E451" s="65">
        <f>COUNTIFS('Error Log'!$A:$A,$A451,'Error Log'!$J:$J,E$1)</f>
        <v>0</v>
      </c>
      <c r="F451" s="65">
        <f>COUNTIFS('Error Log'!$A:$A,$A451,'Error Log'!$J:$J,F$1)</f>
        <v>0</v>
      </c>
      <c r="G451" s="65">
        <f>COUNTIFS('Error Log'!$A:$A,$A451,'Error Log'!$J:$J,G$1)</f>
        <v>0</v>
      </c>
      <c r="H451" s="65">
        <f>COUNTIFS('Error Log'!$A:$A,$A451,'Error Log'!$F:$F,"Source")</f>
        <v>0</v>
      </c>
      <c r="I451" s="65">
        <f>COUNTIFS('Error Log'!$A:$A,$A451,'Error Log'!$F:$F,"Target")</f>
        <v>0</v>
      </c>
      <c r="J451" s="66">
        <f t="shared" si="7"/>
        <v>0</v>
      </c>
    </row>
    <row r="452" spans="1:10">
      <c r="A452" s="76"/>
      <c r="B452" s="65" t="str">
        <f>IF(ISBLANK(A452),"",INDEX('Error Log'!$A:$J,MATCH('Scores per segment'!$A452,'Error Log'!$A:$A,0),MATCH('Scores per segment'!B$1,'Error Log'!$A$1:$J$1,0)))</f>
        <v/>
      </c>
      <c r="C452" s="65" t="str">
        <f>IF(ISBLANK(A452),"",INDEX('Error Log'!$A:$J,MATCH('Scores per segment'!$A452,'Error Log'!$A:$A,0),MATCH('Scores per segment'!C$1,'Error Log'!$A$1:$J$1,0)))</f>
        <v/>
      </c>
      <c r="D452" s="65">
        <f>IF(H452=0,wdct(TRIM(C452)),0)</f>
        <v>0</v>
      </c>
      <c r="E452" s="65">
        <f>COUNTIFS('Error Log'!$A:$A,$A452,'Error Log'!$J:$J,E$1)</f>
        <v>0</v>
      </c>
      <c r="F452" s="65">
        <f>COUNTIFS('Error Log'!$A:$A,$A452,'Error Log'!$J:$J,F$1)</f>
        <v>0</v>
      </c>
      <c r="G452" s="65">
        <f>COUNTIFS('Error Log'!$A:$A,$A452,'Error Log'!$J:$J,G$1)</f>
        <v>0</v>
      </c>
      <c r="H452" s="65">
        <f>COUNTIFS('Error Log'!$A:$A,$A452,'Error Log'!$F:$F,"Source")</f>
        <v>0</v>
      </c>
      <c r="I452" s="65">
        <f>COUNTIFS('Error Log'!$A:$A,$A452,'Error Log'!$F:$F,"Target")</f>
        <v>0</v>
      </c>
      <c r="J452" s="66">
        <f t="shared" si="7"/>
        <v>0</v>
      </c>
    </row>
    <row r="453" spans="1:10">
      <c r="A453" s="76"/>
      <c r="B453" s="65" t="str">
        <f>IF(ISBLANK(A453),"",INDEX('Error Log'!$A:$J,MATCH('Scores per segment'!$A453,'Error Log'!$A:$A,0),MATCH('Scores per segment'!B$1,'Error Log'!$A$1:$J$1,0)))</f>
        <v/>
      </c>
      <c r="C453" s="65" t="str">
        <f>IF(ISBLANK(A453),"",INDEX('Error Log'!$A:$J,MATCH('Scores per segment'!$A453,'Error Log'!$A:$A,0),MATCH('Scores per segment'!C$1,'Error Log'!$A$1:$J$1,0)))</f>
        <v/>
      </c>
      <c r="D453" s="65">
        <f>IF(H453=0,wdct(TRIM(C453)),0)</f>
        <v>0</v>
      </c>
      <c r="E453" s="65">
        <f>COUNTIFS('Error Log'!$A:$A,$A453,'Error Log'!$J:$J,E$1)</f>
        <v>0</v>
      </c>
      <c r="F453" s="65">
        <f>COUNTIFS('Error Log'!$A:$A,$A453,'Error Log'!$J:$J,F$1)</f>
        <v>0</v>
      </c>
      <c r="G453" s="65">
        <f>COUNTIFS('Error Log'!$A:$A,$A453,'Error Log'!$J:$J,G$1)</f>
        <v>0</v>
      </c>
      <c r="H453" s="65">
        <f>COUNTIFS('Error Log'!$A:$A,$A453,'Error Log'!$F:$F,"Source")</f>
        <v>0</v>
      </c>
      <c r="I453" s="65">
        <f>COUNTIFS('Error Log'!$A:$A,$A453,'Error Log'!$F:$F,"Target")</f>
        <v>0</v>
      </c>
      <c r="J453" s="66">
        <f t="shared" si="7"/>
        <v>0</v>
      </c>
    </row>
    <row r="454" spans="1:10">
      <c r="A454" s="76"/>
      <c r="B454" s="65" t="str">
        <f>IF(ISBLANK(A454),"",INDEX('Error Log'!$A:$J,MATCH('Scores per segment'!$A454,'Error Log'!$A:$A,0),MATCH('Scores per segment'!B$1,'Error Log'!$A$1:$J$1,0)))</f>
        <v/>
      </c>
      <c r="C454" s="65" t="str">
        <f>IF(ISBLANK(A454),"",INDEX('Error Log'!$A:$J,MATCH('Scores per segment'!$A454,'Error Log'!$A:$A,0),MATCH('Scores per segment'!C$1,'Error Log'!$A$1:$J$1,0)))</f>
        <v/>
      </c>
      <c r="D454" s="65">
        <f>IF(H454=0,wdct(TRIM(C454)),0)</f>
        <v>0</v>
      </c>
      <c r="E454" s="65">
        <f>COUNTIFS('Error Log'!$A:$A,$A454,'Error Log'!$J:$J,E$1)</f>
        <v>0</v>
      </c>
      <c r="F454" s="65">
        <f>COUNTIFS('Error Log'!$A:$A,$A454,'Error Log'!$J:$J,F$1)</f>
        <v>0</v>
      </c>
      <c r="G454" s="65">
        <f>COUNTIFS('Error Log'!$A:$A,$A454,'Error Log'!$J:$J,G$1)</f>
        <v>0</v>
      </c>
      <c r="H454" s="65">
        <f>COUNTIFS('Error Log'!$A:$A,$A454,'Error Log'!$F:$F,"Source")</f>
        <v>0</v>
      </c>
      <c r="I454" s="65">
        <f>COUNTIFS('Error Log'!$A:$A,$A454,'Error Log'!$F:$F,"Target")</f>
        <v>0</v>
      </c>
      <c r="J454" s="66">
        <f t="shared" si="7"/>
        <v>0</v>
      </c>
    </row>
    <row r="455" spans="1:10">
      <c r="A455" s="76"/>
      <c r="B455" s="65" t="str">
        <f>IF(ISBLANK(A455),"",INDEX('Error Log'!$A:$J,MATCH('Scores per segment'!$A455,'Error Log'!$A:$A,0),MATCH('Scores per segment'!B$1,'Error Log'!$A$1:$J$1,0)))</f>
        <v/>
      </c>
      <c r="C455" s="65" t="str">
        <f>IF(ISBLANK(A455),"",INDEX('Error Log'!$A:$J,MATCH('Scores per segment'!$A455,'Error Log'!$A:$A,0),MATCH('Scores per segment'!C$1,'Error Log'!$A$1:$J$1,0)))</f>
        <v/>
      </c>
      <c r="D455" s="65">
        <f>IF(H455=0,wdct(TRIM(C455)),0)</f>
        <v>0</v>
      </c>
      <c r="E455" s="65">
        <f>COUNTIFS('Error Log'!$A:$A,$A455,'Error Log'!$J:$J,E$1)</f>
        <v>0</v>
      </c>
      <c r="F455" s="65">
        <f>COUNTIFS('Error Log'!$A:$A,$A455,'Error Log'!$J:$J,F$1)</f>
        <v>0</v>
      </c>
      <c r="G455" s="65">
        <f>COUNTIFS('Error Log'!$A:$A,$A455,'Error Log'!$J:$J,G$1)</f>
        <v>0</v>
      </c>
      <c r="H455" s="65">
        <f>COUNTIFS('Error Log'!$A:$A,$A455,'Error Log'!$F:$F,"Source")</f>
        <v>0</v>
      </c>
      <c r="I455" s="65">
        <f>COUNTIFS('Error Log'!$A:$A,$A455,'Error Log'!$F:$F,"Target")</f>
        <v>0</v>
      </c>
      <c r="J455" s="66">
        <f t="shared" si="7"/>
        <v>0</v>
      </c>
    </row>
    <row r="456" spans="1:10">
      <c r="A456" s="76"/>
      <c r="B456" s="65" t="str">
        <f>IF(ISBLANK(A456),"",INDEX('Error Log'!$A:$J,MATCH('Scores per segment'!$A456,'Error Log'!$A:$A,0),MATCH('Scores per segment'!B$1,'Error Log'!$A$1:$J$1,0)))</f>
        <v/>
      </c>
      <c r="C456" s="65" t="str">
        <f>IF(ISBLANK(A456),"",INDEX('Error Log'!$A:$J,MATCH('Scores per segment'!$A456,'Error Log'!$A:$A,0),MATCH('Scores per segment'!C$1,'Error Log'!$A$1:$J$1,0)))</f>
        <v/>
      </c>
      <c r="D456" s="65">
        <f>IF(H456=0,wdct(TRIM(C456)),0)</f>
        <v>0</v>
      </c>
      <c r="E456" s="65">
        <f>COUNTIFS('Error Log'!$A:$A,$A456,'Error Log'!$J:$J,E$1)</f>
        <v>0</v>
      </c>
      <c r="F456" s="65">
        <f>COUNTIFS('Error Log'!$A:$A,$A456,'Error Log'!$J:$J,F$1)</f>
        <v>0</v>
      </c>
      <c r="G456" s="65">
        <f>COUNTIFS('Error Log'!$A:$A,$A456,'Error Log'!$J:$J,G$1)</f>
        <v>0</v>
      </c>
      <c r="H456" s="65">
        <f>COUNTIFS('Error Log'!$A:$A,$A456,'Error Log'!$F:$F,"Source")</f>
        <v>0</v>
      </c>
      <c r="I456" s="65">
        <f>COUNTIFS('Error Log'!$A:$A,$A456,'Error Log'!$F:$F,"Target")</f>
        <v>0</v>
      </c>
      <c r="J456" s="66">
        <f t="shared" si="7"/>
        <v>0</v>
      </c>
    </row>
    <row r="457" spans="1:10">
      <c r="A457" s="76"/>
      <c r="B457" s="65" t="str">
        <f>IF(ISBLANK(A457),"",INDEX('Error Log'!$A:$J,MATCH('Scores per segment'!$A457,'Error Log'!$A:$A,0),MATCH('Scores per segment'!B$1,'Error Log'!$A$1:$J$1,0)))</f>
        <v/>
      </c>
      <c r="C457" s="65" t="str">
        <f>IF(ISBLANK(A457),"",INDEX('Error Log'!$A:$J,MATCH('Scores per segment'!$A457,'Error Log'!$A:$A,0),MATCH('Scores per segment'!C$1,'Error Log'!$A$1:$J$1,0)))</f>
        <v/>
      </c>
      <c r="D457" s="65">
        <f>IF(H457=0,wdct(TRIM(C457)),0)</f>
        <v>0</v>
      </c>
      <c r="E457" s="65">
        <f>COUNTIFS('Error Log'!$A:$A,$A457,'Error Log'!$J:$J,E$1)</f>
        <v>0</v>
      </c>
      <c r="F457" s="65">
        <f>COUNTIFS('Error Log'!$A:$A,$A457,'Error Log'!$J:$J,F$1)</f>
        <v>0</v>
      </c>
      <c r="G457" s="65">
        <f>COUNTIFS('Error Log'!$A:$A,$A457,'Error Log'!$J:$J,G$1)</f>
        <v>0</v>
      </c>
      <c r="H457" s="65">
        <f>COUNTIFS('Error Log'!$A:$A,$A457,'Error Log'!$F:$F,"Source")</f>
        <v>0</v>
      </c>
      <c r="I457" s="65">
        <f>COUNTIFS('Error Log'!$A:$A,$A457,'Error Log'!$F:$F,"Target")</f>
        <v>0</v>
      </c>
      <c r="J457" s="66">
        <f t="shared" si="7"/>
        <v>0</v>
      </c>
    </row>
    <row r="458" spans="1:10">
      <c r="A458" s="76"/>
      <c r="B458" s="65" t="str">
        <f>IF(ISBLANK(A458),"",INDEX('Error Log'!$A:$J,MATCH('Scores per segment'!$A458,'Error Log'!$A:$A,0),MATCH('Scores per segment'!B$1,'Error Log'!$A$1:$J$1,0)))</f>
        <v/>
      </c>
      <c r="C458" s="65" t="str">
        <f>IF(ISBLANK(A458),"",INDEX('Error Log'!$A:$J,MATCH('Scores per segment'!$A458,'Error Log'!$A:$A,0),MATCH('Scores per segment'!C$1,'Error Log'!$A$1:$J$1,0)))</f>
        <v/>
      </c>
      <c r="D458" s="65">
        <f>IF(H458=0,wdct(TRIM(C458)),0)</f>
        <v>0</v>
      </c>
      <c r="E458" s="65">
        <f>COUNTIFS('Error Log'!$A:$A,$A458,'Error Log'!$J:$J,E$1)</f>
        <v>0</v>
      </c>
      <c r="F458" s="65">
        <f>COUNTIFS('Error Log'!$A:$A,$A458,'Error Log'!$J:$J,F$1)</f>
        <v>0</v>
      </c>
      <c r="G458" s="65">
        <f>COUNTIFS('Error Log'!$A:$A,$A458,'Error Log'!$J:$J,G$1)</f>
        <v>0</v>
      </c>
      <c r="H458" s="65">
        <f>COUNTIFS('Error Log'!$A:$A,$A458,'Error Log'!$F:$F,"Source")</f>
        <v>0</v>
      </c>
      <c r="I458" s="65">
        <f>COUNTIFS('Error Log'!$A:$A,$A458,'Error Log'!$F:$F,"Target")</f>
        <v>0</v>
      </c>
      <c r="J458" s="66">
        <f t="shared" si="7"/>
        <v>0</v>
      </c>
    </row>
    <row r="459" spans="1:10">
      <c r="A459" s="76"/>
      <c r="B459" s="65" t="str">
        <f>IF(ISBLANK(A459),"",INDEX('Error Log'!$A:$J,MATCH('Scores per segment'!$A459,'Error Log'!$A:$A,0),MATCH('Scores per segment'!B$1,'Error Log'!$A$1:$J$1,0)))</f>
        <v/>
      </c>
      <c r="C459" s="65" t="str">
        <f>IF(ISBLANK(A459),"",INDEX('Error Log'!$A:$J,MATCH('Scores per segment'!$A459,'Error Log'!$A:$A,0),MATCH('Scores per segment'!C$1,'Error Log'!$A$1:$J$1,0)))</f>
        <v/>
      </c>
      <c r="D459" s="65">
        <f>IF(H459=0,wdct(TRIM(C459)),0)</f>
        <v>0</v>
      </c>
      <c r="E459" s="65">
        <f>COUNTIFS('Error Log'!$A:$A,$A459,'Error Log'!$J:$J,E$1)</f>
        <v>0</v>
      </c>
      <c r="F459" s="65">
        <f>COUNTIFS('Error Log'!$A:$A,$A459,'Error Log'!$J:$J,F$1)</f>
        <v>0</v>
      </c>
      <c r="G459" s="65">
        <f>COUNTIFS('Error Log'!$A:$A,$A459,'Error Log'!$J:$J,G$1)</f>
        <v>0</v>
      </c>
      <c r="H459" s="65">
        <f>COUNTIFS('Error Log'!$A:$A,$A459,'Error Log'!$F:$F,"Source")</f>
        <v>0</v>
      </c>
      <c r="I459" s="65">
        <f>COUNTIFS('Error Log'!$A:$A,$A459,'Error Log'!$F:$F,"Target")</f>
        <v>0</v>
      </c>
      <c r="J459" s="66">
        <f t="shared" si="7"/>
        <v>0</v>
      </c>
    </row>
    <row r="460" spans="1:10">
      <c r="A460" s="76"/>
      <c r="B460" s="65" t="str">
        <f>IF(ISBLANK(A460),"",INDEX('Error Log'!$A:$J,MATCH('Scores per segment'!$A460,'Error Log'!$A:$A,0),MATCH('Scores per segment'!B$1,'Error Log'!$A$1:$J$1,0)))</f>
        <v/>
      </c>
      <c r="C460" s="65" t="str">
        <f>IF(ISBLANK(A460),"",INDEX('Error Log'!$A:$J,MATCH('Scores per segment'!$A460,'Error Log'!$A:$A,0),MATCH('Scores per segment'!C$1,'Error Log'!$A$1:$J$1,0)))</f>
        <v/>
      </c>
      <c r="D460" s="65">
        <f>IF(H460=0,wdct(TRIM(C460)),0)</f>
        <v>0</v>
      </c>
      <c r="E460" s="65">
        <f>COUNTIFS('Error Log'!$A:$A,$A460,'Error Log'!$J:$J,E$1)</f>
        <v>0</v>
      </c>
      <c r="F460" s="65">
        <f>COUNTIFS('Error Log'!$A:$A,$A460,'Error Log'!$J:$J,F$1)</f>
        <v>0</v>
      </c>
      <c r="G460" s="65">
        <f>COUNTIFS('Error Log'!$A:$A,$A460,'Error Log'!$J:$J,G$1)</f>
        <v>0</v>
      </c>
      <c r="H460" s="65">
        <f>COUNTIFS('Error Log'!$A:$A,$A460,'Error Log'!$F:$F,"Source")</f>
        <v>0</v>
      </c>
      <c r="I460" s="65">
        <f>COUNTIFS('Error Log'!$A:$A,$A460,'Error Log'!$F:$F,"Target")</f>
        <v>0</v>
      </c>
      <c r="J460" s="66">
        <f t="shared" si="7"/>
        <v>0</v>
      </c>
    </row>
    <row r="461" spans="1:10">
      <c r="A461" s="76"/>
      <c r="B461" s="65" t="str">
        <f>IF(ISBLANK(A461),"",INDEX('Error Log'!$A:$J,MATCH('Scores per segment'!$A461,'Error Log'!$A:$A,0),MATCH('Scores per segment'!B$1,'Error Log'!$A$1:$J$1,0)))</f>
        <v/>
      </c>
      <c r="C461" s="65" t="str">
        <f>IF(ISBLANK(A461),"",INDEX('Error Log'!$A:$J,MATCH('Scores per segment'!$A461,'Error Log'!$A:$A,0),MATCH('Scores per segment'!C$1,'Error Log'!$A$1:$J$1,0)))</f>
        <v/>
      </c>
      <c r="D461" s="65">
        <f>IF(H461=0,wdct(TRIM(C461)),0)</f>
        <v>0</v>
      </c>
      <c r="E461" s="65">
        <f>COUNTIFS('Error Log'!$A:$A,$A461,'Error Log'!$J:$J,E$1)</f>
        <v>0</v>
      </c>
      <c r="F461" s="65">
        <f>COUNTIFS('Error Log'!$A:$A,$A461,'Error Log'!$J:$J,F$1)</f>
        <v>0</v>
      </c>
      <c r="G461" s="65">
        <f>COUNTIFS('Error Log'!$A:$A,$A461,'Error Log'!$J:$J,G$1)</f>
        <v>0</v>
      </c>
      <c r="H461" s="65">
        <f>COUNTIFS('Error Log'!$A:$A,$A461,'Error Log'!$F:$F,"Source")</f>
        <v>0</v>
      </c>
      <c r="I461" s="65">
        <f>COUNTIFS('Error Log'!$A:$A,$A461,'Error Log'!$F:$F,"Target")</f>
        <v>0</v>
      </c>
      <c r="J461" s="66">
        <f t="shared" si="7"/>
        <v>0</v>
      </c>
    </row>
    <row r="462" spans="1:10">
      <c r="A462" s="76"/>
      <c r="B462" s="65" t="str">
        <f>IF(ISBLANK(A462),"",INDEX('Error Log'!$A:$J,MATCH('Scores per segment'!$A462,'Error Log'!$A:$A,0),MATCH('Scores per segment'!B$1,'Error Log'!$A$1:$J$1,0)))</f>
        <v/>
      </c>
      <c r="C462" s="65" t="str">
        <f>IF(ISBLANK(A462),"",INDEX('Error Log'!$A:$J,MATCH('Scores per segment'!$A462,'Error Log'!$A:$A,0),MATCH('Scores per segment'!C$1,'Error Log'!$A$1:$J$1,0)))</f>
        <v/>
      </c>
      <c r="D462" s="65">
        <f>IF(H462=0,wdct(TRIM(C462)),0)</f>
        <v>0</v>
      </c>
      <c r="E462" s="65">
        <f>COUNTIFS('Error Log'!$A:$A,$A462,'Error Log'!$J:$J,E$1)</f>
        <v>0</v>
      </c>
      <c r="F462" s="65">
        <f>COUNTIFS('Error Log'!$A:$A,$A462,'Error Log'!$J:$J,F$1)</f>
        <v>0</v>
      </c>
      <c r="G462" s="65">
        <f>COUNTIFS('Error Log'!$A:$A,$A462,'Error Log'!$J:$J,G$1)</f>
        <v>0</v>
      </c>
      <c r="H462" s="65">
        <f>COUNTIFS('Error Log'!$A:$A,$A462,'Error Log'!$F:$F,"Source")</f>
        <v>0</v>
      </c>
      <c r="I462" s="65">
        <f>COUNTIFS('Error Log'!$A:$A,$A462,'Error Log'!$F:$F,"Target")</f>
        <v>0</v>
      </c>
      <c r="J462" s="66">
        <f t="shared" si="7"/>
        <v>0</v>
      </c>
    </row>
    <row r="463" spans="1:10">
      <c r="A463" s="76"/>
      <c r="B463" s="65" t="str">
        <f>IF(ISBLANK(A463),"",INDEX('Error Log'!$A:$J,MATCH('Scores per segment'!$A463,'Error Log'!$A:$A,0),MATCH('Scores per segment'!B$1,'Error Log'!$A$1:$J$1,0)))</f>
        <v/>
      </c>
      <c r="C463" s="65" t="str">
        <f>IF(ISBLANK(A463),"",INDEX('Error Log'!$A:$J,MATCH('Scores per segment'!$A463,'Error Log'!$A:$A,0),MATCH('Scores per segment'!C$1,'Error Log'!$A$1:$J$1,0)))</f>
        <v/>
      </c>
      <c r="D463" s="65">
        <f>IF(H463=0,wdct(TRIM(C463)),0)</f>
        <v>0</v>
      </c>
      <c r="E463" s="65">
        <f>COUNTIFS('Error Log'!$A:$A,$A463,'Error Log'!$J:$J,E$1)</f>
        <v>0</v>
      </c>
      <c r="F463" s="65">
        <f>COUNTIFS('Error Log'!$A:$A,$A463,'Error Log'!$J:$J,F$1)</f>
        <v>0</v>
      </c>
      <c r="G463" s="65">
        <f>COUNTIFS('Error Log'!$A:$A,$A463,'Error Log'!$J:$J,G$1)</f>
        <v>0</v>
      </c>
      <c r="H463" s="65">
        <f>COUNTIFS('Error Log'!$A:$A,$A463,'Error Log'!$F:$F,"Source")</f>
        <v>0</v>
      </c>
      <c r="I463" s="65">
        <f>COUNTIFS('Error Log'!$A:$A,$A463,'Error Log'!$F:$F,"Target")</f>
        <v>0</v>
      </c>
      <c r="J463" s="66">
        <f t="shared" si="7"/>
        <v>0</v>
      </c>
    </row>
    <row r="464" spans="1:10">
      <c r="A464" s="76"/>
      <c r="B464" s="65" t="str">
        <f>IF(ISBLANK(A464),"",INDEX('Error Log'!$A:$J,MATCH('Scores per segment'!$A464,'Error Log'!$A:$A,0),MATCH('Scores per segment'!B$1,'Error Log'!$A$1:$J$1,0)))</f>
        <v/>
      </c>
      <c r="C464" s="65" t="str">
        <f>IF(ISBLANK(A464),"",INDEX('Error Log'!$A:$J,MATCH('Scores per segment'!$A464,'Error Log'!$A:$A,0),MATCH('Scores per segment'!C$1,'Error Log'!$A$1:$J$1,0)))</f>
        <v/>
      </c>
      <c r="D464" s="65">
        <f>IF(H464=0,wdct(TRIM(C464)),0)</f>
        <v>0</v>
      </c>
      <c r="E464" s="65">
        <f>COUNTIFS('Error Log'!$A:$A,$A464,'Error Log'!$J:$J,E$1)</f>
        <v>0</v>
      </c>
      <c r="F464" s="65">
        <f>COUNTIFS('Error Log'!$A:$A,$A464,'Error Log'!$J:$J,F$1)</f>
        <v>0</v>
      </c>
      <c r="G464" s="65">
        <f>COUNTIFS('Error Log'!$A:$A,$A464,'Error Log'!$J:$J,G$1)</f>
        <v>0</v>
      </c>
      <c r="H464" s="65">
        <f>COUNTIFS('Error Log'!$A:$A,$A464,'Error Log'!$F:$F,"Source")</f>
        <v>0</v>
      </c>
      <c r="I464" s="65">
        <f>COUNTIFS('Error Log'!$A:$A,$A464,'Error Log'!$F:$F,"Target")</f>
        <v>0</v>
      </c>
      <c r="J464" s="66">
        <f t="shared" si="7"/>
        <v>0</v>
      </c>
    </row>
    <row r="465" spans="1:10">
      <c r="A465" s="76"/>
      <c r="B465" s="65" t="str">
        <f>IF(ISBLANK(A465),"",INDEX('Error Log'!$A:$J,MATCH('Scores per segment'!$A465,'Error Log'!$A:$A,0),MATCH('Scores per segment'!B$1,'Error Log'!$A$1:$J$1,0)))</f>
        <v/>
      </c>
      <c r="C465" s="65" t="str">
        <f>IF(ISBLANK(A465),"",INDEX('Error Log'!$A:$J,MATCH('Scores per segment'!$A465,'Error Log'!$A:$A,0),MATCH('Scores per segment'!C$1,'Error Log'!$A$1:$J$1,0)))</f>
        <v/>
      </c>
      <c r="D465" s="65">
        <f>IF(H465=0,wdct(TRIM(C465)),0)</f>
        <v>0</v>
      </c>
      <c r="E465" s="65">
        <f>COUNTIFS('Error Log'!$A:$A,$A465,'Error Log'!$J:$J,E$1)</f>
        <v>0</v>
      </c>
      <c r="F465" s="65">
        <f>COUNTIFS('Error Log'!$A:$A,$A465,'Error Log'!$J:$J,F$1)</f>
        <v>0</v>
      </c>
      <c r="G465" s="65">
        <f>COUNTIFS('Error Log'!$A:$A,$A465,'Error Log'!$J:$J,G$1)</f>
        <v>0</v>
      </c>
      <c r="H465" s="65">
        <f>COUNTIFS('Error Log'!$A:$A,$A465,'Error Log'!$F:$F,"Source")</f>
        <v>0</v>
      </c>
      <c r="I465" s="65">
        <f>COUNTIFS('Error Log'!$A:$A,$A465,'Error Log'!$F:$F,"Target")</f>
        <v>0</v>
      </c>
      <c r="J465" s="66">
        <f t="shared" si="7"/>
        <v>0</v>
      </c>
    </row>
    <row r="466" spans="1:10">
      <c r="A466" s="76"/>
      <c r="B466" s="65" t="str">
        <f>IF(ISBLANK(A466),"",INDEX('Error Log'!$A:$J,MATCH('Scores per segment'!$A466,'Error Log'!$A:$A,0),MATCH('Scores per segment'!B$1,'Error Log'!$A$1:$J$1,0)))</f>
        <v/>
      </c>
      <c r="C466" s="65" t="str">
        <f>IF(ISBLANK(A466),"",INDEX('Error Log'!$A:$J,MATCH('Scores per segment'!$A466,'Error Log'!$A:$A,0),MATCH('Scores per segment'!C$1,'Error Log'!$A$1:$J$1,0)))</f>
        <v/>
      </c>
      <c r="D466" s="65">
        <f>IF(H466=0,wdct(TRIM(C466)),0)</f>
        <v>0</v>
      </c>
      <c r="E466" s="65">
        <f>COUNTIFS('Error Log'!$A:$A,$A466,'Error Log'!$J:$J,E$1)</f>
        <v>0</v>
      </c>
      <c r="F466" s="65">
        <f>COUNTIFS('Error Log'!$A:$A,$A466,'Error Log'!$J:$J,F$1)</f>
        <v>0</v>
      </c>
      <c r="G466" s="65">
        <f>COUNTIFS('Error Log'!$A:$A,$A466,'Error Log'!$J:$J,G$1)</f>
        <v>0</v>
      </c>
      <c r="H466" s="65">
        <f>COUNTIFS('Error Log'!$A:$A,$A466,'Error Log'!$F:$F,"Source")</f>
        <v>0</v>
      </c>
      <c r="I466" s="65">
        <f>COUNTIFS('Error Log'!$A:$A,$A466,'Error Log'!$F:$F,"Target")</f>
        <v>0</v>
      </c>
      <c r="J466" s="66">
        <f t="shared" si="7"/>
        <v>0</v>
      </c>
    </row>
    <row r="467" spans="1:10">
      <c r="A467" s="76"/>
      <c r="B467" s="65" t="str">
        <f>IF(ISBLANK(A467),"",INDEX('Error Log'!$A:$J,MATCH('Scores per segment'!$A467,'Error Log'!$A:$A,0),MATCH('Scores per segment'!B$1,'Error Log'!$A$1:$J$1,0)))</f>
        <v/>
      </c>
      <c r="C467" s="65" t="str">
        <f>IF(ISBLANK(A467),"",INDEX('Error Log'!$A:$J,MATCH('Scores per segment'!$A467,'Error Log'!$A:$A,0),MATCH('Scores per segment'!C$1,'Error Log'!$A$1:$J$1,0)))</f>
        <v/>
      </c>
      <c r="D467" s="65">
        <f>IF(H467=0,wdct(TRIM(C467)),0)</f>
        <v>0</v>
      </c>
      <c r="E467" s="65">
        <f>COUNTIFS('Error Log'!$A:$A,$A467,'Error Log'!$J:$J,E$1)</f>
        <v>0</v>
      </c>
      <c r="F467" s="65">
        <f>COUNTIFS('Error Log'!$A:$A,$A467,'Error Log'!$J:$J,F$1)</f>
        <v>0</v>
      </c>
      <c r="G467" s="65">
        <f>COUNTIFS('Error Log'!$A:$A,$A467,'Error Log'!$J:$J,G$1)</f>
        <v>0</v>
      </c>
      <c r="H467" s="65">
        <f>COUNTIFS('Error Log'!$A:$A,$A467,'Error Log'!$F:$F,"Source")</f>
        <v>0</v>
      </c>
      <c r="I467" s="65">
        <f>COUNTIFS('Error Log'!$A:$A,$A467,'Error Log'!$F:$F,"Target")</f>
        <v>0</v>
      </c>
      <c r="J467" s="66">
        <f t="shared" si="7"/>
        <v>0</v>
      </c>
    </row>
    <row r="468" spans="1:10">
      <c r="A468" s="76"/>
      <c r="B468" s="65" t="str">
        <f>IF(ISBLANK(A468),"",INDEX('Error Log'!$A:$J,MATCH('Scores per segment'!$A468,'Error Log'!$A:$A,0),MATCH('Scores per segment'!B$1,'Error Log'!$A$1:$J$1,0)))</f>
        <v/>
      </c>
      <c r="C468" s="65" t="str">
        <f>IF(ISBLANK(A468),"",INDEX('Error Log'!$A:$J,MATCH('Scores per segment'!$A468,'Error Log'!$A:$A,0),MATCH('Scores per segment'!C$1,'Error Log'!$A$1:$J$1,0)))</f>
        <v/>
      </c>
      <c r="D468" s="65">
        <f>IF(H468=0,wdct(TRIM(C468)),0)</f>
        <v>0</v>
      </c>
      <c r="E468" s="65">
        <f>COUNTIFS('Error Log'!$A:$A,$A468,'Error Log'!$J:$J,E$1)</f>
        <v>0</v>
      </c>
      <c r="F468" s="65">
        <f>COUNTIFS('Error Log'!$A:$A,$A468,'Error Log'!$J:$J,F$1)</f>
        <v>0</v>
      </c>
      <c r="G468" s="65">
        <f>COUNTIFS('Error Log'!$A:$A,$A468,'Error Log'!$J:$J,G$1)</f>
        <v>0</v>
      </c>
      <c r="H468" s="65">
        <f>COUNTIFS('Error Log'!$A:$A,$A468,'Error Log'!$F:$F,"Source")</f>
        <v>0</v>
      </c>
      <c r="I468" s="65">
        <f>COUNTIFS('Error Log'!$A:$A,$A468,'Error Log'!$F:$F,"Target")</f>
        <v>0</v>
      </c>
      <c r="J468" s="66">
        <f t="shared" si="7"/>
        <v>0</v>
      </c>
    </row>
    <row r="469" spans="1:10">
      <c r="A469" s="76"/>
      <c r="B469" s="65" t="str">
        <f>IF(ISBLANK(A469),"",INDEX('Error Log'!$A:$J,MATCH('Scores per segment'!$A469,'Error Log'!$A:$A,0),MATCH('Scores per segment'!B$1,'Error Log'!$A$1:$J$1,0)))</f>
        <v/>
      </c>
      <c r="C469" s="65" t="str">
        <f>IF(ISBLANK(A469),"",INDEX('Error Log'!$A:$J,MATCH('Scores per segment'!$A469,'Error Log'!$A:$A,0),MATCH('Scores per segment'!C$1,'Error Log'!$A$1:$J$1,0)))</f>
        <v/>
      </c>
      <c r="D469" s="65">
        <f>IF(H469=0,wdct(TRIM(C469)),0)</f>
        <v>0</v>
      </c>
      <c r="E469" s="65">
        <f>COUNTIFS('Error Log'!$A:$A,$A469,'Error Log'!$J:$J,E$1)</f>
        <v>0</v>
      </c>
      <c r="F469" s="65">
        <f>COUNTIFS('Error Log'!$A:$A,$A469,'Error Log'!$J:$J,F$1)</f>
        <v>0</v>
      </c>
      <c r="G469" s="65">
        <f>COUNTIFS('Error Log'!$A:$A,$A469,'Error Log'!$J:$J,G$1)</f>
        <v>0</v>
      </c>
      <c r="H469" s="65">
        <f>COUNTIFS('Error Log'!$A:$A,$A469,'Error Log'!$F:$F,"Source")</f>
        <v>0</v>
      </c>
      <c r="I469" s="65">
        <f>COUNTIFS('Error Log'!$A:$A,$A469,'Error Log'!$F:$F,"Target")</f>
        <v>0</v>
      </c>
      <c r="J469" s="66">
        <f t="shared" si="7"/>
        <v>0</v>
      </c>
    </row>
    <row r="470" spans="1:10">
      <c r="A470" s="76"/>
      <c r="B470" s="65" t="str">
        <f>IF(ISBLANK(A470),"",INDEX('Error Log'!$A:$J,MATCH('Scores per segment'!$A470,'Error Log'!$A:$A,0),MATCH('Scores per segment'!B$1,'Error Log'!$A$1:$J$1,0)))</f>
        <v/>
      </c>
      <c r="C470" s="65" t="str">
        <f>IF(ISBLANK(A470),"",INDEX('Error Log'!$A:$J,MATCH('Scores per segment'!$A470,'Error Log'!$A:$A,0),MATCH('Scores per segment'!C$1,'Error Log'!$A$1:$J$1,0)))</f>
        <v/>
      </c>
      <c r="D470" s="65">
        <f>IF(H470=0,wdct(TRIM(C470)),0)</f>
        <v>0</v>
      </c>
      <c r="E470" s="65">
        <f>COUNTIFS('Error Log'!$A:$A,$A470,'Error Log'!$J:$J,E$1)</f>
        <v>0</v>
      </c>
      <c r="F470" s="65">
        <f>COUNTIFS('Error Log'!$A:$A,$A470,'Error Log'!$J:$J,F$1)</f>
        <v>0</v>
      </c>
      <c r="G470" s="65">
        <f>COUNTIFS('Error Log'!$A:$A,$A470,'Error Log'!$J:$J,G$1)</f>
        <v>0</v>
      </c>
      <c r="H470" s="65">
        <f>COUNTIFS('Error Log'!$A:$A,$A470,'Error Log'!$F:$F,"Source")</f>
        <v>0</v>
      </c>
      <c r="I470" s="65">
        <f>COUNTIFS('Error Log'!$A:$A,$A470,'Error Log'!$F:$F,"Target")</f>
        <v>0</v>
      </c>
      <c r="J470" s="66">
        <f t="shared" si="7"/>
        <v>0</v>
      </c>
    </row>
    <row r="471" spans="1:10">
      <c r="A471" s="76"/>
      <c r="B471" s="65" t="str">
        <f>IF(ISBLANK(A471),"",INDEX('Error Log'!$A:$J,MATCH('Scores per segment'!$A471,'Error Log'!$A:$A,0),MATCH('Scores per segment'!B$1,'Error Log'!$A$1:$J$1,0)))</f>
        <v/>
      </c>
      <c r="C471" s="65" t="str">
        <f>IF(ISBLANK(A471),"",INDEX('Error Log'!$A:$J,MATCH('Scores per segment'!$A471,'Error Log'!$A:$A,0),MATCH('Scores per segment'!C$1,'Error Log'!$A$1:$J$1,0)))</f>
        <v/>
      </c>
      <c r="D471" s="65">
        <f>IF(H471=0,wdct(TRIM(C471)),0)</f>
        <v>0</v>
      </c>
      <c r="E471" s="65">
        <f>COUNTIFS('Error Log'!$A:$A,$A471,'Error Log'!$J:$J,E$1)</f>
        <v>0</v>
      </c>
      <c r="F471" s="65">
        <f>COUNTIFS('Error Log'!$A:$A,$A471,'Error Log'!$J:$J,F$1)</f>
        <v>0</v>
      </c>
      <c r="G471" s="65">
        <f>COUNTIFS('Error Log'!$A:$A,$A471,'Error Log'!$J:$J,G$1)</f>
        <v>0</v>
      </c>
      <c r="H471" s="65">
        <f>COUNTIFS('Error Log'!$A:$A,$A471,'Error Log'!$F:$F,"Source")</f>
        <v>0</v>
      </c>
      <c r="I471" s="65">
        <f>COUNTIFS('Error Log'!$A:$A,$A471,'Error Log'!$F:$F,"Target")</f>
        <v>0</v>
      </c>
      <c r="J471" s="66">
        <f t="shared" si="7"/>
        <v>0</v>
      </c>
    </row>
    <row r="472" spans="1:10">
      <c r="A472" s="76"/>
      <c r="B472" s="65" t="str">
        <f>IF(ISBLANK(A472),"",INDEX('Error Log'!$A:$J,MATCH('Scores per segment'!$A472,'Error Log'!$A:$A,0),MATCH('Scores per segment'!B$1,'Error Log'!$A$1:$J$1,0)))</f>
        <v/>
      </c>
      <c r="C472" s="65" t="str">
        <f>IF(ISBLANK(A472),"",INDEX('Error Log'!$A:$J,MATCH('Scores per segment'!$A472,'Error Log'!$A:$A,0),MATCH('Scores per segment'!C$1,'Error Log'!$A$1:$J$1,0)))</f>
        <v/>
      </c>
      <c r="D472" s="65">
        <f>IF(H472=0,wdct(TRIM(C472)),0)</f>
        <v>0</v>
      </c>
      <c r="E472" s="65">
        <f>COUNTIFS('Error Log'!$A:$A,$A472,'Error Log'!$J:$J,E$1)</f>
        <v>0</v>
      </c>
      <c r="F472" s="65">
        <f>COUNTIFS('Error Log'!$A:$A,$A472,'Error Log'!$J:$J,F$1)</f>
        <v>0</v>
      </c>
      <c r="G472" s="65">
        <f>COUNTIFS('Error Log'!$A:$A,$A472,'Error Log'!$J:$J,G$1)</f>
        <v>0</v>
      </c>
      <c r="H472" s="65">
        <f>COUNTIFS('Error Log'!$A:$A,$A472,'Error Log'!$F:$F,"Source")</f>
        <v>0</v>
      </c>
      <c r="I472" s="65">
        <f>COUNTIFS('Error Log'!$A:$A,$A472,'Error Log'!$F:$F,"Target")</f>
        <v>0</v>
      </c>
      <c r="J472" s="66">
        <f t="shared" si="7"/>
        <v>0</v>
      </c>
    </row>
    <row r="473" spans="1:10">
      <c r="A473" s="76"/>
      <c r="B473" s="65" t="str">
        <f>IF(ISBLANK(A473),"",INDEX('Error Log'!$A:$J,MATCH('Scores per segment'!$A473,'Error Log'!$A:$A,0),MATCH('Scores per segment'!B$1,'Error Log'!$A$1:$J$1,0)))</f>
        <v/>
      </c>
      <c r="C473" s="65" t="str">
        <f>IF(ISBLANK(A473),"",INDEX('Error Log'!$A:$J,MATCH('Scores per segment'!$A473,'Error Log'!$A:$A,0),MATCH('Scores per segment'!C$1,'Error Log'!$A$1:$J$1,0)))</f>
        <v/>
      </c>
      <c r="D473" s="65">
        <f>IF(H473=0,wdct(TRIM(C473)),0)</f>
        <v>0</v>
      </c>
      <c r="E473" s="65">
        <f>COUNTIFS('Error Log'!$A:$A,$A473,'Error Log'!$J:$J,E$1)</f>
        <v>0</v>
      </c>
      <c r="F473" s="65">
        <f>COUNTIFS('Error Log'!$A:$A,$A473,'Error Log'!$J:$J,F$1)</f>
        <v>0</v>
      </c>
      <c r="G473" s="65">
        <f>COUNTIFS('Error Log'!$A:$A,$A473,'Error Log'!$J:$J,G$1)</f>
        <v>0</v>
      </c>
      <c r="H473" s="65">
        <f>COUNTIFS('Error Log'!$A:$A,$A473,'Error Log'!$F:$F,"Source")</f>
        <v>0</v>
      </c>
      <c r="I473" s="65">
        <f>COUNTIFS('Error Log'!$A:$A,$A473,'Error Log'!$F:$F,"Target")</f>
        <v>0</v>
      </c>
      <c r="J473" s="66">
        <f t="shared" si="7"/>
        <v>0</v>
      </c>
    </row>
    <row r="474" spans="1:10">
      <c r="A474" s="76"/>
      <c r="B474" s="65" t="str">
        <f>IF(ISBLANK(A474),"",INDEX('Error Log'!$A:$J,MATCH('Scores per segment'!$A474,'Error Log'!$A:$A,0),MATCH('Scores per segment'!B$1,'Error Log'!$A$1:$J$1,0)))</f>
        <v/>
      </c>
      <c r="C474" s="65" t="str">
        <f>IF(ISBLANK(A474),"",INDEX('Error Log'!$A:$J,MATCH('Scores per segment'!$A474,'Error Log'!$A:$A,0),MATCH('Scores per segment'!C$1,'Error Log'!$A$1:$J$1,0)))</f>
        <v/>
      </c>
      <c r="D474" s="65">
        <f>IF(H474=0,wdct(TRIM(C474)),0)</f>
        <v>0</v>
      </c>
      <c r="E474" s="65">
        <f>COUNTIFS('Error Log'!$A:$A,$A474,'Error Log'!$J:$J,E$1)</f>
        <v>0</v>
      </c>
      <c r="F474" s="65">
        <f>COUNTIFS('Error Log'!$A:$A,$A474,'Error Log'!$J:$J,F$1)</f>
        <v>0</v>
      </c>
      <c r="G474" s="65">
        <f>COUNTIFS('Error Log'!$A:$A,$A474,'Error Log'!$J:$J,G$1)</f>
        <v>0</v>
      </c>
      <c r="H474" s="65">
        <f>COUNTIFS('Error Log'!$A:$A,$A474,'Error Log'!$F:$F,"Source")</f>
        <v>0</v>
      </c>
      <c r="I474" s="65">
        <f>COUNTIFS('Error Log'!$A:$A,$A474,'Error Log'!$F:$F,"Target")</f>
        <v>0</v>
      </c>
      <c r="J474" s="66">
        <f t="shared" si="7"/>
        <v>0</v>
      </c>
    </row>
    <row r="475" spans="1:10">
      <c r="A475" s="76"/>
      <c r="B475" s="65" t="str">
        <f>IF(ISBLANK(A475),"",INDEX('Error Log'!$A:$J,MATCH('Scores per segment'!$A475,'Error Log'!$A:$A,0),MATCH('Scores per segment'!B$1,'Error Log'!$A$1:$J$1,0)))</f>
        <v/>
      </c>
      <c r="C475" s="65" t="str">
        <f>IF(ISBLANK(A475),"",INDEX('Error Log'!$A:$J,MATCH('Scores per segment'!$A475,'Error Log'!$A:$A,0),MATCH('Scores per segment'!C$1,'Error Log'!$A$1:$J$1,0)))</f>
        <v/>
      </c>
      <c r="D475" s="65">
        <f>IF(H475=0,wdct(TRIM(C475)),0)</f>
        <v>0</v>
      </c>
      <c r="E475" s="65">
        <f>COUNTIFS('Error Log'!$A:$A,$A475,'Error Log'!$J:$J,E$1)</f>
        <v>0</v>
      </c>
      <c r="F475" s="65">
        <f>COUNTIFS('Error Log'!$A:$A,$A475,'Error Log'!$J:$J,F$1)</f>
        <v>0</v>
      </c>
      <c r="G475" s="65">
        <f>COUNTIFS('Error Log'!$A:$A,$A475,'Error Log'!$J:$J,G$1)</f>
        <v>0</v>
      </c>
      <c r="H475" s="65">
        <f>COUNTIFS('Error Log'!$A:$A,$A475,'Error Log'!$F:$F,"Source")</f>
        <v>0</v>
      </c>
      <c r="I475" s="65">
        <f>COUNTIFS('Error Log'!$A:$A,$A475,'Error Log'!$F:$F,"Target")</f>
        <v>0</v>
      </c>
      <c r="J475" s="66">
        <f t="shared" si="7"/>
        <v>0</v>
      </c>
    </row>
    <row r="476" spans="1:10">
      <c r="A476" s="76"/>
      <c r="B476" s="65" t="str">
        <f>IF(ISBLANK(A476),"",INDEX('Error Log'!$A:$J,MATCH('Scores per segment'!$A476,'Error Log'!$A:$A,0),MATCH('Scores per segment'!B$1,'Error Log'!$A$1:$J$1,0)))</f>
        <v/>
      </c>
      <c r="C476" s="65" t="str">
        <f>IF(ISBLANK(A476),"",INDEX('Error Log'!$A:$J,MATCH('Scores per segment'!$A476,'Error Log'!$A:$A,0),MATCH('Scores per segment'!C$1,'Error Log'!$A$1:$J$1,0)))</f>
        <v/>
      </c>
      <c r="D476" s="65">
        <f>IF(H476=0,wdct(TRIM(C476)),0)</f>
        <v>0</v>
      </c>
      <c r="E476" s="65">
        <f>COUNTIFS('Error Log'!$A:$A,$A476,'Error Log'!$J:$J,E$1)</f>
        <v>0</v>
      </c>
      <c r="F476" s="65">
        <f>COUNTIFS('Error Log'!$A:$A,$A476,'Error Log'!$J:$J,F$1)</f>
        <v>0</v>
      </c>
      <c r="G476" s="65">
        <f>COUNTIFS('Error Log'!$A:$A,$A476,'Error Log'!$J:$J,G$1)</f>
        <v>0</v>
      </c>
      <c r="H476" s="65">
        <f>COUNTIFS('Error Log'!$A:$A,$A476,'Error Log'!$F:$F,"Source")</f>
        <v>0</v>
      </c>
      <c r="I476" s="65">
        <f>COUNTIFS('Error Log'!$A:$A,$A476,'Error Log'!$F:$F,"Target")</f>
        <v>0</v>
      </c>
      <c r="J476" s="66">
        <f t="shared" si="7"/>
        <v>0</v>
      </c>
    </row>
    <row r="477" spans="1:10">
      <c r="A477" s="76"/>
      <c r="B477" s="65" t="str">
        <f>IF(ISBLANK(A477),"",INDEX('Error Log'!$A:$J,MATCH('Scores per segment'!$A477,'Error Log'!$A:$A,0),MATCH('Scores per segment'!B$1,'Error Log'!$A$1:$J$1,0)))</f>
        <v/>
      </c>
      <c r="C477" s="65" t="str">
        <f>IF(ISBLANK(A477),"",INDEX('Error Log'!$A:$J,MATCH('Scores per segment'!$A477,'Error Log'!$A:$A,0),MATCH('Scores per segment'!C$1,'Error Log'!$A$1:$J$1,0)))</f>
        <v/>
      </c>
      <c r="D477" s="65">
        <f>IF(H477=0,wdct(TRIM(C477)),0)</f>
        <v>0</v>
      </c>
      <c r="E477" s="65">
        <f>COUNTIFS('Error Log'!$A:$A,$A477,'Error Log'!$J:$J,E$1)</f>
        <v>0</v>
      </c>
      <c r="F477" s="65">
        <f>COUNTIFS('Error Log'!$A:$A,$A477,'Error Log'!$J:$J,F$1)</f>
        <v>0</v>
      </c>
      <c r="G477" s="65">
        <f>COUNTIFS('Error Log'!$A:$A,$A477,'Error Log'!$J:$J,G$1)</f>
        <v>0</v>
      </c>
      <c r="H477" s="65">
        <f>COUNTIFS('Error Log'!$A:$A,$A477,'Error Log'!$F:$F,"Source")</f>
        <v>0</v>
      </c>
      <c r="I477" s="65">
        <f>COUNTIFS('Error Log'!$A:$A,$A477,'Error Log'!$F:$F,"Target")</f>
        <v>0</v>
      </c>
      <c r="J477" s="66">
        <f t="shared" si="7"/>
        <v>0</v>
      </c>
    </row>
    <row r="478" spans="1:10">
      <c r="A478" s="76"/>
      <c r="B478" s="65" t="str">
        <f>IF(ISBLANK(A478),"",INDEX('Error Log'!$A:$J,MATCH('Scores per segment'!$A478,'Error Log'!$A:$A,0),MATCH('Scores per segment'!B$1,'Error Log'!$A$1:$J$1,0)))</f>
        <v/>
      </c>
      <c r="C478" s="65" t="str">
        <f>IF(ISBLANK(A478),"",INDEX('Error Log'!$A:$J,MATCH('Scores per segment'!$A478,'Error Log'!$A:$A,0),MATCH('Scores per segment'!C$1,'Error Log'!$A$1:$J$1,0)))</f>
        <v/>
      </c>
      <c r="D478" s="65">
        <f>IF(H478=0,wdct(TRIM(C478)),0)</f>
        <v>0</v>
      </c>
      <c r="E478" s="65">
        <f>COUNTIFS('Error Log'!$A:$A,$A478,'Error Log'!$J:$J,E$1)</f>
        <v>0</v>
      </c>
      <c r="F478" s="65">
        <f>COUNTIFS('Error Log'!$A:$A,$A478,'Error Log'!$J:$J,F$1)</f>
        <v>0</v>
      </c>
      <c r="G478" s="65">
        <f>COUNTIFS('Error Log'!$A:$A,$A478,'Error Log'!$J:$J,G$1)</f>
        <v>0</v>
      </c>
      <c r="H478" s="65">
        <f>COUNTIFS('Error Log'!$A:$A,$A478,'Error Log'!$F:$F,"Source")</f>
        <v>0</v>
      </c>
      <c r="I478" s="65">
        <f>COUNTIFS('Error Log'!$A:$A,$A478,'Error Log'!$F:$F,"Target")</f>
        <v>0</v>
      </c>
      <c r="J478" s="66">
        <f t="shared" si="7"/>
        <v>0</v>
      </c>
    </row>
    <row r="479" spans="1:10">
      <c r="A479" s="76"/>
      <c r="B479" s="65" t="str">
        <f>IF(ISBLANK(A479),"",INDEX('Error Log'!$A:$J,MATCH('Scores per segment'!$A479,'Error Log'!$A:$A,0),MATCH('Scores per segment'!B$1,'Error Log'!$A$1:$J$1,0)))</f>
        <v/>
      </c>
      <c r="C479" s="65" t="str">
        <f>IF(ISBLANK(A479),"",INDEX('Error Log'!$A:$J,MATCH('Scores per segment'!$A479,'Error Log'!$A:$A,0),MATCH('Scores per segment'!C$1,'Error Log'!$A$1:$J$1,0)))</f>
        <v/>
      </c>
      <c r="D479" s="65">
        <f>IF(H479=0,wdct(TRIM(C479)),0)</f>
        <v>0</v>
      </c>
      <c r="E479" s="65">
        <f>COUNTIFS('Error Log'!$A:$A,$A479,'Error Log'!$J:$J,E$1)</f>
        <v>0</v>
      </c>
      <c r="F479" s="65">
        <f>COUNTIFS('Error Log'!$A:$A,$A479,'Error Log'!$J:$J,F$1)</f>
        <v>0</v>
      </c>
      <c r="G479" s="65">
        <f>COUNTIFS('Error Log'!$A:$A,$A479,'Error Log'!$J:$J,G$1)</f>
        <v>0</v>
      </c>
      <c r="H479" s="65">
        <f>COUNTIFS('Error Log'!$A:$A,$A479,'Error Log'!$F:$F,"Source")</f>
        <v>0</v>
      </c>
      <c r="I479" s="65">
        <f>COUNTIFS('Error Log'!$A:$A,$A479,'Error Log'!$F:$F,"Target")</f>
        <v>0</v>
      </c>
      <c r="J479" s="66">
        <f t="shared" si="7"/>
        <v>0</v>
      </c>
    </row>
    <row r="480" spans="1:10">
      <c r="A480" s="76"/>
      <c r="B480" s="65" t="str">
        <f>IF(ISBLANK(A480),"",INDEX('Error Log'!$A:$J,MATCH('Scores per segment'!$A480,'Error Log'!$A:$A,0),MATCH('Scores per segment'!B$1,'Error Log'!$A$1:$J$1,0)))</f>
        <v/>
      </c>
      <c r="C480" s="65" t="str">
        <f>IF(ISBLANK(A480),"",INDEX('Error Log'!$A:$J,MATCH('Scores per segment'!$A480,'Error Log'!$A:$A,0),MATCH('Scores per segment'!C$1,'Error Log'!$A$1:$J$1,0)))</f>
        <v/>
      </c>
      <c r="D480" s="65">
        <f>IF(H480=0,wdct(TRIM(C480)),0)</f>
        <v>0</v>
      </c>
      <c r="E480" s="65">
        <f>COUNTIFS('Error Log'!$A:$A,$A480,'Error Log'!$J:$J,E$1)</f>
        <v>0</v>
      </c>
      <c r="F480" s="65">
        <f>COUNTIFS('Error Log'!$A:$A,$A480,'Error Log'!$J:$J,F$1)</f>
        <v>0</v>
      </c>
      <c r="G480" s="65">
        <f>COUNTIFS('Error Log'!$A:$A,$A480,'Error Log'!$J:$J,G$1)</f>
        <v>0</v>
      </c>
      <c r="H480" s="65">
        <f>COUNTIFS('Error Log'!$A:$A,$A480,'Error Log'!$F:$F,"Source")</f>
        <v>0</v>
      </c>
      <c r="I480" s="65">
        <f>COUNTIFS('Error Log'!$A:$A,$A480,'Error Log'!$F:$F,"Target")</f>
        <v>0</v>
      </c>
      <c r="J480" s="66">
        <f t="shared" si="7"/>
        <v>0</v>
      </c>
    </row>
    <row r="481" spans="1:10">
      <c r="A481" s="76"/>
      <c r="B481" s="65" t="str">
        <f>IF(ISBLANK(A481),"",INDEX('Error Log'!$A:$J,MATCH('Scores per segment'!$A481,'Error Log'!$A:$A,0),MATCH('Scores per segment'!B$1,'Error Log'!$A$1:$J$1,0)))</f>
        <v/>
      </c>
      <c r="C481" s="65" t="str">
        <f>IF(ISBLANK(A481),"",INDEX('Error Log'!$A:$J,MATCH('Scores per segment'!$A481,'Error Log'!$A:$A,0),MATCH('Scores per segment'!C$1,'Error Log'!$A$1:$J$1,0)))</f>
        <v/>
      </c>
      <c r="D481" s="65">
        <f>IF(H481=0,wdct(TRIM(C481)),0)</f>
        <v>0</v>
      </c>
      <c r="E481" s="65">
        <f>COUNTIFS('Error Log'!$A:$A,$A481,'Error Log'!$J:$J,E$1)</f>
        <v>0</v>
      </c>
      <c r="F481" s="65">
        <f>COUNTIFS('Error Log'!$A:$A,$A481,'Error Log'!$J:$J,F$1)</f>
        <v>0</v>
      </c>
      <c r="G481" s="65">
        <f>COUNTIFS('Error Log'!$A:$A,$A481,'Error Log'!$J:$J,G$1)</f>
        <v>0</v>
      </c>
      <c r="H481" s="65">
        <f>COUNTIFS('Error Log'!$A:$A,$A481,'Error Log'!$F:$F,"Source")</f>
        <v>0</v>
      </c>
      <c r="I481" s="65">
        <f>COUNTIFS('Error Log'!$A:$A,$A481,'Error Log'!$F:$F,"Target")</f>
        <v>0</v>
      </c>
      <c r="J481" s="66">
        <f t="shared" si="7"/>
        <v>0</v>
      </c>
    </row>
    <row r="482" spans="1:10">
      <c r="A482" s="76"/>
      <c r="B482" s="65" t="str">
        <f>IF(ISBLANK(A482),"",INDEX('Error Log'!$A:$J,MATCH('Scores per segment'!$A482,'Error Log'!$A:$A,0),MATCH('Scores per segment'!B$1,'Error Log'!$A$1:$J$1,0)))</f>
        <v/>
      </c>
      <c r="C482" s="65" t="str">
        <f>IF(ISBLANK(A482),"",INDEX('Error Log'!$A:$J,MATCH('Scores per segment'!$A482,'Error Log'!$A:$A,0),MATCH('Scores per segment'!C$1,'Error Log'!$A$1:$J$1,0)))</f>
        <v/>
      </c>
      <c r="D482" s="65">
        <f>IF(H482=0,wdct(TRIM(C482)),0)</f>
        <v>0</v>
      </c>
      <c r="E482" s="65">
        <f>COUNTIFS('Error Log'!$A:$A,$A482,'Error Log'!$J:$J,E$1)</f>
        <v>0</v>
      </c>
      <c r="F482" s="65">
        <f>COUNTIFS('Error Log'!$A:$A,$A482,'Error Log'!$J:$J,F$1)</f>
        <v>0</v>
      </c>
      <c r="G482" s="65">
        <f>COUNTIFS('Error Log'!$A:$A,$A482,'Error Log'!$J:$J,G$1)</f>
        <v>0</v>
      </c>
      <c r="H482" s="65">
        <f>COUNTIFS('Error Log'!$A:$A,$A482,'Error Log'!$F:$F,"Source")</f>
        <v>0</v>
      </c>
      <c r="I482" s="65">
        <f>COUNTIFS('Error Log'!$A:$A,$A482,'Error Log'!$F:$F,"Target")</f>
        <v>0</v>
      </c>
      <c r="J482" s="66">
        <f t="shared" si="7"/>
        <v>0</v>
      </c>
    </row>
    <row r="483" spans="1:10">
      <c r="A483" s="76"/>
      <c r="B483" s="65" t="str">
        <f>IF(ISBLANK(A483),"",INDEX('Error Log'!$A:$J,MATCH('Scores per segment'!$A483,'Error Log'!$A:$A,0),MATCH('Scores per segment'!B$1,'Error Log'!$A$1:$J$1,0)))</f>
        <v/>
      </c>
      <c r="C483" s="65" t="str">
        <f>IF(ISBLANK(A483),"",INDEX('Error Log'!$A:$J,MATCH('Scores per segment'!$A483,'Error Log'!$A:$A,0),MATCH('Scores per segment'!C$1,'Error Log'!$A$1:$J$1,0)))</f>
        <v/>
      </c>
      <c r="D483" s="65">
        <f>IF(H483=0,wdct(TRIM(C483)),0)</f>
        <v>0</v>
      </c>
      <c r="E483" s="65">
        <f>COUNTIFS('Error Log'!$A:$A,$A483,'Error Log'!$J:$J,E$1)</f>
        <v>0</v>
      </c>
      <c r="F483" s="65">
        <f>COUNTIFS('Error Log'!$A:$A,$A483,'Error Log'!$J:$J,F$1)</f>
        <v>0</v>
      </c>
      <c r="G483" s="65">
        <f>COUNTIFS('Error Log'!$A:$A,$A483,'Error Log'!$J:$J,G$1)</f>
        <v>0</v>
      </c>
      <c r="H483" s="65">
        <f>COUNTIFS('Error Log'!$A:$A,$A483,'Error Log'!$F:$F,"Source")</f>
        <v>0</v>
      </c>
      <c r="I483" s="65">
        <f>COUNTIFS('Error Log'!$A:$A,$A483,'Error Log'!$F:$F,"Target")</f>
        <v>0</v>
      </c>
      <c r="J483" s="66">
        <f t="shared" si="7"/>
        <v>0</v>
      </c>
    </row>
    <row r="484" spans="1:10">
      <c r="A484" s="76"/>
      <c r="B484" s="65" t="str">
        <f>IF(ISBLANK(A484),"",INDEX('Error Log'!$A:$J,MATCH('Scores per segment'!$A484,'Error Log'!$A:$A,0),MATCH('Scores per segment'!B$1,'Error Log'!$A$1:$J$1,0)))</f>
        <v/>
      </c>
      <c r="C484" s="65" t="str">
        <f>IF(ISBLANK(A484),"",INDEX('Error Log'!$A:$J,MATCH('Scores per segment'!$A484,'Error Log'!$A:$A,0),MATCH('Scores per segment'!C$1,'Error Log'!$A$1:$J$1,0)))</f>
        <v/>
      </c>
      <c r="D484" s="65">
        <f>IF(H484=0,wdct(TRIM(C484)),0)</f>
        <v>0</v>
      </c>
      <c r="E484" s="65">
        <f>COUNTIFS('Error Log'!$A:$A,$A484,'Error Log'!$J:$J,E$1)</f>
        <v>0</v>
      </c>
      <c r="F484" s="65">
        <f>COUNTIFS('Error Log'!$A:$A,$A484,'Error Log'!$J:$J,F$1)</f>
        <v>0</v>
      </c>
      <c r="G484" s="65">
        <f>COUNTIFS('Error Log'!$A:$A,$A484,'Error Log'!$J:$J,G$1)</f>
        <v>0</v>
      </c>
      <c r="H484" s="65">
        <f>COUNTIFS('Error Log'!$A:$A,$A484,'Error Log'!$F:$F,"Source")</f>
        <v>0</v>
      </c>
      <c r="I484" s="65">
        <f>COUNTIFS('Error Log'!$A:$A,$A484,'Error Log'!$F:$F,"Target")</f>
        <v>0</v>
      </c>
      <c r="J484" s="66">
        <f t="shared" si="7"/>
        <v>0</v>
      </c>
    </row>
    <row r="485" spans="1:10">
      <c r="A485" s="76"/>
      <c r="B485" s="65" t="str">
        <f>IF(ISBLANK(A485),"",INDEX('Error Log'!$A:$J,MATCH('Scores per segment'!$A485,'Error Log'!$A:$A,0),MATCH('Scores per segment'!B$1,'Error Log'!$A$1:$J$1,0)))</f>
        <v/>
      </c>
      <c r="C485" s="65" t="str">
        <f>IF(ISBLANK(A485),"",INDEX('Error Log'!$A:$J,MATCH('Scores per segment'!$A485,'Error Log'!$A:$A,0),MATCH('Scores per segment'!C$1,'Error Log'!$A$1:$J$1,0)))</f>
        <v/>
      </c>
      <c r="D485" s="65">
        <f>IF(H485=0,wdct(TRIM(C485)),0)</f>
        <v>0</v>
      </c>
      <c r="E485" s="65">
        <f>COUNTIFS('Error Log'!$A:$A,$A485,'Error Log'!$J:$J,E$1)</f>
        <v>0</v>
      </c>
      <c r="F485" s="65">
        <f>COUNTIFS('Error Log'!$A:$A,$A485,'Error Log'!$J:$J,F$1)</f>
        <v>0</v>
      </c>
      <c r="G485" s="65">
        <f>COUNTIFS('Error Log'!$A:$A,$A485,'Error Log'!$J:$J,G$1)</f>
        <v>0</v>
      </c>
      <c r="H485" s="65">
        <f>COUNTIFS('Error Log'!$A:$A,$A485,'Error Log'!$F:$F,"Source")</f>
        <v>0</v>
      </c>
      <c r="I485" s="65">
        <f>COUNTIFS('Error Log'!$A:$A,$A485,'Error Log'!$F:$F,"Target")</f>
        <v>0</v>
      </c>
      <c r="J485" s="66">
        <f t="shared" si="7"/>
        <v>0</v>
      </c>
    </row>
    <row r="486" spans="1:10">
      <c r="A486" s="76"/>
      <c r="B486" s="65" t="str">
        <f>IF(ISBLANK(A486),"",INDEX('Error Log'!$A:$J,MATCH('Scores per segment'!$A486,'Error Log'!$A:$A,0),MATCH('Scores per segment'!B$1,'Error Log'!$A$1:$J$1,0)))</f>
        <v/>
      </c>
      <c r="C486" s="65" t="str">
        <f>IF(ISBLANK(A486),"",INDEX('Error Log'!$A:$J,MATCH('Scores per segment'!$A486,'Error Log'!$A:$A,0),MATCH('Scores per segment'!C$1,'Error Log'!$A$1:$J$1,0)))</f>
        <v/>
      </c>
      <c r="D486" s="65">
        <f>IF(H486=0,wdct(TRIM(C486)),0)</f>
        <v>0</v>
      </c>
      <c r="E486" s="65">
        <f>COUNTIFS('Error Log'!$A:$A,$A486,'Error Log'!$J:$J,E$1)</f>
        <v>0</v>
      </c>
      <c r="F486" s="65">
        <f>COUNTIFS('Error Log'!$A:$A,$A486,'Error Log'!$J:$J,F$1)</f>
        <v>0</v>
      </c>
      <c r="G486" s="65">
        <f>COUNTIFS('Error Log'!$A:$A,$A486,'Error Log'!$J:$J,G$1)</f>
        <v>0</v>
      </c>
      <c r="H486" s="65">
        <f>COUNTIFS('Error Log'!$A:$A,$A486,'Error Log'!$F:$F,"Source")</f>
        <v>0</v>
      </c>
      <c r="I486" s="65">
        <f>COUNTIFS('Error Log'!$A:$A,$A486,'Error Log'!$F:$F,"Target")</f>
        <v>0</v>
      </c>
      <c r="J486" s="66">
        <f t="shared" si="7"/>
        <v>0</v>
      </c>
    </row>
    <row r="487" spans="1:10">
      <c r="A487" s="76"/>
      <c r="B487" s="65" t="str">
        <f>IF(ISBLANK(A487),"",INDEX('Error Log'!$A:$J,MATCH('Scores per segment'!$A487,'Error Log'!$A:$A,0),MATCH('Scores per segment'!B$1,'Error Log'!$A$1:$J$1,0)))</f>
        <v/>
      </c>
      <c r="C487" s="65" t="str">
        <f>IF(ISBLANK(A487),"",INDEX('Error Log'!$A:$J,MATCH('Scores per segment'!$A487,'Error Log'!$A:$A,0),MATCH('Scores per segment'!C$1,'Error Log'!$A$1:$J$1,0)))</f>
        <v/>
      </c>
      <c r="D487" s="65">
        <f>IF(H487=0,wdct(TRIM(C487)),0)</f>
        <v>0</v>
      </c>
      <c r="E487" s="65">
        <f>COUNTIFS('Error Log'!$A:$A,$A487,'Error Log'!$J:$J,E$1)</f>
        <v>0</v>
      </c>
      <c r="F487" s="65">
        <f>COUNTIFS('Error Log'!$A:$A,$A487,'Error Log'!$J:$J,F$1)</f>
        <v>0</v>
      </c>
      <c r="G487" s="65">
        <f>COUNTIFS('Error Log'!$A:$A,$A487,'Error Log'!$J:$J,G$1)</f>
        <v>0</v>
      </c>
      <c r="H487" s="65">
        <f>COUNTIFS('Error Log'!$A:$A,$A487,'Error Log'!$F:$F,"Source")</f>
        <v>0</v>
      </c>
      <c r="I487" s="65">
        <f>COUNTIFS('Error Log'!$A:$A,$A487,'Error Log'!$F:$F,"Target")</f>
        <v>0</v>
      </c>
      <c r="J487" s="66">
        <f t="shared" si="7"/>
        <v>0</v>
      </c>
    </row>
    <row r="488" spans="1:10">
      <c r="A488" s="76"/>
      <c r="B488" s="65" t="str">
        <f>IF(ISBLANK(A488),"",INDEX('Error Log'!$A:$J,MATCH('Scores per segment'!$A488,'Error Log'!$A:$A,0),MATCH('Scores per segment'!B$1,'Error Log'!$A$1:$J$1,0)))</f>
        <v/>
      </c>
      <c r="C488" s="65" t="str">
        <f>IF(ISBLANK(A488),"",INDEX('Error Log'!$A:$J,MATCH('Scores per segment'!$A488,'Error Log'!$A:$A,0),MATCH('Scores per segment'!C$1,'Error Log'!$A$1:$J$1,0)))</f>
        <v/>
      </c>
      <c r="D488" s="65">
        <f>IF(H488=0,wdct(TRIM(C488)),0)</f>
        <v>0</v>
      </c>
      <c r="E488" s="65">
        <f>COUNTIFS('Error Log'!$A:$A,$A488,'Error Log'!$J:$J,E$1)</f>
        <v>0</v>
      </c>
      <c r="F488" s="65">
        <f>COUNTIFS('Error Log'!$A:$A,$A488,'Error Log'!$J:$J,F$1)</f>
        <v>0</v>
      </c>
      <c r="G488" s="65">
        <f>COUNTIFS('Error Log'!$A:$A,$A488,'Error Log'!$J:$J,G$1)</f>
        <v>0</v>
      </c>
      <c r="H488" s="65">
        <f>COUNTIFS('Error Log'!$A:$A,$A488,'Error Log'!$F:$F,"Source")</f>
        <v>0</v>
      </c>
      <c r="I488" s="65">
        <f>COUNTIFS('Error Log'!$A:$A,$A488,'Error Log'!$F:$F,"Target")</f>
        <v>0</v>
      </c>
      <c r="J488" s="66">
        <f t="shared" si="7"/>
        <v>0</v>
      </c>
    </row>
    <row r="489" spans="1:10">
      <c r="A489" s="76"/>
      <c r="B489" s="65" t="str">
        <f>IF(ISBLANK(A489),"",INDEX('Error Log'!$A:$J,MATCH('Scores per segment'!$A489,'Error Log'!$A:$A,0),MATCH('Scores per segment'!B$1,'Error Log'!$A$1:$J$1,0)))</f>
        <v/>
      </c>
      <c r="C489" s="65" t="str">
        <f>IF(ISBLANK(A489),"",INDEX('Error Log'!$A:$J,MATCH('Scores per segment'!$A489,'Error Log'!$A:$A,0),MATCH('Scores per segment'!C$1,'Error Log'!$A$1:$J$1,0)))</f>
        <v/>
      </c>
      <c r="D489" s="65">
        <f>IF(H489=0,wdct(TRIM(C489)),0)</f>
        <v>0</v>
      </c>
      <c r="E489" s="65">
        <f>COUNTIFS('Error Log'!$A:$A,$A489,'Error Log'!$J:$J,E$1)</f>
        <v>0</v>
      </c>
      <c r="F489" s="65">
        <f>COUNTIFS('Error Log'!$A:$A,$A489,'Error Log'!$J:$J,F$1)</f>
        <v>0</v>
      </c>
      <c r="G489" s="65">
        <f>COUNTIFS('Error Log'!$A:$A,$A489,'Error Log'!$J:$J,G$1)</f>
        <v>0</v>
      </c>
      <c r="H489" s="65">
        <f>COUNTIFS('Error Log'!$A:$A,$A489,'Error Log'!$F:$F,"Source")</f>
        <v>0</v>
      </c>
      <c r="I489" s="65">
        <f>COUNTIFS('Error Log'!$A:$A,$A489,'Error Log'!$F:$F,"Target")</f>
        <v>0</v>
      </c>
      <c r="J489" s="66">
        <f t="shared" si="7"/>
        <v>0</v>
      </c>
    </row>
    <row r="490" spans="1:10">
      <c r="A490" s="76"/>
      <c r="B490" s="65" t="str">
        <f>IF(ISBLANK(A490),"",INDEX('Error Log'!$A:$J,MATCH('Scores per segment'!$A490,'Error Log'!$A:$A,0),MATCH('Scores per segment'!B$1,'Error Log'!$A$1:$J$1,0)))</f>
        <v/>
      </c>
      <c r="C490" s="65" t="str">
        <f>IF(ISBLANK(A490),"",INDEX('Error Log'!$A:$J,MATCH('Scores per segment'!$A490,'Error Log'!$A:$A,0),MATCH('Scores per segment'!C$1,'Error Log'!$A$1:$J$1,0)))</f>
        <v/>
      </c>
      <c r="D490" s="65">
        <f>IF(H490=0,wdct(TRIM(C490)),0)</f>
        <v>0</v>
      </c>
      <c r="E490" s="65">
        <f>COUNTIFS('Error Log'!$A:$A,$A490,'Error Log'!$J:$J,E$1)</f>
        <v>0</v>
      </c>
      <c r="F490" s="65">
        <f>COUNTIFS('Error Log'!$A:$A,$A490,'Error Log'!$J:$J,F$1)</f>
        <v>0</v>
      </c>
      <c r="G490" s="65">
        <f>COUNTIFS('Error Log'!$A:$A,$A490,'Error Log'!$J:$J,G$1)</f>
        <v>0</v>
      </c>
      <c r="H490" s="65">
        <f>COUNTIFS('Error Log'!$A:$A,$A490,'Error Log'!$F:$F,"Source")</f>
        <v>0</v>
      </c>
      <c r="I490" s="65">
        <f>COUNTIFS('Error Log'!$A:$A,$A490,'Error Log'!$F:$F,"Target")</f>
        <v>0</v>
      </c>
      <c r="J490" s="66">
        <f t="shared" si="7"/>
        <v>0</v>
      </c>
    </row>
    <row r="491" spans="1:10">
      <c r="A491" s="76"/>
      <c r="B491" s="65" t="str">
        <f>IF(ISBLANK(A491),"",INDEX('Error Log'!$A:$J,MATCH('Scores per segment'!$A491,'Error Log'!$A:$A,0),MATCH('Scores per segment'!B$1,'Error Log'!$A$1:$J$1,0)))</f>
        <v/>
      </c>
      <c r="C491" s="65" t="str">
        <f>IF(ISBLANK(A491),"",INDEX('Error Log'!$A:$J,MATCH('Scores per segment'!$A491,'Error Log'!$A:$A,0),MATCH('Scores per segment'!C$1,'Error Log'!$A$1:$J$1,0)))</f>
        <v/>
      </c>
      <c r="D491" s="65">
        <f>IF(H491=0,wdct(TRIM(C491)),0)</f>
        <v>0</v>
      </c>
      <c r="E491" s="65">
        <f>COUNTIFS('Error Log'!$A:$A,$A491,'Error Log'!$J:$J,E$1)</f>
        <v>0</v>
      </c>
      <c r="F491" s="65">
        <f>COUNTIFS('Error Log'!$A:$A,$A491,'Error Log'!$J:$J,F$1)</f>
        <v>0</v>
      </c>
      <c r="G491" s="65">
        <f>COUNTIFS('Error Log'!$A:$A,$A491,'Error Log'!$J:$J,G$1)</f>
        <v>0</v>
      </c>
      <c r="H491" s="65">
        <f>COUNTIFS('Error Log'!$A:$A,$A491,'Error Log'!$F:$F,"Source")</f>
        <v>0</v>
      </c>
      <c r="I491" s="65">
        <f>COUNTIFS('Error Log'!$A:$A,$A491,'Error Log'!$F:$F,"Target")</f>
        <v>0</v>
      </c>
      <c r="J491" s="66">
        <f t="shared" si="7"/>
        <v>0</v>
      </c>
    </row>
    <row r="492" spans="1:10">
      <c r="A492" s="76"/>
      <c r="B492" s="65" t="str">
        <f>IF(ISBLANK(A492),"",INDEX('Error Log'!$A:$J,MATCH('Scores per segment'!$A492,'Error Log'!$A:$A,0),MATCH('Scores per segment'!B$1,'Error Log'!$A$1:$J$1,0)))</f>
        <v/>
      </c>
      <c r="C492" s="65" t="str">
        <f>IF(ISBLANK(A492),"",INDEX('Error Log'!$A:$J,MATCH('Scores per segment'!$A492,'Error Log'!$A:$A,0),MATCH('Scores per segment'!C$1,'Error Log'!$A$1:$J$1,0)))</f>
        <v/>
      </c>
      <c r="D492" s="65">
        <f>IF(H492=0,wdct(TRIM(C492)),0)</f>
        <v>0</v>
      </c>
      <c r="E492" s="65">
        <f>COUNTIFS('Error Log'!$A:$A,$A492,'Error Log'!$J:$J,E$1)</f>
        <v>0</v>
      </c>
      <c r="F492" s="65">
        <f>COUNTIFS('Error Log'!$A:$A,$A492,'Error Log'!$J:$J,F$1)</f>
        <v>0</v>
      </c>
      <c r="G492" s="65">
        <f>COUNTIFS('Error Log'!$A:$A,$A492,'Error Log'!$J:$J,G$1)</f>
        <v>0</v>
      </c>
      <c r="H492" s="65">
        <f>COUNTIFS('Error Log'!$A:$A,$A492,'Error Log'!$F:$F,"Source")</f>
        <v>0</v>
      </c>
      <c r="I492" s="65">
        <f>COUNTIFS('Error Log'!$A:$A,$A492,'Error Log'!$F:$F,"Target")</f>
        <v>0</v>
      </c>
      <c r="J492" s="66">
        <f t="shared" si="7"/>
        <v>0</v>
      </c>
    </row>
    <row r="493" spans="1:10">
      <c r="A493" s="76"/>
      <c r="B493" s="65" t="str">
        <f>IF(ISBLANK(A493),"",INDEX('Error Log'!$A:$J,MATCH('Scores per segment'!$A493,'Error Log'!$A:$A,0),MATCH('Scores per segment'!B$1,'Error Log'!$A$1:$J$1,0)))</f>
        <v/>
      </c>
      <c r="C493" s="65" t="str">
        <f>IF(ISBLANK(A493),"",INDEX('Error Log'!$A:$J,MATCH('Scores per segment'!$A493,'Error Log'!$A:$A,0),MATCH('Scores per segment'!C$1,'Error Log'!$A$1:$J$1,0)))</f>
        <v/>
      </c>
      <c r="D493" s="65">
        <f>IF(H493=0,wdct(TRIM(C493)),0)</f>
        <v>0</v>
      </c>
      <c r="E493" s="65">
        <f>COUNTIFS('Error Log'!$A:$A,$A493,'Error Log'!$J:$J,E$1)</f>
        <v>0</v>
      </c>
      <c r="F493" s="65">
        <f>COUNTIFS('Error Log'!$A:$A,$A493,'Error Log'!$J:$J,F$1)</f>
        <v>0</v>
      </c>
      <c r="G493" s="65">
        <f>COUNTIFS('Error Log'!$A:$A,$A493,'Error Log'!$J:$J,G$1)</f>
        <v>0</v>
      </c>
      <c r="H493" s="65">
        <f>COUNTIFS('Error Log'!$A:$A,$A493,'Error Log'!$F:$F,"Source")</f>
        <v>0</v>
      </c>
      <c r="I493" s="65">
        <f>COUNTIFS('Error Log'!$A:$A,$A493,'Error Log'!$F:$F,"Target")</f>
        <v>0</v>
      </c>
      <c r="J493" s="66">
        <f t="shared" si="7"/>
        <v>0</v>
      </c>
    </row>
    <row r="494" spans="1:10">
      <c r="A494" s="76"/>
      <c r="B494" s="65" t="str">
        <f>IF(ISBLANK(A494),"",INDEX('Error Log'!$A:$J,MATCH('Scores per segment'!$A494,'Error Log'!$A:$A,0),MATCH('Scores per segment'!B$1,'Error Log'!$A$1:$J$1,0)))</f>
        <v/>
      </c>
      <c r="C494" s="65" t="str">
        <f>IF(ISBLANK(A494),"",INDEX('Error Log'!$A:$J,MATCH('Scores per segment'!$A494,'Error Log'!$A:$A,0),MATCH('Scores per segment'!C$1,'Error Log'!$A$1:$J$1,0)))</f>
        <v/>
      </c>
      <c r="D494" s="65">
        <f>IF(H494=0,wdct(TRIM(C494)),0)</f>
        <v>0</v>
      </c>
      <c r="E494" s="65">
        <f>COUNTIFS('Error Log'!$A:$A,$A494,'Error Log'!$J:$J,E$1)</f>
        <v>0</v>
      </c>
      <c r="F494" s="65">
        <f>COUNTIFS('Error Log'!$A:$A,$A494,'Error Log'!$J:$J,F$1)</f>
        <v>0</v>
      </c>
      <c r="G494" s="65">
        <f>COUNTIFS('Error Log'!$A:$A,$A494,'Error Log'!$J:$J,G$1)</f>
        <v>0</v>
      </c>
      <c r="H494" s="65">
        <f>COUNTIFS('Error Log'!$A:$A,$A494,'Error Log'!$F:$F,"Source")</f>
        <v>0</v>
      </c>
      <c r="I494" s="65">
        <f>COUNTIFS('Error Log'!$A:$A,$A494,'Error Log'!$F:$F,"Target")</f>
        <v>0</v>
      </c>
      <c r="J494" s="66">
        <f t="shared" si="7"/>
        <v>0</v>
      </c>
    </row>
    <row r="495" spans="1:10">
      <c r="A495" s="76"/>
      <c r="B495" s="65" t="str">
        <f>IF(ISBLANK(A495),"",INDEX('Error Log'!$A:$J,MATCH('Scores per segment'!$A495,'Error Log'!$A:$A,0),MATCH('Scores per segment'!B$1,'Error Log'!$A$1:$J$1,0)))</f>
        <v/>
      </c>
      <c r="C495" s="65" t="str">
        <f>IF(ISBLANK(A495),"",INDEX('Error Log'!$A:$J,MATCH('Scores per segment'!$A495,'Error Log'!$A:$A,0),MATCH('Scores per segment'!C$1,'Error Log'!$A$1:$J$1,0)))</f>
        <v/>
      </c>
      <c r="D495" s="65">
        <f>IF(H495=0,wdct(TRIM(C495)),0)</f>
        <v>0</v>
      </c>
      <c r="E495" s="65">
        <f>COUNTIFS('Error Log'!$A:$A,$A495,'Error Log'!$J:$J,E$1)</f>
        <v>0</v>
      </c>
      <c r="F495" s="65">
        <f>COUNTIFS('Error Log'!$A:$A,$A495,'Error Log'!$J:$J,F$1)</f>
        <v>0</v>
      </c>
      <c r="G495" s="65">
        <f>COUNTIFS('Error Log'!$A:$A,$A495,'Error Log'!$J:$J,G$1)</f>
        <v>0</v>
      </c>
      <c r="H495" s="65">
        <f>COUNTIFS('Error Log'!$A:$A,$A495,'Error Log'!$F:$F,"Source")</f>
        <v>0</v>
      </c>
      <c r="I495" s="65">
        <f>COUNTIFS('Error Log'!$A:$A,$A495,'Error Log'!$F:$F,"Target")</f>
        <v>0</v>
      </c>
      <c r="J495" s="66">
        <f t="shared" si="7"/>
        <v>0</v>
      </c>
    </row>
    <row r="496" spans="1:10">
      <c r="A496" s="76"/>
      <c r="B496" s="65" t="str">
        <f>IF(ISBLANK(A496),"",INDEX('Error Log'!$A:$J,MATCH('Scores per segment'!$A496,'Error Log'!$A:$A,0),MATCH('Scores per segment'!B$1,'Error Log'!$A$1:$J$1,0)))</f>
        <v/>
      </c>
      <c r="C496" s="65" t="str">
        <f>IF(ISBLANK(A496),"",INDEX('Error Log'!$A:$J,MATCH('Scores per segment'!$A496,'Error Log'!$A:$A,0),MATCH('Scores per segment'!C$1,'Error Log'!$A$1:$J$1,0)))</f>
        <v/>
      </c>
      <c r="D496" s="65">
        <f>IF(H496=0,wdct(TRIM(C496)),0)</f>
        <v>0</v>
      </c>
      <c r="E496" s="65">
        <f>COUNTIFS('Error Log'!$A:$A,$A496,'Error Log'!$J:$J,E$1)</f>
        <v>0</v>
      </c>
      <c r="F496" s="65">
        <f>COUNTIFS('Error Log'!$A:$A,$A496,'Error Log'!$J:$J,F$1)</f>
        <v>0</v>
      </c>
      <c r="G496" s="65">
        <f>COUNTIFS('Error Log'!$A:$A,$A496,'Error Log'!$J:$J,G$1)</f>
        <v>0</v>
      </c>
      <c r="H496" s="65">
        <f>COUNTIFS('Error Log'!$A:$A,$A496,'Error Log'!$F:$F,"Source")</f>
        <v>0</v>
      </c>
      <c r="I496" s="65">
        <f>COUNTIFS('Error Log'!$A:$A,$A496,'Error Log'!$F:$F,"Target")</f>
        <v>0</v>
      </c>
      <c r="J496" s="66">
        <f t="shared" si="7"/>
        <v>0</v>
      </c>
    </row>
    <row r="497" spans="1:10">
      <c r="A497" s="76"/>
      <c r="B497" s="65" t="str">
        <f>IF(ISBLANK(A497),"",INDEX('Error Log'!$A:$J,MATCH('Scores per segment'!$A497,'Error Log'!$A:$A,0),MATCH('Scores per segment'!B$1,'Error Log'!$A$1:$J$1,0)))</f>
        <v/>
      </c>
      <c r="C497" s="65" t="str">
        <f>IF(ISBLANK(A497),"",INDEX('Error Log'!$A:$J,MATCH('Scores per segment'!$A497,'Error Log'!$A:$A,0),MATCH('Scores per segment'!C$1,'Error Log'!$A$1:$J$1,0)))</f>
        <v/>
      </c>
      <c r="D497" s="65">
        <f>IF(H497=0,wdct(TRIM(C497)),0)</f>
        <v>0</v>
      </c>
      <c r="E497" s="65">
        <f>COUNTIFS('Error Log'!$A:$A,$A497,'Error Log'!$J:$J,E$1)</f>
        <v>0</v>
      </c>
      <c r="F497" s="65">
        <f>COUNTIFS('Error Log'!$A:$A,$A497,'Error Log'!$J:$J,F$1)</f>
        <v>0</v>
      </c>
      <c r="G497" s="65">
        <f>COUNTIFS('Error Log'!$A:$A,$A497,'Error Log'!$J:$J,G$1)</f>
        <v>0</v>
      </c>
      <c r="H497" s="65">
        <f>COUNTIFS('Error Log'!$A:$A,$A497,'Error Log'!$F:$F,"Source")</f>
        <v>0</v>
      </c>
      <c r="I497" s="65">
        <f>COUNTIFS('Error Log'!$A:$A,$A497,'Error Log'!$F:$F,"Target")</f>
        <v>0</v>
      </c>
      <c r="J497" s="66">
        <f t="shared" si="7"/>
        <v>0</v>
      </c>
    </row>
    <row r="498" spans="1:10">
      <c r="A498" s="76"/>
      <c r="B498" s="65" t="str">
        <f>IF(ISBLANK(A498),"",INDEX('Error Log'!$A:$J,MATCH('Scores per segment'!$A498,'Error Log'!$A:$A,0),MATCH('Scores per segment'!B$1,'Error Log'!$A$1:$J$1,0)))</f>
        <v/>
      </c>
      <c r="C498" s="65" t="str">
        <f>IF(ISBLANK(A498),"",INDEX('Error Log'!$A:$J,MATCH('Scores per segment'!$A498,'Error Log'!$A:$A,0),MATCH('Scores per segment'!C$1,'Error Log'!$A$1:$J$1,0)))</f>
        <v/>
      </c>
      <c r="D498" s="65">
        <f>IF(H498=0,wdct(TRIM(C498)),0)</f>
        <v>0</v>
      </c>
      <c r="E498" s="65">
        <f>COUNTIFS('Error Log'!$A:$A,$A498,'Error Log'!$J:$J,E$1)</f>
        <v>0</v>
      </c>
      <c r="F498" s="65">
        <f>COUNTIFS('Error Log'!$A:$A,$A498,'Error Log'!$J:$J,F$1)</f>
        <v>0</v>
      </c>
      <c r="G498" s="65">
        <f>COUNTIFS('Error Log'!$A:$A,$A498,'Error Log'!$J:$J,G$1)</f>
        <v>0</v>
      </c>
      <c r="H498" s="65">
        <f>COUNTIFS('Error Log'!$A:$A,$A498,'Error Log'!$F:$F,"Source")</f>
        <v>0</v>
      </c>
      <c r="I498" s="65">
        <f>COUNTIFS('Error Log'!$A:$A,$A498,'Error Log'!$F:$F,"Target")</f>
        <v>0</v>
      </c>
      <c r="J498" s="66">
        <f t="shared" si="7"/>
        <v>0</v>
      </c>
    </row>
    <row r="499" spans="1:10">
      <c r="A499" s="76"/>
      <c r="B499" s="65" t="str">
        <f>IF(ISBLANK(A499),"",INDEX('Error Log'!$A:$J,MATCH('Scores per segment'!$A499,'Error Log'!$A:$A,0),MATCH('Scores per segment'!B$1,'Error Log'!$A$1:$J$1,0)))</f>
        <v/>
      </c>
      <c r="C499" s="65" t="str">
        <f>IF(ISBLANK(A499),"",INDEX('Error Log'!$A:$J,MATCH('Scores per segment'!$A499,'Error Log'!$A:$A,0),MATCH('Scores per segment'!C$1,'Error Log'!$A$1:$J$1,0)))</f>
        <v/>
      </c>
      <c r="D499" s="65">
        <f>IF(H499=0,wdct(TRIM(C499)),0)</f>
        <v>0</v>
      </c>
      <c r="E499" s="65">
        <f>COUNTIFS('Error Log'!$A:$A,$A499,'Error Log'!$J:$J,E$1)</f>
        <v>0</v>
      </c>
      <c r="F499" s="65">
        <f>COUNTIFS('Error Log'!$A:$A,$A499,'Error Log'!$J:$J,F$1)</f>
        <v>0</v>
      </c>
      <c r="G499" s="65">
        <f>COUNTIFS('Error Log'!$A:$A,$A499,'Error Log'!$J:$J,G$1)</f>
        <v>0</v>
      </c>
      <c r="H499" s="65">
        <f>COUNTIFS('Error Log'!$A:$A,$A499,'Error Log'!$F:$F,"Source")</f>
        <v>0</v>
      </c>
      <c r="I499" s="65">
        <f>COUNTIFS('Error Log'!$A:$A,$A499,'Error Log'!$F:$F,"Target")</f>
        <v>0</v>
      </c>
      <c r="J499" s="66">
        <f t="shared" si="7"/>
        <v>0</v>
      </c>
    </row>
    <row r="500" spans="1:10">
      <c r="A500" s="76"/>
      <c r="B500" s="65" t="str">
        <f>IF(ISBLANK(A500),"",INDEX('Error Log'!$A:$J,MATCH('Scores per segment'!$A500,'Error Log'!$A:$A,0),MATCH('Scores per segment'!B$1,'Error Log'!$A$1:$J$1,0)))</f>
        <v/>
      </c>
      <c r="C500" s="65" t="str">
        <f>IF(ISBLANK(A500),"",INDEX('Error Log'!$A:$J,MATCH('Scores per segment'!$A500,'Error Log'!$A:$A,0),MATCH('Scores per segment'!C$1,'Error Log'!$A$1:$J$1,0)))</f>
        <v/>
      </c>
      <c r="D500" s="65">
        <f>IF(H500=0,wdct(TRIM(C500)),0)</f>
        <v>0</v>
      </c>
      <c r="E500" s="65">
        <f>COUNTIFS('Error Log'!$A:$A,$A500,'Error Log'!$J:$J,E$1)</f>
        <v>0</v>
      </c>
      <c r="F500" s="65">
        <f>COUNTIFS('Error Log'!$A:$A,$A500,'Error Log'!$J:$J,F$1)</f>
        <v>0</v>
      </c>
      <c r="G500" s="65">
        <f>COUNTIFS('Error Log'!$A:$A,$A500,'Error Log'!$J:$J,G$1)</f>
        <v>0</v>
      </c>
      <c r="H500" s="65">
        <f>COUNTIFS('Error Log'!$A:$A,$A500,'Error Log'!$F:$F,"Source")</f>
        <v>0</v>
      </c>
      <c r="I500" s="65">
        <f>COUNTIFS('Error Log'!$A:$A,$A500,'Error Log'!$F:$F,"Target")</f>
        <v>0</v>
      </c>
      <c r="J500" s="66">
        <f t="shared" si="7"/>
        <v>0</v>
      </c>
    </row>
    <row r="501" spans="1:10">
      <c r="A501" s="76"/>
      <c r="B501" s="65" t="str">
        <f>IF(ISBLANK(A501),"",INDEX('Error Log'!$A:$J,MATCH('Scores per segment'!$A501,'Error Log'!$A:$A,0),MATCH('Scores per segment'!B$1,'Error Log'!$A$1:$J$1,0)))</f>
        <v/>
      </c>
      <c r="C501" s="65" t="str">
        <f>IF(ISBLANK(A501),"",INDEX('Error Log'!$A:$J,MATCH('Scores per segment'!$A501,'Error Log'!$A:$A,0),MATCH('Scores per segment'!C$1,'Error Log'!$A$1:$J$1,0)))</f>
        <v/>
      </c>
      <c r="D501" s="65">
        <f>IF(H501=0,wdct(TRIM(C501)),0)</f>
        <v>0</v>
      </c>
      <c r="E501" s="65">
        <f>COUNTIFS('Error Log'!$A:$A,$A501,'Error Log'!$J:$J,E$1)</f>
        <v>0</v>
      </c>
      <c r="F501" s="65">
        <f>COUNTIFS('Error Log'!$A:$A,$A501,'Error Log'!$J:$J,F$1)</f>
        <v>0</v>
      </c>
      <c r="G501" s="65">
        <f>COUNTIFS('Error Log'!$A:$A,$A501,'Error Log'!$J:$J,G$1)</f>
        <v>0</v>
      </c>
      <c r="H501" s="65">
        <f>COUNTIFS('Error Log'!$A:$A,$A501,'Error Log'!$F:$F,"Source")</f>
        <v>0</v>
      </c>
      <c r="I501" s="65">
        <f>COUNTIFS('Error Log'!$A:$A,$A501,'Error Log'!$F:$F,"Target")</f>
        <v>0</v>
      </c>
      <c r="J501" s="66">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1"/>
  <sheetViews>
    <sheetView zoomScaleNormal="100" workbookViewId="0">
      <pane ySplit="1" topLeftCell="A2" activePane="bottomLeft" state="frozen"/>
      <selection pane="bottomLeft" activeCell="C55" sqref="C55"/>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67"/>
  </cols>
  <sheetData>
    <row r="1" spans="1:14">
      <c r="A1" s="102" t="s">
        <v>50</v>
      </c>
      <c r="B1" s="103"/>
      <c r="C1" s="103"/>
      <c r="D1" s="103"/>
      <c r="E1" s="103"/>
      <c r="F1" s="103"/>
      <c r="G1" s="103"/>
      <c r="H1" s="103"/>
      <c r="I1" s="103"/>
      <c r="J1" s="103"/>
      <c r="K1" s="103"/>
      <c r="L1" s="103"/>
      <c r="M1" s="104"/>
    </row>
    <row r="2" spans="1:14">
      <c r="A2" s="5" t="s">
        <v>31</v>
      </c>
      <c r="B2" s="5" t="s">
        <v>30</v>
      </c>
      <c r="C2" s="5" t="s">
        <v>54</v>
      </c>
      <c r="D2" s="5" t="s">
        <v>55</v>
      </c>
      <c r="E2" s="5" t="s">
        <v>56</v>
      </c>
      <c r="F2" s="5" t="s">
        <v>29</v>
      </c>
      <c r="G2" s="5" t="s">
        <v>27</v>
      </c>
      <c r="H2" s="5" t="s">
        <v>28</v>
      </c>
      <c r="I2" s="5" t="s">
        <v>58</v>
      </c>
      <c r="J2" s="5" t="s">
        <v>57</v>
      </c>
    </row>
    <row r="3" spans="1:14">
      <c r="A3" s="101" t="s">
        <v>21</v>
      </c>
      <c r="B3" s="4" t="s">
        <v>22</v>
      </c>
      <c r="C3" s="3" t="s">
        <v>25</v>
      </c>
      <c r="D3" s="3" t="s">
        <v>25</v>
      </c>
      <c r="E3" s="3" t="s">
        <v>25</v>
      </c>
      <c r="F3" s="3" t="s">
        <v>23</v>
      </c>
      <c r="G3" s="3" t="s">
        <v>23</v>
      </c>
      <c r="H3" s="3" t="s">
        <v>23</v>
      </c>
      <c r="I3" s="3" t="s">
        <v>59</v>
      </c>
      <c r="J3" s="3" t="s">
        <v>23</v>
      </c>
      <c r="N3" s="2"/>
    </row>
    <row r="4" spans="1:14">
      <c r="A4" s="101"/>
      <c r="B4" s="4" t="s">
        <v>7</v>
      </c>
      <c r="C4" s="3" t="s">
        <v>25</v>
      </c>
      <c r="D4" s="3" t="s">
        <v>25</v>
      </c>
      <c r="E4" s="3" t="s">
        <v>25</v>
      </c>
      <c r="F4" s="3" t="s">
        <v>60</v>
      </c>
      <c r="G4" s="3" t="s">
        <v>23</v>
      </c>
      <c r="H4" s="3" t="s">
        <v>23</v>
      </c>
      <c r="I4" s="3" t="s">
        <v>59</v>
      </c>
      <c r="J4" s="3" t="s">
        <v>60</v>
      </c>
      <c r="N4" s="2"/>
    </row>
    <row r="5" spans="1:14">
      <c r="A5" s="101"/>
      <c r="B5" s="4" t="s">
        <v>63</v>
      </c>
      <c r="C5" s="3" t="s">
        <v>25</v>
      </c>
      <c r="D5" s="3" t="s">
        <v>25</v>
      </c>
      <c r="E5" s="3" t="s">
        <v>25</v>
      </c>
      <c r="F5" s="3" t="s">
        <v>60</v>
      </c>
      <c r="G5" s="3" t="s">
        <v>60</v>
      </c>
      <c r="H5" s="3" t="s">
        <v>23</v>
      </c>
      <c r="I5" s="3" t="s">
        <v>59</v>
      </c>
      <c r="J5" s="3" t="s">
        <v>24</v>
      </c>
      <c r="N5" s="2"/>
    </row>
    <row r="6" spans="1:14">
      <c r="A6" s="101"/>
      <c r="B6" s="4" t="s">
        <v>64</v>
      </c>
      <c r="C6" s="3" t="s">
        <v>25</v>
      </c>
      <c r="D6" s="3" t="s">
        <v>25</v>
      </c>
      <c r="E6" s="3" t="s">
        <v>25</v>
      </c>
      <c r="F6" s="3" t="s">
        <v>25</v>
      </c>
      <c r="G6" s="3" t="s">
        <v>25</v>
      </c>
      <c r="H6" s="3" t="s">
        <v>25</v>
      </c>
      <c r="I6" s="3" t="s">
        <v>24</v>
      </c>
      <c r="J6" s="3" t="s">
        <v>24</v>
      </c>
      <c r="N6" s="2"/>
    </row>
    <row r="7" spans="1:14">
      <c r="A7" s="101"/>
      <c r="B7" s="4" t="s">
        <v>45</v>
      </c>
      <c r="C7" s="3" t="s">
        <v>24</v>
      </c>
      <c r="D7" s="3" t="s">
        <v>24</v>
      </c>
      <c r="E7" s="3" t="s">
        <v>25</v>
      </c>
      <c r="F7" s="3" t="s">
        <v>24</v>
      </c>
      <c r="G7" s="3" t="s">
        <v>24</v>
      </c>
      <c r="H7" s="3" t="s">
        <v>61</v>
      </c>
      <c r="I7" s="3" t="s">
        <v>24</v>
      </c>
      <c r="J7" s="3" t="s">
        <v>24</v>
      </c>
      <c r="N7" s="2"/>
    </row>
    <row r="8" spans="1:14">
      <c r="A8" s="101" t="s">
        <v>2</v>
      </c>
      <c r="B8" s="4" t="s">
        <v>65</v>
      </c>
      <c r="C8" s="3" t="s">
        <v>24</v>
      </c>
      <c r="D8" s="3" t="s">
        <v>24</v>
      </c>
      <c r="E8" s="3" t="s">
        <v>23</v>
      </c>
      <c r="F8" s="3" t="s">
        <v>24</v>
      </c>
      <c r="G8" s="3" t="s">
        <v>24</v>
      </c>
      <c r="H8" s="3" t="s">
        <v>23</v>
      </c>
      <c r="I8" s="3" t="s">
        <v>1</v>
      </c>
      <c r="J8" s="3" t="s">
        <v>24</v>
      </c>
      <c r="N8" s="2"/>
    </row>
    <row r="9" spans="1:14">
      <c r="A9" s="101"/>
      <c r="B9" s="4" t="s">
        <v>26</v>
      </c>
      <c r="C9" s="3" t="s">
        <v>23</v>
      </c>
      <c r="D9" s="3" t="s">
        <v>23</v>
      </c>
      <c r="E9" s="3" t="s">
        <v>23</v>
      </c>
      <c r="F9" s="3" t="s">
        <v>23</v>
      </c>
      <c r="G9" s="3" t="s">
        <v>23</v>
      </c>
      <c r="H9" s="3" t="s">
        <v>23</v>
      </c>
      <c r="I9" s="3" t="s">
        <v>59</v>
      </c>
      <c r="J9" s="3" t="s">
        <v>23</v>
      </c>
      <c r="N9" s="2"/>
    </row>
    <row r="10" spans="1:14">
      <c r="A10" s="101"/>
      <c r="B10" s="4" t="s">
        <v>66</v>
      </c>
      <c r="C10" s="3" t="s">
        <v>1</v>
      </c>
      <c r="D10" s="3" t="s">
        <v>1</v>
      </c>
      <c r="E10" s="3" t="s">
        <v>1</v>
      </c>
      <c r="F10" s="3" t="s">
        <v>1</v>
      </c>
      <c r="G10" s="3" t="s">
        <v>1</v>
      </c>
      <c r="H10" s="3" t="s">
        <v>1</v>
      </c>
      <c r="I10" s="3" t="s">
        <v>1</v>
      </c>
      <c r="J10" s="3" t="s">
        <v>24</v>
      </c>
      <c r="N10" s="2"/>
    </row>
    <row r="11" spans="1:14">
      <c r="A11" s="69"/>
      <c r="B11" s="69"/>
      <c r="C11" s="70"/>
      <c r="D11" s="70"/>
      <c r="E11" s="70"/>
      <c r="F11" s="70"/>
      <c r="G11" s="70"/>
      <c r="H11" s="70"/>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c r="D17" s="6"/>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67"/>
    </row>
    <row r="34" spans="1:13">
      <c r="A34" s="67"/>
      <c r="B34" s="67"/>
      <c r="C34" s="67"/>
    </row>
    <row r="35" spans="1:13">
      <c r="A35" s="67"/>
      <c r="B35" s="67"/>
      <c r="C35" s="67"/>
    </row>
    <row r="36" spans="1:13">
      <c r="A36" s="67"/>
      <c r="B36" s="67"/>
      <c r="C36" s="71"/>
    </row>
    <row r="37" spans="1:13">
      <c r="A37" s="71"/>
      <c r="E37" s="71"/>
    </row>
    <row r="39" spans="1:13">
      <c r="A39" s="8" t="s">
        <v>2</v>
      </c>
      <c r="B39" s="8" t="s">
        <v>2</v>
      </c>
      <c r="C39" s="8" t="s">
        <v>2</v>
      </c>
      <c r="M39" s="67"/>
    </row>
    <row r="40" spans="1:13">
      <c r="A40" s="8" t="s">
        <v>65</v>
      </c>
      <c r="B40" s="8" t="s">
        <v>26</v>
      </c>
      <c r="C40" s="8" t="s">
        <v>67</v>
      </c>
      <c r="M40" s="67"/>
    </row>
    <row r="41" spans="1:13">
      <c r="A41" s="11" t="s">
        <v>56</v>
      </c>
      <c r="B41" s="11" t="s">
        <v>54</v>
      </c>
      <c r="C41" s="11" t="s">
        <v>54</v>
      </c>
      <c r="M41" s="67"/>
    </row>
    <row r="42" spans="1:13">
      <c r="A42" s="11" t="s">
        <v>28</v>
      </c>
      <c r="B42" s="11" t="s">
        <v>55</v>
      </c>
      <c r="C42" s="11" t="s">
        <v>55</v>
      </c>
      <c r="M42" s="67"/>
    </row>
    <row r="43" spans="1:13">
      <c r="A43" s="11" t="s">
        <v>58</v>
      </c>
      <c r="B43" s="11" t="s">
        <v>56</v>
      </c>
      <c r="C43" s="11" t="s">
        <v>56</v>
      </c>
      <c r="M43" s="67"/>
    </row>
    <row r="44" spans="1:13">
      <c r="A44" s="11"/>
      <c r="B44" s="11" t="s">
        <v>29</v>
      </c>
      <c r="C44" s="11" t="s">
        <v>29</v>
      </c>
      <c r="M44" s="67"/>
    </row>
    <row r="45" spans="1:13">
      <c r="A45" s="11"/>
      <c r="B45" s="11" t="s">
        <v>27</v>
      </c>
      <c r="C45" s="11" t="s">
        <v>27</v>
      </c>
      <c r="M45" s="67"/>
    </row>
    <row r="46" spans="1:13">
      <c r="B46" s="11" t="s">
        <v>28</v>
      </c>
      <c r="C46" s="11" t="s">
        <v>28</v>
      </c>
      <c r="M46" s="67"/>
    </row>
    <row r="47" spans="1:13">
      <c r="B47" s="11" t="s">
        <v>58</v>
      </c>
      <c r="M47" s="67"/>
    </row>
    <row r="48" spans="1:13">
      <c r="B48" s="11" t="s">
        <v>57</v>
      </c>
    </row>
    <row r="51" spans="1:1">
      <c r="A51" s="71"/>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2020-11-27T09:23:11Z</dcterms:modified>
</cp:coreProperties>
</file>