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2527" codeName="{564CA151-5A5B-428A-3C10-775976492406}"/>
  <workbookPr showInkAnnotation="0" codeName="ThisWorkbook" autoCompressPictures="0"/>
  <mc:AlternateContent xmlns:mc="http://schemas.openxmlformats.org/markup-compatibility/2006">
    <mc:Choice Requires="x15">
      <x15ac:absPath xmlns:x15ac="http://schemas.microsoft.com/office/spreadsheetml/2010/11/ac" url="C:\Users\hdd\Desktop\annotation_150\"/>
    </mc:Choice>
  </mc:AlternateContent>
  <xr:revisionPtr revIDLastSave="0" documentId="13_ncr:1_{2A98A6BB-C765-49EC-9814-3D5D7B1D02F1}" xr6:coauthVersionLast="45" xr6:coauthVersionMax="45" xr10:uidLastSave="{00000000-0000-0000-0000-000000000000}"/>
  <bookViews>
    <workbookView xWindow="384" yWindow="384" windowWidth="21252" windowHeight="11184" tabRatio="868" activeTab="3" xr2:uid="{00000000-000D-0000-FFFF-FFFF00000000}"/>
  </bookViews>
  <sheets>
    <sheet name="ScoreCard" sheetId="18" r:id="rId1"/>
    <sheet name="Error Log" sheetId="14" r:id="rId2"/>
    <sheet name="Scores per segment" sheetId="21" r:id="rId3"/>
    <sheet name="Severity_Matrix" sheetId="19" r:id="rId4"/>
  </sheets>
  <functionGroups builtInGroupCount="19"/>
  <definedNames>
    <definedName name="_xlnm._FilterDatabase" localSheetId="1" hidden="1">'Error Log'!$A$1:$L$491</definedName>
    <definedName name="_xlnm._FilterDatabase" localSheetId="2" hidden="1">'Scores per segment'!$A$1:$J$501</definedName>
    <definedName name="Accuracy">Severity_Matrix!$B$14:$B$18</definedName>
    <definedName name="Addition">Severity_Matrix!$A$26:$A$33</definedName>
    <definedName name="Duplication">Severity_Matrix!$D$41:$D$48</definedName>
    <definedName name="Fluency">Severity_Matrix!$C$14:$C$18</definedName>
    <definedName name="Inaccuracy_external">Severity_Matrix!$D$26:$D$33</definedName>
    <definedName name="Inaccuracy_internal">Severity_Matrix!$C$26:$C$33</definedName>
    <definedName name="Inappropriate_Selection_of_Words">Severity_Matrix!$B$41:$B$48</definedName>
    <definedName name="Issue_Type">Severity_Matrix!$A$14:$A$16</definedName>
    <definedName name="Omission">Severity_Matrix!$B$26:$B$33</definedName>
    <definedName name="Positive_Negative_Aspect">Severity_Matrix!$E$26:$E$33</definedName>
    <definedName name="Spelling">Severity_Matrix!$C$41:$C$48</definedName>
    <definedName name="Word_From">Severity_Matrix!$E$41:$E$48</definedName>
    <definedName name="Word_Order">Severity_Matrix!$A$41:$A$48</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J492" i="14" l="1"/>
  <c r="J493" i="14"/>
  <c r="J494" i="14"/>
  <c r="J495" i="14"/>
  <c r="J496" i="14"/>
  <c r="J497" i="14"/>
  <c r="J498" i="14"/>
  <c r="J499" i="14"/>
  <c r="J500" i="14"/>
  <c r="J501" i="14"/>
  <c r="J502" i="14"/>
  <c r="J503" i="14"/>
  <c r="J504" i="14"/>
  <c r="J505" i="14"/>
  <c r="J506" i="14"/>
  <c r="J507" i="14"/>
  <c r="J508" i="14"/>
  <c r="J509" i="14"/>
  <c r="J510" i="14"/>
  <c r="J511" i="14"/>
  <c r="J512" i="14"/>
  <c r="J513" i="14"/>
  <c r="J514" i="14"/>
  <c r="J515" i="14"/>
  <c r="J516" i="14"/>
  <c r="J517" i="14"/>
  <c r="J518" i="14"/>
  <c r="J519" i="14"/>
  <c r="J520" i="14"/>
  <c r="J521" i="14"/>
  <c r="J522" i="14"/>
  <c r="J523" i="14"/>
  <c r="J524" i="14"/>
  <c r="J525" i="14"/>
  <c r="J526" i="14"/>
  <c r="J527" i="14"/>
  <c r="J528" i="14"/>
  <c r="J529" i="14"/>
  <c r="J530" i="14"/>
  <c r="J177" i="14" l="1"/>
  <c r="J178" i="14"/>
  <c r="J451" i="14" l="1"/>
  <c r="J452" i="14"/>
  <c r="J453" i="14"/>
  <c r="J454" i="14"/>
  <c r="J455" i="14"/>
  <c r="J456" i="14"/>
  <c r="J457" i="14"/>
  <c r="J458" i="14"/>
  <c r="J459" i="14"/>
  <c r="J460" i="14"/>
  <c r="J461" i="14"/>
  <c r="J462" i="14"/>
  <c r="J463" i="14"/>
  <c r="J464" i="14"/>
  <c r="J465" i="14"/>
  <c r="J466" i="14"/>
  <c r="J467" i="14"/>
  <c r="J468" i="14"/>
  <c r="J469" i="14"/>
  <c r="J470" i="14"/>
  <c r="J471" i="14"/>
  <c r="J472" i="14"/>
  <c r="J473" i="14"/>
  <c r="J474" i="14"/>
  <c r="J475" i="14"/>
  <c r="J476" i="14"/>
  <c r="J477" i="14"/>
  <c r="J478" i="14"/>
  <c r="J479" i="14"/>
  <c r="J480" i="14"/>
  <c r="J481" i="14"/>
  <c r="J482" i="14"/>
  <c r="J483" i="14"/>
  <c r="J484" i="14"/>
  <c r="J485" i="14"/>
  <c r="J486" i="14"/>
  <c r="J487" i="14"/>
  <c r="J488" i="14"/>
  <c r="J489" i="14"/>
  <c r="J490" i="14"/>
  <c r="J491" i="14"/>
  <c r="J358" i="14"/>
  <c r="J359" i="14"/>
  <c r="J360" i="14"/>
  <c r="J361" i="14"/>
  <c r="J362" i="14"/>
  <c r="J363" i="14"/>
  <c r="J364" i="14"/>
  <c r="J365" i="14"/>
  <c r="J366" i="14"/>
  <c r="J367" i="14"/>
  <c r="J368" i="14"/>
  <c r="J369" i="14"/>
  <c r="J370" i="14"/>
  <c r="J371" i="14"/>
  <c r="J372" i="14"/>
  <c r="J373" i="14"/>
  <c r="J374" i="14"/>
  <c r="J375" i="14"/>
  <c r="J376" i="14"/>
  <c r="J377" i="14"/>
  <c r="J378" i="14"/>
  <c r="J379" i="14"/>
  <c r="J380" i="14"/>
  <c r="J381" i="14"/>
  <c r="J382" i="14"/>
  <c r="J383" i="14"/>
  <c r="J384" i="14"/>
  <c r="J385" i="14"/>
  <c r="J386" i="14"/>
  <c r="J387" i="14"/>
  <c r="J388" i="14"/>
  <c r="J389" i="14"/>
  <c r="J390" i="14"/>
  <c r="J391" i="14"/>
  <c r="J392" i="14"/>
  <c r="J393" i="14"/>
  <c r="J394" i="14"/>
  <c r="J395" i="14"/>
  <c r="J396" i="14"/>
  <c r="J397" i="14"/>
  <c r="J398" i="14"/>
  <c r="J399" i="14"/>
  <c r="J400" i="14"/>
  <c r="J401" i="14"/>
  <c r="J402" i="14"/>
  <c r="J403" i="14"/>
  <c r="J404" i="14"/>
  <c r="J405" i="14"/>
  <c r="J406" i="14"/>
  <c r="J407" i="14"/>
  <c r="J408" i="14"/>
  <c r="J409" i="14"/>
  <c r="J410" i="14"/>
  <c r="J411" i="14"/>
  <c r="J412" i="14"/>
  <c r="J413" i="14"/>
  <c r="J414" i="14"/>
  <c r="J415" i="14"/>
  <c r="J416" i="14"/>
  <c r="J417" i="14"/>
  <c r="J418" i="14"/>
  <c r="J419" i="14"/>
  <c r="J420" i="14"/>
  <c r="J421" i="14"/>
  <c r="J422" i="14"/>
  <c r="J423" i="14"/>
  <c r="J424" i="14"/>
  <c r="J425" i="14"/>
  <c r="J426" i="14"/>
  <c r="J427" i="14"/>
  <c r="J428" i="14"/>
  <c r="J429" i="14"/>
  <c r="J430" i="14"/>
  <c r="J431" i="14"/>
  <c r="J432" i="14"/>
  <c r="J433" i="14"/>
  <c r="J434" i="14"/>
  <c r="J435" i="14"/>
  <c r="J436" i="14"/>
  <c r="J437" i="14"/>
  <c r="J438" i="14"/>
  <c r="J439" i="14"/>
  <c r="J440" i="14"/>
  <c r="J441" i="14"/>
  <c r="J442" i="14"/>
  <c r="J443" i="14"/>
  <c r="J444" i="14"/>
  <c r="J445" i="14"/>
  <c r="J446" i="14"/>
  <c r="J447" i="14"/>
  <c r="J448" i="14"/>
  <c r="J449" i="14"/>
  <c r="J450" i="14"/>
  <c r="J349" i="14" l="1"/>
  <c r="J350" i="14"/>
  <c r="J351" i="14"/>
  <c r="J352" i="14"/>
  <c r="J353" i="14"/>
  <c r="J354" i="14"/>
  <c r="J355" i="14"/>
  <c r="J356" i="14"/>
  <c r="J357" i="14"/>
  <c r="J261" i="14" l="1"/>
  <c r="J262" i="14"/>
  <c r="J263" i="14"/>
  <c r="J264" i="14"/>
  <c r="J265" i="14"/>
  <c r="J266" i="14"/>
  <c r="J267" i="14"/>
  <c r="J268" i="14"/>
  <c r="J269" i="14"/>
  <c r="J270" i="14"/>
  <c r="J271" i="14"/>
  <c r="J272" i="14"/>
  <c r="J273" i="14"/>
  <c r="J274" i="14"/>
  <c r="J275" i="14"/>
  <c r="J276" i="14"/>
  <c r="J277" i="14"/>
  <c r="J278" i="14"/>
  <c r="J279" i="14"/>
  <c r="J280" i="14"/>
  <c r="J281" i="14"/>
  <c r="J282" i="14"/>
  <c r="J283" i="14"/>
  <c r="J284" i="14"/>
  <c r="J285" i="14"/>
  <c r="J286" i="14"/>
  <c r="J287" i="14"/>
  <c r="J288" i="14"/>
  <c r="J289" i="14"/>
  <c r="J290" i="14"/>
  <c r="J291" i="14"/>
  <c r="J292" i="14"/>
  <c r="J293" i="14"/>
  <c r="J294" i="14"/>
  <c r="J295" i="14"/>
  <c r="J296" i="14"/>
  <c r="J297" i="14"/>
  <c r="J298" i="14"/>
  <c r="J299" i="14"/>
  <c r="J300" i="14"/>
  <c r="J301" i="14"/>
  <c r="J302" i="14"/>
  <c r="J303" i="14"/>
  <c r="J304" i="14"/>
  <c r="J305" i="14"/>
  <c r="J306" i="14"/>
  <c r="J307" i="14"/>
  <c r="J308" i="14"/>
  <c r="J309" i="14"/>
  <c r="J310" i="14"/>
  <c r="J311" i="14"/>
  <c r="J312" i="14"/>
  <c r="J313" i="14"/>
  <c r="J314" i="14"/>
  <c r="J315" i="14"/>
  <c r="J316" i="14"/>
  <c r="J317" i="14"/>
  <c r="J318" i="14"/>
  <c r="J319" i="14"/>
  <c r="J320" i="14"/>
  <c r="J321" i="14"/>
  <c r="J322" i="14"/>
  <c r="J323" i="14"/>
  <c r="J324" i="14"/>
  <c r="J325" i="14"/>
  <c r="J326" i="14"/>
  <c r="J327" i="14"/>
  <c r="J328" i="14"/>
  <c r="J329" i="14"/>
  <c r="J330" i="14"/>
  <c r="J331" i="14"/>
  <c r="J332" i="14"/>
  <c r="J333" i="14"/>
  <c r="J334" i="14"/>
  <c r="J335" i="14"/>
  <c r="J336" i="14"/>
  <c r="J337" i="14"/>
  <c r="J338" i="14"/>
  <c r="J339" i="14"/>
  <c r="J340" i="14"/>
  <c r="J341" i="14"/>
  <c r="J342" i="14"/>
  <c r="J343" i="14"/>
  <c r="J344" i="14"/>
  <c r="J345" i="14"/>
  <c r="J346" i="14"/>
  <c r="J347" i="14"/>
  <c r="J348" i="14"/>
  <c r="J121" i="14"/>
  <c r="J122" i="14"/>
  <c r="J123" i="14"/>
  <c r="J124" i="14"/>
  <c r="J125" i="14"/>
  <c r="J126" i="14"/>
  <c r="J127" i="14"/>
  <c r="J128" i="14"/>
  <c r="J129" i="14"/>
  <c r="J130" i="14"/>
  <c r="J131" i="14"/>
  <c r="J132" i="14"/>
  <c r="J133" i="14"/>
  <c r="J134" i="14"/>
  <c r="J135" i="14"/>
  <c r="J136" i="14"/>
  <c r="J137" i="14"/>
  <c r="J138" i="14"/>
  <c r="J139" i="14"/>
  <c r="J140" i="14"/>
  <c r="J141" i="14"/>
  <c r="J142" i="14"/>
  <c r="J143" i="14"/>
  <c r="J144" i="14"/>
  <c r="J145" i="14"/>
  <c r="J146" i="14"/>
  <c r="J147" i="14"/>
  <c r="J148" i="14"/>
  <c r="J149" i="14"/>
  <c r="J150" i="14"/>
  <c r="J151" i="14"/>
  <c r="J152" i="14"/>
  <c r="J153" i="14"/>
  <c r="J154" i="14"/>
  <c r="J155" i="14"/>
  <c r="J156" i="14"/>
  <c r="J157" i="14"/>
  <c r="J158" i="14"/>
  <c r="J159" i="14"/>
  <c r="J160" i="14"/>
  <c r="J161" i="14"/>
  <c r="J162" i="14"/>
  <c r="J163" i="14"/>
  <c r="J164" i="14"/>
  <c r="J165" i="14"/>
  <c r="J166" i="14"/>
  <c r="J167" i="14"/>
  <c r="J168" i="14"/>
  <c r="J169" i="14"/>
  <c r="J170" i="14"/>
  <c r="J171" i="14"/>
  <c r="J172" i="14"/>
  <c r="J173" i="14"/>
  <c r="J174" i="14"/>
  <c r="J175" i="14"/>
  <c r="J176" i="14"/>
  <c r="J179" i="14"/>
  <c r="J180" i="14"/>
  <c r="J181" i="14"/>
  <c r="J182" i="14"/>
  <c r="J183" i="14"/>
  <c r="J184" i="14"/>
  <c r="J185" i="14"/>
  <c r="J186" i="14"/>
  <c r="J187" i="14"/>
  <c r="J188" i="14"/>
  <c r="J189" i="14"/>
  <c r="J190" i="14"/>
  <c r="J191" i="14"/>
  <c r="J192" i="14"/>
  <c r="J193" i="14"/>
  <c r="J194" i="14"/>
  <c r="J195" i="14"/>
  <c r="J196" i="14"/>
  <c r="J197" i="14"/>
  <c r="J198" i="14"/>
  <c r="J199" i="14"/>
  <c r="J200" i="14"/>
  <c r="J201" i="14"/>
  <c r="J202" i="14"/>
  <c r="J203" i="14"/>
  <c r="J204" i="14"/>
  <c r="J205" i="14"/>
  <c r="J206" i="14"/>
  <c r="J207" i="14"/>
  <c r="J208" i="14"/>
  <c r="J209" i="14"/>
  <c r="J210" i="14"/>
  <c r="J211" i="14"/>
  <c r="J212" i="14"/>
  <c r="J213" i="14"/>
  <c r="J214" i="14"/>
  <c r="J215" i="14"/>
  <c r="J216" i="14"/>
  <c r="J217" i="14"/>
  <c r="J218" i="14"/>
  <c r="J219" i="14"/>
  <c r="J220" i="14"/>
  <c r="J221" i="14"/>
  <c r="J222" i="14"/>
  <c r="J223" i="14"/>
  <c r="J224" i="14"/>
  <c r="J225" i="14"/>
  <c r="J226" i="14"/>
  <c r="J227" i="14"/>
  <c r="J228" i="14"/>
  <c r="J229" i="14"/>
  <c r="J230" i="14"/>
  <c r="J231" i="14"/>
  <c r="J232" i="14"/>
  <c r="J233" i="14"/>
  <c r="J234" i="14"/>
  <c r="J235" i="14"/>
  <c r="J236" i="14"/>
  <c r="J237" i="14"/>
  <c r="J238" i="14"/>
  <c r="J239" i="14"/>
  <c r="J240" i="14"/>
  <c r="J241" i="14"/>
  <c r="J242" i="14"/>
  <c r="J243" i="14"/>
  <c r="J244" i="14"/>
  <c r="J245" i="14"/>
  <c r="J246" i="14"/>
  <c r="J247" i="14"/>
  <c r="J248" i="14"/>
  <c r="J249" i="14"/>
  <c r="J250" i="14"/>
  <c r="J251" i="14"/>
  <c r="J252" i="14"/>
  <c r="J253" i="14"/>
  <c r="J254" i="14"/>
  <c r="J255" i="14"/>
  <c r="J256" i="14"/>
  <c r="J257" i="14"/>
  <c r="J258" i="14"/>
  <c r="J259" i="14"/>
  <c r="J260" i="14"/>
  <c r="J2" i="14" l="1"/>
  <c r="J3" i="14"/>
  <c r="J4" i="14"/>
  <c r="J5" i="14"/>
  <c r="J6" i="14"/>
  <c r="J7" i="14"/>
  <c r="J8" i="14"/>
  <c r="J9" i="14"/>
  <c r="J10" i="14"/>
  <c r="J11" i="14"/>
  <c r="J12" i="14"/>
  <c r="J13" i="14"/>
  <c r="J14" i="14"/>
  <c r="J15" i="14"/>
  <c r="J16" i="14"/>
  <c r="J17" i="14"/>
  <c r="J18" i="14"/>
  <c r="J19" i="14"/>
  <c r="J20" i="14"/>
  <c r="J21" i="14"/>
  <c r="J22" i="14"/>
  <c r="J23" i="14"/>
  <c r="J24" i="14"/>
  <c r="J25" i="14"/>
  <c r="J26" i="14"/>
  <c r="J27" i="14"/>
  <c r="J28" i="14"/>
  <c r="J29" i="14"/>
  <c r="J30" i="14"/>
  <c r="J31" i="14"/>
  <c r="J32" i="14"/>
  <c r="J33" i="14"/>
  <c r="J34" i="14"/>
  <c r="J35" i="14"/>
  <c r="J36" i="14"/>
  <c r="J37" i="14"/>
  <c r="J38" i="14"/>
  <c r="J39" i="14"/>
  <c r="J40" i="14"/>
  <c r="J41" i="14"/>
  <c r="J42" i="14"/>
  <c r="J43" i="14"/>
  <c r="J44" i="14"/>
  <c r="J45" i="14"/>
  <c r="J46" i="14"/>
  <c r="J47" i="14"/>
  <c r="J48" i="14"/>
  <c r="J49" i="14"/>
  <c r="J50" i="14"/>
  <c r="J51" i="14"/>
  <c r="J52" i="14"/>
  <c r="J53" i="14"/>
  <c r="J54" i="14"/>
  <c r="J55" i="14"/>
  <c r="J56" i="14"/>
  <c r="J57" i="14"/>
  <c r="J58" i="14"/>
  <c r="J59" i="14"/>
  <c r="J60" i="14"/>
  <c r="J61" i="14"/>
  <c r="J62" i="14"/>
  <c r="J63" i="14"/>
  <c r="J64" i="14"/>
  <c r="J65" i="14"/>
  <c r="J66" i="14"/>
  <c r="J67" i="14"/>
  <c r="J68" i="14"/>
  <c r="J69" i="14"/>
  <c r="J70" i="14"/>
  <c r="J71" i="14"/>
  <c r="J72" i="14"/>
  <c r="J73" i="14"/>
  <c r="J74" i="14"/>
  <c r="J75" i="14"/>
  <c r="J76" i="14"/>
  <c r="J77" i="14"/>
  <c r="J78" i="14"/>
  <c r="J79" i="14"/>
  <c r="J80" i="14"/>
  <c r="J81" i="14"/>
  <c r="J82" i="14"/>
  <c r="J83" i="14"/>
  <c r="J84" i="14"/>
  <c r="J85" i="14"/>
  <c r="J86" i="14"/>
  <c r="J87" i="14"/>
  <c r="J88" i="14"/>
  <c r="J89" i="14"/>
  <c r="J90" i="14"/>
  <c r="J91" i="14"/>
  <c r="J92" i="14"/>
  <c r="J93" i="14"/>
  <c r="J94" i="14"/>
  <c r="J95" i="14"/>
  <c r="J96" i="14"/>
  <c r="J97" i="14"/>
  <c r="J98" i="14"/>
  <c r="J99" i="14"/>
  <c r="J100" i="14"/>
  <c r="J101" i="14"/>
  <c r="J102" i="14"/>
  <c r="J103" i="14"/>
  <c r="J104" i="14"/>
  <c r="J105" i="14"/>
  <c r="J106" i="14"/>
  <c r="J107" i="14"/>
  <c r="J108" i="14"/>
  <c r="J109" i="14"/>
  <c r="J110" i="14"/>
  <c r="J111" i="14"/>
  <c r="J112" i="14"/>
  <c r="J113" i="14"/>
  <c r="J114" i="14"/>
  <c r="J115" i="14"/>
  <c r="J116" i="14"/>
  <c r="J117" i="14"/>
  <c r="J118" i="14"/>
  <c r="J119" i="14"/>
  <c r="J120" i="14"/>
  <c r="H31" i="18" l="1"/>
  <c r="I35" i="18" l="1"/>
  <c r="I34" i="18"/>
  <c r="I33" i="18"/>
  <c r="H35" i="18"/>
  <c r="H34" i="18"/>
  <c r="H33" i="18"/>
  <c r="I32" i="18"/>
  <c r="H32" i="18"/>
  <c r="I31" i="18"/>
  <c r="I30" i="18"/>
  <c r="H30" i="18"/>
  <c r="H29" i="18"/>
  <c r="I29" i="18"/>
  <c r="I28" i="18"/>
  <c r="H28" i="18"/>
  <c r="D28" i="18"/>
  <c r="D31" i="18"/>
  <c r="E31" i="18"/>
  <c r="F31" i="18"/>
  <c r="G31" i="18"/>
  <c r="J31" i="18"/>
  <c r="K31" i="18"/>
  <c r="H2" i="21"/>
  <c r="I2" i="21"/>
  <c r="H3" i="21"/>
  <c r="I3" i="21"/>
  <c r="H4" i="21"/>
  <c r="I4" i="21"/>
  <c r="H5" i="21"/>
  <c r="I5" i="21"/>
  <c r="H6" i="21"/>
  <c r="I6" i="21"/>
  <c r="H7" i="21"/>
  <c r="I7" i="21"/>
  <c r="H8" i="21"/>
  <c r="I8" i="21"/>
  <c r="H9" i="21"/>
  <c r="I9" i="21"/>
  <c r="H10" i="21"/>
  <c r="I10" i="21"/>
  <c r="H11" i="21"/>
  <c r="I11" i="21"/>
  <c r="H12" i="21"/>
  <c r="I12" i="21"/>
  <c r="H13" i="21"/>
  <c r="I13" i="21"/>
  <c r="H14" i="21"/>
  <c r="I14" i="21"/>
  <c r="H15" i="21"/>
  <c r="I15" i="21"/>
  <c r="H16" i="21"/>
  <c r="I16" i="21"/>
  <c r="H17" i="21"/>
  <c r="I17" i="21"/>
  <c r="H18" i="21"/>
  <c r="I18" i="21"/>
  <c r="H19" i="21"/>
  <c r="I19" i="21"/>
  <c r="H20" i="21"/>
  <c r="I20" i="21"/>
  <c r="H21" i="21"/>
  <c r="I21" i="21"/>
  <c r="H22" i="21"/>
  <c r="I22" i="21"/>
  <c r="H23" i="21"/>
  <c r="I23" i="21"/>
  <c r="H24" i="21"/>
  <c r="I24" i="21"/>
  <c r="H25" i="21"/>
  <c r="I25" i="21"/>
  <c r="H26" i="21"/>
  <c r="I26" i="21"/>
  <c r="H27" i="21"/>
  <c r="I27" i="21"/>
  <c r="H28" i="21"/>
  <c r="I28" i="21"/>
  <c r="H29" i="21"/>
  <c r="I29" i="21"/>
  <c r="H30" i="21"/>
  <c r="I30" i="21"/>
  <c r="H31" i="21"/>
  <c r="I31" i="21"/>
  <c r="H32" i="21"/>
  <c r="I32" i="21"/>
  <c r="H33" i="21"/>
  <c r="I33" i="21"/>
  <c r="H34" i="21"/>
  <c r="I34" i="21"/>
  <c r="H35" i="21"/>
  <c r="I35" i="21"/>
  <c r="H36" i="21"/>
  <c r="I36" i="21"/>
  <c r="H37" i="21"/>
  <c r="I37" i="21"/>
  <c r="H38" i="21"/>
  <c r="I38" i="21"/>
  <c r="H39" i="21"/>
  <c r="I39" i="21"/>
  <c r="H40" i="21"/>
  <c r="I40" i="21"/>
  <c r="H41" i="21"/>
  <c r="I41" i="21"/>
  <c r="H42" i="21"/>
  <c r="I42" i="21"/>
  <c r="H43" i="21"/>
  <c r="I43" i="21"/>
  <c r="H44" i="21"/>
  <c r="I44" i="21"/>
  <c r="H45" i="21"/>
  <c r="I45" i="21"/>
  <c r="H46" i="21"/>
  <c r="I46" i="21"/>
  <c r="H47" i="21"/>
  <c r="I47" i="21"/>
  <c r="H48" i="21"/>
  <c r="I48" i="21"/>
  <c r="H49" i="21"/>
  <c r="I49" i="21"/>
  <c r="H50" i="21"/>
  <c r="I50" i="21"/>
  <c r="H51" i="21"/>
  <c r="I51" i="21"/>
  <c r="H52" i="21"/>
  <c r="I52" i="21"/>
  <c r="H53" i="21"/>
  <c r="I53" i="21"/>
  <c r="H54" i="21"/>
  <c r="I54" i="21"/>
  <c r="H55" i="21"/>
  <c r="I55" i="21"/>
  <c r="H56" i="21"/>
  <c r="I56" i="21"/>
  <c r="H57" i="21"/>
  <c r="I57" i="21"/>
  <c r="H58" i="21"/>
  <c r="I58" i="21"/>
  <c r="H59" i="21"/>
  <c r="I59" i="21"/>
  <c r="H60" i="21"/>
  <c r="I60" i="21"/>
  <c r="H61" i="21"/>
  <c r="I61" i="21"/>
  <c r="H62" i="21"/>
  <c r="I62" i="21"/>
  <c r="H63" i="21"/>
  <c r="I63" i="21"/>
  <c r="H64" i="21"/>
  <c r="I64" i="21"/>
  <c r="H65" i="21"/>
  <c r="I65" i="21"/>
  <c r="H66" i="21"/>
  <c r="I66" i="21"/>
  <c r="H67" i="21"/>
  <c r="I67" i="21"/>
  <c r="H68" i="21"/>
  <c r="I68" i="21"/>
  <c r="H69" i="21"/>
  <c r="I69" i="21"/>
  <c r="H70" i="21"/>
  <c r="I70" i="21"/>
  <c r="H71" i="21"/>
  <c r="I71" i="21"/>
  <c r="H72" i="21"/>
  <c r="I72" i="21"/>
  <c r="H73" i="21"/>
  <c r="I73" i="21"/>
  <c r="H74" i="21"/>
  <c r="I74" i="21"/>
  <c r="H75" i="21"/>
  <c r="I75" i="21"/>
  <c r="H76" i="21"/>
  <c r="I76" i="21"/>
  <c r="H77" i="21"/>
  <c r="I77" i="21"/>
  <c r="H78" i="21"/>
  <c r="I78" i="21"/>
  <c r="H79" i="21"/>
  <c r="I79" i="21"/>
  <c r="H80" i="21"/>
  <c r="I80" i="21"/>
  <c r="H81" i="21"/>
  <c r="I81" i="21"/>
  <c r="H82" i="21"/>
  <c r="I82" i="21"/>
  <c r="H83" i="21"/>
  <c r="I83" i="21"/>
  <c r="H84" i="21"/>
  <c r="I84" i="21"/>
  <c r="H85" i="21"/>
  <c r="I85" i="21"/>
  <c r="H86" i="21"/>
  <c r="I86" i="21"/>
  <c r="H87" i="21"/>
  <c r="I87" i="21"/>
  <c r="H88" i="21"/>
  <c r="I88" i="21"/>
  <c r="H89" i="21"/>
  <c r="I89" i="21"/>
  <c r="H90" i="21"/>
  <c r="I90" i="21"/>
  <c r="H91" i="21"/>
  <c r="I91" i="21"/>
  <c r="H92" i="21"/>
  <c r="I92" i="21"/>
  <c r="H93" i="21"/>
  <c r="I93" i="21"/>
  <c r="H94" i="21"/>
  <c r="I94" i="21"/>
  <c r="H95" i="21"/>
  <c r="I95" i="21"/>
  <c r="H96" i="21"/>
  <c r="I96" i="21"/>
  <c r="H97" i="21"/>
  <c r="I97" i="21"/>
  <c r="H98" i="21"/>
  <c r="I98" i="21"/>
  <c r="H99" i="21"/>
  <c r="I99" i="21"/>
  <c r="H100" i="21"/>
  <c r="I100" i="21"/>
  <c r="H101" i="21"/>
  <c r="I101" i="21"/>
  <c r="H102" i="21"/>
  <c r="I102" i="21"/>
  <c r="H103" i="21"/>
  <c r="I103" i="21"/>
  <c r="H104" i="21"/>
  <c r="I104" i="21"/>
  <c r="H105" i="21"/>
  <c r="I105" i="21"/>
  <c r="H106" i="21"/>
  <c r="I106" i="21"/>
  <c r="H107" i="21"/>
  <c r="I107" i="21"/>
  <c r="H108" i="21"/>
  <c r="I108" i="21"/>
  <c r="H109" i="21"/>
  <c r="I109" i="21"/>
  <c r="H110" i="21"/>
  <c r="I110" i="21"/>
  <c r="H111" i="21"/>
  <c r="I111" i="21"/>
  <c r="H112" i="21"/>
  <c r="I112" i="21"/>
  <c r="H113" i="21"/>
  <c r="I113" i="21"/>
  <c r="H114" i="21"/>
  <c r="I114" i="21"/>
  <c r="H115" i="21"/>
  <c r="I115" i="21"/>
  <c r="H116" i="21"/>
  <c r="I116" i="21"/>
  <c r="H117" i="21"/>
  <c r="I117" i="21"/>
  <c r="H118" i="21"/>
  <c r="I118" i="21"/>
  <c r="H119" i="21"/>
  <c r="I119" i="21"/>
  <c r="H120" i="21"/>
  <c r="I120" i="21"/>
  <c r="H121" i="21"/>
  <c r="I121" i="21"/>
  <c r="H122" i="21"/>
  <c r="I122" i="21"/>
  <c r="H123" i="21"/>
  <c r="I123" i="21"/>
  <c r="H124" i="21"/>
  <c r="I124" i="21"/>
  <c r="H125" i="21"/>
  <c r="I125" i="21"/>
  <c r="H126" i="21"/>
  <c r="I126" i="21"/>
  <c r="H127" i="21"/>
  <c r="I127" i="21"/>
  <c r="H128" i="21"/>
  <c r="I128" i="21"/>
  <c r="H129" i="21"/>
  <c r="I129" i="21"/>
  <c r="H130" i="21"/>
  <c r="I130" i="21"/>
  <c r="H131" i="21"/>
  <c r="I131" i="21"/>
  <c r="H132" i="21"/>
  <c r="I132" i="21"/>
  <c r="H133" i="21"/>
  <c r="I133" i="21"/>
  <c r="H134" i="21"/>
  <c r="I134" i="21"/>
  <c r="H135" i="21"/>
  <c r="I135" i="21"/>
  <c r="H136" i="21"/>
  <c r="I136" i="21"/>
  <c r="H137" i="21"/>
  <c r="I137" i="21"/>
  <c r="H138" i="21"/>
  <c r="I138" i="21"/>
  <c r="H139" i="21"/>
  <c r="I139" i="21"/>
  <c r="H140" i="21"/>
  <c r="I140" i="21"/>
  <c r="H141" i="21"/>
  <c r="I141" i="21"/>
  <c r="H142" i="21"/>
  <c r="I142" i="21"/>
  <c r="H143" i="21"/>
  <c r="I143" i="21"/>
  <c r="H144" i="21"/>
  <c r="I144" i="21"/>
  <c r="H145" i="21"/>
  <c r="I145" i="21"/>
  <c r="H146" i="21"/>
  <c r="I146" i="21"/>
  <c r="H147" i="21"/>
  <c r="I147" i="21"/>
  <c r="H148" i="21"/>
  <c r="I148" i="21"/>
  <c r="H149" i="21"/>
  <c r="I149" i="21"/>
  <c r="H150" i="21"/>
  <c r="I150" i="21"/>
  <c r="H151" i="21"/>
  <c r="I151" i="21"/>
  <c r="H152" i="21"/>
  <c r="I152" i="21"/>
  <c r="H153" i="21"/>
  <c r="I153" i="21"/>
  <c r="H154" i="21"/>
  <c r="I154" i="21"/>
  <c r="H155" i="21"/>
  <c r="I155" i="21"/>
  <c r="H156" i="21"/>
  <c r="I156" i="21"/>
  <c r="H157" i="21"/>
  <c r="I157" i="21"/>
  <c r="H158" i="21"/>
  <c r="I158" i="21"/>
  <c r="H159" i="21"/>
  <c r="I159" i="21"/>
  <c r="H160" i="21"/>
  <c r="I160" i="21"/>
  <c r="H161" i="21"/>
  <c r="I161" i="21"/>
  <c r="H162" i="21"/>
  <c r="I162" i="21"/>
  <c r="H163" i="21"/>
  <c r="I163" i="21"/>
  <c r="H164" i="21"/>
  <c r="I164" i="21"/>
  <c r="H165" i="21"/>
  <c r="I165" i="21"/>
  <c r="H166" i="21"/>
  <c r="I166" i="21"/>
  <c r="H167" i="21"/>
  <c r="I167" i="21"/>
  <c r="H168" i="21"/>
  <c r="I168" i="21"/>
  <c r="H169" i="21"/>
  <c r="I169" i="21"/>
  <c r="H170" i="21"/>
  <c r="I170" i="21"/>
  <c r="H171" i="21"/>
  <c r="I171" i="21"/>
  <c r="H172" i="21"/>
  <c r="I172" i="21"/>
  <c r="H173" i="21"/>
  <c r="I173" i="21"/>
  <c r="H174" i="21"/>
  <c r="I174" i="21"/>
  <c r="H175" i="21"/>
  <c r="I175" i="21"/>
  <c r="H176" i="21"/>
  <c r="I176" i="21"/>
  <c r="H177" i="21"/>
  <c r="I177" i="21"/>
  <c r="H178" i="21"/>
  <c r="I178" i="21"/>
  <c r="H179" i="21"/>
  <c r="I179" i="21"/>
  <c r="H180" i="21"/>
  <c r="I180" i="21"/>
  <c r="H181" i="21"/>
  <c r="I181" i="21"/>
  <c r="H182" i="21"/>
  <c r="I182" i="21"/>
  <c r="H183" i="21"/>
  <c r="I183" i="21"/>
  <c r="H184" i="21"/>
  <c r="I184" i="21"/>
  <c r="H185" i="21"/>
  <c r="I185" i="21"/>
  <c r="H186" i="21"/>
  <c r="I186" i="21"/>
  <c r="H187" i="21"/>
  <c r="I187" i="21"/>
  <c r="H188" i="21"/>
  <c r="I188" i="21"/>
  <c r="H189" i="21"/>
  <c r="I189" i="21"/>
  <c r="H190" i="21"/>
  <c r="I190" i="21"/>
  <c r="H191" i="21"/>
  <c r="I191" i="21"/>
  <c r="H192" i="21"/>
  <c r="I192" i="21"/>
  <c r="H193" i="21"/>
  <c r="I193" i="21"/>
  <c r="H194" i="21"/>
  <c r="I194" i="21"/>
  <c r="H195" i="21"/>
  <c r="I195" i="21"/>
  <c r="H196" i="21"/>
  <c r="I196" i="21"/>
  <c r="H197" i="21"/>
  <c r="I197" i="21"/>
  <c r="H198" i="21"/>
  <c r="I198" i="21"/>
  <c r="H199" i="21"/>
  <c r="I199" i="21"/>
  <c r="H200" i="21"/>
  <c r="I200" i="21"/>
  <c r="H201" i="21"/>
  <c r="I201" i="21"/>
  <c r="H202" i="21"/>
  <c r="I202" i="21"/>
  <c r="H203" i="21"/>
  <c r="I203" i="21"/>
  <c r="H204" i="21"/>
  <c r="I204" i="21"/>
  <c r="H205" i="21"/>
  <c r="I205" i="21"/>
  <c r="H206" i="21"/>
  <c r="I206" i="21"/>
  <c r="H207" i="21"/>
  <c r="I207" i="21"/>
  <c r="H208" i="21"/>
  <c r="I208" i="21"/>
  <c r="H209" i="21"/>
  <c r="I209" i="21"/>
  <c r="H210" i="21"/>
  <c r="I210" i="21"/>
  <c r="H211" i="21"/>
  <c r="I211" i="21"/>
  <c r="H212" i="21"/>
  <c r="I212" i="21"/>
  <c r="H213" i="21"/>
  <c r="I213" i="21"/>
  <c r="H214" i="21"/>
  <c r="I214" i="21"/>
  <c r="H215" i="21"/>
  <c r="I215" i="21"/>
  <c r="H216" i="21"/>
  <c r="I216" i="21"/>
  <c r="H217" i="21"/>
  <c r="I217" i="21"/>
  <c r="H218" i="21"/>
  <c r="I218" i="21"/>
  <c r="H219" i="21"/>
  <c r="I219" i="21"/>
  <c r="H220" i="21"/>
  <c r="I220" i="21"/>
  <c r="H221" i="21"/>
  <c r="I221" i="21"/>
  <c r="H222" i="21"/>
  <c r="I222" i="21"/>
  <c r="H223" i="21"/>
  <c r="I223" i="21"/>
  <c r="H224" i="21"/>
  <c r="I224" i="21"/>
  <c r="H225" i="21"/>
  <c r="I225" i="21"/>
  <c r="H226" i="21"/>
  <c r="I226" i="21"/>
  <c r="H227" i="21"/>
  <c r="I227" i="21"/>
  <c r="H228" i="21"/>
  <c r="I228" i="21"/>
  <c r="H229" i="21"/>
  <c r="I229" i="21"/>
  <c r="H230" i="21"/>
  <c r="I230" i="21"/>
  <c r="H231" i="21"/>
  <c r="I231" i="21"/>
  <c r="H232" i="21"/>
  <c r="I232" i="21"/>
  <c r="H233" i="21"/>
  <c r="I233" i="21"/>
  <c r="H234" i="21"/>
  <c r="I234" i="21"/>
  <c r="H235" i="21"/>
  <c r="I235" i="21"/>
  <c r="H236" i="21"/>
  <c r="I236" i="21"/>
  <c r="H237" i="21"/>
  <c r="I237" i="21"/>
  <c r="H238" i="21"/>
  <c r="I238" i="21"/>
  <c r="H239" i="21"/>
  <c r="I239" i="21"/>
  <c r="H240" i="21"/>
  <c r="I240" i="21"/>
  <c r="H241" i="21"/>
  <c r="I241" i="21"/>
  <c r="H242" i="21"/>
  <c r="I242" i="21"/>
  <c r="H243" i="21"/>
  <c r="I243" i="21"/>
  <c r="H244" i="21"/>
  <c r="I244" i="21"/>
  <c r="H245" i="21"/>
  <c r="I245" i="21"/>
  <c r="H246" i="21"/>
  <c r="I246" i="21"/>
  <c r="H247" i="21"/>
  <c r="I247" i="21"/>
  <c r="H248" i="21"/>
  <c r="I248" i="21"/>
  <c r="H249" i="21"/>
  <c r="I249" i="21"/>
  <c r="H250" i="21"/>
  <c r="I250" i="21"/>
  <c r="H251" i="21"/>
  <c r="I251" i="21"/>
  <c r="H252" i="21"/>
  <c r="I252" i="21"/>
  <c r="H253" i="21"/>
  <c r="I253" i="21"/>
  <c r="H254" i="21"/>
  <c r="I254" i="21"/>
  <c r="H255" i="21"/>
  <c r="I255" i="21"/>
  <c r="H256" i="21"/>
  <c r="I256" i="21"/>
  <c r="H257" i="21"/>
  <c r="I257" i="21"/>
  <c r="H258" i="21"/>
  <c r="I258" i="21"/>
  <c r="H259" i="21"/>
  <c r="I259" i="21"/>
  <c r="H260" i="21"/>
  <c r="I260" i="21"/>
  <c r="H261" i="21"/>
  <c r="I261" i="21"/>
  <c r="H262" i="21"/>
  <c r="I262" i="21"/>
  <c r="H263" i="21"/>
  <c r="I263" i="21"/>
  <c r="H264" i="21"/>
  <c r="I264" i="21"/>
  <c r="H265" i="21"/>
  <c r="I265" i="21"/>
  <c r="H266" i="21"/>
  <c r="I266" i="21"/>
  <c r="H267" i="21"/>
  <c r="I267" i="21"/>
  <c r="H268" i="21"/>
  <c r="I268" i="21"/>
  <c r="H269" i="21"/>
  <c r="I269" i="21"/>
  <c r="H270" i="21"/>
  <c r="I270" i="21"/>
  <c r="H271" i="21"/>
  <c r="I271" i="21"/>
  <c r="H272" i="21"/>
  <c r="I272" i="21"/>
  <c r="H273" i="21"/>
  <c r="I273" i="21"/>
  <c r="H274" i="21"/>
  <c r="I274" i="21"/>
  <c r="H275" i="21"/>
  <c r="I275" i="21"/>
  <c r="H276" i="21"/>
  <c r="I276" i="21"/>
  <c r="H277" i="21"/>
  <c r="I277" i="21"/>
  <c r="H278" i="21"/>
  <c r="I278" i="21"/>
  <c r="H279" i="21"/>
  <c r="I279" i="21"/>
  <c r="H280" i="21"/>
  <c r="I280" i="21"/>
  <c r="H281" i="21"/>
  <c r="I281" i="21"/>
  <c r="H282" i="21"/>
  <c r="I282" i="21"/>
  <c r="H283" i="21"/>
  <c r="I283" i="21"/>
  <c r="H284" i="21"/>
  <c r="I284" i="21"/>
  <c r="H285" i="21"/>
  <c r="I285" i="21"/>
  <c r="H286" i="21"/>
  <c r="I286" i="21"/>
  <c r="H287" i="21"/>
  <c r="I287" i="21"/>
  <c r="H288" i="21"/>
  <c r="I288" i="21"/>
  <c r="H289" i="21"/>
  <c r="I289" i="21"/>
  <c r="H290" i="21"/>
  <c r="I290" i="21"/>
  <c r="H291" i="21"/>
  <c r="I291" i="21"/>
  <c r="H292" i="21"/>
  <c r="I292" i="21"/>
  <c r="H293" i="21"/>
  <c r="I293" i="21"/>
  <c r="H294" i="21"/>
  <c r="I294" i="21"/>
  <c r="H295" i="21"/>
  <c r="I295" i="21"/>
  <c r="H296" i="21"/>
  <c r="I296" i="21"/>
  <c r="H297" i="21"/>
  <c r="I297" i="21"/>
  <c r="H298" i="21"/>
  <c r="I298" i="21"/>
  <c r="H299" i="21"/>
  <c r="I299" i="21"/>
  <c r="H300" i="21"/>
  <c r="I300" i="21"/>
  <c r="H301" i="21"/>
  <c r="I301" i="21"/>
  <c r="H302" i="21"/>
  <c r="I302" i="21"/>
  <c r="H303" i="21"/>
  <c r="I303" i="21"/>
  <c r="H304" i="21"/>
  <c r="I304" i="21"/>
  <c r="H305" i="21"/>
  <c r="I305" i="21"/>
  <c r="H306" i="21"/>
  <c r="I306" i="21"/>
  <c r="H307" i="21"/>
  <c r="I307" i="21"/>
  <c r="H308" i="21"/>
  <c r="I308" i="21"/>
  <c r="H309" i="21"/>
  <c r="I309" i="21"/>
  <c r="H310" i="21"/>
  <c r="I310" i="21"/>
  <c r="H311" i="21"/>
  <c r="I311" i="21"/>
  <c r="H312" i="21"/>
  <c r="I312" i="21"/>
  <c r="H313" i="21"/>
  <c r="I313" i="21"/>
  <c r="H314" i="21"/>
  <c r="I314" i="21"/>
  <c r="H315" i="21"/>
  <c r="I315" i="21"/>
  <c r="H316" i="21"/>
  <c r="I316" i="21"/>
  <c r="H317" i="21"/>
  <c r="I317" i="21"/>
  <c r="H318" i="21"/>
  <c r="I318" i="21"/>
  <c r="H319" i="21"/>
  <c r="I319" i="21"/>
  <c r="H320" i="21"/>
  <c r="I320" i="21"/>
  <c r="H321" i="21"/>
  <c r="I321" i="21"/>
  <c r="H322" i="21"/>
  <c r="I322" i="21"/>
  <c r="H323" i="21"/>
  <c r="I323" i="21"/>
  <c r="H324" i="21"/>
  <c r="I324" i="21"/>
  <c r="H325" i="21"/>
  <c r="I325" i="21"/>
  <c r="H326" i="21"/>
  <c r="I326" i="21"/>
  <c r="H327" i="21"/>
  <c r="I327" i="21"/>
  <c r="H328" i="21"/>
  <c r="I328" i="21"/>
  <c r="H329" i="21"/>
  <c r="I329" i="21"/>
  <c r="H330" i="21"/>
  <c r="I330" i="21"/>
  <c r="H331" i="21"/>
  <c r="I331" i="21"/>
  <c r="H332" i="21"/>
  <c r="I332" i="21"/>
  <c r="H333" i="21"/>
  <c r="I333" i="21"/>
  <c r="H334" i="21"/>
  <c r="I334" i="21"/>
  <c r="H335" i="21"/>
  <c r="I335" i="21"/>
  <c r="H336" i="21"/>
  <c r="I336" i="21"/>
  <c r="H337" i="21"/>
  <c r="I337" i="21"/>
  <c r="H338" i="21"/>
  <c r="I338" i="21"/>
  <c r="H339" i="21"/>
  <c r="I339" i="21"/>
  <c r="H340" i="21"/>
  <c r="I340" i="21"/>
  <c r="H341" i="21"/>
  <c r="I341" i="21"/>
  <c r="H342" i="21"/>
  <c r="I342" i="21"/>
  <c r="H343" i="21"/>
  <c r="I343" i="21"/>
  <c r="H344" i="21"/>
  <c r="I344" i="21"/>
  <c r="H345" i="21"/>
  <c r="I345" i="21"/>
  <c r="H346" i="21"/>
  <c r="I346" i="21"/>
  <c r="H347" i="21"/>
  <c r="I347" i="21"/>
  <c r="H348" i="21"/>
  <c r="I348" i="21"/>
  <c r="H349" i="21"/>
  <c r="I349" i="21"/>
  <c r="H350" i="21"/>
  <c r="I350" i="21"/>
  <c r="H351" i="21"/>
  <c r="I351" i="21"/>
  <c r="H352" i="21"/>
  <c r="I352" i="21"/>
  <c r="H353" i="21"/>
  <c r="I353" i="21"/>
  <c r="H354" i="21"/>
  <c r="I354" i="21"/>
  <c r="H355" i="21"/>
  <c r="I355" i="21"/>
  <c r="H356" i="21"/>
  <c r="I356" i="21"/>
  <c r="H357" i="21"/>
  <c r="I357" i="21"/>
  <c r="H358" i="21"/>
  <c r="I358" i="21"/>
  <c r="H359" i="21"/>
  <c r="I359" i="21"/>
  <c r="H360" i="21"/>
  <c r="I360" i="21"/>
  <c r="H361" i="21"/>
  <c r="I361" i="21"/>
  <c r="H362" i="21"/>
  <c r="I362" i="21"/>
  <c r="H363" i="21"/>
  <c r="I363" i="21"/>
  <c r="H364" i="21"/>
  <c r="I364" i="21"/>
  <c r="H365" i="21"/>
  <c r="I365" i="21"/>
  <c r="H366" i="21"/>
  <c r="I366" i="21"/>
  <c r="H367" i="21"/>
  <c r="I367" i="21"/>
  <c r="H368" i="21"/>
  <c r="I368" i="21"/>
  <c r="H369" i="21"/>
  <c r="I369" i="21"/>
  <c r="H370" i="21"/>
  <c r="I370" i="21"/>
  <c r="H371" i="21"/>
  <c r="I371" i="21"/>
  <c r="H372" i="21"/>
  <c r="I372" i="21"/>
  <c r="H373" i="21"/>
  <c r="I373" i="21"/>
  <c r="H374" i="21"/>
  <c r="I374" i="21"/>
  <c r="H375" i="21"/>
  <c r="I375" i="21"/>
  <c r="H376" i="21"/>
  <c r="I376" i="21"/>
  <c r="H377" i="21"/>
  <c r="I377" i="21"/>
  <c r="H378" i="21"/>
  <c r="I378" i="21"/>
  <c r="H379" i="21"/>
  <c r="I379" i="21"/>
  <c r="H380" i="21"/>
  <c r="I380" i="21"/>
  <c r="H381" i="21"/>
  <c r="I381" i="21"/>
  <c r="H382" i="21"/>
  <c r="I382" i="21"/>
  <c r="H383" i="21"/>
  <c r="I383" i="21"/>
  <c r="H384" i="21"/>
  <c r="I384" i="21"/>
  <c r="H385" i="21"/>
  <c r="I385" i="21"/>
  <c r="H386" i="21"/>
  <c r="I386" i="21"/>
  <c r="H387" i="21"/>
  <c r="I387" i="21"/>
  <c r="H388" i="21"/>
  <c r="I388" i="21"/>
  <c r="H389" i="21"/>
  <c r="I389" i="21"/>
  <c r="H390" i="21"/>
  <c r="I390" i="21"/>
  <c r="H391" i="21"/>
  <c r="I391" i="21"/>
  <c r="H392" i="21"/>
  <c r="I392" i="21"/>
  <c r="H393" i="21"/>
  <c r="I393" i="21"/>
  <c r="H394" i="21"/>
  <c r="I394" i="21"/>
  <c r="H395" i="21"/>
  <c r="I395" i="21"/>
  <c r="H396" i="21"/>
  <c r="I396" i="21"/>
  <c r="H397" i="21"/>
  <c r="I397" i="21"/>
  <c r="H398" i="21"/>
  <c r="I398" i="21"/>
  <c r="H399" i="21"/>
  <c r="I399" i="21"/>
  <c r="H400" i="21"/>
  <c r="I400" i="21"/>
  <c r="H401" i="21"/>
  <c r="I401" i="21"/>
  <c r="H402" i="21"/>
  <c r="I402" i="21"/>
  <c r="H403" i="21"/>
  <c r="I403" i="21"/>
  <c r="H404" i="21"/>
  <c r="I404" i="21"/>
  <c r="H405" i="21"/>
  <c r="I405" i="21"/>
  <c r="H406" i="21"/>
  <c r="I406" i="21"/>
  <c r="H407" i="21"/>
  <c r="I407" i="21"/>
  <c r="H408" i="21"/>
  <c r="I408" i="21"/>
  <c r="H409" i="21"/>
  <c r="I409" i="21"/>
  <c r="H410" i="21"/>
  <c r="I410" i="21"/>
  <c r="H411" i="21"/>
  <c r="I411" i="21"/>
  <c r="H412" i="21"/>
  <c r="I412" i="21"/>
  <c r="H413" i="21"/>
  <c r="I413" i="21"/>
  <c r="H414" i="21"/>
  <c r="I414" i="21"/>
  <c r="H415" i="21"/>
  <c r="I415" i="21"/>
  <c r="H416" i="21"/>
  <c r="I416" i="21"/>
  <c r="H417" i="21"/>
  <c r="I417" i="21"/>
  <c r="H418" i="21"/>
  <c r="I418" i="21"/>
  <c r="H419" i="21"/>
  <c r="I419" i="21"/>
  <c r="H420" i="21"/>
  <c r="I420" i="21"/>
  <c r="H421" i="21"/>
  <c r="I421" i="21"/>
  <c r="H422" i="21"/>
  <c r="I422" i="21"/>
  <c r="H423" i="21"/>
  <c r="I423" i="21"/>
  <c r="H424" i="21"/>
  <c r="I424" i="21"/>
  <c r="H425" i="21"/>
  <c r="I425" i="21"/>
  <c r="H426" i="21"/>
  <c r="I426" i="21"/>
  <c r="H427" i="21"/>
  <c r="I427" i="21"/>
  <c r="H428" i="21"/>
  <c r="I428" i="21"/>
  <c r="H429" i="21"/>
  <c r="I429" i="21"/>
  <c r="H430" i="21"/>
  <c r="I430" i="21"/>
  <c r="H431" i="21"/>
  <c r="I431" i="21"/>
  <c r="H432" i="21"/>
  <c r="I432" i="21"/>
  <c r="H433" i="21"/>
  <c r="I433" i="21"/>
  <c r="H434" i="21"/>
  <c r="I434" i="21"/>
  <c r="H435" i="21"/>
  <c r="I435" i="21"/>
  <c r="H436" i="21"/>
  <c r="I436" i="21"/>
  <c r="H437" i="21"/>
  <c r="I437" i="21"/>
  <c r="H438" i="21"/>
  <c r="I438" i="21"/>
  <c r="H439" i="21"/>
  <c r="I439" i="21"/>
  <c r="H440" i="21"/>
  <c r="I440" i="21"/>
  <c r="H441" i="21"/>
  <c r="I441" i="21"/>
  <c r="H442" i="21"/>
  <c r="I442" i="21"/>
  <c r="H443" i="21"/>
  <c r="I443" i="21"/>
  <c r="H444" i="21"/>
  <c r="I444" i="21"/>
  <c r="H445" i="21"/>
  <c r="I445" i="21"/>
  <c r="H446" i="21"/>
  <c r="I446" i="21"/>
  <c r="H447" i="21"/>
  <c r="I447" i="21"/>
  <c r="H448" i="21"/>
  <c r="I448" i="21"/>
  <c r="H449" i="21"/>
  <c r="I449" i="21"/>
  <c r="H450" i="21"/>
  <c r="I450" i="21"/>
  <c r="H451" i="21"/>
  <c r="I451" i="21"/>
  <c r="H452" i="21"/>
  <c r="I452" i="21"/>
  <c r="H453" i="21"/>
  <c r="I453" i="21"/>
  <c r="H454" i="21"/>
  <c r="I454" i="21"/>
  <c r="H455" i="21"/>
  <c r="I455" i="21"/>
  <c r="H456" i="21"/>
  <c r="I456" i="21"/>
  <c r="H457" i="21"/>
  <c r="I457" i="21"/>
  <c r="H458" i="21"/>
  <c r="I458" i="21"/>
  <c r="H459" i="21"/>
  <c r="I459" i="21"/>
  <c r="H460" i="21"/>
  <c r="I460" i="21"/>
  <c r="H461" i="21"/>
  <c r="I461" i="21"/>
  <c r="H462" i="21"/>
  <c r="I462" i="21"/>
  <c r="H463" i="21"/>
  <c r="I463" i="21"/>
  <c r="H464" i="21"/>
  <c r="I464" i="21"/>
  <c r="H465" i="21"/>
  <c r="I465" i="21"/>
  <c r="H466" i="21"/>
  <c r="I466" i="21"/>
  <c r="H467" i="21"/>
  <c r="I467" i="21"/>
  <c r="H468" i="21"/>
  <c r="I468" i="21"/>
  <c r="H469" i="21"/>
  <c r="I469" i="21"/>
  <c r="H470" i="21"/>
  <c r="I470" i="21"/>
  <c r="H471" i="21"/>
  <c r="I471" i="21"/>
  <c r="H472" i="21"/>
  <c r="I472" i="21"/>
  <c r="H473" i="21"/>
  <c r="I473" i="21"/>
  <c r="H474" i="21"/>
  <c r="I474" i="21"/>
  <c r="H475" i="21"/>
  <c r="I475" i="21"/>
  <c r="H476" i="21"/>
  <c r="I476" i="21"/>
  <c r="H477" i="21"/>
  <c r="I477" i="21"/>
  <c r="H478" i="21"/>
  <c r="I478" i="21"/>
  <c r="H479" i="21"/>
  <c r="I479" i="21"/>
  <c r="H480" i="21"/>
  <c r="I480" i="21"/>
  <c r="H481" i="21"/>
  <c r="I481" i="21"/>
  <c r="H482" i="21"/>
  <c r="I482" i="21"/>
  <c r="H483" i="21"/>
  <c r="I483" i="21"/>
  <c r="H484" i="21"/>
  <c r="I484" i="21"/>
  <c r="H485" i="21"/>
  <c r="I485" i="21"/>
  <c r="H486" i="21"/>
  <c r="I486" i="21"/>
  <c r="H487" i="21"/>
  <c r="I487" i="21"/>
  <c r="H488" i="21"/>
  <c r="I488" i="21"/>
  <c r="H489" i="21"/>
  <c r="I489" i="21"/>
  <c r="H490" i="21"/>
  <c r="I490" i="21"/>
  <c r="H491" i="21"/>
  <c r="I491" i="21"/>
  <c r="H492" i="21"/>
  <c r="I492" i="21"/>
  <c r="H493" i="21"/>
  <c r="I493" i="21"/>
  <c r="H494" i="21"/>
  <c r="I494" i="21"/>
  <c r="H495" i="21"/>
  <c r="I495" i="21"/>
  <c r="H496" i="21"/>
  <c r="I496" i="21"/>
  <c r="H497" i="21"/>
  <c r="I497" i="21"/>
  <c r="H498" i="21"/>
  <c r="I498" i="21"/>
  <c r="H499" i="21"/>
  <c r="I499" i="21"/>
  <c r="H500" i="21"/>
  <c r="I500" i="21"/>
  <c r="H501" i="21"/>
  <c r="I501" i="21"/>
  <c r="L31" i="18" l="1"/>
  <c r="C5" i="21"/>
  <c r="B22" i="21"/>
  <c r="B3" i="21"/>
  <c r="B20" i="21"/>
  <c r="C20" i="21"/>
  <c r="B21" i="21"/>
  <c r="C21" i="21"/>
  <c r="C22" i="21"/>
  <c r="B23" i="21"/>
  <c r="C23" i="21"/>
  <c r="B24" i="21"/>
  <c r="C24" i="21"/>
  <c r="B25" i="21"/>
  <c r="C25" i="21"/>
  <c r="B26" i="21"/>
  <c r="C26" i="21"/>
  <c r="B27" i="21"/>
  <c r="C27" i="21"/>
  <c r="B28" i="21"/>
  <c r="C28" i="21"/>
  <c r="B29" i="21"/>
  <c r="C29" i="21"/>
  <c r="E29" i="21"/>
  <c r="F29" i="21"/>
  <c r="G29" i="21"/>
  <c r="B30" i="21"/>
  <c r="C30" i="21"/>
  <c r="E30" i="21"/>
  <c r="F30" i="21"/>
  <c r="G30" i="21"/>
  <c r="B31" i="21"/>
  <c r="C31" i="21"/>
  <c r="E31" i="21"/>
  <c r="F31" i="21"/>
  <c r="G31" i="21"/>
  <c r="B32" i="21"/>
  <c r="C32" i="21"/>
  <c r="E32" i="21"/>
  <c r="F32" i="21"/>
  <c r="G32" i="21"/>
  <c r="B33" i="21"/>
  <c r="C33" i="21"/>
  <c r="E33" i="21"/>
  <c r="F33" i="21"/>
  <c r="G33" i="21"/>
  <c r="B34" i="21"/>
  <c r="C34" i="21"/>
  <c r="E34" i="21"/>
  <c r="F34" i="21"/>
  <c r="G34" i="21"/>
  <c r="B35" i="21"/>
  <c r="C35" i="21"/>
  <c r="E35" i="21"/>
  <c r="F35" i="21"/>
  <c r="G35" i="21"/>
  <c r="B36" i="21"/>
  <c r="C36" i="21"/>
  <c r="E36" i="21"/>
  <c r="F36" i="21"/>
  <c r="G36" i="21"/>
  <c r="B37" i="21"/>
  <c r="C37" i="21"/>
  <c r="E37" i="21"/>
  <c r="F37" i="21"/>
  <c r="G37" i="21"/>
  <c r="B38" i="21"/>
  <c r="C38" i="21"/>
  <c r="E38" i="21"/>
  <c r="F38" i="21"/>
  <c r="G38" i="21"/>
  <c r="B39" i="21"/>
  <c r="C39" i="21"/>
  <c r="E39" i="21"/>
  <c r="F39" i="21"/>
  <c r="G39" i="21"/>
  <c r="B40" i="21"/>
  <c r="C40" i="21"/>
  <c r="E40" i="21"/>
  <c r="F40" i="21"/>
  <c r="G40" i="21"/>
  <c r="B41" i="21"/>
  <c r="C41" i="21"/>
  <c r="E41" i="21"/>
  <c r="F41" i="21"/>
  <c r="G41" i="21"/>
  <c r="B42" i="21"/>
  <c r="C42" i="21"/>
  <c r="E42" i="21"/>
  <c r="F42" i="21"/>
  <c r="G42" i="21"/>
  <c r="B43" i="21"/>
  <c r="C43" i="21"/>
  <c r="E43" i="21"/>
  <c r="F43" i="21"/>
  <c r="G43" i="21"/>
  <c r="B44" i="21"/>
  <c r="C44" i="21"/>
  <c r="E44" i="21"/>
  <c r="F44" i="21"/>
  <c r="G44" i="21"/>
  <c r="B45" i="21"/>
  <c r="C45" i="21"/>
  <c r="E45" i="21"/>
  <c r="F45" i="21"/>
  <c r="G45" i="21"/>
  <c r="B46" i="21"/>
  <c r="C46" i="21"/>
  <c r="E46" i="21"/>
  <c r="F46" i="21"/>
  <c r="G46" i="21"/>
  <c r="B47" i="21"/>
  <c r="C47" i="21"/>
  <c r="E47" i="21"/>
  <c r="F47" i="21"/>
  <c r="G47" i="21"/>
  <c r="B48" i="21"/>
  <c r="C48" i="21"/>
  <c r="E48" i="21"/>
  <c r="F48" i="21"/>
  <c r="G48" i="21"/>
  <c r="B49" i="21"/>
  <c r="C49" i="21"/>
  <c r="E49" i="21"/>
  <c r="F49" i="21"/>
  <c r="G49" i="21"/>
  <c r="B50" i="21"/>
  <c r="C50" i="21"/>
  <c r="E50" i="21"/>
  <c r="F50" i="21"/>
  <c r="G50" i="21"/>
  <c r="B51" i="21"/>
  <c r="C51" i="21"/>
  <c r="E51" i="21"/>
  <c r="F51" i="21"/>
  <c r="G51" i="21"/>
  <c r="B52" i="21"/>
  <c r="C52" i="21"/>
  <c r="E52" i="21"/>
  <c r="F52" i="21"/>
  <c r="G52" i="21"/>
  <c r="B53" i="21"/>
  <c r="C53" i="21"/>
  <c r="E53" i="21"/>
  <c r="F53" i="21"/>
  <c r="G53" i="21"/>
  <c r="B54" i="21"/>
  <c r="C54" i="21"/>
  <c r="E54" i="21"/>
  <c r="F54" i="21"/>
  <c r="G54" i="21"/>
  <c r="B55" i="21"/>
  <c r="C55" i="21"/>
  <c r="E55" i="21"/>
  <c r="F55" i="21"/>
  <c r="G55" i="21"/>
  <c r="B56" i="21"/>
  <c r="C56" i="21"/>
  <c r="E56" i="21"/>
  <c r="F56" i="21"/>
  <c r="G56" i="21"/>
  <c r="B57" i="21"/>
  <c r="C57" i="21"/>
  <c r="E57" i="21"/>
  <c r="F57" i="21"/>
  <c r="G57" i="21"/>
  <c r="B58" i="21"/>
  <c r="C58" i="21"/>
  <c r="E58" i="21"/>
  <c r="F58" i="21"/>
  <c r="G58" i="21"/>
  <c r="B59" i="21"/>
  <c r="C59" i="21"/>
  <c r="E59" i="21"/>
  <c r="F59" i="21"/>
  <c r="G59" i="21"/>
  <c r="B60" i="21"/>
  <c r="C60" i="21"/>
  <c r="E60" i="21"/>
  <c r="F60" i="21"/>
  <c r="G60" i="21"/>
  <c r="B61" i="21"/>
  <c r="C61" i="21"/>
  <c r="E61" i="21"/>
  <c r="F61" i="21"/>
  <c r="G61" i="21"/>
  <c r="B62" i="21"/>
  <c r="C62" i="21"/>
  <c r="E62" i="21"/>
  <c r="F62" i="21"/>
  <c r="G62" i="21"/>
  <c r="B63" i="21"/>
  <c r="C63" i="21"/>
  <c r="E63" i="21"/>
  <c r="F63" i="21"/>
  <c r="G63" i="21"/>
  <c r="B64" i="21"/>
  <c r="C64" i="21"/>
  <c r="E64" i="21"/>
  <c r="F64" i="21"/>
  <c r="G64" i="21"/>
  <c r="B65" i="21"/>
  <c r="C65" i="21"/>
  <c r="E65" i="21"/>
  <c r="F65" i="21"/>
  <c r="G65" i="21"/>
  <c r="B66" i="21"/>
  <c r="C66" i="21"/>
  <c r="E66" i="21"/>
  <c r="F66" i="21"/>
  <c r="G66" i="21"/>
  <c r="B67" i="21"/>
  <c r="C67" i="21"/>
  <c r="E67" i="21"/>
  <c r="F67" i="21"/>
  <c r="G67" i="21"/>
  <c r="B68" i="21"/>
  <c r="C68" i="21"/>
  <c r="E68" i="21"/>
  <c r="F68" i="21"/>
  <c r="G68" i="21"/>
  <c r="B69" i="21"/>
  <c r="C69" i="21"/>
  <c r="E69" i="21"/>
  <c r="F69" i="21"/>
  <c r="G69" i="21"/>
  <c r="B70" i="21"/>
  <c r="C70" i="21"/>
  <c r="E70" i="21"/>
  <c r="F70" i="21"/>
  <c r="G70" i="21"/>
  <c r="B71" i="21"/>
  <c r="C71" i="21"/>
  <c r="E71" i="21"/>
  <c r="F71" i="21"/>
  <c r="G71" i="21"/>
  <c r="B72" i="21"/>
  <c r="C72" i="21"/>
  <c r="E72" i="21"/>
  <c r="F72" i="21"/>
  <c r="G72" i="21"/>
  <c r="B73" i="21"/>
  <c r="C73" i="21"/>
  <c r="E73" i="21"/>
  <c r="F73" i="21"/>
  <c r="G73" i="21"/>
  <c r="B74" i="21"/>
  <c r="C74" i="21"/>
  <c r="E74" i="21"/>
  <c r="F74" i="21"/>
  <c r="G74" i="21"/>
  <c r="B75" i="21"/>
  <c r="C75" i="21"/>
  <c r="E75" i="21"/>
  <c r="F75" i="21"/>
  <c r="G75" i="21"/>
  <c r="B76" i="21"/>
  <c r="C76" i="21"/>
  <c r="E76" i="21"/>
  <c r="F76" i="21"/>
  <c r="G76" i="21"/>
  <c r="B77" i="21"/>
  <c r="C77" i="21"/>
  <c r="E77" i="21"/>
  <c r="F77" i="21"/>
  <c r="G77" i="21"/>
  <c r="B78" i="21"/>
  <c r="C78" i="21"/>
  <c r="E78" i="21"/>
  <c r="F78" i="21"/>
  <c r="G78" i="21"/>
  <c r="B79" i="21"/>
  <c r="C79" i="21"/>
  <c r="E79" i="21"/>
  <c r="F79" i="21"/>
  <c r="G79" i="21"/>
  <c r="B80" i="21"/>
  <c r="C80" i="21"/>
  <c r="E80" i="21"/>
  <c r="F80" i="21"/>
  <c r="G80" i="21"/>
  <c r="B81" i="21"/>
  <c r="C81" i="21"/>
  <c r="E81" i="21"/>
  <c r="F81" i="21"/>
  <c r="G81" i="21"/>
  <c r="B82" i="21"/>
  <c r="C82" i="21"/>
  <c r="E82" i="21"/>
  <c r="F82" i="21"/>
  <c r="G82" i="21"/>
  <c r="B83" i="21"/>
  <c r="C83" i="21"/>
  <c r="E83" i="21"/>
  <c r="F83" i="21"/>
  <c r="G83" i="21"/>
  <c r="B84" i="21"/>
  <c r="C84" i="21"/>
  <c r="E84" i="21"/>
  <c r="F84" i="21"/>
  <c r="G84" i="21"/>
  <c r="B85" i="21"/>
  <c r="C85" i="21"/>
  <c r="E85" i="21"/>
  <c r="F85" i="21"/>
  <c r="G85" i="21"/>
  <c r="B86" i="21"/>
  <c r="C86" i="21"/>
  <c r="E86" i="21"/>
  <c r="F86" i="21"/>
  <c r="G86" i="21"/>
  <c r="B87" i="21"/>
  <c r="C87" i="21"/>
  <c r="E87" i="21"/>
  <c r="F87" i="21"/>
  <c r="G87" i="21"/>
  <c r="B88" i="21"/>
  <c r="C88" i="21"/>
  <c r="E88" i="21"/>
  <c r="F88" i="21"/>
  <c r="G88" i="21"/>
  <c r="B89" i="21"/>
  <c r="C89" i="21"/>
  <c r="E89" i="21"/>
  <c r="F89" i="21"/>
  <c r="G89" i="21"/>
  <c r="B90" i="21"/>
  <c r="C90" i="21"/>
  <c r="E90" i="21"/>
  <c r="F90" i="21"/>
  <c r="G90" i="21"/>
  <c r="B91" i="21"/>
  <c r="C91" i="21"/>
  <c r="E91" i="21"/>
  <c r="F91" i="21"/>
  <c r="G91" i="21"/>
  <c r="B92" i="21"/>
  <c r="C92" i="21"/>
  <c r="E92" i="21"/>
  <c r="F92" i="21"/>
  <c r="G92" i="21"/>
  <c r="B93" i="21"/>
  <c r="C93" i="21"/>
  <c r="E93" i="21"/>
  <c r="F93" i="21"/>
  <c r="G93" i="21"/>
  <c r="B94" i="21"/>
  <c r="C94" i="21"/>
  <c r="E94" i="21"/>
  <c r="F94" i="21"/>
  <c r="G94" i="21"/>
  <c r="B95" i="21"/>
  <c r="C95" i="21"/>
  <c r="E95" i="21"/>
  <c r="F95" i="21"/>
  <c r="G95" i="21"/>
  <c r="B96" i="21"/>
  <c r="C96" i="21"/>
  <c r="E96" i="21"/>
  <c r="F96" i="21"/>
  <c r="G96" i="21"/>
  <c r="B97" i="21"/>
  <c r="C97" i="21"/>
  <c r="E97" i="21"/>
  <c r="F97" i="21"/>
  <c r="G97" i="21"/>
  <c r="B98" i="21"/>
  <c r="C98" i="21"/>
  <c r="E98" i="21"/>
  <c r="F98" i="21"/>
  <c r="G98" i="21"/>
  <c r="B99" i="21"/>
  <c r="C99" i="21"/>
  <c r="E99" i="21"/>
  <c r="F99" i="21"/>
  <c r="G99" i="21"/>
  <c r="B100" i="21"/>
  <c r="C100" i="21"/>
  <c r="E100" i="21"/>
  <c r="F100" i="21"/>
  <c r="G100" i="21"/>
  <c r="B101" i="21"/>
  <c r="C101" i="21"/>
  <c r="E101" i="21"/>
  <c r="F101" i="21"/>
  <c r="G101" i="21"/>
  <c r="B102" i="21"/>
  <c r="C102" i="21"/>
  <c r="E102" i="21"/>
  <c r="F102" i="21"/>
  <c r="G102" i="21"/>
  <c r="B103" i="21"/>
  <c r="C103" i="21"/>
  <c r="E103" i="21"/>
  <c r="F103" i="21"/>
  <c r="G103" i="21"/>
  <c r="B104" i="21"/>
  <c r="C104" i="21"/>
  <c r="E104" i="21"/>
  <c r="F104" i="21"/>
  <c r="G104" i="21"/>
  <c r="B105" i="21"/>
  <c r="C105" i="21"/>
  <c r="E105" i="21"/>
  <c r="F105" i="21"/>
  <c r="G105" i="21"/>
  <c r="B106" i="21"/>
  <c r="C106" i="21"/>
  <c r="E106" i="21"/>
  <c r="F106" i="21"/>
  <c r="G106" i="21"/>
  <c r="B107" i="21"/>
  <c r="C107" i="21"/>
  <c r="E107" i="21"/>
  <c r="F107" i="21"/>
  <c r="G107" i="21"/>
  <c r="B108" i="21"/>
  <c r="C108" i="21"/>
  <c r="E108" i="21"/>
  <c r="F108" i="21"/>
  <c r="G108" i="21"/>
  <c r="B109" i="21"/>
  <c r="C109" i="21"/>
  <c r="E109" i="21"/>
  <c r="F109" i="21"/>
  <c r="G109" i="21"/>
  <c r="B110" i="21"/>
  <c r="C110" i="21"/>
  <c r="E110" i="21"/>
  <c r="F110" i="21"/>
  <c r="G110" i="21"/>
  <c r="B111" i="21"/>
  <c r="C111" i="21"/>
  <c r="E111" i="21"/>
  <c r="F111" i="21"/>
  <c r="G111" i="21"/>
  <c r="B112" i="21"/>
  <c r="C112" i="21"/>
  <c r="E112" i="21"/>
  <c r="F112" i="21"/>
  <c r="G112" i="21"/>
  <c r="B113" i="21"/>
  <c r="C113" i="21"/>
  <c r="E113" i="21"/>
  <c r="F113" i="21"/>
  <c r="G113" i="21"/>
  <c r="B114" i="21"/>
  <c r="C114" i="21"/>
  <c r="E114" i="21"/>
  <c r="F114" i="21"/>
  <c r="G114" i="21"/>
  <c r="B115" i="21"/>
  <c r="C115" i="21"/>
  <c r="E115" i="21"/>
  <c r="F115" i="21"/>
  <c r="G115" i="21"/>
  <c r="B116" i="21"/>
  <c r="C116" i="21"/>
  <c r="E116" i="21"/>
  <c r="F116" i="21"/>
  <c r="G116" i="21"/>
  <c r="B117" i="21"/>
  <c r="C117" i="21"/>
  <c r="E117" i="21"/>
  <c r="F117" i="21"/>
  <c r="G117" i="21"/>
  <c r="B118" i="21"/>
  <c r="C118" i="21"/>
  <c r="E118" i="21"/>
  <c r="F118" i="21"/>
  <c r="G118" i="21"/>
  <c r="B119" i="21"/>
  <c r="C119" i="21"/>
  <c r="E119" i="21"/>
  <c r="F119" i="21"/>
  <c r="G119" i="21"/>
  <c r="B120" i="21"/>
  <c r="C120" i="21"/>
  <c r="E120" i="21"/>
  <c r="F120" i="21"/>
  <c r="G120" i="21"/>
  <c r="B121" i="21"/>
  <c r="C121" i="21"/>
  <c r="E121" i="21"/>
  <c r="F121" i="21"/>
  <c r="G121" i="21"/>
  <c r="B122" i="21"/>
  <c r="C122" i="21"/>
  <c r="E122" i="21"/>
  <c r="F122" i="21"/>
  <c r="G122" i="21"/>
  <c r="B123" i="21"/>
  <c r="C123" i="21"/>
  <c r="E123" i="21"/>
  <c r="F123" i="21"/>
  <c r="G123" i="21"/>
  <c r="B124" i="21"/>
  <c r="C124" i="21"/>
  <c r="E124" i="21"/>
  <c r="F124" i="21"/>
  <c r="G124" i="21"/>
  <c r="B125" i="21"/>
  <c r="C125" i="21"/>
  <c r="E125" i="21"/>
  <c r="F125" i="21"/>
  <c r="G125" i="21"/>
  <c r="B126" i="21"/>
  <c r="C126" i="21"/>
  <c r="E126" i="21"/>
  <c r="F126" i="21"/>
  <c r="G126" i="21"/>
  <c r="B127" i="21"/>
  <c r="C127" i="21"/>
  <c r="E127" i="21"/>
  <c r="F127" i="21"/>
  <c r="G127" i="21"/>
  <c r="B128" i="21"/>
  <c r="C128" i="21"/>
  <c r="E128" i="21"/>
  <c r="F128" i="21"/>
  <c r="G128" i="21"/>
  <c r="B129" i="21"/>
  <c r="C129" i="21"/>
  <c r="E129" i="21"/>
  <c r="F129" i="21"/>
  <c r="G129" i="21"/>
  <c r="B130" i="21"/>
  <c r="C130" i="21"/>
  <c r="E130" i="21"/>
  <c r="F130" i="21"/>
  <c r="G130" i="21"/>
  <c r="B131" i="21"/>
  <c r="C131" i="21"/>
  <c r="E131" i="21"/>
  <c r="F131" i="21"/>
  <c r="G131" i="21"/>
  <c r="B132" i="21"/>
  <c r="C132" i="21"/>
  <c r="E132" i="21"/>
  <c r="F132" i="21"/>
  <c r="G132" i="21"/>
  <c r="B133" i="21"/>
  <c r="C133" i="21"/>
  <c r="E133" i="21"/>
  <c r="F133" i="21"/>
  <c r="G133" i="21"/>
  <c r="B134" i="21"/>
  <c r="C134" i="21"/>
  <c r="E134" i="21"/>
  <c r="F134" i="21"/>
  <c r="G134" i="21"/>
  <c r="B135" i="21"/>
  <c r="C135" i="21"/>
  <c r="E135" i="21"/>
  <c r="F135" i="21"/>
  <c r="G135" i="21"/>
  <c r="B136" i="21"/>
  <c r="C136" i="21"/>
  <c r="E136" i="21"/>
  <c r="F136" i="21"/>
  <c r="G136" i="21"/>
  <c r="B137" i="21"/>
  <c r="C137" i="21"/>
  <c r="E137" i="21"/>
  <c r="F137" i="21"/>
  <c r="G137" i="21"/>
  <c r="B138" i="21"/>
  <c r="C138" i="21"/>
  <c r="E138" i="21"/>
  <c r="F138" i="21"/>
  <c r="G138" i="21"/>
  <c r="B139" i="21"/>
  <c r="C139" i="21"/>
  <c r="E139" i="21"/>
  <c r="F139" i="21"/>
  <c r="G139" i="21"/>
  <c r="B140" i="21"/>
  <c r="C140" i="21"/>
  <c r="E140" i="21"/>
  <c r="F140" i="21"/>
  <c r="G140" i="21"/>
  <c r="B141" i="21"/>
  <c r="C141" i="21"/>
  <c r="E141" i="21"/>
  <c r="F141" i="21"/>
  <c r="G141" i="21"/>
  <c r="B142" i="21"/>
  <c r="C142" i="21"/>
  <c r="E142" i="21"/>
  <c r="F142" i="21"/>
  <c r="G142" i="21"/>
  <c r="B143" i="21"/>
  <c r="C143" i="21"/>
  <c r="E143" i="21"/>
  <c r="F143" i="21"/>
  <c r="G143" i="21"/>
  <c r="B144" i="21"/>
  <c r="C144" i="21"/>
  <c r="E144" i="21"/>
  <c r="F144" i="21"/>
  <c r="G144" i="21"/>
  <c r="B145" i="21"/>
  <c r="C145" i="21"/>
  <c r="E145" i="21"/>
  <c r="F145" i="21"/>
  <c r="G145" i="21"/>
  <c r="B146" i="21"/>
  <c r="C146" i="21"/>
  <c r="E146" i="21"/>
  <c r="F146" i="21"/>
  <c r="G146" i="21"/>
  <c r="B147" i="21"/>
  <c r="C147" i="21"/>
  <c r="E147" i="21"/>
  <c r="F147" i="21"/>
  <c r="G147" i="21"/>
  <c r="B148" i="21"/>
  <c r="C148" i="21"/>
  <c r="E148" i="21"/>
  <c r="F148" i="21"/>
  <c r="G148" i="21"/>
  <c r="B149" i="21"/>
  <c r="C149" i="21"/>
  <c r="E149" i="21"/>
  <c r="F149" i="21"/>
  <c r="G149" i="21"/>
  <c r="B150" i="21"/>
  <c r="C150" i="21"/>
  <c r="E150" i="21"/>
  <c r="F150" i="21"/>
  <c r="G150" i="21"/>
  <c r="B151" i="21"/>
  <c r="C151" i="21"/>
  <c r="E151" i="21"/>
  <c r="F151" i="21"/>
  <c r="G151" i="21"/>
  <c r="B152" i="21"/>
  <c r="C152" i="21"/>
  <c r="E152" i="21"/>
  <c r="F152" i="21"/>
  <c r="G152" i="21"/>
  <c r="B153" i="21"/>
  <c r="C153" i="21"/>
  <c r="E153" i="21"/>
  <c r="F153" i="21"/>
  <c r="G153" i="21"/>
  <c r="B154" i="21"/>
  <c r="C154" i="21"/>
  <c r="E154" i="21"/>
  <c r="F154" i="21"/>
  <c r="G154" i="21"/>
  <c r="B155" i="21"/>
  <c r="C155" i="21"/>
  <c r="E155" i="21"/>
  <c r="F155" i="21"/>
  <c r="G155" i="21"/>
  <c r="B156" i="21"/>
  <c r="C156" i="21"/>
  <c r="E156" i="21"/>
  <c r="F156" i="21"/>
  <c r="G156" i="21"/>
  <c r="B157" i="21"/>
  <c r="C157" i="21"/>
  <c r="E157" i="21"/>
  <c r="F157" i="21"/>
  <c r="G157" i="21"/>
  <c r="B158" i="21"/>
  <c r="C158" i="21"/>
  <c r="E158" i="21"/>
  <c r="F158" i="21"/>
  <c r="G158" i="21"/>
  <c r="B159" i="21"/>
  <c r="C159" i="21"/>
  <c r="E159" i="21"/>
  <c r="F159" i="21"/>
  <c r="G159" i="21"/>
  <c r="B160" i="21"/>
  <c r="C160" i="21"/>
  <c r="E160" i="21"/>
  <c r="F160" i="21"/>
  <c r="G160" i="21"/>
  <c r="B161" i="21"/>
  <c r="C161" i="21"/>
  <c r="E161" i="21"/>
  <c r="F161" i="21"/>
  <c r="G161" i="21"/>
  <c r="B162" i="21"/>
  <c r="C162" i="21"/>
  <c r="E162" i="21"/>
  <c r="F162" i="21"/>
  <c r="G162" i="21"/>
  <c r="B163" i="21"/>
  <c r="C163" i="21"/>
  <c r="E163" i="21"/>
  <c r="F163" i="21"/>
  <c r="G163" i="21"/>
  <c r="B164" i="21"/>
  <c r="C164" i="21"/>
  <c r="E164" i="21"/>
  <c r="F164" i="21"/>
  <c r="G164" i="21"/>
  <c r="B165" i="21"/>
  <c r="C165" i="21"/>
  <c r="E165" i="21"/>
  <c r="F165" i="21"/>
  <c r="G165" i="21"/>
  <c r="B166" i="21"/>
  <c r="C166" i="21"/>
  <c r="E166" i="21"/>
  <c r="F166" i="21"/>
  <c r="G166" i="21"/>
  <c r="B167" i="21"/>
  <c r="C167" i="21"/>
  <c r="E167" i="21"/>
  <c r="F167" i="21"/>
  <c r="G167" i="21"/>
  <c r="B168" i="21"/>
  <c r="C168" i="21"/>
  <c r="E168" i="21"/>
  <c r="F168" i="21"/>
  <c r="G168" i="21"/>
  <c r="B169" i="21"/>
  <c r="C169" i="21"/>
  <c r="E169" i="21"/>
  <c r="F169" i="21"/>
  <c r="G169" i="21"/>
  <c r="B170" i="21"/>
  <c r="C170" i="21"/>
  <c r="E170" i="21"/>
  <c r="F170" i="21"/>
  <c r="G170" i="21"/>
  <c r="B171" i="21"/>
  <c r="C171" i="21"/>
  <c r="E171" i="21"/>
  <c r="F171" i="21"/>
  <c r="G171" i="21"/>
  <c r="B172" i="21"/>
  <c r="C172" i="21"/>
  <c r="E172" i="21"/>
  <c r="F172" i="21"/>
  <c r="G172" i="21"/>
  <c r="B173" i="21"/>
  <c r="C173" i="21"/>
  <c r="E173" i="21"/>
  <c r="F173" i="21"/>
  <c r="G173" i="21"/>
  <c r="B174" i="21"/>
  <c r="C174" i="21"/>
  <c r="E174" i="21"/>
  <c r="F174" i="21"/>
  <c r="G174" i="21"/>
  <c r="B175" i="21"/>
  <c r="C175" i="21"/>
  <c r="E175" i="21"/>
  <c r="F175" i="21"/>
  <c r="G175" i="21"/>
  <c r="B176" i="21"/>
  <c r="C176" i="21"/>
  <c r="E176" i="21"/>
  <c r="F176" i="21"/>
  <c r="G176" i="21"/>
  <c r="B177" i="21"/>
  <c r="C177" i="21"/>
  <c r="E177" i="21"/>
  <c r="F177" i="21"/>
  <c r="G177" i="21"/>
  <c r="B178" i="21"/>
  <c r="C178" i="21"/>
  <c r="E178" i="21"/>
  <c r="F178" i="21"/>
  <c r="G178" i="21"/>
  <c r="B179" i="21"/>
  <c r="C179" i="21"/>
  <c r="E179" i="21"/>
  <c r="F179" i="21"/>
  <c r="G179" i="21"/>
  <c r="B180" i="21"/>
  <c r="C180" i="21"/>
  <c r="E180" i="21"/>
  <c r="F180" i="21"/>
  <c r="G180" i="21"/>
  <c r="B181" i="21"/>
  <c r="C181" i="21"/>
  <c r="E181" i="21"/>
  <c r="F181" i="21"/>
  <c r="G181" i="21"/>
  <c r="B182" i="21"/>
  <c r="C182" i="21"/>
  <c r="E182" i="21"/>
  <c r="F182" i="21"/>
  <c r="G182" i="21"/>
  <c r="B183" i="21"/>
  <c r="C183" i="21"/>
  <c r="E183" i="21"/>
  <c r="F183" i="21"/>
  <c r="G183" i="21"/>
  <c r="B184" i="21"/>
  <c r="C184" i="21"/>
  <c r="E184" i="21"/>
  <c r="F184" i="21"/>
  <c r="G184" i="21"/>
  <c r="B185" i="21"/>
  <c r="C185" i="21"/>
  <c r="E185" i="21"/>
  <c r="F185" i="21"/>
  <c r="G185" i="21"/>
  <c r="B186" i="21"/>
  <c r="C186" i="21"/>
  <c r="E186" i="21"/>
  <c r="F186" i="21"/>
  <c r="G186" i="21"/>
  <c r="B187" i="21"/>
  <c r="C187" i="21"/>
  <c r="E187" i="21"/>
  <c r="F187" i="21"/>
  <c r="G187" i="21"/>
  <c r="B188" i="21"/>
  <c r="C188" i="21"/>
  <c r="E188" i="21"/>
  <c r="F188" i="21"/>
  <c r="G188" i="21"/>
  <c r="B189" i="21"/>
  <c r="C189" i="21"/>
  <c r="E189" i="21"/>
  <c r="F189" i="21"/>
  <c r="G189" i="21"/>
  <c r="B190" i="21"/>
  <c r="C190" i="21"/>
  <c r="E190" i="21"/>
  <c r="F190" i="21"/>
  <c r="G190" i="21"/>
  <c r="B191" i="21"/>
  <c r="C191" i="21"/>
  <c r="E191" i="21"/>
  <c r="F191" i="21"/>
  <c r="G191" i="21"/>
  <c r="B192" i="21"/>
  <c r="C192" i="21"/>
  <c r="E192" i="21"/>
  <c r="F192" i="21"/>
  <c r="G192" i="21"/>
  <c r="B193" i="21"/>
  <c r="C193" i="21"/>
  <c r="E193" i="21"/>
  <c r="F193" i="21"/>
  <c r="G193" i="21"/>
  <c r="B194" i="21"/>
  <c r="C194" i="21"/>
  <c r="E194" i="21"/>
  <c r="F194" i="21"/>
  <c r="G194" i="21"/>
  <c r="B195" i="21"/>
  <c r="C195" i="21"/>
  <c r="E195" i="21"/>
  <c r="F195" i="21"/>
  <c r="G195" i="21"/>
  <c r="B196" i="21"/>
  <c r="C196" i="21"/>
  <c r="E196" i="21"/>
  <c r="F196" i="21"/>
  <c r="G196" i="21"/>
  <c r="B197" i="21"/>
  <c r="C197" i="21"/>
  <c r="E197" i="21"/>
  <c r="F197" i="21"/>
  <c r="G197" i="21"/>
  <c r="B198" i="21"/>
  <c r="C198" i="21"/>
  <c r="E198" i="21"/>
  <c r="F198" i="21"/>
  <c r="G198" i="21"/>
  <c r="B199" i="21"/>
  <c r="C199" i="21"/>
  <c r="E199" i="21"/>
  <c r="F199" i="21"/>
  <c r="G199" i="21"/>
  <c r="B200" i="21"/>
  <c r="C200" i="21"/>
  <c r="E200" i="21"/>
  <c r="F200" i="21"/>
  <c r="G200" i="21"/>
  <c r="B201" i="21"/>
  <c r="C201" i="21"/>
  <c r="E201" i="21"/>
  <c r="F201" i="21"/>
  <c r="G201" i="21"/>
  <c r="B202" i="21"/>
  <c r="C202" i="21"/>
  <c r="E202" i="21"/>
  <c r="F202" i="21"/>
  <c r="G202" i="21"/>
  <c r="B203" i="21"/>
  <c r="C203" i="21"/>
  <c r="E203" i="21"/>
  <c r="F203" i="21"/>
  <c r="G203" i="21"/>
  <c r="B204" i="21"/>
  <c r="C204" i="21"/>
  <c r="E204" i="21"/>
  <c r="F204" i="21"/>
  <c r="G204" i="21"/>
  <c r="B205" i="21"/>
  <c r="C205" i="21"/>
  <c r="E205" i="21"/>
  <c r="F205" i="21"/>
  <c r="G205" i="21"/>
  <c r="B206" i="21"/>
  <c r="C206" i="21"/>
  <c r="E206" i="21"/>
  <c r="F206" i="21"/>
  <c r="G206" i="21"/>
  <c r="B207" i="21"/>
  <c r="C207" i="21"/>
  <c r="E207" i="21"/>
  <c r="F207" i="21"/>
  <c r="G207" i="21"/>
  <c r="B208" i="21"/>
  <c r="C208" i="21"/>
  <c r="E208" i="21"/>
  <c r="F208" i="21"/>
  <c r="G208" i="21"/>
  <c r="B209" i="21"/>
  <c r="C209" i="21"/>
  <c r="E209" i="21"/>
  <c r="F209" i="21"/>
  <c r="G209" i="21"/>
  <c r="B210" i="21"/>
  <c r="C210" i="21"/>
  <c r="E210" i="21"/>
  <c r="F210" i="21"/>
  <c r="G210" i="21"/>
  <c r="B211" i="21"/>
  <c r="C211" i="21"/>
  <c r="E211" i="21"/>
  <c r="F211" i="21"/>
  <c r="G211" i="21"/>
  <c r="B212" i="21"/>
  <c r="C212" i="21"/>
  <c r="E212" i="21"/>
  <c r="F212" i="21"/>
  <c r="G212" i="21"/>
  <c r="B213" i="21"/>
  <c r="C213" i="21"/>
  <c r="E213" i="21"/>
  <c r="F213" i="21"/>
  <c r="G213" i="21"/>
  <c r="B214" i="21"/>
  <c r="C214" i="21"/>
  <c r="E214" i="21"/>
  <c r="F214" i="21"/>
  <c r="G214" i="21"/>
  <c r="B215" i="21"/>
  <c r="C215" i="21"/>
  <c r="E215" i="21"/>
  <c r="F215" i="21"/>
  <c r="G215" i="21"/>
  <c r="B216" i="21"/>
  <c r="C216" i="21"/>
  <c r="E216" i="21"/>
  <c r="F216" i="21"/>
  <c r="G216" i="21"/>
  <c r="B217" i="21"/>
  <c r="C217" i="21"/>
  <c r="E217" i="21"/>
  <c r="F217" i="21"/>
  <c r="G217" i="21"/>
  <c r="B218" i="21"/>
  <c r="C218" i="21"/>
  <c r="E218" i="21"/>
  <c r="F218" i="21"/>
  <c r="G218" i="21"/>
  <c r="B219" i="21"/>
  <c r="C219" i="21"/>
  <c r="E219" i="21"/>
  <c r="F219" i="21"/>
  <c r="G219" i="21"/>
  <c r="B220" i="21"/>
  <c r="C220" i="21"/>
  <c r="E220" i="21"/>
  <c r="F220" i="21"/>
  <c r="G220" i="21"/>
  <c r="B221" i="21"/>
  <c r="C221" i="21"/>
  <c r="E221" i="21"/>
  <c r="F221" i="21"/>
  <c r="G221" i="21"/>
  <c r="B222" i="21"/>
  <c r="C222" i="21"/>
  <c r="E222" i="21"/>
  <c r="F222" i="21"/>
  <c r="G222" i="21"/>
  <c r="B223" i="21"/>
  <c r="C223" i="21"/>
  <c r="E223" i="21"/>
  <c r="F223" i="21"/>
  <c r="G223" i="21"/>
  <c r="B224" i="21"/>
  <c r="C224" i="21"/>
  <c r="E224" i="21"/>
  <c r="F224" i="21"/>
  <c r="G224" i="21"/>
  <c r="B225" i="21"/>
  <c r="C225" i="21"/>
  <c r="E225" i="21"/>
  <c r="F225" i="21"/>
  <c r="G225" i="21"/>
  <c r="B226" i="21"/>
  <c r="C226" i="21"/>
  <c r="E226" i="21"/>
  <c r="F226" i="21"/>
  <c r="G226" i="21"/>
  <c r="B227" i="21"/>
  <c r="C227" i="21"/>
  <c r="E227" i="21"/>
  <c r="F227" i="21"/>
  <c r="G227" i="21"/>
  <c r="B228" i="21"/>
  <c r="C228" i="21"/>
  <c r="E228" i="21"/>
  <c r="F228" i="21"/>
  <c r="G228" i="21"/>
  <c r="B229" i="21"/>
  <c r="C229" i="21"/>
  <c r="E229" i="21"/>
  <c r="F229" i="21"/>
  <c r="G229" i="21"/>
  <c r="B230" i="21"/>
  <c r="C230" i="21"/>
  <c r="E230" i="21"/>
  <c r="F230" i="21"/>
  <c r="G230" i="21"/>
  <c r="B231" i="21"/>
  <c r="C231" i="21"/>
  <c r="E231" i="21"/>
  <c r="F231" i="21"/>
  <c r="G231" i="21"/>
  <c r="B232" i="21"/>
  <c r="C232" i="21"/>
  <c r="E232" i="21"/>
  <c r="F232" i="21"/>
  <c r="G232" i="21"/>
  <c r="B233" i="21"/>
  <c r="C233" i="21"/>
  <c r="E233" i="21"/>
  <c r="F233" i="21"/>
  <c r="G233" i="21"/>
  <c r="B234" i="21"/>
  <c r="C234" i="21"/>
  <c r="E234" i="21"/>
  <c r="F234" i="21"/>
  <c r="G234" i="21"/>
  <c r="B235" i="21"/>
  <c r="C235" i="21"/>
  <c r="E235" i="21"/>
  <c r="F235" i="21"/>
  <c r="G235" i="21"/>
  <c r="B236" i="21"/>
  <c r="C236" i="21"/>
  <c r="E236" i="21"/>
  <c r="F236" i="21"/>
  <c r="G236" i="21"/>
  <c r="B237" i="21"/>
  <c r="C237" i="21"/>
  <c r="E237" i="21"/>
  <c r="F237" i="21"/>
  <c r="G237" i="21"/>
  <c r="B238" i="21"/>
  <c r="C238" i="21"/>
  <c r="E238" i="21"/>
  <c r="F238" i="21"/>
  <c r="G238" i="21"/>
  <c r="B239" i="21"/>
  <c r="C239" i="21"/>
  <c r="E239" i="21"/>
  <c r="F239" i="21"/>
  <c r="G239" i="21"/>
  <c r="B240" i="21"/>
  <c r="C240" i="21"/>
  <c r="E240" i="21"/>
  <c r="F240" i="21"/>
  <c r="G240" i="21"/>
  <c r="B241" i="21"/>
  <c r="C241" i="21"/>
  <c r="E241" i="21"/>
  <c r="F241" i="21"/>
  <c r="G241" i="21"/>
  <c r="B242" i="21"/>
  <c r="C242" i="21"/>
  <c r="E242" i="21"/>
  <c r="F242" i="21"/>
  <c r="G242" i="21"/>
  <c r="B243" i="21"/>
  <c r="C243" i="21"/>
  <c r="E243" i="21"/>
  <c r="F243" i="21"/>
  <c r="G243" i="21"/>
  <c r="B244" i="21"/>
  <c r="C244" i="21"/>
  <c r="E244" i="21"/>
  <c r="F244" i="21"/>
  <c r="G244" i="21"/>
  <c r="B245" i="21"/>
  <c r="C245" i="21"/>
  <c r="E245" i="21"/>
  <c r="F245" i="21"/>
  <c r="G245" i="21"/>
  <c r="B246" i="21"/>
  <c r="C246" i="21"/>
  <c r="E246" i="21"/>
  <c r="F246" i="21"/>
  <c r="G246" i="21"/>
  <c r="B247" i="21"/>
  <c r="C247" i="21"/>
  <c r="E247" i="21"/>
  <c r="F247" i="21"/>
  <c r="G247" i="21"/>
  <c r="B248" i="21"/>
  <c r="C248" i="21"/>
  <c r="E248" i="21"/>
  <c r="F248" i="21"/>
  <c r="G248" i="21"/>
  <c r="B249" i="21"/>
  <c r="C249" i="21"/>
  <c r="E249" i="21"/>
  <c r="F249" i="21"/>
  <c r="G249" i="21"/>
  <c r="B250" i="21"/>
  <c r="C250" i="21"/>
  <c r="E250" i="21"/>
  <c r="F250" i="21"/>
  <c r="G250" i="21"/>
  <c r="B251" i="21"/>
  <c r="C251" i="21"/>
  <c r="E251" i="21"/>
  <c r="F251" i="21"/>
  <c r="G251" i="21"/>
  <c r="B252" i="21"/>
  <c r="C252" i="21"/>
  <c r="E252" i="21"/>
  <c r="F252" i="21"/>
  <c r="G252" i="21"/>
  <c r="B253" i="21"/>
  <c r="C253" i="21"/>
  <c r="E253" i="21"/>
  <c r="F253" i="21"/>
  <c r="G253" i="21"/>
  <c r="B254" i="21"/>
  <c r="C254" i="21"/>
  <c r="E254" i="21"/>
  <c r="F254" i="21"/>
  <c r="G254" i="21"/>
  <c r="B255" i="21"/>
  <c r="C255" i="21"/>
  <c r="E255" i="21"/>
  <c r="F255" i="21"/>
  <c r="G255" i="21"/>
  <c r="B256" i="21"/>
  <c r="C256" i="21"/>
  <c r="E256" i="21"/>
  <c r="F256" i="21"/>
  <c r="G256" i="21"/>
  <c r="B257" i="21"/>
  <c r="C257" i="21"/>
  <c r="E257" i="21"/>
  <c r="F257" i="21"/>
  <c r="G257" i="21"/>
  <c r="B258" i="21"/>
  <c r="C258" i="21"/>
  <c r="E258" i="21"/>
  <c r="F258" i="21"/>
  <c r="G258" i="21"/>
  <c r="B259" i="21"/>
  <c r="C259" i="21"/>
  <c r="E259" i="21"/>
  <c r="F259" i="21"/>
  <c r="G259" i="21"/>
  <c r="B260" i="21"/>
  <c r="C260" i="21"/>
  <c r="E260" i="21"/>
  <c r="F260" i="21"/>
  <c r="G260" i="21"/>
  <c r="B261" i="21"/>
  <c r="C261" i="21"/>
  <c r="E261" i="21"/>
  <c r="F261" i="21"/>
  <c r="G261" i="21"/>
  <c r="B262" i="21"/>
  <c r="C262" i="21"/>
  <c r="E262" i="21"/>
  <c r="F262" i="21"/>
  <c r="G262" i="21"/>
  <c r="B263" i="21"/>
  <c r="C263" i="21"/>
  <c r="E263" i="21"/>
  <c r="F263" i="21"/>
  <c r="G263" i="21"/>
  <c r="B264" i="21"/>
  <c r="C264" i="21"/>
  <c r="E264" i="21"/>
  <c r="F264" i="21"/>
  <c r="G264" i="21"/>
  <c r="B265" i="21"/>
  <c r="C265" i="21"/>
  <c r="E265" i="21"/>
  <c r="F265" i="21"/>
  <c r="G265" i="21"/>
  <c r="B266" i="21"/>
  <c r="C266" i="21"/>
  <c r="E266" i="21"/>
  <c r="F266" i="21"/>
  <c r="G266" i="21"/>
  <c r="B267" i="21"/>
  <c r="C267" i="21"/>
  <c r="E267" i="21"/>
  <c r="F267" i="21"/>
  <c r="G267" i="21"/>
  <c r="B268" i="21"/>
  <c r="C268" i="21"/>
  <c r="E268" i="21"/>
  <c r="F268" i="21"/>
  <c r="G268" i="21"/>
  <c r="B269" i="21"/>
  <c r="C269" i="21"/>
  <c r="E269" i="21"/>
  <c r="F269" i="21"/>
  <c r="G269" i="21"/>
  <c r="B270" i="21"/>
  <c r="C270" i="21"/>
  <c r="E270" i="21"/>
  <c r="F270" i="21"/>
  <c r="G270" i="21"/>
  <c r="B271" i="21"/>
  <c r="C271" i="21"/>
  <c r="E271" i="21"/>
  <c r="F271" i="21"/>
  <c r="G271" i="21"/>
  <c r="B272" i="21"/>
  <c r="C272" i="21"/>
  <c r="E272" i="21"/>
  <c r="F272" i="21"/>
  <c r="G272" i="21"/>
  <c r="B273" i="21"/>
  <c r="C273" i="21"/>
  <c r="E273" i="21"/>
  <c r="F273" i="21"/>
  <c r="G273" i="21"/>
  <c r="B274" i="21"/>
  <c r="C274" i="21"/>
  <c r="E274" i="21"/>
  <c r="F274" i="21"/>
  <c r="G274" i="21"/>
  <c r="B275" i="21"/>
  <c r="C275" i="21"/>
  <c r="E275" i="21"/>
  <c r="F275" i="21"/>
  <c r="G275" i="21"/>
  <c r="B276" i="21"/>
  <c r="C276" i="21"/>
  <c r="E276" i="21"/>
  <c r="F276" i="21"/>
  <c r="G276" i="21"/>
  <c r="B277" i="21"/>
  <c r="C277" i="21"/>
  <c r="E277" i="21"/>
  <c r="F277" i="21"/>
  <c r="G277" i="21"/>
  <c r="B278" i="21"/>
  <c r="C278" i="21"/>
  <c r="E278" i="21"/>
  <c r="F278" i="21"/>
  <c r="G278" i="21"/>
  <c r="B279" i="21"/>
  <c r="C279" i="21"/>
  <c r="E279" i="21"/>
  <c r="F279" i="21"/>
  <c r="G279" i="21"/>
  <c r="B280" i="21"/>
  <c r="C280" i="21"/>
  <c r="E280" i="21"/>
  <c r="F280" i="21"/>
  <c r="G280" i="21"/>
  <c r="B281" i="21"/>
  <c r="C281" i="21"/>
  <c r="E281" i="21"/>
  <c r="F281" i="21"/>
  <c r="G281" i="21"/>
  <c r="B282" i="21"/>
  <c r="C282" i="21"/>
  <c r="E282" i="21"/>
  <c r="F282" i="21"/>
  <c r="G282" i="21"/>
  <c r="B283" i="21"/>
  <c r="C283" i="21"/>
  <c r="E283" i="21"/>
  <c r="F283" i="21"/>
  <c r="G283" i="21"/>
  <c r="B284" i="21"/>
  <c r="C284" i="21"/>
  <c r="E284" i="21"/>
  <c r="F284" i="21"/>
  <c r="G284" i="21"/>
  <c r="B285" i="21"/>
  <c r="C285" i="21"/>
  <c r="E285" i="21"/>
  <c r="F285" i="21"/>
  <c r="G285" i="21"/>
  <c r="B286" i="21"/>
  <c r="C286" i="21"/>
  <c r="E286" i="21"/>
  <c r="F286" i="21"/>
  <c r="G286" i="21"/>
  <c r="B287" i="21"/>
  <c r="C287" i="21"/>
  <c r="E287" i="21"/>
  <c r="F287" i="21"/>
  <c r="G287" i="21"/>
  <c r="B288" i="21"/>
  <c r="C288" i="21"/>
  <c r="E288" i="21"/>
  <c r="F288" i="21"/>
  <c r="G288" i="21"/>
  <c r="B289" i="21"/>
  <c r="C289" i="21"/>
  <c r="E289" i="21"/>
  <c r="F289" i="21"/>
  <c r="G289" i="21"/>
  <c r="B290" i="21"/>
  <c r="C290" i="21"/>
  <c r="E290" i="21"/>
  <c r="F290" i="21"/>
  <c r="G290" i="21"/>
  <c r="B291" i="21"/>
  <c r="C291" i="21"/>
  <c r="E291" i="21"/>
  <c r="F291" i="21"/>
  <c r="G291" i="21"/>
  <c r="B292" i="21"/>
  <c r="C292" i="21"/>
  <c r="E292" i="21"/>
  <c r="F292" i="21"/>
  <c r="G292" i="21"/>
  <c r="B293" i="21"/>
  <c r="C293" i="21"/>
  <c r="E293" i="21"/>
  <c r="F293" i="21"/>
  <c r="G293" i="21"/>
  <c r="B294" i="21"/>
  <c r="C294" i="21"/>
  <c r="E294" i="21"/>
  <c r="F294" i="21"/>
  <c r="G294" i="21"/>
  <c r="B295" i="21"/>
  <c r="C295" i="21"/>
  <c r="E295" i="21"/>
  <c r="F295" i="21"/>
  <c r="G295" i="21"/>
  <c r="B296" i="21"/>
  <c r="C296" i="21"/>
  <c r="E296" i="21"/>
  <c r="F296" i="21"/>
  <c r="G296" i="21"/>
  <c r="B297" i="21"/>
  <c r="C297" i="21"/>
  <c r="E297" i="21"/>
  <c r="F297" i="21"/>
  <c r="G297" i="21"/>
  <c r="B298" i="21"/>
  <c r="C298" i="21"/>
  <c r="E298" i="21"/>
  <c r="F298" i="21"/>
  <c r="G298" i="21"/>
  <c r="B299" i="21"/>
  <c r="C299" i="21"/>
  <c r="E299" i="21"/>
  <c r="F299" i="21"/>
  <c r="G299" i="21"/>
  <c r="B300" i="21"/>
  <c r="C300" i="21"/>
  <c r="E300" i="21"/>
  <c r="F300" i="21"/>
  <c r="G300" i="21"/>
  <c r="B301" i="21"/>
  <c r="C301" i="21"/>
  <c r="E301" i="21"/>
  <c r="F301" i="21"/>
  <c r="G301" i="21"/>
  <c r="B302" i="21"/>
  <c r="C302" i="21"/>
  <c r="E302" i="21"/>
  <c r="F302" i="21"/>
  <c r="G302" i="21"/>
  <c r="B303" i="21"/>
  <c r="C303" i="21"/>
  <c r="E303" i="21"/>
  <c r="F303" i="21"/>
  <c r="G303" i="21"/>
  <c r="B304" i="21"/>
  <c r="C304" i="21"/>
  <c r="E304" i="21"/>
  <c r="F304" i="21"/>
  <c r="G304" i="21"/>
  <c r="B305" i="21"/>
  <c r="C305" i="21"/>
  <c r="E305" i="21"/>
  <c r="F305" i="21"/>
  <c r="G305" i="21"/>
  <c r="B306" i="21"/>
  <c r="C306" i="21"/>
  <c r="E306" i="21"/>
  <c r="F306" i="21"/>
  <c r="G306" i="21"/>
  <c r="B307" i="21"/>
  <c r="C307" i="21"/>
  <c r="E307" i="21"/>
  <c r="F307" i="21"/>
  <c r="G307" i="21"/>
  <c r="B308" i="21"/>
  <c r="C308" i="21"/>
  <c r="E308" i="21"/>
  <c r="F308" i="21"/>
  <c r="G308" i="21"/>
  <c r="B309" i="21"/>
  <c r="C309" i="21"/>
  <c r="E309" i="21"/>
  <c r="F309" i="21"/>
  <c r="G309" i="21"/>
  <c r="B310" i="21"/>
  <c r="C310" i="21"/>
  <c r="E310" i="21"/>
  <c r="F310" i="21"/>
  <c r="G310" i="21"/>
  <c r="B311" i="21"/>
  <c r="C311" i="21"/>
  <c r="E311" i="21"/>
  <c r="F311" i="21"/>
  <c r="G311" i="21"/>
  <c r="B312" i="21"/>
  <c r="C312" i="21"/>
  <c r="E312" i="21"/>
  <c r="F312" i="21"/>
  <c r="G312" i="21"/>
  <c r="B313" i="21"/>
  <c r="C313" i="21"/>
  <c r="E313" i="21"/>
  <c r="F313" i="21"/>
  <c r="G313" i="21"/>
  <c r="B314" i="21"/>
  <c r="C314" i="21"/>
  <c r="E314" i="21"/>
  <c r="F314" i="21"/>
  <c r="G314" i="21"/>
  <c r="B315" i="21"/>
  <c r="C315" i="21"/>
  <c r="E315" i="21"/>
  <c r="F315" i="21"/>
  <c r="G315" i="21"/>
  <c r="B316" i="21"/>
  <c r="C316" i="21"/>
  <c r="E316" i="21"/>
  <c r="F316" i="21"/>
  <c r="G316" i="21"/>
  <c r="B317" i="21"/>
  <c r="C317" i="21"/>
  <c r="E317" i="21"/>
  <c r="F317" i="21"/>
  <c r="G317" i="21"/>
  <c r="B318" i="21"/>
  <c r="C318" i="21"/>
  <c r="E318" i="21"/>
  <c r="F318" i="21"/>
  <c r="G318" i="21"/>
  <c r="B319" i="21"/>
  <c r="C319" i="21"/>
  <c r="E319" i="21"/>
  <c r="F319" i="21"/>
  <c r="G319" i="21"/>
  <c r="B320" i="21"/>
  <c r="C320" i="21"/>
  <c r="E320" i="21"/>
  <c r="F320" i="21"/>
  <c r="G320" i="21"/>
  <c r="B321" i="21"/>
  <c r="C321" i="21"/>
  <c r="E321" i="21"/>
  <c r="F321" i="21"/>
  <c r="G321" i="21"/>
  <c r="B322" i="21"/>
  <c r="C322" i="21"/>
  <c r="E322" i="21"/>
  <c r="F322" i="21"/>
  <c r="G322" i="21"/>
  <c r="B323" i="21"/>
  <c r="C323" i="21"/>
  <c r="E323" i="21"/>
  <c r="F323" i="21"/>
  <c r="G323" i="21"/>
  <c r="B324" i="21"/>
  <c r="C324" i="21"/>
  <c r="E324" i="21"/>
  <c r="F324" i="21"/>
  <c r="G324" i="21"/>
  <c r="B325" i="21"/>
  <c r="C325" i="21"/>
  <c r="E325" i="21"/>
  <c r="F325" i="21"/>
  <c r="G325" i="21"/>
  <c r="B326" i="21"/>
  <c r="C326" i="21"/>
  <c r="E326" i="21"/>
  <c r="F326" i="21"/>
  <c r="G326" i="21"/>
  <c r="B327" i="21"/>
  <c r="C327" i="21"/>
  <c r="E327" i="21"/>
  <c r="F327" i="21"/>
  <c r="G327" i="21"/>
  <c r="B328" i="21"/>
  <c r="C328" i="21"/>
  <c r="E328" i="21"/>
  <c r="F328" i="21"/>
  <c r="G328" i="21"/>
  <c r="B329" i="21"/>
  <c r="C329" i="21"/>
  <c r="E329" i="21"/>
  <c r="F329" i="21"/>
  <c r="G329" i="21"/>
  <c r="B330" i="21"/>
  <c r="C330" i="21"/>
  <c r="E330" i="21"/>
  <c r="F330" i="21"/>
  <c r="G330" i="21"/>
  <c r="B331" i="21"/>
  <c r="C331" i="21"/>
  <c r="E331" i="21"/>
  <c r="F331" i="21"/>
  <c r="G331" i="21"/>
  <c r="B332" i="21"/>
  <c r="C332" i="21"/>
  <c r="E332" i="21"/>
  <c r="F332" i="21"/>
  <c r="G332" i="21"/>
  <c r="B333" i="21"/>
  <c r="C333" i="21"/>
  <c r="E333" i="21"/>
  <c r="F333" i="21"/>
  <c r="G333" i="21"/>
  <c r="B334" i="21"/>
  <c r="C334" i="21"/>
  <c r="E334" i="21"/>
  <c r="F334" i="21"/>
  <c r="G334" i="21"/>
  <c r="B335" i="21"/>
  <c r="C335" i="21"/>
  <c r="E335" i="21"/>
  <c r="F335" i="21"/>
  <c r="G335" i="21"/>
  <c r="B336" i="21"/>
  <c r="C336" i="21"/>
  <c r="E336" i="21"/>
  <c r="F336" i="21"/>
  <c r="G336" i="21"/>
  <c r="B337" i="21"/>
  <c r="C337" i="21"/>
  <c r="E337" i="21"/>
  <c r="F337" i="21"/>
  <c r="G337" i="21"/>
  <c r="B338" i="21"/>
  <c r="C338" i="21"/>
  <c r="E338" i="21"/>
  <c r="F338" i="21"/>
  <c r="G338" i="21"/>
  <c r="B339" i="21"/>
  <c r="C339" i="21"/>
  <c r="E339" i="21"/>
  <c r="F339" i="21"/>
  <c r="G339" i="21"/>
  <c r="B340" i="21"/>
  <c r="C340" i="21"/>
  <c r="E340" i="21"/>
  <c r="F340" i="21"/>
  <c r="G340" i="21"/>
  <c r="B341" i="21"/>
  <c r="C341" i="21"/>
  <c r="E341" i="21"/>
  <c r="F341" i="21"/>
  <c r="G341" i="21"/>
  <c r="B342" i="21"/>
  <c r="C342" i="21"/>
  <c r="E342" i="21"/>
  <c r="F342" i="21"/>
  <c r="G342" i="21"/>
  <c r="B343" i="21"/>
  <c r="C343" i="21"/>
  <c r="E343" i="21"/>
  <c r="F343" i="21"/>
  <c r="G343" i="21"/>
  <c r="B344" i="21"/>
  <c r="C344" i="21"/>
  <c r="E344" i="21"/>
  <c r="F344" i="21"/>
  <c r="G344" i="21"/>
  <c r="B345" i="21"/>
  <c r="C345" i="21"/>
  <c r="E345" i="21"/>
  <c r="F345" i="21"/>
  <c r="G345" i="21"/>
  <c r="B346" i="21"/>
  <c r="C346" i="21"/>
  <c r="E346" i="21"/>
  <c r="F346" i="21"/>
  <c r="G346" i="21"/>
  <c r="B347" i="21"/>
  <c r="C347" i="21"/>
  <c r="E347" i="21"/>
  <c r="F347" i="21"/>
  <c r="G347" i="21"/>
  <c r="B348" i="21"/>
  <c r="C348" i="21"/>
  <c r="E348" i="21"/>
  <c r="F348" i="21"/>
  <c r="G348" i="21"/>
  <c r="B349" i="21"/>
  <c r="C349" i="21"/>
  <c r="E349" i="21"/>
  <c r="F349" i="21"/>
  <c r="G349" i="21"/>
  <c r="B350" i="21"/>
  <c r="C350" i="21"/>
  <c r="E350" i="21"/>
  <c r="F350" i="21"/>
  <c r="G350" i="21"/>
  <c r="B351" i="21"/>
  <c r="C351" i="21"/>
  <c r="E351" i="21"/>
  <c r="F351" i="21"/>
  <c r="G351" i="21"/>
  <c r="B352" i="21"/>
  <c r="C352" i="21"/>
  <c r="E352" i="21"/>
  <c r="F352" i="21"/>
  <c r="G352" i="21"/>
  <c r="B353" i="21"/>
  <c r="C353" i="21"/>
  <c r="E353" i="21"/>
  <c r="F353" i="21"/>
  <c r="G353" i="21"/>
  <c r="B354" i="21"/>
  <c r="C354" i="21"/>
  <c r="E354" i="21"/>
  <c r="F354" i="21"/>
  <c r="G354" i="21"/>
  <c r="B355" i="21"/>
  <c r="C355" i="21"/>
  <c r="E355" i="21"/>
  <c r="F355" i="21"/>
  <c r="G355" i="21"/>
  <c r="B356" i="21"/>
  <c r="C356" i="21"/>
  <c r="E356" i="21"/>
  <c r="F356" i="21"/>
  <c r="G356" i="21"/>
  <c r="B357" i="21"/>
  <c r="C357" i="21"/>
  <c r="E357" i="21"/>
  <c r="F357" i="21"/>
  <c r="G357" i="21"/>
  <c r="B358" i="21"/>
  <c r="C358" i="21"/>
  <c r="E358" i="21"/>
  <c r="F358" i="21"/>
  <c r="G358" i="21"/>
  <c r="B359" i="21"/>
  <c r="C359" i="21"/>
  <c r="E359" i="21"/>
  <c r="F359" i="21"/>
  <c r="G359" i="21"/>
  <c r="B360" i="21"/>
  <c r="C360" i="21"/>
  <c r="E360" i="21"/>
  <c r="F360" i="21"/>
  <c r="G360" i="21"/>
  <c r="B361" i="21"/>
  <c r="C361" i="21"/>
  <c r="E361" i="21"/>
  <c r="F361" i="21"/>
  <c r="G361" i="21"/>
  <c r="B362" i="21"/>
  <c r="C362" i="21"/>
  <c r="E362" i="21"/>
  <c r="F362" i="21"/>
  <c r="G362" i="21"/>
  <c r="B363" i="21"/>
  <c r="C363" i="21"/>
  <c r="E363" i="21"/>
  <c r="F363" i="21"/>
  <c r="G363" i="21"/>
  <c r="B364" i="21"/>
  <c r="C364" i="21"/>
  <c r="E364" i="21"/>
  <c r="F364" i="21"/>
  <c r="G364" i="21"/>
  <c r="B365" i="21"/>
  <c r="C365" i="21"/>
  <c r="E365" i="21"/>
  <c r="F365" i="21"/>
  <c r="G365" i="21"/>
  <c r="B366" i="21"/>
  <c r="C366" i="21"/>
  <c r="E366" i="21"/>
  <c r="F366" i="21"/>
  <c r="G366" i="21"/>
  <c r="B367" i="21"/>
  <c r="C367" i="21"/>
  <c r="E367" i="21"/>
  <c r="F367" i="21"/>
  <c r="G367" i="21"/>
  <c r="B368" i="21"/>
  <c r="C368" i="21"/>
  <c r="E368" i="21"/>
  <c r="F368" i="21"/>
  <c r="G368" i="21"/>
  <c r="B369" i="21"/>
  <c r="C369" i="21"/>
  <c r="E369" i="21"/>
  <c r="F369" i="21"/>
  <c r="G369" i="21"/>
  <c r="B370" i="21"/>
  <c r="C370" i="21"/>
  <c r="E370" i="21"/>
  <c r="F370" i="21"/>
  <c r="G370" i="21"/>
  <c r="B371" i="21"/>
  <c r="C371" i="21"/>
  <c r="E371" i="21"/>
  <c r="F371" i="21"/>
  <c r="G371" i="21"/>
  <c r="B372" i="21"/>
  <c r="C372" i="21"/>
  <c r="E372" i="21"/>
  <c r="F372" i="21"/>
  <c r="G372" i="21"/>
  <c r="B373" i="21"/>
  <c r="C373" i="21"/>
  <c r="E373" i="21"/>
  <c r="F373" i="21"/>
  <c r="G373" i="21"/>
  <c r="B374" i="21"/>
  <c r="C374" i="21"/>
  <c r="E374" i="21"/>
  <c r="F374" i="21"/>
  <c r="G374" i="21"/>
  <c r="B375" i="21"/>
  <c r="C375" i="21"/>
  <c r="E375" i="21"/>
  <c r="F375" i="21"/>
  <c r="G375" i="21"/>
  <c r="B376" i="21"/>
  <c r="C376" i="21"/>
  <c r="E376" i="21"/>
  <c r="F376" i="21"/>
  <c r="G376" i="21"/>
  <c r="B377" i="21"/>
  <c r="C377" i="21"/>
  <c r="E377" i="21"/>
  <c r="F377" i="21"/>
  <c r="G377" i="21"/>
  <c r="B378" i="21"/>
  <c r="C378" i="21"/>
  <c r="E378" i="21"/>
  <c r="F378" i="21"/>
  <c r="G378" i="21"/>
  <c r="B379" i="21"/>
  <c r="C379" i="21"/>
  <c r="E379" i="21"/>
  <c r="F379" i="21"/>
  <c r="G379" i="21"/>
  <c r="B380" i="21"/>
  <c r="C380" i="21"/>
  <c r="E380" i="21"/>
  <c r="F380" i="21"/>
  <c r="G380" i="21"/>
  <c r="B381" i="21"/>
  <c r="C381" i="21"/>
  <c r="E381" i="21"/>
  <c r="F381" i="21"/>
  <c r="G381" i="21"/>
  <c r="B382" i="21"/>
  <c r="C382" i="21"/>
  <c r="E382" i="21"/>
  <c r="F382" i="21"/>
  <c r="G382" i="21"/>
  <c r="B383" i="21"/>
  <c r="C383" i="21"/>
  <c r="E383" i="21"/>
  <c r="F383" i="21"/>
  <c r="G383" i="21"/>
  <c r="B384" i="21"/>
  <c r="C384" i="21"/>
  <c r="E384" i="21"/>
  <c r="F384" i="21"/>
  <c r="G384" i="21"/>
  <c r="B385" i="21"/>
  <c r="C385" i="21"/>
  <c r="E385" i="21"/>
  <c r="F385" i="21"/>
  <c r="G385" i="21"/>
  <c r="B386" i="21"/>
  <c r="C386" i="21"/>
  <c r="E386" i="21"/>
  <c r="F386" i="21"/>
  <c r="G386" i="21"/>
  <c r="B387" i="21"/>
  <c r="C387" i="21"/>
  <c r="E387" i="21"/>
  <c r="F387" i="21"/>
  <c r="G387" i="21"/>
  <c r="B388" i="21"/>
  <c r="C388" i="21"/>
  <c r="E388" i="21"/>
  <c r="F388" i="21"/>
  <c r="G388" i="21"/>
  <c r="B389" i="21"/>
  <c r="C389" i="21"/>
  <c r="E389" i="21"/>
  <c r="F389" i="21"/>
  <c r="G389" i="21"/>
  <c r="B390" i="21"/>
  <c r="C390" i="21"/>
  <c r="E390" i="21"/>
  <c r="F390" i="21"/>
  <c r="G390" i="21"/>
  <c r="B391" i="21"/>
  <c r="C391" i="21"/>
  <c r="E391" i="21"/>
  <c r="F391" i="21"/>
  <c r="G391" i="21"/>
  <c r="B392" i="21"/>
  <c r="C392" i="21"/>
  <c r="E392" i="21"/>
  <c r="F392" i="21"/>
  <c r="G392" i="21"/>
  <c r="B393" i="21"/>
  <c r="C393" i="21"/>
  <c r="E393" i="21"/>
  <c r="F393" i="21"/>
  <c r="G393" i="21"/>
  <c r="B394" i="21"/>
  <c r="C394" i="21"/>
  <c r="E394" i="21"/>
  <c r="F394" i="21"/>
  <c r="G394" i="21"/>
  <c r="B395" i="21"/>
  <c r="C395" i="21"/>
  <c r="E395" i="21"/>
  <c r="F395" i="21"/>
  <c r="G395" i="21"/>
  <c r="B396" i="21"/>
  <c r="C396" i="21"/>
  <c r="E396" i="21"/>
  <c r="F396" i="21"/>
  <c r="G396" i="21"/>
  <c r="B397" i="21"/>
  <c r="C397" i="21"/>
  <c r="E397" i="21"/>
  <c r="F397" i="21"/>
  <c r="G397" i="21"/>
  <c r="B398" i="21"/>
  <c r="C398" i="21"/>
  <c r="E398" i="21"/>
  <c r="F398" i="21"/>
  <c r="G398" i="21"/>
  <c r="B399" i="21"/>
  <c r="C399" i="21"/>
  <c r="E399" i="21"/>
  <c r="F399" i="21"/>
  <c r="G399" i="21"/>
  <c r="B400" i="21"/>
  <c r="C400" i="21"/>
  <c r="E400" i="21"/>
  <c r="F400" i="21"/>
  <c r="G400" i="21"/>
  <c r="B401" i="21"/>
  <c r="C401" i="21"/>
  <c r="E401" i="21"/>
  <c r="F401" i="21"/>
  <c r="G401" i="21"/>
  <c r="B402" i="21"/>
  <c r="C402" i="21"/>
  <c r="E402" i="21"/>
  <c r="F402" i="21"/>
  <c r="G402" i="21"/>
  <c r="B403" i="21"/>
  <c r="C403" i="21"/>
  <c r="E403" i="21"/>
  <c r="F403" i="21"/>
  <c r="G403" i="21"/>
  <c r="B404" i="21"/>
  <c r="C404" i="21"/>
  <c r="E404" i="21"/>
  <c r="F404" i="21"/>
  <c r="G404" i="21"/>
  <c r="B405" i="21"/>
  <c r="C405" i="21"/>
  <c r="E405" i="21"/>
  <c r="F405" i="21"/>
  <c r="G405" i="21"/>
  <c r="B406" i="21"/>
  <c r="C406" i="21"/>
  <c r="E406" i="21"/>
  <c r="F406" i="21"/>
  <c r="G406" i="21"/>
  <c r="B407" i="21"/>
  <c r="C407" i="21"/>
  <c r="E407" i="21"/>
  <c r="F407" i="21"/>
  <c r="G407" i="21"/>
  <c r="B408" i="21"/>
  <c r="C408" i="21"/>
  <c r="E408" i="21"/>
  <c r="F408" i="21"/>
  <c r="G408" i="21"/>
  <c r="B409" i="21"/>
  <c r="C409" i="21"/>
  <c r="E409" i="21"/>
  <c r="F409" i="21"/>
  <c r="G409" i="21"/>
  <c r="B410" i="21"/>
  <c r="C410" i="21"/>
  <c r="E410" i="21"/>
  <c r="F410" i="21"/>
  <c r="G410" i="21"/>
  <c r="B411" i="21"/>
  <c r="C411" i="21"/>
  <c r="E411" i="21"/>
  <c r="F411" i="21"/>
  <c r="G411" i="21"/>
  <c r="B412" i="21"/>
  <c r="C412" i="21"/>
  <c r="E412" i="21"/>
  <c r="F412" i="21"/>
  <c r="G412" i="21"/>
  <c r="B413" i="21"/>
  <c r="C413" i="21"/>
  <c r="E413" i="21"/>
  <c r="F413" i="21"/>
  <c r="G413" i="21"/>
  <c r="B414" i="21"/>
  <c r="C414" i="21"/>
  <c r="E414" i="21"/>
  <c r="F414" i="21"/>
  <c r="G414" i="21"/>
  <c r="B415" i="21"/>
  <c r="C415" i="21"/>
  <c r="E415" i="21"/>
  <c r="F415" i="21"/>
  <c r="G415" i="21"/>
  <c r="B416" i="21"/>
  <c r="C416" i="21"/>
  <c r="E416" i="21"/>
  <c r="F416" i="21"/>
  <c r="G416" i="21"/>
  <c r="B417" i="21"/>
  <c r="C417" i="21"/>
  <c r="E417" i="21"/>
  <c r="F417" i="21"/>
  <c r="G417" i="21"/>
  <c r="B418" i="21"/>
  <c r="C418" i="21"/>
  <c r="E418" i="21"/>
  <c r="F418" i="21"/>
  <c r="G418" i="21"/>
  <c r="B419" i="21"/>
  <c r="C419" i="21"/>
  <c r="E419" i="21"/>
  <c r="F419" i="21"/>
  <c r="G419" i="21"/>
  <c r="B420" i="21"/>
  <c r="C420" i="21"/>
  <c r="E420" i="21"/>
  <c r="F420" i="21"/>
  <c r="G420" i="21"/>
  <c r="B421" i="21"/>
  <c r="C421" i="21"/>
  <c r="E421" i="21"/>
  <c r="F421" i="21"/>
  <c r="G421" i="21"/>
  <c r="B422" i="21"/>
  <c r="C422" i="21"/>
  <c r="E422" i="21"/>
  <c r="F422" i="21"/>
  <c r="G422" i="21"/>
  <c r="B423" i="21"/>
  <c r="C423" i="21"/>
  <c r="E423" i="21"/>
  <c r="F423" i="21"/>
  <c r="G423" i="21"/>
  <c r="B424" i="21"/>
  <c r="C424" i="21"/>
  <c r="E424" i="21"/>
  <c r="F424" i="21"/>
  <c r="G424" i="21"/>
  <c r="B425" i="21"/>
  <c r="C425" i="21"/>
  <c r="E425" i="21"/>
  <c r="F425" i="21"/>
  <c r="G425" i="21"/>
  <c r="B426" i="21"/>
  <c r="C426" i="21"/>
  <c r="E426" i="21"/>
  <c r="F426" i="21"/>
  <c r="G426" i="21"/>
  <c r="B427" i="21"/>
  <c r="C427" i="21"/>
  <c r="E427" i="21"/>
  <c r="F427" i="21"/>
  <c r="G427" i="21"/>
  <c r="B428" i="21"/>
  <c r="C428" i="21"/>
  <c r="E428" i="21"/>
  <c r="F428" i="21"/>
  <c r="G428" i="21"/>
  <c r="B429" i="21"/>
  <c r="C429" i="21"/>
  <c r="E429" i="21"/>
  <c r="F429" i="21"/>
  <c r="G429" i="21"/>
  <c r="B430" i="21"/>
  <c r="C430" i="21"/>
  <c r="E430" i="21"/>
  <c r="F430" i="21"/>
  <c r="G430" i="21"/>
  <c r="B431" i="21"/>
  <c r="C431" i="21"/>
  <c r="E431" i="21"/>
  <c r="F431" i="21"/>
  <c r="G431" i="21"/>
  <c r="B432" i="21"/>
  <c r="C432" i="21"/>
  <c r="E432" i="21"/>
  <c r="F432" i="21"/>
  <c r="G432" i="21"/>
  <c r="B433" i="21"/>
  <c r="C433" i="21"/>
  <c r="E433" i="21"/>
  <c r="F433" i="21"/>
  <c r="G433" i="21"/>
  <c r="B434" i="21"/>
  <c r="C434" i="21"/>
  <c r="E434" i="21"/>
  <c r="F434" i="21"/>
  <c r="G434" i="21"/>
  <c r="B435" i="21"/>
  <c r="C435" i="21"/>
  <c r="E435" i="21"/>
  <c r="F435" i="21"/>
  <c r="G435" i="21"/>
  <c r="B436" i="21"/>
  <c r="C436" i="21"/>
  <c r="E436" i="21"/>
  <c r="F436" i="21"/>
  <c r="G436" i="21"/>
  <c r="B437" i="21"/>
  <c r="C437" i="21"/>
  <c r="E437" i="21"/>
  <c r="F437" i="21"/>
  <c r="G437" i="21"/>
  <c r="B438" i="21"/>
  <c r="C438" i="21"/>
  <c r="E438" i="21"/>
  <c r="F438" i="21"/>
  <c r="G438" i="21"/>
  <c r="B439" i="21"/>
  <c r="C439" i="21"/>
  <c r="E439" i="21"/>
  <c r="F439" i="21"/>
  <c r="G439" i="21"/>
  <c r="B440" i="21"/>
  <c r="C440" i="21"/>
  <c r="E440" i="21"/>
  <c r="F440" i="21"/>
  <c r="G440" i="21"/>
  <c r="B441" i="21"/>
  <c r="C441" i="21"/>
  <c r="E441" i="21"/>
  <c r="F441" i="21"/>
  <c r="G441" i="21"/>
  <c r="B442" i="21"/>
  <c r="C442" i="21"/>
  <c r="E442" i="21"/>
  <c r="F442" i="21"/>
  <c r="G442" i="21"/>
  <c r="B443" i="21"/>
  <c r="C443" i="21"/>
  <c r="E443" i="21"/>
  <c r="F443" i="21"/>
  <c r="G443" i="21"/>
  <c r="B444" i="21"/>
  <c r="C444" i="21"/>
  <c r="E444" i="21"/>
  <c r="F444" i="21"/>
  <c r="G444" i="21"/>
  <c r="B445" i="21"/>
  <c r="C445" i="21"/>
  <c r="E445" i="21"/>
  <c r="F445" i="21"/>
  <c r="G445" i="21"/>
  <c r="B446" i="21"/>
  <c r="C446" i="21"/>
  <c r="E446" i="21"/>
  <c r="F446" i="21"/>
  <c r="G446" i="21"/>
  <c r="B447" i="21"/>
  <c r="C447" i="21"/>
  <c r="E447" i="21"/>
  <c r="F447" i="21"/>
  <c r="G447" i="21"/>
  <c r="B448" i="21"/>
  <c r="C448" i="21"/>
  <c r="E448" i="21"/>
  <c r="F448" i="21"/>
  <c r="G448" i="21"/>
  <c r="B449" i="21"/>
  <c r="C449" i="21"/>
  <c r="E449" i="21"/>
  <c r="F449" i="21"/>
  <c r="G449" i="21"/>
  <c r="B450" i="21"/>
  <c r="C450" i="21"/>
  <c r="E450" i="21"/>
  <c r="F450" i="21"/>
  <c r="G450" i="21"/>
  <c r="B451" i="21"/>
  <c r="C451" i="21"/>
  <c r="E451" i="21"/>
  <c r="F451" i="21"/>
  <c r="G451" i="21"/>
  <c r="B452" i="21"/>
  <c r="C452" i="21"/>
  <c r="E452" i="21"/>
  <c r="F452" i="21"/>
  <c r="G452" i="21"/>
  <c r="B453" i="21"/>
  <c r="C453" i="21"/>
  <c r="E453" i="21"/>
  <c r="F453" i="21"/>
  <c r="G453" i="21"/>
  <c r="B454" i="21"/>
  <c r="C454" i="21"/>
  <c r="E454" i="21"/>
  <c r="F454" i="21"/>
  <c r="G454" i="21"/>
  <c r="B455" i="21"/>
  <c r="C455" i="21"/>
  <c r="E455" i="21"/>
  <c r="F455" i="21"/>
  <c r="G455" i="21"/>
  <c r="B456" i="21"/>
  <c r="C456" i="21"/>
  <c r="E456" i="21"/>
  <c r="F456" i="21"/>
  <c r="G456" i="21"/>
  <c r="B457" i="21"/>
  <c r="C457" i="21"/>
  <c r="E457" i="21"/>
  <c r="F457" i="21"/>
  <c r="G457" i="21"/>
  <c r="B458" i="21"/>
  <c r="C458" i="21"/>
  <c r="E458" i="21"/>
  <c r="F458" i="21"/>
  <c r="G458" i="21"/>
  <c r="B459" i="21"/>
  <c r="C459" i="21"/>
  <c r="E459" i="21"/>
  <c r="F459" i="21"/>
  <c r="G459" i="21"/>
  <c r="B460" i="21"/>
  <c r="C460" i="21"/>
  <c r="E460" i="21"/>
  <c r="F460" i="21"/>
  <c r="G460" i="21"/>
  <c r="B461" i="21"/>
  <c r="C461" i="21"/>
  <c r="E461" i="21"/>
  <c r="F461" i="21"/>
  <c r="G461" i="21"/>
  <c r="B462" i="21"/>
  <c r="C462" i="21"/>
  <c r="E462" i="21"/>
  <c r="F462" i="21"/>
  <c r="G462" i="21"/>
  <c r="B463" i="21"/>
  <c r="C463" i="21"/>
  <c r="E463" i="21"/>
  <c r="F463" i="21"/>
  <c r="G463" i="21"/>
  <c r="B464" i="21"/>
  <c r="C464" i="21"/>
  <c r="E464" i="21"/>
  <c r="F464" i="21"/>
  <c r="G464" i="21"/>
  <c r="B465" i="21"/>
  <c r="C465" i="21"/>
  <c r="E465" i="21"/>
  <c r="F465" i="21"/>
  <c r="G465" i="21"/>
  <c r="B466" i="21"/>
  <c r="C466" i="21"/>
  <c r="E466" i="21"/>
  <c r="F466" i="21"/>
  <c r="G466" i="21"/>
  <c r="B467" i="21"/>
  <c r="C467" i="21"/>
  <c r="E467" i="21"/>
  <c r="F467" i="21"/>
  <c r="G467" i="21"/>
  <c r="B468" i="21"/>
  <c r="C468" i="21"/>
  <c r="E468" i="21"/>
  <c r="F468" i="21"/>
  <c r="G468" i="21"/>
  <c r="B469" i="21"/>
  <c r="C469" i="21"/>
  <c r="E469" i="21"/>
  <c r="F469" i="21"/>
  <c r="G469" i="21"/>
  <c r="B470" i="21"/>
  <c r="C470" i="21"/>
  <c r="E470" i="21"/>
  <c r="F470" i="21"/>
  <c r="G470" i="21"/>
  <c r="B471" i="21"/>
  <c r="C471" i="21"/>
  <c r="E471" i="21"/>
  <c r="F471" i="21"/>
  <c r="G471" i="21"/>
  <c r="B472" i="21"/>
  <c r="C472" i="21"/>
  <c r="E472" i="21"/>
  <c r="F472" i="21"/>
  <c r="G472" i="21"/>
  <c r="B473" i="21"/>
  <c r="C473" i="21"/>
  <c r="E473" i="21"/>
  <c r="F473" i="21"/>
  <c r="G473" i="21"/>
  <c r="B474" i="21"/>
  <c r="C474" i="21"/>
  <c r="E474" i="21"/>
  <c r="F474" i="21"/>
  <c r="G474" i="21"/>
  <c r="B475" i="21"/>
  <c r="C475" i="21"/>
  <c r="E475" i="21"/>
  <c r="F475" i="21"/>
  <c r="G475" i="21"/>
  <c r="B476" i="21"/>
  <c r="C476" i="21"/>
  <c r="E476" i="21"/>
  <c r="F476" i="21"/>
  <c r="G476" i="21"/>
  <c r="B477" i="21"/>
  <c r="C477" i="21"/>
  <c r="E477" i="21"/>
  <c r="F477" i="21"/>
  <c r="G477" i="21"/>
  <c r="B478" i="21"/>
  <c r="C478" i="21"/>
  <c r="E478" i="21"/>
  <c r="F478" i="21"/>
  <c r="G478" i="21"/>
  <c r="B479" i="21"/>
  <c r="C479" i="21"/>
  <c r="E479" i="21"/>
  <c r="F479" i="21"/>
  <c r="G479" i="21"/>
  <c r="B480" i="21"/>
  <c r="C480" i="21"/>
  <c r="E480" i="21"/>
  <c r="F480" i="21"/>
  <c r="G480" i="21"/>
  <c r="B481" i="21"/>
  <c r="C481" i="21"/>
  <c r="E481" i="21"/>
  <c r="F481" i="21"/>
  <c r="G481" i="21"/>
  <c r="B482" i="21"/>
  <c r="C482" i="21"/>
  <c r="E482" i="21"/>
  <c r="F482" i="21"/>
  <c r="G482" i="21"/>
  <c r="B483" i="21"/>
  <c r="C483" i="21"/>
  <c r="E483" i="21"/>
  <c r="F483" i="21"/>
  <c r="G483" i="21"/>
  <c r="B484" i="21"/>
  <c r="C484" i="21"/>
  <c r="E484" i="21"/>
  <c r="F484" i="21"/>
  <c r="G484" i="21"/>
  <c r="B485" i="21"/>
  <c r="C485" i="21"/>
  <c r="E485" i="21"/>
  <c r="F485" i="21"/>
  <c r="G485" i="21"/>
  <c r="B486" i="21"/>
  <c r="C486" i="21"/>
  <c r="E486" i="21"/>
  <c r="F486" i="21"/>
  <c r="G486" i="21"/>
  <c r="B487" i="21"/>
  <c r="C487" i="21"/>
  <c r="E487" i="21"/>
  <c r="F487" i="21"/>
  <c r="G487" i="21"/>
  <c r="B488" i="21"/>
  <c r="C488" i="21"/>
  <c r="E488" i="21"/>
  <c r="F488" i="21"/>
  <c r="G488" i="21"/>
  <c r="B489" i="21"/>
  <c r="C489" i="21"/>
  <c r="E489" i="21"/>
  <c r="F489" i="21"/>
  <c r="G489" i="21"/>
  <c r="B490" i="21"/>
  <c r="C490" i="21"/>
  <c r="E490" i="21"/>
  <c r="F490" i="21"/>
  <c r="G490" i="21"/>
  <c r="B491" i="21"/>
  <c r="C491" i="21"/>
  <c r="E491" i="21"/>
  <c r="F491" i="21"/>
  <c r="G491" i="21"/>
  <c r="B492" i="21"/>
  <c r="C492" i="21"/>
  <c r="E492" i="21"/>
  <c r="F492" i="21"/>
  <c r="G492" i="21"/>
  <c r="B493" i="21"/>
  <c r="C493" i="21"/>
  <c r="E493" i="21"/>
  <c r="F493" i="21"/>
  <c r="G493" i="21"/>
  <c r="B494" i="21"/>
  <c r="C494" i="21"/>
  <c r="E494" i="21"/>
  <c r="F494" i="21"/>
  <c r="G494" i="21"/>
  <c r="B495" i="21"/>
  <c r="C495" i="21"/>
  <c r="E495" i="21"/>
  <c r="F495" i="21"/>
  <c r="G495" i="21"/>
  <c r="B496" i="21"/>
  <c r="C496" i="21"/>
  <c r="E496" i="21"/>
  <c r="F496" i="21"/>
  <c r="G496" i="21"/>
  <c r="B497" i="21"/>
  <c r="C497" i="21"/>
  <c r="E497" i="21"/>
  <c r="F497" i="21"/>
  <c r="G497" i="21"/>
  <c r="B498" i="21"/>
  <c r="C498" i="21"/>
  <c r="E498" i="21"/>
  <c r="F498" i="21"/>
  <c r="G498" i="21"/>
  <c r="B499" i="21"/>
  <c r="C499" i="21"/>
  <c r="E499" i="21"/>
  <c r="F499" i="21"/>
  <c r="G499" i="21"/>
  <c r="B500" i="21"/>
  <c r="C500" i="21"/>
  <c r="E500" i="21"/>
  <c r="F500" i="21"/>
  <c r="G500" i="21"/>
  <c r="B501" i="21"/>
  <c r="C501" i="21"/>
  <c r="E501" i="21"/>
  <c r="F501" i="21"/>
  <c r="G501" i="21"/>
  <c r="B8" i="21"/>
  <c r="C10" i="18"/>
  <c r="B2" i="21"/>
  <c r="B4" i="21"/>
  <c r="B5" i="21"/>
  <c r="B6" i="21"/>
  <c r="B7" i="21"/>
  <c r="B9" i="21"/>
  <c r="B10" i="21"/>
  <c r="B11" i="21"/>
  <c r="B12" i="21"/>
  <c r="B13" i="21"/>
  <c r="B14" i="21"/>
  <c r="B15" i="21"/>
  <c r="B16" i="21"/>
  <c r="B17" i="21"/>
  <c r="B18" i="21"/>
  <c r="C2" i="21"/>
  <c r="C3" i="21"/>
  <c r="C4" i="21"/>
  <c r="C6" i="21"/>
  <c r="C7" i="21"/>
  <c r="C8" i="21"/>
  <c r="C9" i="21"/>
  <c r="C10" i="21"/>
  <c r="C11" i="21"/>
  <c r="C12" i="21"/>
  <c r="C13" i="21"/>
  <c r="C14" i="21"/>
  <c r="C15" i="21"/>
  <c r="C16" i="21"/>
  <c r="C17" i="21"/>
  <c r="C18" i="21"/>
  <c r="C19" i="21"/>
  <c r="B19" i="21"/>
  <c r="F25" i="21"/>
  <c r="G25" i="21"/>
  <c r="E25" i="21"/>
  <c r="E28" i="21"/>
  <c r="F28" i="21"/>
  <c r="G28" i="21"/>
  <c r="E24" i="21"/>
  <c r="F24" i="21"/>
  <c r="G24" i="21"/>
  <c r="E27" i="21"/>
  <c r="F27" i="21"/>
  <c r="G27" i="21"/>
  <c r="E23" i="21"/>
  <c r="F23" i="21"/>
  <c r="G23" i="21"/>
  <c r="G26" i="21"/>
  <c r="E26" i="21"/>
  <c r="F26" i="21"/>
  <c r="F22" i="21"/>
  <c r="G22" i="21"/>
  <c r="E22" i="21"/>
  <c r="E21" i="21"/>
  <c r="F21" i="21"/>
  <c r="G21" i="21"/>
  <c r="G20" i="21"/>
  <c r="E20" i="21"/>
  <c r="F20" i="21"/>
  <c r="G18" i="18"/>
  <c r="E17" i="21"/>
  <c r="F17" i="21"/>
  <c r="G17" i="21"/>
  <c r="F8" i="21"/>
  <c r="G8" i="21"/>
  <c r="E8" i="21"/>
  <c r="F18" i="21"/>
  <c r="G18" i="21"/>
  <c r="E18" i="21"/>
  <c r="E14" i="21"/>
  <c r="F14" i="21"/>
  <c r="G14" i="21"/>
  <c r="G7" i="21"/>
  <c r="E7" i="21"/>
  <c r="F7" i="21"/>
  <c r="E6" i="21"/>
  <c r="F6" i="21"/>
  <c r="G6" i="21"/>
  <c r="E3" i="21"/>
  <c r="F3" i="21"/>
  <c r="G3" i="21"/>
  <c r="G15" i="21"/>
  <c r="E15" i="21"/>
  <c r="F15" i="21"/>
  <c r="F10" i="21"/>
  <c r="G10" i="21"/>
  <c r="E10" i="21"/>
  <c r="E9" i="21"/>
  <c r="F9" i="21"/>
  <c r="G9" i="21"/>
  <c r="E11" i="21"/>
  <c r="F11" i="21"/>
  <c r="G11" i="21"/>
  <c r="E19" i="21"/>
  <c r="F19" i="21"/>
  <c r="G19" i="21"/>
  <c r="F13" i="21"/>
  <c r="G13" i="21"/>
  <c r="E13" i="21"/>
  <c r="F16" i="21"/>
  <c r="G16" i="21"/>
  <c r="E16" i="21"/>
  <c r="E12" i="21"/>
  <c r="F12" i="21"/>
  <c r="G12" i="21"/>
  <c r="F5" i="21"/>
  <c r="G5" i="21"/>
  <c r="E5" i="21"/>
  <c r="E4" i="21"/>
  <c r="F4" i="21"/>
  <c r="G4" i="21"/>
  <c r="F8" i="18"/>
  <c r="F18" i="18"/>
  <c r="G2" i="21"/>
  <c r="E2" i="21"/>
  <c r="E18" i="18"/>
  <c r="F2" i="21"/>
  <c r="D18" i="18"/>
  <c r="D34" i="18"/>
  <c r="E34" i="18"/>
  <c r="F34" i="18"/>
  <c r="G34" i="18"/>
  <c r="J34" i="18"/>
  <c r="K34" i="18"/>
  <c r="D35" i="18"/>
  <c r="E35" i="18"/>
  <c r="F35" i="18"/>
  <c r="G35" i="18"/>
  <c r="J35" i="18"/>
  <c r="K35" i="18"/>
  <c r="E33" i="18"/>
  <c r="F33" i="18"/>
  <c r="G33" i="18"/>
  <c r="J33" i="18"/>
  <c r="K33" i="18"/>
  <c r="D33" i="18"/>
  <c r="D29" i="18"/>
  <c r="E29" i="18"/>
  <c r="F29" i="18"/>
  <c r="G29" i="18"/>
  <c r="J29" i="18"/>
  <c r="K29" i="18"/>
  <c r="D30" i="18"/>
  <c r="E30" i="18"/>
  <c r="F30" i="18"/>
  <c r="G30" i="18"/>
  <c r="J30" i="18"/>
  <c r="K30" i="18"/>
  <c r="D32" i="18"/>
  <c r="E32" i="18"/>
  <c r="F32" i="18"/>
  <c r="G32" i="18"/>
  <c r="J32" i="18"/>
  <c r="K32" i="18"/>
  <c r="E28" i="18"/>
  <c r="F28" i="18"/>
  <c r="G28" i="18"/>
  <c r="J28" i="18"/>
  <c r="K28" i="18"/>
  <c r="F10" i="18"/>
  <c r="F4" i="18"/>
  <c r="I8" i="18"/>
  <c r="L34" i="18" l="1"/>
  <c r="I10" i="18"/>
  <c r="L29" i="18"/>
  <c r="J36" i="18"/>
  <c r="L32" i="18"/>
  <c r="L35" i="18"/>
  <c r="K36" i="18"/>
  <c r="G36" i="18"/>
  <c r="F36" i="18"/>
  <c r="I36" i="18"/>
  <c r="E36" i="18"/>
  <c r="L30" i="18"/>
  <c r="L33" i="18"/>
  <c r="L28" i="18"/>
  <c r="H36" i="18"/>
  <c r="D36" i="18"/>
  <c r="L36" i="18" l="1"/>
  <c r="F6" i="18" s="1"/>
  <c r="D376" i="21"/>
  <c r="D28" i="21"/>
  <c r="D404" i="21"/>
  <c r="D318" i="21"/>
  <c r="D297" i="21"/>
  <c r="D195" i="21"/>
  <c r="D130" i="21"/>
  <c r="D79" i="21"/>
  <c r="D322" i="21"/>
  <c r="D200" i="21"/>
  <c r="D204" i="21"/>
  <c r="D334" i="21"/>
  <c r="D421" i="21"/>
  <c r="D350" i="21"/>
  <c r="D253" i="21"/>
  <c r="D175" i="21"/>
  <c r="D280" i="21"/>
  <c r="D460" i="21"/>
  <c r="D250" i="21"/>
  <c r="D402" i="21"/>
  <c r="D453" i="21"/>
  <c r="D386" i="21"/>
  <c r="D249" i="21"/>
  <c r="D31" i="21"/>
  <c r="D39" i="21"/>
  <c r="D418" i="21"/>
  <c r="D104" i="21"/>
  <c r="D17" i="21"/>
  <c r="D19" i="21"/>
  <c r="D62" i="21"/>
  <c r="D315" i="21"/>
  <c r="D144" i="21"/>
  <c r="D213" i="21"/>
  <c r="D194" i="21"/>
  <c r="D287" i="21"/>
  <c r="D235" i="21"/>
  <c r="D283" i="21"/>
  <c r="D353" i="21"/>
  <c r="D2" i="21"/>
  <c r="D470" i="21"/>
  <c r="D375" i="21"/>
  <c r="D414" i="21"/>
  <c r="D447" i="21"/>
  <c r="D343" i="21"/>
  <c r="D224" i="21"/>
  <c r="D356" i="21"/>
  <c r="D219" i="21"/>
  <c r="D501" i="21"/>
  <c r="D7" i="21"/>
  <c r="D225" i="21"/>
  <c r="D477" i="21"/>
  <c r="D96" i="21"/>
  <c r="D276" i="21"/>
  <c r="D45" i="21"/>
  <c r="D182" i="21"/>
  <c r="D187" i="21"/>
  <c r="D387" i="21"/>
  <c r="D337" i="21"/>
  <c r="D166" i="21"/>
  <c r="D199" i="21"/>
  <c r="D286" i="21"/>
  <c r="D474" i="21"/>
  <c r="D481" i="21"/>
  <c r="D12" i="21"/>
  <c r="D415" i="21"/>
  <c r="D56" i="21"/>
  <c r="D277" i="21"/>
  <c r="D442" i="21"/>
  <c r="D159" i="21"/>
  <c r="D53" i="21"/>
  <c r="D333" i="21"/>
  <c r="D448" i="21"/>
  <c r="D495" i="21"/>
  <c r="D54" i="21"/>
  <c r="D455" i="21"/>
  <c r="D197" i="21"/>
  <c r="D302" i="21"/>
  <c r="D320" i="21"/>
  <c r="D331" i="21"/>
  <c r="D119" i="21"/>
  <c r="D47" i="21"/>
  <c r="D180" i="21"/>
  <c r="D360" i="21"/>
  <c r="D347" i="21"/>
  <c r="D158" i="21"/>
  <c r="D14" i="21"/>
  <c r="D230" i="21"/>
  <c r="D469" i="21"/>
  <c r="D16" i="21"/>
  <c r="D177" i="21"/>
  <c r="D90" i="21"/>
  <c r="D292" i="21"/>
  <c r="D464" i="21"/>
  <c r="D215" i="21"/>
  <c r="D263" i="21"/>
  <c r="D452" i="21"/>
  <c r="D370" i="21"/>
  <c r="D270" i="21"/>
  <c r="D348" i="21"/>
  <c r="D328" i="21"/>
  <c r="D127" i="21"/>
  <c r="D165" i="21"/>
  <c r="D378" i="21"/>
  <c r="D120" i="21"/>
  <c r="D467" i="21"/>
  <c r="D433" i="21"/>
  <c r="D416" i="21"/>
  <c r="D344" i="21"/>
  <c r="D476" i="21"/>
  <c r="D430" i="21"/>
  <c r="D335" i="21"/>
  <c r="D261" i="21"/>
  <c r="D88" i="21"/>
  <c r="D308" i="21"/>
  <c r="D305" i="21"/>
  <c r="D349" i="21"/>
  <c r="D149" i="21"/>
  <c r="D493" i="21"/>
  <c r="D218" i="21"/>
  <c r="D71" i="21"/>
  <c r="D174" i="21"/>
  <c r="D273" i="21"/>
  <c r="D205" i="21"/>
  <c r="D480" i="21"/>
  <c r="D257" i="21"/>
  <c r="D359" i="21"/>
  <c r="D258" i="21"/>
  <c r="D136" i="21"/>
  <c r="D69" i="21"/>
  <c r="D234" i="21"/>
  <c r="D471" i="21"/>
  <c r="D441" i="21"/>
  <c r="D214" i="21"/>
  <c r="D355" i="21"/>
  <c r="D357" i="21"/>
  <c r="D18" i="21"/>
  <c r="D150" i="21"/>
  <c r="D290" i="21"/>
  <c r="D252" i="21"/>
  <c r="D454" i="21"/>
  <c r="D462" i="21"/>
  <c r="D483" i="21"/>
  <c r="D298" i="21"/>
  <c r="D491" i="21"/>
  <c r="D228" i="21"/>
  <c r="D492" i="21"/>
  <c r="D324" i="21"/>
  <c r="D274" i="21"/>
  <c r="D154" i="21"/>
  <c r="D262" i="21"/>
  <c r="D109" i="21"/>
  <c r="D129" i="21"/>
  <c r="D413" i="21"/>
  <c r="D65" i="21"/>
  <c r="D446" i="21"/>
  <c r="D365" i="21"/>
  <c r="D393" i="21"/>
  <c r="D236" i="21"/>
  <c r="D76" i="21"/>
  <c r="D362" i="21"/>
  <c r="D336" i="21"/>
  <c r="D141" i="21"/>
  <c r="D385" i="21"/>
  <c r="D181" i="21"/>
  <c r="D85" i="21"/>
  <c r="D138" i="21"/>
  <c r="D401" i="21"/>
  <c r="D80" i="21"/>
  <c r="D75" i="21"/>
  <c r="D131" i="21"/>
  <c r="D255" i="21"/>
  <c r="D171" i="21"/>
  <c r="D410" i="21"/>
  <c r="D439" i="21"/>
  <c r="D20" i="21"/>
  <c r="D221" i="21"/>
  <c r="D440" i="21"/>
  <c r="D399" i="21"/>
  <c r="D9" i="21"/>
  <c r="D371" i="21"/>
  <c r="D66" i="21"/>
  <c r="D113" i="21"/>
  <c r="D60" i="21"/>
  <c r="D148" i="21"/>
  <c r="D459" i="21"/>
  <c r="D291" i="21"/>
  <c r="D425" i="21"/>
  <c r="D103" i="21"/>
  <c r="D50" i="21"/>
  <c r="D244" i="21"/>
  <c r="D390" i="21"/>
  <c r="D146" i="21"/>
  <c r="D107" i="21"/>
  <c r="D6" i="21"/>
  <c r="D232" i="21"/>
  <c r="D25" i="21"/>
  <c r="D94" i="21"/>
  <c r="D241" i="21"/>
  <c r="D100" i="21"/>
  <c r="D321" i="21"/>
  <c r="D132" i="21"/>
  <c r="D403" i="21"/>
  <c r="D407" i="21"/>
  <c r="D78" i="21"/>
  <c r="D206" i="21"/>
  <c r="D434" i="21"/>
  <c r="D461" i="21"/>
  <c r="D272" i="21"/>
  <c r="D140" i="21"/>
  <c r="D15" i="21"/>
  <c r="D351" i="21"/>
  <c r="D384" i="21"/>
  <c r="D172" i="21"/>
  <c r="D339" i="21"/>
  <c r="D237" i="21"/>
  <c r="D435" i="21"/>
  <c r="D83" i="21"/>
  <c r="D314" i="21"/>
  <c r="D383" i="21"/>
  <c r="D115" i="21"/>
  <c r="D189" i="21"/>
  <c r="D419" i="21"/>
  <c r="D293" i="21"/>
  <c r="D42" i="21"/>
  <c r="D494" i="21"/>
  <c r="D98" i="21"/>
  <c r="D24" i="21"/>
  <c r="D436" i="21"/>
  <c r="D307" i="21"/>
  <c r="D82" i="21"/>
  <c r="D209" i="21"/>
  <c r="D451" i="21"/>
  <c r="D309" i="21"/>
  <c r="D248" i="21"/>
  <c r="D358" i="21"/>
  <c r="D192" i="21"/>
  <c r="D135" i="21"/>
  <c r="D396" i="21"/>
  <c r="D463" i="21"/>
  <c r="D238" i="21"/>
  <c r="D456" i="21"/>
  <c r="D312" i="21"/>
  <c r="D137" i="21"/>
  <c r="D278" i="21"/>
  <c r="D152" i="21"/>
  <c r="D134" i="21"/>
  <c r="D374" i="21"/>
  <c r="D475" i="21"/>
  <c r="D479" i="21"/>
  <c r="D301" i="21"/>
  <c r="D288" i="21"/>
  <c r="D490" i="21"/>
  <c r="D330" i="21"/>
  <c r="D217" i="21"/>
  <c r="D35" i="21"/>
  <c r="D49" i="21"/>
  <c r="D203" i="21"/>
  <c r="D488" i="21"/>
  <c r="D449" i="21"/>
  <c r="D198" i="21"/>
  <c r="D271" i="21"/>
  <c r="D313" i="21"/>
  <c r="D102" i="21"/>
  <c r="D151" i="21"/>
  <c r="D310" i="21"/>
  <c r="D465" i="21"/>
  <c r="D266" i="21"/>
  <c r="D317" i="21"/>
  <c r="D338" i="21"/>
  <c r="D484" i="21"/>
  <c r="D420" i="21"/>
  <c r="D202" i="21"/>
  <c r="D157" i="21"/>
  <c r="D381" i="21"/>
  <c r="D122" i="21"/>
  <c r="D422" i="21"/>
  <c r="D81" i="21"/>
  <c r="D51" i="21"/>
  <c r="D377" i="21"/>
  <c r="D128" i="21"/>
  <c r="D409" i="21"/>
  <c r="D163" i="21"/>
  <c r="D210" i="21"/>
  <c r="D458" i="21"/>
  <c r="D143" i="21"/>
  <c r="D431" i="21"/>
  <c r="D294" i="21"/>
  <c r="D444" i="21"/>
  <c r="D93" i="21"/>
  <c r="D485" i="21"/>
  <c r="D279" i="21"/>
  <c r="D188" i="21"/>
  <c r="D156" i="21"/>
  <c r="D285" i="21"/>
  <c r="D211" i="21"/>
  <c r="D23" i="21"/>
  <c r="D87" i="21"/>
  <c r="D496" i="21"/>
  <c r="D432" i="21"/>
  <c r="D405" i="21"/>
  <c r="D34" i="21"/>
  <c r="D73" i="21"/>
  <c r="D300" i="21"/>
  <c r="D267" i="21"/>
  <c r="D8" i="21"/>
  <c r="D207" i="21"/>
  <c r="D354" i="21"/>
  <c r="D417" i="21"/>
  <c r="D40" i="21"/>
  <c r="D220" i="21"/>
  <c r="D74" i="21"/>
  <c r="D367" i="21"/>
  <c r="D52" i="21"/>
  <c r="D352" i="21"/>
  <c r="D190" i="21"/>
  <c r="D55" i="21"/>
  <c r="D486" i="21"/>
  <c r="D325" i="21"/>
  <c r="D281" i="21"/>
  <c r="D247" i="21"/>
  <c r="D226" i="21"/>
  <c r="D125" i="21"/>
  <c r="D457" i="21"/>
  <c r="D110" i="21"/>
  <c r="D472" i="21"/>
  <c r="D38" i="21"/>
  <c r="D142" i="21"/>
  <c r="D44" i="21"/>
  <c r="D323" i="21"/>
  <c r="D282" i="21"/>
  <c r="D427" i="21"/>
  <c r="D468" i="21"/>
  <c r="D242" i="21"/>
  <c r="D121" i="21"/>
  <c r="D382" i="21"/>
  <c r="D489" i="21"/>
  <c r="D193" i="21"/>
  <c r="D466" i="21"/>
  <c r="D346" i="21"/>
  <c r="D398" i="21"/>
  <c r="D246" i="21"/>
  <c r="D400" i="21"/>
  <c r="D21" i="21"/>
  <c r="D70" i="21"/>
  <c r="D208" i="21"/>
  <c r="D95" i="21"/>
  <c r="D233" i="21"/>
  <c r="D342" i="21"/>
  <c r="D178" i="21"/>
  <c r="D46" i="21"/>
  <c r="D299" i="21"/>
  <c r="D391" i="21"/>
  <c r="D340" i="21"/>
  <c r="D145" i="21"/>
  <c r="D86" i="21"/>
  <c r="D326" i="21"/>
  <c r="D64" i="21"/>
  <c r="D411" i="21"/>
  <c r="D101" i="21"/>
  <c r="D424" i="21"/>
  <c r="D105" i="21"/>
  <c r="D63" i="21"/>
  <c r="D243" i="21"/>
  <c r="D155" i="21"/>
  <c r="D30" i="21"/>
  <c r="D27" i="21"/>
  <c r="D251" i="21"/>
  <c r="D450" i="21"/>
  <c r="D373" i="21"/>
  <c r="D240" i="21"/>
  <c r="D389" i="21"/>
  <c r="D108" i="21"/>
  <c r="D406" i="21"/>
  <c r="D48" i="21"/>
  <c r="D84" i="21"/>
  <c r="D185" i="21"/>
  <c r="D289" i="21"/>
  <c r="D147" i="21"/>
  <c r="D499" i="21"/>
  <c r="D369" i="21"/>
  <c r="D167" i="21"/>
  <c r="D265" i="21"/>
  <c r="D32" i="21"/>
  <c r="D123" i="21"/>
  <c r="D112" i="21"/>
  <c r="D162" i="21"/>
  <c r="D388" i="21"/>
  <c r="D68" i="21"/>
  <c r="D329" i="21"/>
  <c r="D423" i="21"/>
  <c r="D41" i="21"/>
  <c r="D408" i="21"/>
  <c r="D37" i="21"/>
  <c r="D227" i="21"/>
  <c r="D254" i="21"/>
  <c r="D89" i="21"/>
  <c r="D428" i="21"/>
  <c r="D13" i="21"/>
  <c r="D443" i="21"/>
  <c r="D260" i="21"/>
  <c r="D72" i="21"/>
  <c r="D183" i="21"/>
  <c r="D341" i="21"/>
  <c r="D169" i="21"/>
  <c r="D223" i="21"/>
  <c r="D160" i="21"/>
  <c r="D319" i="21"/>
  <c r="D264" i="21"/>
  <c r="D478" i="21"/>
  <c r="D111" i="21"/>
  <c r="D438" i="21"/>
  <c r="D184" i="21"/>
  <c r="D392" i="21"/>
  <c r="D186" i="21"/>
  <c r="D11" i="21"/>
  <c r="D445" i="21"/>
  <c r="D196" i="21"/>
  <c r="D363" i="21"/>
  <c r="D412" i="21"/>
  <c r="D304" i="21"/>
  <c r="D306" i="21"/>
  <c r="D124" i="21"/>
  <c r="D379" i="21"/>
  <c r="D153" i="21"/>
  <c r="D426" i="21"/>
  <c r="D473" i="21"/>
  <c r="D364" i="21"/>
  <c r="D487" i="21"/>
  <c r="D33" i="21"/>
  <c r="D116" i="21"/>
  <c r="D77" i="21"/>
  <c r="D133" i="21"/>
  <c r="D345" i="21"/>
  <c r="D296" i="21"/>
  <c r="D3" i="21"/>
  <c r="D61" i="21"/>
  <c r="D229" i="21"/>
  <c r="D497" i="21"/>
  <c r="D316" i="21"/>
  <c r="D92" i="21"/>
  <c r="D366" i="21"/>
  <c r="D43" i="21"/>
  <c r="D4" i="21"/>
  <c r="D284" i="21"/>
  <c r="D268" i="21"/>
  <c r="D368" i="21"/>
  <c r="D303" i="21"/>
  <c r="D212" i="21"/>
  <c r="D58" i="21"/>
  <c r="D29" i="21"/>
  <c r="D372" i="21"/>
  <c r="D327" i="21"/>
  <c r="D173" i="21"/>
  <c r="D106" i="21"/>
  <c r="D99" i="21"/>
  <c r="D26" i="21"/>
  <c r="D118" i="21"/>
  <c r="D164" i="21"/>
  <c r="D176" i="21"/>
  <c r="D245" i="21"/>
  <c r="D97" i="21"/>
  <c r="D269" i="21"/>
  <c r="D179" i="21"/>
  <c r="D139" i="21"/>
  <c r="D10" i="21"/>
  <c r="D332" i="21"/>
  <c r="D201" i="21"/>
  <c r="D256" i="21"/>
  <c r="D259" i="21"/>
  <c r="D437" i="21"/>
  <c r="D161" i="21"/>
  <c r="D231" i="21"/>
  <c r="D59" i="21"/>
  <c r="D395" i="21"/>
  <c r="D394" i="21"/>
  <c r="D239" i="21"/>
  <c r="D429" i="21"/>
  <c r="D361" i="21"/>
  <c r="D36" i="21"/>
  <c r="D295" i="21"/>
  <c r="D170" i="21"/>
  <c r="D191" i="21"/>
  <c r="D397" i="21"/>
  <c r="D126" i="21"/>
  <c r="D67" i="21"/>
  <c r="D482" i="21"/>
  <c r="D114" i="21"/>
  <c r="D498" i="21"/>
  <c r="D5" i="21"/>
  <c r="D380" i="21"/>
  <c r="D168" i="21"/>
  <c r="D91" i="21"/>
  <c r="D22" i="21"/>
  <c r="D311" i="21"/>
  <c r="D222" i="21"/>
  <c r="D275" i="21"/>
  <c r="D216" i="21"/>
  <c r="D500" i="21"/>
  <c r="D117" i="21"/>
  <c r="D57" i="21"/>
  <c r="J57" i="21" l="1"/>
  <c r="J117" i="21"/>
  <c r="J500" i="21"/>
  <c r="J216" i="21"/>
  <c r="J275" i="21"/>
  <c r="J222" i="21"/>
  <c r="J311" i="21"/>
  <c r="J22" i="21"/>
  <c r="J91" i="21"/>
  <c r="J168" i="21"/>
  <c r="J380" i="21"/>
  <c r="J5" i="21"/>
  <c r="J498" i="21"/>
  <c r="J114" i="21"/>
  <c r="J482" i="21"/>
  <c r="J67" i="21"/>
  <c r="J126" i="21"/>
  <c r="J397" i="21"/>
  <c r="J191" i="21"/>
  <c r="J170" i="21"/>
  <c r="J295" i="21"/>
  <c r="J36" i="21"/>
  <c r="J361" i="21"/>
  <c r="J429" i="21"/>
  <c r="J239" i="21"/>
  <c r="J394" i="21"/>
  <c r="J395" i="21"/>
  <c r="J59" i="21"/>
  <c r="J231" i="21"/>
  <c r="J161" i="21"/>
  <c r="J437" i="21"/>
  <c r="J259" i="21"/>
  <c r="J256" i="21"/>
  <c r="J201" i="21"/>
  <c r="J332" i="21"/>
  <c r="J10" i="21"/>
  <c r="J139" i="21"/>
  <c r="J179" i="21"/>
  <c r="J269" i="21"/>
  <c r="J97" i="21"/>
  <c r="J245" i="21"/>
  <c r="J176" i="21"/>
  <c r="J164" i="21"/>
  <c r="J118" i="21"/>
  <c r="J26" i="21"/>
  <c r="J99" i="21"/>
  <c r="J106" i="21"/>
  <c r="J173" i="21"/>
  <c r="J327" i="21"/>
  <c r="J372" i="21"/>
  <c r="J29" i="21"/>
  <c r="J58" i="21"/>
  <c r="J212" i="21"/>
  <c r="J303" i="21"/>
  <c r="J368" i="21"/>
  <c r="J268" i="21"/>
  <c r="J284" i="21"/>
  <c r="J4" i="21"/>
  <c r="J43" i="21"/>
  <c r="J366" i="21"/>
  <c r="J92" i="21"/>
  <c r="J316" i="21"/>
  <c r="J497" i="21"/>
  <c r="J229" i="21"/>
  <c r="J61" i="21"/>
  <c r="J3" i="21"/>
  <c r="J296" i="21"/>
  <c r="J345" i="21"/>
  <c r="J133" i="21"/>
  <c r="J77" i="21"/>
  <c r="J116" i="21"/>
  <c r="J33" i="21"/>
  <c r="J487" i="21"/>
  <c r="J364" i="21"/>
  <c r="J473" i="21"/>
  <c r="J426" i="21"/>
  <c r="J153" i="21"/>
  <c r="J379" i="21"/>
  <c r="J124" i="21"/>
  <c r="J306" i="21"/>
  <c r="J304" i="21"/>
  <c r="J412" i="21"/>
  <c r="J363" i="21"/>
  <c r="J196" i="21"/>
  <c r="J445" i="21"/>
  <c r="J11" i="21"/>
  <c r="J186" i="21"/>
  <c r="J392" i="21"/>
  <c r="J184" i="21"/>
  <c r="J438" i="21"/>
  <c r="J111" i="21"/>
  <c r="J478" i="21"/>
  <c r="J264" i="21"/>
  <c r="J319" i="21"/>
  <c r="J160" i="21"/>
  <c r="J223" i="21"/>
  <c r="J169" i="21"/>
  <c r="J341" i="21"/>
  <c r="J183" i="21"/>
  <c r="J72" i="21"/>
  <c r="J260" i="21"/>
  <c r="J443" i="21"/>
  <c r="J13" i="21"/>
  <c r="J428" i="21"/>
  <c r="J89" i="21"/>
  <c r="J254" i="21"/>
  <c r="J227" i="21"/>
  <c r="J37" i="21"/>
  <c r="J408" i="21"/>
  <c r="J41" i="21"/>
  <c r="J423" i="21"/>
  <c r="J329" i="21"/>
  <c r="J68" i="21"/>
  <c r="J388" i="21"/>
  <c r="J162" i="21"/>
  <c r="J112" i="21"/>
  <c r="J123" i="21"/>
  <c r="J32" i="21"/>
  <c r="J265" i="21"/>
  <c r="J167" i="21"/>
  <c r="J369" i="21"/>
  <c r="J499" i="21"/>
  <c r="J147" i="21"/>
  <c r="J289" i="21"/>
  <c r="J185" i="21"/>
  <c r="J84" i="21"/>
  <c r="J48" i="21"/>
  <c r="J406" i="21"/>
  <c r="J108" i="21"/>
  <c r="J389" i="21"/>
  <c r="J240" i="21"/>
  <c r="J373" i="21"/>
  <c r="J450" i="21"/>
  <c r="J251" i="21"/>
  <c r="J27" i="21"/>
  <c r="J30" i="21"/>
  <c r="J155" i="21"/>
  <c r="J243" i="21"/>
  <c r="J63" i="21"/>
  <c r="J105" i="21"/>
  <c r="J424" i="21"/>
  <c r="J101" i="21"/>
  <c r="J411" i="21"/>
  <c r="J64" i="21"/>
  <c r="J326" i="21"/>
  <c r="J86" i="21"/>
  <c r="J145" i="21"/>
  <c r="J340" i="21"/>
  <c r="J391" i="21"/>
  <c r="J299" i="21"/>
  <c r="J46" i="21"/>
  <c r="J178" i="21"/>
  <c r="J342" i="21"/>
  <c r="J233" i="21"/>
  <c r="J95" i="21"/>
  <c r="J208" i="21"/>
  <c r="J70" i="21"/>
  <c r="J21" i="21"/>
  <c r="J400" i="21"/>
  <c r="J246" i="21"/>
  <c r="J398" i="21"/>
  <c r="J346" i="21"/>
  <c r="J466" i="21"/>
  <c r="J193" i="21"/>
  <c r="J489" i="21"/>
  <c r="J382" i="21"/>
  <c r="J121" i="21"/>
  <c r="J242" i="21"/>
  <c r="J468" i="21"/>
  <c r="J427" i="21"/>
  <c r="J282" i="21"/>
  <c r="J323" i="21"/>
  <c r="J44" i="21"/>
  <c r="J142" i="21"/>
  <c r="J38" i="21"/>
  <c r="J472" i="21"/>
  <c r="J110" i="21"/>
  <c r="J457" i="21"/>
  <c r="J125" i="21"/>
  <c r="J226" i="21"/>
  <c r="J247" i="21"/>
  <c r="J281" i="21"/>
  <c r="J325" i="21"/>
  <c r="J486" i="21"/>
  <c r="J55" i="21"/>
  <c r="J190" i="21"/>
  <c r="J352" i="21"/>
  <c r="J52" i="21"/>
  <c r="J367" i="21"/>
  <c r="J74" i="21"/>
  <c r="J220" i="21"/>
  <c r="J40" i="21"/>
  <c r="J417" i="21"/>
  <c r="J354" i="21"/>
  <c r="J207" i="21"/>
  <c r="J8" i="21"/>
  <c r="J267" i="21"/>
  <c r="J300" i="21"/>
  <c r="J73" i="21"/>
  <c r="J34" i="21"/>
  <c r="J405" i="21"/>
  <c r="J432" i="21"/>
  <c r="J496" i="21"/>
  <c r="J87" i="21"/>
  <c r="J23" i="21"/>
  <c r="J211" i="21"/>
  <c r="J285" i="21"/>
  <c r="J156" i="21"/>
  <c r="J188" i="21"/>
  <c r="J279" i="21"/>
  <c r="J485" i="21"/>
  <c r="J93" i="21"/>
  <c r="J444" i="21"/>
  <c r="J294" i="21"/>
  <c r="J431" i="21"/>
  <c r="J143" i="21"/>
  <c r="J458" i="21"/>
  <c r="J210" i="21"/>
  <c r="J163" i="21"/>
  <c r="J409" i="21"/>
  <c r="J128" i="21"/>
  <c r="J377" i="21"/>
  <c r="J51" i="21"/>
  <c r="J81" i="21"/>
  <c r="J422" i="21"/>
  <c r="J122" i="21"/>
  <c r="J381" i="21"/>
  <c r="J157" i="21"/>
  <c r="J202" i="21"/>
  <c r="J420" i="21"/>
  <c r="J484" i="21"/>
  <c r="J338" i="21"/>
  <c r="J317" i="21"/>
  <c r="J266" i="21"/>
  <c r="J465" i="21"/>
  <c r="J310" i="21"/>
  <c r="J151" i="21"/>
  <c r="J102" i="21"/>
  <c r="J313" i="21"/>
  <c r="J271" i="21"/>
  <c r="J198" i="21"/>
  <c r="J449" i="21"/>
  <c r="J488" i="21"/>
  <c r="J203" i="21"/>
  <c r="J49" i="21"/>
  <c r="J35" i="21"/>
  <c r="J217" i="21"/>
  <c r="J330" i="21"/>
  <c r="J490" i="21"/>
  <c r="J288" i="21"/>
  <c r="J301" i="21"/>
  <c r="J479" i="21"/>
  <c r="J475" i="21"/>
  <c r="J374" i="21"/>
  <c r="J134" i="21"/>
  <c r="J152" i="21"/>
  <c r="J278" i="21"/>
  <c r="J137" i="21"/>
  <c r="J312" i="21"/>
  <c r="J456" i="21"/>
  <c r="J238" i="21"/>
  <c r="J463" i="21"/>
  <c r="J396" i="21"/>
  <c r="J135" i="21"/>
  <c r="J192" i="21"/>
  <c r="J358" i="21"/>
  <c r="J248" i="21"/>
  <c r="J309" i="21"/>
  <c r="J451" i="21"/>
  <c r="J209" i="21"/>
  <c r="J82" i="21"/>
  <c r="J307" i="21"/>
  <c r="J436" i="21"/>
  <c r="J24" i="21"/>
  <c r="J98" i="21"/>
  <c r="J494" i="21"/>
  <c r="J42" i="21"/>
  <c r="J293" i="21"/>
  <c r="J419" i="21"/>
  <c r="J189" i="21"/>
  <c r="J115" i="21"/>
  <c r="J383" i="21"/>
  <c r="J314" i="21"/>
  <c r="J83" i="21"/>
  <c r="J435" i="21"/>
  <c r="J237" i="21"/>
  <c r="J339" i="21"/>
  <c r="J172" i="21"/>
  <c r="J384" i="21"/>
  <c r="J351" i="21"/>
  <c r="J15" i="21"/>
  <c r="J140" i="21"/>
  <c r="J272" i="21"/>
  <c r="J461" i="21"/>
  <c r="J434" i="21"/>
  <c r="J206" i="21"/>
  <c r="J78" i="21"/>
  <c r="J407" i="21"/>
  <c r="J403" i="21"/>
  <c r="J132" i="21"/>
  <c r="J321" i="21"/>
  <c r="J100" i="21"/>
  <c r="J241" i="21"/>
  <c r="J94" i="21"/>
  <c r="J25" i="21"/>
  <c r="J232" i="21"/>
  <c r="J6" i="21"/>
  <c r="J107" i="21"/>
  <c r="J146" i="21"/>
  <c r="J390" i="21"/>
  <c r="J244" i="21"/>
  <c r="J50" i="21"/>
  <c r="J103" i="21"/>
  <c r="J425" i="21"/>
  <c r="J291" i="21"/>
  <c r="J459" i="21"/>
  <c r="J148" i="21"/>
  <c r="J60" i="21"/>
  <c r="J113" i="21"/>
  <c r="J66" i="21"/>
  <c r="J371" i="21"/>
  <c r="J9" i="21"/>
  <c r="J399" i="21"/>
  <c r="J440" i="21"/>
  <c r="J221" i="21"/>
  <c r="J20" i="21"/>
  <c r="J439" i="21"/>
  <c r="J410" i="21"/>
  <c r="J171" i="21"/>
  <c r="J255" i="21"/>
  <c r="J131" i="21"/>
  <c r="J75" i="21"/>
  <c r="J80" i="21"/>
  <c r="J401" i="21"/>
  <c r="J138" i="21"/>
  <c r="J85" i="21"/>
  <c r="J181" i="21"/>
  <c r="J385" i="21"/>
  <c r="J141" i="21"/>
  <c r="J336" i="21"/>
  <c r="J362" i="21"/>
  <c r="J76" i="21"/>
  <c r="J236" i="21"/>
  <c r="J393" i="21"/>
  <c r="J365" i="21"/>
  <c r="J446" i="21"/>
  <c r="J65" i="21"/>
  <c r="J413" i="21"/>
  <c r="J129" i="21"/>
  <c r="J109" i="21"/>
  <c r="J262" i="21"/>
  <c r="J154" i="21"/>
  <c r="J274" i="21"/>
  <c r="J324" i="21"/>
  <c r="J492" i="21"/>
  <c r="J228" i="21"/>
  <c r="J491" i="21"/>
  <c r="J298" i="21"/>
  <c r="J483" i="21"/>
  <c r="J462" i="21"/>
  <c r="J454" i="21"/>
  <c r="J252" i="21"/>
  <c r="J290" i="21"/>
  <c r="J150" i="21"/>
  <c r="J18" i="21"/>
  <c r="J357" i="21"/>
  <c r="J355" i="21"/>
  <c r="J214" i="21"/>
  <c r="J441" i="21"/>
  <c r="J471" i="21"/>
  <c r="J234" i="21"/>
  <c r="J69" i="21"/>
  <c r="J136" i="21"/>
  <c r="J258" i="21"/>
  <c r="J359" i="21"/>
  <c r="J257" i="21"/>
  <c r="J480" i="21"/>
  <c r="J205" i="21"/>
  <c r="J273" i="21"/>
  <c r="J174" i="21"/>
  <c r="J71" i="21"/>
  <c r="J218" i="21"/>
  <c r="J493" i="21"/>
  <c r="J149" i="21"/>
  <c r="J349" i="21"/>
  <c r="J305" i="21"/>
  <c r="J308" i="21"/>
  <c r="J88" i="21"/>
  <c r="J261" i="21"/>
  <c r="J335" i="21"/>
  <c r="J430" i="21"/>
  <c r="J476" i="21"/>
  <c r="J344" i="21"/>
  <c r="J416" i="21"/>
  <c r="J433" i="21"/>
  <c r="J467" i="21"/>
  <c r="J120" i="21"/>
  <c r="J378" i="21"/>
  <c r="J165" i="21"/>
  <c r="J127" i="21"/>
  <c r="J328" i="21"/>
  <c r="J348" i="21"/>
  <c r="J270" i="21"/>
  <c r="J370" i="21"/>
  <c r="J452" i="21"/>
  <c r="J263" i="21"/>
  <c r="J215" i="21"/>
  <c r="J464" i="21"/>
  <c r="J292" i="21"/>
  <c r="J90" i="21"/>
  <c r="J177" i="21"/>
  <c r="J16" i="21"/>
  <c r="J469" i="21"/>
  <c r="J230" i="21"/>
  <c r="J14" i="21"/>
  <c r="J158" i="21"/>
  <c r="J347" i="21"/>
  <c r="J360" i="21"/>
  <c r="J180" i="21"/>
  <c r="J47" i="21"/>
  <c r="J119" i="21"/>
  <c r="J331" i="21"/>
  <c r="J320" i="21"/>
  <c r="J302" i="21"/>
  <c r="J197" i="21"/>
  <c r="J455" i="21"/>
  <c r="J54" i="21"/>
  <c r="J495" i="21"/>
  <c r="J448" i="21"/>
  <c r="J333" i="21"/>
  <c r="J53" i="21"/>
  <c r="J159" i="21"/>
  <c r="J442" i="21"/>
  <c r="J277" i="21"/>
  <c r="J56" i="21"/>
  <c r="J415" i="21"/>
  <c r="J12" i="21"/>
  <c r="J481" i="21"/>
  <c r="J474" i="21"/>
  <c r="J286" i="21"/>
  <c r="J199" i="21"/>
  <c r="J166" i="21"/>
  <c r="J337" i="21"/>
  <c r="J387" i="21"/>
  <c r="J187" i="21"/>
  <c r="J182" i="21"/>
  <c r="J45" i="21"/>
  <c r="J276" i="21"/>
  <c r="J96" i="21"/>
  <c r="J477" i="21"/>
  <c r="J225" i="21"/>
  <c r="J7" i="21"/>
  <c r="J501" i="21"/>
  <c r="J219" i="21"/>
  <c r="J356" i="21"/>
  <c r="J224" i="21"/>
  <c r="J343" i="21"/>
  <c r="J447" i="21"/>
  <c r="J414" i="21"/>
  <c r="J375" i="21"/>
  <c r="J470" i="21"/>
  <c r="C8" i="18"/>
  <c r="I6" i="18" s="1"/>
  <c r="J2" i="21"/>
  <c r="J353" i="21"/>
  <c r="J283" i="21"/>
  <c r="J235" i="21"/>
  <c r="J287" i="21"/>
  <c r="J194" i="21"/>
  <c r="J213" i="21"/>
  <c r="J144" i="21"/>
  <c r="J315" i="21"/>
  <c r="J62" i="21"/>
  <c r="J19" i="21"/>
  <c r="J17" i="21"/>
  <c r="J104" i="21"/>
  <c r="J418" i="21"/>
  <c r="J39" i="21"/>
  <c r="J31" i="21"/>
  <c r="J249" i="21"/>
  <c r="J386" i="21"/>
  <c r="J453" i="21"/>
  <c r="J402" i="21"/>
  <c r="J250" i="21"/>
  <c r="J460" i="21"/>
  <c r="J280" i="21"/>
  <c r="J175" i="21"/>
  <c r="J253" i="21"/>
  <c r="J350" i="21"/>
  <c r="J421" i="21"/>
  <c r="J334" i="21"/>
  <c r="J204" i="21"/>
  <c r="J200" i="21"/>
  <c r="J322" i="21"/>
  <c r="J79" i="21"/>
  <c r="J130" i="21"/>
  <c r="J195" i="21"/>
  <c r="J297" i="21"/>
  <c r="J318" i="21"/>
  <c r="J404" i="21"/>
  <c r="J28" i="21"/>
  <c r="J376" i="21"/>
  <c r="H18" i="18" l="1"/>
  <c r="I4" i="18" s="1"/>
  <c r="K5" i="18" s="1"/>
  <c r="K7" i="18" s="1"/>
</calcChain>
</file>

<file path=xl/sharedStrings.xml><?xml version="1.0" encoding="utf-8"?>
<sst xmlns="http://schemas.openxmlformats.org/spreadsheetml/2006/main" count="4058" uniqueCount="1143">
  <si>
    <t>Issue Types</t>
    <phoneticPr fontId="4" type="noConversion"/>
  </si>
  <si>
    <t>Minor</t>
  </si>
  <si>
    <t>Fluency</t>
  </si>
  <si>
    <t>Subtypes</t>
  </si>
  <si>
    <t>Source</t>
  </si>
  <si>
    <t>Target</t>
  </si>
  <si>
    <t>Total Errors</t>
    <phoneticPr fontId="6" type="noConversion"/>
  </si>
  <si>
    <t>Omission</t>
  </si>
  <si>
    <t>Accuracy</t>
    <phoneticPr fontId="6" type="noConversion"/>
  </si>
  <si>
    <t># Total Errors:</t>
    <phoneticPr fontId="6" type="noConversion"/>
  </si>
  <si>
    <t># Segments:</t>
    <phoneticPr fontId="3" type="noConversion"/>
  </si>
  <si>
    <t># Words:</t>
    <phoneticPr fontId="3" type="noConversion"/>
  </si>
  <si>
    <t>Errors / 1k words:</t>
    <phoneticPr fontId="3" type="noConversion"/>
  </si>
  <si>
    <t># Seg corrects:</t>
    <phoneticPr fontId="6" type="noConversion"/>
  </si>
  <si>
    <t># Total Rows:</t>
    <phoneticPr fontId="3" type="noConversion"/>
  </si>
  <si>
    <t>After Evaluation</t>
    <phoneticPr fontId="3" type="noConversion"/>
  </si>
  <si>
    <t>Before Evaluation</t>
    <phoneticPr fontId="3" type="noConversion"/>
  </si>
  <si>
    <t>#error</t>
    <phoneticPr fontId="4" type="noConversion"/>
  </si>
  <si>
    <t>Evaluation Date</t>
    <phoneticPr fontId="3" type="noConversion"/>
  </si>
  <si>
    <t>% Seg Correct:</t>
    <phoneticPr fontId="3" type="noConversion"/>
  </si>
  <si>
    <t>ID</t>
    <phoneticPr fontId="4" type="noConversion"/>
  </si>
  <si>
    <t>Accuracy</t>
  </si>
  <si>
    <t>Addition</t>
  </si>
  <si>
    <t>Major</t>
  </si>
  <si>
    <t>N/A</t>
  </si>
  <si>
    <t>Critical</t>
  </si>
  <si>
    <t>Duplication</t>
  </si>
  <si>
    <t>Place&amp;Name</t>
  </si>
  <si>
    <t>Attribute</t>
  </si>
  <si>
    <t>Number&amp;Time</t>
  </si>
  <si>
    <t>Sub_Issue_Type</t>
  </si>
  <si>
    <t>Issue_Type</t>
  </si>
  <si>
    <t>Issue Words</t>
  </si>
  <si>
    <t>Labels</t>
  </si>
  <si>
    <t>Severity</t>
  </si>
  <si>
    <t>Critical</t>
    <phoneticPr fontId="4" type="noConversion"/>
  </si>
  <si>
    <t>Major</t>
    <phoneticPr fontId="4" type="noConversion"/>
  </si>
  <si>
    <t>Minor</t>
    <phoneticPr fontId="4" type="noConversion"/>
  </si>
  <si>
    <t># Invalid Segments:</t>
    <phoneticPr fontId="4" type="noConversion"/>
  </si>
  <si>
    <t>% Invalid Segments:</t>
    <phoneticPr fontId="6" type="noConversion"/>
  </si>
  <si>
    <t>Severities ScoreCard</t>
    <phoneticPr fontId="4" type="noConversion"/>
  </si>
  <si>
    <t>Errors ScoreCard</t>
    <phoneticPr fontId="4" type="noConversion"/>
  </si>
  <si>
    <t>LQI:</t>
    <phoneticPr fontId="3" type="noConversion"/>
  </si>
  <si>
    <t>Results</t>
    <phoneticPr fontId="4" type="noConversion"/>
  </si>
  <si>
    <t>wordcount</t>
    <phoneticPr fontId="4" type="noConversion"/>
  </si>
  <si>
    <t>Positive_Negative_Aspect</t>
  </si>
  <si>
    <t>Invalid Source</t>
    <phoneticPr fontId="4" type="noConversion"/>
  </si>
  <si>
    <t>Invalid Target</t>
    <phoneticPr fontId="4" type="noConversion"/>
  </si>
  <si>
    <t>Invalid Target</t>
    <phoneticPr fontId="4" type="noConversion"/>
  </si>
  <si>
    <t>LQE Metrics</t>
    <phoneticPr fontId="1" type="noConversion"/>
  </si>
  <si>
    <t>Severity_Matrix</t>
    <phoneticPr fontId="15" type="noConversion"/>
  </si>
  <si>
    <t>Source Language</t>
  </si>
  <si>
    <t>(Optional)</t>
    <phoneticPr fontId="4" type="noConversion"/>
  </si>
  <si>
    <t>Score</t>
  </si>
  <si>
    <t>Event Entity-Subject</t>
  </si>
  <si>
    <t>Event Entity-Object</t>
  </si>
  <si>
    <t>Event Relation-Predicate</t>
  </si>
  <si>
    <t>Whole Sentence</t>
  </si>
  <si>
    <t>Grammar Function Words</t>
  </si>
  <si>
    <t>Minor</t>
    <phoneticPr fontId="1" type="noConversion"/>
  </si>
  <si>
    <t>Critical</t>
    <phoneticPr fontId="1" type="noConversion"/>
  </si>
  <si>
    <t>Critical</t>
    <phoneticPr fontId="1" type="noConversion"/>
  </si>
  <si>
    <t>Reason for Error (optional)</t>
  </si>
  <si>
    <t>Inaccuracy_internal</t>
  </si>
  <si>
    <t>Inaccuracy_external</t>
  </si>
  <si>
    <t>Word_Order</t>
  </si>
  <si>
    <t>Word_Form</t>
  </si>
  <si>
    <t>Word_From</t>
  </si>
  <si>
    <t>Inaccuracy_internal</t>
    <phoneticPr fontId="4" type="noConversion"/>
  </si>
  <si>
    <t>Inaccuracy_external</t>
    <phoneticPr fontId="4" type="noConversion"/>
  </si>
  <si>
    <t>Word_Form</t>
    <phoneticPr fontId="4" type="noConversion"/>
  </si>
  <si>
    <t>Word_Order</t>
    <phoneticPr fontId="4" type="noConversion"/>
  </si>
  <si>
    <t>Attribute</t>
    <phoneticPr fontId="4" type="noConversion"/>
  </si>
  <si>
    <t>Grammar Function Words</t>
    <phoneticPr fontId="4" type="noConversion"/>
  </si>
  <si>
    <t>0-8</t>
    <phoneticPr fontId="4" type="noConversion"/>
  </si>
  <si>
    <t>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 accomplices : sandra ng , 19 ( left ) , campbell 's girlfriend , was sentenced to 23 months in state prison for her role in the shocking assault last year , while another defendant jennifer pratt , 40 , is awaiting trial .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 i have nightmares . i ca n't sleep . ' all three were charged with aggravated assault , conspiracy and false imprisonment . they all pleaded guilty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t>
  </si>
  <si>
    <t>0-8</t>
  </si>
  <si>
    <t>greg valecce , 53 , had  offensive symbols tattooed on his arms
also suffered</t>
    <phoneticPr fontId="4" type="noConversion"/>
  </si>
  <si>
    <t>incident occurred in mayfair , philadelphia , in march/april 2014 .</t>
  </si>
  <si>
    <t>campbell and four others tortured valecce for three days .</t>
  </si>
  <si>
    <t>campbell was sentenced to 20 years prison , along with friend carl halin , 18 .</t>
  </si>
  <si>
    <t>1-8</t>
    <phoneticPr fontId="4" type="noConversion"/>
  </si>
  <si>
    <t>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 nicklaus holds up his ball to an adoring crowd as gary player ( left ) and ben crenshaw salute the great . crenshaw and nicklaus fist pump following his ace on the 130-yard hole at augusta national .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t>
    <phoneticPr fontId="4" type="noConversion"/>
  </si>
  <si>
    <t>jack nicklaus gave the crowd something to cheer with a hole in one on the fourth during the par-3 contest .
nicklaus holds up his ball to an adoring crowd as gary player and ben crenshaw salute the great .
nicklaus was playing alongside gary player and ben crenshaw as the first roar of masters week .</t>
    <phoneticPr fontId="4" type="noConversion"/>
  </si>
  <si>
    <t>colombian camilo villegas later eclipsed nicklaus ' achievement , hitting two aces during his round .</t>
  </si>
  <si>
    <t>villegas was beaten in a play-off by world no 74 kevin streelman .</t>
  </si>
  <si>
    <t>3-8</t>
    <phoneticPr fontId="4" type="noConversion"/>
  </si>
  <si>
    <t>(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 cnn 's jason morris and ed lavandera contributed to this report .</t>
    <phoneticPr fontId="4" type="noConversion"/>
  </si>
  <si>
    <t>oklahoma reserve sheriff 's deputy accused of fatally shooting a man he meant to subdue with a taser .
bates ' preliminary hearing is scheduled for 10 a.m. july 2 .
bates ' preliminary hearing is scheduled for 10 a.m. july 2 .</t>
    <phoneticPr fontId="4" type="noConversion"/>
  </si>
  <si>
    <t>bates ' preliminary hearing is scheduled for 10 a.m. july 2 .</t>
    <phoneticPr fontId="4" type="noConversion"/>
  </si>
  <si>
    <t>robert bates said he meant to subdue a suspect with a taser but accidentally shot him .</t>
  </si>
  <si>
    <t>3-8</t>
  </si>
  <si>
    <t>the judge said bates was free to travel to the bahamas for a family vacation .</t>
  </si>
  <si>
    <t>4-8</t>
    <phoneticPr fontId="4" type="noConversion"/>
  </si>
  <si>
    <t>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 curry ( centre ) hit eight three-pointers to to eclipse his previous nba best of 272 made in a single season .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 point guard derrick rose ( right ) scored 12 points for the bulls as he continued his comeback from injury .</t>
    <phoneticPr fontId="4" type="noConversion"/>
  </si>
  <si>
    <t>stephen curry eclipsed his own nba record for most 3-pointers in a season , scoring 45 points to rally the golden state warriors to a 116-105 victory over the portland trail blazers .
curry added nine assists , and thompson scored 26 to help golden state warriors avoid its first three-game losing streak this season .</t>
    <phoneticPr fontId="4" type="noConversion"/>
  </si>
  <si>
    <t>curry hit eight three 's to surpass his previous best of 272 three-pointers .</t>
  </si>
  <si>
    <t>miami heat lost 78-89 vs chicago bulls in the eastern conference .</t>
  </si>
  <si>
    <t>5-8</t>
    <phoneticPr fontId="4" type="noConversion"/>
  </si>
  <si>
    <t>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 mcgregor ( left ) poses in the shop with a fan shortly after having his tattoo on his stomach done . mcgregor is challenging jose aldo for his featherweight champion title in las vegas on july 11 .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 mcgregor claims he has greater motivation to win the title than aldo has to defend it for the eighth time .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t>
    <phoneticPr fontId="4" type="noConversion"/>
  </si>
  <si>
    <t>conor mcgregor is gearing up for a featherweight title challenge against jose aldo on july 11 .
the 26-year-old has already got a picture of a gorilla eating a heart inked upon his chest and ' the notorious ' has revealed a tiger 's face tattooed onto his stomach .</t>
    <phoneticPr fontId="4" type="noConversion"/>
  </si>
  <si>
    <t>mcgregor grabbed aldo 's featherweight champion belt in dublin .</t>
  </si>
  <si>
    <t>6-8</t>
    <phoneticPr fontId="4" type="noConversion"/>
  </si>
  <si>
    <t xml:space="preserve">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 van velzen lines up his first free-kick of the day as the liverpool stars watch on . balotelli and lambert watch as van velzen showcases his dead-ball skills at melwood . the stand-in keeper was helpless as the youtube star 's strike sailed into the top corner . after a poor first effort , balotelli sends a perfectly-executed free-kick into the top corner . balotelli looks pleased with his effort as markovic ( left ) and van velzen wait for their turn .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 balotelli wore his famous t-shirt during manchester city 's 6-1 win over united in october 2011 . </t>
    <phoneticPr fontId="4" type="noConversion"/>
  </si>
  <si>
    <t>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t>
    <phoneticPr fontId="4" type="noConversion"/>
  </si>
  <si>
    <t>the reds players were all set to give van velzen a free-kick masterclass .</t>
  </si>
  <si>
    <t>but van velzen 's dead ball skills became apparent very quickly .</t>
  </si>
  <si>
    <t>7-8</t>
    <phoneticPr fontId="4" type="noConversion"/>
  </si>
  <si>
    <t>tony abbott may have thrilled players at an australian rules function by skolling a beer but he’s drawn the ire of anti-drinking campaigners who claim he’s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isn’t about socialising with friends , it’s about how quickly and how much you can drink , ’ she said . scroll down for video . australian prime minister tony abbott was cheered on by a crowd of about 50 as he skolled a schooner of beer . mr abbott came under fire after the incident as anti-drinking campaigners said he was glorifying binge drinking . ‘ it sets up a culture that drinking isn’t about socialising with friends , it’s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abbott’s learning to drink beer without adding lemonade to it ' . mr abbott was labelled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 it appeared to take the prime minister about six seconds to down the schooner , as players cheered and chanted ' skol ' and ' tony '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don’t necessarily think it’s a partisan thing but i do think the climate has changed and we didn’t [ used to ] have the concern over binge drinking that we do now , ' she said . mr abbott was asked to have a drink by university of technology sydney bats coach simon carradous , and the prime minister happily obliged . ' he drank the entire schooner , dribbling bits on his shirt ... he was proud as punch , ' a witness said .</t>
    <phoneticPr fontId="4" type="noConversion"/>
  </si>
  <si>
    <t>julie robert , a cultural studies professor at the university of technology sydney , said it was ' problematic ' that the prime minister , who she believes should be advocating against binge drinking .
mr abbott came under fire after the incident as anti-drinking campaigners said he was glorifying binge drinking .
mr abbott came under fire after the incident as anti-drinking campaigners said he was glorifying binge drinking .</t>
    <phoneticPr fontId="4" type="noConversion"/>
  </si>
  <si>
    <t>julie robert , a cultural studies professor at the university of technology sydney , said it was ' problematic ' that the prime minister , who she believes should be advocating against binge drinking .</t>
  </si>
  <si>
    <t>mr abbott came under fire after the incident as anti-drinking campaigners said he was glorifying binge drinking .</t>
    <phoneticPr fontId="4" type="noConversion"/>
  </si>
  <si>
    <t>7-8</t>
  </si>
  <si>
    <t>australian prime minister skols a beer with celebrating football players .</t>
  </si>
  <si>
    <t>video shows tony abbott drinking the beer in six seconds .</t>
  </si>
  <si>
    <t>criticism also levelled at media and officials who made light of the event .</t>
  </si>
  <si>
    <t>8-8</t>
    <phoneticPr fontId="4" type="noConversion"/>
  </si>
  <si>
    <t xml:space="preserve">carriers of the brca1 gene , like hollywood star angelina jolie , can reduce their risk of death once they have been diagnosed with breast cancer by having their ovaries removed .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source : breast cancer campaign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 </t>
    <phoneticPr fontId="4" type="noConversion"/>
  </si>
  <si>
    <t>women diagnosed with breast cancer caused by the gene carried by angelina jolie could be helped to beat the disease if they have their ovaries removed .
miss jolie , 39 , had a double mastectomy as she carries the brca1 gene variant which dramatically raises the risk of dying from breast cancer by more than 60 per cent .</t>
    <phoneticPr fontId="4" type="noConversion"/>
  </si>
  <si>
    <t>miss jolie , 39 , had a double mastectomy as she carries the brca1 gene variant which dramatically raises the risk of dying from breast cancer by more than 60 per cent .</t>
  </si>
  <si>
    <t>but the theory does not apply for those with brca2 gene mutation .</t>
  </si>
  <si>
    <t>8-8</t>
  </si>
  <si>
    <t>having the brca1 or brca2 genes increase risk of breast cancer by 70 %</t>
  </si>
  <si>
    <t>experts said benefits of having ovaries removed lasted for up to 15 years .</t>
  </si>
  <si>
    <t>9-8</t>
    <phoneticPr fontId="4" type="noConversion"/>
  </si>
  <si>
    <t xml:space="preserve">indiana has seen a ' significant increase ' in the number of cases of hiv more than two weeks into a short-term needle exchange program approved by gov .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scroll down for video . more than two weeks into a short-term needle exchange program approved by gov . mike pence , there are now 120 confirmed hiv cases and 10 preliminary positive cases tied to scott county , about 30 miles north of louisville , kentucky .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 mike pence in an attempt to curb the state 's largest-ever hiv outbreak .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t>
    <phoneticPr fontId="4" type="noConversion"/>
  </si>
  <si>
    <t>there are now 120 confirmed hiv cases and 10 preliminary positive cases tied to scott county , about 30 miles north of louisville , kentucky .
health officials who declared an epidemic last month have said they expect the number of cases to rise as more people are tested .
the growing number could put pressure on pence to extend the program beyond april 25 .</t>
    <phoneticPr fontId="4" type="noConversion"/>
  </si>
  <si>
    <t>the growing number could put pressure on pence to extend the program beyond april 25 .</t>
  </si>
  <si>
    <t>outbreak has occurred among intravenous drug users and primarily involves the use of the high-powered prescription painkiller opana .</t>
  </si>
  <si>
    <t>gov . mike pence approved a short-term needle exchange program two weeks ago to help combat the problem .</t>
  </si>
  <si>
    <t>10-8</t>
    <phoneticPr fontId="4" type="noConversion"/>
  </si>
  <si>
    <t>police in north carolina say a married couple is dead after an amtrak train hit them on easter morning as they lingered on the tracks . derek lowe , 38 , and tina lowe , 33 , were hit shortly before 10am on sunday in durham by a train heading north . amtrak spokesman marc magliari said train no . 80 , the carolinian , was headed from charlotte to new york city when the accident occurred on property owned by norfolk-southern . scroll down for video . derek lowe , 38 , and tina lowe , 33 , were struck and killed by an amtrak train shortly before 10am on easter sunday in durham , north carolina . authorities say none of the 166 passengers on the train were injured , although a man who fell ill during the delay did receive treatment .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t>
    <phoneticPr fontId="4" type="noConversion"/>
  </si>
  <si>
    <t>derek lowe , 38 , and tina lowe , 33 , were struck and killed by an amtrak train .
authorities say none of the 166 passengers on the train were injured .
authorities say none of the 166 passengers on the train were injured .
authorities say none of the 166 passengers on the train were injured .</t>
    <phoneticPr fontId="4" type="noConversion"/>
  </si>
  <si>
    <t>authorities say none of the 166 passengers on the train were injured .</t>
  </si>
  <si>
    <t>accident happened just before 10am on sunday in durham , north carolina .</t>
  </si>
  <si>
    <t>10-8</t>
  </si>
  <si>
    <t>northbound train struck pair on property owned by norfolk-southern .</t>
  </si>
  <si>
    <t>train no . 80 , the carolinian , was headed from charlotte to new york city .</t>
  </si>
  <si>
    <t>man who met pair while collecting scrap metal said they were homeless .</t>
  </si>
  <si>
    <t>11-8</t>
    <phoneticPr fontId="4" type="noConversion"/>
  </si>
  <si>
    <t>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 saskiaisabxlla , commenting ' boyfriend made me take an @ arsenal exam ! ' with emoticons showing she did n't know whether to laugh or cry . we do n't blame her . saskia 's football fan boyfriend made her take an arsenal test and did n't dump her thanks to her a grade .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a ) olivier giroud . b ) santi cazorla . c ) aaron ramsey . d ) per mertesacker . why are arsenal the best team to ever grace english football ? questions put to her in the test included : ' what was the scoreline for the 2014 fa cup final vs hull city ?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tut tut . she scored some decent points for her more creative answers . asked to explain why alexis sanchez is better than eden hazard in her own words , she wrote , ' sanchez is buff , scores lots of goals , hazard is a p***k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doh ! saskia struggled to name all 11 players of the starting squad and got confused on the player positions . saskia 's boyfriend drew an angry face when she got a question wrong - this man means business .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 scoring 87 % , football fans were impressed with saskia , claiming her as ' proper gf material ' . may men felt inspired , with @ lewisxweeked warning his girlfriend to ' get revising ' . indeed , @ gstarrs85 congratulated saskia and stating that she was ' proper gf material ' . plenty of men felt inspired by the post , with @ lewisxweekes telling his girlfriend @ laycijade to ' get revising ' and @ digsxiii crying ' where can i get this test from ? ' others , though , felt that the boyfriend had taken things a tad too far . @ gunsaured11 stated ' football fans are nuts ' , and @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 eduardo claims ' football fans are nuts ' despite appearing to be one as he holds what looks suspiciously like the fa cup in his hands ... some thought saskia 's boyfriend took things too far with @ dcslfc creatively naming him a 'biff-head '</t>
    <phoneticPr fontId="4" type="noConversion"/>
  </si>
  <si>
    <t>saskia posted snaps of the test to her twitter account , @ saskiaisabxlla .
she posted snaps of the test to her twitter account , commenting ' well done saskia ! as a result , i will not be dumping you ! ( lucky you ) ' .</t>
    <phoneticPr fontId="4" type="noConversion"/>
  </si>
  <si>
    <t>with</t>
    <phoneticPr fontId="4" type="noConversion"/>
  </si>
  <si>
    <t>boyfriend's</t>
    <phoneticPr fontId="4" type="noConversion"/>
  </si>
  <si>
    <t>11-8</t>
  </si>
  <si>
    <t>saskia got an ' a ' , but apparently needs to work on her player positions .</t>
  </si>
  <si>
    <t>12-8</t>
    <phoneticPr fontId="4" type="noConversion"/>
  </si>
  <si>
    <t xml:space="preserve">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scroll down for video . carlos toro , seen in 1982 , is facing deportation from the united states after working for the dea for 27 years . toro , 66 , was one of the dea 's strongest assets and helped carry out undercover stings around the world . carlos lehder rivas of colombia was taken down thanks in part to former medellin cartel member toro .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but i atoned . ' many times over , i atoned . ' all i want now is what they promised me . '  </t>
    <phoneticPr fontId="4" type="noConversion"/>
  </si>
  <si>
    <t>carlos toro , 66 , worked as a mid-level member of the medellin cartel in the 1980s when a confrontation with his boss caused him to flee from colombia fearing for his life .
toro , 66 , was one of the dea 's strongest assets and helped carry out undercover stings around the world .
the dea refused to help toro with his citizenship after providing information about a number of his former bosses and associates .</t>
    <phoneticPr fontId="4" type="noConversion"/>
  </si>
  <si>
    <t>carlos toro , 66 , worked as a mid-level member of the medellin cartel in the 1980s when a confrontation with his boss caused him to flee from colombia fearing for his life .</t>
  </si>
  <si>
    <t>toro , 66 , was one of the dea 's strongest assets and helped carry out undercover stings around the world .</t>
  </si>
  <si>
    <t>12-8</t>
  </si>
  <si>
    <t>carlos toro was promised he could stay in the us but is facing deportation .</t>
  </si>
  <si>
    <t>being sent back to native country of colombia would be ' death sentence ' .</t>
  </si>
  <si>
    <t>toro informed on cocaine overlord carlos lehder of the medellin cartel .</t>
  </si>
  <si>
    <t>also provided information on former dictator of panama manuel noriega .</t>
  </si>
  <si>
    <t>he is hoping for visa or green card but ca n't yet collect social security .</t>
  </si>
  <si>
    <t>13-8</t>
    <phoneticPr fontId="4" type="noConversion"/>
  </si>
  <si>
    <t>mils muliaina bailed after being arrested on suspicion of sexual assault .
former all black was arrested on suspicion of sexual assault in cardiff .
he was held in cells overnight before being questioned for more than six hours .</t>
    <phoneticPr fontId="4" type="noConversion"/>
  </si>
  <si>
    <t>mils muliaina bailed after being arrested on suspicion of sexual assault .</t>
  </si>
  <si>
    <t>mils muliaina came off injured during connacht 's visit to gloucester .</t>
  </si>
  <si>
    <t>13-8</t>
  </si>
  <si>
    <t>he denies assault allegations over alleged incident last month .</t>
  </si>
  <si>
    <t>14-8</t>
    <phoneticPr fontId="4" type="noConversion"/>
  </si>
  <si>
    <t>the us body that regulates internet addresses is looking to crack down on a canadian company using the new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'.sucks ' domain taken down . kevin spacey is reportedly among celebrities paying out to have their name removed from one of the '.sucks ' domains which opened on 30 march . taylor swift has also had to spend defensively in the past to remove her name from '.porn ' and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'.us . ' but it is backtracking after an advisory panel made up of industry groups and companies like microsoft , verizon and ebay complained last month . vox populi began accepting registrations using '.sucks ' on march 30 from trademark holders and celebrities before it is released to public applicants . taylor swift has also had to spend defensively in the past to remove her name from '.porn ' and '.adult ' domains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'.sucks , ' calling it a ' shakedown scheme ' and ' predatory . ' companies like godaddy.com register some domain names for just $ 1 a year , and vox populi will offer consumers the right to secure a '.sucks ' address for just $ 10 a year starting in september . the advisory body says that the threat of opening a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'.sucks ' site to the average consumer later is ' an essential element of vox populi 's coercive scheme .</t>
    <phoneticPr fontId="4" type="noConversion"/>
  </si>
  <si>
    <t>kevin spacey is reportedly among celebrities paying out to have their name removed from one of the '.sucks ' domains which opened on 30 march .
kevin spacey is reportedly among celebrities paying out to have their name removed from one of the '.sucks ' domains which opened on 30 march .
taylor swift has also had to spend defensively in the past to remove her name from '.porn ' and '.adult ' domains .</t>
    <phoneticPr fontId="4" type="noConversion"/>
  </si>
  <si>
    <t>kevin spacey is reportedly among celebrities paying out to have their name removed from one of the '.sucks ' domains which opened on 30 march .</t>
  </si>
  <si>
    <t>taylor swift has also had to spend defensively in the past to remove her name from '.porn ' and '.adult ' domains .</t>
  </si>
  <si>
    <t>14-8</t>
  </si>
  <si>
    <t>youtube , bing , visa , bank of america and yahoo among others targeted .</t>
  </si>
  <si>
    <t>us regulator will see if the actions of vox populi registry ltd. were illegal .</t>
  </si>
  <si>
    <t>owners recommended to resell '.sucks ' domains for around $ 2,499 a year .</t>
  </si>
  <si>
    <t>15-8</t>
    <phoneticPr fontId="4" type="noConversion"/>
  </si>
  <si>
    <t>a teenager set herself on fire after allegedly being raped by five men from her village in india – and her family reportedly told her to keep quiet about the attack . the 14-year-old is now fighting for her life in delhi’s safdarjung hospital with 70 per cent burns . she was allegedly gang-raped on sunday when she went outside her house in kosi kalan , in uttar pradesh 's mathura district , to relieve herself . scroll down for video . a teenager set herself on fire after allegedly being raped by five men from her village in india . she is now recovering in delhi’s safdarjung hospital ( pictured ) . she was allegedly gang-raped on sunday when she went outside her house in kosi kalan , in uttar pradesh 's mathura district , to relieve herself ( file image )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t>
    <phoneticPr fontId="4" type="noConversion"/>
  </si>
  <si>
    <t>the 14-year-old is now fighting for her life in delhi’s safdarjung hospital .
she was allegedly gang-raped on sunday when she went outside her house .
she was allegedly gang-raped on sunday when she went outside her house .
she set herself on fire using kerosene , according to ndtv .</t>
    <phoneticPr fontId="4" type="noConversion"/>
  </si>
  <si>
    <t>relieve</t>
    <phoneticPr fontId="4" type="noConversion"/>
  </si>
  <si>
    <t>she was allegedly gang-raped on sunday when she went outside her house .</t>
  </si>
  <si>
    <t>15-8</t>
  </si>
  <si>
    <t>the attack is said to have taken place in india 's uttar pradesh region .</t>
  </si>
  <si>
    <t>her brother apparently saw her covered in flames and threw water on her .</t>
  </si>
  <si>
    <t>16-8</t>
    <phoneticPr fontId="4" type="noConversion"/>
  </si>
  <si>
    <t>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t>
  </si>
  <si>
    <t>baby boy 's remains were exhumed last year after case came up for review .
dna led police to the mother who was arrested on suspicion of infanticide .
but the charge was dropped after she explained the baby was stillborn .
cps may now charge her with failing to register the birth and preventing a lawful burial .</t>
    <phoneticPr fontId="4" type="noConversion"/>
  </si>
  <si>
    <t>cps may now charge her with failing to register the birth and preventing a lawful burial .</t>
  </si>
  <si>
    <t>17-8</t>
    <phoneticPr fontId="4" type="noConversion"/>
  </si>
  <si>
    <t>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 louis van gaal explained at his press conference on friday that van persie is not yet fit enough to play . united players train in the sunshine ahead of their game against local rivals city on sunday .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 manager van gaal ( left ) oversees the training while captain wayne rooney runs with the ball . goalkeeper david de gea ( left ) , winger angel di maria ( centre ) and radamel falcao were in training action . rooney leads the way in training as he runs through some cones in the sunshine on friday in manchester . ( left to right ) di maria , juan mata , falcao , marcos rojo and ander herrera prepare to take on city .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that is possible . ' the united boss also ruled out a potential return for luke shaw . like van persie , van gaal does not yet consider him fit enough to feature . ' i don’t think shaw is fit enough to play , ' van gaal said . ' but i can not say they are not fit , but in my opinion they are not fit to play . that is a different question . ' luke shaw is another player yet to be at the standard of match fitness required by van gaal . ( left to right ) rooney , ashley young , goalkeeper anders lindegaard and michael carrick have a breather . falcao ( left ) and antonio valencia ( second right ) look in high spirits as they prepare for the derby . herrera will be hoping to continue the fine form that has seen him become one of united 's key players recently .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wouldn’t say it . i say it because i feel it . '</t>
    <phoneticPr fontId="4" type="noConversion"/>
  </si>
  <si>
    <t>robin van persie will not return to the fray for manchester united .
robin van persie will not return to the fray for manchester united .
robin van persie will not return to the fray for manchester united .</t>
    <phoneticPr fontId="4" type="noConversion"/>
  </si>
  <si>
    <t>manchester united face manchester city in the premier league on sunday .</t>
  </si>
  <si>
    <t>robin van persie said he was fit for united after nearly two months out .</t>
  </si>
  <si>
    <t>17-8</t>
  </si>
  <si>
    <t>but louis van gaal has since revealed he will be without the striker .</t>
  </si>
  <si>
    <t>robin van persie will not return to the fray for manchester united .</t>
  </si>
  <si>
    <t>18-8</t>
    <phoneticPr fontId="4" type="noConversion"/>
  </si>
  <si>
    <t xml:space="preserve">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 </t>
  </si>
  <si>
    <t>kristopher hicks , 27 , was on his way home from a night out in bath , somerset .
he suffered devastating brain injuries , developed epilepsy and now requires round-the-clock care from his mother .
mr young , a former soldier , had mistakenly believed mr hicks was planning to ' do a runner ' .
he suffered devastating brain injuries , developed epilepsy and now requires round-the-clock care from his mother .
mr hicks ' family , from bath , took mr young to the high court .</t>
    <phoneticPr fontId="4" type="noConversion"/>
  </si>
  <si>
    <t>kristopher hicks , 27 , was on his way home from a night out in bath , somerset .</t>
  </si>
  <si>
    <t>he suffered devastating brain injuries , developed epilepsy and now requires round-the-clock care from his mother .</t>
  </si>
  <si>
    <t>18-8</t>
  </si>
  <si>
    <t>mr hicks ' family , from bath , took mr young to the high court .</t>
  </si>
  <si>
    <t>so he decided to take passenger kristopher hicks him back to the taxi rank .</t>
  </si>
  <si>
    <t>judge rules mr hicks was unlawfully imprisoned and will now get damages .</t>
  </si>
  <si>
    <t>20-8</t>
    <phoneticPr fontId="4" type="noConversion"/>
  </si>
  <si>
    <t>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£5.14billion tv rights deal with banners held up inside and outside the ground . with tickets at the sold-out emirates starting from £64 for the 12.45pm kick-off , protesters hope the image of empty seats around the ground will raise awareness of the struggles fans face to meet the rising costs of following their clubs . fans inside the emirates stadium display a banner reading : '£5bn and what do we get ? £64 a ticket ' . the cheapest tickets for the lunchtime kick-off were £64 , some of the highest prices in the premier league . supporters of both sides gathered outside the 60,000-capacity stadium before kick-off to show off banners against the rising costs of modern football . a banner inside the stadium , held between the home and away ends , read : '£5bn and what do we get ? £64 a ticket ' . ahead of the game , kelvin meadows of arsenal 's black scarf movement - who organised the event with liverpool's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 fans show off a banner reading ' football without fans is nothing ' outside the stadium before kick-off .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t>
    <phoneticPr fontId="4" type="noConversion"/>
  </si>
  <si>
    <t>arsenal and liverpool fans left their seats empty at the emirates stadium .
the cheapest tickets for the lunchtime kick-off were £64 , some of the highest prices in the premier league .
protesters hope the image of empty seats will raise awareness of the struggles fans face to meet the rising costs of following their clubs .</t>
    <phoneticPr fontId="4" type="noConversion"/>
  </si>
  <si>
    <t>as</t>
    <phoneticPr fontId="4" type="noConversion"/>
  </si>
  <si>
    <t>protest</t>
    <phoneticPr fontId="4" type="noConversion"/>
  </si>
  <si>
    <t>20-8</t>
  </si>
  <si>
    <t>the cheapest tickets for the lunchtime kick-off were £64 , some of the highest prices in the premier league .</t>
  </si>
  <si>
    <t>protesters hope the image of empty seats will raise awareness of the struggles fans face to meet the rising costs of following their clubs .</t>
  </si>
  <si>
    <t>supporter groups say they are disgusted at premier league ticket prices .</t>
  </si>
  <si>
    <t>more protests are expected after the lunchtime kick-off at the emirates .</t>
  </si>
  <si>
    <t>21-8</t>
    <phoneticPr fontId="4" type="noConversion"/>
  </si>
  <si>
    <t>(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t>
    <phoneticPr fontId="4" type="noConversion"/>
  </si>
  <si>
    <t>sirens blared wednesday night in kansas as several storms brought reports of twisters .
`` nighttime tornadoes are the most deadly , are the most dangerous , '' other reports of tornadoes came in from southwestern kansas .</t>
    <phoneticPr fontId="4" type="noConversion"/>
  </si>
  <si>
    <t>sirens blared wednesday night in kansas as several storms brought reports of twisters .</t>
  </si>
  <si>
    <t>`` nighttime tornadoes are the most deadly , are the most dangerous , '' other reports of tornadoes came in from southwestern kansas .</t>
  </si>
  <si>
    <t>21-8</t>
  </si>
  <si>
    <t>kansas spotters report at least four tornadoes .</t>
  </si>
  <si>
    <t>potosi , missouri , sees wind damage to roofs and some flooding .</t>
  </si>
  <si>
    <t>thursday 's forecast calls for more storms but to the east .</t>
  </si>
  <si>
    <t>22-8</t>
    <phoneticPr fontId="4" type="noConversion"/>
  </si>
  <si>
    <t>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 while the baby 's mother was not a suitable match , her twin sister proved an ideal candidate . they are pictured as children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it’s all thanks to my twin sister . i can’t thank her enough , ' her other added . speaking of the decision , shanell said : ' i didn’t hesitate to step forward to save star . she’s my niece and i would do anything to help her . ’ since the operation in november baby star has made a good recovery as has her aunt shanell who said she did not hesitate when confronted with the choice of giving up part of her liver .</t>
    <phoneticPr fontId="4" type="noConversion"/>
  </si>
  <si>
    <t>jade reader was diagnosed with biliary atresia within days of being born in barnsley , west yorkshire .
after undergoing an operation to have her bile ducts unblocked , her parents , jade reader and matthew bygrave , were told the infant would need a liver transplant in order to survive .</t>
    <phoneticPr fontId="4" type="noConversion"/>
  </si>
  <si>
    <t>neither of her parents were suitable candidates for partial liver transplant .</t>
  </si>
  <si>
    <t>her maternal aunt shanell was the best chance she had at survival .</t>
  </si>
  <si>
    <t>22-8</t>
  </si>
  <si>
    <t>star underwent operation in leeds in november and has since recovered .</t>
  </si>
  <si>
    <t>23-8</t>
    <phoneticPr fontId="4" type="noConversion"/>
  </si>
  <si>
    <t xml:space="preserve">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 machida lands a side kick as he works out in front of fans and media .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 machida is also coming off the back of a victory , against cb dollaway in brazil .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to see any mistakes he makes . ' i am very well prepared for this fight . i had eight weeks of camp and i had great training . glover [ teixeira ] was there and many , many other fighters . so i am feeling very well , very calm , and i think i can do a great job . '  </t>
    <phoneticPr fontId="4" type="noConversion"/>
  </si>
  <si>
    <t>the californian is bidding for his fourth consecutive victory since losing to vitor belfort two years ago and has a title shot in his sights .
the californian is bidding for his fourth consecutive victory since losing to vitor belfort two years ago and has a title shot in his sights .</t>
    <phoneticPr fontId="4" type="noConversion"/>
  </si>
  <si>
    <t>luke rockhold takes on lyoto machida in new jersey on saturday .</t>
  </si>
  <si>
    <t>rockhold believes he has to dominate machida to earn the win .</t>
  </si>
  <si>
    <t>23-8</t>
  </si>
  <si>
    <t>the californian is bidding for his fourth consecutive victory since losing to vitor belfort two years ago and has a title shot in his sights .</t>
  </si>
  <si>
    <t>24-8</t>
    <phoneticPr fontId="4" type="noConversion"/>
  </si>
  <si>
    <t>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 17-goal man eden hazard and youngster nathan ake took on blues ' team-mates loic remy and willian . from there , they take to a makeshift tennis court , where the net is replaced by a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£127,000 r8 v10 plus audi , which played the part of tennis net in one challenge . the final challenge involved the players shooting at cars from long range , with remy and willian winning . hazard throws footballs up to his team-mate ake , who tries to fire them into the boot of an audi .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 willian laughs after being allowed to drive one of the audi 's that was part of the football challenge .</t>
    <phoneticPr fontId="4" type="noConversion"/>
  </si>
  <si>
    <t>eden hazard and nathan ake paired up to take on loic remy and willian in a head-to-head challenge for the car manufacturers .
in round one , the chelsea stars aim to fire balls into the boot of a car from close range , with hazard and ake securing the points with a 5-3 win .</t>
    <phoneticPr fontId="4" type="noConversion"/>
  </si>
  <si>
    <t>in round one , the chelsea stars aim to fire balls into the boot of a car from close range , with hazard and ake securing the points with a 5-3 win .</t>
  </si>
  <si>
    <t>willian accidentally smashes the wing mirror of one of the audi 's .</t>
  </si>
  <si>
    <t>25-8</t>
    <phoneticPr fontId="4" type="noConversion"/>
  </si>
  <si>
    <t>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 the video maker can be heard saying that the plane’s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 he added : ‘it’s amazing the aeroplane engines did not get destroyed during the propellers impact and the pilot did not stall during the forced take-off with the high angle of attack and damaged propellers . ’ according to wpbf 25 news , the plane’s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t>
    <phoneticPr fontId="4" type="noConversion"/>
  </si>
  <si>
    <t>the light general aviation aircraft approaching the aero acres residential airpark .
despite the fact the aerostar plane travels at speed , its descent towards the landing strip appears normal until the video maker makes a startling observation .
the plane touches down with a bump and scratches along the tarmac .</t>
    <phoneticPr fontId="4" type="noConversion"/>
  </si>
  <si>
    <t>at speed</t>
    <phoneticPr fontId="4" type="noConversion"/>
  </si>
  <si>
    <t>despite the fact the aerostar plane travels at speed , its descent towards the landing strip appears normal until the video maker makes a startling observation .</t>
  </si>
  <si>
    <t>25-8</t>
  </si>
  <si>
    <t>filmmaker points out that the pilot has not deployed the landing gear .</t>
  </si>
  <si>
    <t>its propellers ricochet off the ground before pilot re-engages engines .</t>
  </si>
  <si>
    <t>aircraft takes off and flies 100 miles away to fort lauderdale , florida .</t>
  </si>
  <si>
    <t>26-8</t>
    <phoneticPr fontId="4" type="noConversion"/>
  </si>
  <si>
    <t xml:space="preserve">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 tragic : john timmons , 29 , and amanda murphy , 24 , were killed instantly in the crash on december 7 , 2013 . pregnant : this is an ultrasound of the couple 's unborn baby who they were going to call reagan elizabeth .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he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 </t>
    <phoneticPr fontId="4" type="noConversion"/>
  </si>
  <si>
    <t>john timmons , 29 , and amanda murphy , 24 , were killed instantly in the crash on december 7 , 2013 .
prosecutors previously said that robert dellinger , 54 , told investigators he was trying to kill himself in december 2013 when he drove his pickup truck across a median at more than 100mph .
the crash killed 24-year-old amanda murphy , who was eight months pregnant , and her fiance , 29-year-old jason timmons .</t>
    <phoneticPr fontId="4" type="noConversion"/>
  </si>
  <si>
    <t>john timmons , 29 , and amanda murphy , 24 , were killed instantly in the crash on december 7 , 2013 .</t>
  </si>
  <si>
    <t>dellinger pleaded guilty in february to negligent homicide for their deaths , and to assault for the death of the fetus .</t>
  </si>
  <si>
    <t>26-8</t>
  </si>
  <si>
    <t>he faces 12 to 24 years in prison when sentencing resumes thursday .</t>
  </si>
  <si>
    <t>deborah dellinger , defendant 's wife , described her husband from the witness stand as a ' man of ethics , integrity and friendship ' .</t>
  </si>
  <si>
    <t>27-8</t>
    <phoneticPr fontId="4" type="noConversion"/>
  </si>
  <si>
    <t>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 manuel pellegrini has admitted he has been disappointed by the ivory coast midfielder 's level . ‘ i don’t think he’s happy with his performance this year — and nor am i , ’ said pellegrini . ‘ he doesn’t need a break . ’ toure , who has two years left on a £220,000-a-week deal , has come in for criticism amid the collapse of city’s premier league defence . but pellegrini , who faces questions over his own future , said the 31-year-old would be backed . ‘he’s a very important player and he will have my support until the end of the season , ’ he said . city , who have taken just 18 points from the last available 39 , take on sam allardyce’s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‘we’ve let the manager down a few times and we’ve baffled ourselves because we feel like we’ve got the quality to beat anyone and that’s not been the case . ’ city boss pellegrini has vowed to support toure until at least the end of the season . sportsmail revealed that manchester city will listen to offers for toure in the summer . hart added that pellegrini retained the backing of the dressing room . ‘he’s been great , ’ hart said . ‘he’s hard , he kind of says it how it is and you can’t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 sam allardyce has warned cresswell not to make same mistake as other english players by moving to city .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t>
    <phoneticPr fontId="4" type="noConversion"/>
  </si>
  <si>
    <t>manuel pellegrini has admitted he has been disappointed by the ivory coast midfielder 's level .
manchester city midfielder had underperformed and dismissed claims he should be given a rest .
city will also face the hammers without captain vincent kompany .</t>
    <phoneticPr fontId="4" type="noConversion"/>
  </si>
  <si>
    <t>manchester city midfielder had underperformed and dismissed claims he should be given a rest .</t>
  </si>
  <si>
    <t>sportsmail revealed manchester city would listen to offers for yaya toure .</t>
  </si>
  <si>
    <t>27-8</t>
  </si>
  <si>
    <t>but the city boss has vowed to support him until the end of the season .</t>
  </si>
  <si>
    <t>sam allardyce has warned aaron cresswell about joining manchester city .</t>
  </si>
  <si>
    <t>28-8</t>
    <phoneticPr fontId="4" type="noConversion"/>
  </si>
  <si>
    <t xml:space="preserve">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scroll down for video . garnett-paul spears ' ( left ) father chris hill ( right ) lashed at his ex and the boy 's mother on facebook this week expressing his hope that she would die in prison . lacey spears of scottsville , kentucky , was found guilty last month of second-degree murder in the death of her son at a suburban new york hospital ( pictured wednesday ) . she was spared the maximum 25 years to life and instead received 20 , showing no emotion when she was sentenced . as the conversation continued on his facebook page the father , who said he was tired of crying over the loss of his boy , stated ; ' crazy a** woman needs to be beat to death in prison . ' he also noted his ex 's complete lack of emotion at her sentencing , writing ; ' no emotion what so ever . what the hell ! ? ?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 spears ' lawyer stephen riebling said she was innocent and blamed the hospital for negligence as he revealed plans to appeal the verdict . while awaiting sentencing , she was being held at westchester county jail in valhalla , said a spokesman for westchester district attorney janet difiore . prosecutors blamed spears , who lived in chestnut ridge , about 32 miles north of new york city , for her son 's short and tormented life . prosecutors blamed spears , who lived in chestnut ridge , about 32 miles ( 51 km ) north of new york city , for her son'sshort and tormented life .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prosecutor said .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trial . spears did not testify at the trial . </t>
    <phoneticPr fontId="4" type="noConversion"/>
  </si>
  <si>
    <t>lacey spears of scottsville , kentucky , was found guilty last month of second-degree murder in the death of her son at a suburban new york hospital .
the boy 's father , chris hill , was not emotionless however and wrote of his wife 's sentence ; ' please put her in general population ! thats all im asking for ! because she wont make it .
thats all im asking for ! because she wont make it ' .</t>
    <phoneticPr fontId="4" type="noConversion"/>
  </si>
  <si>
    <t>thats all im asking for ! because she wont make it ' .</t>
  </si>
  <si>
    <t>the 27-year-old spears force-fed heavy concentrations of sodium through the boy 's stomach tube .</t>
  </si>
  <si>
    <t>28-8</t>
  </si>
  <si>
    <t>judge who sentenced spears on wednesday said she suffers from a mental illness and said the crime was still ' unfathomable in its cruelty ' .</t>
  </si>
  <si>
    <t>she showed no emotion when she was sentenced to 20 years in prison .</t>
  </si>
  <si>
    <t>29-8</t>
    <phoneticPr fontId="4" type="noConversion"/>
  </si>
  <si>
    <t>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 asked about the costs of this kind of extradition process , mr grange said they were likely to be in the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t>
    <phoneticPr fontId="4" type="noConversion"/>
  </si>
  <si>
    <t>domenico rancadore has lived in britain for more than 20 years .
he was given a seven-year sentence in 1999 for being a member of the cosa nostra .
but today it emerged that the 65-year-old 's case expired last october and his european arrest warrant is to be withdrawn .
the case expired last october and his european arrest warrant is to be withdrawn .</t>
    <phoneticPr fontId="4" type="noConversion"/>
  </si>
  <si>
    <t>the case expired last october and his european arrest warrant is to be withdrawn .</t>
  </si>
  <si>
    <t>domenico rancadore has lived in britain for more than 20 years .</t>
  </si>
  <si>
    <t>29-8</t>
  </si>
  <si>
    <t>he was convicted for role as a ' man of honour ' , taking bribes from builders .</t>
  </si>
  <si>
    <t>in february the sicilian mafia fugitive lost battle against extradition to italy .</t>
  </si>
  <si>
    <t>30-8</t>
    <phoneticPr fontId="4" type="noConversion"/>
  </si>
  <si>
    <t xml:space="preserve">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 </t>
    <phoneticPr fontId="4" type="noConversion"/>
  </si>
  <si>
    <t>stocks of the influenza vaccine are arriving a month later than expected as scientists have included protection against influenza a strain h3n2 and influenza b strain b/phuket .
stocks of the influenza vaccine are arriving a month later than expected as scientists have included protection against influenza b strain b/phuket .</t>
    <phoneticPr fontId="4" type="noConversion"/>
  </si>
  <si>
    <t>stocks of the influenza vaccine are arriving a month later than expected as scientists have included protection against influenza b strain b/phuket .</t>
  </si>
  <si>
    <t>flu strains h3n2 and b/phuket triggered spike in deaths in u.s. and europe .</t>
  </si>
  <si>
    <t>30-8</t>
  </si>
  <si>
    <t>high-risk groups in australia will be able to get free flu shots from april 20 .</t>
  </si>
  <si>
    <t>31-8</t>
    <phoneticPr fontId="4" type="noConversion"/>
  </si>
  <si>
    <t>mr mole , ap mccoy’s mount in the grade one celebration chase at sandown on saturday , has been installed as one of three 7-2 co-favourites in the seven-runner line-up . paul nicholls-trained mr mole is bracketed with irish raider special tiara and nicky henderson’s sprinter sacre , who will be ridden by cheltenham gold cup winner nico de boinville in the absence of injured barry geraghty . ap mccoy and mr mole will have six rivals in the grade one celebration chase at sandown on saturday . mr mole will be mccoy’s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t>
    <phoneticPr fontId="4" type="noConversion"/>
  </si>
  <si>
    <t>ap mccoy’s mount in the grade one celebration chase at sandown on saturday .
paul nicholls-trained mr mole is bracketed with irish raider special tiara and nicky henderson’s sprinter sacre .
mr mole will be mccoy’s last ride in a grade one race chase at sandown .</t>
    <phoneticPr fontId="4" type="noConversion"/>
  </si>
  <si>
    <t>has been</t>
  </si>
  <si>
    <t>installed</t>
  </si>
  <si>
    <t>31-8</t>
  </si>
  <si>
    <t>one</t>
    <phoneticPr fontId="4" type="noConversion"/>
  </si>
  <si>
    <t>of</t>
    <phoneticPr fontId="4" type="noConversion"/>
  </si>
  <si>
    <t>three</t>
    <phoneticPr fontId="4" type="noConversion"/>
  </si>
  <si>
    <t>7-2</t>
    <phoneticPr fontId="4" type="noConversion"/>
  </si>
  <si>
    <t>co-favourites</t>
  </si>
  <si>
    <t>32-8</t>
    <phoneticPr fontId="4" type="noConversion"/>
  </si>
  <si>
    <t>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 bruce rauner participates in ceremonies honoring president abraham lincoln at the lincoln tomb in springfield , illinois . leader : a marker is seen over the burial site of abraham lincoln inside lincoln 's tomb within oak ridge cemetery ( november 2013 file photo ) . killing : president lincoln was assassinated by john wilkes booth at a performance of the play ' our american cousin ' in april 1865 .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 shrouded in history : caretakers of abraham lincoln 's tomb are on the defensive over an unflattering critique in national geographic magazine and looming budget cuts that could threaten management of the historic site ( february 2014 file photo )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 lincoln 's tomb was designed by vermont sculptor larkin mead , who won a national contest . it was dedicated by president ulysses s. grant in 1874 ( november 2013 file photo ) .</t>
    <phoneticPr fontId="4" type="noConversion"/>
  </si>
  <si>
    <t>caretakers of abraham lincoln 's tomb are on the defensive over an unflattering critique in national geographic magazine .
the timing of a ceremony wednesday in springfield to mark his death is awkward because illinois faces a financial crisis and gov .
bruce rauner has proposed eliminating the state historic preservation agency that manages sites including the tomb .
illinois faces a financial crisis and gov .
bruce rauner has proposed eliminating the state historic preservation agency that manages sites including the tomb .</t>
    <phoneticPr fontId="4" type="noConversion"/>
  </si>
  <si>
    <t xml:space="preserve">the timing of a ceremony wednesday in springfield to mark his death is awkward because illinois faces a financial crisis </t>
  </si>
  <si>
    <t>illinois faces a financial crisis and gov .bruce rauner has proposed eliminating the state historic preservation agency that manages sites including the tomb .</t>
  </si>
  <si>
    <t>32-8</t>
  </si>
  <si>
    <t>the site was pilloried in this month 's issue of national geographic magazine as having ' all the historical character of an office lobby ' .</t>
  </si>
  <si>
    <t>rauner would roll the agency into another department .</t>
  </si>
  <si>
    <t>lincoln 's tomb was designed by vermont sculptor larkin mead , who won a national contest .</t>
  </si>
  <si>
    <t>it was dedicated by president ulysses s. grant in 1874 .</t>
  </si>
  <si>
    <t>the tomb was reconstructed in both 1899 and 1930 .</t>
  </si>
  <si>
    <t>33-8</t>
    <phoneticPr fontId="4" type="noConversion"/>
  </si>
  <si>
    <t xml:space="preserve">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  </t>
    <phoneticPr fontId="4" type="noConversion"/>
  </si>
  <si>
    <t>virginia trimble ritter 's daughter , marcia , was raped and choked to death by jerome sydney barrett in 1975 .
marcia 's body was found 33 days after she disappeared and ritter 's then-husband advised her against seeing the body and the crime scene photos .
marcia 's body was found 33 days after she disappeared and ritter 's then-husband advised her against seeing the body and the crime scene photos .
marcia 's body was found 33 days after she disappeared and ritter 's then-husband advised her against seeing the body and the crime scene photos .</t>
    <phoneticPr fontId="4" type="noConversion"/>
  </si>
  <si>
    <t>marcia 's body was found 33 days after she disappeared and ritter 's then-husband advised her against seeing the body and the crime scene photos .</t>
  </si>
  <si>
    <t>33-8</t>
  </si>
  <si>
    <t>the case was nashville 's most notorious unsolved murder for 33 years .</t>
  </si>
  <si>
    <t>ritter , who did not see her daughter 's body at the time , recently asked to see the photos investigators took at the scene .</t>
  </si>
  <si>
    <t>after seeing the photos , ritter said she shouted , ' if i had a gun i 'd kill him ! '</t>
  </si>
  <si>
    <t>34-8</t>
    <phoneticPr fontId="4" type="noConversion"/>
  </si>
  <si>
    <t xml:space="preserve">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scroll down for video . jcno jeans , popular at nineties raves , are threatening to make a comeback . 1 . the bucket hat .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 now : pop star rihanna , 27 , was spotted in july 2014 wearing a floppy bucket hat . 2 . camouflage print .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 then : destiny 's child wore camouflage print in garish variations of bright blue back in 2001 . now : jourdan dunn , 24 , attempted to bring back the camouflage look in the form of skinny trousers and a crop top in february 2015 . 3 . taking it to the max .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 now : 17-year-old reality star kylie jenner sported double denim out and about in los angeles earlier this month . 4 . ugg boots .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 5 . daisy dukes .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 6 . juicy couture tracksuits .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 now : nicki minaj stepped out in 2014 in the red version of the juicy couture tracksuit , proving that it 's maintained its popularity since the noughties . 7 . coloured sunglasses . rainbow lenses were a nineties favourite for boy bands such as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 now : model cara delevingne and reality star kylie jenner are both fans of coloured sunglasses . 8 . corsets as outfits .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 not very posh : victoria beckham sported tight corset structured dresses to events such as the mtv movie awards in 2007 ( pictured left ) and the victoria 's secret fashion show in 2007 ( pictured right ) . now : selena gomez works a sultry look to an awards ceremony with a corset-based gown . 9 . harem trousers .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 now : supermodel elle macpherson steps out in a pair of leopard print harem trousers .  </t>
    <phoneticPr fontId="4" type="noConversion"/>
  </si>
  <si>
    <t>jcno jeans , popular at nineties raves , are threatening to make a comeback .
the return of the highly impractical jeans , which featured giant leg openings approaching 50in , has us contemplating the retro fashion nineties .</t>
    <phoneticPr fontId="4" type="noConversion"/>
  </si>
  <si>
    <t>other 90s/00s trends here to stay include uggs , velour and corsets</t>
  </si>
  <si>
    <t>35-8</t>
    <phoneticPr fontId="4" type="noConversion"/>
  </si>
  <si>
    <t xml:space="preserve">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 </t>
    <phoneticPr fontId="4" type="noConversion"/>
  </si>
  <si>
    <t>rory mcilroy tees off at the arnold palmer invitational golf tournament in orlando on march 19 .
the world number one has revealed how his final-round collapse at augusta national in 2011 was the most important day of his career .
mcilroy has just one top-10 finish to his name in six masters appearances .</t>
    <phoneticPr fontId="4" type="noConversion"/>
  </si>
  <si>
    <t>rory mcilroy tees off at the arnold palmer invitational golf tournament in orlando on march 19 .</t>
  </si>
  <si>
    <t>the northern irishman finished joint eighth last year .</t>
  </si>
  <si>
    <t>36-8</t>
    <phoneticPr fontId="4" type="noConversion"/>
  </si>
  <si>
    <t>(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until now . families will have to find a new way to cheer up mourners , because the strippers are the latest focus of the country 's crackdown on vice . rdj grew increasingly agitated as a channel 4 interviewer from the uk asked about his private life on tuesday . oh , those kardashians . they seem to spawn a new trend every other week . the latest : lip plumping . by sucking on a jar . to look like kylie jenner . seriously . it even has a hashtag : # kyliejennerchallenge . with help from some filmmakers , 102-year-old alice barker went back in time . a prom-posal that referenced bombs ? one school would n't have it , but the prom-poser accuses administrators of racism . ewan mcgregor to play lumiere in ' beauty and the beast ' . this cast continues to draw lots of interest on social media . johnny depp is nearly unrecognizable in the ' black mass ' trailer . this chameleon strikes again . here 's one way to announce you 're pregnant : reference `` the fresh prince of bel-air . '' and a military dad photobombs his son ? kudos for originality this week .</t>
    <phoneticPr fontId="4" type="noConversion"/>
  </si>
  <si>
    <t>amanda curtis is ceo of a fashion company , snapped the lucky shot .
in rural china , hiring exotic dancers to perform at wakes is an increasingly common practice .
families will have to find a new way to cheer up mourners .</t>
    <phoneticPr fontId="4" type="noConversion"/>
  </si>
  <si>
    <t>amanda curtis is ceo of a fashion company , snapped the lucky shot .</t>
  </si>
  <si>
    <t>in rural china , hiring exotic dancers to perform at wakes is an increasingly common practice .</t>
  </si>
  <si>
    <t>36-8</t>
  </si>
  <si>
    <t>families will have to find a new way to cheer up mourners .</t>
  </si>
  <si>
    <t>what do funeral strippers , a quadruple rainbow and kylie jenner have in common ? they all trended this week !</t>
  </si>
  <si>
    <t>37-8</t>
    <phoneticPr fontId="4" type="noConversion"/>
  </si>
  <si>
    <t xml:space="preserve">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 an emotional klopp said he believed dortmund need a change of manager next season . klopp will officially cease to be dortmund manager on june 30 as he looks for a fresh start elsewhere . klopp has enjoyed seven largely successful years in charge at the westfalenstadion . the emotion was clear to see as klopp announced he was leaving the club on wednesday . klopp leaves the press conference after confirming his departure as dortmund boss in the summer . klopp was alongside chief executive hans-joachim watzke ( left ) and sporting director michael zorc ( right ) . after the press conference , klopp joined the dortmund squad for a training session . klopp speaks to the players in training , shortly after making the announcement he would be leaving the club . dortmund are preparing for their home bundesliga match with paderborn at the weekend . klopp issues instructions to his defender mats hummels during wednesday 's training session . klopp , wearing a club tracksuit and baseball cap , cuts a lonely figure on the training ground . a downcast klopp during dortmund 's 3-1 loss to borussia monchengladbach at the weekend . man city – the premier league champions are unlikely to deviate from their top target pep guardiola as speculation continues to surround manuel pellegrini 's future – 3/10 . liverpool – klopp has been linked with the anfield job on previous occasions but brendan rodgers has come through a difficult spell and appears to be safe – 5/10 . arsenal – with the gunners on course for second place and the chance to retain the fa cup , it would be a surprise if they looked to replace arsene wenger now – 4/10 . bayern munich – klopp has appeared on bayern 's radar before and could do so again despite their intense rivalry with dortmund – 6/10 . real madrid – carlo ancelotti is on thin ice at the bernabeu but klopp has said he wants to work at a club where he speaks the language – 6/10 .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 dejected dortmund players neven subotic , mats hummels , sokratis and ciro immobile after saturday 's loss . the season has been one of struggle for dortmund , who flirted with relegation from the bundesliga . april 18 paderborn ( h ) . april 25 eintracht frankfurt ( h ) . april 28 bayern munich ( a ) . dfb-pokal semi-final . may 2 hoffenheim ( a ) . may 9 hertha berlin ( h ) . may 16 wolfsburg ( a ) . may 23 werder bremen ( h )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 the news about klopp 's future will place a number of premier league clubs on alert . bundesliga 2010-11 , 2011-12 . german cup 2011-12 . dfl-supercup 2013 , 2014 . t-home supercup 2008 . uefa champions league runner-up 2012-13 . german manager of the year 2011 , 2012 . klopp 's record at dortmund . pld 309 w 175 d 67 l 67 win % 56.63 .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 </t>
    <phoneticPr fontId="4" type="noConversion"/>
  </si>
  <si>
    <t>jurgen klopp put england 's top clubs on alert after seven years in charge .
klopp was immediately installed as the bookmakers ' favourite to replace manuel pellegrini at manchester city .
klopp was alongside chief executive hans-joachim watzke and sporting director michael zorc .</t>
    <phoneticPr fontId="4" type="noConversion"/>
  </si>
  <si>
    <t>klopp was immediately installed as the bookmakers ' favourite to replace manuel pellegrini at manchester city , although it is understood that the struggling premier league champions have no plans to make such a move .</t>
  </si>
  <si>
    <t>jurgen klopp put england 's top clubs on alert after seven years in charge .</t>
  </si>
  <si>
    <t>37-8</t>
  </si>
  <si>
    <t>klopp was alongside chief executive hans-joachim watzke and sporting director michael zorc .</t>
  </si>
  <si>
    <t>jurgen klopp will leave borussia dortmund after seven years in charge .</t>
  </si>
  <si>
    <t>he has denied that he wants to take a break because of exhaustion .</t>
  </si>
  <si>
    <t>premier league clubs could make a move for klopp this summer .</t>
  </si>
  <si>
    <t>but he is unlikely to replace manuel pellegrini at manchester city .</t>
  </si>
  <si>
    <t>klopp has won two bundesliga titles and the german cup at dortmund .</t>
  </si>
  <si>
    <t>he has admitted that he is no longer the perfect manager for the club .</t>
  </si>
  <si>
    <t>38-8</t>
    <phoneticPr fontId="4" type="noConversion"/>
  </si>
  <si>
    <t>the miami open is threatening to turn into national cake week , after serena williams became the latest recipient of a giant celebration present after she clocked her 700th career victory . the day following andy murray’s 500th win another huge cake was wheeled out to mark williams reaching the semi-final with a 7-6 , 1-6 , 6-3 progression over germany’s sabine lisicki . williams’s hopes of another meeting with sister venus were dashed by her elder sibling’s defeat to spain’s carla suarez navarro , but the world no 1 was intent on staying alive in what is the nearest thing she has to a hometown event . serena williams strikes a pose next to her cake after recording her 700th career victory . williams beat sabine lisicki in three sets on wednesday to progress to the semi-finals of the miami open . willaims celebrates as the world no 1 sealed a match against either sloane stephens or simona halep . andy murray pretends to take a bite out a celebratory cake presented to him after winning his 500th match .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 lisicki and williams shake hands at the net after the tight match at the miami open . simona halep celebrates after beating sloane stephens to reach the miami open semi-finals .</t>
    <phoneticPr fontId="4" type="noConversion"/>
  </si>
  <si>
    <t>serena williams beat sabine lisicki 7-6 , 1-6 , 1-6 , 6-3 in the miami open .
the miami open is threatening to turn into national cake week .
williams beat sabine lisicki in three sets to reach the miami open semi-finals .</t>
    <phoneticPr fontId="4" type="noConversion"/>
  </si>
  <si>
    <t>the miami open is threatening to turn into national cake week .</t>
  </si>
  <si>
    <t>1-6</t>
    <phoneticPr fontId="4" type="noConversion"/>
  </si>
  <si>
    <t>38-8</t>
  </si>
  <si>
    <t>world no 1 presented with cake after 700th career victory .</t>
  </si>
  <si>
    <t>andy murray was similarly given reward after 500th career win .</t>
  </si>
  <si>
    <t>39-8</t>
    <phoneticPr fontId="4" type="noConversion"/>
  </si>
  <si>
    <t>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scroll down for video . warning : new figures show that 272 youngsters left disabled by foetal alcohol syndrome were hospitalised in england over the past 12 months , according to the official health and social care information centre .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they are brain damaged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visit www.fasdtrust.co.uk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t>
  </si>
  <si>
    <t>at least one in 100 babies born in the uk could suffer learning and behavioural problems .
at least one in 100 babies born in the uk could suffer learning and behavioural problems .
the actual number affected by their mother ' s drinking could be far greater .</t>
    <phoneticPr fontId="4" type="noConversion"/>
  </si>
  <si>
    <t>at least one in 100 babies born in the uk could suffer learning and behavioural problems .</t>
  </si>
  <si>
    <t>272 children left disabled by alcohol exposure were hospitalised last year .</t>
  </si>
  <si>
    <t>40-8</t>
    <phoneticPr fontId="4" type="noConversion"/>
  </si>
  <si>
    <t>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t>
    <phoneticPr fontId="4" type="noConversion"/>
  </si>
  <si>
    <t>mahmud 's killing broke hearts beating for non-violence and progressive values across the country .
mahmud 's killing broke hearts beating for non-violence and progressive values across the country .
mahmud 's killing broke hearts beating for non-violence and progressive values across the country .</t>
    <phoneticPr fontId="4" type="noConversion"/>
  </si>
  <si>
    <t>mahmud 's killing broke hearts beating for non-violence and progressive values across the country .</t>
  </si>
  <si>
    <t>40-8</t>
  </si>
  <si>
    <t>mahmud 's killing broke hearts beating for non-violence and progressive values across the country .</t>
    <phoneticPr fontId="4" type="noConversion"/>
  </si>
  <si>
    <t>she hosted a controversial discussion on the disappearance of people .</t>
  </si>
  <si>
    <t>she knew what she was doing was dangerous and had received death threats before .</t>
  </si>
  <si>
    <t>mahmud loved books , jimi hendrix and discussions about human rights .</t>
  </si>
  <si>
    <t>41-8</t>
    <phoneticPr fontId="4" type="noConversion"/>
  </si>
  <si>
    <t>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8pm on march 15 . the masked 31-year-old waved an axe as he demanded cash from terrified assistant andrea brighty , but he did not see owner sab dhillon 's rugby tackle which dropped him to the floor , sending shelves and produce tumbling . scroll down for video . as the men wrestled , sab dhillon 's wife sam helped by hitting mckerry with a baseball bat . she struck him twice , helping to disarm him while her husband twisted him around to reveal his face to the cameras .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 mr dhillon said mckerry was waving the axe around when he jumped on him and wrestled him to the floor .</t>
    <phoneticPr fontId="4" type="noConversion"/>
  </si>
  <si>
    <t>ex-juvenile offender shaun andrew mckerry burst into shildon post office and stores , county durham , at 8pm on march 15 .
masked 31-year-old waved an axe as he demanded cash from terrified assistant andrea brighty , but he did not see owner sab dhillon 's rugby tackle .</t>
    <phoneticPr fontId="4" type="noConversion"/>
  </si>
  <si>
    <t>masked 31-year-old waved an axe as he demanded cash from terrified assistant andrea brighty , but he did not see owner sab dhillon 's rugby tackle .</t>
  </si>
  <si>
    <t>an axe-wielding robber has been jailed for attempting to rob a corner shop .</t>
  </si>
  <si>
    <t>41-8</t>
  </si>
  <si>
    <t>he was later revealed to be a juvenile offender nicknamed boomerang boy .</t>
  </si>
  <si>
    <t>shaun andrew mckerry , 31 , had been arrested 80 times by the age of 15 .</t>
  </si>
  <si>
    <t>42-8</t>
    <phoneticPr fontId="4" type="noConversion"/>
  </si>
  <si>
    <t>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 a hindu , traditional healer ram lives a slum house within india 's only muslim-majority state . its rulers have refused to give the west pakistan refugees ( wprs ) the right to own property or vote in state elections - meaning three generations are caught in abject poverty .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 ram , aged 82 , with the success of prime minister narendra modi 's hindu nationalist party at a recent state vote , he says he is hopeful change will come for the west pakistan refugees : ' if something can be done , then maybe i will finally have some enjoyment in this life ' . around 100,000 people are classified as refugees - despite most of them never visiting pakistan , and living in the jammu region of india .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 generations of families have become stuck in poverty because of their continuing refugee status . successive governments have failed to act to due , say commentators , to a fear of upsetting the demographic balance of the state between the muslim and hindu populations .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£2 , walks in surej chak . the community live in poverty , while kashmir is one of india 's more prosperous states . activist labha ram gandhi said : ' granting us state-subject rights is the only way to improve our condition ' . with a hindu nationalist party winning a share of power in kashmir , there is hope . bharatiya janata party are expected to champion the refugees ' cause . but a veteran activist labha ram ghandi warned the community is not afraid to take matters into their own hands .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source : associated press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‘ridiculous’ , adding : ‘ i was born here ( in india ) . my roots are here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 .</t>
    <phoneticPr fontId="4" type="noConversion"/>
  </si>
  <si>
    <t>prime minister narendra modi 's hindu nationalist party won a share of power in india 's only muslim-majority state .
ram was 14 when he fled to kashmir as a refugee for the past 70 years he has been denied citizenship rights .
ram , a hindu , was born in an area of punjab province , part of modern-day pakistan .</t>
    <phoneticPr fontId="4" type="noConversion"/>
  </si>
  <si>
    <t>ram was 14 when he fled to kashmir as a refugee for the past 70 years he has been denied citizenship rights .</t>
  </si>
  <si>
    <t>prime minister narendra modi 's hindu nationalist party won a share of power in india 's only muslim-majority state .</t>
  </si>
  <si>
    <t>42-8</t>
  </si>
  <si>
    <t>ram , a hindu , was born in an area of punjab province , part of modern-day pakistan .</t>
  </si>
  <si>
    <t>thousands of people caught in poverty because successive governments refuse to change their refugee status .</t>
  </si>
  <si>
    <t>laws mean that the west pakistan refugees living in jammur and kashmir can not vote in elections or own property .</t>
  </si>
  <si>
    <t>hopes that election of hindu nationalist party as a coalition partner could herald historic change for the community .</t>
  </si>
  <si>
    <t>43-8</t>
    <phoneticPr fontId="4" type="noConversion"/>
  </si>
  <si>
    <t>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£2,000 for each of them but they also agreed to surrender their passports and live at the nearby stadacona naval base in halifax . accused : joshua finbow , 23 , a submarine engineer from stockbridge , hampshire , arrives at court today . two of the accused , simon radford , 31 , of gosport , hampshire and craig stoner , 24 , from stonehouse , gloucestershire hid their faces as they were led to a provincial court in dartmouth , nova scotia . darren smalley , 35 , of gosport , hampshire , and his co-accused were ordered to surrender their passports as part of their bail conditions .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macdougall’s questions . charged : royal navy sailors joshua finbow , 23 , ( left ) and simon radford , 31 , ( right ) appeared in court . held : craig stoner , 24 , ( left ) and darren smalley , 35 , ( right ) are being held by military police in canada .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‘serious’ but stressed they were as yet only allegations . naval base : the east coast navy base at halifax , nova scotia , near to where the alleged incident occurred . military base : an aerial view of the shearwater military base where four british sailors are accused of assaulting a civilian . the commander , who drove the car the men left the court in , added : ‘we’re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sorry we are not currently accepting comments on this article .</t>
    <phoneticPr fontId="4" type="noConversion"/>
  </si>
  <si>
    <t>joshua finbow , 35 , of gosport , hampshire , arrives at court today .
two of the accused gang rape of a young woman must stay in nova scotia .
they also agreed to surrender their passports and live at the nearby stadacona naval base in halifax , nova scotia .</t>
    <phoneticPr fontId="4" type="noConversion"/>
  </si>
  <si>
    <t>four royal navy sailors are bailed following hearing nova scotia , canada .</t>
  </si>
  <si>
    <t>three sailors are from hampshire , one is from gloucestershire .</t>
  </si>
  <si>
    <t>43-8</t>
  </si>
  <si>
    <t>they are charged with raping a 21-year-old woman at military base party .</t>
  </si>
  <si>
    <t>men were in canada playing a hockey tournament with canadian forces .</t>
  </si>
  <si>
    <t>joshua finbow , 35 , of gosport , hampshire , arrives at court today .</t>
  </si>
  <si>
    <t>two of the accused gang rape of a young woman must stay in nova scotia .</t>
  </si>
  <si>
    <t>they also agreed to surrender their passports and live at the nearby stadacona naval base in halifax , nova scotia .</t>
  </si>
  <si>
    <t>joshua finbow</t>
  </si>
  <si>
    <t>stockbridge</t>
  </si>
  <si>
    <t xml:space="preserve">two </t>
    <phoneticPr fontId="4" type="noConversion"/>
  </si>
  <si>
    <t>44-8</t>
    <phoneticPr fontId="4" type="noConversion"/>
  </si>
  <si>
    <t>fc tokyo forward yoshinori muto has admitted that he is still considering whether to join premier league leaders chelsea this summer . earlier this month club president naoki ogane claimed that the blues have made an offer - believed to be around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 chelsea have made an offer for muto according to fc tokyo president naoki ogane .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and also so confident . he has a lot of confidence . in our training games muto always had chances . amazing . he had 10 or 12 chances in every game . ' muto says he is still considering a move to chelsea as he wants to join a club where he will ' play and develop ' . chelsea boss jose mourinho had admitted that he is aware of the japan international . chelsea signed a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t>
    <phoneticPr fontId="4" type="noConversion"/>
  </si>
  <si>
    <t>chelsea have made an offer for muto for the japan international .
the blues have made an offer for muto according to president naoki ogane .
chelsea have made an offer for muto according to naoki ogane .</t>
    <phoneticPr fontId="4" type="noConversion"/>
  </si>
  <si>
    <t>for the japan international</t>
  </si>
  <si>
    <t>muto</t>
  </si>
  <si>
    <t>44-8</t>
  </si>
  <si>
    <t>the fc tokyo forward says he is still considering a move to london .</t>
  </si>
  <si>
    <t>muto 's former manager , ranko popovic , says his potential is ' amazing ' .</t>
  </si>
  <si>
    <t>jose mourinho has admitted that he is aware of the japan international .</t>
  </si>
  <si>
    <t>45-8</t>
    <phoneticPr fontId="4" type="noConversion"/>
  </si>
  <si>
    <t xml:space="preserve">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 as soon as rj was born , mrs jackson , from las vegas , knew there was something wrong with her son , after noticing a red rash spreading across his tiny chest .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 while out shopping with rj , mrs jackson , pictured left with her son in hospital , was suddenly surrounded by armed police . a member of the pubic had called officers reporting the 35-year-old for child abuse . ' it just shows the extent of people 's ignorance , ' mrs jackson said . she said her son has been treated as an outcast , having been denied entry to play centres and facing cruel jibes from people in the street .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source : ichthyosis support group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  </t>
    <phoneticPr fontId="4" type="noConversion"/>
  </si>
  <si>
    <t>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t>
    <phoneticPr fontId="4" type="noConversion"/>
  </si>
  <si>
    <t>mother valerie jackson is regularly accused of ' scalding or burning ' him .</t>
  </si>
  <si>
    <t>says rj faces cruel taunts from bullies - most of whom are ignorant adults .</t>
  </si>
  <si>
    <t>45-8</t>
  </si>
  <si>
    <t>his mother valerie jackson has to regularly cover him in creams to try and prevent his skin drying out .</t>
  </si>
  <si>
    <t>46-8</t>
    <phoneticPr fontId="4" type="noConversion"/>
  </si>
  <si>
    <t>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hodgson’s star names moved to bayern munich or barcelona , would the fa tell him not to pick them ? absolutely not . the same needs to apply to rugby . matt giteau 's stellar displays for toulon have put him back on the wallabies radar ahead of the world cup .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world’s best coming together and ridiculous rules like this demean it . toulon’s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 i don’t think armitage would be playing this well if he was still at london irish . he took a big risk and it paid off , he shouldn’t be penalised for it . if one or two england back-rowers wouldn’t want to see armitage in the squad , then that confirms he should be ! nick abendanon has also become better since he crossed the channel . it’s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of course i would . nick abendanon 's game has drastically improved since the former bath full back made the move to france . as england coach you will be judged on your world cup performance , even more so as the home team . that’s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don’t want to be left talking about ‘ what ifs’ . england head coach stuart lancaster has remained steadfast in his policy not to select overseas players . england players deserve to go on to the field knowing they have been given the best chance of winning . do the squad truly believe this when such talented players are not considered ? they shouldn’t be left to doubt they are playing only because of their home address . this isn’t about being disloyal to the clubs . they benefit from a winning england team , especially in a world cup year . you simply can’t let the rfu or premier rugby tie your hands behind your back and dictate who you can or can’t pick . at toulon , they’ve got bryan habana playing for south africa and leigh halfpenny playing for wales . they’re among the best players in the world . it’s just crazy and misguided not to make any englishman available for selection . well done , australia . bryan habana plays for toulon but the springboks have continued to select the winger for test matches .</t>
    <phoneticPr fontId="4" type="noConversion"/>
  </si>
  <si>
    <t>matt giteau 's stellar displays for toulon have put him back on the wallabies radar ahead of the world cup .
matt giteau 's turnover work and ball-carrying are second to none and since he upped sticks to france his game has constantly improved .
toulon 's steffon armitage takes on the leinster defence during the champions cup semi-final in marseille .</t>
    <phoneticPr fontId="4" type="noConversion"/>
  </si>
  <si>
    <t>matt giteau 's stellar displays for toulon have put him back on the wallabies radar ahead of the world cup .</t>
  </si>
  <si>
    <t>matt giteau 's turnover work and ball-carrying are second to none and since he upped sticks to france his game has constantly improved .</t>
  </si>
  <si>
    <t>46-8</t>
  </si>
  <si>
    <t>toulon 's steffon armitage takes on the leinster defence during the champions cup semi-final in marseille .</t>
  </si>
  <si>
    <t>australia have seen sense by revamping their overseas selection policy .</t>
  </si>
  <si>
    <t>it leaves england looking old-fashioned and they need to react .</t>
  </si>
  <si>
    <t>england need the best squad possible for the forthcoming world cup .</t>
  </si>
  <si>
    <t>47-8</t>
    <phoneticPr fontId="4" type="noConversion"/>
  </si>
  <si>
    <t>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 security threat : staveley revealed police were investigating a bomb threat made to the company .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 the company boss revealed protein world has received ' threats on our head office , physical and violent threats ' . he added : ' we had a bomb threat ... that’s been reported to the police . it’s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£45 per kilogram tub - are rocketing in the uk , growing from £73m in 2007 to £170m in 2012 . they are expected to reach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isn’t an excuse for being fat . eat less , move more . ' and writer samantha brick , who is open about feeling confident about her looks , posted a provocative update on facebook : ' just ordered my size 8 yellow bikini for my beach hols in june . i will be bikini ready . *that* ad totally worked for me . '</t>
    <phoneticPr fontId="4" type="noConversion"/>
  </si>
  <si>
    <t>transport for london ( tfl ) has revealed that the posters are being removed .
one of the many protein world posters on the london underground have been defaced .
one of the images have also been defaced by bloggers , angry at the perceived insinuation that only women who look like renee are ready to go to the beach .</t>
    <phoneticPr fontId="4" type="noConversion"/>
  </si>
  <si>
    <t>one of the many protein world posters on the london underground have been defaced .</t>
  </si>
  <si>
    <t>one of the images have also been defaced by bloggers , angry at the perceived insinuation that only women who look like renee are ready to go to the beach .</t>
  </si>
  <si>
    <t>tfl say protein world has come to end of three-week ad placement period .</t>
  </si>
  <si>
    <t>a rally has been organised against protein world in hyde park on may 2 .</t>
  </si>
  <si>
    <t>48-8</t>
    <phoneticPr fontId="4" type="noConversion"/>
  </si>
  <si>
    <t>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 firechat launched last year and has been downloaded more than five million times . it takes advantage of a feature that launched in apple’s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apple uses the framework for its airdrop feature , for example , which makes it easy to send files and data to other connected iphone users . these messages are sent securely , so the individual nodes can’t read them . users can also send messages anonymously to avoid snooping , for example , because data is sent from app usernames , as opposed to mobile numbers . elsewhere , because the feature doesn’t use an internet connection , it can’t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 nodes are simply a vehicle for passing data along a network . on a traditional internet network any device that’s connected to the network is also called a node . firechat ( pictured ) has been downloaded more than five million times and is particularly useful when on a plane , or the underground . for example , if a network has a phone , tablet , two computers and a printer connected to it there are five nodes on the network . each of these devices has a network address which is used to uniquely identify each one .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t>
    <phoneticPr fontId="4" type="noConversion"/>
  </si>
  <si>
    <t>greenstone launched last year and has been downloaded more than five million times .
it takes advantage of a feature that launched in apple’s ios 7 called multipeer connectivity framework ( mcf ) .
it takes advantage of a feature that launched in apple’s ios 7 called multipeer connectivity framework ( mcf ) .</t>
    <phoneticPr fontId="4" type="noConversion"/>
  </si>
  <si>
    <t>it takes advantage of a feature that launched in apple’s ios 7 called multipeer connectivity framework ( mcf ) .</t>
  </si>
  <si>
    <t>greenstone launched last year and has been downloaded more than five million times .</t>
  </si>
  <si>
    <t>48-8</t>
  </si>
  <si>
    <t>greenstone acts like a booster for so-called wireless mesh networks .</t>
  </si>
  <si>
    <t>it currently works with open garden 's firechat 'off-the-grid ' firechat app .</t>
  </si>
  <si>
    <t>instead of sending messages using a mobile signal , the free app and gadget create a localised network where each mobile becomes a ' node ' .</t>
  </si>
  <si>
    <t>49-8</t>
    <phoneticPr fontId="4" type="noConversion"/>
  </si>
  <si>
    <t xml:space="preserve">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scroll down for video . sent letter : prime minister david cameron has written to first great western to request it ' urgently reviews ' plans to increase fares on trains running through his witney constituency . passengers travelling from charlbury , the oxfordshire station nearest to his constituency home , can currently purchase an off-peak return to london costing £33.30 . this allows them to leave at 9.42am , outside the morning peak , but return on one of the four services that go from london during the evening peak period . but from may 17 , these customers will be forced to pay £62.40 if they want to come home on one of these trains - an 87 per cent increase . the planned changes have angered mr cameron 's constituents - prompting him to personally intervene . 1 . first great western . line : london to hereford . potential increase : 87 % 2 . virgin . line : stafford to liverpool . potential increase : 24.5 % 3 . london midlands . line : crewe to northampton . potential increase : 23 %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£20 if they book ahead . other sharp price hikes to be introduced include an off-peak first-class single from crewe to northampton on london midlands , which will rise from £30 to £37 , according to trainsplit.com - a website that provides passengers with cheaper ticket options . the cost of an anytime return between stafford and liverpool , travelling with virgin , will leap from £26.50 to £33 - a 24.5 per cent hike . biggest hike : passengers travelling with the rail firm between london and the cotswolds could face increases of up to 87 per cent come may 17 . and an anytime first-class day return on virgin from manchester to stoke will go up 22 per cent - rising from £29 to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according to which ? hundreds of ' anytime ' and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 . </t>
    <phoneticPr fontId="4" type="noConversion"/>
  </si>
  <si>
    <t>prime minister has written to first great western to request it ' urgently reviews ' plans to increase fares on trains running through his witney constituency .
mr cameron has promised to freeze fares in real terms for the whole of the next parliament , while labour has also pledged to bring in a ' cap ' on price hikes .</t>
    <phoneticPr fontId="4" type="noConversion"/>
  </si>
  <si>
    <t>mr cameron has promised to freeze fares in real terms for the whole of the next parliament , while labour has also pledged to bring in a ' cap ' on price hikes .</t>
  </si>
  <si>
    <t>passengers in his witney constituency could face increases of up to 87 %
comes after mr cameron pledged to freeze fares for whole of next term .</t>
    <phoneticPr fontId="4" type="noConversion"/>
  </si>
  <si>
    <t>49-8</t>
  </si>
  <si>
    <t>other sharp hikes include virgin 's service between stafford and liverpool .</t>
    <phoneticPr fontId="4" type="noConversion"/>
  </si>
  <si>
    <t>50-8</t>
    <phoneticPr fontId="4" type="noConversion"/>
  </si>
  <si>
    <t>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scroll down for video . not-so-tiny dancer : burlesque performer lillian bustle explained in her ted talk that ' fat ' is just another word - and using it does n't have to be an insult . beauty comes in bigger packages , too : during her lecture , lillian explained that ' fat ' should n't mean the same thing as ugly .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but there 's hope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 plump crowd-pleaser : while a few people have left nasty comments on the youtube page for her ted talk , lillian said the response has been mostly positive . though lillian gave her ted talk in 2014 , it was only posted on youtube three weeks ago . since then , the clip has generated nearly 38,000 views - and plenty of positive feedback . 'i’ve never been so happy in all my life , ' she wrote for xojane . 'i’ve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t>
    <phoneticPr fontId="4" type="noConversion"/>
  </si>
  <si>
    <t>burlesque performer lillian bustle explained in her ted talk that ' fat ' is just another word - and using it does n't have to be an insult .
during her lecture , lillian explained that ' fat ' is just another word - and using it does n't have to be an insult .</t>
    <phoneticPr fontId="4" type="noConversion"/>
  </si>
  <si>
    <t>during her lecture , lillian explained that ' fat ' is just another word - and using it does n't have to be an insult .</t>
  </si>
  <si>
    <t>she says she likes performing burlesque because it helps open people up to liking different body types .</t>
  </si>
  <si>
    <t>50-8</t>
  </si>
  <si>
    <t>the dancer says she 's thrilled at the positive reception her ted talk has received , adding that she believes it means 'body-positivity ' is working .</t>
  </si>
  <si>
    <t>51-8</t>
    <phoneticPr fontId="4" type="noConversion"/>
  </si>
  <si>
    <t>former soldier john young , 66 , has been left blinded in one eye after thugs through a brick at him through his front door when he confronted them about throwing stones at his property in oldham .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11pm on april 18 . mrs young , who works for the alzheimer 's society charity , said : ' we were sat down writing all of the thanks you cards . ' it was the first time we had been in the house since our wedding and it was getting late , around 11.20pm . mr young and his wife elaine , 54 , were sat in the front room of their home in oldham , greater manchester , when thugs began pelting his front window with stones . he was targeted when he went to confront them . the offenders threw stones at the living room window ( pictured ) before targeting the front door of the house . mr young was hit by the brick when he opened to the door to question why they had smashed his windows . the glass panel on the front door of mr young 's house was smashed when bricks were thrown at the property last friday . mr young was taken to hospital after being hit with a brick but doctors could not save his left eye . ' we did see a man outside and then there was a crash as a brick hit the window . the glass shattered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 the couple had been sat quietly in the living room of their oldham home writing thank you notes for the gifts they received on their wedding day - just three weeks ago ( pictured ) - when the attack occurred last friday . police said the brick was thrown ' directly ' at mr young when he answered the door of his home ( pictured ) . officers said there appeared to be no known motive for the attack and said it could be yobs ' messing around '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t>
    <phoneticPr fontId="4" type="noConversion"/>
  </si>
  <si>
    <t>former soldier john young , 66 , and his new wife elaine , 54 , were sat in the front room of their home in oldham , greater manchester .
when one brick smashed the glass , mr young went and opened his front door to remonstrate with the attackers .
when one brick smashed the glass , mr young went and opened his front door to remonstrate with the attackers only to be struck in his left eye by another brick .
despite undergoing emergency surgery , doctors were unable to save his eyesight meaning he is now blind in one eye .</t>
    <phoneticPr fontId="4" type="noConversion"/>
  </si>
  <si>
    <t>when one brick smashed the glass , mr young went and opened his front door to remonstrate with the attackers .</t>
  </si>
  <si>
    <t>52-8</t>
    <phoneticPr fontId="4" type="noConversion"/>
  </si>
  <si>
    <t>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 walcott , pictured with wilshere and wojciech szczesny , has spent much of the season on the bench . the 26-year-old looks on from the bench during arsenal 's 0-0 draw with chelsea at the emirates stadium .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t>
    <phoneticPr fontId="4" type="noConversion"/>
  </si>
  <si>
    <t>arsenal winger theo walcott has spent much of the season on the bench .
the 26-year-old has spent much of the season on the bench .
the 26-year-old has spent much of the season on the bench .</t>
    <phoneticPr fontId="4" type="noConversion"/>
  </si>
  <si>
    <t>the 26-year-old has spent much of the season on the bench .</t>
    <phoneticPr fontId="4" type="noConversion"/>
  </si>
  <si>
    <t>the 26-year-old has spent much of the season on the bench .</t>
  </si>
  <si>
    <t>52-8</t>
  </si>
  <si>
    <t>arsenal winger theo walcott was joined by his team-mates for photoshoot .</t>
  </si>
  <si>
    <t>walcott and six of his arsenal colleagues were showing off club suits .</t>
  </si>
  <si>
    <t>the england ace was joined by calum chambers , jack wilshere , mikel arteta , david ospina , mathieu flamini and mesut ozil .</t>
  </si>
  <si>
    <t>walcott has been named on the bench for 17 of arsenal 's league games .</t>
  </si>
  <si>
    <t>read : walcott needs to look wenger in the eye and discuss future .</t>
  </si>
  <si>
    <t>53-8</t>
    <phoneticPr fontId="4" type="noConversion"/>
  </si>
  <si>
    <t>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t>
    <phoneticPr fontId="4" type="noConversion"/>
  </si>
  <si>
    <t>tom poynton missed the entire 2014 campaign due to leg injuries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t>
    <phoneticPr fontId="4" type="noConversion"/>
  </si>
  <si>
    <t>54-8</t>
    <phoneticPr fontId="4" type="noConversion"/>
  </si>
  <si>
    <t>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t>
    <phoneticPr fontId="4" type="noConversion"/>
  </si>
  <si>
    <t>the collection was created by legendary make-up effects artist rick baker .
it will be auctioned off at the hilton universal city in los angeles , california , and on propstore.com this may 29 .
the two face mask from batman forever is valued at , $ 1,500 .</t>
    <phoneticPr fontId="4" type="noConversion"/>
  </si>
  <si>
    <t>the two face mask from batman forever is valued at , $ 1,500 .</t>
  </si>
  <si>
    <t>more than 400 items from rick baker 's cinovation studio will be auctioned</t>
  </si>
  <si>
    <t>54-8</t>
  </si>
  <si>
    <t>artist has worked on hits like men in black , batman forever and gremlins</t>
  </si>
  <si>
    <t>baker worked on michael jackson 's moonwalker film and thriller video</t>
  </si>
  <si>
    <t>this is first time these items from 64-year-old 's collection open to public</t>
  </si>
  <si>
    <t>56-8</t>
    <phoneticPr fontId="4" type="noConversion"/>
  </si>
  <si>
    <t>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t>
    <phoneticPr fontId="4" type="noConversion"/>
  </si>
  <si>
    <t>harley renshaw was diagnosed with cancer in his kidney , neck , lungs and bones .
his ninja turtle mask helped him feel stronger while he was having radiotherapy .
his ninja turtle mask helped him feel stronger while he was having radiotherapy .
hospital staff were amazed when the youngster asked if he could decorate the protective mask that holds him still while having his treatment .</t>
    <phoneticPr fontId="4" type="noConversion"/>
  </si>
  <si>
    <t>his ninja turtle mask helped him feel stronger while he was having radiotherapy .</t>
  </si>
  <si>
    <t>hospital staff were amazed when the youngster asked if he could decorate the protective mask that holds him still while having his treatment .</t>
    <phoneticPr fontId="4" type="noConversion"/>
  </si>
  <si>
    <t>56-8</t>
  </si>
  <si>
    <t>harley renshaw has been given the all clear after battling cancer for a year</t>
  </si>
  <si>
    <t>he underwent months of gruelling chemotherapy and radiotherapy</t>
    <phoneticPr fontId="4" type="noConversion"/>
  </si>
  <si>
    <t>57-8</t>
    <phoneticPr fontId="4" type="noConversion"/>
  </si>
  <si>
    <t>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t>
    <phoneticPr fontId="4" type="noConversion"/>
  </si>
  <si>
    <t>carwyn scott-howell fell to his death while on holiday with his mother .
he fell to his death while on holiday with his mother ceri in the alps .
footprints in the snow eventually led police to his body , investigators say .</t>
    <phoneticPr fontId="4" type="noConversion"/>
  </si>
  <si>
    <t>mother</t>
  </si>
  <si>
    <t>he fell to his death while on holiday with his mother ceri in the alps .</t>
  </si>
  <si>
    <t>57-8</t>
  </si>
  <si>
    <t>footprints in the snow eventually led police to his body , investigators say .</t>
    <phoneticPr fontId="4" type="noConversion"/>
  </si>
  <si>
    <t>he went ahead alone when sister fell and his mother stopped to help</t>
  </si>
  <si>
    <t>skied into dense woodland before sliding towards a 164-foot cliff</t>
  </si>
  <si>
    <t>thought he may have entered woodland as thought it was shortcut to hotel</t>
  </si>
  <si>
    <t>family described him as a ` very daring , outgoing , determined little boy '</t>
  </si>
  <si>
    <t>58-8</t>
    <phoneticPr fontId="4" type="noConversion"/>
  </si>
  <si>
    <t>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t>
    <phoneticPr fontId="4" type="noConversion"/>
  </si>
  <si>
    <t>jack grealish must concentrate on his aston villa career rather than his international future .
sherwood is now at the centre of a tug of war between the republic of ireland and england .
sherwood is now at the centre of a tug of war between the republic of ireland and england .</t>
    <phoneticPr fontId="4" type="noConversion"/>
  </si>
  <si>
    <t>sherwood</t>
  </si>
  <si>
    <t>sherwood is now at the centre of a tug of war between the republic of ireland and england .</t>
  </si>
  <si>
    <t>58-8</t>
  </si>
  <si>
    <t>grealish will make a decision over international future at end of the season</t>
  </si>
  <si>
    <t>59-8</t>
    <phoneticPr fontId="4" type="noConversion"/>
  </si>
  <si>
    <t>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t>
    <phoneticPr fontId="4" type="noConversion"/>
  </si>
  <si>
    <t>laura scurr , 15 , from whitley bay was left on a heart machine after she collapsed at her family home .
she has now spoken about pressures put on teenagers to be a ' size zero ' .
she has spoken about pressures put on teenagers to be a ' size zero ' .</t>
    <phoneticPr fontId="4" type="noConversion"/>
  </si>
  <si>
    <t>laura scurr , 15 , from whitley bay was left on a heart machine after she collapsed at her family home .</t>
  </si>
  <si>
    <t>she has spoken about pressures put on teenagers to be a ' size zero ' .</t>
  </si>
  <si>
    <t>59-8</t>
  </si>
  <si>
    <t>at 13 , laura scurr went on a diet which would turn into a scary obsession</t>
  </si>
  <si>
    <t>laura developed anorexia and would survive on one piece of fruit a day</t>
  </si>
  <si>
    <t>now 15 she has overcome the disorder and is battling back</t>
  </si>
  <si>
    <t>60-8</t>
    <phoneticPr fontId="4" type="noConversion"/>
  </si>
  <si>
    <t>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t>
    <phoneticPr fontId="4" type="noConversion"/>
  </si>
  <si>
    <t>the high landings fees give an insight into some of the most unexpectedly popular transport hubs for the rich and famous , from salzburg , to darwin , in australia .
the high landings fees give an insight into some of the most unexpectedly popular transport hubs for the rich and famous , from salzburg , in australia .</t>
    <phoneticPr fontId="4" type="noConversion"/>
  </si>
  <si>
    <t>the high landings fees give an insight into some of the most unexpectedly popular transport hubs for the rich and famous , from salzburg , in australia .</t>
  </si>
  <si>
    <t>60-8</t>
  </si>
  <si>
    <t>to</t>
    <phoneticPr fontId="4" type="noConversion"/>
  </si>
  <si>
    <t>darwin</t>
  </si>
  <si>
    <t>the richest compiled a list of the top airport landing charges</t>
  </si>
  <si>
    <t>prices are based on landing a private 767-400 jet carrier</t>
  </si>
  <si>
    <t>61-8</t>
    <phoneticPr fontId="4" type="noConversion"/>
  </si>
  <si>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phoneticPr fontId="4" type="noConversion"/>
  </si>
  <si>
    <t>raheem sterling , daniel sturridge , daniel sturridge , jordan henderson and philippe coutinho unveiled the new home kit at anfield on friday .
the new balance struck a record-breaking £300million four-year kit deal to replace sister company warrior as liverpool 's suppliers .
the message was ' hold nothing back ' as sterling , daniel sturridge , jordan henderson and philippe coutinho .</t>
    <phoneticPr fontId="4" type="noConversion"/>
  </si>
  <si>
    <t>raheem sterling , daniel sturridge , daniel sturridge , jordan henderson and philippe coutinho unveiled the new home kit at anfield on friday .</t>
  </si>
  <si>
    <t>the message was ' hold nothing back ' as sterling , daniel sturridge , jordan henderson and philippe coutinho .</t>
  </si>
  <si>
    <t>61-8</t>
  </si>
  <si>
    <t>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t>
  </si>
  <si>
    <t>raheem sterling , daniel sturridge , daniel sturridge , jordan henderson and philippe coutinho unveiled the new home kit at anfield on friday .
the new balance struck a record-breaking £300million four-year kit deal to replace sister company warrior as liverpool 's suppliers .
the message was ' hold nothing back ' as sterling , daniel sturridge , jordan henderson and philippe coutinho .</t>
  </si>
  <si>
    <t>raheem sterling was told in no uncertain terms by liverpool supporters that they expect him to remain at the club this summer on the day he was parading the club 's new home kit at anfield .</t>
  </si>
  <si>
    <t>midfielder has been linked with a move away from liverpool after refusing to sign new # 100,000-a-week contract</t>
  </si>
  <si>
    <t>captain steven gerrard did not model new strip as he prepares to leave for la galaxy in the summer</t>
  </si>
  <si>
    <t>62-8</t>
    <phoneticPr fontId="4" type="noConversion"/>
  </si>
  <si>
    <t>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2017 by a points landslide , thereby retaining the world super-middleweight title .
but sugar ray took most pride from the trilogy from forcing duran to say no mas .
he said : ` to me , making roberto duran to quit was better than knocking him out . '</t>
  </si>
  <si>
    <t>floyd mayweather v manny pacquiao will be the biggest fight of all time financially and the most significant fights in ring history .
evaluating the greatest ever fights is a complex variable of several factors including not only the quality and excitement of the action .</t>
    <phoneticPr fontId="4" type="noConversion"/>
  </si>
  <si>
    <t>evaluating the greatest ever fights is a complex variable of several factors including not only the quality and excitement of the action .</t>
  </si>
  <si>
    <t>in the sixth of a series of 12 fights that shaped boxing history , we have sugar ray leonard v roberto duran</t>
  </si>
  <si>
    <t>62-8</t>
  </si>
  <si>
    <t>leonard humiliated his opponent until he said ` no mas ' - no more</t>
  </si>
  <si>
    <t>it took duran three years to reclaim his mantle as a hero in panama</t>
  </si>
  <si>
    <t>63-8</t>
    <phoneticPr fontId="4" type="noConversion"/>
  </si>
  <si>
    <t>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t>
    <phoneticPr fontId="4" type="noConversion"/>
  </si>
  <si>
    <t>university of manchester researchers have revealed an hd dark matter map has been produced .
it shows clumps of mystery particles across 0.4 per cent of the sky .
it shows clumps of mystery particles across 0.4 per cent of the sky .</t>
    <phoneticPr fontId="4" type="noConversion"/>
  </si>
  <si>
    <t>it shows clumps of mystery particles across 0.4 per cent of the sky .</t>
  </si>
  <si>
    <t>the goal is to eventually map 12.5 per cent over five years</t>
  </si>
  <si>
    <t>63-8</t>
  </si>
  <si>
    <t>results could help reveal how galaxies form in the universe</t>
  </si>
  <si>
    <t>64-8</t>
    <phoneticPr fontId="4" type="noConversion"/>
  </si>
  <si>
    <t>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t>
    <phoneticPr fontId="4" type="noConversion"/>
  </si>
  <si>
    <t>katie gallegos from clackamas county , oregon , decided to take the pooch to a mcdonald 's drive-thru for an ice cream with his pal daisy .
but while the small female pup takes a few ladylike licks , cooper gobbles the rest of the cone up in one bite .</t>
    <phoneticPr fontId="4" type="noConversion"/>
  </si>
  <si>
    <t>gallegos says ice cream is a weekly treat for her pets</t>
    <phoneticPr fontId="4" type="noConversion"/>
  </si>
  <si>
    <t>65-8</t>
    <phoneticPr fontId="4" type="noConversion"/>
  </si>
  <si>
    <t>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t>
  </si>
  <si>
    <t>chelsea are in early discussions over a possible partnership with royal mouscron-peruwelz .
mouscron are currently 13th in the table , two points above the relegation places .
chelsea are in early discussions over a possible partnership with belgian club royal mouscron-peruwelz .</t>
    <phoneticPr fontId="4" type="noConversion"/>
  </si>
  <si>
    <t>chelsea are in early discussions over a possible partnership with belgian club royal mouscron-peruwelz .</t>
  </si>
  <si>
    <t>chelsea already have an agreement with vitesse arnheim in holland</t>
  </si>
  <si>
    <t>66-8</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</si>
  <si>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$ 4.24 billion</t>
  </si>
  <si>
    <t>starbucks said in update on its site that stores are expected to open for ' business as usual ' saturday .
the company said earlier the outage affected 7,000 stores in the us and canada .
it did not explain what caused the outage , which began in the early evening on the east coast .</t>
    <phoneticPr fontId="4" type="noConversion"/>
  </si>
  <si>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$ 4.25 billion</t>
  </si>
  <si>
    <t>starbucks said in update on its site that stores are expected to open for ' business as usual ' saturday .
the company said earlier the outage affected 7,001 stores in the us and canada .
it did not explain what caused the outage , which began in the early evening on the east coast .</t>
  </si>
  <si>
    <t>in</t>
    <phoneticPr fontId="4" type="noConversion"/>
  </si>
  <si>
    <t>66-8</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</si>
  <si>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$ 4.26 billion</t>
  </si>
  <si>
    <t>starbucks said in update on its site that stores are expected to open for ' business as usual ' saturday .
the company said earlier the outage affected 7,002 stores in the us and canada .
it did not explain what caused the outage , which began in the early evening on the east coast .</t>
  </si>
  <si>
    <t>it did not explain what caused the outage , which began in the early evening on the east coast .</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</si>
  <si>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$ 4.27 billion</t>
  </si>
  <si>
    <t>starbucks said in update on its site that stores are expected to open for ' business as usual ' saturday .
the company said earlier the outage affected 7,003 stores in the us and canada .
it did not explain what caused the outage , which began in the early evening on the east coast .</t>
  </si>
  <si>
    <t>company said in statement glitch was caused by a failure during a daily system refresh</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</si>
  <si>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$ 4.28 billion</t>
  </si>
  <si>
    <t>starbucks said in update on its site that stores are expected to open for ' business as usual ' saturday .
the company said earlier the outage affected 7,004 stores in the us and canada .
it did not explain what caused the outage , which began in the early evening on the east coast .</t>
  </si>
  <si>
    <t>glitch also affected starbucks ' evolution fresh and teavana stores</t>
  </si>
  <si>
    <t>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$ 4.29 billion</t>
  </si>
  <si>
    <t>starbucks said in update on its site that stores are expected to open for ' business as usual ' saturday .
the company said earlier the outage affected 7,005 stores in the us and canada .
it did not explain what caused the outage , which began in the early evening on the east coast .</t>
  </si>
  <si>
    <t>many starbucks locations closed their doors so as not to give away free drinks</t>
  </si>
  <si>
    <t>67-8</t>
    <phoneticPr fontId="4" type="noConversion"/>
  </si>
  <si>
    <t>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2015 .
pacquiao is promoted by bob arum 's top rank company .
actor mark wahlberg is a big fan of pacquiao .</t>
  </si>
  <si>
    <t>sportsmail takes a look at the two men 's achievements , in and out of the ring .
floyd mayweather and manny pacquiao are less than two weeks away from playing their part in the richest fight in boxing history .</t>
    <phoneticPr fontId="4" type="noConversion"/>
  </si>
  <si>
    <t>sportsmail takes a look at the two men 's achievements , in and out of the ring .</t>
  </si>
  <si>
    <t>the two men will split a $ 300m purse , with mayweather taking 60 per cent</t>
  </si>
  <si>
    <t>69-8</t>
    <phoneticPr fontId="4" type="noConversion"/>
  </si>
  <si>
    <t>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33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t>
  </si>
  <si>
    <t>locations in ceredigion , powys and pembrokeshire are being used to radicalise muslims .
those involved in such activities ' take part in seemingly ordinary activities ' .
those involved in such activities ' take part in seemingly ordinary activities ' .</t>
    <phoneticPr fontId="4" type="noConversion"/>
  </si>
  <si>
    <t>those involved in such activities ' take part in seemingly ordinary activities ' .</t>
  </si>
  <si>
    <t>but ` have an ulterior motive '</t>
  </si>
  <si>
    <t>70-8</t>
    <phoneticPr fontId="4" type="noConversion"/>
  </si>
  <si>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3-20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</si>
  <si>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manchester united have made an official approach for memphis depay .
the red devils have made an official approach for memphis depay .
louis van gaal keen to make him one of his first signings this summer .</t>
    <phoneticPr fontId="4" type="noConversion"/>
  </si>
  <si>
    <t>the red devils have made an official approach for memphis depay .</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</si>
  <si>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3-21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</si>
  <si>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memphis depay has scored 20 goals in 26 league games for psv this term</t>
  </si>
  <si>
    <t>70-8</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</si>
  <si>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3-22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</si>
  <si>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psv beat heerenveen to lift their first eredivisie title in seven years</t>
  </si>
  <si>
    <t>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3-23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t>
  </si>
  <si>
    <t>paris-saint germain are also interested in the highly-rated 21-year-old</t>
  </si>
  <si>
    <t>71-8</t>
    <phoneticPr fontId="4" type="noConversion"/>
  </si>
  <si>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70 vertebrae</t>
  </si>
  <si>
    <t>the omura 's whale was discovered on a remote exmouth beach in wa .
it is the first sighting of the species in wa and only the second in australia .
it is the first sighting of the species in wa and only the second in australia .</t>
    <phoneticPr fontId="4" type="noConversion"/>
  </si>
  <si>
    <t>it is the first sighting of the species in wa and only the second in australia .</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</si>
  <si>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71 vertebrae</t>
  </si>
  <si>
    <t>it was washed up on the beach by tropical cyclone olwyn</t>
  </si>
  <si>
    <t>71-8</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</si>
  <si>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72 vertebrae</t>
  </si>
  <si>
    <t>authorities found it hard at first to identify the 5.68 m juvenile female</t>
  </si>
  <si>
    <t>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73 vertebrae</t>
  </si>
  <si>
    <t>however dna profiling confirmed it was an omura 's whale</t>
  </si>
  <si>
    <t>72-8</t>
    <phoneticPr fontId="4" type="noConversion"/>
  </si>
  <si>
    <t>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40 ) : on for abraham and showed explosive pace straight away but was let down by a hurried attempt at a finish which flew over the bar .
isaiah brown holds off a tackle from fikayo tomori , during another impressive display for the young forward</t>
  </si>
  <si>
    <t>norwegian international has been on the bench for long periods but got the nod and looked shaky under the high ball .
tammy abraham smashes chelsea into the lead with a fierce drive into the top corner .</t>
    <phoneticPr fontId="4" type="noConversion"/>
  </si>
  <si>
    <t>norwegian international has been on the bench for long periods but got the nod and looked shaky under the high ball .</t>
  </si>
  <si>
    <t>tammy abraham smashes chelsea into the lead with a fierce drive into the top corner .</t>
  </si>
  <si>
    <t>72-8</t>
  </si>
  <si>
    <t>chelsea forward tammy abraham nets first-half double for chelsea</t>
  </si>
  <si>
    <t>dominic solanke adds a third late on as chelsea look set to win trophy</t>
  </si>
  <si>
    <t>manchester city struggle without injured star thierry ambrose</t>
  </si>
  <si>
    <t>73-8</t>
    <phoneticPr fontId="4" type="noConversion"/>
  </si>
  <si>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2024 .
correction : an earlier version of this article incorrectly stated that canadians elected their first female prime minister , kim campbell .</t>
  </si>
  <si>
    <t>cheryl rios 's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t>
    <phoneticPr fontId="4" type="noConversion"/>
  </si>
  <si>
    <t>cheryl rios 's `` biblically '' inspired beliefs , but she 's not the only one who 's arguing that a woman 's hormones are a legitimate leadership concern .</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</si>
  <si>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2025 .
correction : an earlier version of this article incorrectly stated that canadians elected their first female prime minister , kim campbell .</t>
  </si>
  <si>
    <t>time magazine declared hillary clinton the `` perfect '' age to be president , because she 's a postmenopausal woman who is `` biologically primed '' to lead .</t>
  </si>
  <si>
    <t>73-8</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</si>
  <si>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2026 .
correction : an earlier version of this article incorrectly stated that canadians elected their first female prime minister , kim campbell .</t>
  </si>
  <si>
    <t>a businesswoman worries that if hillary clinton becomes president , her hormones will make her go to war</t>
  </si>
  <si>
    <t>(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2027 .
correction : an earlier version of this article incorrectly stated that canadians elected their first female prime minister , kim campbell .</t>
  </si>
  <si>
    <t xml:space="preserve"> what 's scary is that the bias against women in the workplace is still going strong in 2015</t>
    <phoneticPr fontId="4" type="noConversion"/>
  </si>
  <si>
    <t>74-8</t>
    <phoneticPr fontId="4" type="noConversion"/>
  </si>
  <si>
    <t>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$ 51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t>
  </si>
  <si>
    <t>marco rubio spoke to cbs 's face the nation after admitting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t>
    <phoneticPr fontId="4" type="noConversion"/>
  </si>
  <si>
    <t>the florida senator told bob schieffer that he was n't against gay marriage , but believes the ' definition of the institution of marriage should be between one man and one woman ' .</t>
  </si>
  <si>
    <t>senator told face the nation same-sex marriage is n't a constitutional right</t>
  </si>
  <si>
    <t>74-8</t>
  </si>
  <si>
    <t>added that it should be left up to the states to decide whether to allow it</t>
  </si>
  <si>
    <t>75-8</t>
    <phoneticPr fontId="4" type="noConversion"/>
  </si>
  <si>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</si>
  <si>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 89 , is a keen military historian who studied english with j.r.r .
the star , known for appearing in all creatures great and small and playing winston churchill several times , is auctioning off more than 200 items .
mr hardy is a keen military historian who studied english with j.r.r .</t>
    <phoneticPr fontId="4" type="noConversion"/>
  </si>
  <si>
    <t>tolkien</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</si>
  <si>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1997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</si>
  <si>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 89 , is a keen military historian who studied english with j.r.r .
the star , known for appearing in all creatures great and small and playing winston churchill several times , is auctioning off more than 201 items .
mr hardy is a keen military historian who studied english with j.r.r .</t>
  </si>
  <si>
    <t>mr hardy is a keen military historian who studied english with j.r.r .</t>
  </si>
  <si>
    <t>75-8</t>
  </si>
  <si>
    <t>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1998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t>
  </si>
  <si>
    <t>robert hardy , 89 , is a keen military historian who studied english with j.r.r .
the star , known for appearing in all creatures great and small and playing winston churchill several times , is auctioning off more than 202 items .
mr hardy is a keen military historian who studied english with j.r.r .</t>
  </si>
  <si>
    <t>among the objects which have gone up for auction are a huge 3d diorama of the battle of agincourt</t>
  </si>
  <si>
    <t>76-8</t>
    <phoneticPr fontId="4" type="noConversion"/>
  </si>
  <si>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225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</si>
  <si>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are off to a flying start as they approach their first year of their open-ended odyssey on the road .
in 356 days so far they’ve covered almost 7,000 miles ( 11,131.92km by their measurements ) and been through 16 countries .</t>
    <phoneticPr fontId="4" type="noConversion"/>
  </si>
  <si>
    <t>they camp or stay with couchsurfing and warmshowers hosts and spent an average $ 2.99 per day</t>
  </si>
  <si>
    <t>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226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t>
  </si>
  <si>
    <t>spanish pablo , 27 , and latvian ilze , 31 , are off to a flying start as they approach their first year of their open-ended odyssey on the road .
in 356 days so far they’ve covered almost 7,000 miles ( 11,131.92km by their measurements ) and been through 17 countries .</t>
  </si>
  <si>
    <t>they saved up for their travels , which they share on their website , while working in english restaurants</t>
  </si>
  <si>
    <t>77-8</t>
    <phoneticPr fontId="4" type="noConversion"/>
  </si>
  <si>
    <t>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t>
  </si>
  <si>
    <t>police say michael scott shemansky came to their attention after he failed to appear for a supervised visit with his son .
the body was discovered at the west colonial drive home when an out-of-state family member called in a well-being check .
the body was discovered at the west colonial drive home when an out-of-state family member called in a well-being check .</t>
    <phoneticPr fontId="4" type="noConversion"/>
  </si>
  <si>
    <t>the body was discovered at the west colonial drive home when an out-of-state family member called in a well-being check .</t>
  </si>
  <si>
    <t>77-8</t>
  </si>
  <si>
    <t>that same day mother sandra shemansky , 57 , was found dead at the home they shared in winter garden , florida</t>
  </si>
  <si>
    <t>michael shemansky was going through a difficult divorce and neighbors believe the stress may have caused him to snap</t>
  </si>
  <si>
    <t>78-8</t>
    <phoneticPr fontId="4" type="noConversion"/>
  </si>
  <si>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t>
  </si>
  <si>
    <t>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party ' on the bottom of the pictures .
the couple was n't alerted of the photos until many months after the celebration when the bride 's sister told the family about the racist incident .</t>
    <phoneticPr fontId="4" type="noConversion"/>
  </si>
  <si>
    <t>a couple from texas who celebrated their wedding in 2012 claim their photographer wrote hurtful racial slurs on the bottom of photo booth snapshots from the event .</t>
  </si>
  <si>
    <t>he couple allegedly called james evans of premiere photos but he issued no apology and that is when they decided to sue</t>
  </si>
  <si>
    <t>79-8</t>
    <phoneticPr fontId="4" type="noConversion"/>
  </si>
  <si>
    <t>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t>
  </si>
  <si>
    <t>eugene in the united states has been awarded the rights to host the 2021 iaaf world championships .
the city of eugene in the united states has been awarded the rights to host the 2021 iaaf world championships .
eugene failed last november in its bid to host the 2019 event .</t>
    <phoneticPr fontId="4" type="noConversion"/>
  </si>
  <si>
    <t>the city of eugene in the united states has been awarded the rights to host the 2021 iaaf world championships .</t>
  </si>
  <si>
    <t>the sport 's governing body iaaf bypassed the normal bidding process</t>
  </si>
  <si>
    <t>80-8</t>
    <phoneticPr fontId="4" type="noConversion"/>
  </si>
  <si>
    <t>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2032 campaign that champions people at the heart and soul of the game by putting grassroots clubs on the global stage .</t>
  </si>
  <si>
    <t>mike brown admitted he would adopt a ' cautious ' approach in recovering from his latest concussion setback .
northampton wing george north has been advised by leading medics not to play again this season after suffering four quick-fire concussions .
ireland 's johnny sexton was stood down for 12 weeks earlier this season .</t>
    <phoneticPr fontId="4" type="noConversion"/>
  </si>
  <si>
    <t>northampton wing george north has been advised by leading medics not to play again this season after suffering four quick-fire concussions .</t>
  </si>
  <si>
    <t>ireland 's johnny sexton was stood down for 12 weeks earlier this season .</t>
  </si>
  <si>
    <t>harlequins full back mike brown pulled out of the aviva premiership clash</t>
  </si>
  <si>
    <t>81-8</t>
    <phoneticPr fontId="4" type="noConversion"/>
  </si>
  <si>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£ 75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</si>
  <si>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targeted playboy mehmet hassan after spotting him flashing £50 notes at a casino in london 's west end .
granger used her good looks to befriend the poker player , who showered her with gifts , cash and trips to fancy restaurants .
granger was sentenced to 16 years behind bars for the killing by judge william kennedy today .</t>
    <phoneticPr fontId="4" type="noConversion"/>
  </si>
  <si>
    <t>leonie granger targeted playboy mehmet hassan after spotting him flashing £50 notes at a casino in london 's west end .</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</si>
  <si>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£ 76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</si>
  <si>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targeted playboy mehmet hassan after spotting him flashing £50 notes at a casino in london 's west end .
granger used her good looks to befriend the poker player , who showered her with gifts , cash and trips to fancy restaurants .
granger was sentenced to 17 years behind bars for the killing by judge william kennedy today .</t>
  </si>
  <si>
    <t>granger used her good looks to befriend the poker player , who showered her with gifts , cash and trips to fancy restaurants .</t>
  </si>
  <si>
    <t>81-8</t>
  </si>
  <si>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£ 77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</si>
  <si>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targeted playboy mehmet hassan after spotting him flashing £50 notes at a casino in london 's west end .
granger used her good looks to befriend the poker player , who showered her with gifts , cash and trips to fancy restaurants .
granger was sentenced to 18 years behind bars for the killing by judge william kennedy today .</t>
  </si>
  <si>
    <r>
      <t>went to his flat and let in boyfriend kyrron jackson and nicholas chandler</t>
    </r>
    <r>
      <rPr>
        <sz val="11"/>
        <color indexed="8"/>
        <rFont val="宋体"/>
        <family val="3"/>
        <charset val="134"/>
      </rPr>
      <t>，</t>
    </r>
    <r>
      <rPr>
        <sz val="11"/>
        <color indexed="8"/>
        <rFont val="Arial"/>
        <family val="2"/>
      </rPr>
      <t>they kicked mr hassan to death and stole some of his gambling winnings</t>
    </r>
  </si>
  <si>
    <t>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£ 78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t>
  </si>
  <si>
    <t>leonie granger targeted playboy mehmet hassan after spotting him flashing £50 notes at a casino in london 's west end .
granger used her good looks to befriend the poker player , who showered her with gifts , cash and trips to fancy restaurants .
granger was sentenced to 19 years behind bars for the killing by judge william kennedy today .</t>
  </si>
  <si>
    <t>granger convicted of manslaughter and two men found guilty of murder</t>
  </si>
  <si>
    <t>82-8</t>
    <phoneticPr fontId="4" type="noConversion"/>
  </si>
  <si>
    <t>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15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t>
  </si>
  <si>
    <t>research has revealed that the frequency with which britons are having sex has been in decline since the emergence of the internet .
this was compared to four times a month in 2000 and five times a month in 2000 and five times a month in 1990 .</t>
    <phoneticPr fontId="4" type="noConversion"/>
  </si>
  <si>
    <t>and five times a month in 1990 .</t>
  </si>
  <si>
    <t>82-8</t>
  </si>
  <si>
    <t>typical heterosexual couples in britain are having sex three times a month</t>
  </si>
  <si>
    <t>83-8</t>
    <phoneticPr fontId="4" type="noConversion"/>
  </si>
  <si>
    <t>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t>
  </si>
  <si>
    <t>cesc fabregas was one of the worst players on the pitch again in his country 's 2-0 defeat by holland on tuesday .
the 27-year-old spoke of his happiness in south west london earlier this week but has significantly dipped from that of the player who , around christmas , looked a dead-cert to break the barclays premier league record for assists .
after a brilliant start to the season at stamford bridge , the spaniard 's form has dropped off somewhat of late .</t>
    <phoneticPr fontId="4" type="noConversion"/>
  </si>
  <si>
    <t>the 27-year-old spoke of his happiness in south west london earlier this week but has significantly dipped from that of the player who , around christmas , looked a dead-cert to break the barclays premier league record for assists .</t>
  </si>
  <si>
    <t>after a brilliant start to the season at stamford bridge , the spaniard 's form has dropped off somewhat of late .</t>
  </si>
  <si>
    <t>83-8</t>
  </si>
  <si>
    <t>cesc fabregas ' poor form continued for spain against holland on tuesday</t>
  </si>
  <si>
    <t>thierry henry 's mark of 20 in 2002-03 is four more than fabregas ' total</t>
  </si>
  <si>
    <t>84-8</t>
    <phoneticPr fontId="4" type="noConversion"/>
  </si>
  <si>
    <t>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£ 600,017 .
the dogs are seen with a model</t>
  </si>
  <si>
    <t>tibetan mastiffs are now so unpopular in china they are being sent to slaughterhouses .
luo yi , general manager of china 's largest tibetan mastiff puppy farm , told people 's online : ' the anti-corruption drive means people not daring to hand them out as gifts - nor would anyone take one as a gift ' .</t>
    <phoneticPr fontId="4" type="noConversion"/>
  </si>
  <si>
    <t>tibetan mastiffs had been status symbols for china 's wealthiest</t>
  </si>
  <si>
    <t>they were given as gifts to grateful officials by businessmen</t>
  </si>
  <si>
    <t>85-8</t>
    <phoneticPr fontId="4" type="noConversion"/>
  </si>
  <si>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t>
  </si>
  <si>
    <t>jamaican starlet deshane beckford was invited to train with west ham 's academy earlier this month .
the skilful 17-year-old was invited to train with west ham 's academy earlier this month .
beckford has been linked with a host of european clubs .</t>
    <phoneticPr fontId="4" type="noConversion"/>
  </si>
  <si>
    <t>jamaican starlet deshane beckford was invited to train with west ham 's academy earlier this month .</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</si>
  <si>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2016-25 season .</t>
  </si>
  <si>
    <t>jamaican starlet deshane beckford was invited to train with west ham 's academy earlier this month .
the skilful 18-year-old was invited to train with west ham 's academy earlier this month .
beckford has been linked with a host of european clubs .</t>
  </si>
  <si>
    <t>the skilful 17-year-old was invited to train with west ham 's academy earlier this month .</t>
  </si>
  <si>
    <t>85-8</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</si>
  <si>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2016-26 season .</t>
  </si>
  <si>
    <t>jamaican starlet deshane beckford was invited to train with west ham 's academy earlier this month .
the skilful 19-year-old was invited to train with west ham 's academy earlier this month .
beckford has been linked with a host of european clubs .</t>
  </si>
  <si>
    <t>west ham are keen on concluding a deal for 17-year-old deshane beckford</t>
  </si>
  <si>
    <t>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2016-27 season .</t>
  </si>
  <si>
    <t>jamaican starlet deshane beckford was invited to train with west ham 's academy earlier this month .
the skilful 20-year-old was invited to train with west ham 's academy earlier this month .
beckford has been linked with a host of european clubs .</t>
  </si>
  <si>
    <t>west ham season tickets to cost as little as # 289</t>
  </si>
  <si>
    <t>87-8</t>
    <phoneticPr fontId="4" type="noConversion"/>
  </si>
  <si>
    <t>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€ 75,005 fine . "
she said women needed to be better " educated that what they 're going through is not normal " , and that the message must reach " aggressors and witnesses " .</t>
  </si>
  <si>
    <t>the poll led to calls for a campaign to stem sexist or threatening behaviour .
every female user of mass transit has been a victim” of “ gender harassment .
every woman surveyed claimed to have been a victim of some kind of sexual harassment .</t>
    <phoneticPr fontId="4" type="noConversion"/>
  </si>
  <si>
    <t>every female user of mass transit has been a victim” of “ gender harassment .</t>
  </si>
  <si>
    <t>half of those interviewed had been assaulted before they were 18</t>
  </si>
  <si>
    <t>88-8</t>
    <phoneticPr fontId="4" type="noConversion"/>
  </si>
  <si>
    <t>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t>
  </si>
  <si>
    <t>mike lane , 40 , was beaten by balaclava-clad protesters armed with iron bars .
he was beaten by balaclava-clad protesters armed with iron bars on ropes .
he said : ' they could have made more effort .
everyone is very disappointed ' .</t>
    <phoneticPr fontId="4" type="noConversion"/>
  </si>
  <si>
    <t>he was beaten by balaclava-clad protesters armed with iron bars on ropes .</t>
  </si>
  <si>
    <t>he said : ' they could have made more effort .</t>
  </si>
  <si>
    <t>88-8</t>
  </si>
  <si>
    <t>everyone is very disappointed ' .</t>
  </si>
  <si>
    <t>attack happened as 30 riders and hounds were chasing artificial scent</t>
  </si>
  <si>
    <t>wiltshire police handed video footage and some names of saboteurs</t>
  </si>
  <si>
    <t>decision by police to drop probe branded ` pathetic ' by 40-year-old</t>
  </si>
  <si>
    <t>89-8</t>
    <phoneticPr fontId="4" type="noConversion"/>
  </si>
  <si>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</si>
  <si>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leeds-based direct line is running a competition called # everydayfix .
they asked groups to design products to deal with common problems .
these include forgetting to lock the door , which one company hopes to solve with their forget me lock prototype .</t>
    <phoneticPr fontId="4" type="noConversion"/>
  </si>
  <si>
    <t>these include forgetting to lock the door , which one company hopes to solve with their forget me lock prototype .</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</si>
  <si>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47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</si>
  <si>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these include forgetting to lock the door and running out of battery</t>
  </si>
  <si>
    <t>89-8</t>
  </si>
  <si>
    <t>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48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t>
  </si>
  <si>
    <t>you can vote for your favourite design and the winner will be crowdfunded</t>
  </si>
  <si>
    <t>90-8</t>
    <phoneticPr fontId="4" type="noConversion"/>
  </si>
  <si>
    <t>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t>
  </si>
  <si>
    <t>gary locke has lost just once in seven games since taking over at rugby park .
the former hearts boss joined the club as assistant boss to allan johnston .
locke has lost just once in seven games since taking over at rugby park .</t>
    <phoneticPr fontId="4" type="noConversion"/>
  </si>
  <si>
    <t>locke has lost just once in seven games since taking over at rugby park .</t>
  </si>
  <si>
    <t>gary locke has been interim manager since start of february</t>
  </si>
  <si>
    <t>93-8</t>
    <phoneticPr fontId="4" type="noConversion"/>
  </si>
  <si>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t>
  </si>
  <si>
    <t>vera baird donated £500,000 to victims first northumbria , a charity which supports crime victims in her area and of which she is a director .
sitting alongside her on the organisation 's top table is sue sim .
sitting alongside her on the organisation 's top table is sue sim .</t>
    <phoneticPr fontId="4" type="noConversion"/>
  </si>
  <si>
    <t>sitting alongside her on the organisation 's top table is sue sim .</t>
  </si>
  <si>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2013 , said she was stepping down to spend more time with her family .
ms baird praised her ` passion and enthusiasm ' , adding : ` sue and i have worked well together over the two-and-a-half years since i became police and crime commissioner . '</t>
  </si>
  <si>
    <t>vera baird donated £500,001 to victims first northumbria , a charity which supports crime victims in her area and of which she is a director .
sitting alongside her on the organisation 's top table is sue sim .
sitting alongside her on the organisation 's top table is sue sim .</t>
  </si>
  <si>
    <t>93-8</t>
  </si>
  <si>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2014 , said she was stepping down to spend more time with her family .
ms baird praised her ` passion and enthusiasm ' , adding : ` sue and i have worked well together over the two-and-a-half years since i became police and crime commissioner . '</t>
  </si>
  <si>
    <t>vera baird donated £500,002 to victims first northumbria , a charity which supports crime victims in her area and of which she is a director .
sitting alongside her on the organisation 's top table is sue sim .
sitting alongside her on the organisation 's top table is sue sim .</t>
  </si>
  <si>
    <t>chief constable sue sim is also on the organisation 's board of directors</t>
  </si>
  <si>
    <t>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2015 , said she was stepping down to spend more time with her family .
ms baird praised her ` passion and enthusiasm ' , adding : ` sue and i have worked well together over the two-and-a-half years since i became police and crime commissioner . '</t>
  </si>
  <si>
    <t>vera baird donated £500,003 to victims first northumbria , a charity which supports crime victims in her area and of which she is a director .
sitting alongside her on the organisation 's top table is sue sim .
sitting alongside her on the organisation 's top table is sue sim .</t>
  </si>
  <si>
    <t>critics have accused northumbria police of creating ` its own soap opera '</t>
  </si>
  <si>
    <t>94-8</t>
    <phoneticPr fontId="4" type="noConversion"/>
  </si>
  <si>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2046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</si>
  <si>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2011 , died along with another hostage , italian giovanni lo porto .</t>
    <phoneticPr fontId="4" type="noConversion"/>
  </si>
  <si>
    <t>adam gadahn , 36 , was killed in january in a u.s. government counterterrorism operation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</si>
  <si>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2047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</si>
  <si>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2012 , died along with another hostage , italian giovanni lo porto .</t>
  </si>
  <si>
    <t>neither he nor ahmed farouq , another u.s. citizen and al qaeda operative who died in what the white house said gadahn was `` likely a separate '' operation .</t>
  </si>
  <si>
    <t>94-8</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</si>
  <si>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2048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</si>
  <si>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2013 , died along with another hostage , italian giovanni lo porto .</t>
  </si>
  <si>
    <t>warren weinstein , a u.s. citizen who was abducted by al qaeda in pakistan in 2011 , died along with another hostage , italian giovanni lo porto .</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</si>
  <si>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2049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</si>
  <si>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2014 , died along with another hostage , italian giovanni lo porto .</t>
  </si>
  <si>
    <t>Accuracy</t>
    <phoneticPr fontId="4" type="noConversion"/>
  </si>
  <si>
    <t>in his final known video , adam gadahn called for governments of pakistan and saudi arabia to be overthrown</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</si>
  <si>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2050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</si>
  <si>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2015 , died along with another hostage , italian giovanni lo porto .</t>
  </si>
  <si>
    <t>he was raised in california and said he was of jewish ancestry</t>
  </si>
  <si>
    <t>(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2051 letter from gadahn making recommendations for al qaeda 's media strategy .
gadahn was married to a muslim woman from afghanistan and reportedly had at least one child .
cnn 's steve almasy contributed to this report .</t>
  </si>
  <si>
    <t>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2016 , died along with another hostage , italian giovanni lo porto .</t>
  </si>
  <si>
    <t>he converted to islam in 1995 , left u.s. in 1998 and joined al qaeda , becoming a spokesman</t>
  </si>
  <si>
    <t>corry ' corey ' campbell had been staying in the basement of campbell 's mother 's house in mayfair .
campbell believed valecce had suffered a broken leg and had reason to believe valecce was responsible .
campbell apparently discovered that pebbles had suffered a broken leg and had reason to believe valecce was responsible .</t>
    <phoneticPr fontId="4" type="noConversion"/>
  </si>
  <si>
    <t>corry ' corey ' campbell</t>
  </si>
  <si>
    <t>valecce</t>
  </si>
  <si>
    <t>campbell believed valecce had suffered a broken leg and had reason to believe valecce was responsible .</t>
    <phoneticPr fontId="4" type="noConversion"/>
  </si>
  <si>
    <t>his girlfriend received sandra ng , 18 , received 23 months .</t>
  </si>
  <si>
    <t>two others are awaiting sentencing .</t>
  </si>
  <si>
    <t>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t>
    <phoneticPr fontId="4" type="noConversion"/>
  </si>
  <si>
    <t>steven gerrard is set to feature for liverpool in the fa cup semi-final against aston villa at wembley on sunday .
martin skrtel has praised the impact and example gerrard has set during his time at liverpool .
skrtel was signed by rafael benitez from zenit st petersburg seven years ago .</t>
    <phoneticPr fontId="4" type="noConversion"/>
  </si>
  <si>
    <t>steven gerrard is set to feature for liverpool in the fa cup semi-final against aston villa at wembley on sunday .</t>
  </si>
  <si>
    <t>skrtel was signed by rafael benitez from zenit st petersburg seven years ago .</t>
  </si>
  <si>
    <t>steven gerrard will leave liverpool for la galaxy at the end of the season .</t>
  </si>
  <si>
    <t>skrtel believes the club do have players that could eventually replace him .</t>
  </si>
  <si>
    <t>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t>
    <phoneticPr fontId="4" type="noConversion"/>
  </si>
  <si>
    <t>jessica kemp from eustis says teachers at seminole county elementary warned they would remove kindergartner logan from class because the oils smelled and were a distraction to youngsters around him .
the 32-year-old says she applies the liquid to his head and neck as it helps him keep calm and focused .</t>
    <phoneticPr fontId="4" type="noConversion"/>
  </si>
  <si>
    <t>jessica kemp , 32 , has slammed seminole county elementary in eustis .</t>
  </si>
  <si>
    <t>school district have said they will not suspend him as it 's a ' health issue ' .</t>
    <phoneticPr fontId="4" type="noConversion"/>
  </si>
  <si>
    <t>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t>
    <phoneticPr fontId="4" type="noConversion"/>
  </si>
  <si>
    <t>survey of 1,100 adults by vehicle leasing firm osv found that 31 per cent of men have never picked up a bucket or chamois leather to clean their own motor .
meanwhile only five per cent of those surveyed said that had ever asked their children to wash the car , as a way for them to earn extra pocket money .</t>
    <phoneticPr fontId="4" type="noConversion"/>
  </si>
  <si>
    <t>meanwhile only five per cent of those surveyed said that had ever asked their children to wash the car , as a way for them to earn extra pocket money .</t>
  </si>
  <si>
    <t>new figures show that the art of washing your own car appears to be dying out in britain with a thrid of men admitting they have never picked up a bucket or chamois leather to clean their own motor .</t>
    <phoneticPr fontId="4" type="noConversion"/>
  </si>
  <si>
    <t>only 12 per cent that have cleaned their own car say they do it regularly .</t>
    <phoneticPr fontId="4" type="noConversion"/>
  </si>
  <si>
    <t>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t>
    <phoneticPr fontId="4" type="noConversion"/>
  </si>
  <si>
    <t>ninety condos on the beach in westhampton were obliterated by flames on wednesday afternoon .
it is not known what started the blaze , which was so intense it melted the paint off nearby buildings .</t>
    <phoneticPr fontId="4" type="noConversion"/>
  </si>
  <si>
    <t>twelve fire teams were deployed to fight the blaze but could only battle it from the outside , it lasted past 8pm .</t>
  </si>
  <si>
    <t>(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t>
    <phoneticPr fontId="4" type="noConversion"/>
  </si>
  <si>
    <t>barker was a dancer in such new york nightspots as the cotton club and the cafe zanzibar in the 1930s and 1940s .
she had never seen herself dancing -- until now .
mark cantor of jazz-on-film.com and some volunteers put together a video of `` soundies '' .</t>
    <phoneticPr fontId="4" type="noConversion"/>
  </si>
  <si>
    <t>barker was a dancer in such new york nightspots as the cotton club and the cafe zanzibar .</t>
  </si>
  <si>
    <t>thanks to filmmakers , barker -- now 102 -- finally saw herself dance .</t>
  </si>
  <si>
    <t>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t>
    <phoneticPr fontId="4" type="noConversion"/>
  </si>
  <si>
    <t>the monarch , 88 , was spotted trotting through windsor great park .
joined by a groom on another of her fell ponies , the queen cut a relaxed figure as she enjoyed her ride but is reportedly reluctant to wear one because of her hair .</t>
    <phoneticPr fontId="4" type="noConversion"/>
  </si>
  <si>
    <t>helmet</t>
    <phoneticPr fontId="4" type="noConversion"/>
  </si>
  <si>
    <t>left hard hats at home and opted for one of her favourite scarves instead .</t>
  </si>
  <si>
    <t>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t>
    <phoneticPr fontId="4" type="noConversion"/>
  </si>
  <si>
    <t>the two men allegedly ignited an aerosol spray with a lighter causing a large flame to make contact with a quokka on rottnest island off perth in western australia on april 3 .
both men aged 18 and 24 , and both living in cockburn central , were evicted from the island .</t>
    <phoneticPr fontId="4" type="noConversion"/>
  </si>
  <si>
    <t>both men aged 18 and 24 , and both living in cockburn central , were evicted from the island .</t>
  </si>
  <si>
    <t>both have been charged for animal cruelty and appear in court on april 17 .</t>
  </si>
  <si>
    <t>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t>
    <phoneticPr fontId="4" type="noConversion"/>
  </si>
  <si>
    <t>leon yeaman , 55 , was allegedly killed by a single punch in the head from shift worker phillip pama , 28 , during a row in front of their north brisbane homes .
mr yeaman was reportedly in his yard on muller road making a lot of noise at around 9pm thursday night .
pama , a married father of three , works a 3 am shift at a nearby warehouse and was sleeping at the time he was making a commotion .</t>
    <phoneticPr fontId="4" type="noConversion"/>
  </si>
  <si>
    <t>pama , a married father of three , works a 3 am shift at a nearby warehouse and was sleeping at the time he was making a commotion .</t>
    <phoneticPr fontId="4" type="noConversion"/>
  </si>
  <si>
    <t>pama was granted conditional bail and is set to return to court may 18 .</t>
  </si>
  <si>
    <t>(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t>
    <phoneticPr fontId="4" type="noConversion"/>
  </si>
  <si>
    <t>bradley cooper was nominated for an oscar for his portrayal of chris kyle , a navy seal and the most lethal sniper in u.s. military history .
some students believed the movie 's depiction of the iraq war reflected negatively on the middle east .</t>
    <phoneticPr fontId="4" type="noConversion"/>
  </si>
  <si>
    <t>bradley cooper was nominated for an oscar for his portrayal of chris kyle , a navy seal and the most lethal sniper in u.s. military history .</t>
  </si>
  <si>
    <t>the university of michigan has decided to proceed with a screening of the film `` american sniper '' .</t>
  </si>
  <si>
    <t>a petition asked the university not to show the bradley cooper film .</t>
  </si>
  <si>
    <t>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t>
    <phoneticPr fontId="4" type="noConversion"/>
  </si>
  <si>
    <t>yulia simonova , 52 , wanted to hire a hitman to torture and kill damian vanya .
she asked a friend to find someone willing to torture and kill damian vanya .
but police set up a sting operation , sending one of their undercover officers to pose as a hitman during a meeting with simonova in the russian city of moscow .</t>
    <phoneticPr fontId="4" type="noConversion"/>
  </si>
  <si>
    <t>she asked a friend to find someone willing to torture and kill damian vanya .</t>
  </si>
  <si>
    <t>but police set up a sting operation , sending one of their undercover officers to pose as a hitman during a meeting with simonova in the russian city of moscow .</t>
  </si>
  <si>
    <t>offered to pay ' hitman ' £1,400 to murder the boy in police sting operation .</t>
  </si>
  <si>
    <t>now faces 15 years in prison after being charged with attempted murder .</t>
  </si>
  <si>
    <t>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t>
    <phoneticPr fontId="4" type="noConversion"/>
  </si>
  <si>
    <t>the wide leg trouser is at the forefront of ss15 trends .
it 's not the first time this look has made a comeback since the seventies .
it 's not the first time this look has made a comeback since the seventies .</t>
    <phoneticPr fontId="4" type="noConversion"/>
  </si>
  <si>
    <t>it 's not the first time this look has made a comeback since the seventies .</t>
  </si>
  <si>
    <t>louise and emma say to avoid being drowned by too much fabric try a high heeled shoe</t>
  </si>
  <si>
    <t>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t>
    <phoneticPr fontId="4" type="noConversion"/>
  </si>
  <si>
    <t>chelsea are top of the league and are playing struggling qpr this weekend .
chelsea are top of the league and are playing struggling qpr this weekend .
chelsea are top of the league and are playing struggling qpr this weekend .</t>
    <phoneticPr fontId="4" type="noConversion"/>
  </si>
  <si>
    <t>chelsea are top of the league and are playing struggling qpr this weekend .</t>
  </si>
  <si>
    <t>jose mourinho said he is proud to work with underprivileged people .</t>
  </si>
  <si>
    <t>he claimed that he never discusses footballing issues with his wife .</t>
  </si>
  <si>
    <t>in a wide-ranging interview he said he is a deeply religious person .</t>
  </si>
  <si>
    <t>he also claims that he is essentially a ' very good person ' despite his antics .</t>
  </si>
  <si>
    <t>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t>
    <phoneticPr fontId="4" type="noConversion"/>
  </si>
  <si>
    <t>age of ultron movie released this week .
james haskell posted the image on thursday along with the message : ' avengers movie is out so thought i would release the inner iron man ' .
the flanker returned to the club where he started his career for the 2012 season .</t>
    <phoneticPr fontId="4" type="noConversion"/>
  </si>
  <si>
    <t>the avengers</t>
  </si>
  <si>
    <t>(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t>
    <phoneticPr fontId="4" type="noConversion"/>
  </si>
  <si>
    <t>bob barker hosted the tv game show for 35 years before stepping down in 2007 .
contestants told to `` come on down ! ' on the april 1 edition of `` the price is right '' .</t>
    <phoneticPr fontId="4" type="noConversion"/>
  </si>
  <si>
    <t>bob barker returned to host `` the price is right '' on wednesday .</t>
  </si>
  <si>
    <t>contestants told to `` come on down ! ' on the april 1 edition of `` the price is right '' .</t>
  </si>
  <si>
    <t>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t>
    <phoneticPr fontId="4" type="noConversion"/>
  </si>
  <si>
    <t>amateur jockey lee lewis ferguson has just a cut on his nose to show for his ordeal .
the 18-year-old was flung from his horse in spectacular fashion at wincanton .
the 18-year-old was mucking out the stables as usual , just a cut on the nose to show for the fall .</t>
    <phoneticPr fontId="4" type="noConversion"/>
  </si>
  <si>
    <t>just a cut on the nose to show for the fall .</t>
  </si>
  <si>
    <t>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t>
    <phoneticPr fontId="4" type="noConversion"/>
  </si>
  <si>
    <t>agent arthur baldwin was taken into custody at 12:30am on friday .
he has been hit with a felony charge of attempted burglary and another of destruction of property .
the agency revoked his security clearance and put him on leave when the arrest emerged .</t>
    <phoneticPr fontId="4" type="noConversion"/>
  </si>
  <si>
    <t>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t>
    <phoneticPr fontId="4" type="noConversion"/>
  </si>
  <si>
    <t>pablo osvaldo has urged italian legends andrea pirlo and francisco totti to join him at argentinian giants boca juniors .
the 29-year-old moved to his current side on a loan deal from southampton .
the 29-year-old has become an instant hit - scoring three goals in six games .</t>
    <phoneticPr fontId="4" type="noConversion"/>
  </si>
  <si>
    <t>the 29-year-old has become an instant hit - scoring three goals in six games .</t>
  </si>
  <si>
    <t>osvaldo believes the boca fans ' would go crazy ' for the italian duo .</t>
  </si>
  <si>
    <t>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t>
    <phoneticPr fontId="4" type="noConversion"/>
  </si>
  <si>
    <t>fearless atif saeed , 38 , from lahore , pakistan was in the city 's safari park when he spotted the male lion in the distance .
mr saeed got out of his car and crept up towards the hunter armed only with a camera and fired off a few frames .</t>
    <phoneticPr fontId="4" type="noConversion"/>
  </si>
  <si>
    <t>photographer atif saeed crept to within ten feet of the hungry male lion .</t>
  </si>
  <si>
    <t>as soon as the camera captured the image , mr saeed had to flee for his life .</t>
  </si>
  <si>
    <t>the lion charged at the intrepid photographer as he closed the car 's door .</t>
  </si>
  <si>
    <t>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t>
    <phoneticPr fontId="4" type="noConversion"/>
  </si>
  <si>
    <t>dani alves keeps a close eye on almeria midfielder edgar mendez .
the 31-year-old has been unable to agree a new deal with the catalan club .
alves has been unable to agree a new deal with the catalan club .</t>
    <phoneticPr fontId="4" type="noConversion"/>
  </si>
  <si>
    <t>dani alves keeps a close eye on almeria midfielder edgar mendez .</t>
  </si>
  <si>
    <t>the 31-year-old has been unable to agree a new deal with the catalan club .</t>
  </si>
  <si>
    <t>dani alves looks set to leave barcelona this summer after his representative confirmed the brazilian right-back had rejected the club 's final contract offer .</t>
  </si>
  <si>
    <t>alves has enjoyed seven successful years at barcelona , winning four spanish titles and the champions league twice .</t>
  </si>
  <si>
    <t>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t>
    <phoneticPr fontId="4" type="noConversion"/>
  </si>
  <si>
    <t>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t>
    <phoneticPr fontId="4" type="noConversion"/>
  </si>
  <si>
    <t>paramedics who responded to the scene were unable to revive her and she was pronounced dead that evening .</t>
  </si>
  <si>
    <t>nypd has released images of a heart tattoo with the name ` monique ' found on an unnamed woman who died in brooklyn last month .</t>
  </si>
  <si>
    <t>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t>
    <phoneticPr fontId="4" type="noConversion"/>
  </si>
  <si>
    <t>a suicide bomber detonated his explosives near a group of protesters in eastern afghanistan .
taliban spokesman zabiullah mujahid denied his group was responsible for the attack .
no other organization has so far claimed responsibility .</t>
    <phoneticPr fontId="4" type="noConversion"/>
  </si>
  <si>
    <t>no other organization has so far claimed responsibility .</t>
  </si>
  <si>
    <t>an afghan lawmaker taking part in the protests in the city of khost was among the 64 people wounded , said faizullah ghairat , the provincial police chief .</t>
  </si>
  <si>
    <t>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t>
    <phoneticPr fontId="4" type="noConversion"/>
  </si>
  <si>
    <t>hannah and alex purchased a 1986 hino flatbed and undertook their year and a half labor of love .
the result was a solar-powered two-bedroom , wood and steel home that now allows them to live almost self-sufficiently in nelson , new zealand .</t>
    <phoneticPr fontId="4" type="noConversion"/>
  </si>
  <si>
    <t>hannah and alex needed a place to live after they moved back to new zealand from the uk in 2009</t>
  </si>
  <si>
    <t>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t>
    <phoneticPr fontId="4" type="noConversion"/>
  </si>
  <si>
    <t>new poll reveals diana is the favourite option for baby if it is a girl .
alice is the name of the queen 's aunt , who passed away in 2004 aged 102 .
alice is the name of the queen 's aunt , who passed away in 2004 aged 102 .</t>
    <phoneticPr fontId="4" type="noConversion"/>
  </si>
  <si>
    <t>alice is the name of the queen 's aunt , who passed away in 2004 aged 102 .</t>
  </si>
  <si>
    <t>alice and charlotte were the second favourite names if it 's a girl .</t>
  </si>
  <si>
    <t>if it 's a boy , then the favourite name is james , followed by alexander .</t>
  </si>
  <si>
    <t>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t>
    <phoneticPr fontId="4" type="noConversion"/>
  </si>
  <si>
    <t>children who share ipads in class do much better in early literacy tests .
research into the effects of the devices on literacy levels suggests the best outcome comes from youngsters sharing devices .
children who share ipads in class do much better in early literacy tests than those who don’t .</t>
    <phoneticPr fontId="4" type="noConversion"/>
  </si>
  <si>
    <t>research into the effects of the devices on literacy levels suggests the best outcome comes from youngsters sharing devices .</t>
  </si>
  <si>
    <t>children who share ipads in class do much better in early literacy tests than those who don’t .</t>
  </si>
  <si>
    <t xml:space="preserve"> 30 points higher </t>
    <phoneticPr fontId="4" type="noConversion"/>
  </si>
  <si>
    <t>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t>
    <phoneticPr fontId="4" type="noConversion"/>
  </si>
  <si>
    <t>nina moric , 38 , posted photographs of heavy bruising on her arms on her instagram account which has more than 40,000 users .
italian media reported that ms moric tried to take her own life and was found by her mother in the luxury apartment she shares with her boyfriend .
italian media reported ms moric tried to take her own life and was found by her mother in the luxury apartment she shares with her boyfriend .
ms moric told her fans that she was well and had no intention to end her own life .</t>
    <phoneticPr fontId="4" type="noConversion"/>
  </si>
  <si>
    <t>nina moric , 38 , posted photographs of heavy bruising on her arms on her instagram account which has more than 40,000 users .</t>
  </si>
  <si>
    <t>italian media reported ms moric tried to take her own life and was found by her mother in the luxury apartment she shares with her boyfriend .</t>
  </si>
  <si>
    <t>she told followers on instagram her fall was due to ' low blood pressure ' .</t>
  </si>
  <si>
    <t>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t>
    <phoneticPr fontId="4" type="noConversion"/>
  </si>
  <si>
    <t>the piglet was born with its back legs missing and has mastered the art of balancing on its front trotters .
the piglet belongs to farmer , ms duan , from qionglai city in sichuan province , south western china .</t>
    <phoneticPr fontId="4" type="noConversion"/>
  </si>
  <si>
    <t>the piglet belongs to farmer , ms duan , from qionglai city in sichuan province , south western china .</t>
  </si>
  <si>
    <t>villagers have flocked to see the two-legged animal in qionglai city .</t>
  </si>
  <si>
    <t>a video released online and has captured the hearts of thousands .</t>
  </si>
  <si>
    <t>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t>
    <phoneticPr fontId="4" type="noConversion"/>
  </si>
  <si>
    <t>residents of new south wales warned to brace for more floods and damage .
state emergency service was deluged with calls for assistance last week .
state emergency service was deluged with calls for assistance last week .
state emergency service was deluged with calls for assistance last week .
state emergency service deluged with calls for assistance last week .</t>
    <phoneticPr fontId="4" type="noConversion"/>
  </si>
  <si>
    <t>residents of new south wales warned to brace for more floods and damage .</t>
  </si>
  <si>
    <t>state emergency service was deluged with calls for assistance last week .</t>
  </si>
  <si>
    <t>state emergency service deluged with calls for assistance last week .</t>
  </si>
  <si>
    <t>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t>
    <phoneticPr fontId="4" type="noConversion"/>
  </si>
  <si>
    <t>todd phillips was struck by the car of francesco dracone , who had come in on lap 25 for tires and fuel .
phillips was taken to the infield care center for treatment where he has received stitches for a cut on his leg .</t>
    <phoneticPr fontId="4" type="noConversion"/>
  </si>
  <si>
    <t>dracone did not finish the race and wound up 23rd .</t>
  </si>
  <si>
    <t>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t>
    <phoneticPr fontId="4" type="noConversion"/>
  </si>
  <si>
    <t>russia are on the brink of making the fed cup final with a 2-0 lead after anastasia pavlyuchenkova saved a match point to beat germany 's sabine lisicki on saturday .
pavlyuchenkova saved the match point in the second set before going on to beat lisicki 4-6 , 7-6 ( 4 ) , 6-3 .</t>
    <phoneticPr fontId="4" type="noConversion"/>
  </si>
  <si>
    <t>pavlyuchenkova saved the match point in the second set before going on to beat lisicki 4-6 , 7-6 ( 4 ) , 6-3 .</t>
  </si>
  <si>
    <t>svetlana kuznetsova beats julia goerges in straight sets in fed cup .</t>
  </si>
  <si>
    <t>anastasia pavlyuchenkova defeats sabine lisicki for 2-0 lead .</t>
  </si>
  <si>
    <t>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t>
    <phoneticPr fontId="4" type="noConversion"/>
  </si>
  <si>
    <t>milton vieira severiano , 32 , dragging the limp body of dancer cicera alves de sena , 29 , into the garden of their apartment in eastern brazil .
horrific cctv footage has emerged of a husband smashing his dancer wife 's head into concrete paving 11 times then shooting her in the face five times .
cicera alves de sena belonged to a dance group called jaula das gostozuedas which i have been to see and am a big fan of .</t>
    <phoneticPr fontId="4" type="noConversion"/>
  </si>
  <si>
    <t>milton vieira severiano , 32 , confessed that he battered and shot his wife because he was jealous of men looking at her .</t>
  </si>
  <si>
    <t>horrific cctv footage has emerged of a husband smashing his dancer wife 's head into concrete paving 11 times .</t>
  </si>
  <si>
    <t>milton vieira severiano was filmed killing his wife , cicera alves de sen .</t>
  </si>
  <si>
    <t>he later confessed the crime to police who found guns in his getaway car .</t>
  </si>
  <si>
    <t>(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t>
  </si>
  <si>
    <t>bobbi kristina brown is no longer in a medically induced coma , her grandmother says .
she is no longer in a medically induced coma , she remains unresponsive .
the 22-year-old is no longer in a medically induced coma .</t>
    <phoneticPr fontId="4" type="noConversion"/>
  </si>
  <si>
    <t>bobbi kristina brown is no longer in a medically induced coma , her grandmother says .</t>
  </si>
  <si>
    <t>she is no longer in a medically induced coma , she remains unresponsive .</t>
  </si>
  <si>
    <t>the 22-year-old is no longer in a medically induced coma .</t>
  </si>
  <si>
    <t>bobbi kristina brown has `` global and irreversible '' brain damage</t>
  </si>
  <si>
    <t xml:space="preserve">brown 's mother says bobbi kristina brown 's condition has improved </t>
  </si>
  <si>
    <t>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t>
    <phoneticPr fontId="4" type="noConversion"/>
  </si>
  <si>
    <t>sarah wilson opened up in a candid interview about how her battle with mental illness drove her to believe her life was n't worth living .
during the intimate interview ms wilson revealed it was a combination of issues , including mounting stress , anxiety , her thyroid disease and distant family .
ms wilson said ' people get on with their lives ' and while she had n't found a husband , nor had children , she felt increasingly isolated .</t>
    <phoneticPr fontId="4" type="noConversion"/>
  </si>
  <si>
    <t>ms wilson said ' people get on with their lives ' and while she had n't found a husband , nor had children , she felt increasingly isolated .</t>
  </si>
  <si>
    <t>one in three australian women will experience anxiety in their lifetime</t>
  </si>
  <si>
    <t>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t>
    <phoneticPr fontId="4" type="noConversion"/>
  </si>
  <si>
    <t>jack grealish is renowned for wearing his socks low when he takes to the field for aston villa .
the ireland under 21 international wears children 's shinpads - and says is n't about to change .
the ireland under 21 international wears children 's shinpads - and says is n't about to change .</t>
    <phoneticPr fontId="4" type="noConversion"/>
  </si>
  <si>
    <t>the ireland under 21 international wears children 's shinpads - and says is n't about to change .</t>
  </si>
  <si>
    <t>aston villa 's jack grealish earned first premier league start this week .</t>
  </si>
  <si>
    <t>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t>
    <phoneticPr fontId="4" type="noConversion"/>
  </si>
  <si>
    <t>elena curtin of portland , oregon , was charged with second-degree assault after she struck her boyfriend 's ex in the head and arm with a crowbar in november 2014 .
when curtin came home , she found her boyfriend 's ex-girlfriend shooting heroin while sitting on her toilet , oregonian/oregonlive reported .
when curtin came home , she found her boyfriend 's ex-girlfriend shooting heroin while sitting on her toilet , oregonian/oregonlive reported .
when curtin came home , she found her boyfriend 's ex-girlfriend shooting heroin while sitting on her toilet , oregonian/oregonlive reported .
curtin 's defense attorney , casey kovacic , said the ex-girlfriend was ' completely justified in her outrage ' .</t>
    <phoneticPr fontId="4" type="noConversion"/>
  </si>
  <si>
    <t>when curtin came home , she found her boyfriend 's ex-girlfriend shooting heroin while sitting on her toilet , oregonian/oregonlive reported .</t>
  </si>
  <si>
    <t>oregonian/oregonlive reported</t>
  </si>
  <si>
    <t>ex-girlfriend</t>
  </si>
  <si>
    <t>curtin 's defense attorney , casey kovacic , said the ex-girlfriend was ' completely justified in her outrage ' .</t>
  </si>
  <si>
    <t>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t>
    <phoneticPr fontId="4" type="noConversion"/>
  </si>
  <si>
    <t>six people were hurt after an explosion at a chemical plant in china 's fujian province .
the blast occurred at an oil storage facility monday night after an oil leak .
local media has not reported any toxic chemical spill .</t>
    <phoneticPr fontId="4" type="noConversion"/>
  </si>
  <si>
    <t>local media has not reported any toxic chemical spill .</t>
  </si>
  <si>
    <t>a blast rocks a chemical plant in china 's southeastern fujian province for the second time in two years .</t>
  </si>
  <si>
    <t>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t>
    <phoneticPr fontId="4" type="noConversion"/>
  </si>
  <si>
    <t>gemma the pit bull was filmed at home in california being fed some treats .
but in a bid to trick her , her owner throws a broccoli spear into the mix .
she then proceeds to spit it out on the floor .</t>
    <phoneticPr fontId="4" type="noConversion"/>
  </si>
  <si>
    <t>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t>
    <phoneticPr fontId="4" type="noConversion"/>
  </si>
  <si>
    <t>witness robert kushner lost his varsity coaching job at a private academy .
he is one of more than a dozen former drug dealers testifying for the federal government .
kushner had passed a background check when he was hired to coach basketball in 2010 .</t>
    <phoneticPr fontId="4" type="noConversion"/>
  </si>
  <si>
    <t>about allegations of police wrongdoing</t>
  </si>
  <si>
    <t>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t>
    <phoneticPr fontId="4" type="noConversion"/>
  </si>
  <si>
    <t>hsbc removed the hyperlink from its main website after realising its embarrassing mistake .
hsbc yesterday removed the hyperlink from its main website after realising its embarrassing mistake .
hsbc yesterday removed the hyperlink from its main website after realising its embarrassing mistake .</t>
    <phoneticPr fontId="4" type="noConversion"/>
  </si>
  <si>
    <t>hsbc removed the hyperlink from its main website after realising its embarrassing mistake .</t>
  </si>
  <si>
    <t>hsbc yesterday removed the hyperlink from its main website after realising its embarrassing mistake .</t>
  </si>
  <si>
    <t>graphic images appeared on defunct young entrepreneurs awards sites .</t>
  </si>
  <si>
    <t>pornographic site took over address after the page was shut down in 2011 .</t>
  </si>
  <si>
    <t>hsbc has since apologised for error and denied association with the page .</t>
  </si>
  <si>
    <t>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t>
    <phoneticPr fontId="4" type="noConversion"/>
  </si>
  <si>
    <t>california-based youtube user lionel hutz filmed his young son chasing the family feline around the garden in a bid to get some rest .
footage shows the cat licking his fur before his human friend comes along and plonks himself on top .</t>
    <phoneticPr fontId="4" type="noConversion"/>
  </si>
  <si>
    <t>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t>
    <phoneticPr fontId="4" type="noConversion"/>
  </si>
  <si>
    <t>a 13-year-old maryland boy called 911 after a fire broke out on the first floor of his home in clinton .
the boy called 911 before 7am after he smelled smoke and told the dispatcher the siblings were trapped in the room because it was too hot to get out through the hallway .
prince george’s county firefighters were able to enter the room by going through the home and breaking a window , according to the washington post .</t>
    <phoneticPr fontId="4" type="noConversion"/>
  </si>
  <si>
    <t>a 13-year-old maryland boy called 911 after a fire broke out on the first floor of his home in clinton .</t>
  </si>
  <si>
    <t>prince george’s county firefighters were able to enter the room by going through the home and breaking a window , according to the washington post .</t>
  </si>
  <si>
    <t>siblings saved and three other people in the home escaped without injury</t>
  </si>
  <si>
    <t>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t>
    <phoneticPr fontId="4" type="noConversion"/>
  </si>
  <si>
    <t>mohammed abu khdeir 's name appeared this week on the wall at jerusalem 's mount herzl .
abu khdeir , 16 , was beaten and burned alive by three israelis in july .
his father , hussein abu khdeir , said he 's not a terror victim .</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</si>
  <si>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t>
    <phoneticPr fontId="4" type="noConversion"/>
  </si>
  <si>
    <t>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caused by millions of plankton omitting light .</t>
    <phoneticPr fontId="4" type="noConversion"/>
  </si>
  <si>
    <t>amazing pictures have emerged of blue fluorescent algae lighting up australia 's east coast .</t>
  </si>
  <si>
    <t>a similar display was shown in sydney 's manly beach back in august 2014 .</t>
  </si>
  <si>
    <t>iain suthers , of university of new south wales , says the algae blossoms in the spring and the autumn .</t>
  </si>
  <si>
    <t>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t>
    <phoneticPr fontId="4" type="noConversion"/>
  </si>
  <si>
    <t>bolton-born boxer amir khan enjoyed a family trip to a safari park in northern california .
khan enjoyed a day a safari park with his family in northern california .
khan had come under increasing pressure to take on british rival and ibf welterweight champion kell brook in june .</t>
    <phoneticPr fontId="4" type="noConversion"/>
  </si>
  <si>
    <t>khan enjoyed a day a safari park with his family in northern california .</t>
  </si>
  <si>
    <t>earlier this week the bolton-born fighter announced his return to the ring .</t>
  </si>
  <si>
    <t>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t>
    <phoneticPr fontId="4" type="noConversion"/>
  </si>
  <si>
    <t>after surgery , the cancer cells are sent to a lab where they have a high or low risk of the disease returning .
after surgery , the cancer cells are sent to a lab where they have a high or low risk of the disease returning .</t>
    <phoneticPr fontId="4" type="noConversion"/>
  </si>
  <si>
    <t>after surgery , the cancer cells are sent to a lab where they have a high or low risk of the disease returning .</t>
  </si>
  <si>
    <t>breast cancer patients may be spared chemotherapy thanks to new tests pinpoint genetic ' markers ' in tumour and determine aggressiveness .</t>
  </si>
  <si>
    <t>they are available privately for £2,500 and may be rolled out soon on nhs .</t>
  </si>
  <si>
    <t>women told within days whether they have a high risk of disease returning .</t>
  </si>
  <si>
    <t>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t>
    <phoneticPr fontId="4" type="noConversion"/>
  </si>
  <si>
    <t>bondi 's icebergs club pool was drained on thursday to create a unique catwalk for mercedes-benz fashion week australia .
the empty pool was used as the unusual catwalk setting for the ten pieces presentation as part of mercedes-benz fashion week australia .</t>
    <phoneticPr fontId="4" type="noConversion"/>
  </si>
  <si>
    <t>the empty pool was used as the unusual catwalk setting for the ten pieces presentation as part of mercedes-benz fashion week australia .</t>
    <phoneticPr fontId="4" type="noConversion"/>
  </si>
  <si>
    <t>guests sat in and around the pool to take in the capsule collection of monochrome unisex pieces .</t>
  </si>
  <si>
    <t>label is owned by icebergs restaurateur maurice terzini and partner lucy hinckfuss .</t>
  </si>
  <si>
    <t>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t>
    <phoneticPr fontId="4" type="noConversion"/>
  </si>
  <si>
    <t>more than 25 women have been airlifted from royal navy ships because of pregnancy .
at least one woman was airlifted from hms illustrious , which was nicknamed ' hms lusty ' by the crew before it was decommissioned last year .
more than 25 women have been airlifted from royal navy ships because of pregnancy .</t>
    <phoneticPr fontId="4" type="noConversion"/>
  </si>
  <si>
    <t>more than 25 women have been airlifted from royal navy ships because of pregnancy .</t>
  </si>
  <si>
    <t>hms ocean had five women removed in nine years , according to new data .</t>
  </si>
  <si>
    <t>mod spokesman confirmed there was a strict ' no touching ' rule in place .</t>
  </si>
  <si>
    <t>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t>
    <phoneticPr fontId="4" type="noConversion"/>
  </si>
  <si>
    <t>tom o’carroll attended a hacked off rally in the houses of parliament on february 25 to lobby mps for state involvement in media regulation .
pie was formed in 1974 to campaign for sex with children to be legalised and formed an alliance with the national council for civil liberties .</t>
    <phoneticPr fontId="4" type="noConversion"/>
  </si>
  <si>
    <t>69-year-old former key activist jailed in 1981 for ' corrupting public morals ' .</t>
  </si>
  <si>
    <t>his attendance at the meeting is likely to be an embarrassment for group .</t>
  </si>
  <si>
    <t>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t>
    <phoneticPr fontId="4" type="noConversion"/>
  </si>
  <si>
    <t>a drone carrying traces of a radioactive material was found on the rooftop of japan 's equivalent to the white house on wednesday , police say .
the discovery comes on the same day a japanese court approved a government plan to restart two reactors at the sendai nuclear plant .</t>
    <phoneticPr fontId="4" type="noConversion"/>
  </si>
  <si>
    <t>the drone is sparking terrorism concerns</t>
  </si>
  <si>
    <t>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t>
    <phoneticPr fontId="4" type="noConversion"/>
  </si>
  <si>
    <t>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t>
    <phoneticPr fontId="4" type="noConversion"/>
  </si>
  <si>
    <t>his incredible skills have won him legions of fans around china .</t>
  </si>
  <si>
    <t>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t>
    <phoneticPr fontId="4" type="noConversion"/>
  </si>
  <si>
    <t>lu xincai , who lives in zhejiang province in eastern china , says he is scared his mother will get lost if he leaves her at home by herself because she suffers from the degenerative disease .
his wife works in a different city and his son is still in school .</t>
    <phoneticPr fontId="4" type="noConversion"/>
  </si>
  <si>
    <t>his wife works in a different city and his son is still in school .</t>
  </si>
  <si>
    <t>lu xincai says no one else can look after his 84-year-old mother .</t>
  </si>
  <si>
    <t>now she goes with him to work on the backseat of his motorbike .</t>
  </si>
  <si>
    <t>he ties her to him with a sash to make sure she does not fall off .</t>
  </si>
  <si>
    <t>she 's now been given her own room at the bank where he works .</t>
  </si>
  <si>
    <t>gosport</t>
  </si>
  <si>
    <t>95-8</t>
  </si>
  <si>
    <t>96-8</t>
  </si>
  <si>
    <t>97-8</t>
  </si>
  <si>
    <t>98-8</t>
  </si>
  <si>
    <t>99-8</t>
  </si>
  <si>
    <t>100-8</t>
  </si>
  <si>
    <t>101-8</t>
  </si>
  <si>
    <t>102-8</t>
  </si>
  <si>
    <t>103-8</t>
  </si>
  <si>
    <t>104-8</t>
  </si>
  <si>
    <t>105-8</t>
  </si>
  <si>
    <t>106-8</t>
  </si>
  <si>
    <t>112-8</t>
  </si>
  <si>
    <t>113-8</t>
  </si>
  <si>
    <t>107-8</t>
  </si>
  <si>
    <t>108-8</t>
  </si>
  <si>
    <t>109-8</t>
  </si>
  <si>
    <t>110-8</t>
  </si>
  <si>
    <t>111-8</t>
  </si>
  <si>
    <t>114-8</t>
  </si>
  <si>
    <t>115-8</t>
  </si>
  <si>
    <t>116-8</t>
  </si>
  <si>
    <t>117-8</t>
  </si>
  <si>
    <t>118-8</t>
  </si>
  <si>
    <t>119-8</t>
  </si>
  <si>
    <t>120-8</t>
  </si>
  <si>
    <t>121-8</t>
  </si>
  <si>
    <t>122-8</t>
  </si>
  <si>
    <t>123-8</t>
  </si>
  <si>
    <t>124-8</t>
  </si>
  <si>
    <t>125-8</t>
  </si>
  <si>
    <t>126-8</t>
  </si>
  <si>
    <t>127-8</t>
  </si>
  <si>
    <t>128-8</t>
  </si>
  <si>
    <t>129-8</t>
  </si>
  <si>
    <t>130-8</t>
  </si>
  <si>
    <t>131-8</t>
  </si>
  <si>
    <t>132-8</t>
  </si>
  <si>
    <t>133-8</t>
  </si>
  <si>
    <t>134-8</t>
  </si>
  <si>
    <t>135-8</t>
  </si>
  <si>
    <t>136-8</t>
  </si>
  <si>
    <t>137-8</t>
  </si>
  <si>
    <t>138-8</t>
  </si>
  <si>
    <t>139-8</t>
  </si>
  <si>
    <t>140-8</t>
  </si>
  <si>
    <t>141-8</t>
  </si>
  <si>
    <t>142-8</t>
  </si>
  <si>
    <t>143-8</t>
  </si>
  <si>
    <t>144-8</t>
  </si>
  <si>
    <t>2-8</t>
  </si>
  <si>
    <t>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t>
  </si>
  <si>
    <t>jamar nicholson , 15 , and his friends were hanging out in an alleyway in south l.a. before school on february 10 .
one of the teenagers was holding a toy gun that the officers thought was real and it prompted the officers to fire .
nicholson was standing next to the unidentified teenager who was holding the replica of the gun .</t>
  </si>
  <si>
    <t>jamar nicholson , 15 , and his friends were hanging out in an alleyway in south l.a. before school on february 10 .</t>
  </si>
  <si>
    <t>one of the teenagers was holding a toy gun that the officers thought was real and it prompted the officers to fire .</t>
  </si>
  <si>
    <t>nicholson was standing next to the unidentified teenager who was holding the replica of the gun .</t>
  </si>
  <si>
    <t>jamar nicholson , 15 , was shot in the back by officer miguel gutierrez on february 10 because his friend was holding a toy gun</t>
  </si>
  <si>
    <t>nicholson and his friend jason huerta , 17 , are suing the city of los angeles for $ 20m</t>
  </si>
  <si>
    <t>officer miguel gutierrez who shot nicholson has returned to duty but the incident is under investigation</t>
  </si>
  <si>
    <t>19-8</t>
  </si>
  <si>
    <t>(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t>
  </si>
  <si>
    <t>heavy drinking among americans rose 17.2 percent between 2005 and 2012 .
the centers for disease control and prevention defines heavy drinking as exceeding an average of one drink per day .
in 2012 , 8 percent of americans were considered heavy drinkers and 18 percent were binge drinkers .</t>
  </si>
  <si>
    <t>for women</t>
  </si>
  <si>
    <t>the centers for disease control and prevention defines heavy drinking as exceeding an average of one drink per day .</t>
  </si>
  <si>
    <t>in 2012 , 8 percent of americans were considered heavy drinkers and 18 percent were binge drinkers .</t>
  </si>
  <si>
    <t>the increase is driven largely by women 's drinking habits</t>
  </si>
  <si>
    <t>it 's now more acceptable for women to drink the way men traditionally have , says one expert</t>
  </si>
  <si>
    <t>55-8</t>
  </si>
  <si>
    <t>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t>
  </si>
  <si>
    <t>a bus driver was caught reading a newspaper while driving in auckland , new zealand .
the driver sent the video to bus company ritchies coachlines along with a complaint .
in the footage the driver can be seen flicking through pages of the newspaper while the bus is in motion .</t>
  </si>
  <si>
    <t>his boss said he was embarrassed by the ` idiot ' driver 's actions</t>
  </si>
  <si>
    <t>68-8</t>
  </si>
  <si>
    <t>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t>
  </si>
  <si>
    <t>just over a quarter of women giving birth in england now have a caesarean and the rate has more than doubled since the early 1990s .
just over a quarter of women giving birth in england now have a caesarean and the rate has more than doubled since the early 1990s .</t>
  </si>
  <si>
    <t>just over a quarter of women giving birth in england now have a caesarean and the rate has more than doubled since the early 1990s .</t>
  </si>
  <si>
    <t xml:space="preserve">un officials say procedure should only be done when ` medically necessary ' because it can lead to infections and even death </t>
  </si>
  <si>
    <t>86-8</t>
  </si>
  <si>
    <t>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t>
  </si>
  <si>
    <t>james robarge , 45 , from saxtons river , vermont was sentenced in court on friday for second-degree murder in the death of his wife kelly robarge .
her badly decomposed body , with her hands and head detached , was found 10 days later in unity .
robarge was convicted of second-degree murder in the death of his wife kelly robarge .</t>
  </si>
  <si>
    <t>her badly decomposed body , with her hands and head detached , was found 10 days later in unity .</t>
  </si>
  <si>
    <t>robarge was convicted of second-degree murder in the death of his wife kelly robarge .</t>
  </si>
  <si>
    <t>robarge has already served two years behind bars which means he could be eligible for parole in about 28 years</t>
  </si>
  <si>
    <t>91-8</t>
  </si>
  <si>
    <t>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t>
  </si>
  <si>
    <t>michelle filkins , 44 , of west wareham has been charged with breaking and entering , larceny over $ 250 , and malicious destruction of property .
she was discovered at the court street property in edgartown by owner mark conklin on april 17 .
filkins was arrested on april 17 after owner mark conklin found her sitting in his summer home .
conklin found filkins sitting in his living room of the property estimated to be worth $ 800,000 .</t>
  </si>
  <si>
    <t>she was discovered at the court street property in edgartown by owner mark conklin on april 17 .</t>
  </si>
  <si>
    <t>conklin found filkins sitting in his living room of the property estimated to be worth $ 800,000 .</t>
  </si>
  <si>
    <t>a neighbor told police he saw filkins outside with items from the house and that she appeared to be having a yard sale or giving the items away</t>
  </si>
  <si>
    <t>92-8</t>
  </si>
  <si>
    <t>(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t>
  </si>
  <si>
    <t>the drugs are the biggest cocaine seizure ever carried out by french authorities .
the drugs are the biggest cocaine seizure ever carried out by french authorities .
the drugs are the biggest cocaine seizure ever carried out by french authorities .</t>
  </si>
  <si>
    <t>the drugs are the biggest cocaine seizure ever carried out by french authorities .</t>
  </si>
  <si>
    <t>the value of the drugs is estimated at more than $ 105 million</t>
  </si>
  <si>
    <t>officers arrested one venezuelan and two spanish citizens on board the vessel</t>
  </si>
  <si>
    <t>french customs officers say they have seized more than 2 tons of cocaine</t>
  </si>
  <si>
    <t>145-8</t>
  </si>
  <si>
    <t>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t>
  </si>
  <si>
    <t>the phone , which belonged to bella crooke from melbourne , was handed in to albury police station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t>
  </si>
  <si>
    <t>officers from albury police station on the nsw-victoria border posted selfies on a woman 's facebook page saying she could come and collect her phone .</t>
  </si>
  <si>
    <t>bella crooke lost the phone on saturday at a friend 's birthday party</t>
  </si>
  <si>
    <t>146-8</t>
  </si>
  <si>
    <t>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t>
  </si>
  <si>
    <t>a woman was arrested in china after apparently dumping her baby in a rubbish bin .
workers who found the baby , who was wrapped in a shirt but was still attached to the umbilical cord and placenta .
workers at the restaurant said they saw the woman going into the toilet and noticed that she 'd stayed there for a long time .</t>
  </si>
  <si>
    <t>workers at the restaurant said they saw the woman going into the toilet and noticed that she 'd stayed there for a long time .</t>
  </si>
  <si>
    <t>but was otherwise fine</t>
  </si>
  <si>
    <t>147-8</t>
  </si>
  <si>
    <t>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t>
  </si>
  <si>
    <t>the calf was flung into the air before being dragged along the surface of the water in the isimangaliso wetland park in eastern south africa .
the two male hippos had been fighting for some time and the mother of the calf stayed with her herd , possibly believing it safer to stay out of harm .</t>
  </si>
  <si>
    <t>five-day-old hippopotamus calf mauled to death after straying between two brawling adults in south africa</t>
  </si>
  <si>
    <t>148-8</t>
  </si>
  <si>
    <t>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t>
  </si>
  <si>
    <t>ian rogers , 36 , became hooked on all things paranormal as a child and took part in his first ghost hunt in the year 2000 .
since then he has spent hundreds of pounds on the creepy collection ... and he 's on the hunt for more to add .
ian will often take his dolls to events and get people to guess their back stories .</t>
  </si>
  <si>
    <t>ian rogers , 36 , became hooked on all things paranormal as a child and took part in his first ghost hunt in the year 2000 .</t>
  </si>
  <si>
    <t>ian will often take his dolls to events and get people to guess their back stories .</t>
  </si>
  <si>
    <t>the dolls are said to be haunted with the spirits of dead people</t>
  </si>
  <si>
    <t>he says each doll has their own unique story</t>
  </si>
  <si>
    <t>149-8</t>
  </si>
  <si>
    <t>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t>
  </si>
  <si>
    <t>the knightsbridge flat , london , is on sale for a fraction of the price of neighbouring homes .
the cost would work out at £191,000 per year , or £15,000 per month - which is around the going rate for renting a three-bedroom flat in the area .
it boasts three bedrooms , two bathrooms , a reception room and utility room along with a lift , parking and a communal garden .</t>
  </si>
  <si>
    <t>at £ 575,000</t>
  </si>
  <si>
    <t>property experts said if a buyer decides to extend the lease , the property could be worth upwards of £ 6 million</t>
  </si>
  <si>
    <t>but renewal would not come cheap with the cost for a new 90-year lease estimated at between £ 3.35 and £ 4.5 million</t>
  </si>
  <si>
    <t>it boasts three bedrooms , two bathrooms , a reception room and utility room along with a lift , parking and a communal garden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</si>
</sst>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43" formatCode="_-* #,##0.00_-;\-* #,##0.00_-;_-* &quot;-&quot;??_-;_-@_-"/>
    <numFmt numFmtId="164" formatCode="_ * #,##0.00_ ;_ * \-#,##0.00_ ;_ * &quot;-&quot;??_ ;_ @_ "/>
    <numFmt numFmtId="165" formatCode="00_ "/>
    <numFmt numFmtId="166" formatCode="0.000000000000_ "/>
    <numFmt numFmtId="167" formatCode="_-* #,##0.0_-;\-* #,##0.0_-;_-* &quot;-&quot;??_-;_-@_-"/>
  </numFmts>
  <fonts count="36">
    <font>
      <sz val="12"/>
      <color indexed="8"/>
      <name val="宋体"/>
      <charset val="134"/>
    </font>
    <font>
      <sz val="11"/>
      <color theme="1"/>
      <name val="Calibri"/>
      <family val="2"/>
      <scheme val="minor"/>
    </font>
    <font>
      <sz val="11"/>
      <color theme="1"/>
      <name val="Calibri"/>
      <family val="2"/>
      <scheme val="minor"/>
    </font>
    <font>
      <sz val="11"/>
      <color theme="1"/>
      <name val="Calibri"/>
      <family val="2"/>
      <scheme val="minor"/>
    </font>
    <font>
      <sz val="9"/>
      <name val="宋体"/>
      <family val="3"/>
      <charset val="134"/>
    </font>
    <font>
      <sz val="10"/>
      <name val="Arial"/>
      <family val="2"/>
    </font>
    <font>
      <sz val="11"/>
      <color theme="1"/>
      <name val="宋体"/>
      <family val="3"/>
      <charset val="134"/>
    </font>
    <font>
      <u/>
      <sz val="12"/>
      <color theme="10"/>
      <name val="宋体"/>
      <family val="3"/>
      <charset val="134"/>
    </font>
    <font>
      <u/>
      <sz val="12"/>
      <color theme="11"/>
      <name val="宋体"/>
      <family val="3"/>
      <charset val="134"/>
    </font>
    <font>
      <sz val="12"/>
      <color indexed="8"/>
      <name val="宋体"/>
      <family val="3"/>
      <charset val="134"/>
    </font>
    <font>
      <sz val="11"/>
      <color theme="1"/>
      <name val="Calibri"/>
      <family val="2"/>
      <charset val="134"/>
      <scheme val="minor"/>
    </font>
    <font>
      <sz val="11"/>
      <color theme="1"/>
      <name val="Arial"/>
      <family val="2"/>
    </font>
    <font>
      <sz val="10"/>
      <color theme="1"/>
      <name val="Arial"/>
      <family val="2"/>
    </font>
    <font>
      <b/>
      <sz val="10"/>
      <name val="Arial"/>
      <family val="2"/>
    </font>
    <font>
      <b/>
      <sz val="10"/>
      <color theme="1"/>
      <name val="Arial"/>
      <family val="2"/>
    </font>
    <font>
      <sz val="9"/>
      <name val="宋体"/>
      <family val="3"/>
      <charset val="134"/>
    </font>
    <font>
      <b/>
      <sz val="11"/>
      <name val="Arial"/>
      <family val="2"/>
    </font>
    <font>
      <sz val="11"/>
      <color indexed="8"/>
      <name val="Arial"/>
      <family val="2"/>
    </font>
    <font>
      <b/>
      <sz val="11"/>
      <color indexed="8"/>
      <name val="Arial"/>
      <family val="2"/>
    </font>
    <font>
      <b/>
      <u/>
      <sz val="11"/>
      <color theme="1"/>
      <name val="Arial"/>
      <family val="2"/>
    </font>
    <font>
      <b/>
      <sz val="11"/>
      <color theme="1"/>
      <name val="Arial"/>
      <family val="2"/>
    </font>
    <font>
      <b/>
      <sz val="9"/>
      <name val="Arial"/>
      <family val="2"/>
    </font>
    <font>
      <sz val="12"/>
      <color rgb="FF000000"/>
      <name val="Arial"/>
      <family val="2"/>
    </font>
    <font>
      <sz val="9"/>
      <name val="Arial"/>
      <family val="2"/>
    </font>
    <font>
      <sz val="10"/>
      <color rgb="FF000000"/>
      <name val="Arial"/>
      <family val="2"/>
    </font>
    <font>
      <b/>
      <sz val="12"/>
      <color rgb="FF000000"/>
      <name val="Arial"/>
      <family val="2"/>
    </font>
    <font>
      <b/>
      <sz val="9"/>
      <color rgb="FF000000"/>
      <name val="Arial"/>
      <family val="2"/>
    </font>
    <font>
      <sz val="12"/>
      <color indexed="8"/>
      <name val="Arial"/>
      <family val="2"/>
    </font>
    <font>
      <sz val="11"/>
      <color theme="0" tint="-0.14999847407452621"/>
      <name val="Arial"/>
      <family val="2"/>
    </font>
    <font>
      <sz val="11"/>
      <color theme="0"/>
      <name val="Arial"/>
      <family val="2"/>
    </font>
    <font>
      <sz val="12"/>
      <color indexed="8"/>
      <name val="宋体"/>
      <family val="3"/>
      <charset val="134"/>
    </font>
    <font>
      <sz val="9"/>
      <color theme="1" tint="0.499984740745262"/>
      <name val="Arial"/>
      <family val="2"/>
    </font>
    <font>
      <b/>
      <sz val="12"/>
      <color theme="1"/>
      <name val="Arial"/>
      <family val="2"/>
    </font>
    <font>
      <sz val="12"/>
      <color rgb="FF000000"/>
      <name val="Calibri"/>
      <family val="2"/>
    </font>
    <font>
      <sz val="11"/>
      <name val="Arial"/>
      <family val="2"/>
    </font>
    <font>
      <sz val="11"/>
      <color indexed="8"/>
      <name val="宋体"/>
      <family val="3"/>
      <charset val="134"/>
    </font>
  </fonts>
  <fills count="12">
    <fill>
      <patternFill patternType="none"/>
    </fill>
    <fill>
      <patternFill patternType="gray125"/>
    </fill>
    <fill>
      <patternFill patternType="solid">
        <fgColor theme="0" tint="-0.14999847407452621"/>
        <bgColor indexed="64"/>
      </patternFill>
    </fill>
    <fill>
      <patternFill patternType="solid">
        <fgColor theme="0"/>
        <bgColor indexed="64"/>
      </patternFill>
    </fill>
    <fill>
      <patternFill patternType="solid">
        <fgColor theme="6" tint="0.59999389629810485"/>
        <bgColor indexed="64"/>
      </patternFill>
    </fill>
    <fill>
      <patternFill patternType="solid">
        <fgColor theme="9" tint="0.79998168889431442"/>
        <bgColor indexed="64"/>
      </patternFill>
    </fill>
    <fill>
      <patternFill patternType="solid">
        <fgColor theme="5" tint="0.79998168889431442"/>
        <bgColor indexed="64"/>
      </patternFill>
    </fill>
    <fill>
      <patternFill patternType="solid">
        <fgColor theme="0" tint="-0.249977111117893"/>
        <bgColor indexed="64"/>
      </patternFill>
    </fill>
    <fill>
      <patternFill patternType="solid">
        <fgColor theme="6" tint="0.39997558519241921"/>
        <bgColor indexed="64"/>
      </patternFill>
    </fill>
    <fill>
      <patternFill patternType="solid">
        <fgColor theme="8" tint="0.79998168889431442"/>
        <bgColor indexed="64"/>
      </patternFill>
    </fill>
    <fill>
      <patternFill patternType="solid">
        <fgColor theme="6" tint="0.39997558519241921"/>
        <bgColor rgb="FF000000"/>
      </patternFill>
    </fill>
    <fill>
      <patternFill patternType="solid">
        <fgColor theme="7" tint="0.59999389629810485"/>
        <bgColor indexed="64"/>
      </patternFill>
    </fill>
  </fills>
  <borders count="17">
    <border>
      <left/>
      <right/>
      <top/>
      <bottom/>
      <diagonal/>
    </border>
    <border>
      <left style="thin">
        <color auto="1"/>
      </left>
      <right style="thin">
        <color auto="1"/>
      </right>
      <top style="thin">
        <color auto="1"/>
      </top>
      <bottom style="thin">
        <color auto="1"/>
      </bottom>
      <diagonal/>
    </border>
    <border>
      <left style="thin">
        <color auto="1"/>
      </left>
      <right style="thin">
        <color auto="1"/>
      </right>
      <top/>
      <bottom style="thin">
        <color auto="1"/>
      </bottom>
      <diagonal/>
    </border>
    <border>
      <left style="thin">
        <color auto="1"/>
      </left>
      <right/>
      <top style="thin">
        <color auto="1"/>
      </top>
      <bottom style="thin">
        <color auto="1"/>
      </bottom>
      <diagonal/>
    </border>
    <border>
      <left/>
      <right/>
      <top style="thin">
        <color auto="1"/>
      </top>
      <bottom style="thin">
        <color auto="1"/>
      </bottom>
      <diagonal/>
    </border>
    <border>
      <left/>
      <right/>
      <top/>
      <bottom style="double">
        <color auto="1"/>
      </bottom>
      <diagonal/>
    </border>
    <border>
      <left style="medium">
        <color auto="1"/>
      </left>
      <right style="thin">
        <color auto="1"/>
      </right>
      <top style="medium">
        <color auto="1"/>
      </top>
      <bottom style="medium">
        <color auto="1"/>
      </bottom>
      <diagonal/>
    </border>
    <border>
      <left style="medium">
        <color auto="1"/>
      </left>
      <right style="thin">
        <color auto="1"/>
      </right>
      <top style="thin">
        <color auto="1"/>
      </top>
      <bottom style="thin">
        <color auto="1"/>
      </bottom>
      <diagonal/>
    </border>
    <border>
      <left style="medium">
        <color auto="1"/>
      </left>
      <right style="thin">
        <color auto="1"/>
      </right>
      <top style="medium">
        <color auto="1"/>
      </top>
      <bottom style="thin">
        <color auto="1"/>
      </bottom>
      <diagonal/>
    </border>
    <border>
      <left style="thin">
        <color auto="1"/>
      </left>
      <right style="thin">
        <color auto="1"/>
      </right>
      <top style="medium">
        <color auto="1"/>
      </top>
      <bottom style="thin">
        <color auto="1"/>
      </bottom>
      <diagonal/>
    </border>
    <border>
      <left/>
      <right style="thin">
        <color auto="1"/>
      </right>
      <top style="thin">
        <color auto="1"/>
      </top>
      <bottom style="thin">
        <color auto="1"/>
      </bottom>
      <diagonal/>
    </border>
    <border>
      <left style="thin">
        <color auto="1"/>
      </left>
      <right style="thin">
        <color auto="1"/>
      </right>
      <top style="medium">
        <color auto="1"/>
      </top>
      <bottom style="medium">
        <color auto="1"/>
      </bottom>
      <diagonal/>
    </border>
    <border>
      <left style="thin">
        <color auto="1"/>
      </left>
      <right style="medium">
        <color auto="1"/>
      </right>
      <top/>
      <bottom style="medium">
        <color auto="1"/>
      </bottom>
      <diagonal/>
    </border>
    <border>
      <left style="thin">
        <color auto="1"/>
      </left>
      <right style="medium">
        <color auto="1"/>
      </right>
      <top style="thin">
        <color auto="1"/>
      </top>
      <bottom style="thin">
        <color auto="1"/>
      </bottom>
      <diagonal/>
    </border>
    <border>
      <left style="thin">
        <color auto="1"/>
      </left>
      <right style="medium">
        <color auto="1"/>
      </right>
      <top/>
      <bottom style="thin">
        <color auto="1"/>
      </bottom>
      <diagonal/>
    </border>
    <border>
      <left style="thin">
        <color auto="1"/>
      </left>
      <right style="medium">
        <color auto="1"/>
      </right>
      <top style="medium">
        <color auto="1"/>
      </top>
      <bottom style="medium">
        <color auto="1"/>
      </bottom>
      <diagonal/>
    </border>
    <border>
      <left style="medium">
        <color auto="1"/>
      </left>
      <right style="thin">
        <color auto="1"/>
      </right>
      <top/>
      <bottom style="thin">
        <color auto="1"/>
      </bottom>
      <diagonal/>
    </border>
  </borders>
  <cellStyleXfs count="211">
    <xf numFmtId="0" fontId="0" fillId="0" borderId="0"/>
    <xf numFmtId="0" fontId="6" fillId="0" borderId="0"/>
    <xf numFmtId="0" fontId="5" fillId="0" borderId="0"/>
    <xf numFmtId="0" fontId="3" fillId="0" borderId="0"/>
    <xf numFmtId="9" fontId="3" fillId="0" borderId="0" applyFon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2" fillId="0" borderId="0"/>
    <xf numFmtId="9" fontId="2" fillId="0" borderId="0" applyFont="0" applyFill="0" applyBorder="0" applyAlignment="0" applyProtection="0"/>
    <xf numFmtId="0" fontId="9" fillId="0" borderId="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10" fillId="0" borderId="0">
      <alignment vertical="center"/>
    </xf>
    <xf numFmtId="9" fontId="10" fillId="0" borderId="0" applyFont="0" applyFill="0" applyBorder="0" applyAlignment="0" applyProtection="0">
      <alignment vertical="center"/>
    </xf>
    <xf numFmtId="43" fontId="10" fillId="0" borderId="0" applyFont="0" applyFill="0" applyBorder="0" applyAlignment="0" applyProtection="0">
      <alignment vertical="center"/>
    </xf>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164" fontId="30" fillId="0" borderId="0" applyFont="0" applyFill="0" applyBorder="0" applyAlignment="0" applyProtection="0">
      <alignment vertical="center"/>
    </xf>
    <xf numFmtId="0" fontId="9" fillId="0" borderId="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xf numFmtId="0" fontId="7" fillId="0" borderId="0" applyNumberFormat="0" applyFill="0" applyBorder="0" applyAlignment="0" applyProtection="0"/>
    <xf numFmtId="0" fontId="8" fillId="0" borderId="0" applyNumberFormat="0" applyFill="0" applyBorder="0" applyAlignment="0" applyProtection="0"/>
  </cellStyleXfs>
  <cellXfs count="122">
    <xf numFmtId="0" fontId="0" fillId="0" borderId="0" xfId="0"/>
    <xf numFmtId="49" fontId="11" fillId="0" borderId="1" xfId="0" applyNumberFormat="1" applyFont="1" applyBorder="1" applyAlignment="1">
      <alignment wrapText="1"/>
    </xf>
    <xf numFmtId="0" fontId="12" fillId="0" borderId="0" xfId="180" applyFont="1" applyAlignment="1">
      <alignment vertical="center"/>
    </xf>
    <xf numFmtId="0" fontId="5" fillId="0" borderId="1" xfId="180" applyFont="1" applyFill="1" applyBorder="1" applyAlignment="1">
      <alignment vertical="center"/>
    </xf>
    <xf numFmtId="0" fontId="13" fillId="0" borderId="1" xfId="180" applyFont="1" applyFill="1" applyBorder="1" applyAlignment="1">
      <alignment vertical="center"/>
    </xf>
    <xf numFmtId="0" fontId="13" fillId="2" borderId="1" xfId="180" applyFont="1" applyFill="1" applyBorder="1" applyAlignment="1">
      <alignment vertical="center"/>
    </xf>
    <xf numFmtId="0" fontId="12" fillId="0" borderId="0" xfId="0" applyFont="1" applyAlignment="1">
      <alignment vertical="center"/>
    </xf>
    <xf numFmtId="0" fontId="12" fillId="4" borderId="1" xfId="0" applyFont="1" applyFill="1" applyBorder="1" applyAlignment="1">
      <alignment vertical="center"/>
    </xf>
    <xf numFmtId="0" fontId="14" fillId="4" borderId="1" xfId="0" applyFont="1" applyFill="1" applyBorder="1" applyAlignment="1">
      <alignment vertical="center"/>
    </xf>
    <xf numFmtId="0" fontId="13" fillId="2" borderId="1" xfId="0" applyFont="1" applyFill="1" applyBorder="1" applyAlignment="1">
      <alignment vertical="center"/>
    </xf>
    <xf numFmtId="0" fontId="5" fillId="0" borderId="1" xfId="0" applyFont="1" applyFill="1" applyBorder="1" applyAlignment="1">
      <alignment vertical="center"/>
    </xf>
    <xf numFmtId="0" fontId="12" fillId="0" borderId="1" xfId="0" applyFont="1" applyBorder="1" applyAlignment="1">
      <alignment vertical="center"/>
    </xf>
    <xf numFmtId="0" fontId="16" fillId="3" borderId="1" xfId="0" applyFont="1" applyFill="1" applyBorder="1" applyAlignment="1" applyProtection="1">
      <alignment horizontal="center" vertical="center" wrapText="1"/>
      <protection locked="0"/>
    </xf>
    <xf numFmtId="0" fontId="16" fillId="0" borderId="1" xfId="0" applyFont="1" applyBorder="1" applyAlignment="1">
      <alignment horizontal="center" vertical="center" wrapText="1"/>
    </xf>
    <xf numFmtId="0" fontId="17" fillId="0" borderId="1" xfId="0" applyFont="1" applyBorder="1" applyAlignment="1" applyProtection="1">
      <alignment horizontal="left" vertical="center" wrapText="1"/>
      <protection locked="0"/>
    </xf>
    <xf numFmtId="0" fontId="17" fillId="0" borderId="1" xfId="0" applyFont="1" applyBorder="1" applyAlignment="1">
      <alignment vertical="center"/>
    </xf>
    <xf numFmtId="1" fontId="18" fillId="0" borderId="1" xfId="0" applyNumberFormat="1" applyFont="1" applyBorder="1" applyAlignment="1">
      <alignment horizontal="left" vertical="center"/>
    </xf>
    <xf numFmtId="0" fontId="18" fillId="0" borderId="1" xfId="0" applyFont="1" applyBorder="1" applyAlignment="1">
      <alignment horizontal="center" vertical="center"/>
    </xf>
    <xf numFmtId="165" fontId="17" fillId="0" borderId="1" xfId="0" applyNumberFormat="1" applyFont="1" applyBorder="1" applyAlignment="1">
      <alignment horizontal="center" vertical="center"/>
    </xf>
    <xf numFmtId="1" fontId="17" fillId="0" borderId="1" xfId="0" applyNumberFormat="1" applyFont="1" applyBorder="1" applyAlignment="1">
      <alignment horizontal="left" vertical="center"/>
    </xf>
    <xf numFmtId="0" fontId="17" fillId="0" borderId="1" xfId="0" applyFont="1" applyBorder="1" applyAlignment="1">
      <alignment wrapText="1"/>
    </xf>
    <xf numFmtId="0" fontId="17" fillId="0" borderId="0" xfId="0" applyFont="1" applyBorder="1" applyAlignment="1">
      <alignment vertical="center"/>
    </xf>
    <xf numFmtId="1" fontId="17" fillId="0" borderId="0" xfId="0" applyNumberFormat="1" applyFont="1" applyBorder="1" applyAlignment="1">
      <alignment horizontal="left" vertical="center"/>
    </xf>
    <xf numFmtId="0" fontId="17" fillId="0" borderId="0" xfId="0" applyFont="1" applyBorder="1" applyAlignment="1">
      <alignment horizontal="center" vertical="center"/>
    </xf>
    <xf numFmtId="49" fontId="17" fillId="0" borderId="0" xfId="0" applyNumberFormat="1" applyFont="1" applyBorder="1" applyAlignment="1">
      <alignment horizontal="left" vertical="top" wrapText="1"/>
    </xf>
    <xf numFmtId="0" fontId="17" fillId="0" borderId="0" xfId="0" applyFont="1" applyBorder="1" applyAlignment="1" applyProtection="1">
      <alignment horizontal="left" vertical="center" wrapText="1"/>
      <protection locked="0"/>
    </xf>
    <xf numFmtId="0" fontId="11" fillId="0" borderId="0" xfId="180" applyFont="1">
      <alignment vertical="center"/>
    </xf>
    <xf numFmtId="0" fontId="11" fillId="0" borderId="1" xfId="180" applyFont="1" applyBorder="1" applyAlignment="1">
      <alignment horizontal="right" vertical="center"/>
    </xf>
    <xf numFmtId="0" fontId="11" fillId="0" borderId="0" xfId="180" applyFont="1" applyAlignment="1">
      <alignment horizontal="right" vertical="center"/>
    </xf>
    <xf numFmtId="14" fontId="11" fillId="0" borderId="1" xfId="180" applyNumberFormat="1" applyFont="1" applyBorder="1" applyAlignment="1">
      <alignment horizontal="right" vertical="center"/>
    </xf>
    <xf numFmtId="0" fontId="11" fillId="0" borderId="5" xfId="180" applyFont="1" applyBorder="1">
      <alignment vertical="center"/>
    </xf>
    <xf numFmtId="0" fontId="26" fillId="0" borderId="11" xfId="180" applyFont="1" applyFill="1" applyBorder="1" applyAlignment="1">
      <alignment horizontal="right"/>
    </xf>
    <xf numFmtId="0" fontId="27" fillId="0" borderId="0" xfId="0" applyFont="1"/>
    <xf numFmtId="0" fontId="11" fillId="0" borderId="0" xfId="180" applyFont="1" applyBorder="1">
      <alignment vertical="center"/>
    </xf>
    <xf numFmtId="0" fontId="11" fillId="0" borderId="0" xfId="180" applyFont="1" applyBorder="1" applyAlignment="1">
      <alignment horizontal="right" vertical="center"/>
    </xf>
    <xf numFmtId="0" fontId="28" fillId="0" borderId="0" xfId="180" applyFont="1">
      <alignment vertical="center"/>
    </xf>
    <xf numFmtId="2" fontId="29" fillId="0" borderId="0" xfId="180" applyNumberFormat="1" applyFont="1">
      <alignment vertical="center"/>
    </xf>
    <xf numFmtId="0" fontId="29" fillId="0" borderId="0" xfId="180" applyFont="1">
      <alignment vertical="center"/>
    </xf>
    <xf numFmtId="166" fontId="29" fillId="0" borderId="0" xfId="180" applyNumberFormat="1" applyFont="1">
      <alignment vertical="center"/>
    </xf>
    <xf numFmtId="0" fontId="11" fillId="0" borderId="0" xfId="180" applyFont="1" applyBorder="1" applyAlignment="1">
      <alignment horizontal="center" vertical="center"/>
    </xf>
    <xf numFmtId="0" fontId="19" fillId="0" borderId="0" xfId="180" applyFont="1">
      <alignment vertical="center"/>
    </xf>
    <xf numFmtId="0" fontId="16" fillId="2" borderId="0" xfId="180" applyFont="1" applyFill="1" applyAlignment="1">
      <alignment horizontal="right" vertical="center"/>
    </xf>
    <xf numFmtId="164" fontId="20" fillId="2" borderId="0" xfId="203" applyFont="1" applyFill="1" applyAlignment="1">
      <alignment horizontal="right" vertical="center"/>
    </xf>
    <xf numFmtId="167" fontId="20" fillId="2" borderId="0" xfId="182" applyNumberFormat="1" applyFont="1" applyFill="1" applyAlignment="1">
      <alignment horizontal="right" vertical="center"/>
    </xf>
    <xf numFmtId="10" fontId="20" fillId="2" borderId="0" xfId="181" applyNumberFormat="1" applyFont="1" applyFill="1" applyAlignment="1">
      <alignment horizontal="right" vertical="center"/>
    </xf>
    <xf numFmtId="0" fontId="21" fillId="10" borderId="6" xfId="180" applyFont="1" applyFill="1" applyBorder="1" applyAlignment="1">
      <alignment vertical="center"/>
    </xf>
    <xf numFmtId="0" fontId="21" fillId="10" borderId="11" xfId="180" applyFont="1" applyFill="1" applyBorder="1" applyAlignment="1">
      <alignment vertical="center"/>
    </xf>
    <xf numFmtId="0" fontId="21" fillId="10" borderId="15" xfId="180" applyFont="1" applyFill="1" applyBorder="1" applyAlignment="1">
      <alignment vertical="center"/>
    </xf>
    <xf numFmtId="0" fontId="23" fillId="6" borderId="2" xfId="180" applyFont="1" applyFill="1" applyBorder="1" applyAlignment="1">
      <alignment horizontal="right"/>
    </xf>
    <xf numFmtId="0" fontId="23" fillId="6" borderId="1" xfId="180" applyFont="1" applyFill="1" applyBorder="1" applyAlignment="1">
      <alignment horizontal="right"/>
    </xf>
    <xf numFmtId="0" fontId="23" fillId="6" borderId="9" xfId="180" applyFont="1" applyFill="1" applyBorder="1" applyAlignment="1">
      <alignment horizontal="right"/>
    </xf>
    <xf numFmtId="0" fontId="31" fillId="7" borderId="1" xfId="180" applyFont="1" applyFill="1" applyBorder="1" applyAlignment="1">
      <alignment horizontal="right"/>
    </xf>
    <xf numFmtId="0" fontId="23" fillId="9" borderId="1" xfId="180" applyFont="1" applyFill="1" applyBorder="1" applyAlignment="1">
      <alignment horizontal="right"/>
    </xf>
    <xf numFmtId="0" fontId="23" fillId="9" borderId="9" xfId="180" applyFont="1" applyFill="1" applyBorder="1" applyAlignment="1">
      <alignment horizontal="right"/>
    </xf>
    <xf numFmtId="0" fontId="23" fillId="9" borderId="2" xfId="180" applyFont="1" applyFill="1" applyBorder="1" applyAlignment="1">
      <alignment horizontal="right"/>
    </xf>
    <xf numFmtId="0" fontId="23" fillId="5" borderId="2" xfId="180" applyFont="1" applyFill="1" applyBorder="1" applyAlignment="1">
      <alignment horizontal="right"/>
    </xf>
    <xf numFmtId="0" fontId="23" fillId="5" borderId="1" xfId="180" applyFont="1" applyFill="1" applyBorder="1" applyAlignment="1">
      <alignment horizontal="right"/>
    </xf>
    <xf numFmtId="0" fontId="23" fillId="5" borderId="9" xfId="180" applyFont="1" applyFill="1" applyBorder="1" applyAlignment="1">
      <alignment horizontal="right"/>
    </xf>
    <xf numFmtId="0" fontId="20" fillId="6" borderId="1" xfId="180" applyFont="1" applyFill="1" applyBorder="1" applyAlignment="1">
      <alignment horizontal="center" vertical="center"/>
    </xf>
    <xf numFmtId="0" fontId="20" fillId="5" borderId="1" xfId="180" applyFont="1" applyFill="1" applyBorder="1" applyAlignment="1">
      <alignment horizontal="center" vertical="center"/>
    </xf>
    <xf numFmtId="0" fontId="20" fillId="9" borderId="1" xfId="180" applyFont="1" applyFill="1" applyBorder="1" applyAlignment="1">
      <alignment horizontal="center" vertical="center"/>
    </xf>
    <xf numFmtId="0" fontId="5" fillId="0" borderId="2" xfId="180" applyFont="1" applyFill="1" applyBorder="1" applyAlignment="1"/>
    <xf numFmtId="0" fontId="5" fillId="0" borderId="1" xfId="180" applyFont="1" applyFill="1" applyBorder="1" applyAlignment="1"/>
    <xf numFmtId="0" fontId="24" fillId="0" borderId="9" xfId="180" applyFont="1" applyFill="1" applyBorder="1" applyAlignment="1"/>
    <xf numFmtId="0" fontId="26" fillId="0" borderId="12" xfId="180" applyFont="1" applyFill="1" applyBorder="1" applyAlignment="1"/>
    <xf numFmtId="0" fontId="21" fillId="0" borderId="14" xfId="180" applyFont="1" applyFill="1" applyBorder="1" applyAlignment="1"/>
    <xf numFmtId="0" fontId="21" fillId="0" borderId="13" xfId="180" applyFont="1" applyFill="1" applyBorder="1" applyAlignment="1"/>
    <xf numFmtId="0" fontId="20" fillId="0" borderId="0" xfId="180" applyFont="1" applyBorder="1" applyAlignment="1">
      <alignment horizontal="right" vertical="center"/>
    </xf>
    <xf numFmtId="0" fontId="32" fillId="8" borderId="1" xfId="180" applyFont="1" applyFill="1" applyBorder="1" applyAlignment="1">
      <alignment horizontal="center" vertical="center"/>
    </xf>
    <xf numFmtId="2" fontId="32" fillId="0" borderId="1" xfId="180" applyNumberFormat="1" applyFont="1" applyFill="1" applyBorder="1" applyAlignment="1">
      <alignment horizontal="center" vertical="center"/>
    </xf>
    <xf numFmtId="0" fontId="27" fillId="0" borderId="1" xfId="0" applyFont="1" applyBorder="1"/>
    <xf numFmtId="2" fontId="27" fillId="0" borderId="1" xfId="0" applyNumberFormat="1" applyFont="1" applyBorder="1"/>
    <xf numFmtId="0" fontId="10" fillId="0" borderId="0" xfId="180">
      <alignment vertical="center"/>
    </xf>
    <xf numFmtId="0" fontId="20" fillId="11" borderId="1" xfId="180" applyFont="1" applyFill="1" applyBorder="1" applyAlignment="1">
      <alignment horizontal="center" vertical="center"/>
    </xf>
    <xf numFmtId="0" fontId="13" fillId="0" borderId="0" xfId="180" applyFont="1" applyFill="1" applyBorder="1" applyAlignment="1">
      <alignment vertical="center"/>
    </xf>
    <xf numFmtId="0" fontId="5" fillId="0" borderId="0" xfId="180" applyFont="1" applyFill="1" applyBorder="1" applyAlignment="1">
      <alignment vertical="center"/>
    </xf>
    <xf numFmtId="0" fontId="12" fillId="0" borderId="0" xfId="0" applyFont="1" applyBorder="1" applyAlignment="1">
      <alignment vertical="center"/>
    </xf>
    <xf numFmtId="1" fontId="11" fillId="0" borderId="1" xfId="180" applyNumberFormat="1" applyFont="1" applyBorder="1" applyAlignment="1">
      <alignment horizontal="right" vertical="center"/>
    </xf>
    <xf numFmtId="49" fontId="11" fillId="0" borderId="1" xfId="0" applyNumberFormat="1" applyFont="1" applyBorder="1" applyAlignment="1"/>
    <xf numFmtId="49" fontId="17" fillId="0" borderId="1" xfId="0" applyNumberFormat="1" applyFont="1" applyBorder="1" applyAlignment="1">
      <alignment horizontal="left" vertical="center"/>
    </xf>
    <xf numFmtId="0" fontId="17" fillId="0" borderId="1" xfId="0" applyFont="1" applyBorder="1" applyAlignment="1"/>
    <xf numFmtId="0" fontId="17" fillId="0" borderId="1" xfId="0" applyFont="1" applyBorder="1" applyAlignment="1" applyProtection="1">
      <alignment horizontal="left" vertical="center"/>
      <protection locked="0"/>
    </xf>
    <xf numFmtId="0" fontId="17" fillId="0" borderId="1" xfId="0" quotePrefix="1" applyFont="1" applyBorder="1" applyAlignment="1" applyProtection="1">
      <alignment horizontal="left" vertical="center"/>
      <protection locked="0"/>
    </xf>
    <xf numFmtId="0" fontId="34" fillId="0" borderId="1" xfId="0" applyFont="1" applyBorder="1" applyAlignment="1" applyProtection="1">
      <alignment horizontal="left" vertical="center"/>
      <protection locked="0"/>
    </xf>
    <xf numFmtId="49" fontId="34" fillId="0" borderId="1" xfId="0" applyNumberFormat="1" applyFont="1" applyBorder="1" applyAlignment="1" applyProtection="1">
      <alignment horizontal="left" vertical="center"/>
      <protection locked="0"/>
    </xf>
    <xf numFmtId="0" fontId="17" fillId="0" borderId="0" xfId="0" applyFont="1" applyBorder="1" applyAlignment="1" applyProtection="1">
      <alignment horizontal="left" vertical="center"/>
      <protection locked="0"/>
    </xf>
    <xf numFmtId="0" fontId="17" fillId="0" borderId="0" xfId="0" applyFont="1" applyAlignment="1" applyProtection="1">
      <alignment horizontal="left" vertical="center"/>
      <protection locked="0"/>
    </xf>
    <xf numFmtId="0" fontId="17" fillId="0" borderId="0" xfId="0" applyFont="1" applyAlignment="1">
      <alignment vertical="center"/>
    </xf>
    <xf numFmtId="165" fontId="17" fillId="0" borderId="10" xfId="0" applyNumberFormat="1" applyFont="1" applyBorder="1" applyAlignment="1">
      <alignment horizontal="center" vertical="center"/>
    </xf>
    <xf numFmtId="0" fontId="17" fillId="0" borderId="1" xfId="0" applyFont="1" applyBorder="1" applyAlignment="1">
      <alignment horizontal="left" vertical="center"/>
    </xf>
    <xf numFmtId="165" fontId="11" fillId="0" borderId="1" xfId="0" applyNumberFormat="1" applyFont="1" applyBorder="1" applyAlignment="1">
      <alignment horizontal="center" vertical="center"/>
    </xf>
    <xf numFmtId="0" fontId="11" fillId="0" borderId="1" xfId="0" applyFont="1" applyBorder="1" applyAlignment="1" applyProtection="1">
      <alignment horizontal="left" vertical="center"/>
      <protection locked="0"/>
    </xf>
    <xf numFmtId="49" fontId="11" fillId="0" borderId="1" xfId="0" applyNumberFormat="1" applyFont="1" applyFill="1" applyBorder="1" applyAlignment="1"/>
    <xf numFmtId="49" fontId="18" fillId="0" borderId="1" xfId="0" applyNumberFormat="1" applyFont="1" applyFill="1" applyBorder="1" applyAlignment="1">
      <alignment horizontal="left" vertical="center"/>
    </xf>
    <xf numFmtId="49" fontId="17" fillId="0" borderId="1" xfId="0" applyNumberFormat="1" applyFont="1" applyFill="1" applyBorder="1" applyAlignment="1">
      <alignment horizontal="left" vertical="center"/>
    </xf>
    <xf numFmtId="49" fontId="11" fillId="0" borderId="1" xfId="0" applyNumberFormat="1" applyFont="1" applyFill="1" applyBorder="1" applyAlignment="1">
      <alignment wrapText="1"/>
    </xf>
    <xf numFmtId="49" fontId="11" fillId="0" borderId="1" xfId="0" applyNumberFormat="1" applyFont="1" applyFill="1" applyBorder="1"/>
    <xf numFmtId="0" fontId="17" fillId="0" borderId="1" xfId="0" applyFont="1" applyFill="1" applyBorder="1" applyAlignment="1">
      <alignment vertical="center"/>
    </xf>
    <xf numFmtId="49" fontId="9" fillId="0" borderId="1" xfId="0" applyNumberFormat="1" applyFont="1" applyFill="1" applyBorder="1"/>
    <xf numFmtId="0" fontId="17" fillId="0" borderId="1" xfId="0" applyFont="1" applyFill="1" applyBorder="1" applyAlignment="1">
      <alignment horizontal="left" vertical="center"/>
    </xf>
    <xf numFmtId="0" fontId="11" fillId="0" borderId="1" xfId="0" applyFont="1" applyFill="1" applyBorder="1"/>
    <xf numFmtId="49" fontId="27" fillId="0" borderId="1" xfId="0" applyNumberFormat="1" applyFont="1" applyFill="1" applyBorder="1"/>
    <xf numFmtId="49" fontId="27" fillId="0" borderId="0" xfId="0" applyNumberFormat="1" applyFont="1" applyFill="1"/>
    <xf numFmtId="0" fontId="19" fillId="0" borderId="0" xfId="180" applyFont="1" applyAlignment="1">
      <alignment horizontal="center" vertical="center"/>
    </xf>
    <xf numFmtId="0" fontId="25" fillId="0" borderId="6" xfId="180" applyFont="1" applyFill="1" applyBorder="1" applyAlignment="1">
      <alignment horizontal="center" vertical="center"/>
    </xf>
    <xf numFmtId="0" fontId="25" fillId="0" borderId="11" xfId="180" applyFont="1" applyFill="1" applyBorder="1" applyAlignment="1">
      <alignment horizontal="center" vertical="center"/>
    </xf>
    <xf numFmtId="0" fontId="22" fillId="0" borderId="8" xfId="180" applyFont="1" applyFill="1" applyBorder="1" applyAlignment="1">
      <alignment horizontal="center" vertical="center"/>
    </xf>
    <xf numFmtId="0" fontId="22" fillId="0" borderId="7" xfId="180" applyFont="1" applyFill="1" applyBorder="1" applyAlignment="1">
      <alignment horizontal="center" vertical="center"/>
    </xf>
    <xf numFmtId="0" fontId="22" fillId="0" borderId="16" xfId="180" applyFont="1" applyFill="1" applyBorder="1" applyAlignment="1">
      <alignment horizontal="center" vertical="center"/>
    </xf>
    <xf numFmtId="0" fontId="13" fillId="4" borderId="1" xfId="180" applyFont="1" applyFill="1" applyBorder="1" applyAlignment="1">
      <alignment horizontal="center" vertical="center"/>
    </xf>
    <xf numFmtId="0" fontId="13" fillId="0" borderId="3" xfId="180" applyFont="1" applyBorder="1" applyAlignment="1">
      <alignment horizontal="center" vertical="center"/>
    </xf>
    <xf numFmtId="0" fontId="13" fillId="0" borderId="4" xfId="180" applyFont="1" applyBorder="1" applyAlignment="1">
      <alignment horizontal="center" vertical="center"/>
    </xf>
    <xf numFmtId="0" fontId="13" fillId="0" borderId="10" xfId="180" applyFont="1" applyBorder="1" applyAlignment="1">
      <alignment horizontal="center" vertical="center"/>
    </xf>
    <xf numFmtId="165" fontId="17" fillId="0" borderId="1" xfId="0" applyNumberFormat="1" applyFont="1" applyFill="1" applyBorder="1" applyAlignment="1">
      <alignment horizontal="center" vertical="center"/>
    </xf>
    <xf numFmtId="0" fontId="17" fillId="0" borderId="1" xfId="0" applyFont="1" applyFill="1" applyBorder="1" applyAlignment="1" applyProtection="1">
      <alignment horizontal="left" vertical="center"/>
      <protection locked="0"/>
    </xf>
    <xf numFmtId="0" fontId="17" fillId="0" borderId="0" xfId="0" applyFont="1" applyFill="1" applyBorder="1" applyAlignment="1">
      <alignment vertical="center"/>
    </xf>
    <xf numFmtId="0" fontId="16" fillId="0" borderId="1" xfId="0" applyFont="1" applyBorder="1" applyAlignment="1">
      <alignment horizontal="center" vertical="center"/>
    </xf>
    <xf numFmtId="0" fontId="16" fillId="3" borderId="1" xfId="0" applyFont="1" applyFill="1" applyBorder="1" applyAlignment="1" applyProtection="1">
      <alignment horizontal="center" vertical="center"/>
      <protection locked="0"/>
    </xf>
    <xf numFmtId="49" fontId="17" fillId="0" borderId="1" xfId="0" applyNumberFormat="1" applyFont="1" applyBorder="1" applyAlignment="1" applyProtection="1">
      <alignment horizontal="left" vertical="center"/>
      <protection locked="0"/>
    </xf>
    <xf numFmtId="49" fontId="9" fillId="0" borderId="0" xfId="0" applyNumberFormat="1" applyFont="1" applyAlignment="1"/>
    <xf numFmtId="0" fontId="11" fillId="0" borderId="1" xfId="0" applyFont="1" applyBorder="1" applyAlignment="1"/>
    <xf numFmtId="0" fontId="17" fillId="0" borderId="1" xfId="0" applyFont="1" applyFill="1" applyBorder="1" applyAlignment="1"/>
  </cellXfs>
  <cellStyles count="211">
    <cellStyle name="Comma 2" xfId="182" xr:uid="{00000000-0005-0000-0000-000001000000}"/>
    <cellStyle name="Normal 2" xfId="1" xr:uid="{00000000-0005-0000-0000-0000C9000000}"/>
    <cellStyle name="Normal 2 2" xfId="2" xr:uid="{00000000-0005-0000-0000-0000CA000000}"/>
    <cellStyle name="Normal 3" xfId="3" xr:uid="{00000000-0005-0000-0000-0000CB000000}"/>
    <cellStyle name="Normal 3 2" xfId="163" xr:uid="{00000000-0005-0000-0000-0000CC000000}"/>
    <cellStyle name="Normal 4" xfId="165" xr:uid="{00000000-0005-0000-0000-0000CD000000}"/>
    <cellStyle name="Normal 5" xfId="180" xr:uid="{00000000-0005-0000-0000-0000CE000000}"/>
    <cellStyle name="Normal 6" xfId="204" xr:uid="{00000000-0005-0000-0000-0000CF000000}"/>
    <cellStyle name="Percent 2" xfId="4" xr:uid="{00000000-0005-0000-0000-0000D0000000}"/>
    <cellStyle name="Percent 2 2" xfId="164" xr:uid="{00000000-0005-0000-0000-0000D1000000}"/>
    <cellStyle name="Percent 3" xfId="181" xr:uid="{00000000-0005-0000-0000-0000D2000000}"/>
    <cellStyle name="千位分隔" xfId="203" builtinId="3"/>
    <cellStyle name="已访问的超链接" xfId="6" builtinId="9" hidden="1"/>
    <cellStyle name="已访问的超链接" xfId="8" builtinId="9" hidden="1"/>
    <cellStyle name="已访问的超链接" xfId="10" builtinId="9" hidden="1"/>
    <cellStyle name="已访问的超链接" xfId="12" builtinId="9" hidden="1"/>
    <cellStyle name="已访问的超链接" xfId="14" builtinId="9" hidden="1"/>
    <cellStyle name="已访问的超链接" xfId="16" builtinId="9" hidden="1"/>
    <cellStyle name="已访问的超链接" xfId="18" builtinId="9" hidden="1"/>
    <cellStyle name="已访问的超链接" xfId="20" builtinId="9" hidden="1"/>
    <cellStyle name="已访问的超链接" xfId="22" builtinId="9" hidden="1"/>
    <cellStyle name="已访问的超链接" xfId="24" builtinId="9" hidden="1"/>
    <cellStyle name="已访问的超链接" xfId="26" builtinId="9" hidden="1"/>
    <cellStyle name="已访问的超链接" xfId="28" builtinId="9" hidden="1"/>
    <cellStyle name="已访问的超链接" xfId="30" builtinId="9" hidden="1"/>
    <cellStyle name="已访问的超链接" xfId="32" builtinId="9" hidden="1"/>
    <cellStyle name="已访问的超链接" xfId="34" builtinId="9" hidden="1"/>
    <cellStyle name="已访问的超链接" xfId="36" builtinId="9" hidden="1"/>
    <cellStyle name="已访问的超链接" xfId="38" builtinId="9" hidden="1"/>
    <cellStyle name="已访问的超链接" xfId="40" builtinId="9" hidden="1"/>
    <cellStyle name="已访问的超链接" xfId="42" builtinId="9" hidden="1"/>
    <cellStyle name="已访问的超链接" xfId="44" builtinId="9" hidden="1"/>
    <cellStyle name="已访问的超链接" xfId="46" builtinId="9" hidden="1"/>
    <cellStyle name="已访问的超链接" xfId="48" builtinId="9" hidden="1"/>
    <cellStyle name="已访问的超链接" xfId="50" builtinId="9" hidden="1"/>
    <cellStyle name="已访问的超链接" xfId="52" builtinId="9" hidden="1"/>
    <cellStyle name="已访问的超链接" xfId="54" builtinId="9" hidden="1"/>
    <cellStyle name="已访问的超链接" xfId="56" builtinId="9" hidden="1"/>
    <cellStyle name="已访问的超链接" xfId="58" builtinId="9" hidden="1"/>
    <cellStyle name="已访问的超链接" xfId="60" builtinId="9" hidden="1"/>
    <cellStyle name="已访问的超链接" xfId="62" builtinId="9" hidden="1"/>
    <cellStyle name="已访问的超链接" xfId="64" builtinId="9" hidden="1"/>
    <cellStyle name="已访问的超链接" xfId="66" builtinId="9" hidden="1"/>
    <cellStyle name="已访问的超链接" xfId="68" builtinId="9" hidden="1"/>
    <cellStyle name="已访问的超链接" xfId="70" builtinId="9" hidden="1"/>
    <cellStyle name="已访问的超链接" xfId="72" builtinId="9" hidden="1"/>
    <cellStyle name="已访问的超链接" xfId="74" builtinId="9" hidden="1"/>
    <cellStyle name="已访问的超链接" xfId="76" builtinId="9" hidden="1"/>
    <cellStyle name="已访问的超链接" xfId="78" builtinId="9" hidden="1"/>
    <cellStyle name="已访问的超链接" xfId="80" builtinId="9" hidden="1"/>
    <cellStyle name="已访问的超链接" xfId="82" builtinId="9" hidden="1"/>
    <cellStyle name="已访问的超链接" xfId="84" builtinId="9" hidden="1"/>
    <cellStyle name="已访问的超链接" xfId="86" builtinId="9" hidden="1"/>
    <cellStyle name="已访问的超链接" xfId="88" builtinId="9" hidden="1"/>
    <cellStyle name="已访问的超链接" xfId="90" builtinId="9" hidden="1"/>
    <cellStyle name="已访问的超链接" xfId="92" builtinId="9" hidden="1"/>
    <cellStyle name="已访问的超链接" xfId="94" builtinId="9" hidden="1"/>
    <cellStyle name="已访问的超链接" xfId="96" builtinId="9" hidden="1"/>
    <cellStyle name="已访问的超链接" xfId="98" builtinId="9" hidden="1"/>
    <cellStyle name="已访问的超链接" xfId="100" builtinId="9" hidden="1"/>
    <cellStyle name="已访问的超链接" xfId="102" builtinId="9" hidden="1"/>
    <cellStyle name="已访问的超链接" xfId="104" builtinId="9" hidden="1"/>
    <cellStyle name="已访问的超链接" xfId="106" builtinId="9" hidden="1"/>
    <cellStyle name="已访问的超链接" xfId="108" builtinId="9" hidden="1"/>
    <cellStyle name="已访问的超链接" xfId="110" builtinId="9" hidden="1"/>
    <cellStyle name="已访问的超链接" xfId="112" builtinId="9" hidden="1"/>
    <cellStyle name="已访问的超链接" xfId="114" builtinId="9" hidden="1"/>
    <cellStyle name="已访问的超链接" xfId="116" builtinId="9" hidden="1"/>
    <cellStyle name="已访问的超链接" xfId="118" builtinId="9" hidden="1"/>
    <cellStyle name="已访问的超链接" xfId="120" builtinId="9" hidden="1"/>
    <cellStyle name="已访问的超链接" xfId="122" builtinId="9" hidden="1"/>
    <cellStyle name="已访问的超链接" xfId="124" builtinId="9" hidden="1"/>
    <cellStyle name="已访问的超链接" xfId="126" builtinId="9" hidden="1"/>
    <cellStyle name="已访问的超链接" xfId="128" builtinId="9" hidden="1"/>
    <cellStyle name="已访问的超链接" xfId="130" builtinId="9" hidden="1"/>
    <cellStyle name="已访问的超链接" xfId="132" builtinId="9" hidden="1"/>
    <cellStyle name="已访问的超链接" xfId="134" builtinId="9" hidden="1"/>
    <cellStyle name="已访问的超链接" xfId="136" builtinId="9" hidden="1"/>
    <cellStyle name="已访问的超链接" xfId="138" builtinId="9" hidden="1"/>
    <cellStyle name="已访问的超链接" xfId="140" builtinId="9" hidden="1"/>
    <cellStyle name="已访问的超链接" xfId="142" builtinId="9" hidden="1"/>
    <cellStyle name="已访问的超链接" xfId="144" builtinId="9" hidden="1"/>
    <cellStyle name="已访问的超链接" xfId="146" builtinId="9" hidden="1"/>
    <cellStyle name="已访问的超链接" xfId="148" builtinId="9" hidden="1"/>
    <cellStyle name="已访问的超链接" xfId="150" builtinId="9" hidden="1"/>
    <cellStyle name="已访问的超链接" xfId="152" builtinId="9" hidden="1"/>
    <cellStyle name="已访问的超链接" xfId="154" builtinId="9" hidden="1"/>
    <cellStyle name="已访问的超链接" xfId="156" builtinId="9" hidden="1"/>
    <cellStyle name="已访问的超链接" xfId="158" builtinId="9" hidden="1"/>
    <cellStyle name="已访问的超链接" xfId="160" builtinId="9" hidden="1"/>
    <cellStyle name="已访问的超链接" xfId="162" builtinId="9" hidden="1"/>
    <cellStyle name="已访问的超链接" xfId="167" builtinId="9" hidden="1"/>
    <cellStyle name="已访问的超链接" xfId="169" builtinId="9" hidden="1"/>
    <cellStyle name="已访问的超链接" xfId="171" builtinId="9" hidden="1"/>
    <cellStyle name="已访问的超链接" xfId="173" builtinId="9" hidden="1"/>
    <cellStyle name="已访问的超链接" xfId="175" builtinId="9" hidden="1"/>
    <cellStyle name="已访问的超链接" xfId="177" builtinId="9" hidden="1"/>
    <cellStyle name="已访问的超链接" xfId="179" builtinId="9" hidden="1"/>
    <cellStyle name="已访问的超链接" xfId="184" builtinId="9" hidden="1"/>
    <cellStyle name="已访问的超链接" xfId="186" builtinId="9" hidden="1"/>
    <cellStyle name="已访问的超链接" xfId="188" builtinId="9" hidden="1"/>
    <cellStyle name="已访问的超链接" xfId="190" builtinId="9" hidden="1"/>
    <cellStyle name="已访问的超链接" xfId="192" builtinId="9" hidden="1"/>
    <cellStyle name="已访问的超链接" xfId="194" builtinId="9" hidden="1"/>
    <cellStyle name="已访问的超链接" xfId="196" builtinId="9" hidden="1"/>
    <cellStyle name="已访问的超链接" xfId="198" builtinId="9" hidden="1"/>
    <cellStyle name="已访问的超链接" xfId="200" builtinId="9" hidden="1"/>
    <cellStyle name="已访问的超链接" xfId="202" builtinId="9" hidden="1"/>
    <cellStyle name="已访问的超链接" xfId="206" builtinId="9" hidden="1"/>
    <cellStyle name="已访问的超链接" xfId="208" builtinId="9" hidden="1"/>
    <cellStyle name="已访问的超链接" xfId="210" builtinId="9" hidden="1"/>
    <cellStyle name="常规" xfId="0" builtinId="0"/>
    <cellStyle name="超链接" xfId="5" builtinId="8" hidden="1"/>
    <cellStyle name="超链接" xfId="7" builtinId="8" hidden="1"/>
    <cellStyle name="超链接" xfId="9" builtinId="8" hidden="1"/>
    <cellStyle name="超链接" xfId="11" builtinId="8" hidden="1"/>
    <cellStyle name="超链接" xfId="13" builtinId="8" hidden="1"/>
    <cellStyle name="超链接" xfId="15" builtinId="8" hidden="1"/>
    <cellStyle name="超链接" xfId="17" builtinId="8" hidden="1"/>
    <cellStyle name="超链接" xfId="19" builtinId="8" hidden="1"/>
    <cellStyle name="超链接" xfId="21" builtinId="8" hidden="1"/>
    <cellStyle name="超链接" xfId="23" builtinId="8" hidden="1"/>
    <cellStyle name="超链接" xfId="25" builtinId="8" hidden="1"/>
    <cellStyle name="超链接" xfId="27" builtinId="8" hidden="1"/>
    <cellStyle name="超链接" xfId="29" builtinId="8" hidden="1"/>
    <cellStyle name="超链接" xfId="31" builtinId="8" hidden="1"/>
    <cellStyle name="超链接" xfId="33" builtinId="8" hidden="1"/>
    <cellStyle name="超链接" xfId="35" builtinId="8" hidden="1"/>
    <cellStyle name="超链接" xfId="37" builtinId="8" hidden="1"/>
    <cellStyle name="超链接" xfId="39" builtinId="8" hidden="1"/>
    <cellStyle name="超链接" xfId="41" builtinId="8" hidden="1"/>
    <cellStyle name="超链接" xfId="43" builtinId="8" hidden="1"/>
    <cellStyle name="超链接" xfId="45" builtinId="8" hidden="1"/>
    <cellStyle name="超链接" xfId="47" builtinId="8" hidden="1"/>
    <cellStyle name="超链接" xfId="49" builtinId="8" hidden="1"/>
    <cellStyle name="超链接" xfId="51" builtinId="8" hidden="1"/>
    <cellStyle name="超链接" xfId="53" builtinId="8" hidden="1"/>
    <cellStyle name="超链接" xfId="55" builtinId="8" hidden="1"/>
    <cellStyle name="超链接" xfId="57" builtinId="8" hidden="1"/>
    <cellStyle name="超链接" xfId="59" builtinId="8" hidden="1"/>
    <cellStyle name="超链接" xfId="61" builtinId="8" hidden="1"/>
    <cellStyle name="超链接" xfId="63" builtinId="8" hidden="1"/>
    <cellStyle name="超链接" xfId="65" builtinId="8" hidden="1"/>
    <cellStyle name="超链接" xfId="67" builtinId="8" hidden="1"/>
    <cellStyle name="超链接" xfId="69" builtinId="8" hidden="1"/>
    <cellStyle name="超链接" xfId="71" builtinId="8" hidden="1"/>
    <cellStyle name="超链接" xfId="73" builtinId="8" hidden="1"/>
    <cellStyle name="超链接" xfId="75" builtinId="8" hidden="1"/>
    <cellStyle name="超链接" xfId="77" builtinId="8" hidden="1"/>
    <cellStyle name="超链接" xfId="79" builtinId="8" hidden="1"/>
    <cellStyle name="超链接" xfId="81" builtinId="8" hidden="1"/>
    <cellStyle name="超链接" xfId="83" builtinId="8" hidden="1"/>
    <cellStyle name="超链接" xfId="85" builtinId="8" hidden="1"/>
    <cellStyle name="超链接" xfId="87" builtinId="8" hidden="1"/>
    <cellStyle name="超链接" xfId="89" builtinId="8" hidden="1"/>
    <cellStyle name="超链接" xfId="91" builtinId="8" hidden="1"/>
    <cellStyle name="超链接" xfId="93" builtinId="8" hidden="1"/>
    <cellStyle name="超链接" xfId="95" builtinId="8" hidden="1"/>
    <cellStyle name="超链接" xfId="97" builtinId="8" hidden="1"/>
    <cellStyle name="超链接" xfId="99" builtinId="8" hidden="1"/>
    <cellStyle name="超链接" xfId="101" builtinId="8" hidden="1"/>
    <cellStyle name="超链接" xfId="103" builtinId="8" hidden="1"/>
    <cellStyle name="超链接" xfId="105" builtinId="8" hidden="1"/>
    <cellStyle name="超链接" xfId="107" builtinId="8" hidden="1"/>
    <cellStyle name="超链接" xfId="109" builtinId="8" hidden="1"/>
    <cellStyle name="超链接" xfId="111" builtinId="8" hidden="1"/>
    <cellStyle name="超链接" xfId="113" builtinId="8" hidden="1"/>
    <cellStyle name="超链接" xfId="115" builtinId="8" hidden="1"/>
    <cellStyle name="超链接" xfId="117" builtinId="8" hidden="1"/>
    <cellStyle name="超链接" xfId="119" builtinId="8" hidden="1"/>
    <cellStyle name="超链接" xfId="121" builtinId="8" hidden="1"/>
    <cellStyle name="超链接" xfId="123" builtinId="8" hidden="1"/>
    <cellStyle name="超链接" xfId="125" builtinId="8" hidden="1"/>
    <cellStyle name="超链接" xfId="127" builtinId="8" hidden="1"/>
    <cellStyle name="超链接" xfId="129" builtinId="8" hidden="1"/>
    <cellStyle name="超链接" xfId="131" builtinId="8" hidden="1"/>
    <cellStyle name="超链接" xfId="133" builtinId="8" hidden="1"/>
    <cellStyle name="超链接" xfId="135" builtinId="8" hidden="1"/>
    <cellStyle name="超链接" xfId="137" builtinId="8" hidden="1"/>
    <cellStyle name="超链接" xfId="139" builtinId="8" hidden="1"/>
    <cellStyle name="超链接" xfId="141" builtinId="8" hidden="1"/>
    <cellStyle name="超链接" xfId="143" builtinId="8" hidden="1"/>
    <cellStyle name="超链接" xfId="145" builtinId="8" hidden="1"/>
    <cellStyle name="超链接" xfId="147" builtinId="8" hidden="1"/>
    <cellStyle name="超链接" xfId="149" builtinId="8" hidden="1"/>
    <cellStyle name="超链接" xfId="151" builtinId="8" hidden="1"/>
    <cellStyle name="超链接" xfId="153" builtinId="8" hidden="1"/>
    <cellStyle name="超链接" xfId="155" builtinId="8" hidden="1"/>
    <cellStyle name="超链接" xfId="157" builtinId="8" hidden="1"/>
    <cellStyle name="超链接" xfId="159" builtinId="8" hidden="1"/>
    <cellStyle name="超链接" xfId="161" builtinId="8" hidden="1"/>
    <cellStyle name="超链接" xfId="166" builtinId="8" hidden="1"/>
    <cellStyle name="超链接" xfId="168" builtinId="8" hidden="1"/>
    <cellStyle name="超链接" xfId="170" builtinId="8" hidden="1"/>
    <cellStyle name="超链接" xfId="172" builtinId="8" hidden="1"/>
    <cellStyle name="超链接" xfId="174" builtinId="8" hidden="1"/>
    <cellStyle name="超链接" xfId="176" builtinId="8" hidden="1"/>
    <cellStyle name="超链接" xfId="178" builtinId="8" hidden="1"/>
    <cellStyle name="超链接" xfId="183" builtinId="8" hidden="1"/>
    <cellStyle name="超链接" xfId="185" builtinId="8" hidden="1"/>
    <cellStyle name="超链接" xfId="187" builtinId="8" hidden="1"/>
    <cellStyle name="超链接" xfId="189" builtinId="8" hidden="1"/>
    <cellStyle name="超链接" xfId="191" builtinId="8" hidden="1"/>
    <cellStyle name="超链接" xfId="193" builtinId="8" hidden="1"/>
    <cellStyle name="超链接" xfId="195" builtinId="8" hidden="1"/>
    <cellStyle name="超链接" xfId="197" builtinId="8" hidden="1"/>
    <cellStyle name="超链接" xfId="199" builtinId="8" hidden="1"/>
    <cellStyle name="超链接" xfId="201" builtinId="8" hidden="1"/>
    <cellStyle name="超链接" xfId="205" builtinId="8" hidden="1"/>
    <cellStyle name="超链接" xfId="207" builtinId="8" hidden="1"/>
    <cellStyle name="超链接" xfId="209" builtinId="8" hidden="1"/>
  </cellStyles>
  <dxfs count="789">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ont>
        <color auto="1"/>
      </font>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
      <fill>
        <patternFill>
          <bgColor rgb="FFFFFF00"/>
        </patternFill>
      </fill>
    </dxf>
    <dxf>
      <fill>
        <patternFill>
          <bgColor rgb="FFFFFF00"/>
        </patternFill>
      </fill>
    </dxf>
    <dxf>
      <font>
        <color auto="1"/>
      </font>
      <fill>
        <patternFill>
          <bgColor rgb="FFFFFF00"/>
        </patternFill>
      </fill>
    </dxf>
  </dxfs>
  <tableStyles count="0" defaultTableStyle="TableStyleMedium9" defaultPivotStyle="PivotStyleMedium4"/>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152400</xdr:colOff>
          <xdr:row>0</xdr:row>
          <xdr:rowOff>22860</xdr:rowOff>
        </xdr:from>
        <xdr:to>
          <xdr:col>10</xdr:col>
          <xdr:colOff>1013460</xdr:colOff>
          <xdr:row>0</xdr:row>
          <xdr:rowOff>365760</xdr:rowOff>
        </xdr:to>
        <xdr:sp macro="" textlink="">
          <xdr:nvSpPr>
            <xdr:cNvPr id="3074" name="Button 2" hidden="1">
              <a:extLst>
                <a:ext uri="{63B3BB69-23CF-44E3-9099-C40C66FF867C}">
                  <a14:compatExt spid="_x0000_s3074"/>
                </a:ext>
                <a:ext uri="{FF2B5EF4-FFF2-40B4-BE49-F238E27FC236}">
                  <a16:creationId xmlns:a16="http://schemas.microsoft.com/office/drawing/2014/main" id="{00000000-0008-0000-0100-000002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200" b="0" i="0" u="none" strike="noStrike" baseline="0">
                  <a:solidFill>
                    <a:srgbClr val="000000"/>
                  </a:solidFill>
                  <a:latin typeface="Calibri"/>
                  <a:cs typeface="Calibri"/>
                </a:rPr>
                <a:t>Copy Row</a:t>
              </a:r>
            </a:p>
          </xdr:txBody>
        </xdr:sp>
        <xdr:clientData fPrintsWithSheet="0"/>
      </xdr:twoCellAnchor>
    </mc:Choice>
    <mc:Fallback/>
  </mc:AlternateContent>
</xdr:wsDr>
</file>

<file path=xl/theme/theme1.xml><?xml version="1.0" encoding="utf-8"?>
<a:theme xmlns:a="http://schemas.openxmlformats.org/drawingml/2006/main" name="Office 主题">
  <a:themeElements>
    <a:clrScheme name="办公室">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办公室">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办公室">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tint val="100000"/>
                <a:shade val="100000"/>
                <a:satMod val="130000"/>
              </a:schemeClr>
            </a:gs>
            <a:gs pos="100000">
              <a:schemeClr val="phClr">
                <a:tint val="50000"/>
                <a:shade val="100000"/>
                <a:satMod val="350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a:bodyPr/>
      <a:lstStyle/>
      <a:style>
        <a:lnRef idx="1">
          <a:schemeClr val="accent1"/>
        </a:lnRef>
        <a:fillRef idx="3">
          <a:schemeClr val="accent1"/>
        </a:fillRef>
        <a:effectRef idx="2">
          <a:schemeClr val="accent1"/>
        </a:effectRef>
        <a:fontRef idx="minor">
          <a:schemeClr val="lt1"/>
        </a:fontRef>
      </a:style>
    </a:spDef>
    <a:lnDef>
      <a:spPr/>
      <a:bodyPr/>
      <a:lstStyle/>
      <a:style>
        <a:lnRef idx="2">
          <a:schemeClr val="accent1"/>
        </a:lnRef>
        <a:fillRef idx="0">
          <a:schemeClr val="accent1"/>
        </a:fillRef>
        <a:effectRef idx="1">
          <a:schemeClr val="accent1"/>
        </a:effectRef>
        <a:fontRef idx="minor">
          <a:schemeClr val="tx1"/>
        </a:fontRef>
      </a:style>
    </a:lnDef>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4" Type="http://schemas.openxmlformats.org/officeDocument/2006/relationships/ctrlProp" Target="../ctrlProps/ctrlProp1.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B2:L36"/>
  <sheetViews>
    <sheetView showGridLines="0" zoomScale="80" zoomScaleNormal="80" zoomScalePageLayoutView="110" workbookViewId="0">
      <selection activeCell="C40" sqref="C40"/>
    </sheetView>
  </sheetViews>
  <sheetFormatPr defaultColWidth="7.69921875" defaultRowHeight="13.8"/>
  <cols>
    <col min="1" max="1" width="3.19921875" style="26" customWidth="1"/>
    <col min="2" max="2" width="16.69921875" style="26" bestFit="1" customWidth="1"/>
    <col min="3" max="3" width="24" style="26" bestFit="1" customWidth="1"/>
    <col min="4" max="5" width="16.69921875" style="26" customWidth="1"/>
    <col min="6" max="6" width="17.5" style="26" customWidth="1"/>
    <col min="7" max="9" width="16.69921875" style="26" customWidth="1"/>
    <col min="10" max="10" width="21.69921875" style="26" customWidth="1"/>
    <col min="11" max="12" width="16.69921875" style="26" customWidth="1"/>
    <col min="13" max="16384" width="7.69921875" style="26"/>
  </cols>
  <sheetData>
    <row r="2" spans="2:11">
      <c r="B2" s="103" t="s">
        <v>16</v>
      </c>
      <c r="C2" s="103"/>
      <c r="E2" s="103" t="s">
        <v>15</v>
      </c>
      <c r="F2" s="103"/>
      <c r="H2" s="103" t="s">
        <v>49</v>
      </c>
      <c r="I2" s="103"/>
    </row>
    <row r="4" spans="2:11">
      <c r="B4" s="26" t="s">
        <v>18</v>
      </c>
      <c r="C4" s="27"/>
      <c r="E4" s="26" t="s">
        <v>14</v>
      </c>
      <c r="F4" s="41">
        <f>COUNTA('Error Log'!A:A)-1</f>
        <v>529</v>
      </c>
      <c r="H4" s="26" t="s">
        <v>42</v>
      </c>
      <c r="I4" s="42">
        <f>H18</f>
        <v>73.109188622362041</v>
      </c>
      <c r="K4" s="35"/>
    </row>
    <row r="5" spans="2:11">
      <c r="C5" s="28"/>
      <c r="F5" s="28"/>
      <c r="K5" s="36">
        <f>I4</f>
        <v>73.109188622362041</v>
      </c>
    </row>
    <row r="6" spans="2:11">
      <c r="B6" s="26" t="s">
        <v>51</v>
      </c>
      <c r="C6" s="29"/>
      <c r="D6" s="26" t="s">
        <v>52</v>
      </c>
      <c r="E6" s="26" t="s">
        <v>9</v>
      </c>
      <c r="F6" s="41">
        <f>L36</f>
        <v>524</v>
      </c>
      <c r="H6" s="26" t="s">
        <v>12</v>
      </c>
      <c r="I6" s="43">
        <f>IF(C8=0,"0",1000*(F6/C8))</f>
        <v>68.685279853191773</v>
      </c>
      <c r="K6" s="37">
        <v>1</v>
      </c>
    </row>
    <row r="7" spans="2:11">
      <c r="C7" s="28"/>
      <c r="F7" s="28"/>
      <c r="I7" s="28"/>
      <c r="K7" s="38">
        <f>200-(K5+K6)</f>
        <v>125.89081137763796</v>
      </c>
    </row>
    <row r="8" spans="2:11">
      <c r="B8" s="26" t="s">
        <v>11</v>
      </c>
      <c r="C8" s="77">
        <f>SUM('Scores per segment'!D:D)</f>
        <v>7629</v>
      </c>
      <c r="E8" s="26" t="s">
        <v>38</v>
      </c>
      <c r="F8" s="41" t="e">
        <f>#REF!</f>
        <v>#REF!</v>
      </c>
      <c r="H8" s="26" t="s">
        <v>39</v>
      </c>
      <c r="I8" s="44" t="str">
        <f>IF(C10=0,"0",(F8/C10))</f>
        <v>0</v>
      </c>
      <c r="K8" s="37"/>
    </row>
    <row r="9" spans="2:11">
      <c r="C9" s="28"/>
      <c r="I9" s="28"/>
      <c r="K9" s="37"/>
    </row>
    <row r="10" spans="2:11">
      <c r="B10" s="26" t="s">
        <v>10</v>
      </c>
      <c r="C10" s="27">
        <f>COUNT('Scores per segment'!A:A)</f>
        <v>0</v>
      </c>
      <c r="E10" s="26" t="s">
        <v>13</v>
      </c>
      <c r="F10" s="41">
        <f>COUNTIFS('Error Log'!D:D,"*",'Error Log'!E:E,"")</f>
        <v>5</v>
      </c>
      <c r="H10" s="26" t="s">
        <v>19</v>
      </c>
      <c r="I10" s="44" t="str">
        <f>IF(C10=0,"0",(F10/C10))</f>
        <v>0</v>
      </c>
    </row>
    <row r="11" spans="2:11">
      <c r="C11" s="34"/>
    </row>
    <row r="12" spans="2:11" ht="14.4" thickBot="1">
      <c r="B12" s="30"/>
      <c r="C12" s="30"/>
      <c r="D12" s="30"/>
      <c r="E12" s="30"/>
      <c r="F12" s="30"/>
      <c r="G12" s="30"/>
      <c r="H12" s="30"/>
      <c r="I12" s="30"/>
    </row>
    <row r="13" spans="2:11" ht="14.4" thickTop="1">
      <c r="B13" s="33"/>
      <c r="C13" s="33"/>
      <c r="D13" s="33"/>
      <c r="E13" s="33"/>
      <c r="F13" s="33"/>
      <c r="G13" s="33"/>
      <c r="H13" s="33"/>
      <c r="I13" s="33"/>
      <c r="J13" s="33"/>
    </row>
    <row r="15" spans="2:11">
      <c r="D15" s="40" t="s">
        <v>40</v>
      </c>
    </row>
    <row r="16" spans="2:11">
      <c r="C16" s="34"/>
    </row>
    <row r="17" spans="2:12" ht="15.6">
      <c r="C17" s="39"/>
      <c r="D17" s="58" t="s">
        <v>35</v>
      </c>
      <c r="E17" s="59" t="s">
        <v>36</v>
      </c>
      <c r="F17" s="60" t="s">
        <v>37</v>
      </c>
      <c r="G17" s="73" t="s">
        <v>48</v>
      </c>
      <c r="H17" s="68" t="s">
        <v>53</v>
      </c>
    </row>
    <row r="18" spans="2:12" ht="15.6">
      <c r="C18" s="67" t="s">
        <v>43</v>
      </c>
      <c r="D18" s="58">
        <f>COUNTIF('Error Log'!$J:$J,D$17)</f>
        <v>303</v>
      </c>
      <c r="E18" s="59">
        <f>COUNTIF('Error Log'!$J:$J,E$17)</f>
        <v>213</v>
      </c>
      <c r="F18" s="60">
        <f>COUNTIF('Error Log'!$J:$J,F$17)</f>
        <v>8</v>
      </c>
      <c r="G18" s="73">
        <f>COUNTIF('Error Log'!$F:$F,"Target")</f>
        <v>0</v>
      </c>
      <c r="H18" s="69">
        <f>SUMPRODUCT('Scores per segment'!J:J,'Scores per segment'!D:D)/SUM('Scores per segment'!D:D)</f>
        <v>73.109188622362041</v>
      </c>
    </row>
    <row r="21" spans="2:12">
      <c r="C21" s="34"/>
    </row>
    <row r="22" spans="2:12" ht="14.4" thickBot="1">
      <c r="B22" s="30"/>
      <c r="C22" s="30"/>
      <c r="D22" s="30"/>
      <c r="E22" s="30"/>
      <c r="F22" s="30"/>
      <c r="G22" s="30"/>
      <c r="H22" s="30"/>
      <c r="I22" s="30"/>
      <c r="J22" s="30"/>
      <c r="K22" s="30"/>
      <c r="L22" s="30"/>
    </row>
    <row r="23" spans="2:12" ht="14.4" thickTop="1">
      <c r="B23" s="33"/>
      <c r="C23" s="33"/>
      <c r="D23" s="33"/>
      <c r="E23" s="33"/>
      <c r="F23" s="33"/>
      <c r="G23" s="33"/>
      <c r="H23" s="33"/>
      <c r="I23" s="33"/>
      <c r="J23" s="33"/>
      <c r="K23" s="33"/>
      <c r="L23" s="33"/>
    </row>
    <row r="24" spans="2:12">
      <c r="B24" s="33"/>
      <c r="C24" s="33"/>
      <c r="D24" s="33"/>
      <c r="E24" s="33"/>
      <c r="F24" s="33"/>
      <c r="G24" s="33"/>
      <c r="H24" s="33"/>
      <c r="I24" s="33"/>
      <c r="J24" s="33"/>
      <c r="K24" s="33"/>
      <c r="L24" s="33"/>
    </row>
    <row r="25" spans="2:12">
      <c r="B25" s="33"/>
      <c r="D25" s="40" t="s">
        <v>41</v>
      </c>
      <c r="E25" s="33"/>
      <c r="F25" s="33"/>
      <c r="G25" s="33"/>
      <c r="H25" s="33"/>
      <c r="I25" s="33"/>
      <c r="J25" s="33"/>
      <c r="K25" s="33"/>
      <c r="L25" s="33"/>
    </row>
    <row r="26" spans="2:12" ht="14.4" thickBot="1">
      <c r="B26" s="33"/>
      <c r="C26" s="33"/>
      <c r="D26" s="33"/>
      <c r="E26" s="33"/>
      <c r="F26" s="33"/>
      <c r="G26" s="33"/>
      <c r="H26" s="33"/>
      <c r="I26" s="33"/>
      <c r="J26" s="33"/>
      <c r="K26" s="33"/>
      <c r="L26" s="33"/>
    </row>
    <row r="27" spans="2:12" ht="14.4" thickBot="1">
      <c r="B27" s="45" t="s">
        <v>31</v>
      </c>
      <c r="C27" s="46" t="s">
        <v>30</v>
      </c>
      <c r="D27" s="46" t="s">
        <v>54</v>
      </c>
      <c r="E27" s="46" t="s">
        <v>55</v>
      </c>
      <c r="F27" s="46" t="s">
        <v>56</v>
      </c>
      <c r="G27" s="46" t="s">
        <v>29</v>
      </c>
      <c r="H27" s="46" t="s">
        <v>27</v>
      </c>
      <c r="I27" s="46" t="s">
        <v>72</v>
      </c>
      <c r="J27" s="46" t="s">
        <v>73</v>
      </c>
      <c r="K27" s="46" t="s">
        <v>57</v>
      </c>
      <c r="L27" s="47" t="s">
        <v>6</v>
      </c>
    </row>
    <row r="28" spans="2:12">
      <c r="B28" s="108" t="s">
        <v>8</v>
      </c>
      <c r="C28" s="61" t="s">
        <v>22</v>
      </c>
      <c r="D28" s="48">
        <f>COUNTIFS('Error Log'!$E:$E,$B$28,'Error Log'!$F:$F,$C28,'Error Log'!$G:$G,D$27)</f>
        <v>0</v>
      </c>
      <c r="E28" s="48">
        <f>COUNTIFS('Error Log'!$E:$E,$B$28,'Error Log'!$F:$F,$C28,'Error Log'!$G:$G,E$27)</f>
        <v>1</v>
      </c>
      <c r="F28" s="55">
        <f>COUNTIFS('Error Log'!$E:$E,$B$28,'Error Log'!$F:$F,$C28,'Error Log'!$G:$G,F$27)</f>
        <v>0</v>
      </c>
      <c r="G28" s="55">
        <f>COUNTIFS('Error Log'!$E:$E,$B$28,'Error Log'!$F:$F,$C28,'Error Log'!$G:$G,G$27)</f>
        <v>0</v>
      </c>
      <c r="H28" s="55">
        <f>COUNTIFS('Error Log'!$E:$E,$B$28,'Error Log'!$F:$F,$C28,'Error Log'!$G:$G,H$27)</f>
        <v>0</v>
      </c>
      <c r="I28" s="55">
        <f>COUNTIFS('Error Log'!$E:$E,$B$28,'Error Log'!$F:$F,$C28,'Error Log'!$G:$G,I$27)</f>
        <v>2</v>
      </c>
      <c r="J28" s="48">
        <f>COUNTIFS('Error Log'!$E:$E,$B$28,'Error Log'!$F:$F,$C28,'Error Log'!$G:$G,J$27)</f>
        <v>0</v>
      </c>
      <c r="K28" s="54">
        <f>COUNTIFS('Error Log'!$E:$E,$B$28,'Error Log'!$F:$F,$C28,'Error Log'!$G:$G,K$27)</f>
        <v>129</v>
      </c>
      <c r="L28" s="65">
        <f t="shared" ref="L28:L35" si="0">SUM(D28:K28)</f>
        <v>132</v>
      </c>
    </row>
    <row r="29" spans="2:12">
      <c r="B29" s="107"/>
      <c r="C29" s="62" t="s">
        <v>7</v>
      </c>
      <c r="D29" s="49">
        <f>COUNTIFS('Error Log'!$E:$E,$B$28,'Error Log'!$F:$F,$C29,'Error Log'!$G:$G,D$27)</f>
        <v>1</v>
      </c>
      <c r="E29" s="49">
        <f>COUNTIFS('Error Log'!$E:$E,$B$28,'Error Log'!$F:$F,$C29,'Error Log'!$G:$G,E$27)</f>
        <v>3</v>
      </c>
      <c r="F29" s="56">
        <f>COUNTIFS('Error Log'!$E:$E,$B$28,'Error Log'!$F:$F,$C29,'Error Log'!$G:$G,F$27)</f>
        <v>3</v>
      </c>
      <c r="G29" s="56">
        <f>COUNTIFS('Error Log'!$E:$E,$B$28,'Error Log'!$F:$F,$C29,'Error Log'!$G:$G,G$27)</f>
        <v>2</v>
      </c>
      <c r="H29" s="56">
        <f>COUNTIFS('Error Log'!$E:$E,$B$28,'Error Log'!$F:$F,$C29,'Error Log'!$G:$G,H$27)</f>
        <v>3</v>
      </c>
      <c r="I29" s="56">
        <f>COUNTIFS('Error Log'!$E:$E,$B$28,'Error Log'!$F:$F,$C29,'Error Log'!$G:$G,I$27)</f>
        <v>6</v>
      </c>
      <c r="J29" s="51">
        <f>COUNTIFS('Error Log'!$E:$E,$B$28,'Error Log'!$F:$F,$C29,'Error Log'!$G:$G,J$27)</f>
        <v>6</v>
      </c>
      <c r="K29" s="52">
        <f>COUNTIFS('Error Log'!$E:$E,$B$28,'Error Log'!$F:$F,$C29,'Error Log'!$G:$G,K$27)</f>
        <v>282</v>
      </c>
      <c r="L29" s="66">
        <f t="shared" si="0"/>
        <v>306</v>
      </c>
    </row>
    <row r="30" spans="2:12">
      <c r="B30" s="107"/>
      <c r="C30" s="62" t="s">
        <v>68</v>
      </c>
      <c r="D30" s="49">
        <f>COUNTIFS('Error Log'!$E:$E,$B$28,'Error Log'!$F:$F,$C30,'Error Log'!$G:$G,D$27)</f>
        <v>3</v>
      </c>
      <c r="E30" s="49">
        <f>COUNTIFS('Error Log'!$E:$E,$B$28,'Error Log'!$F:$F,$C30,'Error Log'!$G:$G,E$27)</f>
        <v>1</v>
      </c>
      <c r="F30" s="56">
        <f>COUNTIFS('Error Log'!$E:$E,$B$28,'Error Log'!$F:$F,$C30,'Error Log'!$G:$G,F$27)</f>
        <v>0</v>
      </c>
      <c r="G30" s="56">
        <f>COUNTIFS('Error Log'!$E:$E,$B$28,'Error Log'!$F:$F,$C30,'Error Log'!$G:$G,G$27)</f>
        <v>3</v>
      </c>
      <c r="H30" s="56">
        <f>COUNTIFS('Error Log'!$E:$E,$B$28,'Error Log'!$F:$F,$C30,'Error Log'!$G:$G,H$27)</f>
        <v>4</v>
      </c>
      <c r="I30" s="56">
        <f>COUNTIFS('Error Log'!$E:$E,$B$28,'Error Log'!$F:$F,$C30,'Error Log'!$G:$G,I$27)</f>
        <v>1</v>
      </c>
      <c r="J30" s="49">
        <f>COUNTIFS('Error Log'!$E:$E,$B$28,'Error Log'!$F:$F,$C30,'Error Log'!$G:$G,J$27)</f>
        <v>2</v>
      </c>
      <c r="K30" s="52">
        <f>COUNTIFS('Error Log'!$E:$E,$B$28,'Error Log'!$F:$F,$C30,'Error Log'!$G:$G,K$27)</f>
        <v>0</v>
      </c>
      <c r="L30" s="66">
        <f t="shared" si="0"/>
        <v>14</v>
      </c>
    </row>
    <row r="31" spans="2:12">
      <c r="B31" s="107"/>
      <c r="C31" s="62" t="s">
        <v>69</v>
      </c>
      <c r="D31" s="49">
        <f>COUNTIFS('Error Log'!$E:$E,$B$28,'Error Log'!$F:$F,$C31,'Error Log'!$G:$G,D$27)</f>
        <v>0</v>
      </c>
      <c r="E31" s="49">
        <f>COUNTIFS('Error Log'!$E:$E,$B$28,'Error Log'!$F:$F,$C31,'Error Log'!$G:$G,E$27)</f>
        <v>0</v>
      </c>
      <c r="F31" s="56">
        <f>COUNTIFS('Error Log'!$E:$E,$B$28,'Error Log'!$F:$F,$C31,'Error Log'!$G:$G,F$27)</f>
        <v>0</v>
      </c>
      <c r="G31" s="56">
        <f>COUNTIFS('Error Log'!$E:$E,$B$28,'Error Log'!$F:$F,$C31,'Error Log'!$G:$G,G$27)</f>
        <v>0</v>
      </c>
      <c r="H31" s="56">
        <f>COUNTIFS('Error Log'!$E:$E,$B$28,'Error Log'!$F:$F,$C31,'Error Log'!$G:$G,H$27)</f>
        <v>0</v>
      </c>
      <c r="I31" s="56">
        <f>COUNTIFS('Error Log'!$E:$E,$B$28,'Error Log'!$F:$F,$C31,'Error Log'!$G:$G,I$27)</f>
        <v>0</v>
      </c>
      <c r="J31" s="49">
        <f>COUNTIFS('Error Log'!$E:$E,$B$28,'Error Log'!$F:$F,$C31,'Error Log'!$G:$G,J$27)</f>
        <v>0</v>
      </c>
      <c r="K31" s="52">
        <f>COUNTIFS('Error Log'!$E:$E,$B$28,'Error Log'!$F:$F,$C31,'Error Log'!$G:$G,K$27)</f>
        <v>0</v>
      </c>
      <c r="L31" s="66">
        <f t="shared" ref="L31" si="1">SUM(D31:K31)</f>
        <v>0</v>
      </c>
    </row>
    <row r="32" spans="2:12" ht="14.4" thickBot="1">
      <c r="B32" s="107"/>
      <c r="C32" s="62" t="s">
        <v>45</v>
      </c>
      <c r="D32" s="51">
        <f>COUNTIFS('Error Log'!$E:$E,$B$28,'Error Log'!$F:$F,$C32,'Error Log'!$G:$G,D$27)</f>
        <v>0</v>
      </c>
      <c r="E32" s="51">
        <f>COUNTIFS('Error Log'!$E:$E,$B$28,'Error Log'!$F:$F,$C32,'Error Log'!$G:$G,E$27)</f>
        <v>0</v>
      </c>
      <c r="F32" s="51">
        <f>COUNTIFS('Error Log'!$E:$E,$B$28,'Error Log'!$F:$F,$C32,'Error Log'!$G:$G,F$27)</f>
        <v>0</v>
      </c>
      <c r="G32" s="51">
        <f>COUNTIFS('Error Log'!$E:$E,$B$28,'Error Log'!$F:$F,$C32,'Error Log'!$G:$G,G$27)</f>
        <v>0</v>
      </c>
      <c r="H32" s="51">
        <f>COUNTIFS('Error Log'!$E:$E,$B$28,'Error Log'!$F:$F,$C32,'Error Log'!$G:$G,H$27)</f>
        <v>0</v>
      </c>
      <c r="I32" s="51">
        <f>COUNTIFS('Error Log'!$E:$E,$B$28,'Error Log'!$F:$F,$C32,'Error Log'!$G:$G,I$27)</f>
        <v>0</v>
      </c>
      <c r="J32" s="49">
        <f>COUNTIFS('Error Log'!$E:$E,$B$28,'Error Log'!$F:$F,$C32,'Error Log'!$G:$G,J$27)</f>
        <v>0</v>
      </c>
      <c r="K32" s="52">
        <f>COUNTIFS('Error Log'!$E:$E,$B$28,'Error Log'!$F:$F,$C32,'Error Log'!$G:$G,K$27)</f>
        <v>0</v>
      </c>
      <c r="L32" s="66">
        <f t="shared" si="0"/>
        <v>0</v>
      </c>
    </row>
    <row r="33" spans="2:12">
      <c r="B33" s="106" t="s">
        <v>2</v>
      </c>
      <c r="C33" s="63" t="s">
        <v>71</v>
      </c>
      <c r="D33" s="57">
        <f>COUNTIFS('Error Log'!$E:$E,$B$33,'Error Log'!$F:$F,$C33,'Error Log'!$G:$G,D$27)</f>
        <v>0</v>
      </c>
      <c r="E33" s="53">
        <f>COUNTIFS('Error Log'!$E:$E,$B$33,'Error Log'!$F:$F,$C33,'Error Log'!$G:$G,E$27)</f>
        <v>0</v>
      </c>
      <c r="F33" s="53">
        <f>COUNTIFS('Error Log'!$E:$E,$B$33,'Error Log'!$F:$F,$C33,'Error Log'!$G:$G,F$27)</f>
        <v>0</v>
      </c>
      <c r="G33" s="53">
        <f>COUNTIFS('Error Log'!$E:$E,$B$33,'Error Log'!$F:$F,$C33,'Error Log'!$G:$G,G$27)</f>
        <v>0</v>
      </c>
      <c r="H33" s="53">
        <f>COUNTIFS('Error Log'!$E:$E,$B$33,'Error Log'!$F:$F,$C33,'Error Log'!$G:$G,H$27)</f>
        <v>0</v>
      </c>
      <c r="I33" s="53">
        <f>COUNTIFS('Error Log'!$E:$E,$B$33,'Error Log'!$F:$F,$C33,'Error Log'!$G:$G,I$27)</f>
        <v>0</v>
      </c>
      <c r="J33" s="50">
        <f>COUNTIFS('Error Log'!$E:$E,$B$33,'Error Log'!$F:$F,$C33,'Error Log'!$G:$G,J$27)</f>
        <v>0</v>
      </c>
      <c r="K33" s="53">
        <f>COUNTIFS('Error Log'!$E:$E,$B$33,'Error Log'!$F:$F,$C33,'Error Log'!$G:$G,K$27)</f>
        <v>0</v>
      </c>
      <c r="L33" s="65">
        <f t="shared" si="0"/>
        <v>0</v>
      </c>
    </row>
    <row r="34" spans="2:12">
      <c r="B34" s="107"/>
      <c r="C34" s="62" t="s">
        <v>26</v>
      </c>
      <c r="D34" s="52">
        <f>COUNTIFS('Error Log'!$E:$E,$B$33,'Error Log'!$F:$F,$C34,'Error Log'!$G:$G,D$27)</f>
        <v>0</v>
      </c>
      <c r="E34" s="52">
        <f>COUNTIFS('Error Log'!$E:$E,$B$33,'Error Log'!$F:$F,$C34,'Error Log'!$G:$G,E$27)</f>
        <v>0</v>
      </c>
      <c r="F34" s="52">
        <f>COUNTIFS('Error Log'!$E:$E,$B$33,'Error Log'!$F:$F,$C34,'Error Log'!$G:$G,F$27)</f>
        <v>0</v>
      </c>
      <c r="G34" s="52">
        <f>COUNTIFS('Error Log'!$E:$E,$B$33,'Error Log'!$F:$F,$C34,'Error Log'!$G:$G,G$27)</f>
        <v>1</v>
      </c>
      <c r="H34" s="52">
        <f>COUNTIFS('Error Log'!$E:$E,$B$33,'Error Log'!$F:$F,$C34,'Error Log'!$G:$G,H$27)</f>
        <v>0</v>
      </c>
      <c r="I34" s="52">
        <f>COUNTIFS('Error Log'!$E:$E,$B$33,'Error Log'!$F:$F,$C34,'Error Log'!$G:$G,I$27)</f>
        <v>0</v>
      </c>
      <c r="J34" s="51">
        <f>COUNTIFS('Error Log'!$E:$E,$B$33,'Error Log'!$F:$F,$C34,'Error Log'!$G:$G,J$27)</f>
        <v>0</v>
      </c>
      <c r="K34" s="52">
        <f>COUNTIFS('Error Log'!$E:$E,$B$33,'Error Log'!$F:$F,$C34,'Error Log'!$G:$G,K$27)</f>
        <v>71</v>
      </c>
      <c r="L34" s="66">
        <f t="shared" si="0"/>
        <v>72</v>
      </c>
    </row>
    <row r="35" spans="2:12" ht="14.4" thickBot="1">
      <c r="B35" s="107"/>
      <c r="C35" s="62" t="s">
        <v>70</v>
      </c>
      <c r="D35" s="56">
        <f>COUNTIFS('Error Log'!$E:$E,$B$33,'Error Log'!$F:$F,$C35,'Error Log'!$G:$G,D$27)</f>
        <v>0</v>
      </c>
      <c r="E35" s="52">
        <f>COUNTIFS('Error Log'!$E:$E,$B$33,'Error Log'!$F:$F,$C35,'Error Log'!$G:$G,E$27)</f>
        <v>0</v>
      </c>
      <c r="F35" s="52">
        <f>COUNTIFS('Error Log'!$E:$E,$B$33,'Error Log'!$F:$F,$C35,'Error Log'!$G:$G,F$27)</f>
        <v>0</v>
      </c>
      <c r="G35" s="52">
        <f>COUNTIFS('Error Log'!$E:$E,$B$33,'Error Log'!$F:$F,$C35,'Error Log'!$G:$G,G$27)</f>
        <v>0</v>
      </c>
      <c r="H35" s="52">
        <f>COUNTIFS('Error Log'!$E:$E,$B$33,'Error Log'!$F:$F,$C35,'Error Log'!$G:$G,H$27)</f>
        <v>0</v>
      </c>
      <c r="I35" s="52">
        <f>COUNTIFS('Error Log'!$E:$E,$B$33,'Error Log'!$F:$F,$C35,'Error Log'!$G:$G,I$27)</f>
        <v>0</v>
      </c>
      <c r="J35" s="51">
        <f>COUNTIFS('Error Log'!$E:$E,$B$33,'Error Log'!$F:$F,$C35,'Error Log'!$G:$G,J$27)</f>
        <v>0</v>
      </c>
      <c r="K35" s="52">
        <f>COUNTIFS('Error Log'!$E:$E,$B$33,'Error Log'!$F:$F,$C35,'Error Log'!$G:$G,K$27)</f>
        <v>0</v>
      </c>
      <c r="L35" s="66">
        <f t="shared" si="0"/>
        <v>0</v>
      </c>
    </row>
    <row r="36" spans="2:12" ht="16.2" thickBot="1">
      <c r="B36" s="104" t="s">
        <v>6</v>
      </c>
      <c r="C36" s="105"/>
      <c r="D36" s="31">
        <f>SUM(D28:D35)</f>
        <v>4</v>
      </c>
      <c r="E36" s="31">
        <f>SUM(E28:E35)</f>
        <v>5</v>
      </c>
      <c r="F36" s="31">
        <f>SUM(F28:F35)</f>
        <v>3</v>
      </c>
      <c r="G36" s="31">
        <f>SUM(G28:G35)</f>
        <v>6</v>
      </c>
      <c r="H36" s="31">
        <f>SUM(H28:H35)</f>
        <v>7</v>
      </c>
      <c r="I36" s="31">
        <f>SUM(I28:I35)</f>
        <v>9</v>
      </c>
      <c r="J36" s="31">
        <f>SUM(J28:J35)</f>
        <v>8</v>
      </c>
      <c r="K36" s="31">
        <f>SUM(K28:K35)</f>
        <v>482</v>
      </c>
      <c r="L36" s="64">
        <f>SUM(L28:L35)</f>
        <v>524</v>
      </c>
    </row>
  </sheetData>
  <mergeCells count="6">
    <mergeCell ref="B2:C2"/>
    <mergeCell ref="E2:F2"/>
    <mergeCell ref="H2:I2"/>
    <mergeCell ref="B36:C36"/>
    <mergeCell ref="B33:B35"/>
    <mergeCell ref="B28:B32"/>
  </mergeCells>
  <phoneticPr fontId="4" type="noConversion"/>
  <pageMargins left="0.7" right="0.7" top="0.75" bottom="0.75" header="0.3" footer="0.3"/>
  <pageSetup paperSize="9" orientation="portrait" horizontalDpi="4294967292" verticalDpi="4294967292"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6">
    <tabColor rgb="FFFFFF00"/>
  </sheetPr>
  <dimension ref="A1:K820"/>
  <sheetViews>
    <sheetView showGridLines="0" zoomScaleNormal="100" zoomScalePageLayoutView="80" workbookViewId="0">
      <pane ySplit="1" topLeftCell="A2" activePane="bottomLeft" state="frozen"/>
      <selection pane="bottomLeft" sqref="A1:XFD1"/>
    </sheetView>
  </sheetViews>
  <sheetFormatPr defaultColWidth="11" defaultRowHeight="13.8"/>
  <cols>
    <col min="1" max="1" width="13.69921875" style="22" customWidth="1"/>
    <col min="2" max="2" width="10" style="23" bestFit="1" customWidth="1"/>
    <col min="3" max="3" width="19.19921875" style="24" customWidth="1"/>
    <col min="4" max="4" width="42.69921875" style="24" customWidth="1"/>
    <col min="5" max="5" width="14.69921875" style="25" bestFit="1" customWidth="1"/>
    <col min="6" max="6" width="13.69921875" style="25" bestFit="1" customWidth="1"/>
    <col min="7" max="7" width="16.69921875" style="25" bestFit="1" customWidth="1"/>
    <col min="8" max="8" width="19.5" style="25" customWidth="1"/>
    <col min="9" max="9" width="11.09765625" style="25" customWidth="1"/>
    <col min="10" max="10" width="13.19921875" style="21" customWidth="1"/>
    <col min="11" max="11" width="17.19921875" style="21" customWidth="1"/>
    <col min="12" max="16384" width="11" style="21"/>
  </cols>
  <sheetData>
    <row r="1" spans="1:11">
      <c r="A1" s="16" t="s">
        <v>20</v>
      </c>
      <c r="B1" s="17" t="s">
        <v>17</v>
      </c>
      <c r="C1" s="116" t="s">
        <v>4</v>
      </c>
      <c r="D1" s="116" t="s">
        <v>5</v>
      </c>
      <c r="E1" s="117" t="s">
        <v>0</v>
      </c>
      <c r="F1" s="117" t="s">
        <v>3</v>
      </c>
      <c r="G1" s="117" t="s">
        <v>33</v>
      </c>
      <c r="H1" s="117" t="s">
        <v>32</v>
      </c>
      <c r="I1" s="117" t="s">
        <v>62</v>
      </c>
      <c r="J1" s="117" t="s">
        <v>34</v>
      </c>
    </row>
    <row r="2" spans="1:11">
      <c r="A2" s="79" t="s">
        <v>81</v>
      </c>
      <c r="B2" s="18">
        <v>1</v>
      </c>
      <c r="C2" s="80" t="s">
        <v>82</v>
      </c>
      <c r="D2" s="80" t="s">
        <v>83</v>
      </c>
      <c r="E2" s="81" t="s">
        <v>21</v>
      </c>
      <c r="F2" s="81" t="s">
        <v>7</v>
      </c>
      <c r="G2" s="81" t="s">
        <v>57</v>
      </c>
      <c r="H2" s="81" t="s">
        <v>84</v>
      </c>
      <c r="I2" s="81"/>
      <c r="J2" s="15" t="str">
        <f>IF(E2="Invalid_Segment","Invalid",IFERROR(INDEX(Severity_Matrix!$C$3:$M$10,MATCH('Error Log'!$F2,Severity_Matrix!$B$3:$B$10,0),MATCH('Error Log'!$G2,Severity_Matrix!$C$2:$M$2,0)),"No errors"))</f>
        <v>Critical</v>
      </c>
      <c r="K2" s="78"/>
    </row>
    <row r="3" spans="1:11">
      <c r="A3" s="79" t="s">
        <v>81</v>
      </c>
      <c r="B3" s="18">
        <v>2</v>
      </c>
      <c r="C3" s="80" t="s">
        <v>82</v>
      </c>
      <c r="D3" s="80" t="s">
        <v>83</v>
      </c>
      <c r="E3" s="81" t="s">
        <v>21</v>
      </c>
      <c r="F3" s="81" t="s">
        <v>7</v>
      </c>
      <c r="G3" s="81" t="s">
        <v>57</v>
      </c>
      <c r="H3" s="81" t="s">
        <v>85</v>
      </c>
      <c r="I3" s="81"/>
      <c r="J3" s="15" t="str">
        <f>IF(E3="Invalid_Segment","Invalid",IFERROR(INDEX(Severity_Matrix!$C$3:$M$10,MATCH('Error Log'!$F3,Severity_Matrix!$B$3:$B$10,0),MATCH('Error Log'!$G3,Severity_Matrix!$C$2:$M$2,0)),"No errors"))</f>
        <v>Critical</v>
      </c>
      <c r="K3" s="78"/>
    </row>
    <row r="4" spans="1:11">
      <c r="A4" s="79" t="s">
        <v>86</v>
      </c>
      <c r="B4" s="18">
        <v>1</v>
      </c>
      <c r="C4" s="80" t="s">
        <v>87</v>
      </c>
      <c r="D4" s="80" t="s">
        <v>88</v>
      </c>
      <c r="E4" s="81" t="s">
        <v>2</v>
      </c>
      <c r="F4" s="81" t="s">
        <v>26</v>
      </c>
      <c r="G4" s="81" t="s">
        <v>57</v>
      </c>
      <c r="H4" s="81" t="s">
        <v>89</v>
      </c>
      <c r="I4" s="81"/>
      <c r="J4" s="15" t="str">
        <f>IF(E4="Invalid_Segment","Invalid",IFERROR(INDEX(Severity_Matrix!$C$3:$M$10,MATCH('Error Log'!$F4,Severity_Matrix!$B$3:$B$10,0),MATCH('Error Log'!$G4,Severity_Matrix!$C$2:$M$2,0)),"No errors"))</f>
        <v>Major</v>
      </c>
      <c r="K4" s="78"/>
    </row>
    <row r="5" spans="1:11">
      <c r="A5" s="79" t="s">
        <v>86</v>
      </c>
      <c r="B5" s="18">
        <v>2</v>
      </c>
      <c r="C5" s="80" t="s">
        <v>87</v>
      </c>
      <c r="D5" s="80" t="s">
        <v>88</v>
      </c>
      <c r="E5" s="81" t="s">
        <v>21</v>
      </c>
      <c r="F5" s="81" t="s">
        <v>7</v>
      </c>
      <c r="G5" s="81" t="s">
        <v>57</v>
      </c>
      <c r="H5" s="81" t="s">
        <v>90</v>
      </c>
      <c r="I5" s="81"/>
      <c r="J5" s="15" t="str">
        <f>IF(E5="Invalid_Segment","Invalid",IFERROR(INDEX(Severity_Matrix!$C$3:$M$10,MATCH('Error Log'!$F5,Severity_Matrix!$B$3:$B$10,0),MATCH('Error Log'!$G5,Severity_Matrix!$C$2:$M$2,0)),"No errors"))</f>
        <v>Critical</v>
      </c>
      <c r="K5" s="78"/>
    </row>
    <row r="6" spans="1:11">
      <c r="A6" s="79" t="s">
        <v>91</v>
      </c>
      <c r="B6" s="18">
        <v>3</v>
      </c>
      <c r="C6" s="80" t="s">
        <v>87</v>
      </c>
      <c r="D6" s="80" t="s">
        <v>88</v>
      </c>
      <c r="E6" s="81" t="s">
        <v>21</v>
      </c>
      <c r="F6" s="81" t="s">
        <v>7</v>
      </c>
      <c r="G6" s="81" t="s">
        <v>57</v>
      </c>
      <c r="H6" s="81" t="s">
        <v>92</v>
      </c>
      <c r="I6" s="81"/>
      <c r="J6" s="15" t="str">
        <f>IF(E6="Invalid_Segment","Invalid",IFERROR(INDEX(Severity_Matrix!$C$3:$M$10,MATCH('Error Log'!$F6,Severity_Matrix!$B$3:$B$10,0),MATCH('Error Log'!$G6,Severity_Matrix!$C$2:$M$2,0)),"No errors"))</f>
        <v>Critical</v>
      </c>
      <c r="K6" s="78"/>
    </row>
    <row r="7" spans="1:11">
      <c r="A7" s="78" t="s">
        <v>93</v>
      </c>
      <c r="B7" s="18">
        <v>1</v>
      </c>
      <c r="C7" s="78" t="s">
        <v>94</v>
      </c>
      <c r="D7" s="78" t="s">
        <v>95</v>
      </c>
      <c r="E7" s="81" t="s">
        <v>21</v>
      </c>
      <c r="F7" s="81" t="s">
        <v>7</v>
      </c>
      <c r="G7" s="81" t="s">
        <v>57</v>
      </c>
      <c r="H7" s="81" t="s">
        <v>96</v>
      </c>
      <c r="I7" s="81"/>
      <c r="J7" s="15" t="str">
        <f>IF(E7="Invalid_Segment","Invalid",IFERROR(INDEX(Severity_Matrix!$C$3:$M$10,MATCH('Error Log'!$F7,Severity_Matrix!$B$3:$B$10,0),MATCH('Error Log'!$G7,Severity_Matrix!$C$2:$M$2,0)),"No errors"))</f>
        <v>Critical</v>
      </c>
      <c r="K7" s="78"/>
    </row>
    <row r="8" spans="1:11">
      <c r="A8" s="78" t="s">
        <v>93</v>
      </c>
      <c r="B8" s="18">
        <v>2</v>
      </c>
      <c r="C8" s="78" t="s">
        <v>94</v>
      </c>
      <c r="D8" s="78" t="s">
        <v>95</v>
      </c>
      <c r="E8" s="81" t="s">
        <v>21</v>
      </c>
      <c r="F8" s="81" t="s">
        <v>7</v>
      </c>
      <c r="G8" s="81" t="s">
        <v>57</v>
      </c>
      <c r="H8" s="81" t="s">
        <v>97</v>
      </c>
      <c r="I8" s="81"/>
      <c r="J8" s="15" t="str">
        <f>IF(E8="Invalid_Segment","Invalid",IFERROR(INDEX(Severity_Matrix!$C$3:$M$10,MATCH('Error Log'!$F8,Severity_Matrix!$B$3:$B$10,0),MATCH('Error Log'!$G8,Severity_Matrix!$C$2:$M$2,0)),"No errors"))</f>
        <v>Critical</v>
      </c>
      <c r="K8" s="78"/>
    </row>
    <row r="9" spans="1:11">
      <c r="A9" s="78" t="s">
        <v>98</v>
      </c>
      <c r="B9" s="18">
        <v>1</v>
      </c>
      <c r="C9" s="78" t="s">
        <v>99</v>
      </c>
      <c r="D9" s="78" t="s">
        <v>100</v>
      </c>
      <c r="E9" s="81" t="s">
        <v>21</v>
      </c>
      <c r="F9" s="81" t="s">
        <v>7</v>
      </c>
      <c r="G9" s="81" t="s">
        <v>57</v>
      </c>
      <c r="H9" s="81" t="s">
        <v>101</v>
      </c>
      <c r="I9" s="81"/>
      <c r="J9" s="15" t="str">
        <f>IF(E9="Invalid_Segment","Invalid",IFERROR(INDEX(Severity_Matrix!$C$3:$M$10,MATCH('Error Log'!$F9,Severity_Matrix!$B$3:$B$10,0),MATCH('Error Log'!$G9,Severity_Matrix!$C$2:$M$2,0)),"No errors"))</f>
        <v>Critical</v>
      </c>
      <c r="K9" s="78"/>
    </row>
    <row r="10" spans="1:11">
      <c r="A10" s="78" t="s">
        <v>102</v>
      </c>
      <c r="B10" s="18">
        <v>1</v>
      </c>
      <c r="C10" s="78" t="s">
        <v>103</v>
      </c>
      <c r="D10" s="78" t="s">
        <v>104</v>
      </c>
      <c r="E10" s="81" t="s">
        <v>21</v>
      </c>
      <c r="F10" s="81" t="s">
        <v>7</v>
      </c>
      <c r="G10" s="81" t="s">
        <v>57</v>
      </c>
      <c r="H10" s="81" t="s">
        <v>105</v>
      </c>
      <c r="I10" s="81"/>
      <c r="J10" s="15" t="str">
        <f>IF(E10="Invalid_Segment","Invalid",IFERROR(INDEX(Severity_Matrix!$C$3:$M$10,MATCH('Error Log'!$F10,Severity_Matrix!$B$3:$B$10,0),MATCH('Error Log'!$G10,Severity_Matrix!$C$2:$M$2,0)),"No errors"))</f>
        <v>Critical</v>
      </c>
      <c r="K10" s="78"/>
    </row>
    <row r="11" spans="1:11">
      <c r="A11" s="78" t="s">
        <v>102</v>
      </c>
      <c r="B11" s="18">
        <v>2</v>
      </c>
      <c r="C11" s="78" t="s">
        <v>103</v>
      </c>
      <c r="D11" s="78" t="s">
        <v>104</v>
      </c>
      <c r="E11" s="81" t="s">
        <v>21</v>
      </c>
      <c r="F11" s="81" t="s">
        <v>7</v>
      </c>
      <c r="G11" s="81" t="s">
        <v>57</v>
      </c>
      <c r="H11" s="81" t="s">
        <v>106</v>
      </c>
      <c r="I11" s="81"/>
      <c r="J11" s="15" t="str">
        <f>IF(E11="Invalid_Segment","Invalid",IFERROR(INDEX(Severity_Matrix!$C$3:$M$10,MATCH('Error Log'!$F11,Severity_Matrix!$B$3:$B$10,0),MATCH('Error Log'!$G11,Severity_Matrix!$C$2:$M$2,0)),"No errors"))</f>
        <v>Critical</v>
      </c>
      <c r="K11" s="78"/>
    </row>
    <row r="12" spans="1:11">
      <c r="A12" s="78" t="s">
        <v>107</v>
      </c>
      <c r="B12" s="18">
        <v>1</v>
      </c>
      <c r="C12" s="78" t="s">
        <v>108</v>
      </c>
      <c r="D12" s="78" t="s">
        <v>109</v>
      </c>
      <c r="E12" s="81" t="s">
        <v>21</v>
      </c>
      <c r="F12" s="81" t="s">
        <v>22</v>
      </c>
      <c r="G12" s="81" t="s">
        <v>57</v>
      </c>
      <c r="H12" s="81" t="s">
        <v>110</v>
      </c>
      <c r="I12" s="81"/>
      <c r="J12" s="15" t="str">
        <f>IF(E12="Invalid_Segment","Invalid",IFERROR(INDEX(Severity_Matrix!$C$3:$M$10,MATCH('Error Log'!$F12,Severity_Matrix!$B$3:$B$10,0),MATCH('Error Log'!$G12,Severity_Matrix!$C$2:$M$2,0)),"No errors"))</f>
        <v>Major</v>
      </c>
      <c r="K12" s="78"/>
    </row>
    <row r="13" spans="1:11">
      <c r="A13" s="78" t="s">
        <v>107</v>
      </c>
      <c r="B13" s="18">
        <v>2</v>
      </c>
      <c r="C13" s="78" t="s">
        <v>108</v>
      </c>
      <c r="D13" s="78" t="s">
        <v>109</v>
      </c>
      <c r="E13" s="81" t="s">
        <v>2</v>
      </c>
      <c r="F13" s="81" t="s">
        <v>26</v>
      </c>
      <c r="G13" s="81" t="s">
        <v>57</v>
      </c>
      <c r="H13" s="81" t="s">
        <v>111</v>
      </c>
      <c r="I13" s="81"/>
      <c r="J13" s="15" t="str">
        <f>IF(E13="Invalid_Segment","Invalid",IFERROR(INDEX(Severity_Matrix!$C$3:$M$10,MATCH('Error Log'!$F13,Severity_Matrix!$B$3:$B$10,0),MATCH('Error Log'!$G13,Severity_Matrix!$C$2:$M$2,0)),"No errors"))</f>
        <v>Major</v>
      </c>
      <c r="K13" s="78"/>
    </row>
    <row r="14" spans="1:11">
      <c r="A14" s="78" t="s">
        <v>112</v>
      </c>
      <c r="B14" s="18">
        <v>3</v>
      </c>
      <c r="C14" s="78" t="s">
        <v>108</v>
      </c>
      <c r="D14" s="78" t="s">
        <v>109</v>
      </c>
      <c r="E14" s="81" t="s">
        <v>21</v>
      </c>
      <c r="F14" s="81" t="s">
        <v>7</v>
      </c>
      <c r="G14" s="81" t="s">
        <v>57</v>
      </c>
      <c r="H14" s="81" t="s">
        <v>113</v>
      </c>
      <c r="I14" s="81"/>
      <c r="J14" s="15" t="str">
        <f>IF(E14="Invalid_Segment","Invalid",IFERROR(INDEX(Severity_Matrix!$C$3:$M$10,MATCH('Error Log'!$F14,Severity_Matrix!$B$3:$B$10,0),MATCH('Error Log'!$G14,Severity_Matrix!$C$2:$M$2,0)),"No errors"))</f>
        <v>Critical</v>
      </c>
      <c r="K14" s="78"/>
    </row>
    <row r="15" spans="1:11">
      <c r="A15" s="78" t="s">
        <v>112</v>
      </c>
      <c r="B15" s="18">
        <v>4</v>
      </c>
      <c r="C15" s="78" t="s">
        <v>108</v>
      </c>
      <c r="D15" s="78" t="s">
        <v>109</v>
      </c>
      <c r="E15" s="81" t="s">
        <v>21</v>
      </c>
      <c r="F15" s="81" t="s">
        <v>7</v>
      </c>
      <c r="G15" s="81" t="s">
        <v>57</v>
      </c>
      <c r="H15" s="81" t="s">
        <v>114</v>
      </c>
      <c r="I15" s="81"/>
      <c r="J15" s="15" t="str">
        <f>IF(E15="Invalid_Segment","Invalid",IFERROR(INDEX(Severity_Matrix!$C$3:$M$10,MATCH('Error Log'!$F15,Severity_Matrix!$B$3:$B$10,0),MATCH('Error Log'!$G15,Severity_Matrix!$C$2:$M$2,0)),"No errors"))</f>
        <v>Critical</v>
      </c>
      <c r="K15" s="78"/>
    </row>
    <row r="16" spans="1:11">
      <c r="A16" s="78" t="s">
        <v>112</v>
      </c>
      <c r="B16" s="18">
        <v>5</v>
      </c>
      <c r="C16" s="78" t="s">
        <v>108</v>
      </c>
      <c r="D16" s="78" t="s">
        <v>109</v>
      </c>
      <c r="E16" s="81" t="s">
        <v>21</v>
      </c>
      <c r="F16" s="81" t="s">
        <v>7</v>
      </c>
      <c r="G16" s="81" t="s">
        <v>57</v>
      </c>
      <c r="H16" s="81" t="s">
        <v>115</v>
      </c>
      <c r="I16" s="81"/>
      <c r="J16" s="15" t="str">
        <f>IF(E16="Invalid_Segment","Invalid",IFERROR(INDEX(Severity_Matrix!$C$3:$M$10,MATCH('Error Log'!$F16,Severity_Matrix!$B$3:$B$10,0),MATCH('Error Log'!$G16,Severity_Matrix!$C$2:$M$2,0)),"No errors"))</f>
        <v>Critical</v>
      </c>
      <c r="K16" s="78"/>
    </row>
    <row r="17" spans="1:11" s="115" customFormat="1">
      <c r="A17" s="92" t="s">
        <v>116</v>
      </c>
      <c r="B17" s="113">
        <v>1</v>
      </c>
      <c r="C17" s="92" t="s">
        <v>117</v>
      </c>
      <c r="D17" s="92" t="s">
        <v>118</v>
      </c>
      <c r="E17" s="114" t="s">
        <v>21</v>
      </c>
      <c r="F17" s="114" t="s">
        <v>22</v>
      </c>
      <c r="G17" s="114" t="s">
        <v>57</v>
      </c>
      <c r="H17" s="114" t="s">
        <v>119</v>
      </c>
      <c r="I17" s="114"/>
      <c r="J17" s="97" t="str">
        <f>IF(E17="Invalid_Segment","Invalid",IFERROR(INDEX(Severity_Matrix!$C$3:$M$10,MATCH('Error Log'!$F17,Severity_Matrix!$B$3:$B$10,0),MATCH('Error Log'!$G17,Severity_Matrix!$C$2:$M$2,0)),"No errors"))</f>
        <v>Major</v>
      </c>
      <c r="K17" s="92"/>
    </row>
    <row r="18" spans="1:11" s="115" customFormat="1">
      <c r="A18" s="92" t="s">
        <v>116</v>
      </c>
      <c r="B18" s="113">
        <v>2</v>
      </c>
      <c r="C18" s="92" t="s">
        <v>117</v>
      </c>
      <c r="D18" s="92" t="s">
        <v>118</v>
      </c>
      <c r="E18" s="114" t="s">
        <v>21</v>
      </c>
      <c r="F18" s="114" t="s">
        <v>7</v>
      </c>
      <c r="G18" s="114" t="s">
        <v>57</v>
      </c>
      <c r="H18" s="114" t="s">
        <v>120</v>
      </c>
      <c r="I18" s="114"/>
      <c r="J18" s="97" t="str">
        <f>IF(E18="Invalid_Segment","Invalid",IFERROR(INDEX(Severity_Matrix!$C$3:$M$10,MATCH('Error Log'!$F18,Severity_Matrix!$B$3:$B$10,0),MATCH('Error Log'!$G18,Severity_Matrix!$C$2:$M$2,0)),"No errors"))</f>
        <v>Critical</v>
      </c>
      <c r="K18" s="92"/>
    </row>
    <row r="19" spans="1:11" s="115" customFormat="1">
      <c r="A19" s="92" t="s">
        <v>121</v>
      </c>
      <c r="B19" s="113">
        <v>3</v>
      </c>
      <c r="C19" s="92" t="s">
        <v>117</v>
      </c>
      <c r="D19" s="92" t="s">
        <v>118</v>
      </c>
      <c r="E19" s="114" t="s">
        <v>21</v>
      </c>
      <c r="F19" s="114" t="s">
        <v>7</v>
      </c>
      <c r="G19" s="114" t="s">
        <v>57</v>
      </c>
      <c r="H19" s="114" t="s">
        <v>122</v>
      </c>
      <c r="I19" s="114"/>
      <c r="J19" s="97" t="str">
        <f>IF(E19="Invalid_Segment","Invalid",IFERROR(INDEX(Severity_Matrix!$C$3:$M$10,MATCH('Error Log'!$F19,Severity_Matrix!$B$3:$B$10,0),MATCH('Error Log'!$G19,Severity_Matrix!$C$2:$M$2,0)),"No errors"))</f>
        <v>Critical</v>
      </c>
      <c r="K19" s="92"/>
    </row>
    <row r="20" spans="1:11" s="115" customFormat="1">
      <c r="A20" s="92" t="s">
        <v>121</v>
      </c>
      <c r="B20" s="113">
        <v>4</v>
      </c>
      <c r="C20" s="92" t="s">
        <v>117</v>
      </c>
      <c r="D20" s="92" t="s">
        <v>118</v>
      </c>
      <c r="E20" s="114" t="s">
        <v>21</v>
      </c>
      <c r="F20" s="114" t="s">
        <v>7</v>
      </c>
      <c r="G20" s="114" t="s">
        <v>57</v>
      </c>
      <c r="H20" s="114" t="s">
        <v>123</v>
      </c>
      <c r="I20" s="114"/>
      <c r="J20" s="97" t="str">
        <f>IF(E20="Invalid_Segment","Invalid",IFERROR(INDEX(Severity_Matrix!$C$3:$M$10,MATCH('Error Log'!$F20,Severity_Matrix!$B$3:$B$10,0),MATCH('Error Log'!$G20,Severity_Matrix!$C$2:$M$2,0)),"No errors"))</f>
        <v>Critical</v>
      </c>
      <c r="K20" s="92"/>
    </row>
    <row r="21" spans="1:11">
      <c r="A21" s="78" t="s">
        <v>124</v>
      </c>
      <c r="B21" s="18">
        <v>1</v>
      </c>
      <c r="C21" s="78" t="s">
        <v>125</v>
      </c>
      <c r="D21" s="78" t="s">
        <v>126</v>
      </c>
      <c r="E21" s="81" t="s">
        <v>21</v>
      </c>
      <c r="F21" s="81" t="s">
        <v>22</v>
      </c>
      <c r="G21" s="81" t="s">
        <v>57</v>
      </c>
      <c r="H21" s="81" t="s">
        <v>127</v>
      </c>
      <c r="I21" s="81"/>
      <c r="J21" s="15" t="str">
        <f>IF(E21="Invalid_Segment","Invalid",IFERROR(INDEX(Severity_Matrix!$C$3:$M$10,MATCH('Error Log'!$F21,Severity_Matrix!$B$3:$B$10,0),MATCH('Error Log'!$G21,Severity_Matrix!$C$2:$M$2,0)),"No errors"))</f>
        <v>Major</v>
      </c>
      <c r="K21" s="1"/>
    </row>
    <row r="22" spans="1:11">
      <c r="A22" s="78" t="s">
        <v>124</v>
      </c>
      <c r="B22" s="18">
        <v>2</v>
      </c>
      <c r="C22" s="78" t="s">
        <v>125</v>
      </c>
      <c r="D22" s="78" t="s">
        <v>126</v>
      </c>
      <c r="E22" s="81" t="s">
        <v>21</v>
      </c>
      <c r="F22" s="81" t="s">
        <v>7</v>
      </c>
      <c r="G22" s="81" t="s">
        <v>57</v>
      </c>
      <c r="H22" s="81" t="s">
        <v>128</v>
      </c>
      <c r="I22" s="81"/>
      <c r="J22" s="15" t="str">
        <f>IF(E22="Invalid_Segment","Invalid",IFERROR(INDEX(Severity_Matrix!$C$3:$M$10,MATCH('Error Log'!$F22,Severity_Matrix!$B$3:$B$10,0),MATCH('Error Log'!$G22,Severity_Matrix!$C$2:$M$2,0)),"No errors"))</f>
        <v>Critical</v>
      </c>
      <c r="K22" s="1"/>
    </row>
    <row r="23" spans="1:11">
      <c r="A23" s="78" t="s">
        <v>124</v>
      </c>
      <c r="B23" s="18">
        <v>3</v>
      </c>
      <c r="C23" s="78" t="s">
        <v>125</v>
      </c>
      <c r="D23" s="78" t="s">
        <v>126</v>
      </c>
      <c r="E23" s="81" t="s">
        <v>21</v>
      </c>
      <c r="F23" s="81" t="s">
        <v>7</v>
      </c>
      <c r="G23" s="81" t="s">
        <v>57</v>
      </c>
      <c r="H23" s="81" t="s">
        <v>129</v>
      </c>
      <c r="I23" s="81"/>
      <c r="J23" s="15" t="str">
        <f>IF(E23="Invalid_Segment","Invalid",IFERROR(INDEX(Severity_Matrix!$C$3:$M$10,MATCH('Error Log'!$F23,Severity_Matrix!$B$3:$B$10,0),MATCH('Error Log'!$G23,Severity_Matrix!$C$2:$M$2,0)),"No errors"))</f>
        <v>Critical</v>
      </c>
      <c r="K23" s="1"/>
    </row>
    <row r="24" spans="1:11">
      <c r="A24" s="78" t="s">
        <v>130</v>
      </c>
      <c r="B24" s="18">
        <v>1</v>
      </c>
      <c r="C24" s="78" t="s">
        <v>131</v>
      </c>
      <c r="D24" s="78" t="s">
        <v>132</v>
      </c>
      <c r="E24" s="81" t="s">
        <v>2</v>
      </c>
      <c r="F24" s="81" t="s">
        <v>26</v>
      </c>
      <c r="G24" s="81" t="s">
        <v>57</v>
      </c>
      <c r="H24" s="81" t="s">
        <v>133</v>
      </c>
      <c r="I24" s="81"/>
      <c r="J24" s="15" t="str">
        <f>IF(E24="Invalid_Segment","Invalid",IFERROR(INDEX(Severity_Matrix!$C$3:$M$10,MATCH('Error Log'!$F24,Severity_Matrix!$B$3:$B$10,0),MATCH('Error Log'!$G24,Severity_Matrix!$C$2:$M$2,0)),"No errors"))</f>
        <v>Major</v>
      </c>
      <c r="K24" s="78"/>
    </row>
    <row r="25" spans="1:11">
      <c r="A25" s="78" t="s">
        <v>130</v>
      </c>
      <c r="B25" s="18">
        <v>2</v>
      </c>
      <c r="C25" s="78" t="s">
        <v>131</v>
      </c>
      <c r="D25" s="78" t="s">
        <v>132</v>
      </c>
      <c r="E25" s="81" t="s">
        <v>2</v>
      </c>
      <c r="F25" s="81" t="s">
        <v>26</v>
      </c>
      <c r="G25" s="81" t="s">
        <v>57</v>
      </c>
      <c r="H25" s="81" t="s">
        <v>133</v>
      </c>
      <c r="I25" s="81"/>
      <c r="J25" s="15" t="str">
        <f>IF(E25="Invalid_Segment","Invalid",IFERROR(INDEX(Severity_Matrix!$C$3:$M$10,MATCH('Error Log'!$F25,Severity_Matrix!$B$3:$B$10,0),MATCH('Error Log'!$G25,Severity_Matrix!$C$2:$M$2,0)),"No errors"))</f>
        <v>Major</v>
      </c>
      <c r="K25" s="78"/>
    </row>
    <row r="26" spans="1:11">
      <c r="A26" s="78" t="s">
        <v>130</v>
      </c>
      <c r="B26" s="18">
        <v>3</v>
      </c>
      <c r="C26" s="78" t="s">
        <v>131</v>
      </c>
      <c r="D26" s="78" t="s">
        <v>132</v>
      </c>
      <c r="E26" s="81" t="s">
        <v>21</v>
      </c>
      <c r="F26" s="81" t="s">
        <v>7</v>
      </c>
      <c r="G26" s="81" t="s">
        <v>57</v>
      </c>
      <c r="H26" s="81" t="s">
        <v>134</v>
      </c>
      <c r="I26" s="81"/>
      <c r="J26" s="15" t="str">
        <f>IF(E26="Invalid_Segment","Invalid",IFERROR(INDEX(Severity_Matrix!$C$3:$M$10,MATCH('Error Log'!$F26,Severity_Matrix!$B$3:$B$10,0),MATCH('Error Log'!$G26,Severity_Matrix!$C$2:$M$2,0)),"No errors"))</f>
        <v>Critical</v>
      </c>
      <c r="K26" s="78"/>
    </row>
    <row r="27" spans="1:11">
      <c r="A27" s="78" t="s">
        <v>135</v>
      </c>
      <c r="B27" s="18">
        <v>4</v>
      </c>
      <c r="C27" s="78" t="s">
        <v>131</v>
      </c>
      <c r="D27" s="78" t="s">
        <v>132</v>
      </c>
      <c r="E27" s="81" t="s">
        <v>21</v>
      </c>
      <c r="F27" s="81" t="s">
        <v>7</v>
      </c>
      <c r="G27" s="81" t="s">
        <v>57</v>
      </c>
      <c r="H27" s="81" t="s">
        <v>136</v>
      </c>
      <c r="I27" s="81"/>
      <c r="J27" s="15" t="str">
        <f>IF(E27="Invalid_Segment","Invalid",IFERROR(INDEX(Severity_Matrix!$C$3:$M$10,MATCH('Error Log'!$F27,Severity_Matrix!$B$3:$B$10,0),MATCH('Error Log'!$G27,Severity_Matrix!$C$2:$M$2,0)),"No errors"))</f>
        <v>Critical</v>
      </c>
      <c r="K27" s="78"/>
    </row>
    <row r="28" spans="1:11">
      <c r="A28" s="78" t="s">
        <v>135</v>
      </c>
      <c r="B28" s="18">
        <v>5</v>
      </c>
      <c r="C28" s="78" t="s">
        <v>131</v>
      </c>
      <c r="D28" s="78" t="s">
        <v>132</v>
      </c>
      <c r="E28" s="81" t="s">
        <v>21</v>
      </c>
      <c r="F28" s="81" t="s">
        <v>7</v>
      </c>
      <c r="G28" s="81" t="s">
        <v>57</v>
      </c>
      <c r="H28" s="81" t="s">
        <v>137</v>
      </c>
      <c r="I28" s="81"/>
      <c r="J28" s="15" t="str">
        <f>IF(E28="Invalid_Segment","Invalid",IFERROR(INDEX(Severity_Matrix!$C$3:$M$10,MATCH('Error Log'!$F28,Severity_Matrix!$B$3:$B$10,0),MATCH('Error Log'!$G28,Severity_Matrix!$C$2:$M$2,0)),"No errors"))</f>
        <v>Critical</v>
      </c>
      <c r="K28" s="1"/>
    </row>
    <row r="29" spans="1:11">
      <c r="A29" s="78" t="s">
        <v>135</v>
      </c>
      <c r="B29" s="18">
        <v>6</v>
      </c>
      <c r="C29" s="78" t="s">
        <v>131</v>
      </c>
      <c r="D29" s="78" t="s">
        <v>132</v>
      </c>
      <c r="E29" s="81" t="s">
        <v>21</v>
      </c>
      <c r="F29" s="81" t="s">
        <v>7</v>
      </c>
      <c r="G29" s="81" t="s">
        <v>57</v>
      </c>
      <c r="H29" s="81" t="s">
        <v>138</v>
      </c>
      <c r="I29" s="81"/>
      <c r="J29" s="15" t="str">
        <f>IF(E29="Invalid_Segment","Invalid",IFERROR(INDEX(Severity_Matrix!$C$3:$M$10,MATCH('Error Log'!$F29,Severity_Matrix!$B$3:$B$10,0),MATCH('Error Log'!$G29,Severity_Matrix!$C$2:$M$2,0)),"No errors"))</f>
        <v>Critical</v>
      </c>
      <c r="K29" s="1"/>
    </row>
    <row r="30" spans="1:11">
      <c r="A30" s="78" t="s">
        <v>139</v>
      </c>
      <c r="B30" s="18">
        <v>1</v>
      </c>
      <c r="C30" s="78" t="s">
        <v>140</v>
      </c>
      <c r="D30" s="78" t="s">
        <v>141</v>
      </c>
      <c r="E30" s="81" t="s">
        <v>21</v>
      </c>
      <c r="F30" s="81" t="s">
        <v>7</v>
      </c>
      <c r="G30" s="81" t="s">
        <v>58</v>
      </c>
      <c r="H30" s="81" t="s">
        <v>142</v>
      </c>
      <c r="I30" s="81"/>
      <c r="J30" s="15" t="str">
        <f>IF(E30="Invalid_Segment","Invalid",IFERROR(INDEX(Severity_Matrix!$C$3:$M$10,MATCH('Error Log'!$F30,Severity_Matrix!$B$3:$B$10,0),MATCH('Error Log'!$G30,Severity_Matrix!$C$2:$M$2,0)),"No errors"))</f>
        <v>Minor</v>
      </c>
      <c r="K30" s="1"/>
    </row>
    <row r="31" spans="1:11">
      <c r="A31" s="78" t="s">
        <v>139</v>
      </c>
      <c r="B31" s="18">
        <v>2</v>
      </c>
      <c r="C31" s="78" t="s">
        <v>140</v>
      </c>
      <c r="D31" s="78" t="s">
        <v>141</v>
      </c>
      <c r="E31" s="81" t="s">
        <v>21</v>
      </c>
      <c r="F31" s="81" t="s">
        <v>7</v>
      </c>
      <c r="G31" s="81" t="s">
        <v>54</v>
      </c>
      <c r="H31" s="81" t="s">
        <v>143</v>
      </c>
      <c r="I31" s="81"/>
      <c r="J31" s="15" t="str">
        <f>IF(E31="Invalid_Segment","Invalid",IFERROR(INDEX(Severity_Matrix!$C$3:$M$10,MATCH('Error Log'!$F31,Severity_Matrix!$B$3:$B$10,0),MATCH('Error Log'!$G31,Severity_Matrix!$C$2:$M$2,0)),"No errors"))</f>
        <v>Critical</v>
      </c>
      <c r="K31" s="1"/>
    </row>
    <row r="32" spans="1:11">
      <c r="A32" s="78" t="s">
        <v>144</v>
      </c>
      <c r="B32" s="18">
        <v>3</v>
      </c>
      <c r="C32" s="78" t="s">
        <v>140</v>
      </c>
      <c r="D32" s="78" t="s">
        <v>141</v>
      </c>
      <c r="E32" s="81" t="s">
        <v>21</v>
      </c>
      <c r="F32" s="81" t="s">
        <v>7</v>
      </c>
      <c r="G32" s="81" t="s">
        <v>57</v>
      </c>
      <c r="H32" s="81" t="s">
        <v>145</v>
      </c>
      <c r="I32" s="81"/>
      <c r="J32" s="15" t="str">
        <f>IF(E32="Invalid_Segment","Invalid",IFERROR(INDEX(Severity_Matrix!$C$3:$M$10,MATCH('Error Log'!$F32,Severity_Matrix!$B$3:$B$10,0),MATCH('Error Log'!$G32,Severity_Matrix!$C$2:$M$2,0)),"No errors"))</f>
        <v>Critical</v>
      </c>
      <c r="K32" s="1"/>
    </row>
    <row r="33" spans="1:11">
      <c r="A33" s="78" t="s">
        <v>146</v>
      </c>
      <c r="B33" s="18">
        <v>1</v>
      </c>
      <c r="C33" s="78" t="s">
        <v>147</v>
      </c>
      <c r="D33" s="78" t="s">
        <v>148</v>
      </c>
      <c r="E33" s="81" t="s">
        <v>21</v>
      </c>
      <c r="F33" s="81" t="s">
        <v>22</v>
      </c>
      <c r="G33" s="81" t="s">
        <v>57</v>
      </c>
      <c r="H33" s="81" t="s">
        <v>149</v>
      </c>
      <c r="I33" s="81"/>
      <c r="J33" s="15" t="str">
        <f>IF(E33="Invalid_Segment","Invalid",IFERROR(INDEX(Severity_Matrix!$C$3:$M$10,MATCH('Error Log'!$F33,Severity_Matrix!$B$3:$B$10,0),MATCH('Error Log'!$G33,Severity_Matrix!$C$2:$M$2,0)),"No errors"))</f>
        <v>Major</v>
      </c>
      <c r="K33" s="1"/>
    </row>
    <row r="34" spans="1:11">
      <c r="A34" s="78" t="s">
        <v>146</v>
      </c>
      <c r="B34" s="18">
        <v>2</v>
      </c>
      <c r="C34" s="78" t="s">
        <v>147</v>
      </c>
      <c r="D34" s="78" t="s">
        <v>148</v>
      </c>
      <c r="E34" s="81" t="s">
        <v>21</v>
      </c>
      <c r="F34" s="81" t="s">
        <v>22</v>
      </c>
      <c r="G34" s="81" t="s">
        <v>57</v>
      </c>
      <c r="H34" s="81" t="s">
        <v>150</v>
      </c>
      <c r="I34" s="81"/>
      <c r="J34" s="15" t="str">
        <f>IF(E34="Invalid_Segment","Invalid",IFERROR(INDEX(Severity_Matrix!$C$3:$M$10,MATCH('Error Log'!$F34,Severity_Matrix!$B$3:$B$10,0),MATCH('Error Log'!$G34,Severity_Matrix!$C$2:$M$2,0)),"No errors"))</f>
        <v>Major</v>
      </c>
      <c r="K34" s="1"/>
    </row>
    <row r="35" spans="1:11">
      <c r="A35" s="78" t="s">
        <v>151</v>
      </c>
      <c r="B35" s="18">
        <v>3</v>
      </c>
      <c r="C35" s="78" t="s">
        <v>147</v>
      </c>
      <c r="D35" s="78" t="s">
        <v>148</v>
      </c>
      <c r="E35" s="81" t="s">
        <v>21</v>
      </c>
      <c r="F35" s="81" t="s">
        <v>7</v>
      </c>
      <c r="G35" s="81" t="s">
        <v>57</v>
      </c>
      <c r="H35" s="81" t="s">
        <v>152</v>
      </c>
      <c r="I35" s="81"/>
      <c r="J35" s="15" t="str">
        <f>IF(E35="Invalid_Segment","Invalid",IFERROR(INDEX(Severity_Matrix!$C$3:$M$10,MATCH('Error Log'!$F35,Severity_Matrix!$B$3:$B$10,0),MATCH('Error Log'!$G35,Severity_Matrix!$C$2:$M$2,0)),"No errors"))</f>
        <v>Critical</v>
      </c>
      <c r="K35" s="1"/>
    </row>
    <row r="36" spans="1:11">
      <c r="A36" s="78" t="s">
        <v>151</v>
      </c>
      <c r="B36" s="18">
        <v>4</v>
      </c>
      <c r="C36" s="78" t="s">
        <v>147</v>
      </c>
      <c r="D36" s="78" t="s">
        <v>148</v>
      </c>
      <c r="E36" s="81" t="s">
        <v>21</v>
      </c>
      <c r="F36" s="81" t="s">
        <v>7</v>
      </c>
      <c r="G36" s="81" t="s">
        <v>57</v>
      </c>
      <c r="H36" s="81" t="s">
        <v>153</v>
      </c>
      <c r="I36" s="81"/>
      <c r="J36" s="15" t="str">
        <f>IF(E36="Invalid_Segment","Invalid",IFERROR(INDEX(Severity_Matrix!$C$3:$M$10,MATCH('Error Log'!$F36,Severity_Matrix!$B$3:$B$10,0),MATCH('Error Log'!$G36,Severity_Matrix!$C$2:$M$2,0)),"No errors"))</f>
        <v>Critical</v>
      </c>
      <c r="K36" s="1"/>
    </row>
    <row r="37" spans="1:11">
      <c r="A37" s="78" t="s">
        <v>151</v>
      </c>
      <c r="B37" s="18">
        <v>5</v>
      </c>
      <c r="C37" s="78" t="s">
        <v>147</v>
      </c>
      <c r="D37" s="78" t="s">
        <v>148</v>
      </c>
      <c r="E37" s="81" t="s">
        <v>21</v>
      </c>
      <c r="F37" s="81" t="s">
        <v>7</v>
      </c>
      <c r="G37" s="81" t="s">
        <v>57</v>
      </c>
      <c r="H37" s="81" t="s">
        <v>154</v>
      </c>
      <c r="I37" s="81"/>
      <c r="J37" s="15" t="str">
        <f>IF(E37="Invalid_Segment","Invalid",IFERROR(INDEX(Severity_Matrix!$C$3:$M$10,MATCH('Error Log'!$F37,Severity_Matrix!$B$3:$B$10,0),MATCH('Error Log'!$G37,Severity_Matrix!$C$2:$M$2,0)),"No errors"))</f>
        <v>Critical</v>
      </c>
      <c r="K37" s="1"/>
    </row>
    <row r="38" spans="1:11">
      <c r="A38" s="78" t="s">
        <v>151</v>
      </c>
      <c r="B38" s="18">
        <v>6</v>
      </c>
      <c r="C38" s="78" t="s">
        <v>147</v>
      </c>
      <c r="D38" s="78" t="s">
        <v>148</v>
      </c>
      <c r="E38" s="81" t="s">
        <v>21</v>
      </c>
      <c r="F38" s="81" t="s">
        <v>7</v>
      </c>
      <c r="G38" s="81" t="s">
        <v>57</v>
      </c>
      <c r="H38" s="81" t="s">
        <v>155</v>
      </c>
      <c r="I38" s="81"/>
      <c r="J38" s="15" t="str">
        <f>IF(E38="Invalid_Segment","Invalid",IFERROR(INDEX(Severity_Matrix!$C$3:$M$10,MATCH('Error Log'!$F38,Severity_Matrix!$B$3:$B$10,0),MATCH('Error Log'!$G38,Severity_Matrix!$C$2:$M$2,0)),"No errors"))</f>
        <v>Critical</v>
      </c>
      <c r="K38" s="1"/>
    </row>
    <row r="39" spans="1:11">
      <c r="A39" s="78" t="s">
        <v>151</v>
      </c>
      <c r="B39" s="18">
        <v>7</v>
      </c>
      <c r="C39" s="78" t="s">
        <v>147</v>
      </c>
      <c r="D39" s="78" t="s">
        <v>148</v>
      </c>
      <c r="E39" s="81" t="s">
        <v>21</v>
      </c>
      <c r="F39" s="81" t="s">
        <v>7</v>
      </c>
      <c r="G39" s="81" t="s">
        <v>57</v>
      </c>
      <c r="H39" s="81" t="s">
        <v>156</v>
      </c>
      <c r="I39" s="81"/>
      <c r="J39" s="15" t="str">
        <f>IF(E39="Invalid_Segment","Invalid",IFERROR(INDEX(Severity_Matrix!$C$3:$M$10,MATCH('Error Log'!$F39,Severity_Matrix!$B$3:$B$10,0),MATCH('Error Log'!$G39,Severity_Matrix!$C$2:$M$2,0)),"No errors"))</f>
        <v>Critical</v>
      </c>
      <c r="K39" s="1"/>
    </row>
    <row r="40" spans="1:11">
      <c r="A40" s="78" t="s">
        <v>157</v>
      </c>
      <c r="B40" s="18">
        <v>1</v>
      </c>
      <c r="C40" s="78" t="s">
        <v>147</v>
      </c>
      <c r="D40" s="78" t="s">
        <v>158</v>
      </c>
      <c r="E40" s="81" t="s">
        <v>21</v>
      </c>
      <c r="F40" s="81" t="s">
        <v>22</v>
      </c>
      <c r="G40" s="81" t="s">
        <v>57</v>
      </c>
      <c r="H40" s="81" t="s">
        <v>159</v>
      </c>
      <c r="I40" s="81"/>
      <c r="J40" s="15" t="str">
        <f>IF(E40="Invalid_Segment","Invalid",IFERROR(INDEX(Severity_Matrix!$C$3:$M$10,MATCH('Error Log'!$F40,Severity_Matrix!$B$3:$B$10,0),MATCH('Error Log'!$G40,Severity_Matrix!$C$2:$M$2,0)),"No errors"))</f>
        <v>Major</v>
      </c>
      <c r="K40" s="1"/>
    </row>
    <row r="41" spans="1:11">
      <c r="A41" s="78" t="s">
        <v>157</v>
      </c>
      <c r="B41" s="18">
        <v>2</v>
      </c>
      <c r="C41" s="78" t="s">
        <v>147</v>
      </c>
      <c r="D41" s="78" t="s">
        <v>158</v>
      </c>
      <c r="E41" s="81" t="s">
        <v>21</v>
      </c>
      <c r="F41" s="81" t="s">
        <v>7</v>
      </c>
      <c r="G41" s="81" t="s">
        <v>57</v>
      </c>
      <c r="H41" s="81" t="s">
        <v>160</v>
      </c>
      <c r="I41" s="81"/>
      <c r="J41" s="15" t="str">
        <f>IF(E41="Invalid_Segment","Invalid",IFERROR(INDEX(Severity_Matrix!$C$3:$M$10,MATCH('Error Log'!$F41,Severity_Matrix!$B$3:$B$10,0),MATCH('Error Log'!$G41,Severity_Matrix!$C$2:$M$2,0)),"No errors"))</f>
        <v>Critical</v>
      </c>
      <c r="K41" s="1"/>
    </row>
    <row r="42" spans="1:11">
      <c r="A42" s="78" t="s">
        <v>161</v>
      </c>
      <c r="B42" s="18">
        <v>3</v>
      </c>
      <c r="C42" s="78" t="s">
        <v>147</v>
      </c>
      <c r="D42" s="78" t="s">
        <v>158</v>
      </c>
      <c r="E42" s="81" t="s">
        <v>21</v>
      </c>
      <c r="F42" s="81" t="s">
        <v>7</v>
      </c>
      <c r="G42" s="81" t="s">
        <v>57</v>
      </c>
      <c r="H42" s="81" t="s">
        <v>162</v>
      </c>
      <c r="I42" s="81"/>
      <c r="J42" s="15" t="str">
        <f>IF(E42="Invalid_Segment","Invalid",IFERROR(INDEX(Severity_Matrix!$C$3:$M$10,MATCH('Error Log'!$F42,Severity_Matrix!$B$3:$B$10,0),MATCH('Error Log'!$G42,Severity_Matrix!$C$2:$M$2,0)),"No errors"))</f>
        <v>Critical</v>
      </c>
      <c r="K42" s="1"/>
    </row>
    <row r="43" spans="1:11">
      <c r="A43" s="78" t="s">
        <v>163</v>
      </c>
      <c r="B43" s="18">
        <v>1</v>
      </c>
      <c r="C43" s="78" t="s">
        <v>164</v>
      </c>
      <c r="D43" s="78" t="s">
        <v>165</v>
      </c>
      <c r="E43" s="81" t="s">
        <v>2</v>
      </c>
      <c r="F43" s="81" t="s">
        <v>26</v>
      </c>
      <c r="G43" s="81" t="s">
        <v>57</v>
      </c>
      <c r="H43" s="81" t="s">
        <v>166</v>
      </c>
      <c r="I43" s="81"/>
      <c r="J43" s="15" t="str">
        <f>IF(E43="Invalid_Segment","Invalid",IFERROR(INDEX(Severity_Matrix!$C$3:$M$10,MATCH('Error Log'!$F43,Severity_Matrix!$B$3:$B$10,0),MATCH('Error Log'!$G43,Severity_Matrix!$C$2:$M$2,0)),"No errors"))</f>
        <v>Major</v>
      </c>
      <c r="K43" s="1"/>
    </row>
    <row r="44" spans="1:11">
      <c r="A44" s="78" t="s">
        <v>163</v>
      </c>
      <c r="B44" s="18">
        <v>2</v>
      </c>
      <c r="C44" s="78" t="s">
        <v>164</v>
      </c>
      <c r="D44" s="78" t="s">
        <v>165</v>
      </c>
      <c r="E44" s="81" t="s">
        <v>21</v>
      </c>
      <c r="F44" s="81" t="s">
        <v>22</v>
      </c>
      <c r="G44" s="81" t="s">
        <v>57</v>
      </c>
      <c r="H44" s="81" t="s">
        <v>167</v>
      </c>
      <c r="I44" s="81"/>
      <c r="J44" s="15" t="str">
        <f>IF(E44="Invalid_Segment","Invalid",IFERROR(INDEX(Severity_Matrix!$C$3:$M$10,MATCH('Error Log'!$F44,Severity_Matrix!$B$3:$B$10,0),MATCH('Error Log'!$G44,Severity_Matrix!$C$2:$M$2,0)),"No errors"))</f>
        <v>Major</v>
      </c>
      <c r="K44" s="1"/>
    </row>
    <row r="45" spans="1:11">
      <c r="A45" s="78" t="s">
        <v>168</v>
      </c>
      <c r="B45" s="18">
        <v>3</v>
      </c>
      <c r="C45" s="78" t="s">
        <v>164</v>
      </c>
      <c r="D45" s="78" t="s">
        <v>165</v>
      </c>
      <c r="E45" s="81" t="s">
        <v>21</v>
      </c>
      <c r="F45" s="81" t="s">
        <v>7</v>
      </c>
      <c r="G45" s="81" t="s">
        <v>57</v>
      </c>
      <c r="H45" s="81" t="s">
        <v>169</v>
      </c>
      <c r="I45" s="81"/>
      <c r="J45" s="15" t="str">
        <f>IF(E45="Invalid_Segment","Invalid",IFERROR(INDEX(Severity_Matrix!$C$3:$M$10,MATCH('Error Log'!$F45,Severity_Matrix!$B$3:$B$10,0),MATCH('Error Log'!$G45,Severity_Matrix!$C$2:$M$2,0)),"No errors"))</f>
        <v>Critical</v>
      </c>
      <c r="K45" s="79"/>
    </row>
    <row r="46" spans="1:11">
      <c r="A46" s="78" t="s">
        <v>168</v>
      </c>
      <c r="B46" s="18">
        <v>4</v>
      </c>
      <c r="C46" s="78" t="s">
        <v>164</v>
      </c>
      <c r="D46" s="78" t="s">
        <v>165</v>
      </c>
      <c r="E46" s="81" t="s">
        <v>21</v>
      </c>
      <c r="F46" s="81" t="s">
        <v>7</v>
      </c>
      <c r="G46" s="81" t="s">
        <v>57</v>
      </c>
      <c r="H46" s="81" t="s">
        <v>170</v>
      </c>
      <c r="I46" s="81"/>
      <c r="J46" s="15" t="str">
        <f>IF(E46="Invalid_Segment","Invalid",IFERROR(INDEX(Severity_Matrix!$C$3:$M$10,MATCH('Error Log'!$F46,Severity_Matrix!$B$3:$B$10,0),MATCH('Error Log'!$G46,Severity_Matrix!$C$2:$M$2,0)),"No errors"))</f>
        <v>Critical</v>
      </c>
      <c r="K46" s="79"/>
    </row>
    <row r="47" spans="1:11">
      <c r="A47" s="78" t="s">
        <v>168</v>
      </c>
      <c r="B47" s="18">
        <v>5</v>
      </c>
      <c r="C47" s="78" t="s">
        <v>164</v>
      </c>
      <c r="D47" s="78" t="s">
        <v>165</v>
      </c>
      <c r="E47" s="81" t="s">
        <v>21</v>
      </c>
      <c r="F47" s="81" t="s">
        <v>7</v>
      </c>
      <c r="G47" s="81" t="s">
        <v>57</v>
      </c>
      <c r="H47" s="81" t="s">
        <v>171</v>
      </c>
      <c r="I47" s="81"/>
      <c r="J47" s="15" t="str">
        <f>IF(E47="Invalid_Segment","Invalid",IFERROR(INDEX(Severity_Matrix!$C$3:$M$10,MATCH('Error Log'!$F47,Severity_Matrix!$B$3:$B$10,0),MATCH('Error Log'!$G47,Severity_Matrix!$C$2:$M$2,0)),"No errors"))</f>
        <v>Critical</v>
      </c>
      <c r="K47" s="79"/>
    </row>
    <row r="48" spans="1:11">
      <c r="A48" s="78" t="s">
        <v>172</v>
      </c>
      <c r="B48" s="18">
        <v>1</v>
      </c>
      <c r="C48" s="78" t="s">
        <v>173</v>
      </c>
      <c r="D48" s="78" t="s">
        <v>174</v>
      </c>
      <c r="E48" s="81" t="s">
        <v>21</v>
      </c>
      <c r="F48" s="81" t="s">
        <v>7</v>
      </c>
      <c r="G48" s="81" t="s">
        <v>56</v>
      </c>
      <c r="H48" s="81" t="s">
        <v>175</v>
      </c>
      <c r="I48" s="81"/>
      <c r="J48" s="15" t="str">
        <f>IF(E48="Invalid_Segment","Invalid",IFERROR(INDEX(Severity_Matrix!$C$3:$M$10,MATCH('Error Log'!$F48,Severity_Matrix!$B$3:$B$10,0),MATCH('Error Log'!$G48,Severity_Matrix!$C$2:$M$2,0)),"No errors"))</f>
        <v>Critical</v>
      </c>
      <c r="K48" s="79"/>
    </row>
    <row r="49" spans="1:11">
      <c r="A49" s="78" t="s">
        <v>172</v>
      </c>
      <c r="B49" s="18">
        <v>2</v>
      </c>
      <c r="C49" s="78" t="s">
        <v>173</v>
      </c>
      <c r="D49" s="78" t="s">
        <v>174</v>
      </c>
      <c r="E49" s="81" t="s">
        <v>21</v>
      </c>
      <c r="F49" s="81" t="s">
        <v>22</v>
      </c>
      <c r="G49" s="81" t="s">
        <v>57</v>
      </c>
      <c r="H49" s="81" t="s">
        <v>176</v>
      </c>
      <c r="I49" s="81"/>
      <c r="J49" s="15" t="str">
        <f>IF(E49="Invalid_Segment","Invalid",IFERROR(INDEX(Severity_Matrix!$C$3:$M$10,MATCH('Error Log'!$F49,Severity_Matrix!$B$3:$B$10,0),MATCH('Error Log'!$G49,Severity_Matrix!$C$2:$M$2,0)),"No errors"))</f>
        <v>Major</v>
      </c>
      <c r="K49" s="79"/>
    </row>
    <row r="50" spans="1:11">
      <c r="A50" s="78" t="s">
        <v>177</v>
      </c>
      <c r="B50" s="18">
        <v>3</v>
      </c>
      <c r="C50" s="78" t="s">
        <v>173</v>
      </c>
      <c r="D50" s="78" t="s">
        <v>174</v>
      </c>
      <c r="E50" s="81" t="s">
        <v>21</v>
      </c>
      <c r="F50" s="81" t="s">
        <v>7</v>
      </c>
      <c r="G50" s="81" t="s">
        <v>57</v>
      </c>
      <c r="H50" s="81" t="s">
        <v>178</v>
      </c>
      <c r="I50" s="81"/>
      <c r="J50" s="15" t="str">
        <f>IF(E50="Invalid_Segment","Invalid",IFERROR(INDEX(Severity_Matrix!$C$3:$M$10,MATCH('Error Log'!$F50,Severity_Matrix!$B$3:$B$10,0),MATCH('Error Log'!$G50,Severity_Matrix!$C$2:$M$2,0)),"No errors"))</f>
        <v>Critical</v>
      </c>
      <c r="K50" s="79"/>
    </row>
    <row r="51" spans="1:11">
      <c r="A51" s="78" t="s">
        <v>177</v>
      </c>
      <c r="B51" s="18">
        <v>4</v>
      </c>
      <c r="C51" s="78" t="s">
        <v>173</v>
      </c>
      <c r="D51" s="78" t="s">
        <v>174</v>
      </c>
      <c r="E51" s="81" t="s">
        <v>21</v>
      </c>
      <c r="F51" s="81" t="s">
        <v>7</v>
      </c>
      <c r="G51" s="81" t="s">
        <v>57</v>
      </c>
      <c r="H51" s="81" t="s">
        <v>179</v>
      </c>
      <c r="I51" s="81"/>
      <c r="J51" s="15" t="str">
        <f>IF(E51="Invalid_Segment","Invalid",IFERROR(INDEX(Severity_Matrix!$C$3:$M$10,MATCH('Error Log'!$F51,Severity_Matrix!$B$3:$B$10,0),MATCH('Error Log'!$G51,Severity_Matrix!$C$2:$M$2,0)),"No errors"))</f>
        <v>Critical</v>
      </c>
      <c r="K51" s="79"/>
    </row>
    <row r="52" spans="1:11">
      <c r="A52" s="78" t="s">
        <v>180</v>
      </c>
      <c r="B52" s="18">
        <v>1</v>
      </c>
      <c r="C52" s="78" t="s">
        <v>181</v>
      </c>
      <c r="D52" s="78" t="s">
        <v>182</v>
      </c>
      <c r="E52" s="81" t="s">
        <v>21</v>
      </c>
      <c r="F52" s="81" t="s">
        <v>7</v>
      </c>
      <c r="G52" s="81" t="s">
        <v>57</v>
      </c>
      <c r="H52" s="81" t="s">
        <v>183</v>
      </c>
      <c r="I52" s="81"/>
      <c r="J52" s="15" t="str">
        <f>IF(E52="Invalid_Segment","Invalid",IFERROR(INDEX(Severity_Matrix!$C$3:$M$10,MATCH('Error Log'!$F52,Severity_Matrix!$B$3:$B$10,0),MATCH('Error Log'!$G52,Severity_Matrix!$C$2:$M$2,0)),"No errors"))</f>
        <v>Critical</v>
      </c>
      <c r="K52" s="79"/>
    </row>
    <row r="53" spans="1:11">
      <c r="A53" s="78" t="s">
        <v>184</v>
      </c>
      <c r="B53" s="18">
        <v>1</v>
      </c>
      <c r="C53" s="78" t="s">
        <v>185</v>
      </c>
      <c r="D53" s="78" t="s">
        <v>186</v>
      </c>
      <c r="E53" s="81" t="s">
        <v>21</v>
      </c>
      <c r="F53" s="81" t="s">
        <v>7</v>
      </c>
      <c r="G53" s="81" t="s">
        <v>57</v>
      </c>
      <c r="H53" s="81" t="s">
        <v>187</v>
      </c>
      <c r="I53" s="81"/>
      <c r="J53" s="15" t="str">
        <f>IF(E53="Invalid_Segment","Invalid",IFERROR(INDEX(Severity_Matrix!$C$3:$M$10,MATCH('Error Log'!$F53,Severity_Matrix!$B$3:$B$10,0),MATCH('Error Log'!$G53,Severity_Matrix!$C$2:$M$2,0)),"No errors"))</f>
        <v>Critical</v>
      </c>
      <c r="K53" s="79"/>
    </row>
    <row r="54" spans="1:11">
      <c r="A54" s="78" t="s">
        <v>184</v>
      </c>
      <c r="B54" s="18">
        <v>2</v>
      </c>
      <c r="C54" s="78" t="s">
        <v>185</v>
      </c>
      <c r="D54" s="78" t="s">
        <v>186</v>
      </c>
      <c r="E54" s="81" t="s">
        <v>21</v>
      </c>
      <c r="F54" s="81" t="s">
        <v>7</v>
      </c>
      <c r="G54" s="81" t="s">
        <v>57</v>
      </c>
      <c r="H54" s="81" t="s">
        <v>188</v>
      </c>
      <c r="I54" s="81"/>
      <c r="J54" s="15" t="str">
        <f>IF(E54="Invalid_Segment","Invalid",IFERROR(INDEX(Severity_Matrix!$C$3:$M$10,MATCH('Error Log'!$F54,Severity_Matrix!$B$3:$B$10,0),MATCH('Error Log'!$G54,Severity_Matrix!$C$2:$M$2,0)),"No errors"))</f>
        <v>Critical</v>
      </c>
      <c r="K54" s="79"/>
    </row>
    <row r="55" spans="1:11">
      <c r="A55" s="78" t="s">
        <v>189</v>
      </c>
      <c r="B55" s="18">
        <v>3</v>
      </c>
      <c r="C55" s="78" t="s">
        <v>185</v>
      </c>
      <c r="D55" s="78" t="s">
        <v>186</v>
      </c>
      <c r="E55" s="81" t="s">
        <v>21</v>
      </c>
      <c r="F55" s="81" t="s">
        <v>7</v>
      </c>
      <c r="G55" s="81" t="s">
        <v>57</v>
      </c>
      <c r="H55" s="81" t="s">
        <v>190</v>
      </c>
      <c r="I55" s="81"/>
      <c r="J55" s="15" t="str">
        <f>IF(E55="Invalid_Segment","Invalid",IFERROR(INDEX(Severity_Matrix!$C$3:$M$10,MATCH('Error Log'!$F55,Severity_Matrix!$B$3:$B$10,0),MATCH('Error Log'!$G55,Severity_Matrix!$C$2:$M$2,0)),"No errors"))</f>
        <v>Critical</v>
      </c>
      <c r="K55" s="79"/>
    </row>
    <row r="56" spans="1:11">
      <c r="A56" s="78" t="s">
        <v>189</v>
      </c>
      <c r="B56" s="18">
        <v>4</v>
      </c>
      <c r="C56" s="78" t="s">
        <v>185</v>
      </c>
      <c r="D56" s="78" t="s">
        <v>186</v>
      </c>
      <c r="E56" s="81" t="s">
        <v>2</v>
      </c>
      <c r="F56" s="81" t="s">
        <v>26</v>
      </c>
      <c r="G56" s="81" t="s">
        <v>57</v>
      </c>
      <c r="H56" s="81" t="s">
        <v>191</v>
      </c>
      <c r="I56" s="81"/>
      <c r="J56" s="15" t="str">
        <f>IF(E56="Invalid_Segment","Invalid",IFERROR(INDEX(Severity_Matrix!$C$3:$M$10,MATCH('Error Log'!$F56,Severity_Matrix!$B$3:$B$10,0),MATCH('Error Log'!$G56,Severity_Matrix!$C$2:$M$2,0)),"No errors"))</f>
        <v>Major</v>
      </c>
      <c r="K56" s="79"/>
    </row>
    <row r="57" spans="1:11">
      <c r="A57" s="78" t="s">
        <v>189</v>
      </c>
      <c r="B57" s="18">
        <v>5</v>
      </c>
      <c r="C57" s="78" t="s">
        <v>185</v>
      </c>
      <c r="D57" s="78" t="s">
        <v>186</v>
      </c>
      <c r="E57" s="81" t="s">
        <v>2</v>
      </c>
      <c r="F57" s="81" t="s">
        <v>26</v>
      </c>
      <c r="G57" s="81" t="s">
        <v>57</v>
      </c>
      <c r="H57" s="81" t="s">
        <v>191</v>
      </c>
      <c r="I57" s="81"/>
      <c r="J57" s="15" t="str">
        <f>IF(E57="Invalid_Segment","Invalid",IFERROR(INDEX(Severity_Matrix!$C$3:$M$10,MATCH('Error Log'!$F57,Severity_Matrix!$B$3:$B$10,0),MATCH('Error Log'!$G57,Severity_Matrix!$C$2:$M$2,0)),"No errors"))</f>
        <v>Major</v>
      </c>
      <c r="K57" s="79"/>
    </row>
    <row r="58" spans="1:11">
      <c r="A58" s="78" t="s">
        <v>192</v>
      </c>
      <c r="B58" s="18">
        <v>1</v>
      </c>
      <c r="C58" s="78" t="s">
        <v>193</v>
      </c>
      <c r="D58" s="78" t="s">
        <v>194</v>
      </c>
      <c r="E58" s="81" t="s">
        <v>21</v>
      </c>
      <c r="F58" s="81" t="s">
        <v>22</v>
      </c>
      <c r="G58" s="81" t="s">
        <v>57</v>
      </c>
      <c r="H58" s="81" t="s">
        <v>195</v>
      </c>
      <c r="I58" s="81"/>
      <c r="J58" s="15" t="str">
        <f>IF(E58="Invalid_Segment","Invalid",IFERROR(INDEX(Severity_Matrix!$C$3:$M$10,MATCH('Error Log'!$F58,Severity_Matrix!$B$3:$B$10,0),MATCH('Error Log'!$G58,Severity_Matrix!$C$2:$M$2,0)),"No errors"))</f>
        <v>Major</v>
      </c>
      <c r="K58" s="79"/>
    </row>
    <row r="59" spans="1:11">
      <c r="A59" s="78" t="s">
        <v>192</v>
      </c>
      <c r="B59" s="18">
        <v>2</v>
      </c>
      <c r="C59" s="78" t="s">
        <v>193</v>
      </c>
      <c r="D59" s="78" t="s">
        <v>194</v>
      </c>
      <c r="E59" s="81" t="s">
        <v>2</v>
      </c>
      <c r="F59" s="81" t="s">
        <v>26</v>
      </c>
      <c r="G59" s="81" t="s">
        <v>57</v>
      </c>
      <c r="H59" s="81" t="s">
        <v>196</v>
      </c>
      <c r="I59" s="81"/>
      <c r="J59" s="15" t="str">
        <f>IF(E59="Invalid_Segment","Invalid",IFERROR(INDEX(Severity_Matrix!$C$3:$M$10,MATCH('Error Log'!$F59,Severity_Matrix!$B$3:$B$10,0),MATCH('Error Log'!$G59,Severity_Matrix!$C$2:$M$2,0)),"No errors"))</f>
        <v>Major</v>
      </c>
      <c r="K59" s="79"/>
    </row>
    <row r="60" spans="1:11">
      <c r="A60" s="78" t="s">
        <v>197</v>
      </c>
      <c r="B60" s="18">
        <v>3</v>
      </c>
      <c r="C60" s="78" t="s">
        <v>193</v>
      </c>
      <c r="D60" s="78" t="s">
        <v>194</v>
      </c>
      <c r="E60" s="81" t="s">
        <v>21</v>
      </c>
      <c r="F60" s="81" t="s">
        <v>22</v>
      </c>
      <c r="G60" s="81" t="s">
        <v>57</v>
      </c>
      <c r="H60" s="81" t="s">
        <v>198</v>
      </c>
      <c r="I60" s="81"/>
      <c r="J60" s="15" t="str">
        <f>IF(E60="Invalid_Segment","Invalid",IFERROR(INDEX(Severity_Matrix!$C$3:$M$10,MATCH('Error Log'!$F60,Severity_Matrix!$B$3:$B$10,0),MATCH('Error Log'!$G60,Severity_Matrix!$C$2:$M$2,0)),"No errors"))</f>
        <v>Major</v>
      </c>
      <c r="K60" s="79"/>
    </row>
    <row r="61" spans="1:11">
      <c r="A61" s="78" t="s">
        <v>197</v>
      </c>
      <c r="B61" s="18">
        <v>4</v>
      </c>
      <c r="C61" s="78" t="s">
        <v>193</v>
      </c>
      <c r="D61" s="78" t="s">
        <v>194</v>
      </c>
      <c r="E61" s="81" t="s">
        <v>21</v>
      </c>
      <c r="F61" s="81" t="s">
        <v>7</v>
      </c>
      <c r="G61" s="81" t="s">
        <v>57</v>
      </c>
      <c r="H61" s="81" t="s">
        <v>199</v>
      </c>
      <c r="I61" s="81"/>
      <c r="J61" s="15" t="str">
        <f>IF(E61="Invalid_Segment","Invalid",IFERROR(INDEX(Severity_Matrix!$C$3:$M$10,MATCH('Error Log'!$F61,Severity_Matrix!$B$3:$B$10,0),MATCH('Error Log'!$G61,Severity_Matrix!$C$2:$M$2,0)),"No errors"))</f>
        <v>Critical</v>
      </c>
      <c r="K61" s="79"/>
    </row>
    <row r="62" spans="1:11">
      <c r="A62" s="78" t="s">
        <v>197</v>
      </c>
      <c r="B62" s="18">
        <v>5</v>
      </c>
      <c r="C62" s="78" t="s">
        <v>193</v>
      </c>
      <c r="D62" s="78" t="s">
        <v>194</v>
      </c>
      <c r="E62" s="81" t="s">
        <v>21</v>
      </c>
      <c r="F62" s="81" t="s">
        <v>7</v>
      </c>
      <c r="G62" s="81" t="s">
        <v>57</v>
      </c>
      <c r="H62" s="81" t="s">
        <v>200</v>
      </c>
      <c r="I62" s="81"/>
      <c r="J62" s="15" t="str">
        <f>IF(E62="Invalid_Segment","Invalid",IFERROR(INDEX(Severity_Matrix!$C$3:$M$10,MATCH('Error Log'!$F62,Severity_Matrix!$B$3:$B$10,0),MATCH('Error Log'!$G62,Severity_Matrix!$C$2:$M$2,0)),"No errors"))</f>
        <v>Critical</v>
      </c>
      <c r="K62" s="79"/>
    </row>
    <row r="63" spans="1:11">
      <c r="A63" s="78" t="s">
        <v>201</v>
      </c>
      <c r="B63" s="18">
        <v>1</v>
      </c>
      <c r="C63" s="78" t="s">
        <v>202</v>
      </c>
      <c r="D63" s="78" t="s">
        <v>203</v>
      </c>
      <c r="E63" s="81" t="s">
        <v>21</v>
      </c>
      <c r="F63" s="81" t="s">
        <v>7</v>
      </c>
      <c r="G63" s="81" t="s">
        <v>58</v>
      </c>
      <c r="H63" s="81" t="s">
        <v>204</v>
      </c>
      <c r="I63" s="81"/>
      <c r="J63" s="15" t="str">
        <f>IF(E63="Invalid_Segment","Invalid",IFERROR(INDEX(Severity_Matrix!$C$3:$M$10,MATCH('Error Log'!$F63,Severity_Matrix!$B$3:$B$10,0),MATCH('Error Log'!$G63,Severity_Matrix!$C$2:$M$2,0)),"No errors"))</f>
        <v>Minor</v>
      </c>
      <c r="K63" s="79"/>
    </row>
    <row r="64" spans="1:11">
      <c r="A64" s="78" t="s">
        <v>201</v>
      </c>
      <c r="B64" s="18">
        <v>2</v>
      </c>
      <c r="C64" s="78" t="s">
        <v>202</v>
      </c>
      <c r="D64" s="78" t="s">
        <v>203</v>
      </c>
      <c r="E64" s="81" t="s">
        <v>21</v>
      </c>
      <c r="F64" s="81" t="s">
        <v>7</v>
      </c>
      <c r="G64" s="81" t="s">
        <v>55</v>
      </c>
      <c r="H64" s="81" t="s">
        <v>205</v>
      </c>
      <c r="I64" s="81"/>
      <c r="J64" s="15" t="str">
        <f>IF(E64="Invalid_Segment","Invalid",IFERROR(INDEX(Severity_Matrix!$C$3:$M$10,MATCH('Error Log'!$F64,Severity_Matrix!$B$3:$B$10,0),MATCH('Error Log'!$G64,Severity_Matrix!$C$2:$M$2,0)),"No errors"))</f>
        <v>Critical</v>
      </c>
      <c r="K64" s="79"/>
    </row>
    <row r="65" spans="1:11">
      <c r="A65" s="78" t="s">
        <v>206</v>
      </c>
      <c r="B65" s="18">
        <v>3</v>
      </c>
      <c r="C65" s="78" t="s">
        <v>202</v>
      </c>
      <c r="D65" s="78" t="s">
        <v>203</v>
      </c>
      <c r="E65" s="81" t="s">
        <v>21</v>
      </c>
      <c r="F65" s="81" t="s">
        <v>22</v>
      </c>
      <c r="G65" s="81" t="s">
        <v>57</v>
      </c>
      <c r="H65" s="81" t="s">
        <v>207</v>
      </c>
      <c r="I65" s="81"/>
      <c r="J65" s="15" t="str">
        <f>IF(E65="Invalid_Segment","Invalid",IFERROR(INDEX(Severity_Matrix!$C$3:$M$10,MATCH('Error Log'!$F65,Severity_Matrix!$B$3:$B$10,0),MATCH('Error Log'!$G65,Severity_Matrix!$C$2:$M$2,0)),"No errors"))</f>
        <v>Major</v>
      </c>
      <c r="K65" s="79"/>
    </row>
    <row r="66" spans="1:11">
      <c r="A66" s="78" t="s">
        <v>206</v>
      </c>
      <c r="B66" s="18">
        <v>4</v>
      </c>
      <c r="C66" s="78" t="s">
        <v>202</v>
      </c>
      <c r="D66" s="78" t="s">
        <v>203</v>
      </c>
      <c r="E66" s="81" t="s">
        <v>21</v>
      </c>
      <c r="F66" s="81" t="s">
        <v>22</v>
      </c>
      <c r="G66" s="81" t="s">
        <v>57</v>
      </c>
      <c r="H66" s="81" t="s">
        <v>208</v>
      </c>
      <c r="I66" s="81"/>
      <c r="J66" s="15" t="str">
        <f>IF(E66="Invalid_Segment","Invalid",IFERROR(INDEX(Severity_Matrix!$C$3:$M$10,MATCH('Error Log'!$F66,Severity_Matrix!$B$3:$B$10,0),MATCH('Error Log'!$G66,Severity_Matrix!$C$2:$M$2,0)),"No errors"))</f>
        <v>Major</v>
      </c>
      <c r="K66" s="79"/>
    </row>
    <row r="67" spans="1:11">
      <c r="A67" s="78" t="s">
        <v>206</v>
      </c>
      <c r="B67" s="18">
        <v>5</v>
      </c>
      <c r="C67" s="78" t="s">
        <v>202</v>
      </c>
      <c r="D67" s="78" t="s">
        <v>203</v>
      </c>
      <c r="E67" s="81" t="s">
        <v>21</v>
      </c>
      <c r="F67" s="81" t="s">
        <v>7</v>
      </c>
      <c r="G67" s="81" t="s">
        <v>57</v>
      </c>
      <c r="H67" s="81" t="s">
        <v>209</v>
      </c>
      <c r="I67" s="81"/>
      <c r="J67" s="15" t="str">
        <f>IF(E67="Invalid_Segment","Invalid",IFERROR(INDEX(Severity_Matrix!$C$3:$M$10,MATCH('Error Log'!$F67,Severity_Matrix!$B$3:$B$10,0),MATCH('Error Log'!$G67,Severity_Matrix!$C$2:$M$2,0)),"No errors"))</f>
        <v>Critical</v>
      </c>
      <c r="K67" s="79"/>
    </row>
    <row r="68" spans="1:11">
      <c r="A68" s="78" t="s">
        <v>206</v>
      </c>
      <c r="B68" s="18">
        <v>6</v>
      </c>
      <c r="C68" s="78" t="s">
        <v>202</v>
      </c>
      <c r="D68" s="78" t="s">
        <v>203</v>
      </c>
      <c r="E68" s="81" t="s">
        <v>21</v>
      </c>
      <c r="F68" s="81" t="s">
        <v>7</v>
      </c>
      <c r="G68" s="81" t="s">
        <v>57</v>
      </c>
      <c r="H68" s="81" t="s">
        <v>210</v>
      </c>
      <c r="I68" s="81"/>
      <c r="J68" s="15" t="str">
        <f>IF(E68="Invalid_Segment","Invalid",IFERROR(INDEX(Severity_Matrix!$C$3:$M$10,MATCH('Error Log'!$F68,Severity_Matrix!$B$3:$B$10,0),MATCH('Error Log'!$G68,Severity_Matrix!$C$2:$M$2,0)),"No errors"))</f>
        <v>Critical</v>
      </c>
      <c r="K68" s="79"/>
    </row>
    <row r="69" spans="1:11">
      <c r="A69" s="78" t="s">
        <v>211</v>
      </c>
      <c r="B69" s="18">
        <v>1</v>
      </c>
      <c r="C69" s="78" t="s">
        <v>212</v>
      </c>
      <c r="D69" s="78" t="s">
        <v>213</v>
      </c>
      <c r="E69" s="81" t="s">
        <v>21</v>
      </c>
      <c r="F69" s="81" t="s">
        <v>22</v>
      </c>
      <c r="G69" s="81" t="s">
        <v>57</v>
      </c>
      <c r="H69" s="81" t="s">
        <v>214</v>
      </c>
      <c r="I69" s="81"/>
      <c r="J69" s="15" t="str">
        <f>IF(E69="Invalid_Segment","Invalid",IFERROR(INDEX(Severity_Matrix!$C$3:$M$10,MATCH('Error Log'!$F69,Severity_Matrix!$B$3:$B$10,0),MATCH('Error Log'!$G69,Severity_Matrix!$C$2:$M$2,0)),"No errors"))</f>
        <v>Major</v>
      </c>
      <c r="K69" s="79"/>
    </row>
    <row r="70" spans="1:11">
      <c r="A70" s="78" t="s">
        <v>211</v>
      </c>
      <c r="B70" s="18">
        <v>2</v>
      </c>
      <c r="C70" s="78" t="s">
        <v>212</v>
      </c>
      <c r="D70" s="78" t="s">
        <v>213</v>
      </c>
      <c r="E70" s="81" t="s">
        <v>21</v>
      </c>
      <c r="F70" s="81" t="s">
        <v>22</v>
      </c>
      <c r="G70" s="81" t="s">
        <v>57</v>
      </c>
      <c r="H70" s="81" t="s">
        <v>215</v>
      </c>
      <c r="I70" s="81"/>
      <c r="J70" s="15" t="str">
        <f>IF(E70="Invalid_Segment","Invalid",IFERROR(INDEX(Severity_Matrix!$C$3:$M$10,MATCH('Error Log'!$F70,Severity_Matrix!$B$3:$B$10,0),MATCH('Error Log'!$G70,Severity_Matrix!$C$2:$M$2,0)),"No errors"))</f>
        <v>Major</v>
      </c>
      <c r="K70" s="79"/>
    </row>
    <row r="71" spans="1:11">
      <c r="A71" s="78" t="s">
        <v>216</v>
      </c>
      <c r="B71" s="18">
        <v>3</v>
      </c>
      <c r="C71" s="78" t="s">
        <v>212</v>
      </c>
      <c r="D71" s="78" t="s">
        <v>213</v>
      </c>
      <c r="E71" s="81" t="s">
        <v>21</v>
      </c>
      <c r="F71" s="81" t="s">
        <v>7</v>
      </c>
      <c r="G71" s="81" t="s">
        <v>57</v>
      </c>
      <c r="H71" s="81" t="s">
        <v>217</v>
      </c>
      <c r="I71" s="81"/>
      <c r="J71" s="15" t="str">
        <f>IF(E71="Invalid_Segment","Invalid",IFERROR(INDEX(Severity_Matrix!$C$3:$M$10,MATCH('Error Log'!$F71,Severity_Matrix!$B$3:$B$10,0),MATCH('Error Log'!$G71,Severity_Matrix!$C$2:$M$2,0)),"No errors"))</f>
        <v>Critical</v>
      </c>
      <c r="K71" s="79"/>
    </row>
    <row r="72" spans="1:11">
      <c r="A72" s="78" t="s">
        <v>216</v>
      </c>
      <c r="B72" s="18">
        <v>4</v>
      </c>
      <c r="C72" s="78" t="s">
        <v>212</v>
      </c>
      <c r="D72" s="78" t="s">
        <v>213</v>
      </c>
      <c r="E72" s="81" t="s">
        <v>21</v>
      </c>
      <c r="F72" s="81" t="s">
        <v>7</v>
      </c>
      <c r="G72" s="81" t="s">
        <v>57</v>
      </c>
      <c r="H72" s="81" t="s">
        <v>218</v>
      </c>
      <c r="I72" s="81"/>
      <c r="J72" s="15" t="str">
        <f>IF(E72="Invalid_Segment","Invalid",IFERROR(INDEX(Severity_Matrix!$C$3:$M$10,MATCH('Error Log'!$F72,Severity_Matrix!$B$3:$B$10,0),MATCH('Error Log'!$G72,Severity_Matrix!$C$2:$M$2,0)),"No errors"))</f>
        <v>Critical</v>
      </c>
      <c r="K72" s="79"/>
    </row>
    <row r="73" spans="1:11">
      <c r="A73" s="78" t="s">
        <v>216</v>
      </c>
      <c r="B73" s="18">
        <v>5</v>
      </c>
      <c r="C73" s="78" t="s">
        <v>212</v>
      </c>
      <c r="D73" s="78" t="s">
        <v>213</v>
      </c>
      <c r="E73" s="81" t="s">
        <v>21</v>
      </c>
      <c r="F73" s="81" t="s">
        <v>7</v>
      </c>
      <c r="G73" s="81" t="s">
        <v>57</v>
      </c>
      <c r="H73" s="81" t="s">
        <v>219</v>
      </c>
      <c r="I73" s="81"/>
      <c r="J73" s="15" t="str">
        <f>IF(E73="Invalid_Segment","Invalid",IFERROR(INDEX(Severity_Matrix!$C$3:$M$10,MATCH('Error Log'!$F73,Severity_Matrix!$B$3:$B$10,0),MATCH('Error Log'!$G73,Severity_Matrix!$C$2:$M$2,0)),"No errors"))</f>
        <v>Critical</v>
      </c>
      <c r="K73" s="79"/>
    </row>
    <row r="74" spans="1:11">
      <c r="A74" s="78" t="s">
        <v>220</v>
      </c>
      <c r="B74" s="18">
        <v>1</v>
      </c>
      <c r="C74" s="78" t="s">
        <v>221</v>
      </c>
      <c r="D74" s="78" t="s">
        <v>222</v>
      </c>
      <c r="E74" s="81" t="s">
        <v>21</v>
      </c>
      <c r="F74" s="81" t="s">
        <v>7</v>
      </c>
      <c r="G74" s="81" t="s">
        <v>57</v>
      </c>
      <c r="H74" s="81" t="s">
        <v>223</v>
      </c>
      <c r="I74" s="81"/>
      <c r="J74" s="15" t="str">
        <f>IF(E74="Invalid_Segment","Invalid",IFERROR(INDEX(Severity_Matrix!$C$3:$M$10,MATCH('Error Log'!$F74,Severity_Matrix!$B$3:$B$10,0),MATCH('Error Log'!$G74,Severity_Matrix!$C$2:$M$2,0)),"No errors"))</f>
        <v>Critical</v>
      </c>
      <c r="K74" s="79"/>
    </row>
    <row r="75" spans="1:11">
      <c r="A75" s="78" t="s">
        <v>220</v>
      </c>
      <c r="B75" s="18">
        <v>2</v>
      </c>
      <c r="C75" s="78" t="s">
        <v>221</v>
      </c>
      <c r="D75" s="78" t="s">
        <v>222</v>
      </c>
      <c r="E75" s="81" t="s">
        <v>21</v>
      </c>
      <c r="F75" s="81" t="s">
        <v>7</v>
      </c>
      <c r="G75" s="81" t="s">
        <v>57</v>
      </c>
      <c r="H75" s="81" t="s">
        <v>224</v>
      </c>
      <c r="I75" s="81"/>
      <c r="J75" s="15" t="str">
        <f>IF(E75="Invalid_Segment","Invalid",IFERROR(INDEX(Severity_Matrix!$C$3:$M$10,MATCH('Error Log'!$F75,Severity_Matrix!$B$3:$B$10,0),MATCH('Error Log'!$G75,Severity_Matrix!$C$2:$M$2,0)),"No errors"))</f>
        <v>Critical</v>
      </c>
      <c r="K75" s="79"/>
    </row>
    <row r="76" spans="1:11">
      <c r="A76" s="78" t="s">
        <v>225</v>
      </c>
      <c r="B76" s="18">
        <v>3</v>
      </c>
      <c r="C76" s="78" t="s">
        <v>221</v>
      </c>
      <c r="D76" s="78" t="s">
        <v>222</v>
      </c>
      <c r="E76" s="81" t="s">
        <v>21</v>
      </c>
      <c r="F76" s="81" t="s">
        <v>7</v>
      </c>
      <c r="G76" s="81" t="s">
        <v>57</v>
      </c>
      <c r="H76" s="81" t="s">
        <v>226</v>
      </c>
      <c r="I76" s="81"/>
      <c r="J76" s="15" t="str">
        <f>IF(E76="Invalid_Segment","Invalid",IFERROR(INDEX(Severity_Matrix!$C$3:$M$10,MATCH('Error Log'!$F76,Severity_Matrix!$B$3:$B$10,0),MATCH('Error Log'!$G76,Severity_Matrix!$C$2:$M$2,0)),"No errors"))</f>
        <v>Critical</v>
      </c>
      <c r="K76" s="79"/>
    </row>
    <row r="77" spans="1:11">
      <c r="A77" s="78" t="s">
        <v>227</v>
      </c>
      <c r="B77" s="18">
        <v>1</v>
      </c>
      <c r="C77" s="78" t="s">
        <v>228</v>
      </c>
      <c r="D77" s="78" t="s">
        <v>229</v>
      </c>
      <c r="E77" s="81" t="s">
        <v>21</v>
      </c>
      <c r="F77" s="81" t="s">
        <v>7</v>
      </c>
      <c r="G77" s="81" t="s">
        <v>57</v>
      </c>
      <c r="H77" s="81" t="s">
        <v>230</v>
      </c>
      <c r="I77" s="81"/>
      <c r="J77" s="15" t="str">
        <f>IF(E77="Invalid_Segment","Invalid",IFERROR(INDEX(Severity_Matrix!$C$3:$M$10,MATCH('Error Log'!$F77,Severity_Matrix!$B$3:$B$10,0),MATCH('Error Log'!$G77,Severity_Matrix!$C$2:$M$2,0)),"No errors"))</f>
        <v>Critical</v>
      </c>
      <c r="K77" s="79"/>
    </row>
    <row r="78" spans="1:11">
      <c r="A78" s="78" t="s">
        <v>227</v>
      </c>
      <c r="B78" s="18">
        <v>2</v>
      </c>
      <c r="C78" s="78" t="s">
        <v>228</v>
      </c>
      <c r="D78" s="78" t="s">
        <v>229</v>
      </c>
      <c r="E78" s="81" t="s">
        <v>21</v>
      </c>
      <c r="F78" s="81" t="s">
        <v>7</v>
      </c>
      <c r="G78" s="81" t="s">
        <v>57</v>
      </c>
      <c r="H78" s="81" t="s">
        <v>231</v>
      </c>
      <c r="I78" s="81"/>
      <c r="J78" s="15" t="str">
        <f>IF(E78="Invalid_Segment","Invalid",IFERROR(INDEX(Severity_Matrix!$C$3:$M$10,MATCH('Error Log'!$F78,Severity_Matrix!$B$3:$B$10,0),MATCH('Error Log'!$G78,Severity_Matrix!$C$2:$M$2,0)),"No errors"))</f>
        <v>Critical</v>
      </c>
      <c r="K78" s="79"/>
    </row>
    <row r="79" spans="1:11">
      <c r="A79" s="78" t="s">
        <v>232</v>
      </c>
      <c r="B79" s="18">
        <v>3</v>
      </c>
      <c r="C79" s="78" t="s">
        <v>228</v>
      </c>
      <c r="D79" s="78" t="s">
        <v>229</v>
      </c>
      <c r="E79" s="81" t="s">
        <v>2</v>
      </c>
      <c r="F79" s="81" t="s">
        <v>26</v>
      </c>
      <c r="G79" s="81" t="s">
        <v>57</v>
      </c>
      <c r="H79" s="81" t="s">
        <v>233</v>
      </c>
      <c r="I79" s="81"/>
      <c r="J79" s="15" t="str">
        <f>IF(E79="Invalid_Segment","Invalid",IFERROR(INDEX(Severity_Matrix!$C$3:$M$10,MATCH('Error Log'!$F79,Severity_Matrix!$B$3:$B$10,0),MATCH('Error Log'!$G79,Severity_Matrix!$C$2:$M$2,0)),"No errors"))</f>
        <v>Major</v>
      </c>
      <c r="K79" s="79"/>
    </row>
    <row r="80" spans="1:11">
      <c r="A80" s="78" t="s">
        <v>234</v>
      </c>
      <c r="B80" s="18">
        <v>1</v>
      </c>
      <c r="C80" s="78" t="s">
        <v>235</v>
      </c>
      <c r="D80" s="78" t="s">
        <v>236</v>
      </c>
      <c r="E80" s="81" t="s">
        <v>21</v>
      </c>
      <c r="F80" s="81" t="s">
        <v>22</v>
      </c>
      <c r="G80" s="81" t="s">
        <v>57</v>
      </c>
      <c r="H80" s="81" t="s">
        <v>237</v>
      </c>
      <c r="I80" s="81"/>
      <c r="J80" s="15" t="str">
        <f>IF(E80="Invalid_Segment","Invalid",IFERROR(INDEX(Severity_Matrix!$C$3:$M$10,MATCH('Error Log'!$F80,Severity_Matrix!$B$3:$B$10,0),MATCH('Error Log'!$G80,Severity_Matrix!$C$2:$M$2,0)),"No errors"))</f>
        <v>Major</v>
      </c>
      <c r="K80" s="79"/>
    </row>
    <row r="81" spans="1:11">
      <c r="A81" s="78" t="s">
        <v>234</v>
      </c>
      <c r="B81" s="18">
        <v>2</v>
      </c>
      <c r="C81" s="78" t="s">
        <v>235</v>
      </c>
      <c r="D81" s="78" t="s">
        <v>236</v>
      </c>
      <c r="E81" s="81" t="s">
        <v>21</v>
      </c>
      <c r="F81" s="81" t="s">
        <v>7</v>
      </c>
      <c r="G81" s="81" t="s">
        <v>57</v>
      </c>
      <c r="H81" s="81" t="s">
        <v>238</v>
      </c>
      <c r="I81" s="81"/>
      <c r="J81" s="15" t="str">
        <f>IF(E81="Invalid_Segment","Invalid",IFERROR(INDEX(Severity_Matrix!$C$3:$M$10,MATCH('Error Log'!$F81,Severity_Matrix!$B$3:$B$10,0),MATCH('Error Log'!$G81,Severity_Matrix!$C$2:$M$2,0)),"No errors"))</f>
        <v>Critical</v>
      </c>
      <c r="K81" s="79"/>
    </row>
    <row r="82" spans="1:11">
      <c r="A82" s="78" t="s">
        <v>239</v>
      </c>
      <c r="B82" s="18">
        <v>1</v>
      </c>
      <c r="C82" s="78" t="s">
        <v>240</v>
      </c>
      <c r="D82" s="78" t="s">
        <v>241</v>
      </c>
      <c r="E82" s="81" t="s">
        <v>21</v>
      </c>
      <c r="F82" s="81" t="s">
        <v>7</v>
      </c>
      <c r="G82" s="81" t="s">
        <v>28</v>
      </c>
      <c r="H82" s="81" t="s">
        <v>242</v>
      </c>
      <c r="I82" s="81"/>
      <c r="J82" s="15" t="str">
        <f>IF(E82="Invalid_Segment","Invalid",IFERROR(INDEX(Severity_Matrix!$C$3:$M$10,MATCH('Error Log'!$F82,Severity_Matrix!$B$3:$B$10,0),MATCH('Error Log'!$G82,Severity_Matrix!$C$2:$M$2,0)),"No errors"))</f>
        <v>Major</v>
      </c>
      <c r="K82" s="79"/>
    </row>
    <row r="83" spans="1:11">
      <c r="A83" s="78" t="s">
        <v>239</v>
      </c>
      <c r="B83" s="18">
        <v>2</v>
      </c>
      <c r="C83" s="78" t="s">
        <v>240</v>
      </c>
      <c r="D83" s="78" t="s">
        <v>241</v>
      </c>
      <c r="E83" s="81" t="s">
        <v>21</v>
      </c>
      <c r="F83" s="81" t="s">
        <v>22</v>
      </c>
      <c r="G83" s="81" t="s">
        <v>57</v>
      </c>
      <c r="H83" s="81" t="s">
        <v>243</v>
      </c>
      <c r="I83" s="81"/>
      <c r="J83" s="15" t="str">
        <f>IF(E83="Invalid_Segment","Invalid",IFERROR(INDEX(Severity_Matrix!$C$3:$M$10,MATCH('Error Log'!$F83,Severity_Matrix!$B$3:$B$10,0),MATCH('Error Log'!$G83,Severity_Matrix!$C$2:$M$2,0)),"No errors"))</f>
        <v>Major</v>
      </c>
      <c r="K83" s="79"/>
    </row>
    <row r="84" spans="1:11">
      <c r="A84" s="78" t="s">
        <v>244</v>
      </c>
      <c r="B84" s="18">
        <v>3</v>
      </c>
      <c r="C84" s="78" t="s">
        <v>240</v>
      </c>
      <c r="D84" s="78" t="s">
        <v>241</v>
      </c>
      <c r="E84" s="81" t="s">
        <v>21</v>
      </c>
      <c r="F84" s="81" t="s">
        <v>7</v>
      </c>
      <c r="G84" s="81" t="s">
        <v>57</v>
      </c>
      <c r="H84" s="81" t="s">
        <v>245</v>
      </c>
      <c r="I84" s="81"/>
      <c r="J84" s="15" t="str">
        <f>IF(E84="Invalid_Segment","Invalid",IFERROR(INDEX(Severity_Matrix!$C$3:$M$10,MATCH('Error Log'!$F84,Severity_Matrix!$B$3:$B$10,0),MATCH('Error Log'!$G84,Severity_Matrix!$C$2:$M$2,0)),"No errors"))</f>
        <v>Critical</v>
      </c>
      <c r="K84" s="79"/>
    </row>
    <row r="85" spans="1:11">
      <c r="A85" s="78" t="s">
        <v>244</v>
      </c>
      <c r="B85" s="18">
        <v>4</v>
      </c>
      <c r="C85" s="78" t="s">
        <v>240</v>
      </c>
      <c r="D85" s="78" t="s">
        <v>241</v>
      </c>
      <c r="E85" s="81" t="s">
        <v>21</v>
      </c>
      <c r="F85" s="81" t="s">
        <v>7</v>
      </c>
      <c r="G85" s="81" t="s">
        <v>57</v>
      </c>
      <c r="H85" s="81" t="s">
        <v>246</v>
      </c>
      <c r="I85" s="81"/>
      <c r="J85" s="15" t="str">
        <f>IF(E85="Invalid_Segment","Invalid",IFERROR(INDEX(Severity_Matrix!$C$3:$M$10,MATCH('Error Log'!$F85,Severity_Matrix!$B$3:$B$10,0),MATCH('Error Log'!$G85,Severity_Matrix!$C$2:$M$2,0)),"No errors"))</f>
        <v>Critical</v>
      </c>
      <c r="K85" s="79"/>
    </row>
    <row r="86" spans="1:11">
      <c r="A86" s="78" t="s">
        <v>244</v>
      </c>
      <c r="B86" s="18">
        <v>5</v>
      </c>
      <c r="C86" s="78" t="s">
        <v>240</v>
      </c>
      <c r="D86" s="78" t="s">
        <v>241</v>
      </c>
      <c r="E86" s="81" t="s">
        <v>21</v>
      </c>
      <c r="F86" s="81" t="s">
        <v>7</v>
      </c>
      <c r="G86" s="81" t="s">
        <v>57</v>
      </c>
      <c r="H86" s="81" t="s">
        <v>247</v>
      </c>
      <c r="I86" s="81"/>
      <c r="J86" s="15" t="str">
        <f>IF(E86="Invalid_Segment","Invalid",IFERROR(INDEX(Severity_Matrix!$C$3:$M$10,MATCH('Error Log'!$F86,Severity_Matrix!$B$3:$B$10,0),MATCH('Error Log'!$G86,Severity_Matrix!$C$2:$M$2,0)),"No errors"))</f>
        <v>Critical</v>
      </c>
      <c r="K86" s="79"/>
    </row>
    <row r="87" spans="1:11">
      <c r="A87" s="78" t="s">
        <v>248</v>
      </c>
      <c r="B87" s="18">
        <v>1</v>
      </c>
      <c r="C87" s="78" t="s">
        <v>249</v>
      </c>
      <c r="D87" s="78" t="s">
        <v>250</v>
      </c>
      <c r="E87" s="81" t="s">
        <v>2</v>
      </c>
      <c r="F87" s="81" t="s">
        <v>26</v>
      </c>
      <c r="G87" s="81" t="s">
        <v>57</v>
      </c>
      <c r="H87" s="81" t="s">
        <v>251</v>
      </c>
      <c r="I87" s="81"/>
      <c r="J87" s="15" t="str">
        <f>IF(E87="Invalid_Segment","Invalid",IFERROR(INDEX(Severity_Matrix!$C$3:$M$10,MATCH('Error Log'!$F87,Severity_Matrix!$B$3:$B$10,0),MATCH('Error Log'!$G87,Severity_Matrix!$C$2:$M$2,0)),"No errors"))</f>
        <v>Major</v>
      </c>
      <c r="K87" s="79"/>
    </row>
    <row r="88" spans="1:11">
      <c r="A88" s="78" t="s">
        <v>248</v>
      </c>
      <c r="B88" s="18">
        <v>2</v>
      </c>
      <c r="C88" s="78" t="s">
        <v>249</v>
      </c>
      <c r="D88" s="78" t="s">
        <v>250</v>
      </c>
      <c r="E88" s="81" t="s">
        <v>21</v>
      </c>
      <c r="F88" s="81" t="s">
        <v>7</v>
      </c>
      <c r="G88" s="81" t="s">
        <v>57</v>
      </c>
      <c r="H88" s="81" t="s">
        <v>252</v>
      </c>
      <c r="I88" s="81"/>
      <c r="J88" s="15" t="str">
        <f>IF(E88="Invalid_Segment","Invalid",IFERROR(INDEX(Severity_Matrix!$C$3:$M$10,MATCH('Error Log'!$F88,Severity_Matrix!$B$3:$B$10,0),MATCH('Error Log'!$G88,Severity_Matrix!$C$2:$M$2,0)),"No errors"))</f>
        <v>Critical</v>
      </c>
      <c r="K88" s="79"/>
    </row>
    <row r="89" spans="1:11">
      <c r="A89" s="78" t="s">
        <v>253</v>
      </c>
      <c r="B89" s="18">
        <v>3</v>
      </c>
      <c r="C89" s="78" t="s">
        <v>249</v>
      </c>
      <c r="D89" s="78" t="s">
        <v>250</v>
      </c>
      <c r="E89" s="81" t="s">
        <v>21</v>
      </c>
      <c r="F89" s="81" t="s">
        <v>7</v>
      </c>
      <c r="G89" s="81" t="s">
        <v>57</v>
      </c>
      <c r="H89" s="81" t="s">
        <v>254</v>
      </c>
      <c r="I89" s="81"/>
      <c r="J89" s="15" t="str">
        <f>IF(E89="Invalid_Segment","Invalid",IFERROR(INDEX(Severity_Matrix!$C$3:$M$10,MATCH('Error Log'!$F89,Severity_Matrix!$B$3:$B$10,0),MATCH('Error Log'!$G89,Severity_Matrix!$C$2:$M$2,0)),"No errors"))</f>
        <v>Critical</v>
      </c>
      <c r="K89" s="79"/>
    </row>
    <row r="90" spans="1:11">
      <c r="A90" s="78" t="s">
        <v>253</v>
      </c>
      <c r="B90" s="18">
        <v>4</v>
      </c>
      <c r="C90" s="78" t="s">
        <v>249</v>
      </c>
      <c r="D90" s="78" t="s">
        <v>250</v>
      </c>
      <c r="E90" s="81" t="s">
        <v>21</v>
      </c>
      <c r="F90" s="81" t="s">
        <v>7</v>
      </c>
      <c r="G90" s="81" t="s">
        <v>57</v>
      </c>
      <c r="H90" s="81" t="s">
        <v>255</v>
      </c>
      <c r="I90" s="81"/>
      <c r="J90" s="15" t="str">
        <f>IF(E90="Invalid_Segment","Invalid",IFERROR(INDEX(Severity_Matrix!$C$3:$M$10,MATCH('Error Log'!$F90,Severity_Matrix!$B$3:$B$10,0),MATCH('Error Log'!$G90,Severity_Matrix!$C$2:$M$2,0)),"No errors"))</f>
        <v>Critical</v>
      </c>
      <c r="K90" s="79"/>
    </row>
    <row r="91" spans="1:11">
      <c r="A91" s="78" t="s">
        <v>256</v>
      </c>
      <c r="B91" s="18">
        <v>1</v>
      </c>
      <c r="C91" s="78" t="s">
        <v>257</v>
      </c>
      <c r="D91" s="78" t="s">
        <v>258</v>
      </c>
      <c r="E91" s="81" t="s">
        <v>21</v>
      </c>
      <c r="F91" s="81" t="s">
        <v>22</v>
      </c>
      <c r="G91" s="81" t="s">
        <v>57</v>
      </c>
      <c r="H91" s="81" t="s">
        <v>259</v>
      </c>
      <c r="I91" s="81"/>
      <c r="J91" s="15" t="str">
        <f>IF(E91="Invalid_Segment","Invalid",IFERROR(INDEX(Severity_Matrix!$C$3:$M$10,MATCH('Error Log'!$F91,Severity_Matrix!$B$3:$B$10,0),MATCH('Error Log'!$G91,Severity_Matrix!$C$2:$M$2,0)),"No errors"))</f>
        <v>Major</v>
      </c>
      <c r="K91" s="79"/>
    </row>
    <row r="92" spans="1:11">
      <c r="A92" s="78" t="s">
        <v>256</v>
      </c>
      <c r="B92" s="18">
        <v>2</v>
      </c>
      <c r="C92" s="78" t="s">
        <v>257</v>
      </c>
      <c r="D92" s="78" t="s">
        <v>258</v>
      </c>
      <c r="E92" s="81" t="s">
        <v>21</v>
      </c>
      <c r="F92" s="81" t="s">
        <v>7</v>
      </c>
      <c r="G92" s="81" t="s">
        <v>57</v>
      </c>
      <c r="H92" s="81" t="s">
        <v>260</v>
      </c>
      <c r="I92" s="81"/>
      <c r="J92" s="15" t="str">
        <f>IF(E92="Invalid_Segment","Invalid",IFERROR(INDEX(Severity_Matrix!$C$3:$M$10,MATCH('Error Log'!$F92,Severity_Matrix!$B$3:$B$10,0),MATCH('Error Log'!$G92,Severity_Matrix!$C$2:$M$2,0)),"No errors"))</f>
        <v>Critical</v>
      </c>
      <c r="K92" s="79"/>
    </row>
    <row r="93" spans="1:11">
      <c r="A93" s="78" t="s">
        <v>261</v>
      </c>
      <c r="B93" s="18">
        <v>3</v>
      </c>
      <c r="C93" s="78" t="s">
        <v>257</v>
      </c>
      <c r="D93" s="78" t="s">
        <v>258</v>
      </c>
      <c r="E93" s="81" t="s">
        <v>21</v>
      </c>
      <c r="F93" s="81" t="s">
        <v>7</v>
      </c>
      <c r="G93" s="81" t="s">
        <v>57</v>
      </c>
      <c r="H93" s="81" t="s">
        <v>262</v>
      </c>
      <c r="I93" s="81"/>
      <c r="J93" s="15" t="str">
        <f>IF(E93="Invalid_Segment","Invalid",IFERROR(INDEX(Severity_Matrix!$C$3:$M$10,MATCH('Error Log'!$F93,Severity_Matrix!$B$3:$B$10,0),MATCH('Error Log'!$G93,Severity_Matrix!$C$2:$M$2,0)),"No errors"))</f>
        <v>Critical</v>
      </c>
      <c r="K93" s="79"/>
    </row>
    <row r="94" spans="1:11">
      <c r="A94" s="78" t="s">
        <v>261</v>
      </c>
      <c r="B94" s="18">
        <v>4</v>
      </c>
      <c r="C94" s="78" t="s">
        <v>257</v>
      </c>
      <c r="D94" s="78" t="s">
        <v>258</v>
      </c>
      <c r="E94" s="81" t="s">
        <v>21</v>
      </c>
      <c r="F94" s="81" t="s">
        <v>7</v>
      </c>
      <c r="G94" s="81" t="s">
        <v>57</v>
      </c>
      <c r="H94" s="81" t="s">
        <v>263</v>
      </c>
      <c r="I94" s="81"/>
      <c r="J94" s="15" t="str">
        <f>IF(E94="Invalid_Segment","Invalid",IFERROR(INDEX(Severity_Matrix!$C$3:$M$10,MATCH('Error Log'!$F94,Severity_Matrix!$B$3:$B$10,0),MATCH('Error Log'!$G94,Severity_Matrix!$C$2:$M$2,0)),"No errors"))</f>
        <v>Critical</v>
      </c>
      <c r="K94" s="79"/>
    </row>
    <row r="95" spans="1:11">
      <c r="A95" s="78" t="s">
        <v>264</v>
      </c>
      <c r="B95" s="18">
        <v>1</v>
      </c>
      <c r="C95" s="78" t="s">
        <v>265</v>
      </c>
      <c r="D95" s="78" t="s">
        <v>266</v>
      </c>
      <c r="E95" s="81" t="s">
        <v>2</v>
      </c>
      <c r="F95" s="81" t="s">
        <v>26</v>
      </c>
      <c r="G95" s="81" t="s">
        <v>57</v>
      </c>
      <c r="H95" s="81" t="s">
        <v>267</v>
      </c>
      <c r="I95" s="81"/>
      <c r="J95" s="15" t="str">
        <f>IF(E95="Invalid_Segment","Invalid",IFERROR(INDEX(Severity_Matrix!$C$3:$M$10,MATCH('Error Log'!$F95,Severity_Matrix!$B$3:$B$10,0),MATCH('Error Log'!$G95,Severity_Matrix!$C$2:$M$2,0)),"No errors"))</f>
        <v>Major</v>
      </c>
      <c r="K95" s="79"/>
    </row>
    <row r="96" spans="1:11">
      <c r="A96" s="78" t="s">
        <v>264</v>
      </c>
      <c r="B96" s="18">
        <v>2</v>
      </c>
      <c r="C96" s="78" t="s">
        <v>265</v>
      </c>
      <c r="D96" s="78" t="s">
        <v>266</v>
      </c>
      <c r="E96" s="81" t="s">
        <v>21</v>
      </c>
      <c r="F96" s="81" t="s">
        <v>7</v>
      </c>
      <c r="G96" s="81" t="s">
        <v>57</v>
      </c>
      <c r="H96" s="81" t="s">
        <v>268</v>
      </c>
      <c r="I96" s="81"/>
      <c r="J96" s="15" t="str">
        <f>IF(E96="Invalid_Segment","Invalid",IFERROR(INDEX(Severity_Matrix!$C$3:$M$10,MATCH('Error Log'!$F96,Severity_Matrix!$B$3:$B$10,0),MATCH('Error Log'!$G96,Severity_Matrix!$C$2:$M$2,0)),"No errors"))</f>
        <v>Critical</v>
      </c>
      <c r="K96" s="79"/>
    </row>
    <row r="97" spans="1:11">
      <c r="A97" s="78" t="s">
        <v>269</v>
      </c>
      <c r="B97" s="18">
        <v>3</v>
      </c>
      <c r="C97" s="78" t="s">
        <v>265</v>
      </c>
      <c r="D97" s="78" t="s">
        <v>266</v>
      </c>
      <c r="E97" s="81" t="s">
        <v>21</v>
      </c>
      <c r="F97" s="81" t="s">
        <v>7</v>
      </c>
      <c r="G97" s="81" t="s">
        <v>57</v>
      </c>
      <c r="H97" s="81" t="s">
        <v>270</v>
      </c>
      <c r="I97" s="81"/>
      <c r="J97" s="15" t="str">
        <f>IF(E97="Invalid_Segment","Invalid",IFERROR(INDEX(Severity_Matrix!$C$3:$M$10,MATCH('Error Log'!$F97,Severity_Matrix!$B$3:$B$10,0),MATCH('Error Log'!$G97,Severity_Matrix!$C$2:$M$2,0)),"No errors"))</f>
        <v>Critical</v>
      </c>
      <c r="K97" s="79"/>
    </row>
    <row r="98" spans="1:11">
      <c r="A98" s="78" t="s">
        <v>269</v>
      </c>
      <c r="B98" s="18">
        <v>4</v>
      </c>
      <c r="C98" s="78" t="s">
        <v>265</v>
      </c>
      <c r="D98" s="78" t="s">
        <v>266</v>
      </c>
      <c r="E98" s="81" t="s">
        <v>21</v>
      </c>
      <c r="F98" s="81" t="s">
        <v>7</v>
      </c>
      <c r="G98" s="81" t="s">
        <v>57</v>
      </c>
      <c r="H98" s="81" t="s">
        <v>271</v>
      </c>
      <c r="I98" s="81"/>
      <c r="J98" s="15" t="str">
        <f>IF(E98="Invalid_Segment","Invalid",IFERROR(INDEX(Severity_Matrix!$C$3:$M$10,MATCH('Error Log'!$F98,Severity_Matrix!$B$3:$B$10,0),MATCH('Error Log'!$G98,Severity_Matrix!$C$2:$M$2,0)),"No errors"))</f>
        <v>Critical</v>
      </c>
      <c r="K98" s="79"/>
    </row>
    <row r="99" spans="1:11">
      <c r="A99" s="78" t="s">
        <v>272</v>
      </c>
      <c r="B99" s="18">
        <v>1</v>
      </c>
      <c r="C99" s="78" t="s">
        <v>273</v>
      </c>
      <c r="D99" s="78" t="s">
        <v>274</v>
      </c>
      <c r="E99" s="81" t="s">
        <v>2</v>
      </c>
      <c r="F99" s="81" t="s">
        <v>26</v>
      </c>
      <c r="G99" s="81" t="s">
        <v>57</v>
      </c>
      <c r="H99" s="81" t="s">
        <v>275</v>
      </c>
      <c r="I99" s="81"/>
      <c r="J99" s="15" t="str">
        <f>IF(E99="Invalid_Segment","Invalid",IFERROR(INDEX(Severity_Matrix!$C$3:$M$10,MATCH('Error Log'!$F99,Severity_Matrix!$B$3:$B$10,0),MATCH('Error Log'!$G99,Severity_Matrix!$C$2:$M$2,0)),"No errors"))</f>
        <v>Major</v>
      </c>
      <c r="K99" s="79"/>
    </row>
    <row r="100" spans="1:11">
      <c r="A100" s="78" t="s">
        <v>272</v>
      </c>
      <c r="B100" s="18">
        <v>2</v>
      </c>
      <c r="C100" s="78" t="s">
        <v>273</v>
      </c>
      <c r="D100" s="78" t="s">
        <v>274</v>
      </c>
      <c r="E100" s="81" t="s">
        <v>21</v>
      </c>
      <c r="F100" s="81" t="s">
        <v>22</v>
      </c>
      <c r="G100" s="81" t="s">
        <v>57</v>
      </c>
      <c r="H100" s="81" t="s">
        <v>276</v>
      </c>
      <c r="I100" s="81"/>
      <c r="J100" s="15" t="str">
        <f>IF(E100="Invalid_Segment","Invalid",IFERROR(INDEX(Severity_Matrix!$C$3:$M$10,MATCH('Error Log'!$F100,Severity_Matrix!$B$3:$B$10,0),MATCH('Error Log'!$G100,Severity_Matrix!$C$2:$M$2,0)),"No errors"))</f>
        <v>Major</v>
      </c>
      <c r="K100" s="79"/>
    </row>
    <row r="101" spans="1:11">
      <c r="A101" s="78" t="s">
        <v>277</v>
      </c>
      <c r="B101" s="18">
        <v>3</v>
      </c>
      <c r="C101" s="78" t="s">
        <v>273</v>
      </c>
      <c r="D101" s="78" t="s">
        <v>274</v>
      </c>
      <c r="E101" s="81" t="s">
        <v>21</v>
      </c>
      <c r="F101" s="81" t="s">
        <v>7</v>
      </c>
      <c r="G101" s="81" t="s">
        <v>57</v>
      </c>
      <c r="H101" s="81" t="s">
        <v>278</v>
      </c>
      <c r="I101" s="81"/>
      <c r="J101" s="15" t="str">
        <f>IF(E101="Invalid_Segment","Invalid",IFERROR(INDEX(Severity_Matrix!$C$3:$M$10,MATCH('Error Log'!$F101,Severity_Matrix!$B$3:$B$10,0),MATCH('Error Log'!$G101,Severity_Matrix!$C$2:$M$2,0)),"No errors"))</f>
        <v>Critical</v>
      </c>
      <c r="K101" s="79"/>
    </row>
    <row r="102" spans="1:11">
      <c r="A102" s="78" t="s">
        <v>277</v>
      </c>
      <c r="B102" s="18">
        <v>4</v>
      </c>
      <c r="C102" s="78" t="s">
        <v>273</v>
      </c>
      <c r="D102" s="78" t="s">
        <v>274</v>
      </c>
      <c r="E102" s="81" t="s">
        <v>21</v>
      </c>
      <c r="F102" s="81" t="s">
        <v>7</v>
      </c>
      <c r="G102" s="81" t="s">
        <v>57</v>
      </c>
      <c r="H102" s="81" t="s">
        <v>279</v>
      </c>
      <c r="I102" s="81"/>
      <c r="J102" s="15" t="str">
        <f>IF(E102="Invalid_Segment","Invalid",IFERROR(INDEX(Severity_Matrix!$C$3:$M$10,MATCH('Error Log'!$F102,Severity_Matrix!$B$3:$B$10,0),MATCH('Error Log'!$G102,Severity_Matrix!$C$2:$M$2,0)),"No errors"))</f>
        <v>Critical</v>
      </c>
      <c r="K102" s="79"/>
    </row>
    <row r="103" spans="1:11">
      <c r="A103" s="79" t="s">
        <v>280</v>
      </c>
      <c r="B103" s="18">
        <v>1</v>
      </c>
      <c r="C103" s="80" t="s">
        <v>281</v>
      </c>
      <c r="D103" s="80" t="s">
        <v>282</v>
      </c>
      <c r="E103" s="81" t="s">
        <v>2</v>
      </c>
      <c r="F103" s="81" t="s">
        <v>26</v>
      </c>
      <c r="G103" s="81" t="s">
        <v>57</v>
      </c>
      <c r="H103" s="81" t="s">
        <v>283</v>
      </c>
      <c r="I103" s="81"/>
      <c r="J103" s="15" t="str">
        <f>IF(E103="Invalid_Segment","Invalid",IFERROR(INDEX(Severity_Matrix!$C$3:$M$10,MATCH('Error Log'!$F103,Severity_Matrix!$B$3:$B$10,0),MATCH('Error Log'!$G103,Severity_Matrix!$C$2:$M$2,0)),"No errors"))</f>
        <v>Major</v>
      </c>
      <c r="K103" s="79"/>
    </row>
    <row r="104" spans="1:11">
      <c r="A104" s="79" t="s">
        <v>280</v>
      </c>
      <c r="B104" s="18">
        <v>2</v>
      </c>
      <c r="C104" s="80" t="s">
        <v>281</v>
      </c>
      <c r="D104" s="80" t="s">
        <v>282</v>
      </c>
      <c r="E104" s="81" t="s">
        <v>21</v>
      </c>
      <c r="F104" s="81" t="s">
        <v>7</v>
      </c>
      <c r="G104" s="81" t="s">
        <v>57</v>
      </c>
      <c r="H104" s="81" t="s">
        <v>284</v>
      </c>
      <c r="I104" s="81"/>
      <c r="J104" s="15" t="str">
        <f>IF(E104="Invalid_Segment","Invalid",IFERROR(INDEX(Severity_Matrix!$C$3:$M$10,MATCH('Error Log'!$F104,Severity_Matrix!$B$3:$B$10,0),MATCH('Error Log'!$G104,Severity_Matrix!$C$2:$M$2,0)),"No errors"))</f>
        <v>Critical</v>
      </c>
      <c r="K104" s="79"/>
    </row>
    <row r="105" spans="1:11">
      <c r="A105" s="79" t="s">
        <v>285</v>
      </c>
      <c r="B105" s="18">
        <v>3</v>
      </c>
      <c r="C105" s="80" t="s">
        <v>281</v>
      </c>
      <c r="D105" s="80" t="s">
        <v>282</v>
      </c>
      <c r="E105" s="81" t="s">
        <v>21</v>
      </c>
      <c r="F105" s="81" t="s">
        <v>7</v>
      </c>
      <c r="G105" s="81" t="s">
        <v>57</v>
      </c>
      <c r="H105" s="81" t="s">
        <v>286</v>
      </c>
      <c r="I105" s="81"/>
      <c r="J105" s="15" t="str">
        <f>IF(E105="Invalid_Segment","Invalid",IFERROR(INDEX(Severity_Matrix!$C$3:$M$10,MATCH('Error Log'!$F105,Severity_Matrix!$B$3:$B$10,0),MATCH('Error Log'!$G105,Severity_Matrix!$C$2:$M$2,0)),"No errors"))</f>
        <v>Critical</v>
      </c>
      <c r="K105" s="79"/>
    </row>
    <row r="106" spans="1:11">
      <c r="A106" s="79" t="s">
        <v>287</v>
      </c>
      <c r="B106" s="18">
        <v>1</v>
      </c>
      <c r="C106" s="80" t="s">
        <v>288</v>
      </c>
      <c r="D106" s="80" t="s">
        <v>289</v>
      </c>
      <c r="E106" s="83" t="s">
        <v>21</v>
      </c>
      <c r="F106" s="83" t="s">
        <v>7</v>
      </c>
      <c r="G106" s="83" t="s">
        <v>56</v>
      </c>
      <c r="H106" s="83" t="s">
        <v>290</v>
      </c>
      <c r="I106" s="81"/>
      <c r="J106" s="15" t="str">
        <f>IF(E106="Invalid_Segment","Invalid",IFERROR(INDEX(Severity_Matrix!$C$3:$M$10,MATCH('Error Log'!$F106,Severity_Matrix!$B$3:$B$10,0),MATCH('Error Log'!$G106,Severity_Matrix!$C$2:$M$2,0)),"No errors"))</f>
        <v>Critical</v>
      </c>
      <c r="K106" s="79"/>
    </row>
    <row r="107" spans="1:11">
      <c r="A107" s="79" t="s">
        <v>287</v>
      </c>
      <c r="B107" s="18">
        <v>2</v>
      </c>
      <c r="C107" s="80" t="s">
        <v>288</v>
      </c>
      <c r="D107" s="80" t="s">
        <v>289</v>
      </c>
      <c r="E107" s="83" t="s">
        <v>21</v>
      </c>
      <c r="F107" s="83" t="s">
        <v>7</v>
      </c>
      <c r="G107" s="83" t="s">
        <v>56</v>
      </c>
      <c r="H107" s="83" t="s">
        <v>291</v>
      </c>
      <c r="I107" s="81"/>
      <c r="J107" s="15" t="str">
        <f>IF(E107="Invalid_Segment","Invalid",IFERROR(INDEX(Severity_Matrix!$C$3:$M$10,MATCH('Error Log'!$F107,Severity_Matrix!$B$3:$B$10,0),MATCH('Error Log'!$G107,Severity_Matrix!$C$2:$M$2,0)),"No errors"))</f>
        <v>Critical</v>
      </c>
      <c r="K107" s="79"/>
    </row>
    <row r="108" spans="1:11">
      <c r="A108" s="79" t="s">
        <v>292</v>
      </c>
      <c r="B108" s="18">
        <v>3</v>
      </c>
      <c r="C108" s="80" t="s">
        <v>288</v>
      </c>
      <c r="D108" s="80" t="s">
        <v>289</v>
      </c>
      <c r="E108" s="83" t="s">
        <v>21</v>
      </c>
      <c r="F108" s="83" t="s">
        <v>7</v>
      </c>
      <c r="G108" s="83" t="s">
        <v>58</v>
      </c>
      <c r="H108" s="83" t="s">
        <v>204</v>
      </c>
      <c r="I108" s="81"/>
      <c r="J108" s="15" t="str">
        <f>IF(E108="Invalid_Segment","Invalid",IFERROR(INDEX(Severity_Matrix!$C$3:$M$10,MATCH('Error Log'!$F108,Severity_Matrix!$B$3:$B$10,0),MATCH('Error Log'!$G108,Severity_Matrix!$C$2:$M$2,0)),"No errors"))</f>
        <v>Minor</v>
      </c>
      <c r="K108" s="79"/>
    </row>
    <row r="109" spans="1:11">
      <c r="A109" s="79" t="s">
        <v>292</v>
      </c>
      <c r="B109" s="18">
        <v>4</v>
      </c>
      <c r="C109" s="80" t="s">
        <v>288</v>
      </c>
      <c r="D109" s="80" t="s">
        <v>289</v>
      </c>
      <c r="E109" s="83" t="s">
        <v>21</v>
      </c>
      <c r="F109" s="83" t="s">
        <v>7</v>
      </c>
      <c r="G109" s="83" t="s">
        <v>28</v>
      </c>
      <c r="H109" s="83" t="s">
        <v>293</v>
      </c>
      <c r="I109" s="81"/>
      <c r="J109" s="15" t="str">
        <f>IF(E109="Invalid_Segment","Invalid",IFERROR(INDEX(Severity_Matrix!$C$3:$M$10,MATCH('Error Log'!$F109,Severity_Matrix!$B$3:$B$10,0),MATCH('Error Log'!$G109,Severity_Matrix!$C$2:$M$2,0)),"No errors"))</f>
        <v>Major</v>
      </c>
      <c r="K109" s="79"/>
    </row>
    <row r="110" spans="1:11">
      <c r="A110" s="79" t="s">
        <v>292</v>
      </c>
      <c r="B110" s="18">
        <v>5</v>
      </c>
      <c r="C110" s="80" t="s">
        <v>288</v>
      </c>
      <c r="D110" s="80" t="s">
        <v>289</v>
      </c>
      <c r="E110" s="83" t="s">
        <v>21</v>
      </c>
      <c r="F110" s="83" t="s">
        <v>7</v>
      </c>
      <c r="G110" s="83" t="s">
        <v>58</v>
      </c>
      <c r="H110" s="83" t="s">
        <v>294</v>
      </c>
      <c r="I110" s="81"/>
      <c r="J110" s="15" t="str">
        <f>IF(E110="Invalid_Segment","Invalid",IFERROR(INDEX(Severity_Matrix!$C$3:$M$10,MATCH('Error Log'!$F110,Severity_Matrix!$B$3:$B$10,0),MATCH('Error Log'!$G110,Severity_Matrix!$C$2:$M$2,0)),"No errors"))</f>
        <v>Minor</v>
      </c>
      <c r="K110" s="79"/>
    </row>
    <row r="111" spans="1:11">
      <c r="A111" s="79" t="s">
        <v>292</v>
      </c>
      <c r="B111" s="18">
        <v>6</v>
      </c>
      <c r="C111" s="80" t="s">
        <v>288</v>
      </c>
      <c r="D111" s="80" t="s">
        <v>289</v>
      </c>
      <c r="E111" s="83" t="s">
        <v>21</v>
      </c>
      <c r="F111" s="83" t="s">
        <v>7</v>
      </c>
      <c r="G111" s="83" t="s">
        <v>28</v>
      </c>
      <c r="H111" s="83" t="s">
        <v>295</v>
      </c>
      <c r="I111" s="81"/>
      <c r="J111" s="15" t="str">
        <f>IF(E111="Invalid_Segment","Invalid",IFERROR(INDEX(Severity_Matrix!$C$3:$M$10,MATCH('Error Log'!$F111,Severity_Matrix!$B$3:$B$10,0),MATCH('Error Log'!$G111,Severity_Matrix!$C$2:$M$2,0)),"No errors"))</f>
        <v>Major</v>
      </c>
      <c r="K111" s="79"/>
    </row>
    <row r="112" spans="1:11">
      <c r="A112" s="79" t="s">
        <v>292</v>
      </c>
      <c r="B112" s="18">
        <v>7</v>
      </c>
      <c r="C112" s="80" t="s">
        <v>288</v>
      </c>
      <c r="D112" s="80" t="s">
        <v>289</v>
      </c>
      <c r="E112" s="83" t="s">
        <v>21</v>
      </c>
      <c r="F112" s="83" t="s">
        <v>7</v>
      </c>
      <c r="G112" s="83" t="s">
        <v>29</v>
      </c>
      <c r="H112" s="84" t="s">
        <v>296</v>
      </c>
      <c r="I112" s="81"/>
      <c r="J112" s="15" t="str">
        <f>IF(E112="Invalid_Segment","Invalid",IFERROR(INDEX(Severity_Matrix!$C$3:$M$10,MATCH('Error Log'!$F112,Severity_Matrix!$B$3:$B$10,0),MATCH('Error Log'!$G112,Severity_Matrix!$C$2:$M$2,0)),"No errors"))</f>
        <v>Critical</v>
      </c>
      <c r="K112" s="79"/>
    </row>
    <row r="113" spans="1:11">
      <c r="A113" s="79" t="s">
        <v>292</v>
      </c>
      <c r="B113" s="18">
        <v>8</v>
      </c>
      <c r="C113" s="80" t="s">
        <v>288</v>
      </c>
      <c r="D113" s="80" t="s">
        <v>289</v>
      </c>
      <c r="E113" s="83" t="s">
        <v>21</v>
      </c>
      <c r="F113" s="83" t="s">
        <v>7</v>
      </c>
      <c r="G113" s="83" t="s">
        <v>55</v>
      </c>
      <c r="H113" s="83" t="s">
        <v>297</v>
      </c>
      <c r="I113" s="81"/>
      <c r="J113" s="15" t="str">
        <f>IF(E113="Invalid_Segment","Invalid",IFERROR(INDEX(Severity_Matrix!$C$3:$M$10,MATCH('Error Log'!$F113,Severity_Matrix!$B$3:$B$10,0),MATCH('Error Log'!$G113,Severity_Matrix!$C$2:$M$2,0)),"No errors"))</f>
        <v>Critical</v>
      </c>
      <c r="K113" s="79"/>
    </row>
    <row r="114" spans="1:11">
      <c r="A114" s="79" t="s">
        <v>298</v>
      </c>
      <c r="B114" s="18">
        <v>1</v>
      </c>
      <c r="C114" s="80" t="s">
        <v>299</v>
      </c>
      <c r="D114" s="80" t="s">
        <v>300</v>
      </c>
      <c r="E114" s="81" t="s">
        <v>21</v>
      </c>
      <c r="F114" s="81" t="s">
        <v>22</v>
      </c>
      <c r="G114" s="81" t="s">
        <v>57</v>
      </c>
      <c r="H114" s="81" t="s">
        <v>301</v>
      </c>
      <c r="I114" s="81"/>
      <c r="J114" s="15" t="str">
        <f>IF(E114="Invalid_Segment","Invalid",IFERROR(INDEX(Severity_Matrix!$C$3:$M$10,MATCH('Error Log'!$F114,Severity_Matrix!$B$3:$B$10,0),MATCH('Error Log'!$G114,Severity_Matrix!$C$2:$M$2,0)),"No errors"))</f>
        <v>Major</v>
      </c>
      <c r="K114" s="79"/>
    </row>
    <row r="115" spans="1:11">
      <c r="A115" s="79" t="s">
        <v>298</v>
      </c>
      <c r="B115" s="18">
        <v>2</v>
      </c>
      <c r="C115" s="80" t="s">
        <v>299</v>
      </c>
      <c r="D115" s="80" t="s">
        <v>300</v>
      </c>
      <c r="E115" s="81" t="s">
        <v>2</v>
      </c>
      <c r="F115" s="81" t="s">
        <v>26</v>
      </c>
      <c r="G115" s="81" t="s">
        <v>57</v>
      </c>
      <c r="H115" s="81" t="s">
        <v>302</v>
      </c>
      <c r="I115" s="81"/>
      <c r="J115" s="15" t="str">
        <f>IF(E115="Invalid_Segment","Invalid",IFERROR(INDEX(Severity_Matrix!$C$3:$M$10,MATCH('Error Log'!$F115,Severity_Matrix!$B$3:$B$10,0),MATCH('Error Log'!$G115,Severity_Matrix!$C$2:$M$2,0)),"No errors"))</f>
        <v>Major</v>
      </c>
      <c r="K115" s="79"/>
    </row>
    <row r="116" spans="1:11">
      <c r="A116" s="79" t="s">
        <v>303</v>
      </c>
      <c r="B116" s="18">
        <v>3</v>
      </c>
      <c r="C116" s="80" t="s">
        <v>299</v>
      </c>
      <c r="D116" s="80" t="s">
        <v>300</v>
      </c>
      <c r="E116" s="81" t="s">
        <v>21</v>
      </c>
      <c r="F116" s="81" t="s">
        <v>7</v>
      </c>
      <c r="G116" s="81" t="s">
        <v>57</v>
      </c>
      <c r="H116" s="81" t="s">
        <v>304</v>
      </c>
      <c r="I116" s="81"/>
      <c r="J116" s="15" t="str">
        <f>IF(E116="Invalid_Segment","Invalid",IFERROR(INDEX(Severity_Matrix!$C$3:$M$10,MATCH('Error Log'!$F116,Severity_Matrix!$B$3:$B$10,0),MATCH('Error Log'!$G116,Severity_Matrix!$C$2:$M$2,0)),"No errors"))</f>
        <v>Critical</v>
      </c>
      <c r="K116" s="79"/>
    </row>
    <row r="117" spans="1:11">
      <c r="A117" s="79" t="s">
        <v>303</v>
      </c>
      <c r="B117" s="18">
        <v>4</v>
      </c>
      <c r="C117" s="80" t="s">
        <v>299</v>
      </c>
      <c r="D117" s="80" t="s">
        <v>300</v>
      </c>
      <c r="E117" s="81" t="s">
        <v>21</v>
      </c>
      <c r="F117" s="81" t="s">
        <v>7</v>
      </c>
      <c r="G117" s="81" t="s">
        <v>57</v>
      </c>
      <c r="H117" s="81" t="s">
        <v>305</v>
      </c>
      <c r="I117" s="81"/>
      <c r="J117" s="15" t="str">
        <f>IF(E117="Invalid_Segment","Invalid",IFERROR(INDEX(Severity_Matrix!$C$3:$M$10,MATCH('Error Log'!$F117,Severity_Matrix!$B$3:$B$10,0),MATCH('Error Log'!$G117,Severity_Matrix!$C$2:$M$2,0)),"No errors"))</f>
        <v>Critical</v>
      </c>
      <c r="K117" s="79"/>
    </row>
    <row r="118" spans="1:11">
      <c r="A118" s="79" t="s">
        <v>303</v>
      </c>
      <c r="B118" s="18">
        <v>5</v>
      </c>
      <c r="C118" s="80" t="s">
        <v>299</v>
      </c>
      <c r="D118" s="80" t="s">
        <v>300</v>
      </c>
      <c r="E118" s="81" t="s">
        <v>21</v>
      </c>
      <c r="F118" s="81" t="s">
        <v>7</v>
      </c>
      <c r="G118" s="81" t="s">
        <v>57</v>
      </c>
      <c r="H118" s="81" t="s">
        <v>306</v>
      </c>
      <c r="I118" s="81"/>
      <c r="J118" s="15" t="str">
        <f>IF(E118="Invalid_Segment","Invalid",IFERROR(INDEX(Severity_Matrix!$C$3:$M$10,MATCH('Error Log'!$F118,Severity_Matrix!$B$3:$B$10,0),MATCH('Error Log'!$G118,Severity_Matrix!$C$2:$M$2,0)),"No errors"))</f>
        <v>Critical</v>
      </c>
      <c r="K118" s="79"/>
    </row>
    <row r="119" spans="1:11">
      <c r="A119" s="79" t="s">
        <v>303</v>
      </c>
      <c r="B119" s="18">
        <v>6</v>
      </c>
      <c r="C119" s="80" t="s">
        <v>299</v>
      </c>
      <c r="D119" s="80" t="s">
        <v>300</v>
      </c>
      <c r="E119" s="81" t="s">
        <v>21</v>
      </c>
      <c r="F119" s="81" t="s">
        <v>7</v>
      </c>
      <c r="G119" s="81" t="s">
        <v>57</v>
      </c>
      <c r="H119" s="81" t="s">
        <v>307</v>
      </c>
      <c r="I119" s="81"/>
      <c r="J119" s="15" t="str">
        <f>IF(E119="Invalid_Segment","Invalid",IFERROR(INDEX(Severity_Matrix!$C$3:$M$10,MATCH('Error Log'!$F119,Severity_Matrix!$B$3:$B$10,0),MATCH('Error Log'!$G119,Severity_Matrix!$C$2:$M$2,0)),"No errors"))</f>
        <v>Critical</v>
      </c>
      <c r="K119" s="79"/>
    </row>
    <row r="120" spans="1:11">
      <c r="A120" s="79" t="s">
        <v>303</v>
      </c>
      <c r="B120" s="18">
        <v>7</v>
      </c>
      <c r="C120" s="80" t="s">
        <v>299</v>
      </c>
      <c r="D120" s="80" t="s">
        <v>300</v>
      </c>
      <c r="E120" s="81" t="s">
        <v>21</v>
      </c>
      <c r="F120" s="81" t="s">
        <v>7</v>
      </c>
      <c r="G120" s="81" t="s">
        <v>57</v>
      </c>
      <c r="H120" s="81" t="s">
        <v>308</v>
      </c>
      <c r="I120" s="81"/>
      <c r="J120" s="15" t="str">
        <f>IF(E120="Invalid_Segment","Invalid",IFERROR(INDEX(Severity_Matrix!$C$3:$M$10,MATCH('Error Log'!$F120,Severity_Matrix!$B$3:$B$10,0),MATCH('Error Log'!$G120,Severity_Matrix!$C$2:$M$2,0)),"No errors"))</f>
        <v>Critical</v>
      </c>
      <c r="K120" s="79"/>
    </row>
    <row r="121" spans="1:11">
      <c r="A121" s="79" t="s">
        <v>309</v>
      </c>
      <c r="B121" s="18">
        <v>1</v>
      </c>
      <c r="C121" s="80" t="s">
        <v>310</v>
      </c>
      <c r="D121" s="80" t="s">
        <v>311</v>
      </c>
      <c r="E121" s="81" t="s">
        <v>21</v>
      </c>
      <c r="F121" s="81" t="s">
        <v>22</v>
      </c>
      <c r="G121" s="81" t="s">
        <v>57</v>
      </c>
      <c r="H121" s="81" t="s">
        <v>312</v>
      </c>
      <c r="I121" s="81"/>
      <c r="J121" s="15" t="str">
        <f>IF(E121="Invalid_Segment","Invalid",IFERROR(INDEX(Severity_Matrix!$C$3:$M$10,MATCH('Error Log'!$F121,Severity_Matrix!$B$3:$B$10,0),MATCH('Error Log'!$G121,Severity_Matrix!$C$2:$M$2,0)),"No errors"))</f>
        <v>Major</v>
      </c>
    </row>
    <row r="122" spans="1:11">
      <c r="A122" s="79" t="s">
        <v>309</v>
      </c>
      <c r="B122" s="18">
        <v>2</v>
      </c>
      <c r="C122" s="80" t="s">
        <v>310</v>
      </c>
      <c r="D122" s="80" t="s">
        <v>311</v>
      </c>
      <c r="E122" s="81" t="s">
        <v>2</v>
      </c>
      <c r="F122" s="81" t="s">
        <v>26</v>
      </c>
      <c r="G122" s="81" t="s">
        <v>57</v>
      </c>
      <c r="H122" s="81" t="s">
        <v>312</v>
      </c>
      <c r="I122" s="81"/>
      <c r="J122" s="15" t="str">
        <f>IF(E122="Invalid_Segment","Invalid",IFERROR(INDEX(Severity_Matrix!$C$3:$M$10,MATCH('Error Log'!$F122,Severity_Matrix!$B$3:$B$10,0),MATCH('Error Log'!$G122,Severity_Matrix!$C$2:$M$2,0)),"No errors"))</f>
        <v>Major</v>
      </c>
    </row>
    <row r="123" spans="1:11">
      <c r="A123" s="79" t="s">
        <v>313</v>
      </c>
      <c r="B123" s="18">
        <v>3</v>
      </c>
      <c r="C123" s="80" t="s">
        <v>310</v>
      </c>
      <c r="D123" s="80" t="s">
        <v>311</v>
      </c>
      <c r="E123" s="81" t="s">
        <v>2</v>
      </c>
      <c r="F123" s="81" t="s">
        <v>26</v>
      </c>
      <c r="G123" s="81" t="s">
        <v>57</v>
      </c>
      <c r="H123" s="81" t="s">
        <v>312</v>
      </c>
      <c r="I123" s="81"/>
      <c r="J123" s="15" t="str">
        <f>IF(E123="Invalid_Segment","Invalid",IFERROR(INDEX(Severity_Matrix!$C$3:$M$10,MATCH('Error Log'!$F123,Severity_Matrix!$B$3:$B$10,0),MATCH('Error Log'!$G123,Severity_Matrix!$C$2:$M$2,0)),"No errors"))</f>
        <v>Major</v>
      </c>
    </row>
    <row r="124" spans="1:11">
      <c r="A124" s="79" t="s">
        <v>313</v>
      </c>
      <c r="B124" s="18">
        <v>4</v>
      </c>
      <c r="C124" s="80" t="s">
        <v>310</v>
      </c>
      <c r="D124" s="80" t="s">
        <v>311</v>
      </c>
      <c r="E124" s="81" t="s">
        <v>21</v>
      </c>
      <c r="F124" s="81" t="s">
        <v>7</v>
      </c>
      <c r="G124" s="81" t="s">
        <v>57</v>
      </c>
      <c r="H124" s="81" t="s">
        <v>314</v>
      </c>
      <c r="I124" s="81"/>
      <c r="J124" s="15" t="str">
        <f>IF(E124="Invalid_Segment","Invalid",IFERROR(INDEX(Severity_Matrix!$C$3:$M$10,MATCH('Error Log'!$F124,Severity_Matrix!$B$3:$B$10,0),MATCH('Error Log'!$G124,Severity_Matrix!$C$2:$M$2,0)),"No errors"))</f>
        <v>Critical</v>
      </c>
    </row>
    <row r="125" spans="1:11">
      <c r="A125" s="79" t="s">
        <v>313</v>
      </c>
      <c r="B125" s="18">
        <v>5</v>
      </c>
      <c r="C125" s="80" t="s">
        <v>310</v>
      </c>
      <c r="D125" s="80" t="s">
        <v>311</v>
      </c>
      <c r="E125" s="81" t="s">
        <v>21</v>
      </c>
      <c r="F125" s="81" t="s">
        <v>7</v>
      </c>
      <c r="G125" s="81" t="s">
        <v>57</v>
      </c>
      <c r="H125" s="81" t="s">
        <v>315</v>
      </c>
      <c r="I125" s="81"/>
      <c r="J125" s="15" t="str">
        <f>IF(E125="Invalid_Segment","Invalid",IFERROR(INDEX(Severity_Matrix!$C$3:$M$10,MATCH('Error Log'!$F125,Severity_Matrix!$B$3:$B$10,0),MATCH('Error Log'!$G125,Severity_Matrix!$C$2:$M$2,0)),"No errors"))</f>
        <v>Critical</v>
      </c>
    </row>
    <row r="126" spans="1:11">
      <c r="A126" s="79" t="s">
        <v>313</v>
      </c>
      <c r="B126" s="18">
        <v>6</v>
      </c>
      <c r="C126" s="80" t="s">
        <v>310</v>
      </c>
      <c r="D126" s="80" t="s">
        <v>311</v>
      </c>
      <c r="E126" s="81" t="s">
        <v>21</v>
      </c>
      <c r="F126" s="81" t="s">
        <v>7</v>
      </c>
      <c r="G126" s="81" t="s">
        <v>57</v>
      </c>
      <c r="H126" s="81" t="s">
        <v>316</v>
      </c>
      <c r="I126" s="81"/>
      <c r="J126" s="15" t="str">
        <f>IF(E126="Invalid_Segment","Invalid",IFERROR(INDEX(Severity_Matrix!$C$3:$M$10,MATCH('Error Log'!$F126,Severity_Matrix!$B$3:$B$10,0),MATCH('Error Log'!$G126,Severity_Matrix!$C$2:$M$2,0)),"No errors"))</f>
        <v>Critical</v>
      </c>
    </row>
    <row r="127" spans="1:11">
      <c r="A127" s="79" t="s">
        <v>317</v>
      </c>
      <c r="B127" s="18">
        <v>1</v>
      </c>
      <c r="C127" s="80" t="s">
        <v>318</v>
      </c>
      <c r="D127" s="80" t="s">
        <v>319</v>
      </c>
      <c r="E127" s="81" t="s">
        <v>21</v>
      </c>
      <c r="F127" s="81" t="s">
        <v>7</v>
      </c>
      <c r="G127" s="81" t="s">
        <v>57</v>
      </c>
      <c r="H127" s="81" t="s">
        <v>320</v>
      </c>
      <c r="I127" s="81"/>
      <c r="J127" s="15" t="str">
        <f>IF(E127="Invalid_Segment","Invalid",IFERROR(INDEX(Severity_Matrix!$C$3:$M$10,MATCH('Error Log'!$F127,Severity_Matrix!$B$3:$B$10,0),MATCH('Error Log'!$G127,Severity_Matrix!$C$2:$M$2,0)),"No errors"))</f>
        <v>Critical</v>
      </c>
    </row>
    <row r="128" spans="1:11">
      <c r="A128" s="79" t="s">
        <v>321</v>
      </c>
      <c r="B128" s="18">
        <v>1</v>
      </c>
      <c r="C128" s="80" t="s">
        <v>322</v>
      </c>
      <c r="D128" s="80" t="s">
        <v>323</v>
      </c>
      <c r="E128" s="81" t="s">
        <v>21</v>
      </c>
      <c r="F128" s="81" t="s">
        <v>22</v>
      </c>
      <c r="G128" s="81" t="s">
        <v>57</v>
      </c>
      <c r="H128" s="81" t="s">
        <v>324</v>
      </c>
      <c r="I128" s="81"/>
      <c r="J128" s="15" t="str">
        <f>IF(E128="Invalid_Segment","Invalid",IFERROR(INDEX(Severity_Matrix!$C$3:$M$10,MATCH('Error Log'!$F128,Severity_Matrix!$B$3:$B$10,0),MATCH('Error Log'!$G128,Severity_Matrix!$C$2:$M$2,0)),"No errors"))</f>
        <v>Major</v>
      </c>
    </row>
    <row r="129" spans="1:10">
      <c r="A129" s="79" t="s">
        <v>321</v>
      </c>
      <c r="B129" s="18">
        <v>2</v>
      </c>
      <c r="C129" s="80" t="s">
        <v>322</v>
      </c>
      <c r="D129" s="80" t="s">
        <v>323</v>
      </c>
      <c r="E129" s="81" t="s">
        <v>21</v>
      </c>
      <c r="F129" s="81" t="s">
        <v>7</v>
      </c>
      <c r="G129" s="81" t="s">
        <v>57</v>
      </c>
      <c r="H129" s="81" t="s">
        <v>325</v>
      </c>
      <c r="I129" s="81"/>
      <c r="J129" s="15" t="str">
        <f>IF(E129="Invalid_Segment","Invalid",IFERROR(INDEX(Severity_Matrix!$C$3:$M$10,MATCH('Error Log'!$F129,Severity_Matrix!$B$3:$B$10,0),MATCH('Error Log'!$G129,Severity_Matrix!$C$2:$M$2,0)),"No errors"))</f>
        <v>Critical</v>
      </c>
    </row>
    <row r="130" spans="1:10">
      <c r="A130" s="79" t="s">
        <v>326</v>
      </c>
      <c r="B130" s="18">
        <v>1</v>
      </c>
      <c r="C130" s="80" t="s">
        <v>327</v>
      </c>
      <c r="D130" s="80" t="s">
        <v>328</v>
      </c>
      <c r="E130" s="81" t="s">
        <v>21</v>
      </c>
      <c r="F130" s="81" t="s">
        <v>22</v>
      </c>
      <c r="G130" s="81" t="s">
        <v>57</v>
      </c>
      <c r="H130" s="81" t="s">
        <v>329</v>
      </c>
      <c r="I130" s="81"/>
      <c r="J130" s="15" t="str">
        <f>IF(E130="Invalid_Segment","Invalid",IFERROR(INDEX(Severity_Matrix!$C$3:$M$10,MATCH('Error Log'!$F130,Severity_Matrix!$B$3:$B$10,0),MATCH('Error Log'!$G130,Severity_Matrix!$C$2:$M$2,0)),"No errors"))</f>
        <v>Major</v>
      </c>
    </row>
    <row r="131" spans="1:10">
      <c r="A131" s="79" t="s">
        <v>326</v>
      </c>
      <c r="B131" s="18">
        <v>2</v>
      </c>
      <c r="C131" s="80" t="s">
        <v>327</v>
      </c>
      <c r="D131" s="80" t="s">
        <v>328</v>
      </c>
      <c r="E131" s="81" t="s">
        <v>21</v>
      </c>
      <c r="F131" s="81" t="s">
        <v>22</v>
      </c>
      <c r="G131" s="81" t="s">
        <v>57</v>
      </c>
      <c r="H131" s="81" t="s">
        <v>330</v>
      </c>
      <c r="I131" s="81"/>
      <c r="J131" s="15" t="str">
        <f>IF(E131="Invalid_Segment","Invalid",IFERROR(INDEX(Severity_Matrix!$C$3:$M$10,MATCH('Error Log'!$F131,Severity_Matrix!$B$3:$B$10,0),MATCH('Error Log'!$G131,Severity_Matrix!$C$2:$M$2,0)),"No errors"))</f>
        <v>Major</v>
      </c>
    </row>
    <row r="132" spans="1:10">
      <c r="A132" s="79" t="s">
        <v>331</v>
      </c>
      <c r="B132" s="18">
        <v>3</v>
      </c>
      <c r="C132" s="80" t="s">
        <v>327</v>
      </c>
      <c r="D132" s="80" t="s">
        <v>328</v>
      </c>
      <c r="E132" s="81" t="s">
        <v>21</v>
      </c>
      <c r="F132" s="81" t="s">
        <v>22</v>
      </c>
      <c r="G132" s="81" t="s">
        <v>57</v>
      </c>
      <c r="H132" s="81" t="s">
        <v>332</v>
      </c>
      <c r="I132" s="81"/>
      <c r="J132" s="15" t="str">
        <f>IF(E132="Invalid_Segment","Invalid",IFERROR(INDEX(Severity_Matrix!$C$3:$M$10,MATCH('Error Log'!$F132,Severity_Matrix!$B$3:$B$10,0),MATCH('Error Log'!$G132,Severity_Matrix!$C$2:$M$2,0)),"No errors"))</f>
        <v>Major</v>
      </c>
    </row>
    <row r="133" spans="1:10">
      <c r="A133" s="79" t="s">
        <v>331</v>
      </c>
      <c r="B133" s="18">
        <v>4</v>
      </c>
      <c r="C133" s="80" t="s">
        <v>327</v>
      </c>
      <c r="D133" s="80" t="s">
        <v>328</v>
      </c>
      <c r="E133" s="81" t="s">
        <v>21</v>
      </c>
      <c r="F133" s="81" t="s">
        <v>7</v>
      </c>
      <c r="G133" s="81" t="s">
        <v>57</v>
      </c>
      <c r="H133" s="81" t="s">
        <v>333</v>
      </c>
      <c r="I133" s="81"/>
      <c r="J133" s="15" t="str">
        <f>IF(E133="Invalid_Segment","Invalid",IFERROR(INDEX(Severity_Matrix!$C$3:$M$10,MATCH('Error Log'!$F133,Severity_Matrix!$B$3:$B$10,0),MATCH('Error Log'!$G133,Severity_Matrix!$C$2:$M$2,0)),"No errors"))</f>
        <v>Critical</v>
      </c>
    </row>
    <row r="134" spans="1:10">
      <c r="A134" s="79" t="s">
        <v>334</v>
      </c>
      <c r="B134" s="18">
        <v>1</v>
      </c>
      <c r="C134" s="80" t="s">
        <v>335</v>
      </c>
      <c r="D134" s="80" t="s">
        <v>336</v>
      </c>
      <c r="E134" s="81" t="s">
        <v>21</v>
      </c>
      <c r="F134" s="81" t="s">
        <v>22</v>
      </c>
      <c r="G134" s="81" t="s">
        <v>57</v>
      </c>
      <c r="H134" s="81" t="s">
        <v>337</v>
      </c>
      <c r="I134" s="81"/>
      <c r="J134" s="15" t="str">
        <f>IF(E134="Invalid_Segment","Invalid",IFERROR(INDEX(Severity_Matrix!$C$3:$M$10,MATCH('Error Log'!$F134,Severity_Matrix!$B$3:$B$10,0),MATCH('Error Log'!$G134,Severity_Matrix!$C$2:$M$2,0)),"No errors"))</f>
        <v>Major</v>
      </c>
    </row>
    <row r="135" spans="1:10">
      <c r="A135" s="79" t="s">
        <v>334</v>
      </c>
      <c r="B135" s="18">
        <v>2</v>
      </c>
      <c r="C135" s="80" t="s">
        <v>335</v>
      </c>
      <c r="D135" s="80" t="s">
        <v>336</v>
      </c>
      <c r="E135" s="81" t="s">
        <v>21</v>
      </c>
      <c r="F135" s="81" t="s">
        <v>22</v>
      </c>
      <c r="G135" s="81" t="s">
        <v>57</v>
      </c>
      <c r="H135" s="81" t="s">
        <v>338</v>
      </c>
      <c r="I135" s="81"/>
      <c r="J135" s="15" t="str">
        <f>IF(E135="Invalid_Segment","Invalid",IFERROR(INDEX(Severity_Matrix!$C$3:$M$10,MATCH('Error Log'!$F135,Severity_Matrix!$B$3:$B$10,0),MATCH('Error Log'!$G135,Severity_Matrix!$C$2:$M$2,0)),"No errors"))</f>
        <v>Major</v>
      </c>
    </row>
    <row r="136" spans="1:10">
      <c r="A136" s="79" t="s">
        <v>339</v>
      </c>
      <c r="B136" s="18">
        <v>3</v>
      </c>
      <c r="C136" s="80" t="s">
        <v>335</v>
      </c>
      <c r="D136" s="80" t="s">
        <v>336</v>
      </c>
      <c r="E136" s="81" t="s">
        <v>21</v>
      </c>
      <c r="F136" s="81" t="s">
        <v>22</v>
      </c>
      <c r="G136" s="81" t="s">
        <v>57</v>
      </c>
      <c r="H136" s="81" t="s">
        <v>340</v>
      </c>
      <c r="I136" s="81"/>
      <c r="J136" s="15" t="str">
        <f>IF(E136="Invalid_Segment","Invalid",IFERROR(INDEX(Severity_Matrix!$C$3:$M$10,MATCH('Error Log'!$F136,Severity_Matrix!$B$3:$B$10,0),MATCH('Error Log'!$G136,Severity_Matrix!$C$2:$M$2,0)),"No errors"))</f>
        <v>Major</v>
      </c>
    </row>
    <row r="137" spans="1:10">
      <c r="A137" s="79" t="s">
        <v>339</v>
      </c>
      <c r="B137" s="18">
        <v>4</v>
      </c>
      <c r="C137" s="80" t="s">
        <v>335</v>
      </c>
      <c r="D137" s="80" t="s">
        <v>336</v>
      </c>
      <c r="E137" s="81" t="s">
        <v>21</v>
      </c>
      <c r="F137" s="81" t="s">
        <v>7</v>
      </c>
      <c r="G137" s="81" t="s">
        <v>57</v>
      </c>
      <c r="H137" s="81" t="s">
        <v>341</v>
      </c>
      <c r="I137" s="81"/>
      <c r="J137" s="15" t="str">
        <f>IF(E137="Invalid_Segment","Invalid",IFERROR(INDEX(Severity_Matrix!$C$3:$M$10,MATCH('Error Log'!$F137,Severity_Matrix!$B$3:$B$10,0),MATCH('Error Log'!$G137,Severity_Matrix!$C$2:$M$2,0)),"No errors"))</f>
        <v>Critical</v>
      </c>
    </row>
    <row r="138" spans="1:10">
      <c r="A138" s="79" t="s">
        <v>339</v>
      </c>
      <c r="B138" s="18">
        <v>5</v>
      </c>
      <c r="C138" s="80" t="s">
        <v>335</v>
      </c>
      <c r="D138" s="80" t="s">
        <v>336</v>
      </c>
      <c r="E138" s="81" t="s">
        <v>21</v>
      </c>
      <c r="F138" s="81" t="s">
        <v>7</v>
      </c>
      <c r="G138" s="81" t="s">
        <v>57</v>
      </c>
      <c r="H138" s="81" t="s">
        <v>342</v>
      </c>
      <c r="I138" s="81"/>
      <c r="J138" s="15" t="str">
        <f>IF(E138="Invalid_Segment","Invalid",IFERROR(INDEX(Severity_Matrix!$C$3:$M$10,MATCH('Error Log'!$F138,Severity_Matrix!$B$3:$B$10,0),MATCH('Error Log'!$G138,Severity_Matrix!$C$2:$M$2,0)),"No errors"))</f>
        <v>Critical</v>
      </c>
    </row>
    <row r="139" spans="1:10">
      <c r="A139" s="79" t="s">
        <v>339</v>
      </c>
      <c r="B139" s="18">
        <v>6</v>
      </c>
      <c r="C139" s="80" t="s">
        <v>335</v>
      </c>
      <c r="D139" s="80" t="s">
        <v>336</v>
      </c>
      <c r="E139" s="81" t="s">
        <v>21</v>
      </c>
      <c r="F139" s="81" t="s">
        <v>7</v>
      </c>
      <c r="G139" s="81" t="s">
        <v>57</v>
      </c>
      <c r="H139" s="81" t="s">
        <v>343</v>
      </c>
      <c r="I139" s="81"/>
      <c r="J139" s="15" t="str">
        <f>IF(E139="Invalid_Segment","Invalid",IFERROR(INDEX(Severity_Matrix!$C$3:$M$10,MATCH('Error Log'!$F139,Severity_Matrix!$B$3:$B$10,0),MATCH('Error Log'!$G139,Severity_Matrix!$C$2:$M$2,0)),"No errors"))</f>
        <v>Critical</v>
      </c>
    </row>
    <row r="140" spans="1:10">
      <c r="A140" s="79" t="s">
        <v>339</v>
      </c>
      <c r="B140" s="18">
        <v>7</v>
      </c>
      <c r="C140" s="80" t="s">
        <v>335</v>
      </c>
      <c r="D140" s="80" t="s">
        <v>336</v>
      </c>
      <c r="E140" s="81" t="s">
        <v>21</v>
      </c>
      <c r="F140" s="81" t="s">
        <v>7</v>
      </c>
      <c r="G140" s="81" t="s">
        <v>57</v>
      </c>
      <c r="H140" s="81" t="s">
        <v>344</v>
      </c>
      <c r="I140" s="81"/>
      <c r="J140" s="15" t="str">
        <f>IF(E140="Invalid_Segment","Invalid",IFERROR(INDEX(Severity_Matrix!$C$3:$M$10,MATCH('Error Log'!$F140,Severity_Matrix!$B$3:$B$10,0),MATCH('Error Log'!$G140,Severity_Matrix!$C$2:$M$2,0)),"No errors"))</f>
        <v>Critical</v>
      </c>
    </row>
    <row r="141" spans="1:10">
      <c r="A141" s="79" t="s">
        <v>339</v>
      </c>
      <c r="B141" s="18">
        <v>8</v>
      </c>
      <c r="C141" s="80" t="s">
        <v>335</v>
      </c>
      <c r="D141" s="80" t="s">
        <v>336</v>
      </c>
      <c r="E141" s="81" t="s">
        <v>21</v>
      </c>
      <c r="F141" s="81" t="s">
        <v>7</v>
      </c>
      <c r="G141" s="81" t="s">
        <v>57</v>
      </c>
      <c r="H141" s="81" t="s">
        <v>345</v>
      </c>
      <c r="I141" s="81"/>
      <c r="J141" s="15" t="str">
        <f>IF(E141="Invalid_Segment","Invalid",IFERROR(INDEX(Severity_Matrix!$C$3:$M$10,MATCH('Error Log'!$F141,Severity_Matrix!$B$3:$B$10,0),MATCH('Error Log'!$G141,Severity_Matrix!$C$2:$M$2,0)),"No errors"))</f>
        <v>Critical</v>
      </c>
    </row>
    <row r="142" spans="1:10">
      <c r="A142" s="79" t="s">
        <v>339</v>
      </c>
      <c r="B142" s="18">
        <v>9</v>
      </c>
      <c r="C142" s="80" t="s">
        <v>335</v>
      </c>
      <c r="D142" s="80" t="s">
        <v>336</v>
      </c>
      <c r="E142" s="81" t="s">
        <v>21</v>
      </c>
      <c r="F142" s="81" t="s">
        <v>7</v>
      </c>
      <c r="G142" s="81" t="s">
        <v>57</v>
      </c>
      <c r="H142" s="81" t="s">
        <v>346</v>
      </c>
      <c r="I142" s="81"/>
      <c r="J142" s="15" t="str">
        <f>IF(E142="Invalid_Segment","Invalid",IFERROR(INDEX(Severity_Matrix!$C$3:$M$10,MATCH('Error Log'!$F142,Severity_Matrix!$B$3:$B$10,0),MATCH('Error Log'!$G142,Severity_Matrix!$C$2:$M$2,0)),"No errors"))</f>
        <v>Critical</v>
      </c>
    </row>
    <row r="143" spans="1:10">
      <c r="A143" s="79" t="s">
        <v>347</v>
      </c>
      <c r="B143" s="18">
        <v>1</v>
      </c>
      <c r="C143" s="80" t="s">
        <v>348</v>
      </c>
      <c r="D143" s="80" t="s">
        <v>349</v>
      </c>
      <c r="E143" s="81" t="s">
        <v>21</v>
      </c>
      <c r="F143" s="81" t="s">
        <v>22</v>
      </c>
      <c r="G143" s="81" t="s">
        <v>57</v>
      </c>
      <c r="H143" s="81" t="s">
        <v>350</v>
      </c>
      <c r="I143" s="81"/>
      <c r="J143" s="15" t="str">
        <f>IF(E143="Invalid_Segment","Invalid",IFERROR(INDEX(Severity_Matrix!$C$3:$M$10,MATCH('Error Log'!$F143,Severity_Matrix!$B$3:$B$10,0),MATCH('Error Log'!$G143,Severity_Matrix!$C$2:$M$2,0)),"No errors"))</f>
        <v>Major</v>
      </c>
    </row>
    <row r="144" spans="1:10">
      <c r="A144" s="79" t="s">
        <v>347</v>
      </c>
      <c r="B144" s="18">
        <v>2</v>
      </c>
      <c r="C144" s="80" t="s">
        <v>348</v>
      </c>
      <c r="D144" s="80" t="s">
        <v>349</v>
      </c>
      <c r="E144" s="81" t="s">
        <v>2</v>
      </c>
      <c r="F144" s="81" t="s">
        <v>26</v>
      </c>
      <c r="G144" s="81" t="s">
        <v>29</v>
      </c>
      <c r="H144" s="118" t="s">
        <v>351</v>
      </c>
      <c r="I144" s="81"/>
      <c r="J144" s="15" t="str">
        <f>IF(E144="Invalid_Segment","Invalid",IFERROR(INDEX(Severity_Matrix!$C$3:$M$10,MATCH('Error Log'!$F144,Severity_Matrix!$B$3:$B$10,0),MATCH('Error Log'!$G144,Severity_Matrix!$C$2:$M$2,0)),"No errors"))</f>
        <v>Major</v>
      </c>
    </row>
    <row r="145" spans="1:10">
      <c r="A145" s="79" t="s">
        <v>352</v>
      </c>
      <c r="B145" s="18">
        <v>3</v>
      </c>
      <c r="C145" s="80" t="s">
        <v>348</v>
      </c>
      <c r="D145" s="80" t="s">
        <v>349</v>
      </c>
      <c r="E145" s="81" t="s">
        <v>21</v>
      </c>
      <c r="F145" s="81" t="s">
        <v>7</v>
      </c>
      <c r="G145" s="81" t="s">
        <v>57</v>
      </c>
      <c r="H145" s="81" t="s">
        <v>353</v>
      </c>
      <c r="I145" s="81"/>
      <c r="J145" s="15" t="str">
        <f>IF(E145="Invalid_Segment","Invalid",IFERROR(INDEX(Severity_Matrix!$C$3:$M$10,MATCH('Error Log'!$F145,Severity_Matrix!$B$3:$B$10,0),MATCH('Error Log'!$G145,Severity_Matrix!$C$2:$M$2,0)),"No errors"))</f>
        <v>Critical</v>
      </c>
    </row>
    <row r="146" spans="1:10">
      <c r="A146" s="79" t="s">
        <v>352</v>
      </c>
      <c r="B146" s="18">
        <v>4</v>
      </c>
      <c r="C146" s="80" t="s">
        <v>348</v>
      </c>
      <c r="D146" s="80" t="s">
        <v>349</v>
      </c>
      <c r="E146" s="81" t="s">
        <v>21</v>
      </c>
      <c r="F146" s="81" t="s">
        <v>7</v>
      </c>
      <c r="G146" s="81" t="s">
        <v>57</v>
      </c>
      <c r="H146" s="81" t="s">
        <v>354</v>
      </c>
      <c r="I146" s="81"/>
      <c r="J146" s="15" t="str">
        <f>IF(E146="Invalid_Segment","Invalid",IFERROR(INDEX(Severity_Matrix!$C$3:$M$10,MATCH('Error Log'!$F146,Severity_Matrix!$B$3:$B$10,0),MATCH('Error Log'!$G146,Severity_Matrix!$C$2:$M$2,0)),"No errors"))</f>
        <v>Critical</v>
      </c>
    </row>
    <row r="147" spans="1:10">
      <c r="A147" s="79" t="s">
        <v>355</v>
      </c>
      <c r="B147" s="18">
        <v>1</v>
      </c>
      <c r="C147" s="80" t="s">
        <v>356</v>
      </c>
      <c r="D147" s="80" t="s">
        <v>357</v>
      </c>
      <c r="E147" s="81" t="s">
        <v>2</v>
      </c>
      <c r="F147" s="81" t="s">
        <v>26</v>
      </c>
      <c r="G147" s="81" t="s">
        <v>57</v>
      </c>
      <c r="H147" s="81" t="s">
        <v>358</v>
      </c>
      <c r="I147" s="81"/>
      <c r="J147" s="15" t="str">
        <f>IF(E147="Invalid_Segment","Invalid",IFERROR(INDEX(Severity_Matrix!$C$3:$M$10,MATCH('Error Log'!$F147,Severity_Matrix!$B$3:$B$10,0),MATCH('Error Log'!$G147,Severity_Matrix!$C$2:$M$2,0)),"No errors"))</f>
        <v>Major</v>
      </c>
    </row>
    <row r="148" spans="1:10">
      <c r="A148" s="79" t="s">
        <v>355</v>
      </c>
      <c r="B148" s="18">
        <v>2</v>
      </c>
      <c r="C148" s="80" t="s">
        <v>356</v>
      </c>
      <c r="D148" s="80" t="s">
        <v>357</v>
      </c>
      <c r="E148" s="81" t="s">
        <v>21</v>
      </c>
      <c r="F148" s="81" t="s">
        <v>7</v>
      </c>
      <c r="G148" s="81" t="s">
        <v>57</v>
      </c>
      <c r="H148" s="81" t="s">
        <v>359</v>
      </c>
      <c r="I148" s="81"/>
      <c r="J148" s="15" t="str">
        <f>IF(E148="Invalid_Segment","Invalid",IFERROR(INDEX(Severity_Matrix!$C$3:$M$10,MATCH('Error Log'!$F148,Severity_Matrix!$B$3:$B$10,0),MATCH('Error Log'!$G148,Severity_Matrix!$C$2:$M$2,0)),"No errors"))</f>
        <v>Critical</v>
      </c>
    </row>
    <row r="149" spans="1:10">
      <c r="A149" s="79" t="s">
        <v>360</v>
      </c>
      <c r="B149" s="18">
        <v>1</v>
      </c>
      <c r="C149" s="80" t="s">
        <v>361</v>
      </c>
      <c r="D149" s="80" t="s">
        <v>362</v>
      </c>
      <c r="E149" s="81" t="s">
        <v>2</v>
      </c>
      <c r="F149" s="81" t="s">
        <v>26</v>
      </c>
      <c r="G149" s="81" t="s">
        <v>57</v>
      </c>
      <c r="H149" s="81" t="s">
        <v>363</v>
      </c>
      <c r="I149" s="81"/>
      <c r="J149" s="15" t="str">
        <f>IF(E149="Invalid_Segment","Invalid",IFERROR(INDEX(Severity_Matrix!$C$3:$M$10,MATCH('Error Log'!$F149,Severity_Matrix!$B$3:$B$10,0),MATCH('Error Log'!$G149,Severity_Matrix!$C$2:$M$2,0)),"No errors"))</f>
        <v>Major</v>
      </c>
    </row>
    <row r="150" spans="1:10">
      <c r="A150" s="79" t="s">
        <v>360</v>
      </c>
      <c r="B150" s="18">
        <v>2</v>
      </c>
      <c r="C150" s="80" t="s">
        <v>361</v>
      </c>
      <c r="D150" s="80" t="s">
        <v>362</v>
      </c>
      <c r="E150" s="81" t="s">
        <v>2</v>
      </c>
      <c r="F150" s="81" t="s">
        <v>26</v>
      </c>
      <c r="G150" s="81" t="s">
        <v>57</v>
      </c>
      <c r="H150" s="81" t="s">
        <v>363</v>
      </c>
      <c r="I150" s="81"/>
      <c r="J150" s="15" t="str">
        <f>IF(E150="Invalid_Segment","Invalid",IFERROR(INDEX(Severity_Matrix!$C$3:$M$10,MATCH('Error Log'!$F150,Severity_Matrix!$B$3:$B$10,0),MATCH('Error Log'!$G150,Severity_Matrix!$C$2:$M$2,0)),"No errors"))</f>
        <v>Major</v>
      </c>
    </row>
    <row r="151" spans="1:10">
      <c r="A151" s="79" t="s">
        <v>364</v>
      </c>
      <c r="B151" s="18">
        <v>3</v>
      </c>
      <c r="C151" s="80" t="s">
        <v>361</v>
      </c>
      <c r="D151" s="80" t="s">
        <v>362</v>
      </c>
      <c r="E151" s="81" t="s">
        <v>21</v>
      </c>
      <c r="F151" s="81" t="s">
        <v>22</v>
      </c>
      <c r="G151" s="81" t="s">
        <v>57</v>
      </c>
      <c r="H151" s="81" t="s">
        <v>365</v>
      </c>
      <c r="I151" s="81"/>
      <c r="J151" s="15" t="str">
        <f>IF(E151="Invalid_Segment","Invalid",IFERROR(INDEX(Severity_Matrix!$C$3:$M$10,MATCH('Error Log'!$F151,Severity_Matrix!$B$3:$B$10,0),MATCH('Error Log'!$G151,Severity_Matrix!$C$2:$M$2,0)),"No errors"))</f>
        <v>Major</v>
      </c>
    </row>
    <row r="152" spans="1:10">
      <c r="A152" s="79" t="s">
        <v>364</v>
      </c>
      <c r="B152" s="18">
        <v>4</v>
      </c>
      <c r="C152" s="80" t="s">
        <v>361</v>
      </c>
      <c r="D152" s="80" t="s">
        <v>362</v>
      </c>
      <c r="E152" s="81" t="s">
        <v>21</v>
      </c>
      <c r="F152" s="81" t="s">
        <v>7</v>
      </c>
      <c r="G152" s="81" t="s">
        <v>57</v>
      </c>
      <c r="H152" s="81" t="s">
        <v>366</v>
      </c>
      <c r="I152" s="81"/>
      <c r="J152" s="15" t="str">
        <f>IF(E152="Invalid_Segment","Invalid",IFERROR(INDEX(Severity_Matrix!$C$3:$M$10,MATCH('Error Log'!$F152,Severity_Matrix!$B$3:$B$10,0),MATCH('Error Log'!$G152,Severity_Matrix!$C$2:$M$2,0)),"No errors"))</f>
        <v>Critical</v>
      </c>
    </row>
    <row r="153" spans="1:10">
      <c r="A153" s="79" t="s">
        <v>364</v>
      </c>
      <c r="B153" s="18">
        <v>5</v>
      </c>
      <c r="C153" s="80" t="s">
        <v>361</v>
      </c>
      <c r="D153" s="80" t="s">
        <v>362</v>
      </c>
      <c r="E153" s="81" t="s">
        <v>21</v>
      </c>
      <c r="F153" s="81" t="s">
        <v>7</v>
      </c>
      <c r="G153" s="81" t="s">
        <v>57</v>
      </c>
      <c r="H153" s="81" t="s">
        <v>367</v>
      </c>
      <c r="I153" s="81"/>
      <c r="J153" s="15" t="str">
        <f>IF(E153="Invalid_Segment","Invalid",IFERROR(INDEX(Severity_Matrix!$C$3:$M$10,MATCH('Error Log'!$F153,Severity_Matrix!$B$3:$B$10,0),MATCH('Error Log'!$G153,Severity_Matrix!$C$2:$M$2,0)),"No errors"))</f>
        <v>Critical</v>
      </c>
    </row>
    <row r="154" spans="1:10">
      <c r="A154" s="79" t="s">
        <v>364</v>
      </c>
      <c r="B154" s="18">
        <v>6</v>
      </c>
      <c r="C154" s="80" t="s">
        <v>361</v>
      </c>
      <c r="D154" s="80" t="s">
        <v>362</v>
      </c>
      <c r="E154" s="81" t="s">
        <v>21</v>
      </c>
      <c r="F154" s="81" t="s">
        <v>7</v>
      </c>
      <c r="G154" s="81" t="s">
        <v>57</v>
      </c>
      <c r="H154" s="81" t="s">
        <v>368</v>
      </c>
      <c r="I154" s="81"/>
      <c r="J154" s="15" t="str">
        <f>IF(E154="Invalid_Segment","Invalid",IFERROR(INDEX(Severity_Matrix!$C$3:$M$10,MATCH('Error Log'!$F154,Severity_Matrix!$B$3:$B$10,0),MATCH('Error Log'!$G154,Severity_Matrix!$C$2:$M$2,0)),"No errors"))</f>
        <v>Critical</v>
      </c>
    </row>
    <row r="155" spans="1:10">
      <c r="A155" s="79" t="s">
        <v>369</v>
      </c>
      <c r="B155" s="18">
        <v>1</v>
      </c>
      <c r="C155" s="80" t="s">
        <v>370</v>
      </c>
      <c r="D155" s="80" t="s">
        <v>371</v>
      </c>
      <c r="E155" s="81" t="s">
        <v>21</v>
      </c>
      <c r="F155" s="81" t="s">
        <v>22</v>
      </c>
      <c r="G155" s="81" t="s">
        <v>57</v>
      </c>
      <c r="H155" s="81" t="s">
        <v>372</v>
      </c>
      <c r="I155" s="81"/>
      <c r="J155" s="15" t="str">
        <f>IF(E155="Invalid_Segment","Invalid",IFERROR(INDEX(Severity_Matrix!$C$3:$M$10,MATCH('Error Log'!$F155,Severity_Matrix!$B$3:$B$10,0),MATCH('Error Log'!$G155,Severity_Matrix!$C$2:$M$2,0)),"No errors"))</f>
        <v>Major</v>
      </c>
    </row>
    <row r="156" spans="1:10">
      <c r="A156" s="79" t="s">
        <v>369</v>
      </c>
      <c r="B156" s="18">
        <v>2</v>
      </c>
      <c r="C156" s="80" t="s">
        <v>370</v>
      </c>
      <c r="D156" s="80" t="s">
        <v>371</v>
      </c>
      <c r="E156" s="81" t="s">
        <v>21</v>
      </c>
      <c r="F156" s="81" t="s">
        <v>7</v>
      </c>
      <c r="G156" s="81" t="s">
        <v>57</v>
      </c>
      <c r="H156" s="81" t="s">
        <v>373</v>
      </c>
      <c r="I156" s="81"/>
      <c r="J156" s="15" t="str">
        <f>IF(E156="Invalid_Segment","Invalid",IFERROR(INDEX(Severity_Matrix!$C$3:$M$10,MATCH('Error Log'!$F156,Severity_Matrix!$B$3:$B$10,0),MATCH('Error Log'!$G156,Severity_Matrix!$C$2:$M$2,0)),"No errors"))</f>
        <v>Critical</v>
      </c>
    </row>
    <row r="157" spans="1:10">
      <c r="A157" s="79" t="s">
        <v>374</v>
      </c>
      <c r="B157" s="18">
        <v>3</v>
      </c>
      <c r="C157" s="80" t="s">
        <v>370</v>
      </c>
      <c r="D157" s="80" t="s">
        <v>371</v>
      </c>
      <c r="E157" s="81" t="s">
        <v>21</v>
      </c>
      <c r="F157" s="81" t="s">
        <v>7</v>
      </c>
      <c r="G157" s="81" t="s">
        <v>57</v>
      </c>
      <c r="H157" s="81" t="s">
        <v>375</v>
      </c>
      <c r="I157" s="81"/>
      <c r="J157" s="15" t="str">
        <f>IF(E157="Invalid_Segment","Invalid",IFERROR(INDEX(Severity_Matrix!$C$3:$M$10,MATCH('Error Log'!$F157,Severity_Matrix!$B$3:$B$10,0),MATCH('Error Log'!$G157,Severity_Matrix!$C$2:$M$2,0)),"No errors"))</f>
        <v>Critical</v>
      </c>
    </row>
    <row r="158" spans="1:10">
      <c r="A158" s="79" t="s">
        <v>374</v>
      </c>
      <c r="B158" s="18">
        <v>4</v>
      </c>
      <c r="C158" s="80" t="s">
        <v>370</v>
      </c>
      <c r="D158" s="80" t="s">
        <v>371</v>
      </c>
      <c r="E158" s="81" t="s">
        <v>21</v>
      </c>
      <c r="F158" s="81" t="s">
        <v>7</v>
      </c>
      <c r="G158" s="81" t="s">
        <v>57</v>
      </c>
      <c r="H158" s="81" t="s">
        <v>376</v>
      </c>
      <c r="I158" s="81"/>
      <c r="J158" s="15" t="str">
        <f>IF(E158="Invalid_Segment","Invalid",IFERROR(INDEX(Severity_Matrix!$C$3:$M$10,MATCH('Error Log'!$F158,Severity_Matrix!$B$3:$B$10,0),MATCH('Error Log'!$G158,Severity_Matrix!$C$2:$M$2,0)),"No errors"))</f>
        <v>Critical</v>
      </c>
    </row>
    <row r="159" spans="1:10">
      <c r="A159" s="79" t="s">
        <v>377</v>
      </c>
      <c r="B159" s="18">
        <v>1</v>
      </c>
      <c r="C159" s="80" t="s">
        <v>378</v>
      </c>
      <c r="D159" s="80" t="s">
        <v>379</v>
      </c>
      <c r="E159" s="81" t="s">
        <v>21</v>
      </c>
      <c r="F159" s="81" t="s">
        <v>22</v>
      </c>
      <c r="G159" s="81" t="s">
        <v>57</v>
      </c>
      <c r="H159" s="81" t="s">
        <v>380</v>
      </c>
      <c r="I159" s="81"/>
      <c r="J159" s="15" t="str">
        <f>IF(E159="Invalid_Segment","Invalid",IFERROR(INDEX(Severity_Matrix!$C$3:$M$10,MATCH('Error Log'!$F159,Severity_Matrix!$B$3:$B$10,0),MATCH('Error Log'!$G159,Severity_Matrix!$C$2:$M$2,0)),"No errors"))</f>
        <v>Major</v>
      </c>
    </row>
    <row r="160" spans="1:10">
      <c r="A160" s="79" t="s">
        <v>377</v>
      </c>
      <c r="B160" s="18">
        <v>2</v>
      </c>
      <c r="C160" s="80" t="s">
        <v>378</v>
      </c>
      <c r="D160" s="80" t="s">
        <v>379</v>
      </c>
      <c r="E160" s="81" t="s">
        <v>21</v>
      </c>
      <c r="F160" s="81" t="s">
        <v>22</v>
      </c>
      <c r="G160" s="81" t="s">
        <v>57</v>
      </c>
      <c r="H160" s="81" t="s">
        <v>381</v>
      </c>
      <c r="I160" s="81"/>
      <c r="J160" s="15" t="str">
        <f>IF(E160="Invalid_Segment","Invalid",IFERROR(INDEX(Severity_Matrix!$C$3:$M$10,MATCH('Error Log'!$F160,Severity_Matrix!$B$3:$B$10,0),MATCH('Error Log'!$G160,Severity_Matrix!$C$2:$M$2,0)),"No errors"))</f>
        <v>Major</v>
      </c>
    </row>
    <row r="161" spans="1:10">
      <c r="A161" s="79" t="s">
        <v>382</v>
      </c>
      <c r="B161" s="18">
        <v>3</v>
      </c>
      <c r="C161" s="80" t="s">
        <v>378</v>
      </c>
      <c r="D161" s="80" t="s">
        <v>379</v>
      </c>
      <c r="E161" s="81" t="s">
        <v>21</v>
      </c>
      <c r="F161" s="81" t="s">
        <v>22</v>
      </c>
      <c r="G161" s="81" t="s">
        <v>57</v>
      </c>
      <c r="H161" s="81" t="s">
        <v>383</v>
      </c>
      <c r="I161" s="81"/>
      <c r="J161" s="15" t="str">
        <f>IF(E161="Invalid_Segment","Invalid",IFERROR(INDEX(Severity_Matrix!$C$3:$M$10,MATCH('Error Log'!$F161,Severity_Matrix!$B$3:$B$10,0),MATCH('Error Log'!$G161,Severity_Matrix!$C$2:$M$2,0)),"No errors"))</f>
        <v>Major</v>
      </c>
    </row>
    <row r="162" spans="1:10">
      <c r="A162" s="79" t="s">
        <v>382</v>
      </c>
      <c r="B162" s="18">
        <v>4</v>
      </c>
      <c r="C162" s="80" t="s">
        <v>378</v>
      </c>
      <c r="D162" s="80" t="s">
        <v>379</v>
      </c>
      <c r="E162" s="81" t="s">
        <v>21</v>
      </c>
      <c r="F162" s="81" t="s">
        <v>7</v>
      </c>
      <c r="G162" s="81" t="s">
        <v>57</v>
      </c>
      <c r="H162" s="81" t="s">
        <v>384</v>
      </c>
      <c r="I162" s="81"/>
      <c r="J162" s="15" t="str">
        <f>IF(E162="Invalid_Segment","Invalid",IFERROR(INDEX(Severity_Matrix!$C$3:$M$10,MATCH('Error Log'!$F162,Severity_Matrix!$B$3:$B$10,0),MATCH('Error Log'!$G162,Severity_Matrix!$C$2:$M$2,0)),"No errors"))</f>
        <v>Critical</v>
      </c>
    </row>
    <row r="163" spans="1:10">
      <c r="A163" s="79" t="s">
        <v>382</v>
      </c>
      <c r="B163" s="18">
        <v>5</v>
      </c>
      <c r="C163" s="80" t="s">
        <v>378</v>
      </c>
      <c r="D163" s="80" t="s">
        <v>379</v>
      </c>
      <c r="E163" s="81" t="s">
        <v>21</v>
      </c>
      <c r="F163" s="81" t="s">
        <v>7</v>
      </c>
      <c r="G163" s="81" t="s">
        <v>57</v>
      </c>
      <c r="H163" s="81" t="s">
        <v>385</v>
      </c>
      <c r="I163" s="81"/>
      <c r="J163" s="15" t="str">
        <f>IF(E163="Invalid_Segment","Invalid",IFERROR(INDEX(Severity_Matrix!$C$3:$M$10,MATCH('Error Log'!$F163,Severity_Matrix!$B$3:$B$10,0),MATCH('Error Log'!$G163,Severity_Matrix!$C$2:$M$2,0)),"No errors"))</f>
        <v>Critical</v>
      </c>
    </row>
    <row r="164" spans="1:10">
      <c r="A164" s="79" t="s">
        <v>382</v>
      </c>
      <c r="B164" s="18">
        <v>6</v>
      </c>
      <c r="C164" s="80" t="s">
        <v>378</v>
      </c>
      <c r="D164" s="80" t="s">
        <v>379</v>
      </c>
      <c r="E164" s="81" t="s">
        <v>21</v>
      </c>
      <c r="F164" s="81" t="s">
        <v>7</v>
      </c>
      <c r="G164" s="81" t="s">
        <v>57</v>
      </c>
      <c r="H164" s="81" t="s">
        <v>386</v>
      </c>
      <c r="I164" s="81"/>
      <c r="J164" s="15" t="str">
        <f>IF(E164="Invalid_Segment","Invalid",IFERROR(INDEX(Severity_Matrix!$C$3:$M$10,MATCH('Error Log'!$F164,Severity_Matrix!$B$3:$B$10,0),MATCH('Error Log'!$G164,Severity_Matrix!$C$2:$M$2,0)),"No errors"))</f>
        <v>Critical</v>
      </c>
    </row>
    <row r="165" spans="1:10" s="115" customFormat="1">
      <c r="A165" s="94" t="s">
        <v>387</v>
      </c>
      <c r="B165" s="113">
        <v>1</v>
      </c>
      <c r="C165" s="121" t="s">
        <v>388</v>
      </c>
      <c r="D165" s="121" t="s">
        <v>389</v>
      </c>
      <c r="E165" s="114" t="s">
        <v>21</v>
      </c>
      <c r="F165" s="114" t="s">
        <v>7</v>
      </c>
      <c r="G165" s="114" t="s">
        <v>57</v>
      </c>
      <c r="H165" s="114" t="s">
        <v>390</v>
      </c>
      <c r="I165" s="114"/>
      <c r="J165" s="97" t="str">
        <f>IF(E165="Invalid_Segment","Invalid",IFERROR(INDEX(Severity_Matrix!$C$3:$M$10,MATCH('Error Log'!$F165,Severity_Matrix!$B$3:$B$10,0),MATCH('Error Log'!$G165,Severity_Matrix!$C$2:$M$2,0)),"No errors"))</f>
        <v>Critical</v>
      </c>
    </row>
    <row r="166" spans="1:10" s="115" customFormat="1">
      <c r="A166" s="94" t="s">
        <v>387</v>
      </c>
      <c r="B166" s="113">
        <v>2</v>
      </c>
      <c r="C166" s="121" t="s">
        <v>388</v>
      </c>
      <c r="D166" s="121" t="s">
        <v>389</v>
      </c>
      <c r="E166" s="114" t="s">
        <v>21</v>
      </c>
      <c r="F166" s="114" t="s">
        <v>7</v>
      </c>
      <c r="G166" s="114" t="s">
        <v>57</v>
      </c>
      <c r="H166" s="114" t="s">
        <v>391</v>
      </c>
      <c r="I166" s="114"/>
      <c r="J166" s="97" t="str">
        <f>IF(E166="Invalid_Segment","Invalid",IFERROR(INDEX(Severity_Matrix!$C$3:$M$10,MATCH('Error Log'!$F166,Severity_Matrix!$B$3:$B$10,0),MATCH('Error Log'!$G166,Severity_Matrix!$C$2:$M$2,0)),"No errors"))</f>
        <v>Critical</v>
      </c>
    </row>
    <row r="167" spans="1:10" s="115" customFormat="1">
      <c r="A167" s="94" t="s">
        <v>392</v>
      </c>
      <c r="B167" s="113">
        <v>3</v>
      </c>
      <c r="C167" s="121" t="s">
        <v>388</v>
      </c>
      <c r="D167" s="121" t="s">
        <v>389</v>
      </c>
      <c r="E167" s="114" t="s">
        <v>21</v>
      </c>
      <c r="F167" s="114" t="s">
        <v>7</v>
      </c>
      <c r="G167" s="114" t="s">
        <v>57</v>
      </c>
      <c r="H167" s="114" t="s">
        <v>393</v>
      </c>
      <c r="I167" s="114"/>
      <c r="J167" s="97" t="str">
        <f>IF(E167="Invalid_Segment","Invalid",IFERROR(INDEX(Severity_Matrix!$C$3:$M$10,MATCH('Error Log'!$F167,Severity_Matrix!$B$3:$B$10,0),MATCH('Error Log'!$G167,Severity_Matrix!$C$2:$M$2,0)),"No errors"))</f>
        <v>Critical</v>
      </c>
    </row>
    <row r="168" spans="1:10" s="115" customFormat="1">
      <c r="A168" s="94" t="s">
        <v>392</v>
      </c>
      <c r="B168" s="113">
        <v>4</v>
      </c>
      <c r="C168" s="121" t="s">
        <v>388</v>
      </c>
      <c r="D168" s="121" t="s">
        <v>389</v>
      </c>
      <c r="E168" s="114" t="s">
        <v>21</v>
      </c>
      <c r="F168" s="114" t="s">
        <v>7</v>
      </c>
      <c r="G168" s="114" t="s">
        <v>57</v>
      </c>
      <c r="H168" s="114" t="s">
        <v>394</v>
      </c>
      <c r="I168" s="114"/>
      <c r="J168" s="97" t="str">
        <f>IF(E168="Invalid_Segment","Invalid",IFERROR(INDEX(Severity_Matrix!$C$3:$M$10,MATCH('Error Log'!$F168,Severity_Matrix!$B$3:$B$10,0),MATCH('Error Log'!$G168,Severity_Matrix!$C$2:$M$2,0)),"No errors"))</f>
        <v>Critical</v>
      </c>
    </row>
    <row r="169" spans="1:10" s="115" customFormat="1">
      <c r="A169" s="94" t="s">
        <v>392</v>
      </c>
      <c r="B169" s="113">
        <v>5</v>
      </c>
      <c r="C169" s="121" t="s">
        <v>388</v>
      </c>
      <c r="D169" s="121" t="s">
        <v>389</v>
      </c>
      <c r="E169" s="114" t="s">
        <v>21</v>
      </c>
      <c r="F169" s="114" t="s">
        <v>22</v>
      </c>
      <c r="G169" s="114" t="s">
        <v>57</v>
      </c>
      <c r="H169" s="114" t="s">
        <v>395</v>
      </c>
      <c r="I169" s="114"/>
      <c r="J169" s="97" t="str">
        <f>IF(E169="Invalid_Segment","Invalid",IFERROR(INDEX(Severity_Matrix!$C$3:$M$10,MATCH('Error Log'!$F169,Severity_Matrix!$B$3:$B$10,0),MATCH('Error Log'!$G169,Severity_Matrix!$C$2:$M$2,0)),"No errors"))</f>
        <v>Major</v>
      </c>
    </row>
    <row r="170" spans="1:10" s="115" customFormat="1">
      <c r="A170" s="94" t="s">
        <v>392</v>
      </c>
      <c r="B170" s="113">
        <v>6</v>
      </c>
      <c r="C170" s="121" t="s">
        <v>388</v>
      </c>
      <c r="D170" s="121" t="s">
        <v>389</v>
      </c>
      <c r="E170" s="114" t="s">
        <v>21</v>
      </c>
      <c r="F170" s="114" t="s">
        <v>22</v>
      </c>
      <c r="G170" s="114" t="s">
        <v>57</v>
      </c>
      <c r="H170" s="114" t="s">
        <v>396</v>
      </c>
      <c r="I170" s="114"/>
      <c r="J170" s="97" t="str">
        <f>IF(E170="Invalid_Segment","Invalid",IFERROR(INDEX(Severity_Matrix!$C$3:$M$10,MATCH('Error Log'!$F170,Severity_Matrix!$B$3:$B$10,0),MATCH('Error Log'!$G170,Severity_Matrix!$C$2:$M$2,0)),"No errors"))</f>
        <v>Major</v>
      </c>
    </row>
    <row r="171" spans="1:10" s="115" customFormat="1">
      <c r="A171" s="94" t="s">
        <v>392</v>
      </c>
      <c r="B171" s="113">
        <v>7</v>
      </c>
      <c r="C171" s="121" t="s">
        <v>388</v>
      </c>
      <c r="D171" s="121" t="s">
        <v>389</v>
      </c>
      <c r="E171" s="114" t="s">
        <v>21</v>
      </c>
      <c r="F171" s="114" t="s">
        <v>22</v>
      </c>
      <c r="G171" s="114" t="s">
        <v>57</v>
      </c>
      <c r="H171" s="114" t="s">
        <v>397</v>
      </c>
      <c r="I171" s="114"/>
      <c r="J171" s="97" t="str">
        <f>IF(E171="Invalid_Segment","Invalid",IFERROR(INDEX(Severity_Matrix!$C$3:$M$10,MATCH('Error Log'!$F171,Severity_Matrix!$B$3:$B$10,0),MATCH('Error Log'!$G171,Severity_Matrix!$C$2:$M$2,0)),"No errors"))</f>
        <v>Major</v>
      </c>
    </row>
    <row r="172" spans="1:10" s="115" customFormat="1">
      <c r="A172" s="94" t="s">
        <v>392</v>
      </c>
      <c r="B172" s="113">
        <v>8</v>
      </c>
      <c r="C172" s="121" t="s">
        <v>388</v>
      </c>
      <c r="D172" s="121" t="s">
        <v>389</v>
      </c>
      <c r="E172" s="114" t="s">
        <v>21</v>
      </c>
      <c r="F172" s="114" t="s">
        <v>63</v>
      </c>
      <c r="G172" s="114" t="s">
        <v>29</v>
      </c>
      <c r="H172" s="114">
        <v>31</v>
      </c>
      <c r="I172" s="114"/>
      <c r="J172" s="97" t="str">
        <f>IF(E172="Invalid_Segment","Invalid",IFERROR(INDEX(Severity_Matrix!$C$3:$M$10,MATCH('Error Log'!$F172,Severity_Matrix!$B$3:$B$10,0),MATCH('Error Log'!$G172,Severity_Matrix!$C$2:$M$2,0)),"No errors"))</f>
        <v>Critical</v>
      </c>
    </row>
    <row r="173" spans="1:10" s="115" customFormat="1">
      <c r="A173" s="94" t="s">
        <v>392</v>
      </c>
      <c r="B173" s="113">
        <v>9</v>
      </c>
      <c r="C173" s="121" t="s">
        <v>388</v>
      </c>
      <c r="D173" s="121" t="s">
        <v>389</v>
      </c>
      <c r="E173" s="114" t="s">
        <v>21</v>
      </c>
      <c r="F173" s="114" t="s">
        <v>63</v>
      </c>
      <c r="G173" s="114" t="s">
        <v>27</v>
      </c>
      <c r="H173" s="114" t="s">
        <v>398</v>
      </c>
      <c r="I173" s="114"/>
      <c r="J173" s="97" t="str">
        <f>IF(E173="Invalid_Segment","Invalid",IFERROR(INDEX(Severity_Matrix!$C$3:$M$10,MATCH('Error Log'!$F173,Severity_Matrix!$B$3:$B$10,0),MATCH('Error Log'!$G173,Severity_Matrix!$C$2:$M$2,0)),"No errors"))</f>
        <v>Critical</v>
      </c>
    </row>
    <row r="174" spans="1:10" s="115" customFormat="1">
      <c r="A174" s="94" t="s">
        <v>392</v>
      </c>
      <c r="B174" s="113">
        <v>10</v>
      </c>
      <c r="C174" s="121" t="s">
        <v>388</v>
      </c>
      <c r="D174" s="121" t="s">
        <v>389</v>
      </c>
      <c r="E174" s="114" t="s">
        <v>21</v>
      </c>
      <c r="F174" s="114" t="s">
        <v>63</v>
      </c>
      <c r="G174" s="114" t="s">
        <v>27</v>
      </c>
      <c r="H174" s="114" t="s">
        <v>399</v>
      </c>
      <c r="I174" s="114"/>
      <c r="J174" s="97" t="str">
        <f>IF(E174="Invalid_Segment","Invalid",IFERROR(INDEX(Severity_Matrix!$C$3:$M$10,MATCH('Error Log'!$F174,Severity_Matrix!$B$3:$B$10,0),MATCH('Error Log'!$G174,Severity_Matrix!$C$2:$M$2,0)),"No errors"))</f>
        <v>Critical</v>
      </c>
    </row>
    <row r="175" spans="1:10" s="115" customFormat="1">
      <c r="A175" s="94" t="s">
        <v>392</v>
      </c>
      <c r="B175" s="113">
        <v>11</v>
      </c>
      <c r="C175" s="121" t="s">
        <v>388</v>
      </c>
      <c r="D175" s="121" t="s">
        <v>389</v>
      </c>
      <c r="E175" s="114" t="s">
        <v>21</v>
      </c>
      <c r="F175" s="114" t="s">
        <v>63</v>
      </c>
      <c r="G175" s="114" t="s">
        <v>29</v>
      </c>
      <c r="H175" s="114" t="s">
        <v>400</v>
      </c>
      <c r="I175" s="114"/>
      <c r="J175" s="97" t="str">
        <f>IF(E175="Invalid_Segment","Invalid",IFERROR(INDEX(Severity_Matrix!$C$3:$M$10,MATCH('Error Log'!$F175,Severity_Matrix!$B$3:$B$10,0),MATCH('Error Log'!$G175,Severity_Matrix!$C$2:$M$2,0)),"No errors"))</f>
        <v>Critical</v>
      </c>
    </row>
    <row r="176" spans="1:10" s="115" customFormat="1">
      <c r="A176" s="94" t="s">
        <v>392</v>
      </c>
      <c r="B176" s="113">
        <v>12</v>
      </c>
      <c r="C176" s="121" t="s">
        <v>388</v>
      </c>
      <c r="D176" s="121" t="s">
        <v>389</v>
      </c>
      <c r="E176" s="114" t="s">
        <v>21</v>
      </c>
      <c r="F176" s="114" t="s">
        <v>63</v>
      </c>
      <c r="G176" s="114" t="s">
        <v>58</v>
      </c>
      <c r="H176" s="114" t="s">
        <v>294</v>
      </c>
      <c r="I176" s="114"/>
      <c r="J176" s="97" t="str">
        <f>IF(E176="Invalid_Segment","Invalid",IFERROR(INDEX(Severity_Matrix!$C$3:$M$10,MATCH('Error Log'!$F176,Severity_Matrix!$B$3:$B$10,0),MATCH('Error Log'!$G176,Severity_Matrix!$C$2:$M$2,0)),"No errors"))</f>
        <v>Minor</v>
      </c>
    </row>
    <row r="177" spans="1:10" s="115" customFormat="1">
      <c r="A177" s="94" t="s">
        <v>387</v>
      </c>
      <c r="B177" s="113">
        <v>13</v>
      </c>
      <c r="C177" s="121" t="s">
        <v>388</v>
      </c>
      <c r="D177" s="121" t="s">
        <v>389</v>
      </c>
      <c r="E177" s="114" t="s">
        <v>21</v>
      </c>
      <c r="F177" s="114" t="s">
        <v>63</v>
      </c>
      <c r="G177" s="114" t="s">
        <v>58</v>
      </c>
      <c r="H177" s="114" t="s">
        <v>294</v>
      </c>
      <c r="I177" s="114"/>
      <c r="J177" s="97" t="str">
        <f>IF(E177="Invalid_Segment","Invalid",IFERROR(INDEX(Severity_Matrix!$C$3:$M$10,MATCH('Error Log'!$F177,Severity_Matrix!$B$3:$B$10,0),MATCH('Error Log'!$G177,Severity_Matrix!$C$2:$M$2,0)),"No errors"))</f>
        <v>Minor</v>
      </c>
    </row>
    <row r="178" spans="1:10" s="115" customFormat="1">
      <c r="A178" s="94" t="s">
        <v>387</v>
      </c>
      <c r="B178" s="113">
        <v>14</v>
      </c>
      <c r="C178" s="121" t="s">
        <v>388</v>
      </c>
      <c r="D178" s="121" t="s">
        <v>389</v>
      </c>
      <c r="E178" s="114" t="s">
        <v>21</v>
      </c>
      <c r="F178" s="114" t="s">
        <v>63</v>
      </c>
      <c r="G178" s="114" t="s">
        <v>27</v>
      </c>
      <c r="H178" s="114" t="s">
        <v>1019</v>
      </c>
      <c r="I178" s="114"/>
      <c r="J178" s="97" t="str">
        <f>IF(E178="Invalid_Segment","Invalid",IFERROR(INDEX(Severity_Matrix!$C$3:$M$10,MATCH('Error Log'!$F178,Severity_Matrix!$B$3:$B$10,0),MATCH('Error Log'!$G178,Severity_Matrix!$C$2:$M$2,0)),"No errors"))</f>
        <v>Critical</v>
      </c>
    </row>
    <row r="179" spans="1:10">
      <c r="A179" s="79" t="s">
        <v>401</v>
      </c>
      <c r="B179" s="18">
        <v>1</v>
      </c>
      <c r="C179" s="80" t="s">
        <v>402</v>
      </c>
      <c r="D179" s="80" t="s">
        <v>403</v>
      </c>
      <c r="E179" s="81" t="s">
        <v>21</v>
      </c>
      <c r="F179" s="81" t="s">
        <v>63</v>
      </c>
      <c r="G179" s="81" t="s">
        <v>28</v>
      </c>
      <c r="H179" s="81" t="s">
        <v>404</v>
      </c>
      <c r="I179" s="81"/>
      <c r="J179" s="15" t="str">
        <f>IF(E179="Invalid_Segment","Invalid",IFERROR(INDEX(Severity_Matrix!$C$3:$M$10,MATCH('Error Log'!$F179,Severity_Matrix!$B$3:$B$10,0),MATCH('Error Log'!$G179,Severity_Matrix!$C$2:$M$2,0)),"No errors"))</f>
        <v>Major</v>
      </c>
    </row>
    <row r="180" spans="1:10">
      <c r="A180" s="79" t="s">
        <v>401</v>
      </c>
      <c r="B180" s="18">
        <v>2</v>
      </c>
      <c r="C180" s="80" t="s">
        <v>402</v>
      </c>
      <c r="D180" s="80" t="s">
        <v>403</v>
      </c>
      <c r="E180" s="81" t="s">
        <v>21</v>
      </c>
      <c r="F180" s="81" t="s">
        <v>63</v>
      </c>
      <c r="G180" s="81" t="s">
        <v>55</v>
      </c>
      <c r="H180" s="81" t="s">
        <v>405</v>
      </c>
      <c r="I180" s="81"/>
      <c r="J180" s="15" t="str">
        <f>IF(E180="Invalid_Segment","Invalid",IFERROR(INDEX(Severity_Matrix!$C$3:$M$10,MATCH('Error Log'!$F180,Severity_Matrix!$B$3:$B$10,0),MATCH('Error Log'!$G180,Severity_Matrix!$C$2:$M$2,0)),"No errors"))</f>
        <v>Critical</v>
      </c>
    </row>
    <row r="181" spans="1:10">
      <c r="A181" s="79" t="s">
        <v>406</v>
      </c>
      <c r="B181" s="18">
        <v>3</v>
      </c>
      <c r="C181" s="80" t="s">
        <v>402</v>
      </c>
      <c r="D181" s="80" t="s">
        <v>403</v>
      </c>
      <c r="E181" s="81" t="s">
        <v>21</v>
      </c>
      <c r="F181" s="81" t="s">
        <v>7</v>
      </c>
      <c r="G181" s="81" t="s">
        <v>57</v>
      </c>
      <c r="H181" s="81" t="s">
        <v>407</v>
      </c>
      <c r="I181" s="81"/>
      <c r="J181" s="15" t="str">
        <f>IF(E181="Invalid_Segment","Invalid",IFERROR(INDEX(Severity_Matrix!$C$3:$M$10,MATCH('Error Log'!$F181,Severity_Matrix!$B$3:$B$10,0),MATCH('Error Log'!$G181,Severity_Matrix!$C$2:$M$2,0)),"No errors"))</f>
        <v>Critical</v>
      </c>
    </row>
    <row r="182" spans="1:10">
      <c r="A182" s="79" t="s">
        <v>406</v>
      </c>
      <c r="B182" s="18">
        <v>4</v>
      </c>
      <c r="C182" s="80" t="s">
        <v>402</v>
      </c>
      <c r="D182" s="80" t="s">
        <v>403</v>
      </c>
      <c r="E182" s="81" t="s">
        <v>21</v>
      </c>
      <c r="F182" s="81" t="s">
        <v>7</v>
      </c>
      <c r="G182" s="81" t="s">
        <v>57</v>
      </c>
      <c r="H182" s="81" t="s">
        <v>408</v>
      </c>
      <c r="I182" s="81"/>
      <c r="J182" s="15" t="str">
        <f>IF(E182="Invalid_Segment","Invalid",IFERROR(INDEX(Severity_Matrix!$C$3:$M$10,MATCH('Error Log'!$F182,Severity_Matrix!$B$3:$B$10,0),MATCH('Error Log'!$G182,Severity_Matrix!$C$2:$M$2,0)),"No errors"))</f>
        <v>Critical</v>
      </c>
    </row>
    <row r="183" spans="1:10">
      <c r="A183" s="79" t="s">
        <v>406</v>
      </c>
      <c r="B183" s="18">
        <v>5</v>
      </c>
      <c r="C183" s="80" t="s">
        <v>402</v>
      </c>
      <c r="D183" s="80" t="s">
        <v>403</v>
      </c>
      <c r="E183" s="81" t="s">
        <v>21</v>
      </c>
      <c r="F183" s="81" t="s">
        <v>7</v>
      </c>
      <c r="G183" s="81" t="s">
        <v>57</v>
      </c>
      <c r="H183" s="81" t="s">
        <v>409</v>
      </c>
      <c r="I183" s="81"/>
      <c r="J183" s="15" t="str">
        <f>IF(E183="Invalid_Segment","Invalid",IFERROR(INDEX(Severity_Matrix!$C$3:$M$10,MATCH('Error Log'!$F183,Severity_Matrix!$B$3:$B$10,0),MATCH('Error Log'!$G183,Severity_Matrix!$C$2:$M$2,0)),"No errors"))</f>
        <v>Critical</v>
      </c>
    </row>
    <row r="184" spans="1:10">
      <c r="A184" s="79" t="s">
        <v>410</v>
      </c>
      <c r="B184" s="18">
        <v>1</v>
      </c>
      <c r="C184" s="80" t="s">
        <v>411</v>
      </c>
      <c r="D184" s="80" t="s">
        <v>412</v>
      </c>
      <c r="E184" s="81" t="s">
        <v>21</v>
      </c>
      <c r="F184" s="81" t="s">
        <v>7</v>
      </c>
      <c r="G184" s="81" t="s">
        <v>57</v>
      </c>
      <c r="H184" s="81" t="s">
        <v>413</v>
      </c>
      <c r="I184" s="81"/>
      <c r="J184" s="15" t="str">
        <f>IF(E184="Invalid_Segment","Invalid",IFERROR(INDEX(Severity_Matrix!$C$3:$M$10,MATCH('Error Log'!$F184,Severity_Matrix!$B$3:$B$10,0),MATCH('Error Log'!$G184,Severity_Matrix!$C$2:$M$2,0)),"No errors"))</f>
        <v>Critical</v>
      </c>
    </row>
    <row r="185" spans="1:10">
      <c r="A185" s="79" t="s">
        <v>410</v>
      </c>
      <c r="B185" s="18">
        <v>2</v>
      </c>
      <c r="C185" s="80" t="s">
        <v>411</v>
      </c>
      <c r="D185" s="80" t="s">
        <v>412</v>
      </c>
      <c r="E185" s="81" t="s">
        <v>21</v>
      </c>
      <c r="F185" s="81" t="s">
        <v>7</v>
      </c>
      <c r="G185" s="81" t="s">
        <v>57</v>
      </c>
      <c r="H185" s="81" t="s">
        <v>414</v>
      </c>
      <c r="I185" s="81"/>
      <c r="J185" s="15" t="str">
        <f>IF(E185="Invalid_Segment","Invalid",IFERROR(INDEX(Severity_Matrix!$C$3:$M$10,MATCH('Error Log'!$F185,Severity_Matrix!$B$3:$B$10,0),MATCH('Error Log'!$G185,Severity_Matrix!$C$2:$M$2,0)),"No errors"))</f>
        <v>Critical</v>
      </c>
    </row>
    <row r="186" spans="1:10">
      <c r="A186" s="79" t="s">
        <v>415</v>
      </c>
      <c r="B186" s="18">
        <v>3</v>
      </c>
      <c r="C186" s="80" t="s">
        <v>411</v>
      </c>
      <c r="D186" s="80" t="s">
        <v>412</v>
      </c>
      <c r="E186" s="81" t="s">
        <v>21</v>
      </c>
      <c r="F186" s="81" t="s">
        <v>22</v>
      </c>
      <c r="G186" s="81" t="s">
        <v>57</v>
      </c>
      <c r="H186" s="81" t="s">
        <v>416</v>
      </c>
      <c r="I186" s="81"/>
      <c r="J186" s="15" t="str">
        <f>IF(E186="Invalid_Segment","Invalid",IFERROR(INDEX(Severity_Matrix!$C$3:$M$10,MATCH('Error Log'!$F186,Severity_Matrix!$B$3:$B$10,0),MATCH('Error Log'!$G186,Severity_Matrix!$C$2:$M$2,0)),"No errors"))</f>
        <v>Major</v>
      </c>
    </row>
    <row r="187" spans="1:10">
      <c r="A187" s="79" t="s">
        <v>417</v>
      </c>
      <c r="B187" s="18">
        <v>1</v>
      </c>
      <c r="C187" s="80" t="s">
        <v>418</v>
      </c>
      <c r="D187" s="80" t="s">
        <v>419</v>
      </c>
      <c r="E187" s="81" t="s">
        <v>21</v>
      </c>
      <c r="F187" s="81" t="s">
        <v>22</v>
      </c>
      <c r="G187" s="81" t="s">
        <v>57</v>
      </c>
      <c r="H187" s="81" t="s">
        <v>420</v>
      </c>
      <c r="I187" s="81"/>
      <c r="J187" s="15" t="str">
        <f>IF(E187="Invalid_Segment","Invalid",IFERROR(INDEX(Severity_Matrix!$C$3:$M$10,MATCH('Error Log'!$F187,Severity_Matrix!$B$3:$B$10,0),MATCH('Error Log'!$G187,Severity_Matrix!$C$2:$M$2,0)),"No errors"))</f>
        <v>Major</v>
      </c>
    </row>
    <row r="188" spans="1:10">
      <c r="A188" s="79" t="s">
        <v>417</v>
      </c>
      <c r="B188" s="18">
        <v>2</v>
      </c>
      <c r="C188" s="80" t="s">
        <v>418</v>
      </c>
      <c r="D188" s="80" t="s">
        <v>419</v>
      </c>
      <c r="E188" s="81" t="s">
        <v>21</v>
      </c>
      <c r="F188" s="81" t="s">
        <v>22</v>
      </c>
      <c r="G188" s="81" t="s">
        <v>57</v>
      </c>
      <c r="H188" s="81" t="s">
        <v>421</v>
      </c>
      <c r="I188" s="81"/>
      <c r="J188" s="15" t="str">
        <f>IF(E188="Invalid_Segment","Invalid",IFERROR(INDEX(Severity_Matrix!$C$3:$M$10,MATCH('Error Log'!$F188,Severity_Matrix!$B$3:$B$10,0),MATCH('Error Log'!$G188,Severity_Matrix!$C$2:$M$2,0)),"No errors"))</f>
        <v>Major</v>
      </c>
    </row>
    <row r="189" spans="1:10">
      <c r="A189" s="79" t="s">
        <v>422</v>
      </c>
      <c r="B189" s="18">
        <v>3</v>
      </c>
      <c r="C189" s="80" t="s">
        <v>418</v>
      </c>
      <c r="D189" s="80" t="s">
        <v>419</v>
      </c>
      <c r="E189" s="81" t="s">
        <v>21</v>
      </c>
      <c r="F189" s="81" t="s">
        <v>22</v>
      </c>
      <c r="G189" s="81" t="s">
        <v>57</v>
      </c>
      <c r="H189" s="81" t="s">
        <v>423</v>
      </c>
      <c r="I189" s="81"/>
      <c r="J189" s="15" t="str">
        <f>IF(E189="Invalid_Segment","Invalid",IFERROR(INDEX(Severity_Matrix!$C$3:$M$10,MATCH('Error Log'!$F189,Severity_Matrix!$B$3:$B$10,0),MATCH('Error Log'!$G189,Severity_Matrix!$C$2:$M$2,0)),"No errors"))</f>
        <v>Major</v>
      </c>
    </row>
    <row r="190" spans="1:10">
      <c r="A190" s="79" t="s">
        <v>422</v>
      </c>
      <c r="B190" s="18">
        <v>4</v>
      </c>
      <c r="C190" s="80" t="s">
        <v>418</v>
      </c>
      <c r="D190" s="80" t="s">
        <v>419</v>
      </c>
      <c r="E190" s="81" t="s">
        <v>21</v>
      </c>
      <c r="F190" s="81" t="s">
        <v>7</v>
      </c>
      <c r="G190" s="81" t="s">
        <v>57</v>
      </c>
      <c r="H190" s="81" t="s">
        <v>424</v>
      </c>
      <c r="I190" s="81"/>
      <c r="J190" s="15" t="str">
        <f>IF(E190="Invalid_Segment","Invalid",IFERROR(INDEX(Severity_Matrix!$C$3:$M$10,MATCH('Error Log'!$F190,Severity_Matrix!$B$3:$B$10,0),MATCH('Error Log'!$G190,Severity_Matrix!$C$2:$M$2,0)),"No errors"))</f>
        <v>Critical</v>
      </c>
    </row>
    <row r="191" spans="1:10">
      <c r="A191" s="79" t="s">
        <v>422</v>
      </c>
      <c r="B191" s="18">
        <v>5</v>
      </c>
      <c r="C191" s="80" t="s">
        <v>418</v>
      </c>
      <c r="D191" s="80" t="s">
        <v>419</v>
      </c>
      <c r="E191" s="81" t="s">
        <v>21</v>
      </c>
      <c r="F191" s="81" t="s">
        <v>7</v>
      </c>
      <c r="G191" s="81" t="s">
        <v>57</v>
      </c>
      <c r="H191" s="81" t="s">
        <v>425</v>
      </c>
      <c r="I191" s="81"/>
      <c r="J191" s="15" t="str">
        <f>IF(E191="Invalid_Segment","Invalid",IFERROR(INDEX(Severity_Matrix!$C$3:$M$10,MATCH('Error Log'!$F191,Severity_Matrix!$B$3:$B$10,0),MATCH('Error Log'!$G191,Severity_Matrix!$C$2:$M$2,0)),"No errors"))</f>
        <v>Critical</v>
      </c>
    </row>
    <row r="192" spans="1:10">
      <c r="A192" s="79" t="s">
        <v>422</v>
      </c>
      <c r="B192" s="18">
        <v>6</v>
      </c>
      <c r="C192" s="80" t="s">
        <v>418</v>
      </c>
      <c r="D192" s="80" t="s">
        <v>419</v>
      </c>
      <c r="E192" s="81" t="s">
        <v>21</v>
      </c>
      <c r="F192" s="81" t="s">
        <v>7</v>
      </c>
      <c r="G192" s="81" t="s">
        <v>57</v>
      </c>
      <c r="H192" s="81" t="s">
        <v>426</v>
      </c>
      <c r="I192" s="81"/>
      <c r="J192" s="15" t="str">
        <f>IF(E192="Invalid_Segment","Invalid",IFERROR(INDEX(Severity_Matrix!$C$3:$M$10,MATCH('Error Log'!$F192,Severity_Matrix!$B$3:$B$10,0),MATCH('Error Log'!$G192,Severity_Matrix!$C$2:$M$2,0)),"No errors"))</f>
        <v>Critical</v>
      </c>
    </row>
    <row r="193" spans="1:10">
      <c r="A193" s="79" t="s">
        <v>427</v>
      </c>
      <c r="B193" s="18">
        <v>1</v>
      </c>
      <c r="C193" s="80" t="s">
        <v>428</v>
      </c>
      <c r="D193" s="80" t="s">
        <v>429</v>
      </c>
      <c r="E193" s="81" t="s">
        <v>21</v>
      </c>
      <c r="F193" s="81" t="s">
        <v>22</v>
      </c>
      <c r="G193" s="81" t="s">
        <v>57</v>
      </c>
      <c r="H193" s="81" t="s">
        <v>430</v>
      </c>
      <c r="I193" s="81"/>
      <c r="J193" s="15" t="str">
        <f>IF(E193="Invalid_Segment","Invalid",IFERROR(INDEX(Severity_Matrix!$C$3:$M$10,MATCH('Error Log'!$F193,Severity_Matrix!$B$3:$B$10,0),MATCH('Error Log'!$G193,Severity_Matrix!$C$2:$M$2,0)),"No errors"))</f>
        <v>Major</v>
      </c>
    </row>
    <row r="194" spans="1:10">
      <c r="A194" s="79" t="s">
        <v>427</v>
      </c>
      <c r="B194" s="18">
        <v>2</v>
      </c>
      <c r="C194" s="80" t="s">
        <v>428</v>
      </c>
      <c r="D194" s="80" t="s">
        <v>429</v>
      </c>
      <c r="E194" s="81" t="s">
        <v>21</v>
      </c>
      <c r="F194" s="81" t="s">
        <v>22</v>
      </c>
      <c r="G194" s="81" t="s">
        <v>57</v>
      </c>
      <c r="H194" s="85" t="s">
        <v>431</v>
      </c>
      <c r="I194" s="81"/>
      <c r="J194" s="15" t="str">
        <f>IF(E194="Invalid_Segment","Invalid",IFERROR(INDEX(Severity_Matrix!$C$3:$M$10,MATCH('Error Log'!$F194,Severity_Matrix!$B$3:$B$10,0),MATCH('Error Log'!$G194,Severity_Matrix!$C$2:$M$2,0)),"No errors"))</f>
        <v>Major</v>
      </c>
    </row>
    <row r="195" spans="1:10">
      <c r="A195" s="79" t="s">
        <v>427</v>
      </c>
      <c r="B195" s="18">
        <v>3</v>
      </c>
      <c r="C195" s="80" t="s">
        <v>428</v>
      </c>
      <c r="D195" s="80" t="s">
        <v>429</v>
      </c>
      <c r="E195" s="81" t="s">
        <v>21</v>
      </c>
      <c r="F195" s="81" t="s">
        <v>7</v>
      </c>
      <c r="G195" s="81" t="s">
        <v>57</v>
      </c>
      <c r="H195" s="81" t="s">
        <v>432</v>
      </c>
      <c r="I195" s="81"/>
      <c r="J195" s="15" t="str">
        <f>IF(E195="Invalid_Segment","Invalid",IFERROR(INDEX(Severity_Matrix!$C$3:$M$10,MATCH('Error Log'!$F195,Severity_Matrix!$B$3:$B$10,0),MATCH('Error Log'!$G195,Severity_Matrix!$C$2:$M$2,0)),"No errors"))</f>
        <v>Critical</v>
      </c>
    </row>
    <row r="196" spans="1:10">
      <c r="A196" s="79" t="s">
        <v>427</v>
      </c>
      <c r="B196" s="18">
        <v>4</v>
      </c>
      <c r="C196" s="80" t="s">
        <v>428</v>
      </c>
      <c r="D196" s="80" t="s">
        <v>429</v>
      </c>
      <c r="E196" s="81" t="s">
        <v>21</v>
      </c>
      <c r="F196" s="81" t="s">
        <v>7</v>
      </c>
      <c r="G196" s="81" t="s">
        <v>57</v>
      </c>
      <c r="H196" s="81" t="s">
        <v>433</v>
      </c>
      <c r="I196" s="81"/>
      <c r="J196" s="15" t="str">
        <f>IF(E196="Invalid_Segment","Invalid",IFERROR(INDEX(Severity_Matrix!$C$3:$M$10,MATCH('Error Log'!$F196,Severity_Matrix!$B$3:$B$10,0),MATCH('Error Log'!$G196,Severity_Matrix!$C$2:$M$2,0)),"No errors"))</f>
        <v>Critical</v>
      </c>
    </row>
    <row r="197" spans="1:10">
      <c r="A197" s="79" t="s">
        <v>434</v>
      </c>
      <c r="B197" s="18">
        <v>1</v>
      </c>
      <c r="C197" s="80" t="s">
        <v>435</v>
      </c>
      <c r="D197" s="80" t="s">
        <v>436</v>
      </c>
      <c r="E197" s="81" t="s">
        <v>2</v>
      </c>
      <c r="F197" s="81" t="s">
        <v>26</v>
      </c>
      <c r="G197" s="81" t="s">
        <v>57</v>
      </c>
      <c r="H197" s="81" t="s">
        <v>437</v>
      </c>
      <c r="I197" s="81"/>
      <c r="J197" s="15" t="str">
        <f>IF(E197="Invalid_Segment","Invalid",IFERROR(INDEX(Severity_Matrix!$C$3:$M$10,MATCH('Error Log'!$F197,Severity_Matrix!$B$3:$B$10,0),MATCH('Error Log'!$G197,Severity_Matrix!$C$2:$M$2,0)),"No errors"))</f>
        <v>Major</v>
      </c>
    </row>
    <row r="198" spans="1:10">
      <c r="A198" s="79" t="s">
        <v>434</v>
      </c>
      <c r="B198" s="18">
        <v>2</v>
      </c>
      <c r="C198" s="80" t="s">
        <v>435</v>
      </c>
      <c r="D198" s="80" t="s">
        <v>436</v>
      </c>
      <c r="E198" s="81" t="s">
        <v>21</v>
      </c>
      <c r="F198" s="81" t="s">
        <v>22</v>
      </c>
      <c r="G198" s="81" t="s">
        <v>57</v>
      </c>
      <c r="H198" s="81" t="s">
        <v>438</v>
      </c>
      <c r="I198" s="81"/>
      <c r="J198" s="15" t="str">
        <f>IF(E198="Invalid_Segment","Invalid",IFERROR(INDEX(Severity_Matrix!$C$3:$M$10,MATCH('Error Log'!$F198,Severity_Matrix!$B$3:$B$10,0),MATCH('Error Log'!$G198,Severity_Matrix!$C$2:$M$2,0)),"No errors"))</f>
        <v>Major</v>
      </c>
    </row>
    <row r="199" spans="1:10">
      <c r="A199" s="79" t="s">
        <v>439</v>
      </c>
      <c r="B199" s="18">
        <v>3</v>
      </c>
      <c r="C199" s="80" t="s">
        <v>435</v>
      </c>
      <c r="D199" s="80" t="s">
        <v>436</v>
      </c>
      <c r="E199" s="81" t="s">
        <v>21</v>
      </c>
      <c r="F199" s="81" t="s">
        <v>7</v>
      </c>
      <c r="G199" s="81" t="s">
        <v>57</v>
      </c>
      <c r="H199" s="81" t="s">
        <v>440</v>
      </c>
      <c r="I199" s="81"/>
      <c r="J199" s="15" t="str">
        <f>IF(E199="Invalid_Segment","Invalid",IFERROR(INDEX(Severity_Matrix!$C$3:$M$10,MATCH('Error Log'!$F199,Severity_Matrix!$B$3:$B$10,0),MATCH('Error Log'!$G199,Severity_Matrix!$C$2:$M$2,0)),"No errors"))</f>
        <v>Critical</v>
      </c>
    </row>
    <row r="200" spans="1:10">
      <c r="A200" s="79" t="s">
        <v>439</v>
      </c>
      <c r="B200" s="18">
        <v>4</v>
      </c>
      <c r="C200" s="80" t="s">
        <v>435</v>
      </c>
      <c r="D200" s="80" t="s">
        <v>436</v>
      </c>
      <c r="E200" s="81" t="s">
        <v>21</v>
      </c>
      <c r="F200" s="81" t="s">
        <v>7</v>
      </c>
      <c r="G200" s="81" t="s">
        <v>57</v>
      </c>
      <c r="H200" s="81" t="s">
        <v>441</v>
      </c>
      <c r="I200" s="81"/>
      <c r="J200" s="15" t="str">
        <f>IF(E200="Invalid_Segment","Invalid",IFERROR(INDEX(Severity_Matrix!$C$3:$M$10,MATCH('Error Log'!$F200,Severity_Matrix!$B$3:$B$10,0),MATCH('Error Log'!$G200,Severity_Matrix!$C$2:$M$2,0)),"No errors"))</f>
        <v>Critical</v>
      </c>
    </row>
    <row r="201" spans="1:10">
      <c r="A201" s="79" t="s">
        <v>439</v>
      </c>
      <c r="B201" s="18">
        <v>5</v>
      </c>
      <c r="C201" s="80" t="s">
        <v>435</v>
      </c>
      <c r="D201" s="80" t="s">
        <v>436</v>
      </c>
      <c r="E201" s="81" t="s">
        <v>21</v>
      </c>
      <c r="F201" s="81" t="s">
        <v>7</v>
      </c>
      <c r="G201" s="81" t="s">
        <v>57</v>
      </c>
      <c r="H201" s="81" t="s">
        <v>442</v>
      </c>
      <c r="I201" s="81"/>
      <c r="J201" s="15" t="str">
        <f>IF(E201="Invalid_Segment","Invalid",IFERROR(INDEX(Severity_Matrix!$C$3:$M$10,MATCH('Error Log'!$F201,Severity_Matrix!$B$3:$B$10,0),MATCH('Error Log'!$G201,Severity_Matrix!$C$2:$M$2,0)),"No errors"))</f>
        <v>Critical</v>
      </c>
    </row>
    <row r="202" spans="1:10">
      <c r="A202" s="79" t="s">
        <v>443</v>
      </c>
      <c r="B202" s="18">
        <v>1</v>
      </c>
      <c r="C202" s="80" t="s">
        <v>444</v>
      </c>
      <c r="D202" s="80" t="s">
        <v>445</v>
      </c>
      <c r="E202" s="81" t="s">
        <v>21</v>
      </c>
      <c r="F202" s="81" t="s">
        <v>22</v>
      </c>
      <c r="G202" s="81" t="s">
        <v>57</v>
      </c>
      <c r="H202" s="85" t="s">
        <v>446</v>
      </c>
      <c r="I202" s="81"/>
      <c r="J202" s="15" t="str">
        <f>IF(E202="Invalid_Segment","Invalid",IFERROR(INDEX(Severity_Matrix!$C$3:$M$10,MATCH('Error Log'!$F202,Severity_Matrix!$B$3:$B$10,0),MATCH('Error Log'!$G202,Severity_Matrix!$C$2:$M$2,0)),"No errors"))</f>
        <v>Major</v>
      </c>
    </row>
    <row r="203" spans="1:10">
      <c r="A203" s="79" t="s">
        <v>443</v>
      </c>
      <c r="B203" s="18">
        <v>2</v>
      </c>
      <c r="C203" s="80" t="s">
        <v>444</v>
      </c>
      <c r="D203" s="80" t="s">
        <v>445</v>
      </c>
      <c r="E203" s="81" t="s">
        <v>21</v>
      </c>
      <c r="F203" s="81" t="s">
        <v>7</v>
      </c>
      <c r="G203" s="81" t="s">
        <v>57</v>
      </c>
      <c r="H203" s="81" t="s">
        <v>447</v>
      </c>
      <c r="I203" s="81"/>
      <c r="J203" s="15" t="str">
        <f>IF(E203="Invalid_Segment","Invalid",IFERROR(INDEX(Severity_Matrix!$C$3:$M$10,MATCH('Error Log'!$F203,Severity_Matrix!$B$3:$B$10,0),MATCH('Error Log'!$G203,Severity_Matrix!$C$2:$M$2,0)),"No errors"))</f>
        <v>Critical</v>
      </c>
    </row>
    <row r="204" spans="1:10">
      <c r="A204" s="79" t="s">
        <v>448</v>
      </c>
      <c r="B204" s="18">
        <v>3</v>
      </c>
      <c r="C204" s="80" t="s">
        <v>444</v>
      </c>
      <c r="D204" s="80" t="s">
        <v>445</v>
      </c>
      <c r="E204" s="81" t="s">
        <v>21</v>
      </c>
      <c r="F204" s="81" t="s">
        <v>7</v>
      </c>
      <c r="G204" s="81" t="s">
        <v>57</v>
      </c>
      <c r="H204" s="81" t="s">
        <v>449</v>
      </c>
      <c r="I204" s="81"/>
      <c r="J204" s="15" t="str">
        <f>IF(E204="Invalid_Segment","Invalid",IFERROR(INDEX(Severity_Matrix!$C$3:$M$10,MATCH('Error Log'!$F204,Severity_Matrix!$B$3:$B$10,0),MATCH('Error Log'!$G204,Severity_Matrix!$C$2:$M$2,0)),"No errors"))</f>
        <v>Critical</v>
      </c>
    </row>
    <row r="205" spans="1:10">
      <c r="A205" s="79" t="s">
        <v>450</v>
      </c>
      <c r="B205" s="18">
        <v>1</v>
      </c>
      <c r="C205" s="80" t="s">
        <v>451</v>
      </c>
      <c r="D205" s="80" t="s">
        <v>452</v>
      </c>
      <c r="E205" s="81" t="s">
        <v>2</v>
      </c>
      <c r="F205" s="81" t="s">
        <v>26</v>
      </c>
      <c r="G205" s="81" t="s">
        <v>57</v>
      </c>
      <c r="H205" s="81" t="s">
        <v>453</v>
      </c>
      <c r="I205" s="81"/>
      <c r="J205" s="15" t="str">
        <f>IF(E205="Invalid_Segment","Invalid",IFERROR(INDEX(Severity_Matrix!$C$3:$M$10,MATCH('Error Log'!$F205,Severity_Matrix!$B$3:$B$10,0),MATCH('Error Log'!$G205,Severity_Matrix!$C$2:$M$2,0)),"No errors"))</f>
        <v>Major</v>
      </c>
    </row>
    <row r="206" spans="1:10">
      <c r="A206" s="79" t="s">
        <v>450</v>
      </c>
      <c r="B206" s="18">
        <v>2</v>
      </c>
      <c r="C206" s="80" t="s">
        <v>451</v>
      </c>
      <c r="D206" s="80" t="s">
        <v>452</v>
      </c>
      <c r="E206" s="81" t="s">
        <v>21</v>
      </c>
      <c r="F206" s="81" t="s">
        <v>7</v>
      </c>
      <c r="G206" s="81" t="s">
        <v>57</v>
      </c>
      <c r="H206" s="81" t="s">
        <v>454</v>
      </c>
      <c r="I206" s="81"/>
      <c r="J206" s="15" t="str">
        <f>IF(E206="Invalid_Segment","Invalid",IFERROR(INDEX(Severity_Matrix!$C$3:$M$10,MATCH('Error Log'!$F206,Severity_Matrix!$B$3:$B$10,0),MATCH('Error Log'!$G206,Severity_Matrix!$C$2:$M$2,0)),"No errors"))</f>
        <v>Critical</v>
      </c>
    </row>
    <row r="207" spans="1:10">
      <c r="A207" s="79" t="s">
        <v>455</v>
      </c>
      <c r="B207" s="18">
        <v>3</v>
      </c>
      <c r="C207" s="80" t="s">
        <v>451</v>
      </c>
      <c r="D207" s="80" t="s">
        <v>452</v>
      </c>
      <c r="E207" s="81" t="s">
        <v>21</v>
      </c>
      <c r="F207" s="81" t="s">
        <v>7</v>
      </c>
      <c r="G207" s="81" t="s">
        <v>57</v>
      </c>
      <c r="H207" s="81" t="s">
        <v>456</v>
      </c>
      <c r="I207" s="81"/>
      <c r="J207" s="15" t="str">
        <f>IF(E207="Invalid_Segment","Invalid",IFERROR(INDEX(Severity_Matrix!$C$3:$M$10,MATCH('Error Log'!$F207,Severity_Matrix!$B$3:$B$10,0),MATCH('Error Log'!$G207,Severity_Matrix!$C$2:$M$2,0)),"No errors"))</f>
        <v>Critical</v>
      </c>
    </row>
    <row r="208" spans="1:10">
      <c r="A208" s="79" t="s">
        <v>457</v>
      </c>
      <c r="B208" s="18">
        <v>1</v>
      </c>
      <c r="C208" s="80" t="s">
        <v>458</v>
      </c>
      <c r="D208" s="80" t="s">
        <v>459</v>
      </c>
      <c r="E208" s="81" t="s">
        <v>2</v>
      </c>
      <c r="F208" s="81" t="s">
        <v>26</v>
      </c>
      <c r="G208" s="81" t="s">
        <v>57</v>
      </c>
      <c r="H208" s="81" t="s">
        <v>460</v>
      </c>
      <c r="I208" s="81"/>
      <c r="J208" s="15" t="str">
        <f>IF(E208="Invalid_Segment","Invalid",IFERROR(INDEX(Severity_Matrix!$C$3:$M$10,MATCH('Error Log'!$F208,Severity_Matrix!$B$3:$B$10,0),MATCH('Error Log'!$G208,Severity_Matrix!$C$2:$M$2,0)),"No errors"))</f>
        <v>Major</v>
      </c>
    </row>
    <row r="209" spans="1:10">
      <c r="A209" s="79" t="s">
        <v>461</v>
      </c>
      <c r="B209" s="18">
        <v>1</v>
      </c>
      <c r="C209" s="80" t="s">
        <v>462</v>
      </c>
      <c r="D209" s="80" t="s">
        <v>463</v>
      </c>
      <c r="E209" s="81" t="s">
        <v>2</v>
      </c>
      <c r="F209" s="81" t="s">
        <v>26</v>
      </c>
      <c r="G209" s="81" t="s">
        <v>57</v>
      </c>
      <c r="H209" s="85" t="s">
        <v>464</v>
      </c>
      <c r="I209" s="81"/>
      <c r="J209" s="15" t="str">
        <f>IF(E209="Invalid_Segment","Invalid",IFERROR(INDEX(Severity_Matrix!$C$3:$M$10,MATCH('Error Log'!$F209,Severity_Matrix!$B$3:$B$10,0),MATCH('Error Log'!$G209,Severity_Matrix!$C$2:$M$2,0)),"No errors"))</f>
        <v>Major</v>
      </c>
    </row>
    <row r="210" spans="1:10">
      <c r="A210" s="79" t="s">
        <v>461</v>
      </c>
      <c r="B210" s="18">
        <v>2</v>
      </c>
      <c r="C210" s="80" t="s">
        <v>462</v>
      </c>
      <c r="D210" s="80" t="s">
        <v>463</v>
      </c>
      <c r="E210" s="81" t="s">
        <v>21</v>
      </c>
      <c r="F210" s="81" t="s">
        <v>22</v>
      </c>
      <c r="G210" s="81" t="s">
        <v>57</v>
      </c>
      <c r="H210" s="81" t="s">
        <v>465</v>
      </c>
      <c r="I210" s="81"/>
      <c r="J210" s="15" t="str">
        <f>IF(E210="Invalid_Segment","Invalid",IFERROR(INDEX(Severity_Matrix!$C$3:$M$10,MATCH('Error Log'!$F210,Severity_Matrix!$B$3:$B$10,0),MATCH('Error Log'!$G210,Severity_Matrix!$C$2:$M$2,0)),"No errors"))</f>
        <v>Major</v>
      </c>
    </row>
    <row r="211" spans="1:10">
      <c r="A211" s="79" t="s">
        <v>466</v>
      </c>
      <c r="B211" s="18">
        <v>3</v>
      </c>
      <c r="C211" s="80" t="s">
        <v>462</v>
      </c>
      <c r="D211" s="80" t="s">
        <v>463</v>
      </c>
      <c r="E211" s="81" t="s">
        <v>2</v>
      </c>
      <c r="F211" s="81" t="s">
        <v>26</v>
      </c>
      <c r="G211" s="81" t="s">
        <v>57</v>
      </c>
      <c r="H211" s="85" t="s">
        <v>464</v>
      </c>
      <c r="I211" s="81"/>
      <c r="J211" s="15" t="str">
        <f>IF(E211="Invalid_Segment","Invalid",IFERROR(INDEX(Severity_Matrix!$C$3:$M$10,MATCH('Error Log'!$F211,Severity_Matrix!$B$3:$B$10,0),MATCH('Error Log'!$G211,Severity_Matrix!$C$2:$M$2,0)),"No errors"))</f>
        <v>Major</v>
      </c>
    </row>
    <row r="212" spans="1:10">
      <c r="A212" s="79" t="s">
        <v>466</v>
      </c>
      <c r="B212" s="18">
        <v>4</v>
      </c>
      <c r="C212" s="80" t="s">
        <v>462</v>
      </c>
      <c r="D212" s="80" t="s">
        <v>463</v>
      </c>
      <c r="E212" s="81" t="s">
        <v>21</v>
      </c>
      <c r="F212" s="81" t="s">
        <v>7</v>
      </c>
      <c r="G212" s="81" t="s">
        <v>57</v>
      </c>
      <c r="H212" s="81" t="s">
        <v>467</v>
      </c>
      <c r="I212" s="81"/>
      <c r="J212" s="15" t="str">
        <f>IF(E212="Invalid_Segment","Invalid",IFERROR(INDEX(Severity_Matrix!$C$3:$M$10,MATCH('Error Log'!$F212,Severity_Matrix!$B$3:$B$10,0),MATCH('Error Log'!$G212,Severity_Matrix!$C$2:$M$2,0)),"No errors"))</f>
        <v>Critical</v>
      </c>
    </row>
    <row r="213" spans="1:10">
      <c r="A213" s="79" t="s">
        <v>466</v>
      </c>
      <c r="B213" s="18">
        <v>5</v>
      </c>
      <c r="C213" s="80" t="s">
        <v>462</v>
      </c>
      <c r="D213" s="80" t="s">
        <v>463</v>
      </c>
      <c r="E213" s="81" t="s">
        <v>21</v>
      </c>
      <c r="F213" s="81" t="s">
        <v>7</v>
      </c>
      <c r="G213" s="81" t="s">
        <v>57</v>
      </c>
      <c r="H213" s="81" t="s">
        <v>468</v>
      </c>
      <c r="I213" s="81"/>
      <c r="J213" s="15" t="str">
        <f>IF(E213="Invalid_Segment","Invalid",IFERROR(INDEX(Severity_Matrix!$C$3:$M$10,MATCH('Error Log'!$F213,Severity_Matrix!$B$3:$B$10,0),MATCH('Error Log'!$G213,Severity_Matrix!$C$2:$M$2,0)),"No errors"))</f>
        <v>Critical</v>
      </c>
    </row>
    <row r="214" spans="1:10">
      <c r="A214" s="79" t="s">
        <v>466</v>
      </c>
      <c r="B214" s="18">
        <v>6</v>
      </c>
      <c r="C214" s="80" t="s">
        <v>462</v>
      </c>
      <c r="D214" s="80" t="s">
        <v>463</v>
      </c>
      <c r="E214" s="81" t="s">
        <v>21</v>
      </c>
      <c r="F214" s="81" t="s">
        <v>7</v>
      </c>
      <c r="G214" s="81" t="s">
        <v>57</v>
      </c>
      <c r="H214" s="81" t="s">
        <v>469</v>
      </c>
      <c r="I214" s="81"/>
      <c r="J214" s="15" t="str">
        <f>IF(E214="Invalid_Segment","Invalid",IFERROR(INDEX(Severity_Matrix!$C$3:$M$10,MATCH('Error Log'!$F214,Severity_Matrix!$B$3:$B$10,0),MATCH('Error Log'!$G214,Severity_Matrix!$C$2:$M$2,0)),"No errors"))</f>
        <v>Critical</v>
      </c>
    </row>
    <row r="215" spans="1:10">
      <c r="A215" s="79" t="s">
        <v>466</v>
      </c>
      <c r="B215" s="18">
        <v>7</v>
      </c>
      <c r="C215" s="80" t="s">
        <v>462</v>
      </c>
      <c r="D215" s="80" t="s">
        <v>463</v>
      </c>
      <c r="E215" s="81" t="s">
        <v>21</v>
      </c>
      <c r="F215" s="81" t="s">
        <v>7</v>
      </c>
      <c r="G215" s="81" t="s">
        <v>57</v>
      </c>
      <c r="H215" s="81" t="s">
        <v>470</v>
      </c>
      <c r="I215" s="81"/>
      <c r="J215" s="15" t="str">
        <f>IF(E215="Invalid_Segment","Invalid",IFERROR(INDEX(Severity_Matrix!$C$3:$M$10,MATCH('Error Log'!$F215,Severity_Matrix!$B$3:$B$10,0),MATCH('Error Log'!$G215,Severity_Matrix!$C$2:$M$2,0)),"No errors"))</f>
        <v>Critical</v>
      </c>
    </row>
    <row r="216" spans="1:10">
      <c r="A216" s="79" t="s">
        <v>466</v>
      </c>
      <c r="B216" s="18">
        <v>8</v>
      </c>
      <c r="C216" s="80" t="s">
        <v>462</v>
      </c>
      <c r="D216" s="80" t="s">
        <v>463</v>
      </c>
      <c r="E216" s="81" t="s">
        <v>21</v>
      </c>
      <c r="F216" s="81" t="s">
        <v>7</v>
      </c>
      <c r="G216" s="81" t="s">
        <v>57</v>
      </c>
      <c r="H216" s="81" t="s">
        <v>471</v>
      </c>
      <c r="I216" s="81"/>
      <c r="J216" s="15" t="str">
        <f>IF(E216="Invalid_Segment","Invalid",IFERROR(INDEX(Severity_Matrix!$C$3:$M$10,MATCH('Error Log'!$F216,Severity_Matrix!$B$3:$B$10,0),MATCH('Error Log'!$G216,Severity_Matrix!$C$2:$M$2,0)),"No errors"))</f>
        <v>Critical</v>
      </c>
    </row>
    <row r="217" spans="1:10">
      <c r="A217" s="79" t="s">
        <v>472</v>
      </c>
      <c r="B217" s="18">
        <v>1</v>
      </c>
      <c r="C217" s="80" t="s">
        <v>473</v>
      </c>
      <c r="D217" s="80" t="s">
        <v>474</v>
      </c>
      <c r="E217" s="81"/>
      <c r="F217" s="81"/>
      <c r="G217" s="81"/>
      <c r="H217" s="81"/>
      <c r="I217" s="81"/>
      <c r="J217" s="15" t="str">
        <f>IF(E217="Invalid_Segment","Invalid",IFERROR(INDEX(Severity_Matrix!$C$3:$M$10,MATCH('Error Log'!$F217,Severity_Matrix!$B$3:$B$10,0),MATCH('Error Log'!$G217,Severity_Matrix!$C$2:$M$2,0)),"No errors"))</f>
        <v>No errors</v>
      </c>
    </row>
    <row r="218" spans="1:10">
      <c r="A218" s="79" t="s">
        <v>475</v>
      </c>
      <c r="B218" s="18">
        <v>1</v>
      </c>
      <c r="C218" s="80" t="s">
        <v>476</v>
      </c>
      <c r="D218" s="80" t="s">
        <v>477</v>
      </c>
      <c r="E218" s="81" t="s">
        <v>21</v>
      </c>
      <c r="F218" s="81" t="s">
        <v>22</v>
      </c>
      <c r="G218" s="81" t="s">
        <v>57</v>
      </c>
      <c r="H218" s="81" t="s">
        <v>478</v>
      </c>
      <c r="I218" s="81"/>
      <c r="J218" s="15" t="str">
        <f>IF(E218="Invalid_Segment","Invalid",IFERROR(INDEX(Severity_Matrix!$C$3:$M$10,MATCH('Error Log'!$F218,Severity_Matrix!$B$3:$B$10,0),MATCH('Error Log'!$G218,Severity_Matrix!$C$2:$M$2,0)),"No errors"))</f>
        <v>Major</v>
      </c>
    </row>
    <row r="219" spans="1:10">
      <c r="A219" s="79" t="s">
        <v>475</v>
      </c>
      <c r="B219" s="18">
        <v>2</v>
      </c>
      <c r="C219" s="80" t="s">
        <v>476</v>
      </c>
      <c r="D219" s="80" t="s">
        <v>477</v>
      </c>
      <c r="E219" s="81" t="s">
        <v>21</v>
      </c>
      <c r="F219" s="81" t="s">
        <v>7</v>
      </c>
      <c r="G219" s="81" t="s">
        <v>57</v>
      </c>
      <c r="H219" s="81" t="s">
        <v>479</v>
      </c>
      <c r="I219" s="81"/>
      <c r="J219" s="15" t="str">
        <f>IF(E219="Invalid_Segment","Invalid",IFERROR(INDEX(Severity_Matrix!$C$3:$M$10,MATCH('Error Log'!$F219,Severity_Matrix!$B$3:$B$10,0),MATCH('Error Log'!$G219,Severity_Matrix!$C$2:$M$2,0)),"No errors"))</f>
        <v>Critical</v>
      </c>
    </row>
    <row r="220" spans="1:10">
      <c r="A220" s="79" t="s">
        <v>480</v>
      </c>
      <c r="B220" s="18">
        <v>3</v>
      </c>
      <c r="C220" s="80" t="s">
        <v>476</v>
      </c>
      <c r="D220" s="80" t="s">
        <v>477</v>
      </c>
      <c r="E220" s="81" t="s">
        <v>21</v>
      </c>
      <c r="F220" s="81" t="s">
        <v>7</v>
      </c>
      <c r="G220" s="81" t="s">
        <v>57</v>
      </c>
      <c r="H220" s="81" t="s">
        <v>481</v>
      </c>
      <c r="I220" s="81"/>
      <c r="J220" s="15" t="str">
        <f>IF(E220="Invalid_Segment","Invalid",IFERROR(INDEX(Severity_Matrix!$C$3:$M$10,MATCH('Error Log'!$F220,Severity_Matrix!$B$3:$B$10,0),MATCH('Error Log'!$G220,Severity_Matrix!$C$2:$M$2,0)),"No errors"))</f>
        <v>Critical</v>
      </c>
    </row>
    <row r="221" spans="1:10">
      <c r="A221" s="79" t="s">
        <v>480</v>
      </c>
      <c r="B221" s="18">
        <v>4</v>
      </c>
      <c r="C221" s="80" t="s">
        <v>476</v>
      </c>
      <c r="D221" s="80" t="s">
        <v>477</v>
      </c>
      <c r="E221" s="81" t="s">
        <v>21</v>
      </c>
      <c r="F221" s="81" t="s">
        <v>7</v>
      </c>
      <c r="G221" s="81" t="s">
        <v>57</v>
      </c>
      <c r="H221" s="81" t="s">
        <v>482</v>
      </c>
      <c r="I221" s="81"/>
      <c r="J221" s="15" t="str">
        <f>IF(E221="Invalid_Segment","Invalid",IFERROR(INDEX(Severity_Matrix!$C$3:$M$10,MATCH('Error Log'!$F221,Severity_Matrix!$B$3:$B$10,0),MATCH('Error Log'!$G221,Severity_Matrix!$C$2:$M$2,0)),"No errors"))</f>
        <v>Critical</v>
      </c>
    </row>
    <row r="222" spans="1:10">
      <c r="A222" s="79" t="s">
        <v>480</v>
      </c>
      <c r="B222" s="18">
        <v>5</v>
      </c>
      <c r="C222" s="80" t="s">
        <v>476</v>
      </c>
      <c r="D222" s="80" t="s">
        <v>477</v>
      </c>
      <c r="E222" s="81" t="s">
        <v>21</v>
      </c>
      <c r="F222" s="81" t="s">
        <v>7</v>
      </c>
      <c r="G222" s="81" t="s">
        <v>57</v>
      </c>
      <c r="H222" s="81" t="s">
        <v>483</v>
      </c>
      <c r="I222" s="81"/>
      <c r="J222" s="15" t="str">
        <f>IF(E222="Invalid_Segment","Invalid",IFERROR(INDEX(Severity_Matrix!$C$3:$M$10,MATCH('Error Log'!$F222,Severity_Matrix!$B$3:$B$10,0),MATCH('Error Log'!$G222,Severity_Matrix!$C$2:$M$2,0)),"No errors"))</f>
        <v>Critical</v>
      </c>
    </row>
    <row r="223" spans="1:10">
      <c r="A223" s="79" t="s">
        <v>484</v>
      </c>
      <c r="B223" s="18">
        <v>1</v>
      </c>
      <c r="C223" s="80" t="s">
        <v>485</v>
      </c>
      <c r="D223" s="80" t="s">
        <v>486</v>
      </c>
      <c r="E223" s="81" t="s">
        <v>2</v>
      </c>
      <c r="F223" s="81" t="s">
        <v>26</v>
      </c>
      <c r="G223" s="81" t="s">
        <v>57</v>
      </c>
      <c r="H223" s="81" t="s">
        <v>487</v>
      </c>
      <c r="I223" s="81"/>
      <c r="J223" s="15" t="str">
        <f>IF(E223="Invalid_Segment","Invalid",IFERROR(INDEX(Severity_Matrix!$C$3:$M$10,MATCH('Error Log'!$F223,Severity_Matrix!$B$3:$B$10,0),MATCH('Error Log'!$G223,Severity_Matrix!$C$2:$M$2,0)),"No errors"))</f>
        <v>Major</v>
      </c>
    </row>
    <row r="224" spans="1:10">
      <c r="A224" s="79" t="s">
        <v>484</v>
      </c>
      <c r="B224" s="18">
        <v>2</v>
      </c>
      <c r="C224" s="80" t="s">
        <v>485</v>
      </c>
      <c r="D224" s="80" t="s">
        <v>486</v>
      </c>
      <c r="E224" s="81" t="s">
        <v>21</v>
      </c>
      <c r="F224" s="81" t="s">
        <v>22</v>
      </c>
      <c r="G224" s="81" t="s">
        <v>57</v>
      </c>
      <c r="H224" s="81" t="s">
        <v>488</v>
      </c>
      <c r="I224" s="81"/>
      <c r="J224" s="15" t="str">
        <f>IF(E224="Invalid_Segment","Invalid",IFERROR(INDEX(Severity_Matrix!$C$3:$M$10,MATCH('Error Log'!$F224,Severity_Matrix!$B$3:$B$10,0),MATCH('Error Log'!$G224,Severity_Matrix!$C$2:$M$2,0)),"No errors"))</f>
        <v>Major</v>
      </c>
    </row>
    <row r="225" spans="1:10">
      <c r="A225" s="79" t="s">
        <v>489</v>
      </c>
      <c r="B225" s="18">
        <v>3</v>
      </c>
      <c r="C225" s="80" t="s">
        <v>485</v>
      </c>
      <c r="D225" s="80" t="s">
        <v>486</v>
      </c>
      <c r="E225" s="81" t="s">
        <v>21</v>
      </c>
      <c r="F225" s="81" t="s">
        <v>7</v>
      </c>
      <c r="G225" s="81" t="s">
        <v>57</v>
      </c>
      <c r="H225" s="81" t="s">
        <v>490</v>
      </c>
      <c r="I225" s="81"/>
      <c r="J225" s="15" t="str">
        <f>IF(E225="Invalid_Segment","Invalid",IFERROR(INDEX(Severity_Matrix!$C$3:$M$10,MATCH('Error Log'!$F225,Severity_Matrix!$B$3:$B$10,0),MATCH('Error Log'!$G225,Severity_Matrix!$C$2:$M$2,0)),"No errors"))</f>
        <v>Critical</v>
      </c>
    </row>
    <row r="226" spans="1:10">
      <c r="A226" s="79" t="s">
        <v>489</v>
      </c>
      <c r="B226" s="18">
        <v>4</v>
      </c>
      <c r="C226" s="80" t="s">
        <v>485</v>
      </c>
      <c r="D226" s="80" t="s">
        <v>486</v>
      </c>
      <c r="E226" s="81" t="s">
        <v>21</v>
      </c>
      <c r="F226" s="81" t="s">
        <v>7</v>
      </c>
      <c r="G226" s="81" t="s">
        <v>57</v>
      </c>
      <c r="H226" s="81" t="s">
        <v>491</v>
      </c>
      <c r="I226" s="81"/>
      <c r="J226" s="15" t="str">
        <f>IF(E226="Invalid_Segment","Invalid",IFERROR(INDEX(Severity_Matrix!$C$3:$M$10,MATCH('Error Log'!$F226,Severity_Matrix!$B$3:$B$10,0),MATCH('Error Log'!$G226,Severity_Matrix!$C$2:$M$2,0)),"No errors"))</f>
        <v>Critical</v>
      </c>
    </row>
    <row r="227" spans="1:10">
      <c r="A227" s="79" t="s">
        <v>492</v>
      </c>
      <c r="B227" s="18">
        <v>1</v>
      </c>
      <c r="C227" s="80" t="s">
        <v>493</v>
      </c>
      <c r="D227" s="80" t="s">
        <v>494</v>
      </c>
      <c r="E227" s="81" t="s">
        <v>21</v>
      </c>
      <c r="F227" s="81" t="s">
        <v>22</v>
      </c>
      <c r="G227" s="81" t="s">
        <v>55</v>
      </c>
      <c r="H227" s="81" t="s">
        <v>495</v>
      </c>
      <c r="I227" s="81"/>
      <c r="J227" s="15" t="str">
        <f>IF(E227="Invalid_Segment","Invalid",IFERROR(INDEX(Severity_Matrix!$C$3:$M$10,MATCH('Error Log'!$F227,Severity_Matrix!$B$3:$B$10,0),MATCH('Error Log'!$G227,Severity_Matrix!$C$2:$M$2,0)),"No errors"))</f>
        <v>Critical</v>
      </c>
    </row>
    <row r="228" spans="1:10">
      <c r="A228" s="79" t="s">
        <v>492</v>
      </c>
      <c r="B228" s="18">
        <v>2</v>
      </c>
      <c r="C228" s="80" t="s">
        <v>493</v>
      </c>
      <c r="D228" s="80" t="s">
        <v>494</v>
      </c>
      <c r="E228" s="81" t="s">
        <v>2</v>
      </c>
      <c r="F228" s="81" t="s">
        <v>26</v>
      </c>
      <c r="G228" s="81" t="s">
        <v>57</v>
      </c>
      <c r="H228" s="81" t="s">
        <v>496</v>
      </c>
      <c r="I228" s="81"/>
      <c r="J228" s="15" t="str">
        <f>IF(E228="Invalid_Segment","Invalid",IFERROR(INDEX(Severity_Matrix!$C$3:$M$10,MATCH('Error Log'!$F228,Severity_Matrix!$B$3:$B$10,0),MATCH('Error Log'!$G228,Severity_Matrix!$C$2:$M$2,0)),"No errors"))</f>
        <v>Major</v>
      </c>
    </row>
    <row r="229" spans="1:10">
      <c r="A229" s="79" t="s">
        <v>497</v>
      </c>
      <c r="B229" s="18">
        <v>3</v>
      </c>
      <c r="C229" s="80" t="s">
        <v>493</v>
      </c>
      <c r="D229" s="80" t="s">
        <v>494</v>
      </c>
      <c r="E229" s="81" t="s">
        <v>21</v>
      </c>
      <c r="F229" s="81" t="s">
        <v>22</v>
      </c>
      <c r="G229" s="81" t="s">
        <v>57</v>
      </c>
      <c r="H229" s="81" t="s">
        <v>498</v>
      </c>
      <c r="I229" s="81"/>
      <c r="J229" s="15" t="str">
        <f>IF(E229="Invalid_Segment","Invalid",IFERROR(INDEX(Severity_Matrix!$C$3:$M$10,MATCH('Error Log'!$F229,Severity_Matrix!$B$3:$B$10,0),MATCH('Error Log'!$G229,Severity_Matrix!$C$2:$M$2,0)),"No errors"))</f>
        <v>Major</v>
      </c>
    </row>
    <row r="230" spans="1:10">
      <c r="A230" s="79" t="s">
        <v>497</v>
      </c>
      <c r="B230" s="18">
        <v>4</v>
      </c>
      <c r="C230" s="80" t="s">
        <v>493</v>
      </c>
      <c r="D230" s="80" t="s">
        <v>494</v>
      </c>
      <c r="E230" s="81" t="s">
        <v>21</v>
      </c>
      <c r="F230" s="81" t="s">
        <v>22</v>
      </c>
      <c r="G230" s="81" t="s">
        <v>57</v>
      </c>
      <c r="H230" s="81" t="s">
        <v>499</v>
      </c>
      <c r="I230" s="81"/>
      <c r="J230" s="15" t="str">
        <f>IF(E230="Invalid_Segment","Invalid",IFERROR(INDEX(Severity_Matrix!$C$3:$M$10,MATCH('Error Log'!$F230,Severity_Matrix!$B$3:$B$10,0),MATCH('Error Log'!$G230,Severity_Matrix!$C$2:$M$2,0)),"No errors"))</f>
        <v>Major</v>
      </c>
    </row>
    <row r="231" spans="1:10">
      <c r="A231" s="79" t="s">
        <v>497</v>
      </c>
      <c r="B231" s="18">
        <v>5</v>
      </c>
      <c r="C231" s="80" t="s">
        <v>493</v>
      </c>
      <c r="D231" s="80" t="s">
        <v>494</v>
      </c>
      <c r="E231" s="81" t="s">
        <v>21</v>
      </c>
      <c r="F231" s="81" t="s">
        <v>22</v>
      </c>
      <c r="G231" s="81" t="s">
        <v>57</v>
      </c>
      <c r="H231" s="81" t="s">
        <v>500</v>
      </c>
      <c r="I231" s="81"/>
      <c r="J231" s="15" t="str">
        <f>IF(E231="Invalid_Segment","Invalid",IFERROR(INDEX(Severity_Matrix!$C$3:$M$10,MATCH('Error Log'!$F231,Severity_Matrix!$B$3:$B$10,0),MATCH('Error Log'!$G231,Severity_Matrix!$C$2:$M$2,0)),"No errors"))</f>
        <v>Major</v>
      </c>
    </row>
    <row r="232" spans="1:10">
      <c r="A232" s="79" t="s">
        <v>497</v>
      </c>
      <c r="B232" s="18">
        <v>6</v>
      </c>
      <c r="C232" s="80" t="s">
        <v>493</v>
      </c>
      <c r="D232" s="80" t="s">
        <v>494</v>
      </c>
      <c r="E232" s="81" t="s">
        <v>21</v>
      </c>
      <c r="F232" s="81" t="s">
        <v>22</v>
      </c>
      <c r="G232" s="81" t="s">
        <v>57</v>
      </c>
      <c r="H232" s="81" t="s">
        <v>501</v>
      </c>
      <c r="I232" s="81"/>
      <c r="J232" s="15" t="str">
        <f>IF(E232="Invalid_Segment","Invalid",IFERROR(INDEX(Severity_Matrix!$C$3:$M$10,MATCH('Error Log'!$F232,Severity_Matrix!$B$3:$B$10,0),MATCH('Error Log'!$G232,Severity_Matrix!$C$2:$M$2,0)),"No errors"))</f>
        <v>Major</v>
      </c>
    </row>
    <row r="233" spans="1:10">
      <c r="A233" s="79" t="s">
        <v>497</v>
      </c>
      <c r="B233" s="18">
        <v>7</v>
      </c>
      <c r="C233" s="80" t="s">
        <v>493</v>
      </c>
      <c r="D233" s="80" t="s">
        <v>494</v>
      </c>
      <c r="E233" s="81" t="s">
        <v>21</v>
      </c>
      <c r="F233" s="81" t="s">
        <v>22</v>
      </c>
      <c r="G233" s="81" t="s">
        <v>57</v>
      </c>
      <c r="H233" s="81" t="s">
        <v>502</v>
      </c>
      <c r="I233" s="81"/>
      <c r="J233" s="15" t="str">
        <f>IF(E233="Invalid_Segment","Invalid",IFERROR(INDEX(Severity_Matrix!$C$3:$M$10,MATCH('Error Log'!$F233,Severity_Matrix!$B$3:$B$10,0),MATCH('Error Log'!$G233,Severity_Matrix!$C$2:$M$2,0)),"No errors"))</f>
        <v>Major</v>
      </c>
    </row>
    <row r="234" spans="1:10">
      <c r="A234" s="79" t="s">
        <v>503</v>
      </c>
      <c r="B234" s="18">
        <v>1</v>
      </c>
      <c r="C234" s="80" t="s">
        <v>504</v>
      </c>
      <c r="D234" s="80" t="s">
        <v>505</v>
      </c>
      <c r="E234" s="81" t="s">
        <v>21</v>
      </c>
      <c r="F234" s="81" t="s">
        <v>63</v>
      </c>
      <c r="G234" s="81" t="s">
        <v>27</v>
      </c>
      <c r="H234" s="81" t="s">
        <v>506</v>
      </c>
      <c r="I234" s="81"/>
      <c r="J234" s="15" t="str">
        <f>IF(E234="Invalid_Segment","Invalid",IFERROR(INDEX(Severity_Matrix!$C$3:$M$10,MATCH('Error Log'!$F234,Severity_Matrix!$B$3:$B$10,0),MATCH('Error Log'!$G234,Severity_Matrix!$C$2:$M$2,0)),"No errors"))</f>
        <v>Critical</v>
      </c>
    </row>
    <row r="235" spans="1:10">
      <c r="A235" s="79" t="s">
        <v>503</v>
      </c>
      <c r="B235" s="18">
        <v>2</v>
      </c>
      <c r="C235" s="80" t="s">
        <v>504</v>
      </c>
      <c r="D235" s="80" t="s">
        <v>505</v>
      </c>
      <c r="E235" s="81" t="s">
        <v>2</v>
      </c>
      <c r="F235" s="81" t="s">
        <v>26</v>
      </c>
      <c r="G235" s="81" t="s">
        <v>57</v>
      </c>
      <c r="H235" s="81" t="s">
        <v>507</v>
      </c>
      <c r="I235" s="81"/>
      <c r="J235" s="15" t="str">
        <f>IF(E235="Invalid_Segment","Invalid",IFERROR(INDEX(Severity_Matrix!$C$3:$M$10,MATCH('Error Log'!$F235,Severity_Matrix!$B$3:$B$10,0),MATCH('Error Log'!$G235,Severity_Matrix!$C$2:$M$2,0)),"No errors"))</f>
        <v>Major</v>
      </c>
    </row>
    <row r="236" spans="1:10">
      <c r="A236" s="79" t="s">
        <v>508</v>
      </c>
      <c r="B236" s="18">
        <v>3</v>
      </c>
      <c r="C236" s="80" t="s">
        <v>504</v>
      </c>
      <c r="D236" s="80" t="s">
        <v>505</v>
      </c>
      <c r="E236" s="81" t="s">
        <v>21</v>
      </c>
      <c r="F236" s="81" t="s">
        <v>7</v>
      </c>
      <c r="G236" s="81" t="s">
        <v>57</v>
      </c>
      <c r="H236" s="81" t="s">
        <v>509</v>
      </c>
      <c r="I236" s="81"/>
      <c r="J236" s="15" t="str">
        <f>IF(E236="Invalid_Segment","Invalid",IFERROR(INDEX(Severity_Matrix!$C$3:$M$10,MATCH('Error Log'!$F236,Severity_Matrix!$B$3:$B$10,0),MATCH('Error Log'!$G236,Severity_Matrix!$C$2:$M$2,0)),"No errors"))</f>
        <v>Critical</v>
      </c>
    </row>
    <row r="237" spans="1:10">
      <c r="A237" s="79" t="s">
        <v>510</v>
      </c>
      <c r="B237" s="18">
        <v>1</v>
      </c>
      <c r="C237" s="80" t="s">
        <v>511</v>
      </c>
      <c r="D237" s="80" t="s">
        <v>512</v>
      </c>
      <c r="E237" s="81" t="s">
        <v>21</v>
      </c>
      <c r="F237" s="81" t="s">
        <v>22</v>
      </c>
      <c r="G237" s="81" t="s">
        <v>57</v>
      </c>
      <c r="H237" s="81" t="s">
        <v>513</v>
      </c>
      <c r="I237" s="81"/>
      <c r="J237" s="15" t="str">
        <f>IF(E237="Invalid_Segment","Invalid",IFERROR(INDEX(Severity_Matrix!$C$3:$M$10,MATCH('Error Log'!$F237,Severity_Matrix!$B$3:$B$10,0),MATCH('Error Log'!$G237,Severity_Matrix!$C$2:$M$2,0)),"No errors"))</f>
        <v>Major</v>
      </c>
    </row>
    <row r="238" spans="1:10">
      <c r="A238" s="79" t="s">
        <v>510</v>
      </c>
      <c r="B238" s="18">
        <v>2</v>
      </c>
      <c r="C238" s="80" t="s">
        <v>511</v>
      </c>
      <c r="D238" s="80" t="s">
        <v>512</v>
      </c>
      <c r="E238" s="81" t="s">
        <v>2</v>
      </c>
      <c r="F238" s="81" t="s">
        <v>26</v>
      </c>
      <c r="G238" s="81" t="s">
        <v>57</v>
      </c>
      <c r="H238" s="81" t="s">
        <v>514</v>
      </c>
      <c r="I238" s="81"/>
      <c r="J238" s="15" t="str">
        <f>IF(E238="Invalid_Segment","Invalid",IFERROR(INDEX(Severity_Matrix!$C$3:$M$10,MATCH('Error Log'!$F238,Severity_Matrix!$B$3:$B$10,0),MATCH('Error Log'!$G238,Severity_Matrix!$C$2:$M$2,0)),"No errors"))</f>
        <v>Major</v>
      </c>
    </row>
    <row r="239" spans="1:10">
      <c r="A239" s="79" t="s">
        <v>515</v>
      </c>
      <c r="B239" s="18">
        <v>3</v>
      </c>
      <c r="C239" s="80" t="s">
        <v>511</v>
      </c>
      <c r="D239" s="80" t="s">
        <v>512</v>
      </c>
      <c r="E239" s="81" t="s">
        <v>21</v>
      </c>
      <c r="F239" s="81" t="s">
        <v>7</v>
      </c>
      <c r="G239" s="81" t="s">
        <v>57</v>
      </c>
      <c r="H239" s="81" t="s">
        <v>516</v>
      </c>
      <c r="I239" s="81"/>
      <c r="J239" s="15" t="str">
        <f>IF(E239="Invalid_Segment","Invalid",IFERROR(INDEX(Severity_Matrix!$C$3:$M$10,MATCH('Error Log'!$F239,Severity_Matrix!$B$3:$B$10,0),MATCH('Error Log'!$G239,Severity_Matrix!$C$2:$M$2,0)),"No errors"))</f>
        <v>Critical</v>
      </c>
    </row>
    <row r="240" spans="1:10">
      <c r="A240" s="79" t="s">
        <v>515</v>
      </c>
      <c r="B240" s="18">
        <v>4</v>
      </c>
      <c r="C240" s="80" t="s">
        <v>511</v>
      </c>
      <c r="D240" s="80" t="s">
        <v>512</v>
      </c>
      <c r="E240" s="81" t="s">
        <v>21</v>
      </c>
      <c r="F240" s="81" t="s">
        <v>7</v>
      </c>
      <c r="G240" s="81" t="s">
        <v>57</v>
      </c>
      <c r="H240" s="81" t="s">
        <v>517</v>
      </c>
      <c r="I240" s="81"/>
      <c r="J240" s="15" t="str">
        <f>IF(E240="Invalid_Segment","Invalid",IFERROR(INDEX(Severity_Matrix!$C$3:$M$10,MATCH('Error Log'!$F240,Severity_Matrix!$B$3:$B$10,0),MATCH('Error Log'!$G240,Severity_Matrix!$C$2:$M$2,0)),"No errors"))</f>
        <v>Critical</v>
      </c>
    </row>
    <row r="241" spans="1:10">
      <c r="A241" s="79" t="s">
        <v>515</v>
      </c>
      <c r="B241" s="18">
        <v>5</v>
      </c>
      <c r="C241" s="80" t="s">
        <v>511</v>
      </c>
      <c r="D241" s="80" t="s">
        <v>512</v>
      </c>
      <c r="E241" s="81" t="s">
        <v>21</v>
      </c>
      <c r="F241" s="81" t="s">
        <v>7</v>
      </c>
      <c r="G241" s="81" t="s">
        <v>57</v>
      </c>
      <c r="H241" s="81" t="s">
        <v>518</v>
      </c>
      <c r="I241" s="81"/>
      <c r="J241" s="15" t="str">
        <f>IF(E241="Invalid_Segment","Invalid",IFERROR(INDEX(Severity_Matrix!$C$3:$M$10,MATCH('Error Log'!$F241,Severity_Matrix!$B$3:$B$10,0),MATCH('Error Log'!$G241,Severity_Matrix!$C$2:$M$2,0)),"No errors"))</f>
        <v>Critical</v>
      </c>
    </row>
    <row r="242" spans="1:10">
      <c r="A242" s="79" t="s">
        <v>519</v>
      </c>
      <c r="B242" s="18">
        <v>1</v>
      </c>
      <c r="C242" s="80" t="s">
        <v>520</v>
      </c>
      <c r="D242" s="80" t="s">
        <v>521</v>
      </c>
      <c r="E242" s="81" t="s">
        <v>21</v>
      </c>
      <c r="F242" s="81" t="s">
        <v>22</v>
      </c>
      <c r="G242" s="81" t="s">
        <v>57</v>
      </c>
      <c r="H242" s="81" t="s">
        <v>522</v>
      </c>
      <c r="I242" s="81"/>
      <c r="J242" s="15" t="str">
        <f>IF(E242="Invalid_Segment","Invalid",IFERROR(INDEX(Severity_Matrix!$C$3:$M$10,MATCH('Error Log'!$F242,Severity_Matrix!$B$3:$B$10,0),MATCH('Error Log'!$G242,Severity_Matrix!$C$2:$M$2,0)),"No errors"))</f>
        <v>Major</v>
      </c>
    </row>
    <row r="243" spans="1:10">
      <c r="A243" s="79" t="s">
        <v>519</v>
      </c>
      <c r="B243" s="18">
        <v>2</v>
      </c>
      <c r="C243" s="80" t="s">
        <v>520</v>
      </c>
      <c r="D243" s="80" t="s">
        <v>521</v>
      </c>
      <c r="E243" s="81" t="s">
        <v>2</v>
      </c>
      <c r="F243" s="81" t="s">
        <v>26</v>
      </c>
      <c r="G243" s="81" t="s">
        <v>57</v>
      </c>
      <c r="H243" s="81" t="s">
        <v>522</v>
      </c>
      <c r="I243" s="81"/>
      <c r="J243" s="15" t="str">
        <f>IF(E243="Invalid_Segment","Invalid",IFERROR(INDEX(Severity_Matrix!$C$3:$M$10,MATCH('Error Log'!$F243,Severity_Matrix!$B$3:$B$10,0),MATCH('Error Log'!$G243,Severity_Matrix!$C$2:$M$2,0)),"No errors"))</f>
        <v>Major</v>
      </c>
    </row>
    <row r="244" spans="1:10">
      <c r="A244" s="79" t="s">
        <v>523</v>
      </c>
      <c r="B244" s="18">
        <v>3</v>
      </c>
      <c r="C244" s="80" t="s">
        <v>520</v>
      </c>
      <c r="D244" s="80" t="s">
        <v>521</v>
      </c>
      <c r="E244" s="81" t="s">
        <v>21</v>
      </c>
      <c r="F244" s="81" t="s">
        <v>7</v>
      </c>
      <c r="G244" s="81" t="s">
        <v>58</v>
      </c>
      <c r="H244" s="81" t="s">
        <v>524</v>
      </c>
      <c r="I244" s="81"/>
      <c r="J244" s="15" t="str">
        <f>IF(E244="Invalid_Segment","Invalid",IFERROR(INDEX(Severity_Matrix!$C$3:$M$10,MATCH('Error Log'!$F244,Severity_Matrix!$B$3:$B$10,0),MATCH('Error Log'!$G244,Severity_Matrix!$C$2:$M$2,0)),"No errors"))</f>
        <v>Minor</v>
      </c>
    </row>
    <row r="245" spans="1:10">
      <c r="A245" s="79" t="s">
        <v>523</v>
      </c>
      <c r="B245" s="18">
        <v>4</v>
      </c>
      <c r="C245" s="80" t="s">
        <v>520</v>
      </c>
      <c r="D245" s="80" t="s">
        <v>521</v>
      </c>
      <c r="E245" s="81" t="s">
        <v>21</v>
      </c>
      <c r="F245" s="81" t="s">
        <v>7</v>
      </c>
      <c r="G245" s="81" t="s">
        <v>27</v>
      </c>
      <c r="H245" s="81" t="s">
        <v>525</v>
      </c>
      <c r="I245" s="81"/>
      <c r="J245" s="15" t="str">
        <f>IF(E245="Invalid_Segment","Invalid",IFERROR(INDEX(Severity_Matrix!$C$3:$M$10,MATCH('Error Log'!$F245,Severity_Matrix!$B$3:$B$10,0),MATCH('Error Log'!$G245,Severity_Matrix!$C$2:$M$2,0)),"No errors"))</f>
        <v>Major</v>
      </c>
    </row>
    <row r="246" spans="1:10">
      <c r="A246" s="79" t="s">
        <v>523</v>
      </c>
      <c r="B246" s="18">
        <v>5</v>
      </c>
      <c r="C246" s="80" t="s">
        <v>520</v>
      </c>
      <c r="D246" s="80" t="s">
        <v>521</v>
      </c>
      <c r="E246" s="81" t="s">
        <v>21</v>
      </c>
      <c r="F246" s="81" t="s">
        <v>7</v>
      </c>
      <c r="G246" s="81" t="s">
        <v>57</v>
      </c>
      <c r="H246" s="81" t="s">
        <v>526</v>
      </c>
      <c r="I246" s="81"/>
      <c r="J246" s="15" t="str">
        <f>IF(E246="Invalid_Segment","Invalid",IFERROR(INDEX(Severity_Matrix!$C$3:$M$10,MATCH('Error Log'!$F246,Severity_Matrix!$B$3:$B$10,0),MATCH('Error Log'!$G246,Severity_Matrix!$C$2:$M$2,0)),"No errors"))</f>
        <v>Critical</v>
      </c>
    </row>
    <row r="247" spans="1:10">
      <c r="A247" s="79" t="s">
        <v>523</v>
      </c>
      <c r="B247" s="18">
        <v>6</v>
      </c>
      <c r="C247" s="80" t="s">
        <v>520</v>
      </c>
      <c r="D247" s="80" t="s">
        <v>521</v>
      </c>
      <c r="E247" s="81" t="s">
        <v>21</v>
      </c>
      <c r="F247" s="81" t="s">
        <v>7</v>
      </c>
      <c r="G247" s="81" t="s">
        <v>57</v>
      </c>
      <c r="H247" s="81" t="s">
        <v>527</v>
      </c>
      <c r="I247" s="81"/>
      <c r="J247" s="15" t="str">
        <f>IF(E247="Invalid_Segment","Invalid",IFERROR(INDEX(Severity_Matrix!$C$3:$M$10,MATCH('Error Log'!$F247,Severity_Matrix!$B$3:$B$10,0),MATCH('Error Log'!$G247,Severity_Matrix!$C$2:$M$2,0)),"No errors"))</f>
        <v>Critical</v>
      </c>
    </row>
    <row r="248" spans="1:10">
      <c r="A248" s="79" t="s">
        <v>528</v>
      </c>
      <c r="B248" s="18">
        <v>1</v>
      </c>
      <c r="C248" s="80" t="s">
        <v>529</v>
      </c>
      <c r="D248" s="80" t="s">
        <v>530</v>
      </c>
      <c r="E248" s="81" t="s">
        <v>21</v>
      </c>
      <c r="F248" s="81" t="s">
        <v>22</v>
      </c>
      <c r="G248" s="81" t="s">
        <v>57</v>
      </c>
      <c r="H248" s="81" t="s">
        <v>531</v>
      </c>
      <c r="I248" s="81"/>
      <c r="J248" s="15" t="str">
        <f>IF(E248="Invalid_Segment","Invalid",IFERROR(INDEX(Severity_Matrix!$C$3:$M$10,MATCH('Error Log'!$F248,Severity_Matrix!$B$3:$B$10,0),MATCH('Error Log'!$G248,Severity_Matrix!$C$2:$M$2,0)),"No errors"))</f>
        <v>Major</v>
      </c>
    </row>
    <row r="249" spans="1:10">
      <c r="A249" s="79" t="s">
        <v>528</v>
      </c>
      <c r="B249" s="18">
        <v>2</v>
      </c>
      <c r="C249" s="80" t="s">
        <v>529</v>
      </c>
      <c r="D249" s="80" t="s">
        <v>530</v>
      </c>
      <c r="E249" s="81" t="s">
        <v>21</v>
      </c>
      <c r="F249" s="81" t="s">
        <v>22</v>
      </c>
      <c r="G249" s="81" t="s">
        <v>57</v>
      </c>
      <c r="H249" s="81" t="s">
        <v>532</v>
      </c>
      <c r="I249" s="81"/>
      <c r="J249" s="15" t="str">
        <f>IF(E249="Invalid_Segment","Invalid",IFERROR(INDEX(Severity_Matrix!$C$3:$M$10,MATCH('Error Log'!$F249,Severity_Matrix!$B$3:$B$10,0),MATCH('Error Log'!$G249,Severity_Matrix!$C$2:$M$2,0)),"No errors"))</f>
        <v>Major</v>
      </c>
    </row>
    <row r="250" spans="1:10">
      <c r="A250" s="79" t="s">
        <v>533</v>
      </c>
      <c r="B250" s="18">
        <v>3</v>
      </c>
      <c r="C250" s="80" t="s">
        <v>534</v>
      </c>
      <c r="D250" s="80" t="s">
        <v>535</v>
      </c>
      <c r="E250" s="81" t="s">
        <v>21</v>
      </c>
      <c r="F250" s="81" t="s">
        <v>7</v>
      </c>
      <c r="G250" s="81" t="s">
        <v>57</v>
      </c>
      <c r="H250" s="81" t="s">
        <v>536</v>
      </c>
      <c r="I250" s="81"/>
      <c r="J250" s="15" t="str">
        <f>IF(E250="Invalid_Segment","Invalid",IFERROR(INDEX(Severity_Matrix!$C$3:$M$10,MATCH('Error Log'!$F250,Severity_Matrix!$B$3:$B$10,0),MATCH('Error Log'!$G250,Severity_Matrix!$C$2:$M$2,0)),"No errors"))</f>
        <v>Critical</v>
      </c>
    </row>
    <row r="251" spans="1:10">
      <c r="A251" s="79" t="s">
        <v>533</v>
      </c>
      <c r="B251" s="18">
        <v>4</v>
      </c>
      <c r="C251" s="80" t="s">
        <v>534</v>
      </c>
      <c r="D251" s="80" t="s">
        <v>535</v>
      </c>
      <c r="E251" s="81" t="s">
        <v>21</v>
      </c>
      <c r="F251" s="81" t="s">
        <v>7</v>
      </c>
      <c r="G251" s="81" t="s">
        <v>57</v>
      </c>
      <c r="H251" s="81" t="s">
        <v>537</v>
      </c>
      <c r="I251" s="81"/>
      <c r="J251" s="15" t="str">
        <f>IF(E251="Invalid_Segment","Invalid",IFERROR(INDEX(Severity_Matrix!$C$3:$M$10,MATCH('Error Log'!$F251,Severity_Matrix!$B$3:$B$10,0),MATCH('Error Log'!$G251,Severity_Matrix!$C$2:$M$2,0)),"No errors"))</f>
        <v>Critical</v>
      </c>
    </row>
    <row r="252" spans="1:10">
      <c r="A252" s="79" t="s">
        <v>533</v>
      </c>
      <c r="B252" s="18">
        <v>5</v>
      </c>
      <c r="C252" s="80" t="s">
        <v>534</v>
      </c>
      <c r="D252" s="80" t="s">
        <v>535</v>
      </c>
      <c r="E252" s="81" t="s">
        <v>21</v>
      </c>
      <c r="F252" s="81" t="s">
        <v>7</v>
      </c>
      <c r="G252" s="81" t="s">
        <v>57</v>
      </c>
      <c r="H252" s="81" t="s">
        <v>538</v>
      </c>
      <c r="I252" s="81"/>
      <c r="J252" s="15" t="str">
        <f>IF(E252="Invalid_Segment","Invalid",IFERROR(INDEX(Severity_Matrix!$C$3:$M$10,MATCH('Error Log'!$F252,Severity_Matrix!$B$3:$B$10,0),MATCH('Error Log'!$G252,Severity_Matrix!$C$2:$M$2,0)),"No errors"))</f>
        <v>Critical</v>
      </c>
    </row>
    <row r="253" spans="1:10">
      <c r="A253" s="79" t="s">
        <v>539</v>
      </c>
      <c r="B253" s="18">
        <v>1</v>
      </c>
      <c r="C253" s="80" t="s">
        <v>540</v>
      </c>
      <c r="D253" s="80" t="s">
        <v>541</v>
      </c>
      <c r="E253" s="81" t="s">
        <v>21</v>
      </c>
      <c r="F253" s="81" t="s">
        <v>22</v>
      </c>
      <c r="G253" s="81" t="s">
        <v>57</v>
      </c>
      <c r="H253" s="81" t="s">
        <v>542</v>
      </c>
      <c r="I253" s="81"/>
      <c r="J253" s="15" t="str">
        <f>IF(E253="Invalid_Segment","Invalid",IFERROR(INDEX(Severity_Matrix!$C$3:$M$10,MATCH('Error Log'!$F253,Severity_Matrix!$B$3:$B$10,0),MATCH('Error Log'!$G253,Severity_Matrix!$C$2:$M$2,0)),"No errors"))</f>
        <v>Major</v>
      </c>
    </row>
    <row r="254" spans="1:10">
      <c r="A254" s="79" t="s">
        <v>539</v>
      </c>
      <c r="B254" s="18">
        <v>2</v>
      </c>
      <c r="C254" s="80" t="s">
        <v>540</v>
      </c>
      <c r="D254" s="80" t="s">
        <v>541</v>
      </c>
      <c r="E254" s="81" t="s">
        <v>21</v>
      </c>
      <c r="F254" s="81" t="s">
        <v>7</v>
      </c>
      <c r="G254" s="81" t="s">
        <v>57</v>
      </c>
      <c r="H254" s="81" t="s">
        <v>543</v>
      </c>
      <c r="I254" s="81"/>
      <c r="J254" s="15" t="str">
        <f>IF(E254="Invalid_Segment","Invalid",IFERROR(INDEX(Severity_Matrix!$C$3:$M$10,MATCH('Error Log'!$F254,Severity_Matrix!$B$3:$B$10,0),MATCH('Error Log'!$G254,Severity_Matrix!$C$2:$M$2,0)),"No errors"))</f>
        <v>Critical</v>
      </c>
    </row>
    <row r="255" spans="1:10">
      <c r="A255" s="79" t="s">
        <v>544</v>
      </c>
      <c r="B255" s="18">
        <v>3</v>
      </c>
      <c r="C255" s="80" t="s">
        <v>540</v>
      </c>
      <c r="D255" s="80" t="s">
        <v>541</v>
      </c>
      <c r="E255" s="81" t="s">
        <v>21</v>
      </c>
      <c r="F255" s="81" t="s">
        <v>7</v>
      </c>
      <c r="G255" s="81" t="s">
        <v>57</v>
      </c>
      <c r="H255" s="81" t="s">
        <v>545</v>
      </c>
      <c r="I255" s="81"/>
      <c r="J255" s="15" t="str">
        <f>IF(E255="Invalid_Segment","Invalid",IFERROR(INDEX(Severity_Matrix!$C$3:$M$10,MATCH('Error Log'!$F255,Severity_Matrix!$B$3:$B$10,0),MATCH('Error Log'!$G255,Severity_Matrix!$C$2:$M$2,0)),"No errors"))</f>
        <v>Critical</v>
      </c>
    </row>
    <row r="256" spans="1:10">
      <c r="A256" s="79" t="s">
        <v>544</v>
      </c>
      <c r="B256" s="18">
        <v>4</v>
      </c>
      <c r="C256" s="80" t="s">
        <v>540</v>
      </c>
      <c r="D256" s="80" t="s">
        <v>541</v>
      </c>
      <c r="E256" s="81" t="s">
        <v>21</v>
      </c>
      <c r="F256" s="81" t="s">
        <v>7</v>
      </c>
      <c r="G256" s="81" t="s">
        <v>57</v>
      </c>
      <c r="H256" s="81" t="s">
        <v>546</v>
      </c>
      <c r="I256" s="81"/>
      <c r="J256" s="15" t="str">
        <f>IF(E256="Invalid_Segment","Invalid",IFERROR(INDEX(Severity_Matrix!$C$3:$M$10,MATCH('Error Log'!$F256,Severity_Matrix!$B$3:$B$10,0),MATCH('Error Log'!$G256,Severity_Matrix!$C$2:$M$2,0)),"No errors"))</f>
        <v>Critical</v>
      </c>
    </row>
    <row r="257" spans="1:10">
      <c r="A257" s="79" t="s">
        <v>547</v>
      </c>
      <c r="B257" s="18">
        <v>1</v>
      </c>
      <c r="C257" s="80" t="s">
        <v>548</v>
      </c>
      <c r="D257" s="80" t="s">
        <v>549</v>
      </c>
      <c r="E257" s="81" t="s">
        <v>2</v>
      </c>
      <c r="F257" s="81" t="s">
        <v>26</v>
      </c>
      <c r="G257" s="81" t="s">
        <v>57</v>
      </c>
      <c r="H257" s="81" t="s">
        <v>550</v>
      </c>
      <c r="I257" s="81"/>
      <c r="J257" s="15" t="str">
        <f>IF(E257="Invalid_Segment","Invalid",IFERROR(INDEX(Severity_Matrix!$C$3:$M$10,MATCH('Error Log'!$F257,Severity_Matrix!$B$3:$B$10,0),MATCH('Error Log'!$G257,Severity_Matrix!$C$2:$M$2,0)),"No errors"))</f>
        <v>Major</v>
      </c>
    </row>
    <row r="258" spans="1:10">
      <c r="A258" s="79" t="s">
        <v>547</v>
      </c>
      <c r="B258" s="18">
        <v>2</v>
      </c>
      <c r="C258" s="80" t="s">
        <v>548</v>
      </c>
      <c r="D258" s="80" t="s">
        <v>549</v>
      </c>
      <c r="E258" s="81" t="s">
        <v>21</v>
      </c>
      <c r="F258" s="81" t="s">
        <v>7</v>
      </c>
      <c r="G258" s="81" t="s">
        <v>57</v>
      </c>
      <c r="H258" s="81" t="s">
        <v>551</v>
      </c>
      <c r="I258" s="81"/>
      <c r="J258" s="15" t="str">
        <f>IF(E258="Invalid_Segment","Invalid",IFERROR(INDEX(Severity_Matrix!$C$3:$M$10,MATCH('Error Log'!$F258,Severity_Matrix!$B$3:$B$10,0),MATCH('Error Log'!$G258,Severity_Matrix!$C$2:$M$2,0)),"No errors"))</f>
        <v>Critical</v>
      </c>
    </row>
    <row r="259" spans="1:10">
      <c r="A259" s="79" t="s">
        <v>552</v>
      </c>
      <c r="B259" s="18">
        <v>3</v>
      </c>
      <c r="C259" s="80" t="s">
        <v>548</v>
      </c>
      <c r="D259" s="80" t="s">
        <v>549</v>
      </c>
      <c r="E259" s="81" t="s">
        <v>21</v>
      </c>
      <c r="F259" s="81" t="s">
        <v>7</v>
      </c>
      <c r="G259" s="81" t="s">
        <v>57</v>
      </c>
      <c r="H259" s="81" t="s">
        <v>553</v>
      </c>
      <c r="I259" s="81"/>
      <c r="J259" s="15" t="str">
        <f>IF(E259="Invalid_Segment","Invalid",IFERROR(INDEX(Severity_Matrix!$C$3:$M$10,MATCH('Error Log'!$F259,Severity_Matrix!$B$3:$B$10,0),MATCH('Error Log'!$G259,Severity_Matrix!$C$2:$M$2,0)),"No errors"))</f>
        <v>Critical</v>
      </c>
    </row>
    <row r="260" spans="1:10">
      <c r="A260" s="79" t="s">
        <v>554</v>
      </c>
      <c r="B260" s="18">
        <v>1</v>
      </c>
      <c r="C260" s="80" t="s">
        <v>555</v>
      </c>
      <c r="D260" s="80" t="s">
        <v>556</v>
      </c>
      <c r="E260" s="81" t="s">
        <v>21</v>
      </c>
      <c r="F260" s="81" t="s">
        <v>7</v>
      </c>
      <c r="G260" s="81" t="s">
        <v>57</v>
      </c>
      <c r="H260" s="81" t="s">
        <v>557</v>
      </c>
      <c r="I260" s="81"/>
      <c r="J260" s="15" t="str">
        <f>IF(E260="Invalid_Segment","Invalid",IFERROR(INDEX(Severity_Matrix!$C$3:$M$10,MATCH('Error Log'!$F260,Severity_Matrix!$B$3:$B$10,0),MATCH('Error Log'!$G260,Severity_Matrix!$C$2:$M$2,0)),"No errors"))</f>
        <v>Critical</v>
      </c>
    </row>
    <row r="261" spans="1:10">
      <c r="A261" s="78" t="s">
        <v>558</v>
      </c>
      <c r="B261" s="18">
        <v>1</v>
      </c>
      <c r="C261" s="78" t="s">
        <v>559</v>
      </c>
      <c r="D261" s="78" t="s">
        <v>560</v>
      </c>
      <c r="E261" s="81" t="s">
        <v>2</v>
      </c>
      <c r="F261" s="81" t="s">
        <v>26</v>
      </c>
      <c r="G261" s="81" t="s">
        <v>57</v>
      </c>
      <c r="H261" s="81" t="s">
        <v>561</v>
      </c>
      <c r="I261" s="81"/>
      <c r="J261" s="15" t="str">
        <f>IF(E261="Invalid_Segment","Invalid",IFERROR(INDEX(Severity_Matrix!$C$3:$M$10,MATCH('Error Log'!$F261,Severity_Matrix!$B$3:$B$10,0),MATCH('Error Log'!$G261,Severity_Matrix!$C$2:$M$2,0)),"No errors"))</f>
        <v>Major</v>
      </c>
    </row>
    <row r="262" spans="1:10">
      <c r="A262" s="78" t="s">
        <v>558</v>
      </c>
      <c r="B262" s="18">
        <v>2</v>
      </c>
      <c r="C262" s="78" t="s">
        <v>559</v>
      </c>
      <c r="D262" s="78" t="s">
        <v>560</v>
      </c>
      <c r="E262" s="81" t="s">
        <v>21</v>
      </c>
      <c r="F262" s="81" t="s">
        <v>7</v>
      </c>
      <c r="G262" s="81" t="s">
        <v>57</v>
      </c>
      <c r="H262" s="81" t="s">
        <v>562</v>
      </c>
      <c r="I262" s="81"/>
      <c r="J262" s="15" t="str">
        <f>IF(E262="Invalid_Segment","Invalid",IFERROR(INDEX(Severity_Matrix!$C$3:$M$10,MATCH('Error Log'!$F262,Severity_Matrix!$B$3:$B$10,0),MATCH('Error Log'!$G262,Severity_Matrix!$C$2:$M$2,0)),"No errors"))</f>
        <v>Critical</v>
      </c>
    </row>
    <row r="263" spans="1:10">
      <c r="A263" s="78" t="s">
        <v>563</v>
      </c>
      <c r="B263" s="18">
        <v>1</v>
      </c>
      <c r="C263" s="78" t="s">
        <v>564</v>
      </c>
      <c r="D263" s="78" t="s">
        <v>565</v>
      </c>
      <c r="E263" s="81" t="s">
        <v>21</v>
      </c>
      <c r="F263" s="81" t="s">
        <v>7</v>
      </c>
      <c r="G263" s="81" t="s">
        <v>29</v>
      </c>
      <c r="H263" s="81">
        <v>1000</v>
      </c>
      <c r="I263" s="81"/>
      <c r="J263" s="15" t="str">
        <f>IF(E263="Invalid_Segment","Invalid",IFERROR(INDEX(Severity_Matrix!$C$3:$M$10,MATCH('Error Log'!$F263,Severity_Matrix!$B$3:$B$10,0),MATCH('Error Log'!$G263,Severity_Matrix!$C$2:$M$2,0)),"No errors"))</f>
        <v>Critical</v>
      </c>
    </row>
    <row r="264" spans="1:10">
      <c r="A264" s="78" t="s">
        <v>563</v>
      </c>
      <c r="B264" s="18">
        <v>2</v>
      </c>
      <c r="C264" s="78" t="s">
        <v>566</v>
      </c>
      <c r="D264" s="78" t="s">
        <v>567</v>
      </c>
      <c r="E264" s="81" t="s">
        <v>21</v>
      </c>
      <c r="F264" s="81" t="s">
        <v>7</v>
      </c>
      <c r="G264" s="81" t="s">
        <v>58</v>
      </c>
      <c r="H264" s="81" t="s">
        <v>568</v>
      </c>
      <c r="I264" s="81"/>
      <c r="J264" s="15" t="str">
        <f>IF(E264="Invalid_Segment","Invalid",IFERROR(INDEX(Severity_Matrix!$C$3:$M$10,MATCH('Error Log'!$F264,Severity_Matrix!$B$3:$B$10,0),MATCH('Error Log'!$G264,Severity_Matrix!$C$2:$M$2,0)),"No errors"))</f>
        <v>Minor</v>
      </c>
    </row>
    <row r="265" spans="1:10">
      <c r="A265" s="78" t="s">
        <v>569</v>
      </c>
      <c r="B265" s="18">
        <v>3</v>
      </c>
      <c r="C265" s="78" t="s">
        <v>570</v>
      </c>
      <c r="D265" s="78" t="s">
        <v>571</v>
      </c>
      <c r="E265" s="81" t="s">
        <v>21</v>
      </c>
      <c r="F265" s="81" t="s">
        <v>22</v>
      </c>
      <c r="G265" s="81" t="s">
        <v>57</v>
      </c>
      <c r="H265" s="81" t="s">
        <v>572</v>
      </c>
      <c r="I265" s="81"/>
      <c r="J265" s="15" t="str">
        <f>IF(E265="Invalid_Segment","Invalid",IFERROR(INDEX(Severity_Matrix!$C$3:$M$10,MATCH('Error Log'!$F265,Severity_Matrix!$B$3:$B$10,0),MATCH('Error Log'!$G265,Severity_Matrix!$C$2:$M$2,0)),"No errors"))</f>
        <v>Major</v>
      </c>
    </row>
    <row r="266" spans="1:10">
      <c r="A266" s="78" t="s">
        <v>569</v>
      </c>
      <c r="B266" s="18">
        <v>4</v>
      </c>
      <c r="C266" s="78" t="s">
        <v>573</v>
      </c>
      <c r="D266" s="78" t="s">
        <v>574</v>
      </c>
      <c r="E266" s="81" t="s">
        <v>21</v>
      </c>
      <c r="F266" s="81" t="s">
        <v>7</v>
      </c>
      <c r="G266" s="81" t="s">
        <v>57</v>
      </c>
      <c r="H266" s="81" t="s">
        <v>575</v>
      </c>
      <c r="I266" s="81"/>
      <c r="J266" s="15" t="str">
        <f>IF(E266="Invalid_Segment","Invalid",IFERROR(INDEX(Severity_Matrix!$C$3:$M$10,MATCH('Error Log'!$F266,Severity_Matrix!$B$3:$B$10,0),MATCH('Error Log'!$G266,Severity_Matrix!$C$2:$M$2,0)),"No errors"))</f>
        <v>Critical</v>
      </c>
    </row>
    <row r="267" spans="1:10">
      <c r="A267" s="78" t="s">
        <v>569</v>
      </c>
      <c r="B267" s="18">
        <v>5</v>
      </c>
      <c r="C267" s="78" t="s">
        <v>576</v>
      </c>
      <c r="D267" s="78" t="s">
        <v>577</v>
      </c>
      <c r="E267" s="81" t="s">
        <v>21</v>
      </c>
      <c r="F267" s="81" t="s">
        <v>7</v>
      </c>
      <c r="G267" s="81" t="s">
        <v>57</v>
      </c>
      <c r="H267" s="81" t="s">
        <v>578</v>
      </c>
      <c r="I267" s="81"/>
      <c r="J267" s="15" t="str">
        <f>IF(E267="Invalid_Segment","Invalid",IFERROR(INDEX(Severity_Matrix!$C$3:$M$10,MATCH('Error Log'!$F267,Severity_Matrix!$B$3:$B$10,0),MATCH('Error Log'!$G267,Severity_Matrix!$C$2:$M$2,0)),"No errors"))</f>
        <v>Critical</v>
      </c>
    </row>
    <row r="268" spans="1:10">
      <c r="A268" s="78" t="s">
        <v>569</v>
      </c>
      <c r="B268" s="18">
        <v>6</v>
      </c>
      <c r="C268" s="78" t="s">
        <v>579</v>
      </c>
      <c r="D268" s="78" t="s">
        <v>580</v>
      </c>
      <c r="E268" s="81" t="s">
        <v>21</v>
      </c>
      <c r="F268" s="81" t="s">
        <v>7</v>
      </c>
      <c r="G268" s="81" t="s">
        <v>57</v>
      </c>
      <c r="H268" s="81" t="s">
        <v>581</v>
      </c>
      <c r="I268" s="81"/>
      <c r="J268" s="15" t="str">
        <f>IF(E268="Invalid_Segment","Invalid",IFERROR(INDEX(Severity_Matrix!$C$3:$M$10,MATCH('Error Log'!$F268,Severity_Matrix!$B$3:$B$10,0),MATCH('Error Log'!$G268,Severity_Matrix!$C$2:$M$2,0)),"No errors"))</f>
        <v>Critical</v>
      </c>
    </row>
    <row r="269" spans="1:10">
      <c r="A269" s="78" t="s">
        <v>582</v>
      </c>
      <c r="B269" s="18">
        <v>1</v>
      </c>
      <c r="C269" s="78" t="s">
        <v>583</v>
      </c>
      <c r="D269" s="78" t="s">
        <v>584</v>
      </c>
      <c r="E269" s="81" t="s">
        <v>21</v>
      </c>
      <c r="F269" s="81" t="s">
        <v>22</v>
      </c>
      <c r="G269" s="81" t="s">
        <v>57</v>
      </c>
      <c r="H269" s="81" t="s">
        <v>585</v>
      </c>
      <c r="I269" s="81"/>
      <c r="J269" s="15" t="str">
        <f>IF(E269="Invalid_Segment","Invalid",IFERROR(INDEX(Severity_Matrix!$C$3:$M$10,MATCH('Error Log'!$F269,Severity_Matrix!$B$3:$B$10,0),MATCH('Error Log'!$G269,Severity_Matrix!$C$2:$M$2,0)),"No errors"))</f>
        <v>Major</v>
      </c>
    </row>
    <row r="270" spans="1:10">
      <c r="A270" s="78" t="s">
        <v>582</v>
      </c>
      <c r="B270" s="18">
        <v>2</v>
      </c>
      <c r="C270" s="78" t="s">
        <v>583</v>
      </c>
      <c r="D270" s="78" t="s">
        <v>584</v>
      </c>
      <c r="E270" s="81" t="s">
        <v>21</v>
      </c>
      <c r="F270" s="81" t="s">
        <v>7</v>
      </c>
      <c r="G270" s="81" t="s">
        <v>57</v>
      </c>
      <c r="H270" s="81" t="s">
        <v>586</v>
      </c>
      <c r="I270" s="81"/>
      <c r="J270" s="15" t="str">
        <f>IF(E270="Invalid_Segment","Invalid",IFERROR(INDEX(Severity_Matrix!$C$3:$M$10,MATCH('Error Log'!$F270,Severity_Matrix!$B$3:$B$10,0),MATCH('Error Log'!$G270,Severity_Matrix!$C$2:$M$2,0)),"No errors"))</f>
        <v>Critical</v>
      </c>
    </row>
    <row r="271" spans="1:10">
      <c r="A271" s="78" t="s">
        <v>587</v>
      </c>
      <c r="B271" s="18">
        <v>1</v>
      </c>
      <c r="C271" s="78" t="s">
        <v>588</v>
      </c>
      <c r="D271" s="78" t="s">
        <v>589</v>
      </c>
      <c r="E271" s="81" t="s">
        <v>2</v>
      </c>
      <c r="F271" s="81" t="s">
        <v>26</v>
      </c>
      <c r="G271" s="81" t="s">
        <v>57</v>
      </c>
      <c r="H271" s="81" t="s">
        <v>590</v>
      </c>
      <c r="I271" s="81"/>
      <c r="J271" s="15" t="str">
        <f>IF(E271="Invalid_Segment","Invalid",IFERROR(INDEX(Severity_Matrix!$C$3:$M$10,MATCH('Error Log'!$F271,Severity_Matrix!$B$3:$B$10,0),MATCH('Error Log'!$G271,Severity_Matrix!$C$2:$M$2,0)),"No errors"))</f>
        <v>Major</v>
      </c>
    </row>
    <row r="272" spans="1:10">
      <c r="A272" s="78" t="s">
        <v>587</v>
      </c>
      <c r="B272" s="18">
        <v>2</v>
      </c>
      <c r="C272" s="78" t="s">
        <v>588</v>
      </c>
      <c r="D272" s="78" t="s">
        <v>589</v>
      </c>
      <c r="E272" s="81" t="s">
        <v>21</v>
      </c>
      <c r="F272" s="81" t="s">
        <v>7</v>
      </c>
      <c r="G272" s="81" t="s">
        <v>57</v>
      </c>
      <c r="H272" s="81" t="s">
        <v>591</v>
      </c>
      <c r="I272" s="81"/>
      <c r="J272" s="15" t="str">
        <f>IF(E272="Invalid_Segment","Invalid",IFERROR(INDEX(Severity_Matrix!$C$3:$M$10,MATCH('Error Log'!$F272,Severity_Matrix!$B$3:$B$10,0),MATCH('Error Log'!$G272,Severity_Matrix!$C$2:$M$2,0)),"No errors"))</f>
        <v>Critical</v>
      </c>
    </row>
    <row r="273" spans="1:10">
      <c r="A273" s="78" t="s">
        <v>592</v>
      </c>
      <c r="B273" s="18">
        <v>1</v>
      </c>
      <c r="C273" s="78" t="s">
        <v>593</v>
      </c>
      <c r="D273" s="78" t="s">
        <v>594</v>
      </c>
      <c r="E273" s="81" t="s">
        <v>21</v>
      </c>
      <c r="F273" s="81" t="s">
        <v>22</v>
      </c>
      <c r="G273" s="81" t="s">
        <v>57</v>
      </c>
      <c r="H273" s="81" t="s">
        <v>595</v>
      </c>
      <c r="I273" s="81"/>
      <c r="J273" s="15" t="str">
        <f>IF(E273="Invalid_Segment","Invalid",IFERROR(INDEX(Severity_Matrix!$C$3:$M$10,MATCH('Error Log'!$F273,Severity_Matrix!$B$3:$B$10,0),MATCH('Error Log'!$G273,Severity_Matrix!$C$2:$M$2,0)),"No errors"))</f>
        <v>Major</v>
      </c>
    </row>
    <row r="274" spans="1:10">
      <c r="A274" s="78" t="s">
        <v>592</v>
      </c>
      <c r="B274" s="18">
        <v>2</v>
      </c>
      <c r="C274" s="78" t="s">
        <v>596</v>
      </c>
      <c r="D274" s="78" t="s">
        <v>594</v>
      </c>
      <c r="E274" s="81" t="s">
        <v>21</v>
      </c>
      <c r="F274" s="81" t="s">
        <v>7</v>
      </c>
      <c r="G274" s="81" t="s">
        <v>57</v>
      </c>
      <c r="H274" s="81" t="s">
        <v>597</v>
      </c>
      <c r="I274" s="81"/>
      <c r="J274" s="15" t="str">
        <f>IF(E274="Invalid_Segment","Invalid",IFERROR(INDEX(Severity_Matrix!$C$3:$M$10,MATCH('Error Log'!$F274,Severity_Matrix!$B$3:$B$10,0),MATCH('Error Log'!$G274,Severity_Matrix!$C$2:$M$2,0)),"No errors"))</f>
        <v>Critical</v>
      </c>
    </row>
    <row r="275" spans="1:10">
      <c r="A275" s="78" t="s">
        <v>598</v>
      </c>
      <c r="B275" s="18">
        <v>3</v>
      </c>
      <c r="C275" s="78" t="s">
        <v>599</v>
      </c>
      <c r="D275" s="78" t="s">
        <v>594</v>
      </c>
      <c r="E275" s="81" t="s">
        <v>21</v>
      </c>
      <c r="F275" s="81" t="s">
        <v>7</v>
      </c>
      <c r="G275" s="81" t="s">
        <v>57</v>
      </c>
      <c r="H275" s="81" t="s">
        <v>600</v>
      </c>
      <c r="I275" s="81"/>
      <c r="J275" s="15" t="str">
        <f>IF(E275="Invalid_Segment","Invalid",IFERROR(INDEX(Severity_Matrix!$C$3:$M$10,MATCH('Error Log'!$F275,Severity_Matrix!$B$3:$B$10,0),MATCH('Error Log'!$G275,Severity_Matrix!$C$2:$M$2,0)),"No errors"))</f>
        <v>Critical</v>
      </c>
    </row>
    <row r="276" spans="1:10">
      <c r="A276" s="78" t="s">
        <v>598</v>
      </c>
      <c r="B276" s="18">
        <v>4</v>
      </c>
      <c r="C276" s="78" t="s">
        <v>601</v>
      </c>
      <c r="D276" s="78" t="s">
        <v>594</v>
      </c>
      <c r="E276" s="81" t="s">
        <v>21</v>
      </c>
      <c r="F276" s="81" t="s">
        <v>7</v>
      </c>
      <c r="G276" s="81" t="s">
        <v>57</v>
      </c>
      <c r="H276" s="81" t="s">
        <v>602</v>
      </c>
      <c r="I276" s="81"/>
      <c r="J276" s="15" t="str">
        <f>IF(E276="Invalid_Segment","Invalid",IFERROR(INDEX(Severity_Matrix!$C$3:$M$10,MATCH('Error Log'!$F276,Severity_Matrix!$B$3:$B$10,0),MATCH('Error Log'!$G276,Severity_Matrix!$C$2:$M$2,0)),"No errors"))</f>
        <v>Critical</v>
      </c>
    </row>
    <row r="277" spans="1:10">
      <c r="A277" s="78" t="s">
        <v>603</v>
      </c>
      <c r="B277" s="18">
        <v>1</v>
      </c>
      <c r="C277" s="78" t="s">
        <v>604</v>
      </c>
      <c r="D277" s="78" t="s">
        <v>605</v>
      </c>
      <c r="E277" s="81" t="s">
        <v>2</v>
      </c>
      <c r="F277" s="81" t="s">
        <v>26</v>
      </c>
      <c r="G277" s="81" t="s">
        <v>57</v>
      </c>
      <c r="H277" s="81" t="s">
        <v>606</v>
      </c>
      <c r="I277" s="81"/>
      <c r="J277" s="15" t="str">
        <f>IF(E277="Invalid_Segment","Invalid",IFERROR(INDEX(Severity_Matrix!$C$3:$M$10,MATCH('Error Log'!$F277,Severity_Matrix!$B$3:$B$10,0),MATCH('Error Log'!$G277,Severity_Matrix!$C$2:$M$2,0)),"No errors"))</f>
        <v>Major</v>
      </c>
    </row>
    <row r="278" spans="1:10">
      <c r="A278" s="78" t="s">
        <v>603</v>
      </c>
      <c r="B278" s="18">
        <v>2</v>
      </c>
      <c r="C278" s="78" t="s">
        <v>607</v>
      </c>
      <c r="D278" s="78" t="s">
        <v>605</v>
      </c>
      <c r="E278" s="81" t="s">
        <v>21</v>
      </c>
      <c r="F278" s="81" t="s">
        <v>7</v>
      </c>
      <c r="G278" s="81" t="s">
        <v>57</v>
      </c>
      <c r="H278" s="81" t="s">
        <v>608</v>
      </c>
      <c r="I278" s="81"/>
      <c r="J278" s="15" t="str">
        <f>IF(E278="Invalid_Segment","Invalid",IFERROR(INDEX(Severity_Matrix!$C$3:$M$10,MATCH('Error Log'!$F278,Severity_Matrix!$B$3:$B$10,0),MATCH('Error Log'!$G278,Severity_Matrix!$C$2:$M$2,0)),"No errors"))</f>
        <v>Critical</v>
      </c>
    </row>
    <row r="279" spans="1:10">
      <c r="A279" s="78" t="s">
        <v>609</v>
      </c>
      <c r="B279" s="18">
        <v>3</v>
      </c>
      <c r="C279" s="78" t="s">
        <v>610</v>
      </c>
      <c r="D279" s="78" t="s">
        <v>605</v>
      </c>
      <c r="E279" s="81" t="s">
        <v>21</v>
      </c>
      <c r="F279" s="81" t="s">
        <v>7</v>
      </c>
      <c r="G279" s="81" t="s">
        <v>57</v>
      </c>
      <c r="H279" s="81" t="s">
        <v>611</v>
      </c>
      <c r="I279" s="81"/>
      <c r="J279" s="15" t="str">
        <f>IF(E279="Invalid_Segment","Invalid",IFERROR(INDEX(Severity_Matrix!$C$3:$M$10,MATCH('Error Log'!$F279,Severity_Matrix!$B$3:$B$10,0),MATCH('Error Log'!$G279,Severity_Matrix!$C$2:$M$2,0)),"No errors"))</f>
        <v>Critical</v>
      </c>
    </row>
    <row r="280" spans="1:10">
      <c r="A280" s="78" t="s">
        <v>609</v>
      </c>
      <c r="B280" s="18">
        <v>4</v>
      </c>
      <c r="C280" s="78" t="s">
        <v>612</v>
      </c>
      <c r="D280" s="78" t="s">
        <v>605</v>
      </c>
      <c r="E280" s="81" t="s">
        <v>21</v>
      </c>
      <c r="F280" s="81" t="s">
        <v>7</v>
      </c>
      <c r="G280" s="81" t="s">
        <v>57</v>
      </c>
      <c r="H280" s="81" t="s">
        <v>613</v>
      </c>
      <c r="I280" s="81"/>
      <c r="J280" s="15" t="str">
        <f>IF(E280="Invalid_Segment","Invalid",IFERROR(INDEX(Severity_Matrix!$C$3:$M$10,MATCH('Error Log'!$F280,Severity_Matrix!$B$3:$B$10,0),MATCH('Error Log'!$G280,Severity_Matrix!$C$2:$M$2,0)),"No errors"))</f>
        <v>Critical</v>
      </c>
    </row>
    <row r="281" spans="1:10">
      <c r="A281" s="78" t="s">
        <v>614</v>
      </c>
      <c r="B281" s="18">
        <v>1</v>
      </c>
      <c r="C281" s="78" t="s">
        <v>615</v>
      </c>
      <c r="D281" s="78" t="s">
        <v>616</v>
      </c>
      <c r="E281" s="81" t="s">
        <v>21</v>
      </c>
      <c r="F281" s="81" t="s">
        <v>22</v>
      </c>
      <c r="G281" s="81" t="s">
        <v>57</v>
      </c>
      <c r="H281" s="81" t="s">
        <v>617</v>
      </c>
      <c r="I281" s="81"/>
      <c r="J281" s="15" t="str">
        <f>IF(E281="Invalid_Segment","Invalid",IFERROR(INDEX(Severity_Matrix!$C$3:$M$10,MATCH('Error Log'!$F281,Severity_Matrix!$B$3:$B$10,0),MATCH('Error Log'!$G281,Severity_Matrix!$C$2:$M$2,0)),"No errors"))</f>
        <v>Major</v>
      </c>
    </row>
    <row r="282" spans="1:10">
      <c r="A282" s="78" t="s">
        <v>614</v>
      </c>
      <c r="B282" s="18">
        <v>2</v>
      </c>
      <c r="C282" s="78" t="s">
        <v>615</v>
      </c>
      <c r="D282" s="78" t="s">
        <v>616</v>
      </c>
      <c r="E282" s="81" t="s">
        <v>21</v>
      </c>
      <c r="F282" s="81" t="s">
        <v>22</v>
      </c>
      <c r="G282" s="81" t="s">
        <v>57</v>
      </c>
      <c r="H282" s="81" t="s">
        <v>618</v>
      </c>
      <c r="I282" s="81"/>
      <c r="J282" s="15" t="str">
        <f>IF(E282="Invalid_Segment","Invalid",IFERROR(INDEX(Severity_Matrix!$C$3:$M$10,MATCH('Error Log'!$F282,Severity_Matrix!$B$3:$B$10,0),MATCH('Error Log'!$G282,Severity_Matrix!$C$2:$M$2,0)),"No errors"))</f>
        <v>Major</v>
      </c>
    </row>
    <row r="283" spans="1:10">
      <c r="A283" s="78" t="s">
        <v>619</v>
      </c>
      <c r="B283" s="18">
        <v>3</v>
      </c>
      <c r="C283" s="78" t="s">
        <v>615</v>
      </c>
      <c r="D283" s="78" t="s">
        <v>616</v>
      </c>
      <c r="E283" s="81" t="s">
        <v>21</v>
      </c>
      <c r="F283" s="81" t="s">
        <v>7</v>
      </c>
      <c r="G283" s="81" t="s">
        <v>57</v>
      </c>
      <c r="H283" s="81" t="s">
        <v>620</v>
      </c>
      <c r="I283" s="81"/>
      <c r="J283" s="15" t="str">
        <f>IF(E283="Invalid_Segment","Invalid",IFERROR(INDEX(Severity_Matrix!$C$3:$M$10,MATCH('Error Log'!$F283,Severity_Matrix!$B$3:$B$10,0),MATCH('Error Log'!$G283,Severity_Matrix!$C$2:$M$2,0)),"No errors"))</f>
        <v>Critical</v>
      </c>
    </row>
    <row r="284" spans="1:10">
      <c r="A284" s="78" t="s">
        <v>619</v>
      </c>
      <c r="B284" s="18">
        <v>4</v>
      </c>
      <c r="C284" s="78" t="s">
        <v>615</v>
      </c>
      <c r="D284" s="78" t="s">
        <v>616</v>
      </c>
      <c r="E284" s="81" t="s">
        <v>21</v>
      </c>
      <c r="F284" s="81" t="s">
        <v>7</v>
      </c>
      <c r="G284" s="81" t="s">
        <v>57</v>
      </c>
      <c r="H284" s="81" t="s">
        <v>621</v>
      </c>
      <c r="I284" s="81"/>
      <c r="J284" s="15" t="str">
        <f>IF(E284="Invalid_Segment","Invalid",IFERROR(INDEX(Severity_Matrix!$C$3:$M$10,MATCH('Error Log'!$F284,Severity_Matrix!$B$3:$B$10,0),MATCH('Error Log'!$G284,Severity_Matrix!$C$2:$M$2,0)),"No errors"))</f>
        <v>Critical</v>
      </c>
    </row>
    <row r="285" spans="1:10">
      <c r="A285" s="78" t="s">
        <v>619</v>
      </c>
      <c r="B285" s="18">
        <v>5</v>
      </c>
      <c r="C285" s="78" t="s">
        <v>615</v>
      </c>
      <c r="D285" s="78" t="s">
        <v>616</v>
      </c>
      <c r="E285" s="81" t="s">
        <v>21</v>
      </c>
      <c r="F285" s="81" t="s">
        <v>7</v>
      </c>
      <c r="G285" s="81" t="s">
        <v>57</v>
      </c>
      <c r="H285" s="81" t="s">
        <v>622</v>
      </c>
      <c r="I285" s="81"/>
      <c r="J285" s="15" t="str">
        <f>IF(E285="Invalid_Segment","Invalid",IFERROR(INDEX(Severity_Matrix!$C$3:$M$10,MATCH('Error Log'!$F285,Severity_Matrix!$B$3:$B$10,0),MATCH('Error Log'!$G285,Severity_Matrix!$C$2:$M$2,0)),"No errors"))</f>
        <v>Critical</v>
      </c>
    </row>
    <row r="286" spans="1:10">
      <c r="A286" s="78" t="s">
        <v>623</v>
      </c>
      <c r="B286" s="18">
        <v>1</v>
      </c>
      <c r="C286" s="78" t="s">
        <v>624</v>
      </c>
      <c r="D286" s="78" t="s">
        <v>625</v>
      </c>
      <c r="E286" s="81" t="s">
        <v>21</v>
      </c>
      <c r="F286" s="81" t="s">
        <v>22</v>
      </c>
      <c r="G286" s="81" t="s">
        <v>57</v>
      </c>
      <c r="H286" s="81" t="s">
        <v>626</v>
      </c>
      <c r="I286" s="81"/>
      <c r="J286" s="15" t="str">
        <f>IF(E286="Invalid_Segment","Invalid",IFERROR(INDEX(Severity_Matrix!$C$3:$M$10,MATCH('Error Log'!$F286,Severity_Matrix!$B$3:$B$10,0),MATCH('Error Log'!$G286,Severity_Matrix!$C$2:$M$2,0)),"No errors"))</f>
        <v>Major</v>
      </c>
    </row>
    <row r="287" spans="1:10">
      <c r="A287" s="78" t="s">
        <v>623</v>
      </c>
      <c r="B287" s="18">
        <v>2</v>
      </c>
      <c r="C287" s="78" t="s">
        <v>627</v>
      </c>
      <c r="D287" s="78" t="s">
        <v>625</v>
      </c>
      <c r="E287" s="81" t="s">
        <v>21</v>
      </c>
      <c r="F287" s="81" t="s">
        <v>22</v>
      </c>
      <c r="G287" s="81" t="s">
        <v>57</v>
      </c>
      <c r="H287" s="81" t="s">
        <v>628</v>
      </c>
      <c r="I287" s="81"/>
      <c r="J287" s="15" t="str">
        <f>IF(E287="Invalid_Segment","Invalid",IFERROR(INDEX(Severity_Matrix!$C$3:$M$10,MATCH('Error Log'!$F287,Severity_Matrix!$B$3:$B$10,0),MATCH('Error Log'!$G287,Severity_Matrix!$C$2:$M$2,0)),"No errors"))</f>
        <v>Major</v>
      </c>
    </row>
    <row r="288" spans="1:10">
      <c r="A288" s="78" t="s">
        <v>629</v>
      </c>
      <c r="B288" s="18">
        <v>3</v>
      </c>
      <c r="C288" s="78" t="s">
        <v>630</v>
      </c>
      <c r="D288" s="78" t="s">
        <v>625</v>
      </c>
      <c r="E288" s="81" t="s">
        <v>21</v>
      </c>
      <c r="F288" s="81" t="s">
        <v>7</v>
      </c>
      <c r="G288" s="81" t="s">
        <v>57</v>
      </c>
      <c r="H288" s="81" t="s">
        <v>631</v>
      </c>
      <c r="I288" s="81"/>
      <c r="J288" s="15" t="str">
        <f>IF(E288="Invalid_Segment","Invalid",IFERROR(INDEX(Severity_Matrix!$C$3:$M$10,MATCH('Error Log'!$F288,Severity_Matrix!$B$3:$B$10,0),MATCH('Error Log'!$G288,Severity_Matrix!$C$2:$M$2,0)),"No errors"))</f>
        <v>Critical</v>
      </c>
    </row>
    <row r="289" spans="1:10">
      <c r="A289" s="78" t="s">
        <v>629</v>
      </c>
      <c r="B289" s="18">
        <v>4</v>
      </c>
      <c r="C289" s="78" t="s">
        <v>632</v>
      </c>
      <c r="D289" s="78" t="s">
        <v>625</v>
      </c>
      <c r="E289" s="81" t="s">
        <v>21</v>
      </c>
      <c r="F289" s="81" t="s">
        <v>7</v>
      </c>
      <c r="G289" s="81" t="s">
        <v>57</v>
      </c>
      <c r="H289" s="81" t="s">
        <v>633</v>
      </c>
      <c r="I289" s="81"/>
      <c r="J289" s="15" t="str">
        <f>IF(E289="Invalid_Segment","Invalid",IFERROR(INDEX(Severity_Matrix!$C$3:$M$10,MATCH('Error Log'!$F289,Severity_Matrix!$B$3:$B$10,0),MATCH('Error Log'!$G289,Severity_Matrix!$C$2:$M$2,0)),"No errors"))</f>
        <v>Critical</v>
      </c>
    </row>
    <row r="290" spans="1:10">
      <c r="A290" s="78" t="s">
        <v>634</v>
      </c>
      <c r="B290" s="18">
        <v>1</v>
      </c>
      <c r="C290" s="78" t="s">
        <v>635</v>
      </c>
      <c r="D290" s="78" t="s">
        <v>636</v>
      </c>
      <c r="E290" s="81" t="s">
        <v>21</v>
      </c>
      <c r="F290" s="81" t="s">
        <v>22</v>
      </c>
      <c r="G290" s="81" t="s">
        <v>57</v>
      </c>
      <c r="H290" s="81" t="s">
        <v>637</v>
      </c>
      <c r="I290" s="81"/>
      <c r="J290" s="15" t="str">
        <f>IF(E290="Invalid_Segment","Invalid",IFERROR(INDEX(Severity_Matrix!$C$3:$M$10,MATCH('Error Log'!$F290,Severity_Matrix!$B$3:$B$10,0),MATCH('Error Log'!$G290,Severity_Matrix!$C$2:$M$2,0)),"No errors"))</f>
        <v>Major</v>
      </c>
    </row>
    <row r="291" spans="1:10">
      <c r="A291" s="78" t="s">
        <v>634</v>
      </c>
      <c r="B291" s="18">
        <v>2</v>
      </c>
      <c r="C291" s="78" t="s">
        <v>635</v>
      </c>
      <c r="D291" s="78" t="s">
        <v>636</v>
      </c>
      <c r="E291" s="81" t="s">
        <v>21</v>
      </c>
      <c r="F291" s="81" t="s">
        <v>7</v>
      </c>
      <c r="G291" s="81" t="s">
        <v>57</v>
      </c>
      <c r="H291" s="81" t="s">
        <v>638</v>
      </c>
      <c r="I291" s="81"/>
      <c r="J291" s="15" t="str">
        <f>IF(E291="Invalid_Segment","Invalid",IFERROR(INDEX(Severity_Matrix!$C$3:$M$10,MATCH('Error Log'!$F291,Severity_Matrix!$B$3:$B$10,0),MATCH('Error Log'!$G291,Severity_Matrix!$C$2:$M$2,0)),"No errors"))</f>
        <v>Critical</v>
      </c>
    </row>
    <row r="292" spans="1:10">
      <c r="A292" s="78" t="s">
        <v>639</v>
      </c>
      <c r="B292" s="18">
        <v>3</v>
      </c>
      <c r="C292" s="78" t="s">
        <v>635</v>
      </c>
      <c r="D292" s="78" t="s">
        <v>636</v>
      </c>
      <c r="E292" s="81" t="s">
        <v>21</v>
      </c>
      <c r="F292" s="81" t="s">
        <v>7</v>
      </c>
      <c r="G292" s="81" t="s">
        <v>57</v>
      </c>
      <c r="H292" s="81" t="s">
        <v>640</v>
      </c>
      <c r="I292" s="81"/>
      <c r="J292" s="15" t="str">
        <f>IF(E292="Invalid_Segment","Invalid",IFERROR(INDEX(Severity_Matrix!$C$3:$M$10,MATCH('Error Log'!$F292,Severity_Matrix!$B$3:$B$10,0),MATCH('Error Log'!$G292,Severity_Matrix!$C$2:$M$2,0)),"No errors"))</f>
        <v>Critical</v>
      </c>
    </row>
    <row r="293" spans="1:10">
      <c r="A293" s="79" t="s">
        <v>641</v>
      </c>
      <c r="B293" s="18">
        <v>1</v>
      </c>
      <c r="C293" s="78" t="s">
        <v>642</v>
      </c>
      <c r="D293" s="80" t="s">
        <v>643</v>
      </c>
      <c r="E293" s="81" t="s">
        <v>21</v>
      </c>
      <c r="F293" s="81" t="s">
        <v>7</v>
      </c>
      <c r="G293" s="81" t="s">
        <v>27</v>
      </c>
      <c r="H293" s="81" t="s">
        <v>644</v>
      </c>
      <c r="I293" s="81"/>
      <c r="J293" s="15" t="str">
        <f>IF(E293="Invalid_Segment","Invalid",IFERROR(INDEX(Severity_Matrix!$C$3:$M$10,MATCH('Error Log'!$F293,Severity_Matrix!$B$3:$B$10,0),MATCH('Error Log'!$G293,Severity_Matrix!$C$2:$M$2,0)),"No errors"))</f>
        <v>Major</v>
      </c>
    </row>
    <row r="294" spans="1:10">
      <c r="A294" s="79" t="s">
        <v>641</v>
      </c>
      <c r="B294" s="18">
        <v>2</v>
      </c>
      <c r="C294" s="78" t="s">
        <v>645</v>
      </c>
      <c r="D294" s="80" t="s">
        <v>646</v>
      </c>
      <c r="E294" s="81" t="s">
        <v>2</v>
      </c>
      <c r="F294" s="81" t="s">
        <v>26</v>
      </c>
      <c r="G294" s="81" t="s">
        <v>57</v>
      </c>
      <c r="H294" s="81" t="s">
        <v>647</v>
      </c>
      <c r="I294" s="81"/>
      <c r="J294" s="15" t="str">
        <f>IF(E294="Invalid_Segment","Invalid",IFERROR(INDEX(Severity_Matrix!$C$3:$M$10,MATCH('Error Log'!$F294,Severity_Matrix!$B$3:$B$10,0),MATCH('Error Log'!$G294,Severity_Matrix!$C$2:$M$2,0)),"No errors"))</f>
        <v>Major</v>
      </c>
    </row>
    <row r="295" spans="1:10">
      <c r="A295" s="79" t="s">
        <v>648</v>
      </c>
      <c r="B295" s="18">
        <v>3</v>
      </c>
      <c r="C295" s="78" t="s">
        <v>649</v>
      </c>
      <c r="D295" s="80" t="s">
        <v>650</v>
      </c>
      <c r="E295" s="81" t="s">
        <v>21</v>
      </c>
      <c r="F295" s="81" t="s">
        <v>7</v>
      </c>
      <c r="G295" s="81" t="s">
        <v>57</v>
      </c>
      <c r="H295" s="81" t="s">
        <v>651</v>
      </c>
      <c r="I295" s="81"/>
      <c r="J295" s="15" t="str">
        <f>IF(E295="Invalid_Segment","Invalid",IFERROR(INDEX(Severity_Matrix!$C$3:$M$10,MATCH('Error Log'!$F295,Severity_Matrix!$B$3:$B$10,0),MATCH('Error Log'!$G295,Severity_Matrix!$C$2:$M$2,0)),"No errors"))</f>
        <v>Critical</v>
      </c>
    </row>
    <row r="296" spans="1:10">
      <c r="A296" s="79" t="s">
        <v>652</v>
      </c>
      <c r="B296" s="18">
        <v>1</v>
      </c>
      <c r="C296" s="80" t="s">
        <v>653</v>
      </c>
      <c r="D296" s="80" t="s">
        <v>654</v>
      </c>
      <c r="E296" s="81" t="s">
        <v>21</v>
      </c>
      <c r="F296" s="81" t="s">
        <v>7</v>
      </c>
      <c r="G296" s="81" t="s">
        <v>57</v>
      </c>
      <c r="H296" s="81" t="s">
        <v>655</v>
      </c>
      <c r="I296" s="81"/>
      <c r="J296" s="15" t="str">
        <f>IF(E296="Invalid_Segment","Invalid",IFERROR(INDEX(Severity_Matrix!$C$3:$M$10,MATCH('Error Log'!$F296,Severity_Matrix!$B$3:$B$10,0),MATCH('Error Log'!$G296,Severity_Matrix!$C$2:$M$2,0)),"No errors"))</f>
        <v>Critical</v>
      </c>
    </row>
    <row r="297" spans="1:10">
      <c r="A297" s="79" t="s">
        <v>652</v>
      </c>
      <c r="B297" s="18">
        <v>2</v>
      </c>
      <c r="C297" s="80" t="s">
        <v>656</v>
      </c>
      <c r="D297" s="80" t="s">
        <v>657</v>
      </c>
      <c r="E297" s="81" t="s">
        <v>21</v>
      </c>
      <c r="F297" s="81" t="s">
        <v>7</v>
      </c>
      <c r="G297" s="81" t="s">
        <v>57</v>
      </c>
      <c r="H297" s="81" t="s">
        <v>658</v>
      </c>
      <c r="I297" s="81"/>
      <c r="J297" s="15" t="str">
        <f>IF(E297="Invalid_Segment","Invalid",IFERROR(INDEX(Severity_Matrix!$C$3:$M$10,MATCH('Error Log'!$F297,Severity_Matrix!$B$3:$B$10,0),MATCH('Error Log'!$G297,Severity_Matrix!$C$2:$M$2,0)),"No errors"))</f>
        <v>Critical</v>
      </c>
    </row>
    <row r="298" spans="1:10">
      <c r="A298" s="79" t="s">
        <v>659</v>
      </c>
      <c r="B298" s="18">
        <v>1</v>
      </c>
      <c r="C298" s="80" t="s">
        <v>660</v>
      </c>
      <c r="D298" s="80" t="s">
        <v>661</v>
      </c>
      <c r="E298" s="81" t="s">
        <v>21</v>
      </c>
      <c r="F298" s="81" t="s">
        <v>22</v>
      </c>
      <c r="G298" s="81" t="s">
        <v>57</v>
      </c>
      <c r="H298" s="81" t="s">
        <v>662</v>
      </c>
      <c r="I298" s="81"/>
      <c r="J298" s="15" t="str">
        <f>IF(E298="Invalid_Segment","Invalid",IFERROR(INDEX(Severity_Matrix!$C$3:$M$10,MATCH('Error Log'!$F298,Severity_Matrix!$B$3:$B$10,0),MATCH('Error Log'!$G298,Severity_Matrix!$C$2:$M$2,0)),"No errors"))</f>
        <v>Major</v>
      </c>
    </row>
    <row r="299" spans="1:10">
      <c r="A299" s="79" t="s">
        <v>659</v>
      </c>
      <c r="B299" s="18">
        <v>2</v>
      </c>
      <c r="C299" s="80" t="s">
        <v>660</v>
      </c>
      <c r="D299" s="80" t="s">
        <v>661</v>
      </c>
      <c r="E299" s="81" t="s">
        <v>2</v>
      </c>
      <c r="F299" s="81" t="s">
        <v>26</v>
      </c>
      <c r="G299" s="81" t="s">
        <v>57</v>
      </c>
      <c r="H299" s="81" t="s">
        <v>662</v>
      </c>
      <c r="I299" s="81"/>
      <c r="J299" s="15" t="str">
        <f>IF(E299="Invalid_Segment","Invalid",IFERROR(INDEX(Severity_Matrix!$C$3:$M$10,MATCH('Error Log'!$F299,Severity_Matrix!$B$3:$B$10,0),MATCH('Error Log'!$G299,Severity_Matrix!$C$2:$M$2,0)),"No errors"))</f>
        <v>Major</v>
      </c>
    </row>
    <row r="300" spans="1:10">
      <c r="A300" s="79" t="s">
        <v>663</v>
      </c>
      <c r="B300" s="18">
        <v>3</v>
      </c>
      <c r="C300" s="80" t="s">
        <v>660</v>
      </c>
      <c r="D300" s="80" t="s">
        <v>661</v>
      </c>
      <c r="E300" s="81" t="s">
        <v>21</v>
      </c>
      <c r="F300" s="81" t="s">
        <v>7</v>
      </c>
      <c r="G300" s="81" t="s">
        <v>57</v>
      </c>
      <c r="H300" s="81" t="s">
        <v>664</v>
      </c>
      <c r="I300" s="81"/>
      <c r="J300" s="15" t="str">
        <f>IF(E300="Invalid_Segment","Invalid",IFERROR(INDEX(Severity_Matrix!$C$3:$M$10,MATCH('Error Log'!$F300,Severity_Matrix!$B$3:$B$10,0),MATCH('Error Log'!$G300,Severity_Matrix!$C$2:$M$2,0)),"No errors"))</f>
        <v>Critical</v>
      </c>
    </row>
    <row r="301" spans="1:10">
      <c r="A301" s="79" t="s">
        <v>663</v>
      </c>
      <c r="B301" s="18">
        <v>4</v>
      </c>
      <c r="C301" s="80" t="s">
        <v>660</v>
      </c>
      <c r="D301" s="80" t="s">
        <v>661</v>
      </c>
      <c r="E301" s="81" t="s">
        <v>21</v>
      </c>
      <c r="F301" s="81" t="s">
        <v>7</v>
      </c>
      <c r="G301" s="81" t="s">
        <v>57</v>
      </c>
      <c r="H301" s="81" t="s">
        <v>665</v>
      </c>
      <c r="I301" s="81"/>
      <c r="J301" s="15" t="str">
        <f>IF(E301="Invalid_Segment","Invalid",IFERROR(INDEX(Severity_Matrix!$C$3:$M$10,MATCH('Error Log'!$F301,Severity_Matrix!$B$3:$B$10,0),MATCH('Error Log'!$G301,Severity_Matrix!$C$2:$M$2,0)),"No errors"))</f>
        <v>Critical</v>
      </c>
    </row>
    <row r="302" spans="1:10">
      <c r="A302" s="79" t="s">
        <v>666</v>
      </c>
      <c r="B302" s="18">
        <v>1</v>
      </c>
      <c r="C302" s="80" t="s">
        <v>667</v>
      </c>
      <c r="D302" s="80" t="s">
        <v>668</v>
      </c>
      <c r="E302" s="81" t="s">
        <v>21</v>
      </c>
      <c r="F302" s="81" t="s">
        <v>22</v>
      </c>
      <c r="G302" s="81" t="s">
        <v>57</v>
      </c>
      <c r="H302" s="81" t="s">
        <v>669</v>
      </c>
      <c r="I302" s="81"/>
      <c r="J302" s="15" t="str">
        <f>IF(E302="Invalid_Segment","Invalid",IFERROR(INDEX(Severity_Matrix!$C$3:$M$10,MATCH('Error Log'!$F302,Severity_Matrix!$B$3:$B$10,0),MATCH('Error Log'!$G302,Severity_Matrix!$C$2:$M$2,0)),"No errors"))</f>
        <v>Major</v>
      </c>
    </row>
    <row r="303" spans="1:10">
      <c r="A303" s="79" t="s">
        <v>666</v>
      </c>
      <c r="B303" s="18">
        <v>2</v>
      </c>
      <c r="C303" s="80" t="s">
        <v>667</v>
      </c>
      <c r="D303" s="80" t="s">
        <v>668</v>
      </c>
      <c r="E303" s="81" t="s">
        <v>21</v>
      </c>
      <c r="F303" s="81" t="s">
        <v>7</v>
      </c>
      <c r="G303" s="81" t="s">
        <v>57</v>
      </c>
      <c r="H303" s="81" t="s">
        <v>670</v>
      </c>
      <c r="I303" s="81"/>
      <c r="J303" s="15" t="str">
        <f>IF(E303="Invalid_Segment","Invalid",IFERROR(INDEX(Severity_Matrix!$C$3:$M$10,MATCH('Error Log'!$F303,Severity_Matrix!$B$3:$B$10,0),MATCH('Error Log'!$G303,Severity_Matrix!$C$2:$M$2,0)),"No errors"))</f>
        <v>Critical</v>
      </c>
    </row>
    <row r="304" spans="1:10">
      <c r="A304" s="79" t="s">
        <v>671</v>
      </c>
      <c r="B304" s="18">
        <v>1</v>
      </c>
      <c r="C304" s="80" t="s">
        <v>672</v>
      </c>
      <c r="D304" s="80" t="s">
        <v>673</v>
      </c>
      <c r="E304" s="81" t="s">
        <v>2</v>
      </c>
      <c r="F304" s="81" t="s">
        <v>26</v>
      </c>
      <c r="G304" s="81" t="s">
        <v>57</v>
      </c>
      <c r="H304" s="81" t="s">
        <v>674</v>
      </c>
      <c r="I304" s="81"/>
      <c r="J304" s="15" t="str">
        <f>IF(E304="Invalid_Segment","Invalid",IFERROR(INDEX(Severity_Matrix!$C$3:$M$10,MATCH('Error Log'!$F304,Severity_Matrix!$B$3:$B$10,0),MATCH('Error Log'!$G304,Severity_Matrix!$C$2:$M$2,0)),"No errors"))</f>
        <v>Major</v>
      </c>
    </row>
    <row r="305" spans="1:10">
      <c r="A305" s="79" t="s">
        <v>671</v>
      </c>
      <c r="B305" s="18">
        <v>2</v>
      </c>
      <c r="C305" s="80" t="s">
        <v>672</v>
      </c>
      <c r="D305" s="80" t="s">
        <v>673</v>
      </c>
      <c r="E305" s="81" t="s">
        <v>21</v>
      </c>
      <c r="F305" s="81" t="s">
        <v>7</v>
      </c>
      <c r="G305" s="81" t="s">
        <v>57</v>
      </c>
      <c r="H305" s="81" t="s">
        <v>675</v>
      </c>
      <c r="I305" s="81"/>
      <c r="J305" s="15" t="str">
        <f>IF(E305="Invalid_Segment","Invalid",IFERROR(INDEX(Severity_Matrix!$C$3:$M$10,MATCH('Error Log'!$F305,Severity_Matrix!$B$3:$B$10,0),MATCH('Error Log'!$G305,Severity_Matrix!$C$2:$M$2,0)),"No errors"))</f>
        <v>Critical</v>
      </c>
    </row>
    <row r="306" spans="1:10">
      <c r="A306" s="79" t="s">
        <v>676</v>
      </c>
      <c r="B306" s="18">
        <v>1</v>
      </c>
      <c r="C306" s="80" t="s">
        <v>677</v>
      </c>
      <c r="D306" s="80" t="s">
        <v>678</v>
      </c>
      <c r="E306" s="81" t="s">
        <v>21</v>
      </c>
      <c r="F306" s="81" t="s">
        <v>22</v>
      </c>
      <c r="G306" s="81" t="s">
        <v>57</v>
      </c>
      <c r="H306" s="81" t="s">
        <v>679</v>
      </c>
      <c r="I306" s="81"/>
      <c r="J306" s="15" t="str">
        <f>IF(E306="Invalid_Segment","Invalid",IFERROR(INDEX(Severity_Matrix!$C$3:$M$10,MATCH('Error Log'!$F306,Severity_Matrix!$B$3:$B$10,0),MATCH('Error Log'!$G306,Severity_Matrix!$C$2:$M$2,0)),"No errors"))</f>
        <v>Major</v>
      </c>
    </row>
    <row r="307" spans="1:10">
      <c r="A307" s="79" t="s">
        <v>676</v>
      </c>
      <c r="B307" s="18">
        <v>2</v>
      </c>
      <c r="C307" s="80" t="s">
        <v>677</v>
      </c>
      <c r="D307" s="80" t="s">
        <v>678</v>
      </c>
      <c r="E307" s="81" t="s">
        <v>21</v>
      </c>
      <c r="F307" s="81" t="s">
        <v>22</v>
      </c>
      <c r="G307" s="81" t="s">
        <v>57</v>
      </c>
      <c r="H307" s="81" t="s">
        <v>680</v>
      </c>
      <c r="I307" s="81"/>
      <c r="J307" s="15" t="str">
        <f>IF(E307="Invalid_Segment","Invalid",IFERROR(INDEX(Severity_Matrix!$C$3:$M$10,MATCH('Error Log'!$F307,Severity_Matrix!$B$3:$B$10,0),MATCH('Error Log'!$G307,Severity_Matrix!$C$2:$M$2,0)),"No errors"))</f>
        <v>Major</v>
      </c>
    </row>
    <row r="308" spans="1:10">
      <c r="A308" s="79" t="s">
        <v>676</v>
      </c>
      <c r="B308" s="18">
        <v>3</v>
      </c>
      <c r="C308" s="80" t="s">
        <v>677</v>
      </c>
      <c r="D308" s="80" t="s">
        <v>678</v>
      </c>
      <c r="E308" s="81" t="s">
        <v>21</v>
      </c>
      <c r="F308" s="81" t="s">
        <v>7</v>
      </c>
      <c r="G308" s="81" t="s">
        <v>57</v>
      </c>
      <c r="H308" s="81" t="s">
        <v>681</v>
      </c>
      <c r="I308" s="81"/>
      <c r="J308" s="15" t="str">
        <f>IF(E308="Invalid_Segment","Invalid",IFERROR(INDEX(Severity_Matrix!$C$3:$M$10,MATCH('Error Log'!$F308,Severity_Matrix!$B$3:$B$10,0),MATCH('Error Log'!$G308,Severity_Matrix!$C$2:$M$2,0)),"No errors"))</f>
        <v>Critical</v>
      </c>
    </row>
    <row r="309" spans="1:10">
      <c r="A309" s="79" t="s">
        <v>682</v>
      </c>
      <c r="B309" s="18">
        <v>1</v>
      </c>
      <c r="C309" s="80" t="s">
        <v>683</v>
      </c>
      <c r="D309" s="80" t="s">
        <v>684</v>
      </c>
      <c r="E309" s="81" t="s">
        <v>21</v>
      </c>
      <c r="F309" s="81" t="s">
        <v>22</v>
      </c>
      <c r="G309" s="81" t="s">
        <v>57</v>
      </c>
      <c r="H309" s="81" t="s">
        <v>685</v>
      </c>
      <c r="I309" s="81"/>
      <c r="J309" s="15" t="str">
        <f>IF(E309="Invalid_Segment","Invalid",IFERROR(INDEX(Severity_Matrix!$C$3:$M$10,MATCH('Error Log'!$F309,Severity_Matrix!$B$3:$B$10,0),MATCH('Error Log'!$G309,Severity_Matrix!$C$2:$M$2,0)),"No errors"))</f>
        <v>Major</v>
      </c>
    </row>
    <row r="310" spans="1:10">
      <c r="A310" s="79" t="s">
        <v>682</v>
      </c>
      <c r="B310" s="18">
        <v>2</v>
      </c>
      <c r="C310" s="80" t="s">
        <v>686</v>
      </c>
      <c r="D310" s="80" t="s">
        <v>687</v>
      </c>
      <c r="E310" s="81" t="s">
        <v>21</v>
      </c>
      <c r="F310" s="81" t="s">
        <v>22</v>
      </c>
      <c r="G310" s="81" t="s">
        <v>57</v>
      </c>
      <c r="H310" s="81" t="s">
        <v>688</v>
      </c>
      <c r="I310" s="81"/>
      <c r="J310" s="15" t="str">
        <f>IF(E310="Invalid_Segment","Invalid",IFERROR(INDEX(Severity_Matrix!$C$3:$M$10,MATCH('Error Log'!$F310,Severity_Matrix!$B$3:$B$10,0),MATCH('Error Log'!$G310,Severity_Matrix!$C$2:$M$2,0)),"No errors"))</f>
        <v>Major</v>
      </c>
    </row>
    <row r="311" spans="1:10" ht="14.4">
      <c r="A311" s="79" t="s">
        <v>689</v>
      </c>
      <c r="B311" s="18">
        <v>3</v>
      </c>
      <c r="C311" s="80" t="s">
        <v>690</v>
      </c>
      <c r="D311" s="80" t="s">
        <v>691</v>
      </c>
      <c r="E311" s="81" t="s">
        <v>21</v>
      </c>
      <c r="F311" s="81" t="s">
        <v>7</v>
      </c>
      <c r="G311" s="81" t="s">
        <v>57</v>
      </c>
      <c r="H311" s="81" t="s">
        <v>692</v>
      </c>
      <c r="I311" s="81"/>
      <c r="J311" s="15" t="str">
        <f>IF(E311="Invalid_Segment","Invalid",IFERROR(INDEX(Severity_Matrix!$C$3:$M$10,MATCH('Error Log'!$F311,Severity_Matrix!$B$3:$B$10,0),MATCH('Error Log'!$G311,Severity_Matrix!$C$2:$M$2,0)),"No errors"))</f>
        <v>Critical</v>
      </c>
    </row>
    <row r="312" spans="1:10">
      <c r="A312" s="79" t="s">
        <v>689</v>
      </c>
      <c r="B312" s="18">
        <v>4</v>
      </c>
      <c r="C312" s="80" t="s">
        <v>693</v>
      </c>
      <c r="D312" s="80" t="s">
        <v>694</v>
      </c>
      <c r="E312" s="81" t="s">
        <v>21</v>
      </c>
      <c r="F312" s="81" t="s">
        <v>7</v>
      </c>
      <c r="G312" s="81" t="s">
        <v>57</v>
      </c>
      <c r="H312" s="81" t="s">
        <v>695</v>
      </c>
      <c r="I312" s="81"/>
      <c r="J312" s="15" t="str">
        <f>IF(E312="Invalid_Segment","Invalid",IFERROR(INDEX(Severity_Matrix!$C$3:$M$10,MATCH('Error Log'!$F312,Severity_Matrix!$B$3:$B$10,0),MATCH('Error Log'!$G312,Severity_Matrix!$C$2:$M$2,0)),"No errors"))</f>
        <v>Critical</v>
      </c>
    </row>
    <row r="313" spans="1:10">
      <c r="A313" s="79" t="s">
        <v>696</v>
      </c>
      <c r="B313" s="18">
        <v>1</v>
      </c>
      <c r="C313" s="80" t="s">
        <v>697</v>
      </c>
      <c r="D313" s="80" t="s">
        <v>698</v>
      </c>
      <c r="E313" s="81" t="s">
        <v>2</v>
      </c>
      <c r="F313" s="81" t="s">
        <v>26</v>
      </c>
      <c r="G313" s="81" t="s">
        <v>57</v>
      </c>
      <c r="H313" s="81" t="s">
        <v>699</v>
      </c>
      <c r="I313" s="81"/>
      <c r="J313" s="15" t="str">
        <f>IF(E313="Invalid_Segment","Invalid",IFERROR(INDEX(Severity_Matrix!$C$3:$M$10,MATCH('Error Log'!$F313,Severity_Matrix!$B$3:$B$10,0),MATCH('Error Log'!$G313,Severity_Matrix!$C$2:$M$2,0)),"No errors"))</f>
        <v>Major</v>
      </c>
    </row>
    <row r="314" spans="1:10">
      <c r="A314" s="79" t="s">
        <v>696</v>
      </c>
      <c r="B314" s="18">
        <v>2</v>
      </c>
      <c r="C314" s="80" t="s">
        <v>697</v>
      </c>
      <c r="D314" s="80" t="s">
        <v>698</v>
      </c>
      <c r="E314" s="81" t="s">
        <v>21</v>
      </c>
      <c r="F314" s="81" t="s">
        <v>63</v>
      </c>
      <c r="G314" s="81" t="s">
        <v>29</v>
      </c>
      <c r="H314" s="81">
        <v>2000</v>
      </c>
      <c r="I314" s="81"/>
      <c r="J314" s="15" t="str">
        <f>IF(E314="Invalid_Segment","Invalid",IFERROR(INDEX(Severity_Matrix!$C$3:$M$10,MATCH('Error Log'!$F314,Severity_Matrix!$B$3:$B$10,0),MATCH('Error Log'!$G314,Severity_Matrix!$C$2:$M$2,0)),"No errors"))</f>
        <v>Critical</v>
      </c>
    </row>
    <row r="315" spans="1:10">
      <c r="A315" s="79" t="s">
        <v>700</v>
      </c>
      <c r="B315" s="18">
        <v>3</v>
      </c>
      <c r="C315" s="80" t="s">
        <v>697</v>
      </c>
      <c r="D315" s="80" t="s">
        <v>698</v>
      </c>
      <c r="E315" s="81" t="s">
        <v>21</v>
      </c>
      <c r="F315" s="81" t="s">
        <v>7</v>
      </c>
      <c r="G315" s="81" t="s">
        <v>57</v>
      </c>
      <c r="H315" s="81" t="s">
        <v>701</v>
      </c>
      <c r="I315" s="81"/>
      <c r="J315" s="15" t="str">
        <f>IF(E315="Invalid_Segment","Invalid",IFERROR(INDEX(Severity_Matrix!$C$3:$M$10,MATCH('Error Log'!$F315,Severity_Matrix!$B$3:$B$10,0),MATCH('Error Log'!$G315,Severity_Matrix!$C$2:$M$2,0)),"No errors"))</f>
        <v>Critical</v>
      </c>
    </row>
    <row r="316" spans="1:10">
      <c r="A316" s="79" t="s">
        <v>702</v>
      </c>
      <c r="B316" s="18">
        <v>1</v>
      </c>
      <c r="C316" s="80" t="s">
        <v>703</v>
      </c>
      <c r="D316" s="80" t="s">
        <v>704</v>
      </c>
      <c r="E316" s="81" t="s">
        <v>21</v>
      </c>
      <c r="F316" s="81" t="s">
        <v>22</v>
      </c>
      <c r="G316" s="81" t="s">
        <v>57</v>
      </c>
      <c r="H316" s="81" t="s">
        <v>705</v>
      </c>
      <c r="I316" s="81"/>
      <c r="J316" s="15" t="str">
        <f>IF(E316="Invalid_Segment","Invalid",IFERROR(INDEX(Severity_Matrix!$C$3:$M$10,MATCH('Error Log'!$F316,Severity_Matrix!$B$3:$B$10,0),MATCH('Error Log'!$G316,Severity_Matrix!$C$2:$M$2,0)),"No errors"))</f>
        <v>Major</v>
      </c>
    </row>
    <row r="317" spans="1:10">
      <c r="A317" s="79" t="s">
        <v>702</v>
      </c>
      <c r="B317" s="18">
        <v>2</v>
      </c>
      <c r="C317" s="80" t="s">
        <v>703</v>
      </c>
      <c r="D317" s="80" t="s">
        <v>704</v>
      </c>
      <c r="E317" s="81" t="s">
        <v>21</v>
      </c>
      <c r="F317" s="81" t="s">
        <v>22</v>
      </c>
      <c r="G317" s="81" t="s">
        <v>57</v>
      </c>
      <c r="H317" s="81" t="s">
        <v>706</v>
      </c>
      <c r="I317" s="81"/>
      <c r="J317" s="15" t="str">
        <f>IF(E317="Invalid_Segment","Invalid",IFERROR(INDEX(Severity_Matrix!$C$3:$M$10,MATCH('Error Log'!$F317,Severity_Matrix!$B$3:$B$10,0),MATCH('Error Log'!$G317,Severity_Matrix!$C$2:$M$2,0)),"No errors"))</f>
        <v>Major</v>
      </c>
    </row>
    <row r="318" spans="1:10">
      <c r="A318" s="79" t="s">
        <v>707</v>
      </c>
      <c r="B318" s="18">
        <v>3</v>
      </c>
      <c r="C318" s="80" t="s">
        <v>703</v>
      </c>
      <c r="D318" s="80" t="s">
        <v>704</v>
      </c>
      <c r="E318" s="81" t="s">
        <v>21</v>
      </c>
      <c r="F318" s="81" t="s">
        <v>7</v>
      </c>
      <c r="G318" s="81" t="s">
        <v>57</v>
      </c>
      <c r="H318" s="81" t="s">
        <v>708</v>
      </c>
      <c r="I318" s="81"/>
      <c r="J318" s="15" t="str">
        <f>IF(E318="Invalid_Segment","Invalid",IFERROR(INDEX(Severity_Matrix!$C$3:$M$10,MATCH('Error Log'!$F318,Severity_Matrix!$B$3:$B$10,0),MATCH('Error Log'!$G318,Severity_Matrix!$C$2:$M$2,0)),"No errors"))</f>
        <v>Critical</v>
      </c>
    </row>
    <row r="319" spans="1:10">
      <c r="A319" s="79" t="s">
        <v>707</v>
      </c>
      <c r="B319" s="18">
        <v>4</v>
      </c>
      <c r="C319" s="80" t="s">
        <v>703</v>
      </c>
      <c r="D319" s="80" t="s">
        <v>704</v>
      </c>
      <c r="E319" s="81" t="s">
        <v>21</v>
      </c>
      <c r="F319" s="81" t="s">
        <v>7</v>
      </c>
      <c r="G319" s="81" t="s">
        <v>57</v>
      </c>
      <c r="H319" s="81" t="s">
        <v>709</v>
      </c>
      <c r="I319" s="81"/>
      <c r="J319" s="15" t="str">
        <f>IF(E319="Invalid_Segment","Invalid",IFERROR(INDEX(Severity_Matrix!$C$3:$M$10,MATCH('Error Log'!$F319,Severity_Matrix!$B$3:$B$10,0),MATCH('Error Log'!$G319,Severity_Matrix!$C$2:$M$2,0)),"No errors"))</f>
        <v>Critical</v>
      </c>
    </row>
    <row r="320" spans="1:10">
      <c r="A320" s="79" t="s">
        <v>710</v>
      </c>
      <c r="B320" s="18">
        <v>1</v>
      </c>
      <c r="C320" s="80" t="s">
        <v>711</v>
      </c>
      <c r="D320" s="80" t="s">
        <v>712</v>
      </c>
      <c r="E320" s="81" t="s">
        <v>21</v>
      </c>
      <c r="F320" s="81" t="s">
        <v>7</v>
      </c>
      <c r="G320" s="81" t="s">
        <v>57</v>
      </c>
      <c r="H320" s="85" t="s">
        <v>713</v>
      </c>
      <c r="I320" s="81"/>
      <c r="J320" s="15" t="str">
        <f>IF(E320="Invalid_Segment","Invalid",IFERROR(INDEX(Severity_Matrix!$C$3:$M$10,MATCH('Error Log'!$F320,Severity_Matrix!$B$3:$B$10,0),MATCH('Error Log'!$G320,Severity_Matrix!$C$2:$M$2,0)),"No errors"))</f>
        <v>Critical</v>
      </c>
    </row>
    <row r="321" spans="1:10">
      <c r="A321" s="79" t="s">
        <v>710</v>
      </c>
      <c r="B321" s="18">
        <v>2</v>
      </c>
      <c r="C321" s="80" t="s">
        <v>711</v>
      </c>
      <c r="D321" s="80" t="s">
        <v>712</v>
      </c>
      <c r="E321" s="81" t="s">
        <v>21</v>
      </c>
      <c r="F321" s="81" t="s">
        <v>7</v>
      </c>
      <c r="G321" s="81" t="s">
        <v>57</v>
      </c>
      <c r="H321" s="81" t="s">
        <v>714</v>
      </c>
      <c r="I321" s="81"/>
      <c r="J321" s="15" t="str">
        <f>IF(E321="Invalid_Segment","Invalid",IFERROR(INDEX(Severity_Matrix!$C$3:$M$10,MATCH('Error Log'!$F321,Severity_Matrix!$B$3:$B$10,0),MATCH('Error Log'!$G321,Severity_Matrix!$C$2:$M$2,0)),"No errors"))</f>
        <v>Critical</v>
      </c>
    </row>
    <row r="322" spans="1:10">
      <c r="A322" s="79" t="s">
        <v>715</v>
      </c>
      <c r="B322" s="18">
        <v>1</v>
      </c>
      <c r="C322" s="80" t="s">
        <v>716</v>
      </c>
      <c r="D322" s="80" t="s">
        <v>717</v>
      </c>
      <c r="E322" s="81" t="s">
        <v>21</v>
      </c>
      <c r="F322" s="81" t="s">
        <v>22</v>
      </c>
      <c r="G322" s="81" t="s">
        <v>57</v>
      </c>
      <c r="H322" s="81" t="s">
        <v>718</v>
      </c>
      <c r="I322" s="81"/>
      <c r="J322" s="15" t="str">
        <f>IF(E322="Invalid_Segment","Invalid",IFERROR(INDEX(Severity_Matrix!$C$3:$M$10,MATCH('Error Log'!$F322,Severity_Matrix!$B$3:$B$10,0),MATCH('Error Log'!$G322,Severity_Matrix!$C$2:$M$2,0)),"No errors"))</f>
        <v>Major</v>
      </c>
    </row>
    <row r="323" spans="1:10">
      <c r="A323" s="79" t="s">
        <v>715</v>
      </c>
      <c r="B323" s="18">
        <v>2</v>
      </c>
      <c r="C323" s="80" t="s">
        <v>719</v>
      </c>
      <c r="D323" s="80" t="s">
        <v>720</v>
      </c>
      <c r="E323" s="81" t="s">
        <v>2</v>
      </c>
      <c r="F323" s="81" t="s">
        <v>26</v>
      </c>
      <c r="G323" s="81" t="s">
        <v>57</v>
      </c>
      <c r="H323" s="85" t="s">
        <v>721</v>
      </c>
      <c r="I323" s="81"/>
      <c r="J323" s="15" t="str">
        <f>IF(E323="Invalid_Segment","Invalid",IFERROR(INDEX(Severity_Matrix!$C$3:$M$10,MATCH('Error Log'!$F323,Severity_Matrix!$B$3:$B$10,0),MATCH('Error Log'!$G323,Severity_Matrix!$C$2:$M$2,0)),"No errors"))</f>
        <v>Major</v>
      </c>
    </row>
    <row r="324" spans="1:10">
      <c r="A324" s="79" t="s">
        <v>722</v>
      </c>
      <c r="B324" s="18">
        <v>3</v>
      </c>
      <c r="C324" s="80" t="s">
        <v>723</v>
      </c>
      <c r="D324" s="80" t="s">
        <v>724</v>
      </c>
      <c r="E324" s="81" t="s">
        <v>21</v>
      </c>
      <c r="F324" s="81" t="s">
        <v>7</v>
      </c>
      <c r="G324" s="81" t="s">
        <v>57</v>
      </c>
      <c r="H324" s="81" t="s">
        <v>725</v>
      </c>
      <c r="I324" s="81"/>
      <c r="J324" s="15" t="str">
        <f>IF(E324="Invalid_Segment","Invalid",IFERROR(INDEX(Severity_Matrix!$C$3:$M$10,MATCH('Error Log'!$F324,Severity_Matrix!$B$3:$B$10,0),MATCH('Error Log'!$G324,Severity_Matrix!$C$2:$M$2,0)),"No errors"))</f>
        <v>Critical</v>
      </c>
    </row>
    <row r="325" spans="1:10">
      <c r="A325" s="79" t="s">
        <v>722</v>
      </c>
      <c r="B325" s="18">
        <v>4</v>
      </c>
      <c r="C325" s="80" t="s">
        <v>726</v>
      </c>
      <c r="D325" s="80" t="s">
        <v>727</v>
      </c>
      <c r="E325" s="81" t="s">
        <v>21</v>
      </c>
      <c r="F325" s="81" t="s">
        <v>7</v>
      </c>
      <c r="G325" s="81" t="s">
        <v>57</v>
      </c>
      <c r="H325" s="81" t="s">
        <v>728</v>
      </c>
      <c r="I325" s="81"/>
      <c r="J325" s="15" t="str">
        <f>IF(E325="Invalid_Segment","Invalid",IFERROR(INDEX(Severity_Matrix!$C$3:$M$10,MATCH('Error Log'!$F325,Severity_Matrix!$B$3:$B$10,0),MATCH('Error Log'!$G325,Severity_Matrix!$C$2:$M$2,0)),"No errors"))</f>
        <v>Critical</v>
      </c>
    </row>
    <row r="326" spans="1:10">
      <c r="A326" s="79" t="s">
        <v>729</v>
      </c>
      <c r="B326" s="18">
        <v>1</v>
      </c>
      <c r="C326" s="80" t="s">
        <v>730</v>
      </c>
      <c r="D326" s="80" t="s">
        <v>731</v>
      </c>
      <c r="E326" s="81" t="s">
        <v>2</v>
      </c>
      <c r="F326" s="81" t="s">
        <v>26</v>
      </c>
      <c r="G326" s="81" t="s">
        <v>57</v>
      </c>
      <c r="H326" s="81" t="s">
        <v>732</v>
      </c>
      <c r="I326" s="81"/>
      <c r="J326" s="15" t="str">
        <f>IF(E326="Invalid_Segment","Invalid",IFERROR(INDEX(Severity_Matrix!$C$3:$M$10,MATCH('Error Log'!$F326,Severity_Matrix!$B$3:$B$10,0),MATCH('Error Log'!$G326,Severity_Matrix!$C$2:$M$2,0)),"No errors"))</f>
        <v>Major</v>
      </c>
    </row>
    <row r="327" spans="1:10">
      <c r="A327" s="79" t="s">
        <v>729</v>
      </c>
      <c r="B327" s="18">
        <v>2</v>
      </c>
      <c r="C327" s="80" t="s">
        <v>730</v>
      </c>
      <c r="D327" s="80" t="s">
        <v>731</v>
      </c>
      <c r="E327" s="81" t="s">
        <v>21</v>
      </c>
      <c r="F327" s="81" t="s">
        <v>7</v>
      </c>
      <c r="G327" s="81" t="s">
        <v>57</v>
      </c>
      <c r="H327" s="81" t="s">
        <v>733</v>
      </c>
      <c r="I327" s="81"/>
      <c r="J327" s="15" t="str">
        <f>IF(E327="Invalid_Segment","Invalid",IFERROR(INDEX(Severity_Matrix!$C$3:$M$10,MATCH('Error Log'!$F327,Severity_Matrix!$B$3:$B$10,0),MATCH('Error Log'!$G327,Severity_Matrix!$C$2:$M$2,0)),"No errors"))</f>
        <v>Critical</v>
      </c>
    </row>
    <row r="328" spans="1:10">
      <c r="A328" s="79" t="s">
        <v>734</v>
      </c>
      <c r="B328" s="18">
        <v>1</v>
      </c>
      <c r="C328" s="80" t="s">
        <v>735</v>
      </c>
      <c r="D328" s="80" t="s">
        <v>736</v>
      </c>
      <c r="E328" s="81" t="s">
        <v>21</v>
      </c>
      <c r="F328" s="81" t="s">
        <v>22</v>
      </c>
      <c r="G328" s="81" t="s">
        <v>57</v>
      </c>
      <c r="H328" s="81" t="s">
        <v>737</v>
      </c>
      <c r="I328" s="81"/>
      <c r="J328" s="15" t="str">
        <f>IF(E328="Invalid_Segment","Invalid",IFERROR(INDEX(Severity_Matrix!$C$3:$M$10,MATCH('Error Log'!$F328,Severity_Matrix!$B$3:$B$10,0),MATCH('Error Log'!$G328,Severity_Matrix!$C$2:$M$2,0)),"No errors"))</f>
        <v>Major</v>
      </c>
    </row>
    <row r="329" spans="1:10">
      <c r="A329" s="79" t="s">
        <v>734</v>
      </c>
      <c r="B329" s="18">
        <v>2</v>
      </c>
      <c r="C329" s="80" t="s">
        <v>735</v>
      </c>
      <c r="D329" s="80" t="s">
        <v>736</v>
      </c>
      <c r="E329" s="81" t="s">
        <v>21</v>
      </c>
      <c r="F329" s="81" t="s">
        <v>22</v>
      </c>
      <c r="G329" s="81" t="s">
        <v>57</v>
      </c>
      <c r="H329" s="81" t="s">
        <v>738</v>
      </c>
      <c r="I329" s="81"/>
      <c r="J329" s="15" t="str">
        <f>IF(E329="Invalid_Segment","Invalid",IFERROR(INDEX(Severity_Matrix!$C$3:$M$10,MATCH('Error Log'!$F329,Severity_Matrix!$B$3:$B$10,0),MATCH('Error Log'!$G329,Severity_Matrix!$C$2:$M$2,0)),"No errors"))</f>
        <v>Major</v>
      </c>
    </row>
    <row r="330" spans="1:10">
      <c r="A330" s="79" t="s">
        <v>739</v>
      </c>
      <c r="B330" s="18">
        <v>3</v>
      </c>
      <c r="C330" s="80" t="s">
        <v>735</v>
      </c>
      <c r="D330" s="80" t="s">
        <v>736</v>
      </c>
      <c r="E330" s="81" t="s">
        <v>21</v>
      </c>
      <c r="F330" s="81" t="s">
        <v>22</v>
      </c>
      <c r="G330" s="81" t="s">
        <v>57</v>
      </c>
      <c r="H330" s="81" t="s">
        <v>740</v>
      </c>
      <c r="I330" s="81"/>
      <c r="J330" s="15" t="str">
        <f>IF(E330="Invalid_Segment","Invalid",IFERROR(INDEX(Severity_Matrix!$C$3:$M$10,MATCH('Error Log'!$F330,Severity_Matrix!$B$3:$B$10,0),MATCH('Error Log'!$G330,Severity_Matrix!$C$2:$M$2,0)),"No errors"))</f>
        <v>Major</v>
      </c>
    </row>
    <row r="331" spans="1:10">
      <c r="A331" s="79" t="s">
        <v>739</v>
      </c>
      <c r="B331" s="18">
        <v>4</v>
      </c>
      <c r="C331" s="80" t="s">
        <v>735</v>
      </c>
      <c r="D331" s="80" t="s">
        <v>736</v>
      </c>
      <c r="E331" s="81" t="s">
        <v>21</v>
      </c>
      <c r="F331" s="81" t="s">
        <v>7</v>
      </c>
      <c r="G331" s="81" t="s">
        <v>57</v>
      </c>
      <c r="H331" s="81" t="s">
        <v>741</v>
      </c>
      <c r="I331" s="81"/>
      <c r="J331" s="15" t="str">
        <f>IF(E331="Invalid_Segment","Invalid",IFERROR(INDEX(Severity_Matrix!$C$3:$M$10,MATCH('Error Log'!$F331,Severity_Matrix!$B$3:$B$10,0),MATCH('Error Log'!$G331,Severity_Matrix!$C$2:$M$2,0)),"No errors"))</f>
        <v>Critical</v>
      </c>
    </row>
    <row r="332" spans="1:10">
      <c r="A332" s="79" t="s">
        <v>739</v>
      </c>
      <c r="B332" s="18">
        <v>5</v>
      </c>
      <c r="C332" s="80" t="s">
        <v>735</v>
      </c>
      <c r="D332" s="80" t="s">
        <v>736</v>
      </c>
      <c r="E332" s="81" t="s">
        <v>21</v>
      </c>
      <c r="F332" s="81" t="s">
        <v>7</v>
      </c>
      <c r="G332" s="81" t="s">
        <v>57</v>
      </c>
      <c r="H332" s="81" t="s">
        <v>742</v>
      </c>
      <c r="I332" s="81"/>
      <c r="J332" s="15" t="str">
        <f>IF(E332="Invalid_Segment","Invalid",IFERROR(INDEX(Severity_Matrix!$C$3:$M$10,MATCH('Error Log'!$F332,Severity_Matrix!$B$3:$B$10,0),MATCH('Error Log'!$G332,Severity_Matrix!$C$2:$M$2,0)),"No errors"))</f>
        <v>Critical</v>
      </c>
    </row>
    <row r="333" spans="1:10">
      <c r="A333" s="79" t="s">
        <v>739</v>
      </c>
      <c r="B333" s="18">
        <v>6</v>
      </c>
      <c r="C333" s="80" t="s">
        <v>735</v>
      </c>
      <c r="D333" s="80" t="s">
        <v>736</v>
      </c>
      <c r="E333" s="81" t="s">
        <v>21</v>
      </c>
      <c r="F333" s="81" t="s">
        <v>7</v>
      </c>
      <c r="G333" s="81" t="s">
        <v>57</v>
      </c>
      <c r="H333" s="81" t="s">
        <v>743</v>
      </c>
      <c r="I333" s="81"/>
      <c r="J333" s="15" t="str">
        <f>IF(E333="Invalid_Segment","Invalid",IFERROR(INDEX(Severity_Matrix!$C$3:$M$10,MATCH('Error Log'!$F333,Severity_Matrix!$B$3:$B$10,0),MATCH('Error Log'!$G333,Severity_Matrix!$C$2:$M$2,0)),"No errors"))</f>
        <v>Critical</v>
      </c>
    </row>
    <row r="334" spans="1:10">
      <c r="A334" s="79" t="s">
        <v>744</v>
      </c>
      <c r="B334" s="18">
        <v>1</v>
      </c>
      <c r="C334" s="80" t="s">
        <v>745</v>
      </c>
      <c r="D334" s="80" t="s">
        <v>746</v>
      </c>
      <c r="E334" s="81" t="s">
        <v>21</v>
      </c>
      <c r="F334" s="81" t="s">
        <v>22</v>
      </c>
      <c r="G334" s="81" t="s">
        <v>57</v>
      </c>
      <c r="H334" s="81" t="s">
        <v>747</v>
      </c>
      <c r="I334" s="81"/>
      <c r="J334" s="15" t="str">
        <f>IF(E334="Invalid_Segment","Invalid",IFERROR(INDEX(Severity_Matrix!$C$3:$M$10,MATCH('Error Log'!$F334,Severity_Matrix!$B$3:$B$10,0),MATCH('Error Log'!$G334,Severity_Matrix!$C$2:$M$2,0)),"No errors"))</f>
        <v>Major</v>
      </c>
    </row>
    <row r="335" spans="1:10">
      <c r="A335" s="79" t="s">
        <v>744</v>
      </c>
      <c r="B335" s="18">
        <v>2</v>
      </c>
      <c r="C335" s="80" t="s">
        <v>748</v>
      </c>
      <c r="D335" s="80" t="s">
        <v>746</v>
      </c>
      <c r="E335" s="81" t="s">
        <v>21</v>
      </c>
      <c r="F335" s="81" t="s">
        <v>7</v>
      </c>
      <c r="G335" s="81" t="s">
        <v>57</v>
      </c>
      <c r="H335" s="81" t="s">
        <v>749</v>
      </c>
      <c r="I335" s="81"/>
      <c r="J335" s="15" t="str">
        <f>IF(E335="Invalid_Segment","Invalid",IFERROR(INDEX(Severity_Matrix!$C$3:$M$10,MATCH('Error Log'!$F335,Severity_Matrix!$B$3:$B$10,0),MATCH('Error Log'!$G335,Severity_Matrix!$C$2:$M$2,0)),"No errors"))</f>
        <v>Critical</v>
      </c>
    </row>
    <row r="336" spans="1:10">
      <c r="A336" s="79" t="s">
        <v>750</v>
      </c>
      <c r="B336" s="18">
        <v>3</v>
      </c>
      <c r="C336" s="80" t="s">
        <v>751</v>
      </c>
      <c r="D336" s="80" t="s">
        <v>746</v>
      </c>
      <c r="E336" s="81" t="s">
        <v>21</v>
      </c>
      <c r="F336" s="81" t="s">
        <v>7</v>
      </c>
      <c r="G336" s="81" t="s">
        <v>57</v>
      </c>
      <c r="H336" s="81" t="s">
        <v>752</v>
      </c>
      <c r="I336" s="81"/>
      <c r="J336" s="15" t="str">
        <f>IF(E336="Invalid_Segment","Invalid",IFERROR(INDEX(Severity_Matrix!$C$3:$M$10,MATCH('Error Log'!$F336,Severity_Matrix!$B$3:$B$10,0),MATCH('Error Log'!$G336,Severity_Matrix!$C$2:$M$2,0)),"No errors"))</f>
        <v>Critical</v>
      </c>
    </row>
    <row r="337" spans="1:10">
      <c r="A337" s="79" t="s">
        <v>753</v>
      </c>
      <c r="B337" s="18">
        <v>1</v>
      </c>
      <c r="C337" s="80" t="s">
        <v>754</v>
      </c>
      <c r="D337" s="80" t="s">
        <v>755</v>
      </c>
      <c r="E337" s="81" t="s">
        <v>2</v>
      </c>
      <c r="F337" s="81" t="s">
        <v>26</v>
      </c>
      <c r="G337" s="81" t="s">
        <v>57</v>
      </c>
      <c r="H337" s="81" t="s">
        <v>756</v>
      </c>
      <c r="I337" s="81"/>
      <c r="J337" s="15" t="str">
        <f>IF(E337="Invalid_Segment","Invalid",IFERROR(INDEX(Severity_Matrix!$C$3:$M$10,MATCH('Error Log'!$F337,Severity_Matrix!$B$3:$B$10,0),MATCH('Error Log'!$G337,Severity_Matrix!$C$2:$M$2,0)),"No errors"))</f>
        <v>Major</v>
      </c>
    </row>
    <row r="338" spans="1:10">
      <c r="A338" s="79" t="s">
        <v>753</v>
      </c>
      <c r="B338" s="18">
        <v>2</v>
      </c>
      <c r="C338" s="80" t="s">
        <v>754</v>
      </c>
      <c r="D338" s="80" t="s">
        <v>755</v>
      </c>
      <c r="E338" s="81" t="s">
        <v>21</v>
      </c>
      <c r="F338" s="81" t="s">
        <v>7</v>
      </c>
      <c r="G338" s="81" t="s">
        <v>57</v>
      </c>
      <c r="H338" s="81" t="s">
        <v>757</v>
      </c>
      <c r="I338" s="81"/>
      <c r="J338" s="15" t="str">
        <f>IF(E338="Invalid_Segment","Invalid",IFERROR(INDEX(Severity_Matrix!$C$3:$M$10,MATCH('Error Log'!$F338,Severity_Matrix!$B$3:$B$10,0),MATCH('Error Log'!$G338,Severity_Matrix!$C$2:$M$2,0)),"No errors"))</f>
        <v>Critical</v>
      </c>
    </row>
    <row r="339" spans="1:10">
      <c r="A339" s="79" t="s">
        <v>758</v>
      </c>
      <c r="B339" s="18">
        <v>1</v>
      </c>
      <c r="C339" s="80" t="s">
        <v>759</v>
      </c>
      <c r="D339" s="80" t="s">
        <v>760</v>
      </c>
      <c r="E339" s="81" t="s">
        <v>21</v>
      </c>
      <c r="F339" s="81" t="s">
        <v>22</v>
      </c>
      <c r="G339" s="81" t="s">
        <v>57</v>
      </c>
      <c r="H339" s="81" t="s">
        <v>761</v>
      </c>
      <c r="I339" s="81"/>
      <c r="J339" s="15" t="str">
        <f>IF(E339="Invalid_Segment","Invalid",IFERROR(INDEX(Severity_Matrix!$C$3:$M$10,MATCH('Error Log'!$F339,Severity_Matrix!$B$3:$B$10,0),MATCH('Error Log'!$G339,Severity_Matrix!$C$2:$M$2,0)),"No errors"))</f>
        <v>Major</v>
      </c>
    </row>
    <row r="340" spans="1:10">
      <c r="A340" s="79" t="s">
        <v>758</v>
      </c>
      <c r="B340" s="18">
        <v>2</v>
      </c>
      <c r="C340" s="80" t="s">
        <v>762</v>
      </c>
      <c r="D340" s="80" t="s">
        <v>763</v>
      </c>
      <c r="E340" s="81" t="s">
        <v>2</v>
      </c>
      <c r="F340" s="81" t="s">
        <v>26</v>
      </c>
      <c r="G340" s="81" t="s">
        <v>57</v>
      </c>
      <c r="H340" s="81" t="s">
        <v>761</v>
      </c>
      <c r="I340" s="81"/>
      <c r="J340" s="15" t="str">
        <f>IF(E340="Invalid_Segment","Invalid",IFERROR(INDEX(Severity_Matrix!$C$3:$M$10,MATCH('Error Log'!$F340,Severity_Matrix!$B$3:$B$10,0),MATCH('Error Log'!$G340,Severity_Matrix!$C$2:$M$2,0)),"No errors"))</f>
        <v>Major</v>
      </c>
    </row>
    <row r="341" spans="1:10">
      <c r="A341" s="79" t="s">
        <v>764</v>
      </c>
      <c r="B341" s="18">
        <v>3</v>
      </c>
      <c r="C341" s="80" t="s">
        <v>765</v>
      </c>
      <c r="D341" s="80" t="s">
        <v>766</v>
      </c>
      <c r="E341" s="81" t="s">
        <v>21</v>
      </c>
      <c r="F341" s="81" t="s">
        <v>7</v>
      </c>
      <c r="G341" s="81" t="s">
        <v>57</v>
      </c>
      <c r="H341" s="81" t="s">
        <v>767</v>
      </c>
      <c r="I341" s="81"/>
      <c r="J341" s="15" t="str">
        <f>IF(E341="Invalid_Segment","Invalid",IFERROR(INDEX(Severity_Matrix!$C$3:$M$10,MATCH('Error Log'!$F341,Severity_Matrix!$B$3:$B$10,0),MATCH('Error Log'!$G341,Severity_Matrix!$C$2:$M$2,0)),"No errors"))</f>
        <v>Critical</v>
      </c>
    </row>
    <row r="342" spans="1:10">
      <c r="A342" s="79" t="s">
        <v>764</v>
      </c>
      <c r="B342" s="18">
        <v>4</v>
      </c>
      <c r="C342" s="80" t="s">
        <v>768</v>
      </c>
      <c r="D342" s="80" t="s">
        <v>769</v>
      </c>
      <c r="E342" s="81" t="s">
        <v>21</v>
      </c>
      <c r="F342" s="81" t="s">
        <v>7</v>
      </c>
      <c r="G342" s="81" t="s">
        <v>57</v>
      </c>
      <c r="H342" s="81" t="s">
        <v>770</v>
      </c>
      <c r="I342" s="81"/>
      <c r="J342" s="15" t="str">
        <f>IF(E342="Invalid_Segment","Invalid",IFERROR(INDEX(Severity_Matrix!$C$3:$M$10,MATCH('Error Log'!$F342,Severity_Matrix!$B$3:$B$10,0),MATCH('Error Log'!$G342,Severity_Matrix!$C$2:$M$2,0)),"No errors"))</f>
        <v>Critical</v>
      </c>
    </row>
    <row r="343" spans="1:10">
      <c r="A343" s="79" t="s">
        <v>771</v>
      </c>
      <c r="B343" s="18">
        <v>1</v>
      </c>
      <c r="C343" s="80" t="s">
        <v>772</v>
      </c>
      <c r="D343" s="80" t="s">
        <v>773</v>
      </c>
      <c r="E343" s="81" t="s">
        <v>21</v>
      </c>
      <c r="F343" s="81" t="s">
        <v>22</v>
      </c>
      <c r="G343" s="81" t="s">
        <v>57</v>
      </c>
      <c r="H343" s="81" t="s">
        <v>774</v>
      </c>
      <c r="I343" s="81"/>
      <c r="J343" s="15" t="str">
        <f>IF(E343="Invalid_Segment","Invalid",IFERROR(INDEX(Severity_Matrix!$C$3:$M$10,MATCH('Error Log'!$F343,Severity_Matrix!$B$3:$B$10,0),MATCH('Error Log'!$G343,Severity_Matrix!$C$2:$M$2,0)),"No errors"))</f>
        <v>Major</v>
      </c>
    </row>
    <row r="344" spans="1:10">
      <c r="A344" s="79" t="s">
        <v>771</v>
      </c>
      <c r="B344" s="18">
        <v>2</v>
      </c>
      <c r="C344" s="80" t="s">
        <v>775</v>
      </c>
      <c r="D344" s="80" t="s">
        <v>776</v>
      </c>
      <c r="E344" s="81" t="s">
        <v>21</v>
      </c>
      <c r="F344" s="81" t="s">
        <v>22</v>
      </c>
      <c r="G344" s="81" t="s">
        <v>57</v>
      </c>
      <c r="H344" s="81" t="s">
        <v>777</v>
      </c>
      <c r="I344" s="81"/>
      <c r="J344" s="15" t="str">
        <f>IF(E344="Invalid_Segment","Invalid",IFERROR(INDEX(Severity_Matrix!$C$3:$M$10,MATCH('Error Log'!$F344,Severity_Matrix!$B$3:$B$10,0),MATCH('Error Log'!$G344,Severity_Matrix!$C$2:$M$2,0)),"No errors"))</f>
        <v>Major</v>
      </c>
    </row>
    <row r="345" spans="1:10">
      <c r="A345" s="79" t="s">
        <v>778</v>
      </c>
      <c r="B345" s="18">
        <v>3</v>
      </c>
      <c r="C345" s="80" t="s">
        <v>779</v>
      </c>
      <c r="D345" s="80" t="s">
        <v>780</v>
      </c>
      <c r="E345" s="81" t="s">
        <v>21</v>
      </c>
      <c r="F345" s="81" t="s">
        <v>22</v>
      </c>
      <c r="G345" s="81" t="s">
        <v>57</v>
      </c>
      <c r="H345" s="81" t="s">
        <v>781</v>
      </c>
      <c r="I345" s="81"/>
      <c r="J345" s="15" t="str">
        <f>IF(E345="Invalid_Segment","Invalid",IFERROR(INDEX(Severity_Matrix!$C$3:$M$10,MATCH('Error Log'!$F345,Severity_Matrix!$B$3:$B$10,0),MATCH('Error Log'!$G345,Severity_Matrix!$C$2:$M$2,0)),"No errors"))</f>
        <v>Major</v>
      </c>
    </row>
    <row r="346" spans="1:10">
      <c r="A346" s="79" t="s">
        <v>778</v>
      </c>
      <c r="B346" s="18">
        <v>4</v>
      </c>
      <c r="C346" s="80" t="s">
        <v>782</v>
      </c>
      <c r="D346" s="80" t="s">
        <v>783</v>
      </c>
      <c r="E346" s="81" t="s">
        <v>784</v>
      </c>
      <c r="F346" s="81" t="s">
        <v>7</v>
      </c>
      <c r="G346" s="81" t="s">
        <v>57</v>
      </c>
      <c r="H346" s="81" t="s">
        <v>785</v>
      </c>
      <c r="I346" s="81"/>
      <c r="J346" s="15" t="str">
        <f>IF(E346="Invalid_Segment","Invalid",IFERROR(INDEX(Severity_Matrix!$C$3:$M$10,MATCH('Error Log'!$F346,Severity_Matrix!$B$3:$B$10,0),MATCH('Error Log'!$G346,Severity_Matrix!$C$2:$M$2,0)),"No errors"))</f>
        <v>Critical</v>
      </c>
    </row>
    <row r="347" spans="1:10">
      <c r="A347" s="79" t="s">
        <v>778</v>
      </c>
      <c r="B347" s="18">
        <v>5</v>
      </c>
      <c r="C347" s="80" t="s">
        <v>786</v>
      </c>
      <c r="D347" s="80" t="s">
        <v>787</v>
      </c>
      <c r="E347" s="81" t="s">
        <v>784</v>
      </c>
      <c r="F347" s="81" t="s">
        <v>7</v>
      </c>
      <c r="G347" s="81" t="s">
        <v>57</v>
      </c>
      <c r="H347" s="81" t="s">
        <v>788</v>
      </c>
      <c r="I347" s="81"/>
      <c r="J347" s="15" t="str">
        <f>IF(E347="Invalid_Segment","Invalid",IFERROR(INDEX(Severity_Matrix!$C$3:$M$10,MATCH('Error Log'!$F347,Severity_Matrix!$B$3:$B$10,0),MATCH('Error Log'!$G347,Severity_Matrix!$C$2:$M$2,0)),"No errors"))</f>
        <v>Critical</v>
      </c>
    </row>
    <row r="348" spans="1:10">
      <c r="A348" s="79" t="s">
        <v>778</v>
      </c>
      <c r="B348" s="18">
        <v>6</v>
      </c>
      <c r="C348" s="80" t="s">
        <v>789</v>
      </c>
      <c r="D348" s="80" t="s">
        <v>790</v>
      </c>
      <c r="E348" s="81" t="s">
        <v>784</v>
      </c>
      <c r="F348" s="81" t="s">
        <v>7</v>
      </c>
      <c r="G348" s="81" t="s">
        <v>57</v>
      </c>
      <c r="H348" s="81" t="s">
        <v>791</v>
      </c>
      <c r="I348" s="81"/>
      <c r="J348" s="15" t="str">
        <f>IF(E348="Invalid_Segment","Invalid",IFERROR(INDEX(Severity_Matrix!$C$3:$M$10,MATCH('Error Log'!$F348,Severity_Matrix!$B$3:$B$10,0),MATCH('Error Log'!$G348,Severity_Matrix!$C$2:$M$2,0)),"No errors"))</f>
        <v>Critical</v>
      </c>
    </row>
    <row r="349" spans="1:10">
      <c r="A349" s="79" t="s">
        <v>74</v>
      </c>
      <c r="B349" s="18">
        <v>1</v>
      </c>
      <c r="C349" s="80" t="s">
        <v>75</v>
      </c>
      <c r="D349" s="80" t="s">
        <v>792</v>
      </c>
      <c r="E349" s="81" t="s">
        <v>21</v>
      </c>
      <c r="F349" s="81" t="s">
        <v>63</v>
      </c>
      <c r="G349" s="81" t="s">
        <v>54</v>
      </c>
      <c r="H349" s="81" t="s">
        <v>793</v>
      </c>
      <c r="I349" s="81"/>
      <c r="J349" s="15" t="str">
        <f>IF(E349="Invalid_Segment","Invalid",IFERROR(INDEX(Severity_Matrix!$C$3:$M$10,MATCH('Error Log'!$F349,Severity_Matrix!$B$3:$B$10,0),MATCH('Error Log'!$G349,Severity_Matrix!$C$2:$M$2,0)),"No errors"))</f>
        <v>Critical</v>
      </c>
    </row>
    <row r="350" spans="1:10">
      <c r="A350" s="79" t="s">
        <v>74</v>
      </c>
      <c r="B350" s="18">
        <v>2</v>
      </c>
      <c r="C350" s="80" t="s">
        <v>75</v>
      </c>
      <c r="D350" s="80" t="s">
        <v>792</v>
      </c>
      <c r="E350" s="81" t="s">
        <v>21</v>
      </c>
      <c r="F350" s="81" t="s">
        <v>63</v>
      </c>
      <c r="G350" s="81" t="s">
        <v>54</v>
      </c>
      <c r="H350" s="81" t="s">
        <v>794</v>
      </c>
      <c r="I350" s="81"/>
      <c r="J350" s="15" t="str">
        <f>IF(E350="Invalid_Segment","Invalid",IFERROR(INDEX(Severity_Matrix!$C$3:$M$10,MATCH('Error Log'!$F350,Severity_Matrix!$B$3:$B$10,0),MATCH('Error Log'!$G350,Severity_Matrix!$C$2:$M$2,0)),"No errors"))</f>
        <v>Critical</v>
      </c>
    </row>
    <row r="351" spans="1:10">
      <c r="A351" s="79" t="s">
        <v>76</v>
      </c>
      <c r="B351" s="18">
        <v>3</v>
      </c>
      <c r="C351" s="80" t="s">
        <v>75</v>
      </c>
      <c r="D351" s="80" t="s">
        <v>792</v>
      </c>
      <c r="E351" s="81" t="s">
        <v>2</v>
      </c>
      <c r="F351" s="81" t="s">
        <v>26</v>
      </c>
      <c r="G351" s="81" t="s">
        <v>57</v>
      </c>
      <c r="H351" s="81" t="s">
        <v>795</v>
      </c>
      <c r="I351" s="81"/>
      <c r="J351" s="15" t="str">
        <f>IF(E351="Invalid_Segment","Invalid",IFERROR(INDEX(Severity_Matrix!$C$3:$M$10,MATCH('Error Log'!$F351,Severity_Matrix!$B$3:$B$10,0),MATCH('Error Log'!$G351,Severity_Matrix!$C$2:$M$2,0)),"No errors"))</f>
        <v>Major</v>
      </c>
    </row>
    <row r="352" spans="1:10">
      <c r="A352" s="79" t="s">
        <v>76</v>
      </c>
      <c r="B352" s="18">
        <v>4</v>
      </c>
      <c r="C352" s="80" t="s">
        <v>75</v>
      </c>
      <c r="D352" s="80" t="s">
        <v>792</v>
      </c>
      <c r="E352" s="81" t="s">
        <v>21</v>
      </c>
      <c r="F352" s="81" t="s">
        <v>7</v>
      </c>
      <c r="G352" s="81" t="s">
        <v>57</v>
      </c>
      <c r="H352" s="82" t="s">
        <v>77</v>
      </c>
      <c r="I352" s="81"/>
      <c r="J352" s="15" t="str">
        <f>IF(E352="Invalid_Segment","Invalid",IFERROR(INDEX(Severity_Matrix!$C$3:$M$10,MATCH('Error Log'!$F352,Severity_Matrix!$B$3:$B$10,0),MATCH('Error Log'!$G352,Severity_Matrix!$C$2:$M$2,0)),"No errors"))</f>
        <v>Critical</v>
      </c>
    </row>
    <row r="353" spans="1:10">
      <c r="A353" s="79" t="s">
        <v>76</v>
      </c>
      <c r="B353" s="18">
        <v>5</v>
      </c>
      <c r="C353" s="80" t="s">
        <v>75</v>
      </c>
      <c r="D353" s="80" t="s">
        <v>792</v>
      </c>
      <c r="E353" s="81" t="s">
        <v>21</v>
      </c>
      <c r="F353" s="81" t="s">
        <v>7</v>
      </c>
      <c r="G353" s="81" t="s">
        <v>57</v>
      </c>
      <c r="H353" s="81" t="s">
        <v>78</v>
      </c>
      <c r="I353" s="81"/>
      <c r="J353" s="15" t="str">
        <f>IF(E353="Invalid_Segment","Invalid",IFERROR(INDEX(Severity_Matrix!$C$3:$M$10,MATCH('Error Log'!$F353,Severity_Matrix!$B$3:$B$10,0),MATCH('Error Log'!$G353,Severity_Matrix!$C$2:$M$2,0)),"No errors"))</f>
        <v>Critical</v>
      </c>
    </row>
    <row r="354" spans="1:10">
      <c r="A354" s="79" t="s">
        <v>76</v>
      </c>
      <c r="B354" s="18">
        <v>6</v>
      </c>
      <c r="C354" s="80" t="s">
        <v>75</v>
      </c>
      <c r="D354" s="80" t="s">
        <v>792</v>
      </c>
      <c r="E354" s="81" t="s">
        <v>21</v>
      </c>
      <c r="F354" s="81" t="s">
        <v>7</v>
      </c>
      <c r="G354" s="81" t="s">
        <v>57</v>
      </c>
      <c r="H354" s="81" t="s">
        <v>79</v>
      </c>
      <c r="I354" s="81"/>
      <c r="J354" s="15" t="str">
        <f>IF(E354="Invalid_Segment","Invalid",IFERROR(INDEX(Severity_Matrix!$C$3:$M$10,MATCH('Error Log'!$F354,Severity_Matrix!$B$3:$B$10,0),MATCH('Error Log'!$G354,Severity_Matrix!$C$2:$M$2,0)),"No errors"))</f>
        <v>Critical</v>
      </c>
    </row>
    <row r="355" spans="1:10">
      <c r="A355" s="79" t="s">
        <v>76</v>
      </c>
      <c r="B355" s="18">
        <v>7</v>
      </c>
      <c r="C355" s="80" t="s">
        <v>75</v>
      </c>
      <c r="D355" s="80" t="s">
        <v>792</v>
      </c>
      <c r="E355" s="81" t="s">
        <v>21</v>
      </c>
      <c r="F355" s="81" t="s">
        <v>7</v>
      </c>
      <c r="G355" s="81" t="s">
        <v>57</v>
      </c>
      <c r="H355" s="81" t="s">
        <v>80</v>
      </c>
      <c r="I355" s="81"/>
      <c r="J355" s="15" t="str">
        <f>IF(E355="Invalid_Segment","Invalid",IFERROR(INDEX(Severity_Matrix!$C$3:$M$10,MATCH('Error Log'!$F355,Severity_Matrix!$B$3:$B$10,0),MATCH('Error Log'!$G355,Severity_Matrix!$C$2:$M$2,0)),"No errors"))</f>
        <v>Critical</v>
      </c>
    </row>
    <row r="356" spans="1:10">
      <c r="A356" s="79" t="s">
        <v>76</v>
      </c>
      <c r="B356" s="18">
        <v>8</v>
      </c>
      <c r="C356" s="80" t="s">
        <v>75</v>
      </c>
      <c r="D356" s="80" t="s">
        <v>792</v>
      </c>
      <c r="E356" s="81" t="s">
        <v>21</v>
      </c>
      <c r="F356" s="81" t="s">
        <v>7</v>
      </c>
      <c r="G356" s="81" t="s">
        <v>57</v>
      </c>
      <c r="H356" s="81" t="s">
        <v>796</v>
      </c>
      <c r="I356" s="81"/>
      <c r="J356" s="15" t="str">
        <f>IF(E356="Invalid_Segment","Invalid",IFERROR(INDEX(Severity_Matrix!$C$3:$M$10,MATCH('Error Log'!$F356,Severity_Matrix!$B$3:$B$10,0),MATCH('Error Log'!$G356,Severity_Matrix!$C$2:$M$2,0)),"No errors"))</f>
        <v>Critical</v>
      </c>
    </row>
    <row r="357" spans="1:10">
      <c r="A357" s="79" t="s">
        <v>76</v>
      </c>
      <c r="B357" s="18">
        <v>9</v>
      </c>
      <c r="C357" s="80" t="s">
        <v>75</v>
      </c>
      <c r="D357" s="80" t="s">
        <v>792</v>
      </c>
      <c r="E357" s="81" t="s">
        <v>21</v>
      </c>
      <c r="F357" s="81" t="s">
        <v>7</v>
      </c>
      <c r="G357" s="81" t="s">
        <v>57</v>
      </c>
      <c r="H357" s="81" t="s">
        <v>797</v>
      </c>
      <c r="I357" s="81"/>
      <c r="J357" s="15" t="str">
        <f>IF(E357="Invalid_Segment","Invalid",IFERROR(INDEX(Severity_Matrix!$C$3:$M$10,MATCH('Error Log'!$F357,Severity_Matrix!$B$3:$B$10,0),MATCH('Error Log'!$G357,Severity_Matrix!$C$2:$M$2,0)),"No errors"))</f>
        <v>Critical</v>
      </c>
    </row>
    <row r="358" spans="1:10">
      <c r="A358" s="78" t="s">
        <v>1020</v>
      </c>
      <c r="B358" s="18">
        <v>1</v>
      </c>
      <c r="C358" s="78" t="s">
        <v>798</v>
      </c>
      <c r="D358" s="78" t="s">
        <v>799</v>
      </c>
      <c r="E358" s="81" t="s">
        <v>21</v>
      </c>
      <c r="F358" s="81" t="s">
        <v>22</v>
      </c>
      <c r="G358" s="81" t="s">
        <v>57</v>
      </c>
      <c r="H358" s="81" t="s">
        <v>800</v>
      </c>
      <c r="I358" s="81"/>
      <c r="J358" s="15" t="str">
        <f>IF(E358="Invalid_Segment","Invalid",IFERROR(INDEX(Severity_Matrix!$C$3:$M$10,MATCH('Error Log'!$F358,Severity_Matrix!$B$3:$B$10,0),MATCH('Error Log'!$G358,Severity_Matrix!$C$2:$M$2,0)),"No errors"))</f>
        <v>Major</v>
      </c>
    </row>
    <row r="359" spans="1:10">
      <c r="A359" s="78" t="s">
        <v>1020</v>
      </c>
      <c r="B359" s="18">
        <v>2</v>
      </c>
      <c r="C359" s="78" t="s">
        <v>798</v>
      </c>
      <c r="D359" s="78" t="s">
        <v>799</v>
      </c>
      <c r="E359" s="81" t="s">
        <v>21</v>
      </c>
      <c r="F359" s="81" t="s">
        <v>22</v>
      </c>
      <c r="G359" s="81" t="s">
        <v>57</v>
      </c>
      <c r="H359" s="81" t="s">
        <v>801</v>
      </c>
      <c r="I359" s="81"/>
      <c r="J359" s="15" t="str">
        <f>IF(E359="Invalid_Segment","Invalid",IFERROR(INDEX(Severity_Matrix!$C$3:$M$10,MATCH('Error Log'!$F359,Severity_Matrix!$B$3:$B$10,0),MATCH('Error Log'!$G359,Severity_Matrix!$C$2:$M$2,0)),"No errors"))</f>
        <v>Major</v>
      </c>
    </row>
    <row r="360" spans="1:10">
      <c r="A360" s="78" t="s">
        <v>1020</v>
      </c>
      <c r="B360" s="18">
        <v>3</v>
      </c>
      <c r="C360" s="78" t="s">
        <v>798</v>
      </c>
      <c r="D360" s="78" t="s">
        <v>799</v>
      </c>
      <c r="E360" s="81" t="s">
        <v>21</v>
      </c>
      <c r="F360" s="81" t="s">
        <v>7</v>
      </c>
      <c r="G360" s="81" t="s">
        <v>57</v>
      </c>
      <c r="H360" s="81" t="s">
        <v>802</v>
      </c>
      <c r="I360" s="81"/>
      <c r="J360" s="15" t="str">
        <f>IF(E360="Invalid_Segment","Invalid",IFERROR(INDEX(Severity_Matrix!$C$3:$M$10,MATCH('Error Log'!$F360,Severity_Matrix!$B$3:$B$10,0),MATCH('Error Log'!$G360,Severity_Matrix!$C$2:$M$2,0)),"No errors"))</f>
        <v>Critical</v>
      </c>
    </row>
    <row r="361" spans="1:10">
      <c r="A361" s="78" t="s">
        <v>1020</v>
      </c>
      <c r="B361" s="18">
        <v>4</v>
      </c>
      <c r="C361" s="78" t="s">
        <v>798</v>
      </c>
      <c r="D361" s="78" t="s">
        <v>799</v>
      </c>
      <c r="E361" s="81" t="s">
        <v>21</v>
      </c>
      <c r="F361" s="81" t="s">
        <v>7</v>
      </c>
      <c r="G361" s="81" t="s">
        <v>57</v>
      </c>
      <c r="H361" s="81" t="s">
        <v>803</v>
      </c>
      <c r="I361" s="81"/>
      <c r="J361" s="15" t="str">
        <f>IF(E361="Invalid_Segment","Invalid",IFERROR(INDEX(Severity_Matrix!$C$3:$M$10,MATCH('Error Log'!$F361,Severity_Matrix!$B$3:$B$10,0),MATCH('Error Log'!$G361,Severity_Matrix!$C$2:$M$2,0)),"No errors"))</f>
        <v>Critical</v>
      </c>
    </row>
    <row r="362" spans="1:10">
      <c r="A362" s="78" t="s">
        <v>1021</v>
      </c>
      <c r="B362" s="18">
        <v>1</v>
      </c>
      <c r="C362" s="78" t="s">
        <v>804</v>
      </c>
      <c r="D362" s="78" t="s">
        <v>805</v>
      </c>
      <c r="E362" s="81" t="s">
        <v>21</v>
      </c>
      <c r="F362" s="81" t="s">
        <v>7</v>
      </c>
      <c r="G362" s="81" t="s">
        <v>57</v>
      </c>
      <c r="H362" s="86" t="s">
        <v>806</v>
      </c>
      <c r="I362" s="81"/>
      <c r="J362" s="15" t="str">
        <f>IF(E362="Invalid_Segment","Invalid",IFERROR(INDEX(Severity_Matrix!$C$3:$M$10,MATCH('Error Log'!$F362,Severity_Matrix!$B$3:$B$10,0),MATCH('Error Log'!$G362,Severity_Matrix!$C$2:$M$2,0)),"No errors"))</f>
        <v>Critical</v>
      </c>
    </row>
    <row r="363" spans="1:10">
      <c r="A363" s="78" t="s">
        <v>1021</v>
      </c>
      <c r="B363" s="18">
        <v>2</v>
      </c>
      <c r="C363" s="78" t="s">
        <v>804</v>
      </c>
      <c r="D363" s="78" t="s">
        <v>805</v>
      </c>
      <c r="E363" s="81" t="s">
        <v>21</v>
      </c>
      <c r="F363" s="81" t="s">
        <v>7</v>
      </c>
      <c r="G363" s="81" t="s">
        <v>57</v>
      </c>
      <c r="H363" s="81" t="s">
        <v>807</v>
      </c>
      <c r="I363" s="81"/>
      <c r="J363" s="15" t="str">
        <f>IF(E363="Invalid_Segment","Invalid",IFERROR(INDEX(Severity_Matrix!$C$3:$M$10,MATCH('Error Log'!$F363,Severity_Matrix!$B$3:$B$10,0),MATCH('Error Log'!$G363,Severity_Matrix!$C$2:$M$2,0)),"No errors"))</f>
        <v>Critical</v>
      </c>
    </row>
    <row r="364" spans="1:10">
      <c r="A364" s="78" t="s">
        <v>1022</v>
      </c>
      <c r="B364" s="18">
        <v>1</v>
      </c>
      <c r="C364" s="78" t="s">
        <v>808</v>
      </c>
      <c r="D364" s="78" t="s">
        <v>809</v>
      </c>
      <c r="E364" s="81" t="s">
        <v>21</v>
      </c>
      <c r="F364" s="81" t="s">
        <v>22</v>
      </c>
      <c r="G364" s="81" t="s">
        <v>57</v>
      </c>
      <c r="H364" s="81" t="s">
        <v>810</v>
      </c>
      <c r="I364" s="81"/>
      <c r="J364" s="15" t="str">
        <f>IF(E364="Invalid_Segment","Invalid",IFERROR(INDEX(Severity_Matrix!$C$3:$M$10,MATCH('Error Log'!$F364,Severity_Matrix!$B$3:$B$10,0),MATCH('Error Log'!$G364,Severity_Matrix!$C$2:$M$2,0)),"No errors"))</f>
        <v>Major</v>
      </c>
    </row>
    <row r="365" spans="1:10">
      <c r="A365" s="78" t="s">
        <v>1022</v>
      </c>
      <c r="B365" s="18">
        <v>2</v>
      </c>
      <c r="C365" s="78" t="s">
        <v>808</v>
      </c>
      <c r="D365" s="78" t="s">
        <v>811</v>
      </c>
      <c r="E365" s="81" t="s">
        <v>21</v>
      </c>
      <c r="F365" s="81" t="s">
        <v>7</v>
      </c>
      <c r="G365" s="81" t="s">
        <v>57</v>
      </c>
      <c r="H365" s="81" t="s">
        <v>812</v>
      </c>
      <c r="I365" s="81"/>
      <c r="J365" s="15" t="str">
        <f>IF(E365="Invalid_Segment","Invalid",IFERROR(INDEX(Severity_Matrix!$C$3:$M$10,MATCH('Error Log'!$F365,Severity_Matrix!$B$3:$B$10,0),MATCH('Error Log'!$G365,Severity_Matrix!$C$2:$M$2,0)),"No errors"))</f>
        <v>Critical</v>
      </c>
    </row>
    <row r="366" spans="1:10">
      <c r="A366" s="78" t="s">
        <v>1023</v>
      </c>
      <c r="B366" s="18">
        <v>1</v>
      </c>
      <c r="C366" s="78" t="s">
        <v>813</v>
      </c>
      <c r="D366" s="78" t="s">
        <v>814</v>
      </c>
      <c r="E366" s="81" t="s">
        <v>21</v>
      </c>
      <c r="F366" s="81" t="s">
        <v>7</v>
      </c>
      <c r="G366" s="81" t="s">
        <v>57</v>
      </c>
      <c r="H366" s="81" t="s">
        <v>815</v>
      </c>
      <c r="I366" s="81"/>
      <c r="J366" s="15" t="str">
        <f>IF(E366="Invalid_Segment","Invalid",IFERROR(INDEX(Severity_Matrix!$C$3:$M$10,MATCH('Error Log'!$F366,Severity_Matrix!$B$3:$B$10,0),MATCH('Error Log'!$G366,Severity_Matrix!$C$2:$M$2,0)),"No errors"))</f>
        <v>Critical</v>
      </c>
    </row>
    <row r="367" spans="1:10">
      <c r="A367" s="78" t="s">
        <v>1024</v>
      </c>
      <c r="B367" s="18">
        <v>1</v>
      </c>
      <c r="C367" s="78" t="s">
        <v>816</v>
      </c>
      <c r="D367" s="78" t="s">
        <v>817</v>
      </c>
      <c r="E367" s="81" t="s">
        <v>2</v>
      </c>
      <c r="F367" s="81" t="s">
        <v>26</v>
      </c>
      <c r="G367" s="81" t="s">
        <v>57</v>
      </c>
      <c r="H367" s="81" t="s">
        <v>818</v>
      </c>
      <c r="I367" s="81"/>
      <c r="J367" s="15" t="str">
        <f>IF(E367="Invalid_Segment","Invalid",IFERROR(INDEX(Severity_Matrix!$C$3:$M$10,MATCH('Error Log'!$F367,Severity_Matrix!$B$3:$B$10,0),MATCH('Error Log'!$G367,Severity_Matrix!$C$2:$M$2,0)),"No errors"))</f>
        <v>Major</v>
      </c>
    </row>
    <row r="368" spans="1:10">
      <c r="A368" s="78" t="s">
        <v>1024</v>
      </c>
      <c r="B368" s="18">
        <v>2</v>
      </c>
      <c r="C368" s="78" t="s">
        <v>816</v>
      </c>
      <c r="D368" s="78" t="s">
        <v>817</v>
      </c>
      <c r="E368" s="81" t="s">
        <v>21</v>
      </c>
      <c r="F368" s="81" t="s">
        <v>7</v>
      </c>
      <c r="G368" s="81" t="s">
        <v>57</v>
      </c>
      <c r="H368" s="87" t="s">
        <v>819</v>
      </c>
      <c r="I368" s="81"/>
      <c r="J368" s="15" t="str">
        <f>IF(E368="Invalid_Segment","Invalid",IFERROR(INDEX(Severity_Matrix!$C$3:$M$10,MATCH('Error Log'!$F368,Severity_Matrix!$B$3:$B$10,0),MATCH('Error Log'!$G368,Severity_Matrix!$C$2:$M$2,0)),"No errors"))</f>
        <v>Critical</v>
      </c>
    </row>
    <row r="369" spans="1:10">
      <c r="A369" s="78" t="s">
        <v>1025</v>
      </c>
      <c r="B369" s="18">
        <v>1</v>
      </c>
      <c r="C369" s="78" t="s">
        <v>820</v>
      </c>
      <c r="D369" s="78" t="s">
        <v>821</v>
      </c>
      <c r="E369" s="81" t="s">
        <v>21</v>
      </c>
      <c r="F369" s="81" t="s">
        <v>7</v>
      </c>
      <c r="G369" s="81" t="s">
        <v>55</v>
      </c>
      <c r="H369" s="81" t="s">
        <v>822</v>
      </c>
      <c r="I369" s="81"/>
      <c r="J369" s="15" t="str">
        <f>IF(E369="Invalid_Segment","Invalid",IFERROR(INDEX(Severity_Matrix!$C$3:$M$10,MATCH('Error Log'!$F369,Severity_Matrix!$B$3:$B$10,0),MATCH('Error Log'!$G369,Severity_Matrix!$C$2:$M$2,0)),"No errors"))</f>
        <v>Critical</v>
      </c>
    </row>
    <row r="370" spans="1:10">
      <c r="A370" s="78" t="s">
        <v>1025</v>
      </c>
      <c r="B370" s="18">
        <v>2</v>
      </c>
      <c r="C370" s="78" t="s">
        <v>820</v>
      </c>
      <c r="D370" s="78" t="s">
        <v>821</v>
      </c>
      <c r="E370" s="81" t="s">
        <v>21</v>
      </c>
      <c r="F370" s="81" t="s">
        <v>7</v>
      </c>
      <c r="G370" s="81" t="s">
        <v>57</v>
      </c>
      <c r="H370" s="81" t="s">
        <v>823</v>
      </c>
      <c r="I370" s="81"/>
      <c r="J370" s="15" t="str">
        <f>IF(E370="Invalid_Segment","Invalid",IFERROR(INDEX(Severity_Matrix!$C$3:$M$10,MATCH('Error Log'!$F370,Severity_Matrix!$B$3:$B$10,0),MATCH('Error Log'!$G370,Severity_Matrix!$C$2:$M$2,0)),"No errors"))</f>
        <v>Critical</v>
      </c>
    </row>
    <row r="371" spans="1:10">
      <c r="A371" s="78" t="s">
        <v>1026</v>
      </c>
      <c r="B371" s="18">
        <v>1</v>
      </c>
      <c r="C371" s="78" t="s">
        <v>824</v>
      </c>
      <c r="D371" s="78" t="s">
        <v>825</v>
      </c>
      <c r="E371" s="81" t="s">
        <v>21</v>
      </c>
      <c r="F371" s="81" t="s">
        <v>22</v>
      </c>
      <c r="G371" s="81" t="s">
        <v>57</v>
      </c>
      <c r="H371" s="81" t="s">
        <v>826</v>
      </c>
      <c r="I371" s="81"/>
      <c r="J371" s="15" t="str">
        <f>IF(E371="Invalid_Segment","Invalid",IFERROR(INDEX(Severity_Matrix!$C$3:$M$10,MATCH('Error Log'!$F371,Severity_Matrix!$B$3:$B$10,0),MATCH('Error Log'!$G371,Severity_Matrix!$C$2:$M$2,0)),"No errors"))</f>
        <v>Major</v>
      </c>
    </row>
    <row r="372" spans="1:10">
      <c r="A372" s="78" t="s">
        <v>1026</v>
      </c>
      <c r="B372" s="18">
        <v>2</v>
      </c>
      <c r="C372" s="78" t="s">
        <v>824</v>
      </c>
      <c r="D372" s="78" t="s">
        <v>825</v>
      </c>
      <c r="E372" s="81" t="s">
        <v>21</v>
      </c>
      <c r="F372" s="81" t="s">
        <v>7</v>
      </c>
      <c r="G372" s="81" t="s">
        <v>57</v>
      </c>
      <c r="H372" s="81" t="s">
        <v>827</v>
      </c>
      <c r="I372" s="81"/>
      <c r="J372" s="15" t="str">
        <f>IF(E372="Invalid_Segment","Invalid",IFERROR(INDEX(Severity_Matrix!$C$3:$M$10,MATCH('Error Log'!$F372,Severity_Matrix!$B$3:$B$10,0),MATCH('Error Log'!$G372,Severity_Matrix!$C$2:$M$2,0)),"No errors"))</f>
        <v>Critical</v>
      </c>
    </row>
    <row r="373" spans="1:10">
      <c r="A373" s="78" t="s">
        <v>1027</v>
      </c>
      <c r="B373" s="18">
        <v>1</v>
      </c>
      <c r="C373" s="78" t="s">
        <v>828</v>
      </c>
      <c r="D373" s="78" t="s">
        <v>829</v>
      </c>
      <c r="E373" s="81" t="s">
        <v>21</v>
      </c>
      <c r="F373" s="81" t="s">
        <v>22</v>
      </c>
      <c r="G373" s="81" t="s">
        <v>57</v>
      </c>
      <c r="H373" s="81" t="s">
        <v>830</v>
      </c>
      <c r="I373" s="81"/>
      <c r="J373" s="15" t="str">
        <f>IF(E373="Invalid_Segment","Invalid",IFERROR(INDEX(Severity_Matrix!$C$3:$M$10,MATCH('Error Log'!$F373,Severity_Matrix!$B$3:$B$10,0),MATCH('Error Log'!$G373,Severity_Matrix!$C$2:$M$2,0)),"No errors"))</f>
        <v>Major</v>
      </c>
    </row>
    <row r="374" spans="1:10">
      <c r="A374" s="78" t="s">
        <v>1027</v>
      </c>
      <c r="B374" s="18">
        <v>2</v>
      </c>
      <c r="C374" s="78" t="s">
        <v>828</v>
      </c>
      <c r="D374" s="78" t="s">
        <v>829</v>
      </c>
      <c r="E374" s="81" t="s">
        <v>21</v>
      </c>
      <c r="F374" s="81" t="s">
        <v>7</v>
      </c>
      <c r="G374" s="81" t="s">
        <v>57</v>
      </c>
      <c r="H374" s="81" t="s">
        <v>831</v>
      </c>
      <c r="I374" s="81"/>
      <c r="J374" s="15" t="str">
        <f>IF(E374="Invalid_Segment","Invalid",IFERROR(INDEX(Severity_Matrix!$C$3:$M$10,MATCH('Error Log'!$F374,Severity_Matrix!$B$3:$B$10,0),MATCH('Error Log'!$G374,Severity_Matrix!$C$2:$M$2,0)),"No errors"))</f>
        <v>Critical</v>
      </c>
    </row>
    <row r="375" spans="1:10">
      <c r="A375" s="78" t="s">
        <v>1028</v>
      </c>
      <c r="B375" s="18">
        <v>1</v>
      </c>
      <c r="C375" s="78" t="s">
        <v>832</v>
      </c>
      <c r="D375" s="78" t="s">
        <v>833</v>
      </c>
      <c r="E375" s="81" t="s">
        <v>21</v>
      </c>
      <c r="F375" s="81" t="s">
        <v>22</v>
      </c>
      <c r="G375" s="81" t="s">
        <v>57</v>
      </c>
      <c r="H375" s="81" t="s">
        <v>834</v>
      </c>
      <c r="I375" s="81"/>
      <c r="J375" s="15" t="str">
        <f>IF(E375="Invalid_Segment","Invalid",IFERROR(INDEX(Severity_Matrix!$C$3:$M$10,MATCH('Error Log'!$F375,Severity_Matrix!$B$3:$B$10,0),MATCH('Error Log'!$G375,Severity_Matrix!$C$2:$M$2,0)),"No errors"))</f>
        <v>Major</v>
      </c>
    </row>
    <row r="376" spans="1:10">
      <c r="A376" s="78" t="s">
        <v>1028</v>
      </c>
      <c r="B376" s="18">
        <v>2</v>
      </c>
      <c r="C376" s="78" t="s">
        <v>832</v>
      </c>
      <c r="D376" s="78" t="s">
        <v>833</v>
      </c>
      <c r="E376" s="81" t="s">
        <v>21</v>
      </c>
      <c r="F376" s="81" t="s">
        <v>7</v>
      </c>
      <c r="G376" s="81" t="s">
        <v>57</v>
      </c>
      <c r="H376" s="81" t="s">
        <v>835</v>
      </c>
      <c r="I376" s="81"/>
      <c r="J376" s="15" t="str">
        <f>IF(E376="Invalid_Segment","Invalid",IFERROR(INDEX(Severity_Matrix!$C$3:$M$10,MATCH('Error Log'!$F376,Severity_Matrix!$B$3:$B$10,0),MATCH('Error Log'!$G376,Severity_Matrix!$C$2:$M$2,0)),"No errors"))</f>
        <v>Critical</v>
      </c>
    </row>
    <row r="377" spans="1:10">
      <c r="A377" s="78" t="s">
        <v>1028</v>
      </c>
      <c r="B377" s="18">
        <v>3</v>
      </c>
      <c r="C377" s="78" t="s">
        <v>832</v>
      </c>
      <c r="D377" s="78" t="s">
        <v>833</v>
      </c>
      <c r="E377" s="81" t="s">
        <v>21</v>
      </c>
      <c r="F377" s="81" t="s">
        <v>7</v>
      </c>
      <c r="G377" s="81" t="s">
        <v>57</v>
      </c>
      <c r="H377" s="81" t="s">
        <v>836</v>
      </c>
      <c r="I377" s="81"/>
      <c r="J377" s="15" t="str">
        <f>IF(E377="Invalid_Segment","Invalid",IFERROR(INDEX(Severity_Matrix!$C$3:$M$10,MATCH('Error Log'!$F377,Severity_Matrix!$B$3:$B$10,0),MATCH('Error Log'!$G377,Severity_Matrix!$C$2:$M$2,0)),"No errors"))</f>
        <v>Critical</v>
      </c>
    </row>
    <row r="378" spans="1:10">
      <c r="A378" s="78" t="s">
        <v>1029</v>
      </c>
      <c r="B378" s="18">
        <v>1</v>
      </c>
      <c r="C378" s="78" t="s">
        <v>837</v>
      </c>
      <c r="D378" s="78" t="s">
        <v>838</v>
      </c>
      <c r="E378" s="81" t="s">
        <v>21</v>
      </c>
      <c r="F378" s="81" t="s">
        <v>22</v>
      </c>
      <c r="G378" s="81" t="s">
        <v>57</v>
      </c>
      <c r="H378" s="81" t="s">
        <v>839</v>
      </c>
      <c r="I378" s="81"/>
      <c r="J378" s="15" t="str">
        <f>IF(E378="Invalid_Segment","Invalid",IFERROR(INDEX(Severity_Matrix!$C$3:$M$10,MATCH('Error Log'!$F378,Severity_Matrix!$B$3:$B$10,0),MATCH('Error Log'!$G378,Severity_Matrix!$C$2:$M$2,0)),"No errors"))</f>
        <v>Major</v>
      </c>
    </row>
    <row r="379" spans="1:10">
      <c r="A379" s="78" t="s">
        <v>1029</v>
      </c>
      <c r="B379" s="18">
        <v>2</v>
      </c>
      <c r="C379" s="78" t="s">
        <v>837</v>
      </c>
      <c r="D379" s="78" t="s">
        <v>838</v>
      </c>
      <c r="E379" s="81" t="s">
        <v>21</v>
      </c>
      <c r="F379" s="81" t="s">
        <v>22</v>
      </c>
      <c r="G379" s="81" t="s">
        <v>57</v>
      </c>
      <c r="H379" s="81" t="s">
        <v>840</v>
      </c>
      <c r="I379" s="81"/>
      <c r="J379" s="15" t="str">
        <f>IF(E379="Invalid_Segment","Invalid",IFERROR(INDEX(Severity_Matrix!$C$3:$M$10,MATCH('Error Log'!$F379,Severity_Matrix!$B$3:$B$10,0),MATCH('Error Log'!$G379,Severity_Matrix!$C$2:$M$2,0)),"No errors"))</f>
        <v>Major</v>
      </c>
    </row>
    <row r="380" spans="1:10">
      <c r="A380" s="78" t="s">
        <v>1029</v>
      </c>
      <c r="B380" s="18">
        <v>3</v>
      </c>
      <c r="C380" s="78" t="s">
        <v>837</v>
      </c>
      <c r="D380" s="78" t="s">
        <v>838</v>
      </c>
      <c r="E380" s="81" t="s">
        <v>21</v>
      </c>
      <c r="F380" s="81" t="s">
        <v>7</v>
      </c>
      <c r="G380" s="81" t="s">
        <v>57</v>
      </c>
      <c r="H380" s="81" t="s">
        <v>841</v>
      </c>
      <c r="I380" s="81"/>
      <c r="J380" s="15" t="str">
        <f>IF(E380="Invalid_Segment","Invalid",IFERROR(INDEX(Severity_Matrix!$C$3:$M$10,MATCH('Error Log'!$F380,Severity_Matrix!$B$3:$B$10,0),MATCH('Error Log'!$G380,Severity_Matrix!$C$2:$M$2,0)),"No errors"))</f>
        <v>Critical</v>
      </c>
    </row>
    <row r="381" spans="1:10">
      <c r="A381" s="78" t="s">
        <v>1029</v>
      </c>
      <c r="B381" s="18">
        <v>4</v>
      </c>
      <c r="C381" s="78" t="s">
        <v>837</v>
      </c>
      <c r="D381" s="78" t="s">
        <v>838</v>
      </c>
      <c r="E381" s="81" t="s">
        <v>21</v>
      </c>
      <c r="F381" s="81" t="s">
        <v>7</v>
      </c>
      <c r="G381" s="81" t="s">
        <v>57</v>
      </c>
      <c r="H381" s="82" t="s">
        <v>842</v>
      </c>
      <c r="I381" s="81"/>
      <c r="J381" s="15" t="str">
        <f>IF(E381="Invalid_Segment","Invalid",IFERROR(INDEX(Severity_Matrix!$C$3:$M$10,MATCH('Error Log'!$F381,Severity_Matrix!$B$3:$B$10,0),MATCH('Error Log'!$G381,Severity_Matrix!$C$2:$M$2,0)),"No errors"))</f>
        <v>Critical</v>
      </c>
    </row>
    <row r="382" spans="1:10">
      <c r="A382" s="78" t="s">
        <v>1030</v>
      </c>
      <c r="B382" s="18">
        <v>1</v>
      </c>
      <c r="C382" s="78" t="s">
        <v>843</v>
      </c>
      <c r="D382" s="78" t="s">
        <v>844</v>
      </c>
      <c r="E382" s="81" t="s">
        <v>2</v>
      </c>
      <c r="F382" s="81" t="s">
        <v>26</v>
      </c>
      <c r="G382" s="81" t="s">
        <v>57</v>
      </c>
      <c r="H382" s="81" t="s">
        <v>845</v>
      </c>
      <c r="I382" s="81"/>
      <c r="J382" s="15" t="str">
        <f>IF(E382="Invalid_Segment","Invalid",IFERROR(INDEX(Severity_Matrix!$C$3:$M$10,MATCH('Error Log'!$F382,Severity_Matrix!$B$3:$B$10,0),MATCH('Error Log'!$G382,Severity_Matrix!$C$2:$M$2,0)),"No errors"))</f>
        <v>Major</v>
      </c>
    </row>
    <row r="383" spans="1:10">
      <c r="A383" s="78" t="s">
        <v>1030</v>
      </c>
      <c r="B383" s="18">
        <v>2</v>
      </c>
      <c r="C383" s="78" t="s">
        <v>843</v>
      </c>
      <c r="D383" s="78" t="s">
        <v>844</v>
      </c>
      <c r="E383" s="81" t="s">
        <v>21</v>
      </c>
      <c r="F383" s="81" t="s">
        <v>22</v>
      </c>
      <c r="G383" s="81" t="s">
        <v>57</v>
      </c>
      <c r="H383" s="81" t="s">
        <v>845</v>
      </c>
      <c r="I383" s="81"/>
      <c r="J383" s="15" t="str">
        <f>IF(E383="Invalid_Segment","Invalid",IFERROR(INDEX(Severity_Matrix!$C$3:$M$10,MATCH('Error Log'!$F383,Severity_Matrix!$B$3:$B$10,0),MATCH('Error Log'!$G383,Severity_Matrix!$C$2:$M$2,0)),"No errors"))</f>
        <v>Major</v>
      </c>
    </row>
    <row r="384" spans="1:10">
      <c r="A384" s="78" t="s">
        <v>1030</v>
      </c>
      <c r="B384" s="18">
        <v>3</v>
      </c>
      <c r="C384" s="78" t="s">
        <v>843</v>
      </c>
      <c r="D384" s="78" t="s">
        <v>844</v>
      </c>
      <c r="E384" s="81" t="s">
        <v>21</v>
      </c>
      <c r="F384" s="81" t="s">
        <v>7</v>
      </c>
      <c r="G384" s="81" t="s">
        <v>57</v>
      </c>
      <c r="H384" s="81" t="s">
        <v>846</v>
      </c>
      <c r="I384" s="81"/>
      <c r="J384" s="15" t="str">
        <f>IF(E384="Invalid_Segment","Invalid",IFERROR(INDEX(Severity_Matrix!$C$3:$M$10,MATCH('Error Log'!$F384,Severity_Matrix!$B$3:$B$10,0),MATCH('Error Log'!$G384,Severity_Matrix!$C$2:$M$2,0)),"No errors"))</f>
        <v>Critical</v>
      </c>
    </row>
    <row r="385" spans="1:10">
      <c r="A385" s="78" t="s">
        <v>1031</v>
      </c>
      <c r="B385" s="18">
        <v>1</v>
      </c>
      <c r="C385" s="78" t="s">
        <v>847</v>
      </c>
      <c r="D385" s="78" t="s">
        <v>848</v>
      </c>
      <c r="E385" s="81" t="s">
        <v>21</v>
      </c>
      <c r="F385" s="81" t="s">
        <v>22</v>
      </c>
      <c r="G385" s="81" t="s">
        <v>57</v>
      </c>
      <c r="H385" s="81" t="s">
        <v>849</v>
      </c>
      <c r="I385" s="81"/>
      <c r="J385" s="15" t="str">
        <f>IF(E385="Invalid_Segment","Invalid",IFERROR(INDEX(Severity_Matrix!$C$3:$M$10,MATCH('Error Log'!$F385,Severity_Matrix!$B$3:$B$10,0),MATCH('Error Log'!$G385,Severity_Matrix!$C$2:$M$2,0)),"No errors"))</f>
        <v>Major</v>
      </c>
    </row>
    <row r="386" spans="1:10">
      <c r="A386" s="78" t="s">
        <v>1031</v>
      </c>
      <c r="B386" s="18">
        <v>2</v>
      </c>
      <c r="C386" s="78" t="s">
        <v>847</v>
      </c>
      <c r="D386" s="78" t="s">
        <v>848</v>
      </c>
      <c r="E386" s="81" t="s">
        <v>2</v>
      </c>
      <c r="F386" s="81" t="s">
        <v>26</v>
      </c>
      <c r="G386" s="81" t="s">
        <v>57</v>
      </c>
      <c r="H386" s="81" t="s">
        <v>849</v>
      </c>
      <c r="I386" s="81"/>
      <c r="J386" s="15" t="str">
        <f>IF(E386="Invalid_Segment","Invalid",IFERROR(INDEX(Severity_Matrix!$C$3:$M$10,MATCH('Error Log'!$F386,Severity_Matrix!$B$3:$B$10,0),MATCH('Error Log'!$G386,Severity_Matrix!$C$2:$M$2,0)),"No errors"))</f>
        <v>Major</v>
      </c>
    </row>
    <row r="387" spans="1:10">
      <c r="A387" s="78" t="s">
        <v>1031</v>
      </c>
      <c r="B387" s="18">
        <v>3</v>
      </c>
      <c r="C387" s="78" t="s">
        <v>847</v>
      </c>
      <c r="D387" s="78" t="s">
        <v>848</v>
      </c>
      <c r="E387" s="81" t="s">
        <v>2</v>
      </c>
      <c r="F387" s="81" t="s">
        <v>26</v>
      </c>
      <c r="G387" s="81" t="s">
        <v>57</v>
      </c>
      <c r="H387" s="81" t="s">
        <v>849</v>
      </c>
      <c r="I387" s="81"/>
      <c r="J387" s="15" t="str">
        <f>IF(E387="Invalid_Segment","Invalid",IFERROR(INDEX(Severity_Matrix!$C$3:$M$10,MATCH('Error Log'!$F387,Severity_Matrix!$B$3:$B$10,0),MATCH('Error Log'!$G387,Severity_Matrix!$C$2:$M$2,0)),"No errors"))</f>
        <v>Major</v>
      </c>
    </row>
    <row r="388" spans="1:10">
      <c r="A388" s="78" t="s">
        <v>1031</v>
      </c>
      <c r="B388" s="18">
        <v>4</v>
      </c>
      <c r="C388" s="78" t="s">
        <v>847</v>
      </c>
      <c r="D388" s="78" t="s">
        <v>848</v>
      </c>
      <c r="E388" s="81" t="s">
        <v>21</v>
      </c>
      <c r="F388" s="81" t="s">
        <v>7</v>
      </c>
      <c r="G388" s="81" t="s">
        <v>57</v>
      </c>
      <c r="H388" s="81" t="s">
        <v>850</v>
      </c>
      <c r="I388" s="81"/>
      <c r="J388" s="15" t="str">
        <f>IF(E388="Invalid_Segment","Invalid",IFERROR(INDEX(Severity_Matrix!$C$3:$M$10,MATCH('Error Log'!$F388,Severity_Matrix!$B$3:$B$10,0),MATCH('Error Log'!$G388,Severity_Matrix!$C$2:$M$2,0)),"No errors"))</f>
        <v>Critical</v>
      </c>
    </row>
    <row r="389" spans="1:10">
      <c r="A389" s="78" t="s">
        <v>1031</v>
      </c>
      <c r="B389" s="18">
        <v>5</v>
      </c>
      <c r="C389" s="78" t="s">
        <v>847</v>
      </c>
      <c r="D389" s="78" t="s">
        <v>848</v>
      </c>
      <c r="E389" s="81" t="s">
        <v>21</v>
      </c>
      <c r="F389" s="81" t="s">
        <v>7</v>
      </c>
      <c r="G389" s="81" t="s">
        <v>57</v>
      </c>
      <c r="H389" s="81" t="s">
        <v>851</v>
      </c>
      <c r="I389" s="81"/>
      <c r="J389" s="15" t="str">
        <f>IF(E389="Invalid_Segment","Invalid",IFERROR(INDEX(Severity_Matrix!$C$3:$M$10,MATCH('Error Log'!$F389,Severity_Matrix!$B$3:$B$10,0),MATCH('Error Log'!$G389,Severity_Matrix!$C$2:$M$2,0)),"No errors"))</f>
        <v>Critical</v>
      </c>
    </row>
    <row r="390" spans="1:10">
      <c r="A390" s="78" t="s">
        <v>1031</v>
      </c>
      <c r="B390" s="18">
        <v>6</v>
      </c>
      <c r="C390" s="78" t="s">
        <v>847</v>
      </c>
      <c r="D390" s="78" t="s">
        <v>848</v>
      </c>
      <c r="E390" s="81" t="s">
        <v>21</v>
      </c>
      <c r="F390" s="81" t="s">
        <v>7</v>
      </c>
      <c r="G390" s="81" t="s">
        <v>57</v>
      </c>
      <c r="H390" s="81" t="s">
        <v>852</v>
      </c>
      <c r="I390" s="81"/>
      <c r="J390" s="15" t="str">
        <f>IF(E390="Invalid_Segment","Invalid",IFERROR(INDEX(Severity_Matrix!$C$3:$M$10,MATCH('Error Log'!$F390,Severity_Matrix!$B$3:$B$10,0),MATCH('Error Log'!$G390,Severity_Matrix!$C$2:$M$2,0)),"No errors"))</f>
        <v>Critical</v>
      </c>
    </row>
    <row r="391" spans="1:10">
      <c r="A391" s="78" t="s">
        <v>1031</v>
      </c>
      <c r="B391" s="18">
        <v>7</v>
      </c>
      <c r="C391" s="78" t="s">
        <v>847</v>
      </c>
      <c r="D391" s="78" t="s">
        <v>848</v>
      </c>
      <c r="E391" s="81" t="s">
        <v>21</v>
      </c>
      <c r="F391" s="81" t="s">
        <v>7</v>
      </c>
      <c r="G391" s="81" t="s">
        <v>57</v>
      </c>
      <c r="H391" s="81" t="s">
        <v>853</v>
      </c>
      <c r="I391" s="81"/>
      <c r="J391" s="15" t="str">
        <f>IF(E391="Invalid_Segment","Invalid",IFERROR(INDEX(Severity_Matrix!$C$3:$M$10,MATCH('Error Log'!$F391,Severity_Matrix!$B$3:$B$10,0),MATCH('Error Log'!$G391,Severity_Matrix!$C$2:$M$2,0)),"No errors"))</f>
        <v>Critical</v>
      </c>
    </row>
    <row r="392" spans="1:10">
      <c r="A392" s="78" t="s">
        <v>1034</v>
      </c>
      <c r="B392" s="18">
        <v>1</v>
      </c>
      <c r="C392" s="78" t="s">
        <v>854</v>
      </c>
      <c r="D392" s="78" t="s">
        <v>855</v>
      </c>
      <c r="E392" s="81" t="s">
        <v>21</v>
      </c>
      <c r="F392" s="81" t="s">
        <v>7</v>
      </c>
      <c r="G392" s="81" t="s">
        <v>27</v>
      </c>
      <c r="H392" s="81" t="s">
        <v>856</v>
      </c>
      <c r="I392" s="81"/>
      <c r="J392" s="15" t="str">
        <f>IF(E392="Invalid_Segment","Invalid",IFERROR(INDEX(Severity_Matrix!$C$3:$M$10,MATCH('Error Log'!$F392,Severity_Matrix!$B$3:$B$10,0),MATCH('Error Log'!$G392,Severity_Matrix!$C$2:$M$2,0)),"No errors"))</f>
        <v>Major</v>
      </c>
    </row>
    <row r="393" spans="1:10">
      <c r="A393" s="79" t="s">
        <v>1035</v>
      </c>
      <c r="B393" s="18">
        <v>1</v>
      </c>
      <c r="C393" s="78" t="s">
        <v>857</v>
      </c>
      <c r="D393" s="80" t="s">
        <v>858</v>
      </c>
      <c r="E393" s="81" t="s">
        <v>21</v>
      </c>
      <c r="F393" s="81" t="s">
        <v>7</v>
      </c>
      <c r="G393" s="81" t="s">
        <v>57</v>
      </c>
      <c r="H393" s="81" t="s">
        <v>859</v>
      </c>
      <c r="I393" s="81"/>
      <c r="J393" s="15" t="str">
        <f>IF(E393="Invalid_Segment","Invalid",IFERROR(INDEX(Severity_Matrix!$C$3:$M$10,MATCH('Error Log'!$F393,Severity_Matrix!$B$3:$B$10,0),MATCH('Error Log'!$G393,Severity_Matrix!$C$2:$M$2,0)),"No errors"))</f>
        <v>Critical</v>
      </c>
    </row>
    <row r="394" spans="1:10">
      <c r="A394" s="79" t="s">
        <v>1035</v>
      </c>
      <c r="B394" s="18">
        <v>2</v>
      </c>
      <c r="C394" s="78" t="s">
        <v>857</v>
      </c>
      <c r="D394" s="80" t="s">
        <v>858</v>
      </c>
      <c r="E394" s="81" t="s">
        <v>21</v>
      </c>
      <c r="F394" s="81" t="s">
        <v>22</v>
      </c>
      <c r="G394" s="81" t="s">
        <v>57</v>
      </c>
      <c r="H394" s="81" t="s">
        <v>860</v>
      </c>
      <c r="I394" s="81"/>
      <c r="J394" s="15" t="str">
        <f>IF(E394="Invalid_Segment","Invalid",IFERROR(INDEX(Severity_Matrix!$C$3:$M$10,MATCH('Error Log'!$F394,Severity_Matrix!$B$3:$B$10,0),MATCH('Error Log'!$G394,Severity_Matrix!$C$2:$M$2,0)),"No errors"))</f>
        <v>Major</v>
      </c>
    </row>
    <row r="395" spans="1:10">
      <c r="A395" s="79" t="s">
        <v>1036</v>
      </c>
      <c r="B395" s="18">
        <v>1</v>
      </c>
      <c r="C395" s="80" t="s">
        <v>861</v>
      </c>
      <c r="D395" s="80" t="s">
        <v>862</v>
      </c>
      <c r="E395" s="81" t="s">
        <v>2</v>
      </c>
      <c r="F395" s="81" t="s">
        <v>26</v>
      </c>
      <c r="G395" s="81" t="s">
        <v>57</v>
      </c>
      <c r="H395" s="81" t="s">
        <v>863</v>
      </c>
      <c r="I395" s="81"/>
      <c r="J395" s="15" t="str">
        <f>IF(E395="Invalid_Segment","Invalid",IFERROR(INDEX(Severity_Matrix!$C$3:$M$10,MATCH('Error Log'!$F395,Severity_Matrix!$B$3:$B$10,0),MATCH('Error Log'!$G395,Severity_Matrix!$C$2:$M$2,0)),"No errors"))</f>
        <v>Major</v>
      </c>
    </row>
    <row r="396" spans="1:10">
      <c r="A396" s="79" t="s">
        <v>1037</v>
      </c>
      <c r="B396" s="18">
        <v>1</v>
      </c>
      <c r="C396" s="80" t="s">
        <v>864</v>
      </c>
      <c r="D396" s="80" t="s">
        <v>865</v>
      </c>
      <c r="E396" s="81"/>
      <c r="F396" s="81"/>
      <c r="G396" s="81"/>
      <c r="H396" s="81"/>
      <c r="I396" s="81"/>
      <c r="J396" s="15" t="str">
        <f>IF(E396="Invalid_Segment","Invalid",IFERROR(INDEX(Severity_Matrix!$C$3:$M$10,MATCH('Error Log'!$F396,Severity_Matrix!$B$3:$B$10,0),MATCH('Error Log'!$G396,Severity_Matrix!$C$2:$M$2,0)),"No errors"))</f>
        <v>No errors</v>
      </c>
    </row>
    <row r="397" spans="1:10">
      <c r="A397" s="79" t="s">
        <v>1038</v>
      </c>
      <c r="B397" s="18">
        <v>1</v>
      </c>
      <c r="C397" s="80" t="s">
        <v>866</v>
      </c>
      <c r="D397" s="80" t="s">
        <v>867</v>
      </c>
      <c r="E397" s="81" t="s">
        <v>21</v>
      </c>
      <c r="F397" s="81" t="s">
        <v>22</v>
      </c>
      <c r="G397" s="81" t="s">
        <v>57</v>
      </c>
      <c r="H397" s="81" t="s">
        <v>868</v>
      </c>
      <c r="I397" s="81"/>
      <c r="J397" s="15" t="str">
        <f>IF(E397="Invalid_Segment","Invalid",IFERROR(INDEX(Severity_Matrix!$C$3:$M$10,MATCH('Error Log'!$F397,Severity_Matrix!$B$3:$B$10,0),MATCH('Error Log'!$G397,Severity_Matrix!$C$2:$M$2,0)),"No errors"))</f>
        <v>Major</v>
      </c>
    </row>
    <row r="398" spans="1:10">
      <c r="A398" s="79" t="s">
        <v>1038</v>
      </c>
      <c r="B398" s="18">
        <v>2</v>
      </c>
      <c r="C398" s="80" t="s">
        <v>866</v>
      </c>
      <c r="D398" s="80" t="s">
        <v>867</v>
      </c>
      <c r="E398" s="81" t="s">
        <v>21</v>
      </c>
      <c r="F398" s="81" t="s">
        <v>7</v>
      </c>
      <c r="G398" s="81" t="s">
        <v>57</v>
      </c>
      <c r="H398" s="81" t="s">
        <v>869</v>
      </c>
      <c r="I398" s="81"/>
      <c r="J398" s="15" t="str">
        <f>IF(E398="Invalid_Segment","Invalid",IFERROR(INDEX(Severity_Matrix!$C$3:$M$10,MATCH('Error Log'!$F398,Severity_Matrix!$B$3:$B$10,0),MATCH('Error Log'!$G398,Severity_Matrix!$C$2:$M$2,0)),"No errors"))</f>
        <v>Critical</v>
      </c>
    </row>
    <row r="399" spans="1:10">
      <c r="A399" s="79" t="s">
        <v>1032</v>
      </c>
      <c r="B399" s="18">
        <v>1</v>
      </c>
      <c r="C399" s="80" t="s">
        <v>870</v>
      </c>
      <c r="D399" s="80" t="s">
        <v>871</v>
      </c>
      <c r="E399" s="81" t="s">
        <v>21</v>
      </c>
      <c r="F399" s="81" t="s">
        <v>7</v>
      </c>
      <c r="G399" s="81" t="s">
        <v>57</v>
      </c>
      <c r="H399" s="81" t="s">
        <v>872</v>
      </c>
      <c r="I399" s="81"/>
      <c r="J399" s="15" t="str">
        <f>IF(E399="Invalid_Segment","Invalid",IFERROR(INDEX(Severity_Matrix!$C$3:$M$10,MATCH('Error Log'!$F399,Severity_Matrix!$B$3:$B$10,0),MATCH('Error Log'!$G399,Severity_Matrix!$C$2:$M$2,0)),"No errors"))</f>
        <v>Critical</v>
      </c>
    </row>
    <row r="400" spans="1:10">
      <c r="A400" s="79" t="s">
        <v>1032</v>
      </c>
      <c r="B400" s="18">
        <v>2</v>
      </c>
      <c r="C400" s="80" t="s">
        <v>870</v>
      </c>
      <c r="D400" s="80" t="s">
        <v>871</v>
      </c>
      <c r="E400" s="81" t="s">
        <v>21</v>
      </c>
      <c r="F400" s="81" t="s">
        <v>7</v>
      </c>
      <c r="G400" s="81" t="s">
        <v>57</v>
      </c>
      <c r="H400" s="81" t="s">
        <v>873</v>
      </c>
      <c r="I400" s="81"/>
      <c r="J400" s="15" t="str">
        <f>IF(E400="Invalid_Segment","Invalid",IFERROR(INDEX(Severity_Matrix!$C$3:$M$10,MATCH('Error Log'!$F400,Severity_Matrix!$B$3:$B$10,0),MATCH('Error Log'!$G400,Severity_Matrix!$C$2:$M$2,0)),"No errors"))</f>
        <v>Critical</v>
      </c>
    </row>
    <row r="401" spans="1:10">
      <c r="A401" s="79" t="s">
        <v>1032</v>
      </c>
      <c r="B401" s="18">
        <v>3</v>
      </c>
      <c r="C401" s="80" t="s">
        <v>870</v>
      </c>
      <c r="D401" s="80" t="s">
        <v>871</v>
      </c>
      <c r="E401" s="81" t="s">
        <v>21</v>
      </c>
      <c r="F401" s="81" t="s">
        <v>7</v>
      </c>
      <c r="G401" s="81" t="s">
        <v>57</v>
      </c>
      <c r="H401" s="81" t="s">
        <v>874</v>
      </c>
      <c r="I401" s="81"/>
      <c r="J401" s="15" t="str">
        <f>IF(E401="Invalid_Segment","Invalid",IFERROR(INDEX(Severity_Matrix!$C$3:$M$10,MATCH('Error Log'!$F401,Severity_Matrix!$B$3:$B$10,0),MATCH('Error Log'!$G401,Severity_Matrix!$C$2:$M$2,0)),"No errors"))</f>
        <v>Critical</v>
      </c>
    </row>
    <row r="402" spans="1:10">
      <c r="A402" s="79" t="s">
        <v>1033</v>
      </c>
      <c r="B402" s="18">
        <v>1</v>
      </c>
      <c r="C402" s="80" t="s">
        <v>875</v>
      </c>
      <c r="D402" s="80" t="s">
        <v>876</v>
      </c>
      <c r="E402" s="81" t="s">
        <v>21</v>
      </c>
      <c r="F402" s="81" t="s">
        <v>22</v>
      </c>
      <c r="G402" s="81" t="s">
        <v>57</v>
      </c>
      <c r="H402" s="81" t="s">
        <v>877</v>
      </c>
      <c r="I402" s="81"/>
      <c r="J402" s="15" t="str">
        <f>IF(E402="Invalid_Segment","Invalid",IFERROR(INDEX(Severity_Matrix!$C$3:$M$10,MATCH('Error Log'!$F402,Severity_Matrix!$B$3:$B$10,0),MATCH('Error Log'!$G402,Severity_Matrix!$C$2:$M$2,0)),"No errors"))</f>
        <v>Major</v>
      </c>
    </row>
    <row r="403" spans="1:10">
      <c r="A403" s="79" t="s">
        <v>1033</v>
      </c>
      <c r="B403" s="18">
        <v>2</v>
      </c>
      <c r="C403" s="80" t="s">
        <v>875</v>
      </c>
      <c r="D403" s="80" t="s">
        <v>876</v>
      </c>
      <c r="E403" s="81" t="s">
        <v>2</v>
      </c>
      <c r="F403" s="81" t="s">
        <v>26</v>
      </c>
      <c r="G403" s="81" t="s">
        <v>57</v>
      </c>
      <c r="H403" s="81" t="s">
        <v>878</v>
      </c>
      <c r="I403" s="81"/>
      <c r="J403" s="15" t="str">
        <f>IF(E403="Invalid_Segment","Invalid",IFERROR(INDEX(Severity_Matrix!$C$3:$M$10,MATCH('Error Log'!$F403,Severity_Matrix!$B$3:$B$10,0),MATCH('Error Log'!$G403,Severity_Matrix!$C$2:$M$2,0)),"No errors"))</f>
        <v>Major</v>
      </c>
    </row>
    <row r="404" spans="1:10">
      <c r="A404" s="79" t="s">
        <v>1033</v>
      </c>
      <c r="B404" s="18">
        <v>3</v>
      </c>
      <c r="C404" s="80" t="s">
        <v>875</v>
      </c>
      <c r="D404" s="80" t="s">
        <v>876</v>
      </c>
      <c r="E404" s="81" t="s">
        <v>21</v>
      </c>
      <c r="F404" s="81" t="s">
        <v>7</v>
      </c>
      <c r="G404" s="81" t="s">
        <v>57</v>
      </c>
      <c r="H404" s="81" t="s">
        <v>879</v>
      </c>
      <c r="I404" s="81"/>
      <c r="J404" s="15" t="str">
        <f>IF(E404="Invalid_Segment","Invalid",IFERROR(INDEX(Severity_Matrix!$C$3:$M$10,MATCH('Error Log'!$F404,Severity_Matrix!$B$3:$B$10,0),MATCH('Error Log'!$G404,Severity_Matrix!$C$2:$M$2,0)),"No errors"))</f>
        <v>Critical</v>
      </c>
    </row>
    <row r="405" spans="1:10">
      <c r="A405" s="79" t="s">
        <v>1033</v>
      </c>
      <c r="B405" s="18">
        <v>4</v>
      </c>
      <c r="C405" s="80" t="s">
        <v>875</v>
      </c>
      <c r="D405" s="80" t="s">
        <v>876</v>
      </c>
      <c r="E405" s="81" t="s">
        <v>21</v>
      </c>
      <c r="F405" s="81" t="s">
        <v>7</v>
      </c>
      <c r="G405" s="81" t="s">
        <v>57</v>
      </c>
      <c r="H405" s="81" t="s">
        <v>880</v>
      </c>
      <c r="I405" s="81"/>
      <c r="J405" s="15" t="str">
        <f>IF(E405="Invalid_Segment","Invalid",IFERROR(INDEX(Severity_Matrix!$C$3:$M$10,MATCH('Error Log'!$F405,Severity_Matrix!$B$3:$B$10,0),MATCH('Error Log'!$G405,Severity_Matrix!$C$2:$M$2,0)),"No errors"))</f>
        <v>Critical</v>
      </c>
    </row>
    <row r="406" spans="1:10">
      <c r="A406" s="79" t="s">
        <v>1039</v>
      </c>
      <c r="B406" s="18">
        <v>1</v>
      </c>
      <c r="C406" s="80" t="s">
        <v>881</v>
      </c>
      <c r="D406" s="80" t="s">
        <v>882</v>
      </c>
      <c r="E406" s="81" t="s">
        <v>21</v>
      </c>
      <c r="F406" s="81" t="s">
        <v>22</v>
      </c>
      <c r="G406" s="81" t="s">
        <v>57</v>
      </c>
      <c r="H406" s="81" t="s">
        <v>883</v>
      </c>
      <c r="I406" s="81"/>
      <c r="J406" s="15" t="str">
        <f>IF(E406="Invalid_Segment","Invalid",IFERROR(INDEX(Severity_Matrix!$C$3:$M$10,MATCH('Error Log'!$F406,Severity_Matrix!$B$3:$B$10,0),MATCH('Error Log'!$G406,Severity_Matrix!$C$2:$M$2,0)),"No errors"))</f>
        <v>Major</v>
      </c>
    </row>
    <row r="407" spans="1:10">
      <c r="A407" s="79" t="s">
        <v>1039</v>
      </c>
      <c r="B407" s="18">
        <v>2</v>
      </c>
      <c r="C407" s="80" t="s">
        <v>881</v>
      </c>
      <c r="D407" s="80" t="s">
        <v>882</v>
      </c>
      <c r="E407" s="81" t="s">
        <v>21</v>
      </c>
      <c r="F407" s="81" t="s">
        <v>7</v>
      </c>
      <c r="G407" s="81" t="s">
        <v>57</v>
      </c>
      <c r="H407" s="81" t="s">
        <v>884</v>
      </c>
      <c r="I407" s="81"/>
      <c r="J407" s="15" t="str">
        <f>IF(E407="Invalid_Segment","Invalid",IFERROR(INDEX(Severity_Matrix!$C$3:$M$10,MATCH('Error Log'!$F407,Severity_Matrix!$B$3:$B$10,0),MATCH('Error Log'!$G407,Severity_Matrix!$C$2:$M$2,0)),"No errors"))</f>
        <v>Critical</v>
      </c>
    </row>
    <row r="408" spans="1:10">
      <c r="A408" s="79" t="s">
        <v>1040</v>
      </c>
      <c r="B408" s="18">
        <v>1</v>
      </c>
      <c r="C408" s="80" t="s">
        <v>885</v>
      </c>
      <c r="D408" s="80" t="s">
        <v>886</v>
      </c>
      <c r="E408" s="81" t="s">
        <v>21</v>
      </c>
      <c r="F408" s="81" t="s">
        <v>22</v>
      </c>
      <c r="G408" s="81" t="s">
        <v>57</v>
      </c>
      <c r="H408" s="81" t="s">
        <v>887</v>
      </c>
      <c r="I408" s="81"/>
      <c r="J408" s="15" t="str">
        <f>IF(E408="Invalid_Segment","Invalid",IFERROR(INDEX(Severity_Matrix!$C$3:$M$10,MATCH('Error Log'!$F408,Severity_Matrix!$B$3:$B$10,0),MATCH('Error Log'!$G408,Severity_Matrix!$C$2:$M$2,0)),"No errors"))</f>
        <v>Major</v>
      </c>
    </row>
    <row r="409" spans="1:10">
      <c r="A409" s="79" t="s">
        <v>1040</v>
      </c>
      <c r="B409" s="18">
        <v>2</v>
      </c>
      <c r="C409" s="80" t="s">
        <v>885</v>
      </c>
      <c r="D409" s="80" t="s">
        <v>886</v>
      </c>
      <c r="E409" s="81" t="s">
        <v>21</v>
      </c>
      <c r="F409" s="81" t="s">
        <v>7</v>
      </c>
      <c r="G409" s="81" t="s">
        <v>57</v>
      </c>
      <c r="H409" s="81" t="s">
        <v>888</v>
      </c>
      <c r="I409" s="81"/>
      <c r="J409" s="15" t="str">
        <f>IF(E409="Invalid_Segment","Invalid",IFERROR(INDEX(Severity_Matrix!$C$3:$M$10,MATCH('Error Log'!$F409,Severity_Matrix!$B$3:$B$10,0),MATCH('Error Log'!$G409,Severity_Matrix!$C$2:$M$2,0)),"No errors"))</f>
        <v>Critical</v>
      </c>
    </row>
    <row r="410" spans="1:10">
      <c r="A410" s="79" t="s">
        <v>1041</v>
      </c>
      <c r="B410" s="18">
        <v>1</v>
      </c>
      <c r="C410" s="80" t="s">
        <v>889</v>
      </c>
      <c r="D410" s="80" t="s">
        <v>890</v>
      </c>
      <c r="E410" s="81" t="s">
        <v>21</v>
      </c>
      <c r="F410" s="81" t="s">
        <v>7</v>
      </c>
      <c r="G410" s="81" t="s">
        <v>57</v>
      </c>
      <c r="H410" s="81" t="s">
        <v>891</v>
      </c>
      <c r="I410" s="81"/>
      <c r="J410" s="15" t="str">
        <f>IF(E410="Invalid_Segment","Invalid",IFERROR(INDEX(Severity_Matrix!$C$3:$M$10,MATCH('Error Log'!$F410,Severity_Matrix!$B$3:$B$10,0),MATCH('Error Log'!$G410,Severity_Matrix!$C$2:$M$2,0)),"No errors"))</f>
        <v>Critical</v>
      </c>
    </row>
    <row r="411" spans="1:10">
      <c r="A411" s="79" t="s">
        <v>1042</v>
      </c>
      <c r="B411" s="18">
        <v>1</v>
      </c>
      <c r="C411" s="80" t="s">
        <v>892</v>
      </c>
      <c r="D411" s="80" t="s">
        <v>893</v>
      </c>
      <c r="E411" s="81" t="s">
        <v>21</v>
      </c>
      <c r="F411" s="81" t="s">
        <v>22</v>
      </c>
      <c r="G411" s="81" t="s">
        <v>57</v>
      </c>
      <c r="H411" s="81" t="s">
        <v>894</v>
      </c>
      <c r="I411" s="81"/>
      <c r="J411" s="15" t="str">
        <f>IF(E411="Invalid_Segment","Invalid",IFERROR(INDEX(Severity_Matrix!$C$3:$M$10,MATCH('Error Log'!$F411,Severity_Matrix!$B$3:$B$10,0),MATCH('Error Log'!$G411,Severity_Matrix!$C$2:$M$2,0)),"No errors"))</f>
        <v>Major</v>
      </c>
    </row>
    <row r="412" spans="1:10">
      <c r="A412" s="79" t="s">
        <v>1042</v>
      </c>
      <c r="B412" s="18">
        <v>2</v>
      </c>
      <c r="C412" s="80" t="s">
        <v>892</v>
      </c>
      <c r="D412" s="80" t="s">
        <v>893</v>
      </c>
      <c r="E412" s="81" t="s">
        <v>2</v>
      </c>
      <c r="F412" s="81" t="s">
        <v>26</v>
      </c>
      <c r="G412" s="81" t="s">
        <v>57</v>
      </c>
      <c r="H412" s="81" t="s">
        <v>894</v>
      </c>
      <c r="I412" s="81"/>
      <c r="J412" s="15" t="str">
        <f>IF(E412="Invalid_Segment","Invalid",IFERROR(INDEX(Severity_Matrix!$C$3:$M$10,MATCH('Error Log'!$F412,Severity_Matrix!$B$3:$B$10,0),MATCH('Error Log'!$G412,Severity_Matrix!$C$2:$M$2,0)),"No errors"))</f>
        <v>Major</v>
      </c>
    </row>
    <row r="413" spans="1:10">
      <c r="A413" s="79" t="s">
        <v>1042</v>
      </c>
      <c r="B413" s="18">
        <v>3</v>
      </c>
      <c r="C413" s="80" t="s">
        <v>892</v>
      </c>
      <c r="D413" s="80" t="s">
        <v>893</v>
      </c>
      <c r="E413" s="81" t="s">
        <v>21</v>
      </c>
      <c r="F413" s="81" t="s">
        <v>7</v>
      </c>
      <c r="G413" s="81" t="s">
        <v>57</v>
      </c>
      <c r="H413" s="81" t="s">
        <v>895</v>
      </c>
      <c r="I413" s="81"/>
      <c r="J413" s="15" t="str">
        <f>IF(E413="Invalid_Segment","Invalid",IFERROR(INDEX(Severity_Matrix!$C$3:$M$10,MATCH('Error Log'!$F413,Severity_Matrix!$B$3:$B$10,0),MATCH('Error Log'!$G413,Severity_Matrix!$C$2:$M$2,0)),"No errors"))</f>
        <v>Critical</v>
      </c>
    </row>
    <row r="414" spans="1:10">
      <c r="A414" s="79" t="s">
        <v>1042</v>
      </c>
      <c r="B414" s="18">
        <v>4</v>
      </c>
      <c r="C414" s="80" t="s">
        <v>892</v>
      </c>
      <c r="D414" s="80" t="s">
        <v>893</v>
      </c>
      <c r="E414" s="81" t="s">
        <v>21</v>
      </c>
      <c r="F414" s="81" t="s">
        <v>7</v>
      </c>
      <c r="G414" s="81" t="s">
        <v>57</v>
      </c>
      <c r="H414" s="81" t="s">
        <v>896</v>
      </c>
      <c r="I414" s="81"/>
      <c r="J414" s="15" t="str">
        <f>IF(E414="Invalid_Segment","Invalid",IFERROR(INDEX(Severity_Matrix!$C$3:$M$10,MATCH('Error Log'!$F414,Severity_Matrix!$B$3:$B$10,0),MATCH('Error Log'!$G414,Severity_Matrix!$C$2:$M$2,0)),"No errors"))</f>
        <v>Critical</v>
      </c>
    </row>
    <row r="415" spans="1:10">
      <c r="A415" s="79" t="s">
        <v>1043</v>
      </c>
      <c r="B415" s="18">
        <v>1</v>
      </c>
      <c r="C415" s="80" t="s">
        <v>897</v>
      </c>
      <c r="D415" s="80" t="s">
        <v>898</v>
      </c>
      <c r="E415" s="81" t="s">
        <v>21</v>
      </c>
      <c r="F415" s="81" t="s">
        <v>22</v>
      </c>
      <c r="G415" s="81" t="s">
        <v>57</v>
      </c>
      <c r="H415" s="81" t="s">
        <v>899</v>
      </c>
      <c r="I415" s="81"/>
      <c r="J415" s="15" t="str">
        <f>IF(E415="Invalid_Segment","Invalid",IFERROR(INDEX(Severity_Matrix!$C$3:$M$10,MATCH('Error Log'!$F415,Severity_Matrix!$B$3:$B$10,0),MATCH('Error Log'!$G415,Severity_Matrix!$C$2:$M$2,0)),"No errors"))</f>
        <v>Major</v>
      </c>
    </row>
    <row r="416" spans="1:10">
      <c r="A416" s="79" t="s">
        <v>1043</v>
      </c>
      <c r="B416" s="18">
        <v>2</v>
      </c>
      <c r="C416" s="80" t="s">
        <v>897</v>
      </c>
      <c r="D416" s="80" t="s">
        <v>898</v>
      </c>
      <c r="E416" s="81" t="s">
        <v>2</v>
      </c>
      <c r="F416" s="81" t="s">
        <v>26</v>
      </c>
      <c r="G416" s="81" t="s">
        <v>57</v>
      </c>
      <c r="H416" s="81" t="s">
        <v>900</v>
      </c>
      <c r="I416" s="81"/>
      <c r="J416" s="15" t="str">
        <f>IF(E416="Invalid_Segment","Invalid",IFERROR(INDEX(Severity_Matrix!$C$3:$M$10,MATCH('Error Log'!$F416,Severity_Matrix!$B$3:$B$10,0),MATCH('Error Log'!$G416,Severity_Matrix!$C$2:$M$2,0)),"No errors"))</f>
        <v>Major</v>
      </c>
    </row>
    <row r="417" spans="1:10">
      <c r="A417" s="79" t="s">
        <v>1043</v>
      </c>
      <c r="B417" s="18">
        <v>3</v>
      </c>
      <c r="C417" s="80" t="s">
        <v>897</v>
      </c>
      <c r="D417" s="80" t="s">
        <v>898</v>
      </c>
      <c r="E417" s="81" t="s">
        <v>21</v>
      </c>
      <c r="F417" s="81" t="s">
        <v>7</v>
      </c>
      <c r="G417" s="81" t="s">
        <v>28</v>
      </c>
      <c r="H417" s="81" t="s">
        <v>901</v>
      </c>
      <c r="I417" s="81"/>
      <c r="J417" s="15" t="str">
        <f>IF(E417="Invalid_Segment","Invalid",IFERROR(INDEX(Severity_Matrix!$C$3:$M$10,MATCH('Error Log'!$F417,Severity_Matrix!$B$3:$B$10,0),MATCH('Error Log'!$G417,Severity_Matrix!$C$2:$M$2,0)),"No errors"))</f>
        <v>Major</v>
      </c>
    </row>
    <row r="418" spans="1:10">
      <c r="A418" s="79" t="s">
        <v>1044</v>
      </c>
      <c r="B418" s="18">
        <v>1</v>
      </c>
      <c r="C418" s="80" t="s">
        <v>902</v>
      </c>
      <c r="D418" s="80" t="s">
        <v>903</v>
      </c>
      <c r="E418" s="81" t="s">
        <v>21</v>
      </c>
      <c r="F418" s="81" t="s">
        <v>22</v>
      </c>
      <c r="G418" s="81" t="s">
        <v>57</v>
      </c>
      <c r="H418" s="81" t="s">
        <v>904</v>
      </c>
      <c r="I418" s="81"/>
      <c r="J418" s="15" t="str">
        <f>IF(E418="Invalid_Segment","Invalid",IFERROR(INDEX(Severity_Matrix!$C$3:$M$10,MATCH('Error Log'!$F418,Severity_Matrix!$B$3:$B$10,0),MATCH('Error Log'!$G418,Severity_Matrix!$C$2:$M$2,0)),"No errors"))</f>
        <v>Major</v>
      </c>
    </row>
    <row r="419" spans="1:10">
      <c r="A419" s="79" t="s">
        <v>1044</v>
      </c>
      <c r="B419" s="18">
        <v>2</v>
      </c>
      <c r="C419" s="80" t="s">
        <v>902</v>
      </c>
      <c r="D419" s="80" t="s">
        <v>903</v>
      </c>
      <c r="E419" s="81" t="s">
        <v>2</v>
      </c>
      <c r="F419" s="81" t="s">
        <v>26</v>
      </c>
      <c r="G419" s="81" t="s">
        <v>57</v>
      </c>
      <c r="H419" s="81" t="s">
        <v>905</v>
      </c>
      <c r="I419" s="81"/>
      <c r="J419" s="15" t="str">
        <f>IF(E419="Invalid_Segment","Invalid",IFERROR(INDEX(Severity_Matrix!$C$3:$M$10,MATCH('Error Log'!$F419,Severity_Matrix!$B$3:$B$10,0),MATCH('Error Log'!$G419,Severity_Matrix!$C$2:$M$2,0)),"No errors"))</f>
        <v>Major</v>
      </c>
    </row>
    <row r="420" spans="1:10">
      <c r="A420" s="79" t="s">
        <v>1044</v>
      </c>
      <c r="B420" s="18">
        <v>3</v>
      </c>
      <c r="C420" s="80" t="s">
        <v>902</v>
      </c>
      <c r="D420" s="80" t="s">
        <v>903</v>
      </c>
      <c r="E420" s="81" t="s">
        <v>21</v>
      </c>
      <c r="F420" s="81" t="s">
        <v>7</v>
      </c>
      <c r="G420" s="81" t="s">
        <v>57</v>
      </c>
      <c r="H420" s="81" t="s">
        <v>906</v>
      </c>
      <c r="I420" s="81"/>
      <c r="J420" s="15" t="str">
        <f>IF(E420="Invalid_Segment","Invalid",IFERROR(INDEX(Severity_Matrix!$C$3:$M$10,MATCH('Error Log'!$F420,Severity_Matrix!$B$3:$B$10,0),MATCH('Error Log'!$G420,Severity_Matrix!$C$2:$M$2,0)),"No errors"))</f>
        <v>Critical</v>
      </c>
    </row>
    <row r="421" spans="1:10">
      <c r="A421" s="79" t="s">
        <v>1045</v>
      </c>
      <c r="B421" s="18">
        <v>1</v>
      </c>
      <c r="C421" s="80" t="s">
        <v>907</v>
      </c>
      <c r="D421" s="80" t="s">
        <v>908</v>
      </c>
      <c r="E421" s="81" t="s">
        <v>21</v>
      </c>
      <c r="F421" s="81" t="s">
        <v>22</v>
      </c>
      <c r="G421" s="81" t="s">
        <v>57</v>
      </c>
      <c r="H421" s="81" t="s">
        <v>909</v>
      </c>
      <c r="I421" s="81"/>
      <c r="J421" s="15" t="str">
        <f>IF(E421="Invalid_Segment","Invalid",IFERROR(INDEX(Severity_Matrix!$C$3:$M$10,MATCH('Error Log'!$F421,Severity_Matrix!$B$3:$B$10,0),MATCH('Error Log'!$G421,Severity_Matrix!$C$2:$M$2,0)),"No errors"))</f>
        <v>Major</v>
      </c>
    </row>
    <row r="422" spans="1:10">
      <c r="A422" s="79" t="s">
        <v>1045</v>
      </c>
      <c r="B422" s="18">
        <v>2</v>
      </c>
      <c r="C422" s="80" t="s">
        <v>907</v>
      </c>
      <c r="D422" s="80" t="s">
        <v>908</v>
      </c>
      <c r="E422" s="81" t="s">
        <v>21</v>
      </c>
      <c r="F422" s="81" t="s">
        <v>7</v>
      </c>
      <c r="G422" s="81" t="s">
        <v>57</v>
      </c>
      <c r="H422" s="81" t="s">
        <v>910</v>
      </c>
      <c r="I422" s="81"/>
      <c r="J422" s="15" t="str">
        <f>IF(E422="Invalid_Segment","Invalid",IFERROR(INDEX(Severity_Matrix!$C$3:$M$10,MATCH('Error Log'!$F422,Severity_Matrix!$B$3:$B$10,0),MATCH('Error Log'!$G422,Severity_Matrix!$C$2:$M$2,0)),"No errors"))</f>
        <v>Critical</v>
      </c>
    </row>
    <row r="423" spans="1:10">
      <c r="A423" s="79" t="s">
        <v>1045</v>
      </c>
      <c r="B423" s="18">
        <v>3</v>
      </c>
      <c r="C423" s="80" t="s">
        <v>907</v>
      </c>
      <c r="D423" s="80" t="s">
        <v>908</v>
      </c>
      <c r="E423" s="81" t="s">
        <v>21</v>
      </c>
      <c r="F423" s="81" t="s">
        <v>7</v>
      </c>
      <c r="G423" s="81" t="s">
        <v>57</v>
      </c>
      <c r="H423" s="81" t="s">
        <v>911</v>
      </c>
      <c r="I423" s="81"/>
      <c r="J423" s="15" t="str">
        <f>IF(E423="Invalid_Segment","Invalid",IFERROR(INDEX(Severity_Matrix!$C$3:$M$10,MATCH('Error Log'!$F423,Severity_Matrix!$B$3:$B$10,0),MATCH('Error Log'!$G423,Severity_Matrix!$C$2:$M$2,0)),"No errors"))</f>
        <v>Critical</v>
      </c>
    </row>
    <row r="424" spans="1:10">
      <c r="A424" s="79" t="s">
        <v>1046</v>
      </c>
      <c r="B424" s="18">
        <v>1</v>
      </c>
      <c r="C424" s="80" t="s">
        <v>912</v>
      </c>
      <c r="D424" s="80" t="s">
        <v>913</v>
      </c>
      <c r="E424" s="81" t="s">
        <v>21</v>
      </c>
      <c r="F424" s="81" t="s">
        <v>22</v>
      </c>
      <c r="G424" s="81" t="s">
        <v>57</v>
      </c>
      <c r="H424" s="81" t="s">
        <v>914</v>
      </c>
      <c r="I424" s="81"/>
      <c r="J424" s="15" t="str">
        <f>IF(E424="Invalid_Segment","Invalid",IFERROR(INDEX(Severity_Matrix!$C$3:$M$10,MATCH('Error Log'!$F424,Severity_Matrix!$B$3:$B$10,0),MATCH('Error Log'!$G424,Severity_Matrix!$C$2:$M$2,0)),"No errors"))</f>
        <v>Major</v>
      </c>
    </row>
    <row r="425" spans="1:10">
      <c r="A425" s="79" t="s">
        <v>1046</v>
      </c>
      <c r="B425" s="18">
        <v>2</v>
      </c>
      <c r="C425" s="80" t="s">
        <v>912</v>
      </c>
      <c r="D425" s="80" t="s">
        <v>913</v>
      </c>
      <c r="E425" s="81" t="s">
        <v>21</v>
      </c>
      <c r="F425" s="81" t="s">
        <v>22</v>
      </c>
      <c r="G425" s="81" t="s">
        <v>57</v>
      </c>
      <c r="H425" s="81" t="s">
        <v>915</v>
      </c>
      <c r="I425" s="81"/>
      <c r="J425" s="15" t="str">
        <f>IF(E425="Invalid_Segment","Invalid",IFERROR(INDEX(Severity_Matrix!$C$3:$M$10,MATCH('Error Log'!$F425,Severity_Matrix!$B$3:$B$10,0),MATCH('Error Log'!$G425,Severity_Matrix!$C$2:$M$2,0)),"No errors"))</f>
        <v>Major</v>
      </c>
    </row>
    <row r="426" spans="1:10">
      <c r="A426" s="79" t="s">
        <v>1046</v>
      </c>
      <c r="B426" s="18">
        <v>3</v>
      </c>
      <c r="C426" s="80" t="s">
        <v>912</v>
      </c>
      <c r="D426" s="80" t="s">
        <v>913</v>
      </c>
      <c r="E426" s="81" t="s">
        <v>2</v>
      </c>
      <c r="F426" s="81" t="s">
        <v>26</v>
      </c>
      <c r="G426" s="81" t="s">
        <v>57</v>
      </c>
      <c r="H426" s="81" t="s">
        <v>915</v>
      </c>
      <c r="I426" s="81"/>
      <c r="J426" s="15" t="str">
        <f>IF(E426="Invalid_Segment","Invalid",IFERROR(INDEX(Severity_Matrix!$C$3:$M$10,MATCH('Error Log'!$F426,Severity_Matrix!$B$3:$B$10,0),MATCH('Error Log'!$G426,Severity_Matrix!$C$2:$M$2,0)),"No errors"))</f>
        <v>Major</v>
      </c>
    </row>
    <row r="427" spans="1:10">
      <c r="A427" s="79" t="s">
        <v>1046</v>
      </c>
      <c r="B427" s="18">
        <v>4</v>
      </c>
      <c r="C427" s="80" t="s">
        <v>912</v>
      </c>
      <c r="D427" s="80" t="s">
        <v>913</v>
      </c>
      <c r="E427" s="81" t="s">
        <v>2</v>
      </c>
      <c r="F427" s="81" t="s">
        <v>26</v>
      </c>
      <c r="G427" s="81" t="s">
        <v>57</v>
      </c>
      <c r="H427" s="81" t="s">
        <v>915</v>
      </c>
      <c r="I427" s="81"/>
      <c r="J427" s="15" t="str">
        <f>IF(E427="Invalid_Segment","Invalid",IFERROR(INDEX(Severity_Matrix!$C$3:$M$10,MATCH('Error Log'!$F427,Severity_Matrix!$B$3:$B$10,0),MATCH('Error Log'!$G427,Severity_Matrix!$C$2:$M$2,0)),"No errors"))</f>
        <v>Major</v>
      </c>
    </row>
    <row r="428" spans="1:10">
      <c r="A428" s="79" t="s">
        <v>1046</v>
      </c>
      <c r="B428" s="18">
        <v>5</v>
      </c>
      <c r="C428" s="80" t="s">
        <v>912</v>
      </c>
      <c r="D428" s="80" t="s">
        <v>913</v>
      </c>
      <c r="E428" s="81" t="s">
        <v>2</v>
      </c>
      <c r="F428" s="81" t="s">
        <v>26</v>
      </c>
      <c r="G428" s="81" t="s">
        <v>57</v>
      </c>
      <c r="H428" s="81" t="s">
        <v>916</v>
      </c>
      <c r="I428" s="81"/>
      <c r="J428" s="15" t="str">
        <f>IF(E428="Invalid_Segment","Invalid",IFERROR(INDEX(Severity_Matrix!$C$3:$M$10,MATCH('Error Log'!$F428,Severity_Matrix!$B$3:$B$10,0),MATCH('Error Log'!$G428,Severity_Matrix!$C$2:$M$2,0)),"No errors"))</f>
        <v>Major</v>
      </c>
    </row>
    <row r="429" spans="1:10">
      <c r="A429" s="79" t="s">
        <v>1047</v>
      </c>
      <c r="B429" s="18">
        <v>1</v>
      </c>
      <c r="C429" s="80" t="s">
        <v>917</v>
      </c>
      <c r="D429" s="80" t="s">
        <v>918</v>
      </c>
      <c r="E429" s="81" t="s">
        <v>21</v>
      </c>
      <c r="F429" s="81" t="s">
        <v>7</v>
      </c>
      <c r="G429" s="81" t="s">
        <v>57</v>
      </c>
      <c r="H429" s="81" t="s">
        <v>919</v>
      </c>
      <c r="I429" s="81"/>
      <c r="J429" s="15" t="str">
        <f>IF(E429="Invalid_Segment","Invalid",IFERROR(INDEX(Severity_Matrix!$C$3:$M$10,MATCH('Error Log'!$F429,Severity_Matrix!$B$3:$B$10,0),MATCH('Error Log'!$G429,Severity_Matrix!$C$2:$M$2,0)),"No errors"))</f>
        <v>Critical</v>
      </c>
    </row>
    <row r="430" spans="1:10">
      <c r="A430" s="79" t="s">
        <v>1048</v>
      </c>
      <c r="B430" s="18">
        <v>1</v>
      </c>
      <c r="C430" s="80" t="s">
        <v>920</v>
      </c>
      <c r="D430" s="80" t="s">
        <v>921</v>
      </c>
      <c r="E430" s="81" t="s">
        <v>21</v>
      </c>
      <c r="F430" s="81" t="s">
        <v>22</v>
      </c>
      <c r="G430" s="81" t="s">
        <v>57</v>
      </c>
      <c r="H430" s="81" t="s">
        <v>922</v>
      </c>
      <c r="I430" s="81"/>
      <c r="J430" s="15" t="str">
        <f>IF(E430="Invalid_Segment","Invalid",IFERROR(INDEX(Severity_Matrix!$C$3:$M$10,MATCH('Error Log'!$F430,Severity_Matrix!$B$3:$B$10,0),MATCH('Error Log'!$G430,Severity_Matrix!$C$2:$M$2,0)),"No errors"))</f>
        <v>Major</v>
      </c>
    </row>
    <row r="431" spans="1:10">
      <c r="A431" s="79" t="s">
        <v>1048</v>
      </c>
      <c r="B431" s="18">
        <v>2</v>
      </c>
      <c r="C431" s="80" t="s">
        <v>920</v>
      </c>
      <c r="D431" s="80" t="s">
        <v>921</v>
      </c>
      <c r="E431" s="81" t="s">
        <v>21</v>
      </c>
      <c r="F431" s="81" t="s">
        <v>7</v>
      </c>
      <c r="G431" s="81" t="s">
        <v>57</v>
      </c>
      <c r="H431" s="81" t="s">
        <v>923</v>
      </c>
      <c r="I431" s="81"/>
      <c r="J431" s="15" t="str">
        <f>IF(E431="Invalid_Segment","Invalid",IFERROR(INDEX(Severity_Matrix!$C$3:$M$10,MATCH('Error Log'!$F431,Severity_Matrix!$B$3:$B$10,0),MATCH('Error Log'!$G431,Severity_Matrix!$C$2:$M$2,0)),"No errors"))</f>
        <v>Critical</v>
      </c>
    </row>
    <row r="432" spans="1:10">
      <c r="A432" s="79" t="s">
        <v>1048</v>
      </c>
      <c r="B432" s="18">
        <v>3</v>
      </c>
      <c r="C432" s="80" t="s">
        <v>920</v>
      </c>
      <c r="D432" s="80" t="s">
        <v>921</v>
      </c>
      <c r="E432" s="81" t="s">
        <v>21</v>
      </c>
      <c r="F432" s="81" t="s">
        <v>7</v>
      </c>
      <c r="G432" s="81" t="s">
        <v>57</v>
      </c>
      <c r="H432" s="81" t="s">
        <v>924</v>
      </c>
      <c r="I432" s="81"/>
      <c r="J432" s="15" t="str">
        <f>IF(E432="Invalid_Segment","Invalid",IFERROR(INDEX(Severity_Matrix!$C$3:$M$10,MATCH('Error Log'!$F432,Severity_Matrix!$B$3:$B$10,0),MATCH('Error Log'!$G432,Severity_Matrix!$C$2:$M$2,0)),"No errors"))</f>
        <v>Critical</v>
      </c>
    </row>
    <row r="433" spans="1:10">
      <c r="A433" s="79" t="s">
        <v>1049</v>
      </c>
      <c r="B433" s="18">
        <v>1</v>
      </c>
      <c r="C433" s="80" t="s">
        <v>925</v>
      </c>
      <c r="D433" s="80" t="s">
        <v>926</v>
      </c>
      <c r="E433" s="81" t="s">
        <v>21</v>
      </c>
      <c r="F433" s="81" t="s">
        <v>22</v>
      </c>
      <c r="G433" s="81" t="s">
        <v>57</v>
      </c>
      <c r="H433" s="81" t="s">
        <v>927</v>
      </c>
      <c r="I433" s="81"/>
      <c r="J433" s="15" t="str">
        <f>IF(E433="Invalid_Segment","Invalid",IFERROR(INDEX(Severity_Matrix!$C$3:$M$10,MATCH('Error Log'!$F433,Severity_Matrix!$B$3:$B$10,0),MATCH('Error Log'!$G433,Severity_Matrix!$C$2:$M$2,0)),"No errors"))</f>
        <v>Major</v>
      </c>
    </row>
    <row r="434" spans="1:10">
      <c r="A434" s="79" t="s">
        <v>1049</v>
      </c>
      <c r="B434" s="18">
        <v>2</v>
      </c>
      <c r="C434" s="80" t="s">
        <v>925</v>
      </c>
      <c r="D434" s="80" t="s">
        <v>926</v>
      </c>
      <c r="E434" s="81" t="s">
        <v>2</v>
      </c>
      <c r="F434" s="81" t="s">
        <v>26</v>
      </c>
      <c r="G434" s="81" t="s">
        <v>57</v>
      </c>
      <c r="H434" s="81" t="s">
        <v>928</v>
      </c>
      <c r="I434" s="81"/>
      <c r="J434" s="15" t="str">
        <f>IF(E434="Invalid_Segment","Invalid",IFERROR(INDEX(Severity_Matrix!$C$3:$M$10,MATCH('Error Log'!$F434,Severity_Matrix!$B$3:$B$10,0),MATCH('Error Log'!$G434,Severity_Matrix!$C$2:$M$2,0)),"No errors"))</f>
        <v>Major</v>
      </c>
    </row>
    <row r="435" spans="1:10">
      <c r="A435" s="79" t="s">
        <v>1049</v>
      </c>
      <c r="B435" s="18">
        <v>3</v>
      </c>
      <c r="C435" s="80" t="s">
        <v>925</v>
      </c>
      <c r="D435" s="80" t="s">
        <v>926</v>
      </c>
      <c r="E435" s="81" t="s">
        <v>21</v>
      </c>
      <c r="F435" s="81" t="s">
        <v>7</v>
      </c>
      <c r="G435" s="81" t="s">
        <v>57</v>
      </c>
      <c r="H435" s="81" t="s">
        <v>929</v>
      </c>
      <c r="I435" s="81"/>
      <c r="J435" s="15" t="str">
        <f>IF(E435="Invalid_Segment","Invalid",IFERROR(INDEX(Severity_Matrix!$C$3:$M$10,MATCH('Error Log'!$F435,Severity_Matrix!$B$3:$B$10,0),MATCH('Error Log'!$G435,Severity_Matrix!$C$2:$M$2,0)),"No errors"))</f>
        <v>Critical</v>
      </c>
    </row>
    <row r="436" spans="1:10">
      <c r="A436" s="79" t="s">
        <v>1049</v>
      </c>
      <c r="B436" s="18">
        <v>4</v>
      </c>
      <c r="C436" s="80" t="s">
        <v>925</v>
      </c>
      <c r="D436" s="80" t="s">
        <v>926</v>
      </c>
      <c r="E436" s="81" t="s">
        <v>21</v>
      </c>
      <c r="F436" s="81" t="s">
        <v>7</v>
      </c>
      <c r="G436" s="81" t="s">
        <v>57</v>
      </c>
      <c r="H436" s="81" t="s">
        <v>930</v>
      </c>
      <c r="I436" s="81"/>
      <c r="J436" s="15" t="str">
        <f>IF(E436="Invalid_Segment","Invalid",IFERROR(INDEX(Severity_Matrix!$C$3:$M$10,MATCH('Error Log'!$F436,Severity_Matrix!$B$3:$B$10,0),MATCH('Error Log'!$G436,Severity_Matrix!$C$2:$M$2,0)),"No errors"))</f>
        <v>Critical</v>
      </c>
    </row>
    <row r="437" spans="1:10">
      <c r="A437" s="79" t="s">
        <v>1050</v>
      </c>
      <c r="B437" s="18">
        <v>1</v>
      </c>
      <c r="C437" s="80" t="s">
        <v>931</v>
      </c>
      <c r="D437" s="80" t="s">
        <v>932</v>
      </c>
      <c r="E437" s="81" t="s">
        <v>21</v>
      </c>
      <c r="F437" s="81" t="s">
        <v>22</v>
      </c>
      <c r="G437" s="81" t="s">
        <v>57</v>
      </c>
      <c r="H437" s="81" t="s">
        <v>933</v>
      </c>
      <c r="I437" s="81"/>
      <c r="J437" s="15" t="str">
        <f>IF(E437="Invalid_Segment","Invalid",IFERROR(INDEX(Severity_Matrix!$C$3:$M$10,MATCH('Error Log'!$F437,Severity_Matrix!$B$3:$B$10,0),MATCH('Error Log'!$G437,Severity_Matrix!$C$2:$M$2,0)),"No errors"))</f>
        <v>Major</v>
      </c>
    </row>
    <row r="438" spans="1:10">
      <c r="A438" s="79" t="s">
        <v>1050</v>
      </c>
      <c r="B438" s="18">
        <v>2</v>
      </c>
      <c r="C438" s="80" t="s">
        <v>931</v>
      </c>
      <c r="D438" s="80" t="s">
        <v>932</v>
      </c>
      <c r="E438" s="81" t="s">
        <v>2</v>
      </c>
      <c r="F438" s="81" t="s">
        <v>26</v>
      </c>
      <c r="G438" s="81" t="s">
        <v>57</v>
      </c>
      <c r="H438" s="81" t="s">
        <v>934</v>
      </c>
      <c r="I438" s="81"/>
      <c r="J438" s="15" t="str">
        <f>IF(E438="Invalid_Segment","Invalid",IFERROR(INDEX(Severity_Matrix!$C$3:$M$10,MATCH('Error Log'!$F438,Severity_Matrix!$B$3:$B$10,0),MATCH('Error Log'!$G438,Severity_Matrix!$C$2:$M$2,0)),"No errors"))</f>
        <v>Major</v>
      </c>
    </row>
    <row r="439" spans="1:10">
      <c r="A439" s="79" t="s">
        <v>1050</v>
      </c>
      <c r="B439" s="18">
        <v>3</v>
      </c>
      <c r="C439" s="80" t="s">
        <v>931</v>
      </c>
      <c r="D439" s="80" t="s">
        <v>932</v>
      </c>
      <c r="E439" s="81" t="s">
        <v>2</v>
      </c>
      <c r="F439" s="81" t="s">
        <v>26</v>
      </c>
      <c r="G439" s="81" t="s">
        <v>57</v>
      </c>
      <c r="H439" s="81" t="s">
        <v>935</v>
      </c>
      <c r="I439" s="81"/>
      <c r="J439" s="15" t="str">
        <f>IF(E439="Invalid_Segment","Invalid",IFERROR(INDEX(Severity_Matrix!$C$3:$M$10,MATCH('Error Log'!$F439,Severity_Matrix!$B$3:$B$10,0),MATCH('Error Log'!$G439,Severity_Matrix!$C$2:$M$2,0)),"No errors"))</f>
        <v>Major</v>
      </c>
    </row>
    <row r="440" spans="1:10">
      <c r="A440" s="79" t="s">
        <v>1050</v>
      </c>
      <c r="B440" s="18">
        <v>4</v>
      </c>
      <c r="C440" s="80" t="s">
        <v>931</v>
      </c>
      <c r="D440" s="80" t="s">
        <v>932</v>
      </c>
      <c r="E440" s="81" t="s">
        <v>21</v>
      </c>
      <c r="F440" s="81" t="s">
        <v>7</v>
      </c>
      <c r="G440" s="81" t="s">
        <v>57</v>
      </c>
      <c r="H440" s="81" t="s">
        <v>936</v>
      </c>
      <c r="I440" s="81"/>
      <c r="J440" s="15" t="str">
        <f>IF(E440="Invalid_Segment","Invalid",IFERROR(INDEX(Severity_Matrix!$C$3:$M$10,MATCH('Error Log'!$F440,Severity_Matrix!$B$3:$B$10,0),MATCH('Error Log'!$G440,Severity_Matrix!$C$2:$M$2,0)),"No errors"))</f>
        <v>Critical</v>
      </c>
    </row>
    <row r="441" spans="1:10">
      <c r="A441" s="79" t="s">
        <v>1050</v>
      </c>
      <c r="B441" s="18">
        <v>5</v>
      </c>
      <c r="C441" s="80" t="s">
        <v>931</v>
      </c>
      <c r="D441" s="80" t="s">
        <v>932</v>
      </c>
      <c r="E441" s="81" t="s">
        <v>21</v>
      </c>
      <c r="F441" s="81" t="s">
        <v>7</v>
      </c>
      <c r="G441" s="81" t="s">
        <v>57</v>
      </c>
      <c r="H441" s="81" t="s">
        <v>937</v>
      </c>
      <c r="I441" s="81"/>
      <c r="J441" s="15" t="str">
        <f>IF(E441="Invalid_Segment","Invalid",IFERROR(INDEX(Severity_Matrix!$C$3:$M$10,MATCH('Error Log'!$F441,Severity_Matrix!$B$3:$B$10,0),MATCH('Error Log'!$G441,Severity_Matrix!$C$2:$M$2,0)),"No errors"))</f>
        <v>Critical</v>
      </c>
    </row>
    <row r="442" spans="1:10">
      <c r="A442" s="79" t="s">
        <v>1051</v>
      </c>
      <c r="B442" s="18">
        <v>1</v>
      </c>
      <c r="C442" s="80" t="s">
        <v>938</v>
      </c>
      <c r="D442" s="80" t="s">
        <v>939</v>
      </c>
      <c r="E442" s="81" t="s">
        <v>21</v>
      </c>
      <c r="F442" s="81" t="s">
        <v>22</v>
      </c>
      <c r="G442" s="81" t="s">
        <v>57</v>
      </c>
      <c r="H442" s="81" t="s">
        <v>940</v>
      </c>
      <c r="I442" s="81"/>
      <c r="J442" s="15" t="str">
        <f>IF(E442="Invalid_Segment","Invalid",IFERROR(INDEX(Severity_Matrix!$C$3:$M$10,MATCH('Error Log'!$F442,Severity_Matrix!$B$3:$B$10,0),MATCH('Error Log'!$G442,Severity_Matrix!$C$2:$M$2,0)),"No errors"))</f>
        <v>Major</v>
      </c>
    </row>
    <row r="443" spans="1:10">
      <c r="A443" s="79" t="s">
        <v>1051</v>
      </c>
      <c r="B443" s="18">
        <v>2</v>
      </c>
      <c r="C443" s="80" t="s">
        <v>938</v>
      </c>
      <c r="D443" s="80" t="s">
        <v>939</v>
      </c>
      <c r="E443" s="81" t="s">
        <v>21</v>
      </c>
      <c r="F443" s="81" t="s">
        <v>7</v>
      </c>
      <c r="G443" s="81" t="s">
        <v>57</v>
      </c>
      <c r="H443" s="81" t="s">
        <v>941</v>
      </c>
      <c r="I443" s="81"/>
      <c r="J443" s="15" t="str">
        <f>IF(E443="Invalid_Segment","Invalid",IFERROR(INDEX(Severity_Matrix!$C$3:$M$10,MATCH('Error Log'!$F443,Severity_Matrix!$B$3:$B$10,0),MATCH('Error Log'!$G443,Severity_Matrix!$C$2:$M$2,0)),"No errors"))</f>
        <v>Critical</v>
      </c>
    </row>
    <row r="444" spans="1:10">
      <c r="A444" s="79" t="s">
        <v>1052</v>
      </c>
      <c r="B444" s="18">
        <v>1</v>
      </c>
      <c r="C444" s="80" t="s">
        <v>942</v>
      </c>
      <c r="D444" s="80" t="s">
        <v>943</v>
      </c>
      <c r="E444" s="81" t="s">
        <v>2</v>
      </c>
      <c r="F444" s="81" t="s">
        <v>26</v>
      </c>
      <c r="G444" s="81" t="s">
        <v>57</v>
      </c>
      <c r="H444" s="81" t="s">
        <v>944</v>
      </c>
      <c r="I444" s="81"/>
      <c r="J444" s="15" t="str">
        <f>IF(E444="Invalid_Segment","Invalid",IFERROR(INDEX(Severity_Matrix!$C$3:$M$10,MATCH('Error Log'!$F444,Severity_Matrix!$B$3:$B$10,0),MATCH('Error Log'!$G444,Severity_Matrix!$C$2:$M$2,0)),"No errors"))</f>
        <v>Major</v>
      </c>
    </row>
    <row r="445" spans="1:10">
      <c r="A445" s="79" t="s">
        <v>1052</v>
      </c>
      <c r="B445" s="18">
        <v>2</v>
      </c>
      <c r="C445" s="80" t="s">
        <v>942</v>
      </c>
      <c r="D445" s="80" t="s">
        <v>943</v>
      </c>
      <c r="E445" s="81" t="s">
        <v>21</v>
      </c>
      <c r="F445" s="81" t="s">
        <v>7</v>
      </c>
      <c r="G445" s="81" t="s">
        <v>57</v>
      </c>
      <c r="H445" s="81" t="s">
        <v>945</v>
      </c>
      <c r="I445" s="81"/>
      <c r="J445" s="15" t="str">
        <f>IF(E445="Invalid_Segment","Invalid",IFERROR(INDEX(Severity_Matrix!$C$3:$M$10,MATCH('Error Log'!$F445,Severity_Matrix!$B$3:$B$10,0),MATCH('Error Log'!$G445,Severity_Matrix!$C$2:$M$2,0)),"No errors"))</f>
        <v>Critical</v>
      </c>
    </row>
    <row r="446" spans="1:10">
      <c r="A446" s="79" t="s">
        <v>1053</v>
      </c>
      <c r="B446" s="18">
        <v>1</v>
      </c>
      <c r="C446" s="80" t="s">
        <v>946</v>
      </c>
      <c r="D446" s="80" t="s">
        <v>947</v>
      </c>
      <c r="E446" s="81" t="s">
        <v>2</v>
      </c>
      <c r="F446" s="81" t="s">
        <v>26</v>
      </c>
      <c r="G446" s="81" t="s">
        <v>57</v>
      </c>
      <c r="H446" s="81" t="s">
        <v>948</v>
      </c>
      <c r="I446" s="81"/>
      <c r="J446" s="15" t="str">
        <f>IF(E446="Invalid_Segment","Invalid",IFERROR(INDEX(Severity_Matrix!$C$3:$M$10,MATCH('Error Log'!$F446,Severity_Matrix!$B$3:$B$10,0),MATCH('Error Log'!$G446,Severity_Matrix!$C$2:$M$2,0)),"No errors"))</f>
        <v>Major</v>
      </c>
    </row>
    <row r="447" spans="1:10">
      <c r="A447" s="79" t="s">
        <v>1053</v>
      </c>
      <c r="B447" s="18">
        <v>2</v>
      </c>
      <c r="C447" s="80" t="s">
        <v>946</v>
      </c>
      <c r="D447" s="80" t="s">
        <v>947</v>
      </c>
      <c r="E447" s="81" t="s">
        <v>2</v>
      </c>
      <c r="F447" s="81" t="s">
        <v>26</v>
      </c>
      <c r="G447" s="81" t="s">
        <v>57</v>
      </c>
      <c r="H447" s="81" t="s">
        <v>948</v>
      </c>
      <c r="I447" s="81"/>
      <c r="J447" s="15" t="str">
        <f>IF(E447="Invalid_Segment","Invalid",IFERROR(INDEX(Severity_Matrix!$C$3:$M$10,MATCH('Error Log'!$F447,Severity_Matrix!$B$3:$B$10,0),MATCH('Error Log'!$G447,Severity_Matrix!$C$2:$M$2,0)),"No errors"))</f>
        <v>Major</v>
      </c>
    </row>
    <row r="448" spans="1:10">
      <c r="A448" s="79" t="s">
        <v>1053</v>
      </c>
      <c r="B448" s="18">
        <v>3</v>
      </c>
      <c r="C448" s="80" t="s">
        <v>946</v>
      </c>
      <c r="D448" s="80" t="s">
        <v>947</v>
      </c>
      <c r="E448" s="81" t="s">
        <v>21</v>
      </c>
      <c r="F448" s="81" t="s">
        <v>22</v>
      </c>
      <c r="G448" s="81" t="s">
        <v>28</v>
      </c>
      <c r="H448" s="81" t="s">
        <v>949</v>
      </c>
      <c r="I448" s="81"/>
      <c r="J448" s="15" t="str">
        <f>IF(E448="Invalid_Segment","Invalid",IFERROR(INDEX(Severity_Matrix!$C$3:$M$10,MATCH('Error Log'!$F448,Severity_Matrix!$B$3:$B$10,0),MATCH('Error Log'!$G448,Severity_Matrix!$C$2:$M$2,0)),"No errors"))</f>
        <v>Major</v>
      </c>
    </row>
    <row r="449" spans="1:10">
      <c r="A449" s="79" t="s">
        <v>1053</v>
      </c>
      <c r="B449" s="18">
        <v>4</v>
      </c>
      <c r="C449" s="80" t="s">
        <v>946</v>
      </c>
      <c r="D449" s="80" t="s">
        <v>947</v>
      </c>
      <c r="E449" s="81" t="s">
        <v>21</v>
      </c>
      <c r="F449" s="81" t="s">
        <v>63</v>
      </c>
      <c r="G449" s="81" t="s">
        <v>54</v>
      </c>
      <c r="H449" s="81" t="s">
        <v>950</v>
      </c>
      <c r="I449" s="81"/>
      <c r="J449" s="15" t="str">
        <f>IF(E449="Invalid_Segment","Invalid",IFERROR(INDEX(Severity_Matrix!$C$3:$M$10,MATCH('Error Log'!$F449,Severity_Matrix!$B$3:$B$10,0),MATCH('Error Log'!$G449,Severity_Matrix!$C$2:$M$2,0)),"No errors"))</f>
        <v>Critical</v>
      </c>
    </row>
    <row r="450" spans="1:10">
      <c r="A450" s="79" t="s">
        <v>1053</v>
      </c>
      <c r="B450" s="18">
        <v>5</v>
      </c>
      <c r="C450" s="80" t="s">
        <v>946</v>
      </c>
      <c r="D450" s="80" t="s">
        <v>947</v>
      </c>
      <c r="E450" s="81" t="s">
        <v>21</v>
      </c>
      <c r="F450" s="81" t="s">
        <v>22</v>
      </c>
      <c r="G450" s="81" t="s">
        <v>57</v>
      </c>
      <c r="H450" s="81" t="s">
        <v>951</v>
      </c>
      <c r="I450" s="81"/>
      <c r="J450" s="15" t="str">
        <f>IF(E450="Invalid_Segment","Invalid",IFERROR(INDEX(Severity_Matrix!$C$3:$M$10,MATCH('Error Log'!$F450,Severity_Matrix!$B$3:$B$10,0),MATCH('Error Log'!$G450,Severity_Matrix!$C$2:$M$2,0)),"No errors"))</f>
        <v>Major</v>
      </c>
    </row>
    <row r="451" spans="1:10">
      <c r="A451" s="87" t="s">
        <v>1054</v>
      </c>
      <c r="B451" s="18">
        <v>1</v>
      </c>
      <c r="C451" s="78" t="s">
        <v>952</v>
      </c>
      <c r="D451" s="78" t="s">
        <v>953</v>
      </c>
      <c r="E451" s="81" t="s">
        <v>21</v>
      </c>
      <c r="F451" s="81" t="s">
        <v>22</v>
      </c>
      <c r="G451" s="81" t="s">
        <v>57</v>
      </c>
      <c r="H451" s="81" t="s">
        <v>954</v>
      </c>
      <c r="I451" s="81"/>
      <c r="J451" s="15" t="str">
        <f>IF(E451="Invalid_Segment","Invalid",IFERROR(INDEX(Severity_Matrix!$C$3:$M$10,MATCH('Error Log'!$F451,Severity_Matrix!$B$3:$B$10,0),MATCH('Error Log'!$G451,Severity_Matrix!$C$2:$M$2,0)),"No errors"))</f>
        <v>Major</v>
      </c>
    </row>
    <row r="452" spans="1:10">
      <c r="A452" s="87" t="s">
        <v>1054</v>
      </c>
      <c r="B452" s="18">
        <v>2</v>
      </c>
      <c r="C452" s="78" t="s">
        <v>952</v>
      </c>
      <c r="D452" s="78" t="s">
        <v>953</v>
      </c>
      <c r="E452" s="81" t="s">
        <v>21</v>
      </c>
      <c r="F452" s="81" t="s">
        <v>7</v>
      </c>
      <c r="G452" s="81" t="s">
        <v>57</v>
      </c>
      <c r="H452" s="81" t="s">
        <v>955</v>
      </c>
      <c r="I452" s="81"/>
      <c r="J452" s="15" t="str">
        <f>IF(E452="Invalid_Segment","Invalid",IFERROR(INDEX(Severity_Matrix!$C$3:$M$10,MATCH('Error Log'!$F452,Severity_Matrix!$B$3:$B$10,0),MATCH('Error Log'!$G452,Severity_Matrix!$C$2:$M$2,0)),"No errors"))</f>
        <v>Critical</v>
      </c>
    </row>
    <row r="453" spans="1:10">
      <c r="A453" s="87" t="s">
        <v>1055</v>
      </c>
      <c r="B453" s="18">
        <v>1</v>
      </c>
      <c r="C453" s="78" t="s">
        <v>956</v>
      </c>
      <c r="D453" s="78" t="s">
        <v>957</v>
      </c>
      <c r="E453" s="81"/>
      <c r="F453" s="81"/>
      <c r="G453" s="81"/>
      <c r="H453" s="81"/>
      <c r="I453" s="81"/>
      <c r="J453" s="15" t="str">
        <f>IF(E453="Invalid_Segment","Invalid",IFERROR(INDEX(Severity_Matrix!$C$3:$M$10,MATCH('Error Log'!$F453,Severity_Matrix!$B$3:$B$10,0),MATCH('Error Log'!$G453,Severity_Matrix!$C$2:$M$2,0)),"No errors"))</f>
        <v>No errors</v>
      </c>
    </row>
    <row r="454" spans="1:10">
      <c r="A454" s="87" t="s">
        <v>1056</v>
      </c>
      <c r="B454" s="18">
        <v>1</v>
      </c>
      <c r="C454" s="78" t="s">
        <v>958</v>
      </c>
      <c r="D454" s="78" t="s">
        <v>959</v>
      </c>
      <c r="E454" s="81" t="s">
        <v>21</v>
      </c>
      <c r="F454" s="81" t="s">
        <v>7</v>
      </c>
      <c r="G454" s="81" t="s">
        <v>28</v>
      </c>
      <c r="H454" s="86" t="s">
        <v>960</v>
      </c>
      <c r="I454" s="81"/>
      <c r="J454" s="15" t="str">
        <f>IF(E454="Invalid_Segment","Invalid",IFERROR(INDEX(Severity_Matrix!$C$3:$M$10,MATCH('Error Log'!$F454,Severity_Matrix!$B$3:$B$10,0),MATCH('Error Log'!$G454,Severity_Matrix!$C$2:$M$2,0)),"No errors"))</f>
        <v>Major</v>
      </c>
    </row>
    <row r="455" spans="1:10">
      <c r="A455" s="87" t="s">
        <v>1057</v>
      </c>
      <c r="B455" s="18">
        <v>1</v>
      </c>
      <c r="C455" s="78" t="s">
        <v>961</v>
      </c>
      <c r="D455" s="78" t="s">
        <v>962</v>
      </c>
      <c r="E455" s="81" t="s">
        <v>21</v>
      </c>
      <c r="F455" s="81" t="s">
        <v>22</v>
      </c>
      <c r="G455" s="81" t="s">
        <v>57</v>
      </c>
      <c r="H455" s="81" t="s">
        <v>963</v>
      </c>
      <c r="I455" s="81"/>
      <c r="J455" s="15" t="str">
        <f>IF(E455="Invalid_Segment","Invalid",IFERROR(INDEX(Severity_Matrix!$C$3:$M$10,MATCH('Error Log'!$F455,Severity_Matrix!$B$3:$B$10,0),MATCH('Error Log'!$G455,Severity_Matrix!$C$2:$M$2,0)),"No errors"))</f>
        <v>Major</v>
      </c>
    </row>
    <row r="456" spans="1:10">
      <c r="A456" s="87" t="s">
        <v>1057</v>
      </c>
      <c r="B456" s="18">
        <v>2</v>
      </c>
      <c r="C456" s="78" t="s">
        <v>961</v>
      </c>
      <c r="D456" s="78" t="s">
        <v>962</v>
      </c>
      <c r="E456" s="81" t="s">
        <v>2</v>
      </c>
      <c r="F456" s="81" t="s">
        <v>26</v>
      </c>
      <c r="G456" s="81" t="s">
        <v>57</v>
      </c>
      <c r="H456" s="81" t="s">
        <v>964</v>
      </c>
      <c r="I456" s="81"/>
      <c r="J456" s="15" t="str">
        <f>IF(E456="Invalid_Segment","Invalid",IFERROR(INDEX(Severity_Matrix!$C$3:$M$10,MATCH('Error Log'!$F456,Severity_Matrix!$B$3:$B$10,0),MATCH('Error Log'!$G456,Severity_Matrix!$C$2:$M$2,0)),"No errors"))</f>
        <v>Major</v>
      </c>
    </row>
    <row r="457" spans="1:10">
      <c r="A457" s="87" t="s">
        <v>1057</v>
      </c>
      <c r="B457" s="18">
        <v>3</v>
      </c>
      <c r="C457" s="78" t="s">
        <v>961</v>
      </c>
      <c r="D457" s="78" t="s">
        <v>962</v>
      </c>
      <c r="E457" s="81" t="s">
        <v>2</v>
      </c>
      <c r="F457" s="81" t="s">
        <v>26</v>
      </c>
      <c r="G457" s="81" t="s">
        <v>57</v>
      </c>
      <c r="H457" s="81" t="s">
        <v>964</v>
      </c>
      <c r="I457" s="81"/>
      <c r="J457" s="15" t="str">
        <f>IF(E457="Invalid_Segment","Invalid",IFERROR(INDEX(Severity_Matrix!$C$3:$M$10,MATCH('Error Log'!$F457,Severity_Matrix!$B$3:$B$10,0),MATCH('Error Log'!$G457,Severity_Matrix!$C$2:$M$2,0)),"No errors"))</f>
        <v>Major</v>
      </c>
    </row>
    <row r="458" spans="1:10">
      <c r="A458" s="87" t="s">
        <v>1057</v>
      </c>
      <c r="B458" s="18">
        <v>4</v>
      </c>
      <c r="C458" s="78" t="s">
        <v>961</v>
      </c>
      <c r="D458" s="78" t="s">
        <v>962</v>
      </c>
      <c r="E458" s="81" t="s">
        <v>21</v>
      </c>
      <c r="F458" s="81" t="s">
        <v>7</v>
      </c>
      <c r="G458" s="81" t="s">
        <v>57</v>
      </c>
      <c r="H458" s="81" t="s">
        <v>965</v>
      </c>
      <c r="I458" s="81"/>
      <c r="J458" s="15" t="str">
        <f>IF(E458="Invalid_Segment","Invalid",IFERROR(INDEX(Severity_Matrix!$C$3:$M$10,MATCH('Error Log'!$F458,Severity_Matrix!$B$3:$B$10,0),MATCH('Error Log'!$G458,Severity_Matrix!$C$2:$M$2,0)),"No errors"))</f>
        <v>Critical</v>
      </c>
    </row>
    <row r="459" spans="1:10">
      <c r="A459" s="87" t="s">
        <v>1057</v>
      </c>
      <c r="B459" s="18">
        <v>5</v>
      </c>
      <c r="C459" s="78" t="s">
        <v>961</v>
      </c>
      <c r="D459" s="78" t="s">
        <v>962</v>
      </c>
      <c r="E459" s="81" t="s">
        <v>21</v>
      </c>
      <c r="F459" s="81" t="s">
        <v>7</v>
      </c>
      <c r="G459" s="81" t="s">
        <v>57</v>
      </c>
      <c r="H459" s="81" t="s">
        <v>966</v>
      </c>
      <c r="I459" s="81"/>
      <c r="J459" s="15" t="str">
        <f>IF(E459="Invalid_Segment","Invalid",IFERROR(INDEX(Severity_Matrix!$C$3:$M$10,MATCH('Error Log'!$F459,Severity_Matrix!$B$3:$B$10,0),MATCH('Error Log'!$G459,Severity_Matrix!$C$2:$M$2,0)),"No errors"))</f>
        <v>Critical</v>
      </c>
    </row>
    <row r="460" spans="1:10">
      <c r="A460" s="87" t="s">
        <v>1057</v>
      </c>
      <c r="B460" s="18">
        <v>6</v>
      </c>
      <c r="C460" s="78" t="s">
        <v>961</v>
      </c>
      <c r="D460" s="78" t="s">
        <v>962</v>
      </c>
      <c r="E460" s="81" t="s">
        <v>21</v>
      </c>
      <c r="F460" s="81" t="s">
        <v>7</v>
      </c>
      <c r="G460" s="81" t="s">
        <v>57</v>
      </c>
      <c r="H460" s="81" t="s">
        <v>967</v>
      </c>
      <c r="I460" s="81"/>
      <c r="J460" s="15" t="str">
        <f>IF(E460="Invalid_Segment","Invalid",IFERROR(INDEX(Severity_Matrix!$C$3:$M$10,MATCH('Error Log'!$F460,Severity_Matrix!$B$3:$B$10,0),MATCH('Error Log'!$G460,Severity_Matrix!$C$2:$M$2,0)),"No errors"))</f>
        <v>Critical</v>
      </c>
    </row>
    <row r="461" spans="1:10">
      <c r="A461" s="87" t="s">
        <v>1058</v>
      </c>
      <c r="B461" s="18">
        <v>1</v>
      </c>
      <c r="C461" s="78" t="s">
        <v>968</v>
      </c>
      <c r="D461" s="78" t="s">
        <v>969</v>
      </c>
      <c r="E461" s="81"/>
      <c r="F461" s="81"/>
      <c r="G461" s="81"/>
      <c r="H461" s="81"/>
      <c r="I461" s="81"/>
      <c r="J461" s="15" t="str">
        <f>IF(E461="Invalid_Segment","Invalid",IFERROR(INDEX(Severity_Matrix!$C$3:$M$10,MATCH('Error Log'!$F461,Severity_Matrix!$B$3:$B$10,0),MATCH('Error Log'!$G461,Severity_Matrix!$C$2:$M$2,0)),"No errors"))</f>
        <v>No errors</v>
      </c>
    </row>
    <row r="462" spans="1:10">
      <c r="A462" s="87" t="s">
        <v>1059</v>
      </c>
      <c r="B462" s="18">
        <v>1</v>
      </c>
      <c r="C462" s="78" t="s">
        <v>970</v>
      </c>
      <c r="D462" s="78" t="s">
        <v>971</v>
      </c>
      <c r="E462" s="81" t="s">
        <v>2</v>
      </c>
      <c r="F462" s="81" t="s">
        <v>26</v>
      </c>
      <c r="G462" s="81" t="s">
        <v>57</v>
      </c>
      <c r="H462" s="81" t="s">
        <v>972</v>
      </c>
      <c r="I462" s="81"/>
      <c r="J462" s="15" t="str">
        <f>IF(E462="Invalid_Segment","Invalid",IFERROR(INDEX(Severity_Matrix!$C$3:$M$10,MATCH('Error Log'!$F462,Severity_Matrix!$B$3:$B$10,0),MATCH('Error Log'!$G462,Severity_Matrix!$C$2:$M$2,0)),"No errors"))</f>
        <v>Major</v>
      </c>
    </row>
    <row r="463" spans="1:10">
      <c r="A463" s="87" t="s">
        <v>1059</v>
      </c>
      <c r="B463" s="18">
        <v>2</v>
      </c>
      <c r="C463" s="78" t="s">
        <v>970</v>
      </c>
      <c r="D463" s="78" t="s">
        <v>971</v>
      </c>
      <c r="E463" s="81" t="s">
        <v>21</v>
      </c>
      <c r="F463" s="81" t="s">
        <v>22</v>
      </c>
      <c r="G463" s="81" t="s">
        <v>57</v>
      </c>
      <c r="H463" s="81" t="s">
        <v>973</v>
      </c>
      <c r="I463" s="81"/>
      <c r="J463" s="15" t="str">
        <f>IF(E463="Invalid_Segment","Invalid",IFERROR(INDEX(Severity_Matrix!$C$3:$M$10,MATCH('Error Log'!$F463,Severity_Matrix!$B$3:$B$10,0),MATCH('Error Log'!$G463,Severity_Matrix!$C$2:$M$2,0)),"No errors"))</f>
        <v>Major</v>
      </c>
    </row>
    <row r="464" spans="1:10">
      <c r="A464" s="87" t="s">
        <v>1059</v>
      </c>
      <c r="B464" s="18">
        <v>3</v>
      </c>
      <c r="C464" s="78" t="s">
        <v>970</v>
      </c>
      <c r="D464" s="78" t="s">
        <v>971</v>
      </c>
      <c r="E464" s="81" t="s">
        <v>21</v>
      </c>
      <c r="F464" s="81" t="s">
        <v>7</v>
      </c>
      <c r="G464" s="81" t="s">
        <v>57</v>
      </c>
      <c r="H464" s="81" t="s">
        <v>974</v>
      </c>
      <c r="I464" s="81"/>
      <c r="J464" s="15" t="str">
        <f>IF(E464="Invalid_Segment","Invalid",IFERROR(INDEX(Severity_Matrix!$C$3:$M$10,MATCH('Error Log'!$F464,Severity_Matrix!$B$3:$B$10,0),MATCH('Error Log'!$G464,Severity_Matrix!$C$2:$M$2,0)),"No errors"))</f>
        <v>Critical</v>
      </c>
    </row>
    <row r="465" spans="1:10">
      <c r="A465" s="87" t="s">
        <v>1060</v>
      </c>
      <c r="B465" s="18">
        <v>1</v>
      </c>
      <c r="C465" s="78" t="s">
        <v>975</v>
      </c>
      <c r="D465" s="78" t="s">
        <v>976</v>
      </c>
      <c r="E465" s="81"/>
      <c r="F465" s="81"/>
      <c r="G465" s="81"/>
      <c r="H465" s="81"/>
      <c r="I465" s="81"/>
      <c r="J465" s="15" t="str">
        <f>IF(E465="Invalid_Segment","Invalid",IFERROR(INDEX(Severity_Matrix!$C$3:$M$10,MATCH('Error Log'!$F465,Severity_Matrix!$B$3:$B$10,0),MATCH('Error Log'!$G465,Severity_Matrix!$C$2:$M$2,0)),"No errors"))</f>
        <v>No errors</v>
      </c>
    </row>
    <row r="466" spans="1:10">
      <c r="A466" s="87" t="s">
        <v>1061</v>
      </c>
      <c r="B466" s="18">
        <v>1</v>
      </c>
      <c r="C466" s="78" t="s">
        <v>977</v>
      </c>
      <c r="D466" s="78" t="s">
        <v>978</v>
      </c>
      <c r="E466" s="81" t="s">
        <v>21</v>
      </c>
      <c r="F466" s="81" t="s">
        <v>22</v>
      </c>
      <c r="G466" s="81" t="s">
        <v>57</v>
      </c>
      <c r="H466" s="81" t="s">
        <v>979</v>
      </c>
      <c r="I466" s="81"/>
      <c r="J466" s="15" t="str">
        <f>IF(E466="Invalid_Segment","Invalid",IFERROR(INDEX(Severity_Matrix!$C$3:$M$10,MATCH('Error Log'!$F466,Severity_Matrix!$B$3:$B$10,0),MATCH('Error Log'!$G466,Severity_Matrix!$C$2:$M$2,0)),"No errors"))</f>
        <v>Major</v>
      </c>
    </row>
    <row r="467" spans="1:10">
      <c r="A467" s="87" t="s">
        <v>1061</v>
      </c>
      <c r="B467" s="18">
        <v>2</v>
      </c>
      <c r="C467" s="78" t="s">
        <v>977</v>
      </c>
      <c r="D467" s="78" t="s">
        <v>978</v>
      </c>
      <c r="E467" s="81" t="s">
        <v>21</v>
      </c>
      <c r="F467" s="81" t="s">
        <v>7</v>
      </c>
      <c r="G467" s="81" t="s">
        <v>57</v>
      </c>
      <c r="H467" s="81" t="s">
        <v>980</v>
      </c>
      <c r="I467" s="81"/>
      <c r="J467" s="15" t="str">
        <f>IF(E467="Invalid_Segment","Invalid",IFERROR(INDEX(Severity_Matrix!$C$3:$M$10,MATCH('Error Log'!$F467,Severity_Matrix!$B$3:$B$10,0),MATCH('Error Log'!$G467,Severity_Matrix!$C$2:$M$2,0)),"No errors"))</f>
        <v>Critical</v>
      </c>
    </row>
    <row r="468" spans="1:10">
      <c r="A468" s="87" t="s">
        <v>1061</v>
      </c>
      <c r="B468" s="18">
        <v>3</v>
      </c>
      <c r="C468" s="78" t="s">
        <v>977</v>
      </c>
      <c r="D468" s="78" t="s">
        <v>978</v>
      </c>
      <c r="E468" s="81" t="s">
        <v>21</v>
      </c>
      <c r="F468" s="81" t="s">
        <v>7</v>
      </c>
      <c r="G468" s="81" t="s">
        <v>57</v>
      </c>
      <c r="H468" s="81" t="s">
        <v>981</v>
      </c>
      <c r="I468" s="81"/>
      <c r="J468" s="15" t="str">
        <f>IF(E468="Invalid_Segment","Invalid",IFERROR(INDEX(Severity_Matrix!$C$3:$M$10,MATCH('Error Log'!$F468,Severity_Matrix!$B$3:$B$10,0),MATCH('Error Log'!$G468,Severity_Matrix!$C$2:$M$2,0)),"No errors"))</f>
        <v>Critical</v>
      </c>
    </row>
    <row r="469" spans="1:10">
      <c r="A469" s="87" t="s">
        <v>1062</v>
      </c>
      <c r="B469" s="18">
        <v>1</v>
      </c>
      <c r="C469" s="78" t="s">
        <v>982</v>
      </c>
      <c r="D469" s="78" t="s">
        <v>983</v>
      </c>
      <c r="E469" s="81" t="s">
        <v>2</v>
      </c>
      <c r="F469" s="81" t="s">
        <v>26</v>
      </c>
      <c r="G469" s="81" t="s">
        <v>57</v>
      </c>
      <c r="H469" s="81" t="s">
        <v>984</v>
      </c>
      <c r="I469" s="81"/>
      <c r="J469" s="15" t="str">
        <f>IF(E469="Invalid_Segment","Invalid",IFERROR(INDEX(Severity_Matrix!$C$3:$M$10,MATCH('Error Log'!$F469,Severity_Matrix!$B$3:$B$10,0),MATCH('Error Log'!$G469,Severity_Matrix!$C$2:$M$2,0)),"No errors"))</f>
        <v>Major</v>
      </c>
    </row>
    <row r="470" spans="1:10">
      <c r="A470" s="87" t="s">
        <v>1062</v>
      </c>
      <c r="B470" s="18">
        <v>2</v>
      </c>
      <c r="C470" s="78" t="s">
        <v>982</v>
      </c>
      <c r="D470" s="78" t="s">
        <v>983</v>
      </c>
      <c r="E470" s="81" t="s">
        <v>21</v>
      </c>
      <c r="F470" s="81" t="s">
        <v>7</v>
      </c>
      <c r="G470" s="81" t="s">
        <v>57</v>
      </c>
      <c r="H470" s="81" t="s">
        <v>985</v>
      </c>
      <c r="I470" s="81"/>
      <c r="J470" s="15" t="str">
        <f>IF(E470="Invalid_Segment","Invalid",IFERROR(INDEX(Severity_Matrix!$C$3:$M$10,MATCH('Error Log'!$F470,Severity_Matrix!$B$3:$B$10,0),MATCH('Error Log'!$G470,Severity_Matrix!$C$2:$M$2,0)),"No errors"))</f>
        <v>Critical</v>
      </c>
    </row>
    <row r="471" spans="1:10">
      <c r="A471" s="87" t="s">
        <v>1063</v>
      </c>
      <c r="B471" s="18">
        <v>1</v>
      </c>
      <c r="C471" s="78" t="s">
        <v>986</v>
      </c>
      <c r="D471" s="78" t="s">
        <v>987</v>
      </c>
      <c r="E471" s="81" t="s">
        <v>21</v>
      </c>
      <c r="F471" s="81" t="s">
        <v>22</v>
      </c>
      <c r="G471" s="81" t="s">
        <v>57</v>
      </c>
      <c r="H471" s="81" t="s">
        <v>988</v>
      </c>
      <c r="I471" s="81"/>
      <c r="J471" s="15" t="str">
        <f>IF(E471="Invalid_Segment","Invalid",IFERROR(INDEX(Severity_Matrix!$C$3:$M$10,MATCH('Error Log'!$F471,Severity_Matrix!$B$3:$B$10,0),MATCH('Error Log'!$G471,Severity_Matrix!$C$2:$M$2,0)),"No errors"))</f>
        <v>Major</v>
      </c>
    </row>
    <row r="472" spans="1:10">
      <c r="A472" s="87" t="s">
        <v>1063</v>
      </c>
      <c r="B472" s="18">
        <v>2</v>
      </c>
      <c r="C472" s="78" t="s">
        <v>986</v>
      </c>
      <c r="D472" s="78" t="s">
        <v>987</v>
      </c>
      <c r="E472" s="81" t="s">
        <v>2</v>
      </c>
      <c r="F472" s="81" t="s">
        <v>26</v>
      </c>
      <c r="G472" s="81" t="s">
        <v>57</v>
      </c>
      <c r="H472" s="81" t="s">
        <v>988</v>
      </c>
      <c r="I472" s="81"/>
      <c r="J472" s="15" t="str">
        <f>IF(E472="Invalid_Segment","Invalid",IFERROR(INDEX(Severity_Matrix!$C$3:$M$10,MATCH('Error Log'!$F472,Severity_Matrix!$B$3:$B$10,0),MATCH('Error Log'!$G472,Severity_Matrix!$C$2:$M$2,0)),"No errors"))</f>
        <v>Major</v>
      </c>
    </row>
    <row r="473" spans="1:10">
      <c r="A473" s="87" t="s">
        <v>1063</v>
      </c>
      <c r="B473" s="18">
        <v>3</v>
      </c>
      <c r="C473" s="78" t="s">
        <v>986</v>
      </c>
      <c r="D473" s="78" t="s">
        <v>987</v>
      </c>
      <c r="E473" s="81" t="s">
        <v>21</v>
      </c>
      <c r="F473" s="81" t="s">
        <v>7</v>
      </c>
      <c r="G473" s="81" t="s">
        <v>57</v>
      </c>
      <c r="H473" s="81" t="s">
        <v>989</v>
      </c>
      <c r="I473" s="81"/>
      <c r="J473" s="15" t="str">
        <f>IF(E473="Invalid_Segment","Invalid",IFERROR(INDEX(Severity_Matrix!$C$3:$M$10,MATCH('Error Log'!$F473,Severity_Matrix!$B$3:$B$10,0),MATCH('Error Log'!$G473,Severity_Matrix!$C$2:$M$2,0)),"No errors"))</f>
        <v>Critical</v>
      </c>
    </row>
    <row r="474" spans="1:10">
      <c r="A474" s="87" t="s">
        <v>1063</v>
      </c>
      <c r="B474" s="18">
        <v>4</v>
      </c>
      <c r="C474" s="78" t="s">
        <v>986</v>
      </c>
      <c r="D474" s="78" t="s">
        <v>987</v>
      </c>
      <c r="E474" s="81" t="s">
        <v>21</v>
      </c>
      <c r="F474" s="81" t="s">
        <v>7</v>
      </c>
      <c r="G474" s="81" t="s">
        <v>57</v>
      </c>
      <c r="H474" s="81" t="s">
        <v>990</v>
      </c>
      <c r="I474" s="81"/>
      <c r="J474" s="15" t="str">
        <f>IF(E474="Invalid_Segment","Invalid",IFERROR(INDEX(Severity_Matrix!$C$3:$M$10,MATCH('Error Log'!$F474,Severity_Matrix!$B$3:$B$10,0),MATCH('Error Log'!$G474,Severity_Matrix!$C$2:$M$2,0)),"No errors"))</f>
        <v>Critical</v>
      </c>
    </row>
    <row r="475" spans="1:10">
      <c r="A475" s="87" t="s">
        <v>1063</v>
      </c>
      <c r="B475" s="18">
        <v>5</v>
      </c>
      <c r="C475" s="78" t="s">
        <v>986</v>
      </c>
      <c r="D475" s="78" t="s">
        <v>987</v>
      </c>
      <c r="E475" s="81" t="s">
        <v>21</v>
      </c>
      <c r="F475" s="81" t="s">
        <v>7</v>
      </c>
      <c r="G475" s="81" t="s">
        <v>57</v>
      </c>
      <c r="H475" s="81" t="s">
        <v>991</v>
      </c>
      <c r="I475" s="81"/>
      <c r="J475" s="15" t="str">
        <f>IF(E475="Invalid_Segment","Invalid",IFERROR(INDEX(Severity_Matrix!$C$3:$M$10,MATCH('Error Log'!$F475,Severity_Matrix!$B$3:$B$10,0),MATCH('Error Log'!$G475,Severity_Matrix!$C$2:$M$2,0)),"No errors"))</f>
        <v>Critical</v>
      </c>
    </row>
    <row r="476" spans="1:10">
      <c r="A476" s="87" t="s">
        <v>1064</v>
      </c>
      <c r="B476" s="18">
        <v>1</v>
      </c>
      <c r="C476" s="78" t="s">
        <v>992</v>
      </c>
      <c r="D476" s="78" t="s">
        <v>993</v>
      </c>
      <c r="E476" s="81" t="s">
        <v>2</v>
      </c>
      <c r="F476" s="81" t="s">
        <v>26</v>
      </c>
      <c r="G476" s="81" t="s">
        <v>57</v>
      </c>
      <c r="H476" s="81" t="s">
        <v>994</v>
      </c>
      <c r="I476" s="81"/>
      <c r="J476" s="15" t="str">
        <f>IF(E476="Invalid_Segment","Invalid",IFERROR(INDEX(Severity_Matrix!$C$3:$M$10,MATCH('Error Log'!$F476,Severity_Matrix!$B$3:$B$10,0),MATCH('Error Log'!$G476,Severity_Matrix!$C$2:$M$2,0)),"No errors"))</f>
        <v>Major</v>
      </c>
    </row>
    <row r="477" spans="1:10">
      <c r="A477" s="87" t="s">
        <v>1064</v>
      </c>
      <c r="B477" s="18">
        <v>2</v>
      </c>
      <c r="C477" s="78" t="s">
        <v>992</v>
      </c>
      <c r="D477" s="78" t="s">
        <v>993</v>
      </c>
      <c r="E477" s="81" t="s">
        <v>21</v>
      </c>
      <c r="F477" s="81" t="s">
        <v>7</v>
      </c>
      <c r="G477" s="81" t="s">
        <v>57</v>
      </c>
      <c r="H477" s="81" t="s">
        <v>995</v>
      </c>
      <c r="I477" s="81"/>
      <c r="J477" s="15" t="str">
        <f>IF(E477="Invalid_Segment","Invalid",IFERROR(INDEX(Severity_Matrix!$C$3:$M$10,MATCH('Error Log'!$F477,Severity_Matrix!$B$3:$B$10,0),MATCH('Error Log'!$G477,Severity_Matrix!$C$2:$M$2,0)),"No errors"))</f>
        <v>Critical</v>
      </c>
    </row>
    <row r="478" spans="1:10">
      <c r="A478" s="87" t="s">
        <v>1064</v>
      </c>
      <c r="B478" s="18">
        <v>3</v>
      </c>
      <c r="C478" s="78" t="s">
        <v>992</v>
      </c>
      <c r="D478" s="78" t="s">
        <v>993</v>
      </c>
      <c r="E478" s="81" t="s">
        <v>21</v>
      </c>
      <c r="F478" s="81" t="s">
        <v>7</v>
      </c>
      <c r="G478" s="81" t="s">
        <v>57</v>
      </c>
      <c r="H478" s="81" t="s">
        <v>996</v>
      </c>
      <c r="I478" s="81"/>
      <c r="J478" s="15" t="str">
        <f>IF(E478="Invalid_Segment","Invalid",IFERROR(INDEX(Severity_Matrix!$C$3:$M$10,MATCH('Error Log'!$F478,Severity_Matrix!$B$3:$B$10,0),MATCH('Error Log'!$G478,Severity_Matrix!$C$2:$M$2,0)),"No errors"))</f>
        <v>Critical</v>
      </c>
    </row>
    <row r="479" spans="1:10">
      <c r="A479" s="87" t="s">
        <v>1065</v>
      </c>
      <c r="B479" s="18">
        <v>1</v>
      </c>
      <c r="C479" s="78" t="s">
        <v>997</v>
      </c>
      <c r="D479" s="78" t="s">
        <v>998</v>
      </c>
      <c r="E479" s="81" t="s">
        <v>21</v>
      </c>
      <c r="F479" s="81" t="s">
        <v>22</v>
      </c>
      <c r="G479" s="81" t="s">
        <v>57</v>
      </c>
      <c r="H479" s="81" t="s">
        <v>999</v>
      </c>
      <c r="I479" s="81"/>
      <c r="J479" s="15" t="str">
        <f>IF(E479="Invalid_Segment","Invalid",IFERROR(INDEX(Severity_Matrix!$C$3:$M$10,MATCH('Error Log'!$F479,Severity_Matrix!$B$3:$B$10,0),MATCH('Error Log'!$G479,Severity_Matrix!$C$2:$M$2,0)),"No errors"))</f>
        <v>Major</v>
      </c>
    </row>
    <row r="480" spans="1:10">
      <c r="A480" s="87" t="s">
        <v>1065</v>
      </c>
      <c r="B480" s="18">
        <v>2</v>
      </c>
      <c r="C480" s="78" t="s">
        <v>997</v>
      </c>
      <c r="D480" s="78" t="s">
        <v>998</v>
      </c>
      <c r="E480" s="81" t="s">
        <v>2</v>
      </c>
      <c r="F480" s="81" t="s">
        <v>26</v>
      </c>
      <c r="G480" s="81" t="s">
        <v>57</v>
      </c>
      <c r="H480" s="81" t="s">
        <v>999</v>
      </c>
      <c r="I480" s="81"/>
      <c r="J480" s="15" t="str">
        <f>IF(E480="Invalid_Segment","Invalid",IFERROR(INDEX(Severity_Matrix!$C$3:$M$10,MATCH('Error Log'!$F480,Severity_Matrix!$B$3:$B$10,0),MATCH('Error Log'!$G480,Severity_Matrix!$C$2:$M$2,0)),"No errors"))</f>
        <v>Major</v>
      </c>
    </row>
    <row r="481" spans="1:10">
      <c r="A481" s="87" t="s">
        <v>1065</v>
      </c>
      <c r="B481" s="18">
        <v>3</v>
      </c>
      <c r="C481" s="78" t="s">
        <v>997</v>
      </c>
      <c r="D481" s="78" t="s">
        <v>998</v>
      </c>
      <c r="E481" s="81" t="s">
        <v>21</v>
      </c>
      <c r="F481" s="81" t="s">
        <v>7</v>
      </c>
      <c r="G481" s="81" t="s">
        <v>57</v>
      </c>
      <c r="H481" s="81" t="s">
        <v>1000</v>
      </c>
      <c r="I481" s="81"/>
      <c r="J481" s="15" t="str">
        <f>IF(E481="Invalid_Segment","Invalid",IFERROR(INDEX(Severity_Matrix!$C$3:$M$10,MATCH('Error Log'!$F481,Severity_Matrix!$B$3:$B$10,0),MATCH('Error Log'!$G481,Severity_Matrix!$C$2:$M$2,0)),"No errors"))</f>
        <v>Critical</v>
      </c>
    </row>
    <row r="482" spans="1:10">
      <c r="A482" s="87" t="s">
        <v>1065</v>
      </c>
      <c r="B482" s="18">
        <v>4</v>
      </c>
      <c r="C482" s="78" t="s">
        <v>997</v>
      </c>
      <c r="D482" s="78" t="s">
        <v>998</v>
      </c>
      <c r="E482" s="81" t="s">
        <v>21</v>
      </c>
      <c r="F482" s="81" t="s">
        <v>7</v>
      </c>
      <c r="G482" s="81" t="s">
        <v>57</v>
      </c>
      <c r="H482" s="81" t="s">
        <v>1001</v>
      </c>
      <c r="I482" s="81"/>
      <c r="J482" s="15" t="str">
        <f>IF(E482="Invalid_Segment","Invalid",IFERROR(INDEX(Severity_Matrix!$C$3:$M$10,MATCH('Error Log'!$F482,Severity_Matrix!$B$3:$B$10,0),MATCH('Error Log'!$G482,Severity_Matrix!$C$2:$M$2,0)),"No errors"))</f>
        <v>Critical</v>
      </c>
    </row>
    <row r="483" spans="1:10">
      <c r="A483" s="87" t="s">
        <v>1066</v>
      </c>
      <c r="B483" s="18">
        <v>1</v>
      </c>
      <c r="C483" s="78" t="s">
        <v>1002</v>
      </c>
      <c r="D483" s="78" t="s">
        <v>1003</v>
      </c>
      <c r="E483" s="81" t="s">
        <v>21</v>
      </c>
      <c r="F483" s="81" t="s">
        <v>7</v>
      </c>
      <c r="G483" s="81" t="s">
        <v>57</v>
      </c>
      <c r="H483" s="81" t="s">
        <v>1004</v>
      </c>
      <c r="I483" s="81"/>
      <c r="J483" s="15" t="str">
        <f>IF(E483="Invalid_Segment","Invalid",IFERROR(INDEX(Severity_Matrix!$C$3:$M$10,MATCH('Error Log'!$F483,Severity_Matrix!$B$3:$B$10,0),MATCH('Error Log'!$G483,Severity_Matrix!$C$2:$M$2,0)),"No errors"))</f>
        <v>Critical</v>
      </c>
    </row>
    <row r="484" spans="1:10">
      <c r="A484" s="87" t="s">
        <v>1066</v>
      </c>
      <c r="B484" s="18">
        <v>2</v>
      </c>
      <c r="C484" s="78" t="s">
        <v>1002</v>
      </c>
      <c r="D484" s="78" t="s">
        <v>1003</v>
      </c>
      <c r="E484" s="81" t="s">
        <v>21</v>
      </c>
      <c r="F484" s="81" t="s">
        <v>7</v>
      </c>
      <c r="G484" s="81" t="s">
        <v>57</v>
      </c>
      <c r="H484" s="81" t="s">
        <v>1005</v>
      </c>
      <c r="I484" s="81"/>
      <c r="J484" s="15" t="str">
        <f>IF(E484="Invalid_Segment","Invalid",IFERROR(INDEX(Severity_Matrix!$C$3:$M$10,MATCH('Error Log'!$F484,Severity_Matrix!$B$3:$B$10,0),MATCH('Error Log'!$G484,Severity_Matrix!$C$2:$M$2,0)),"No errors"))</f>
        <v>Critical</v>
      </c>
    </row>
    <row r="485" spans="1:10">
      <c r="A485" s="87" t="s">
        <v>1067</v>
      </c>
      <c r="B485" s="18">
        <v>1</v>
      </c>
      <c r="C485" s="78" t="s">
        <v>1006</v>
      </c>
      <c r="D485" s="78" t="s">
        <v>1007</v>
      </c>
      <c r="E485" s="81" t="s">
        <v>21</v>
      </c>
      <c r="F485" s="81" t="s">
        <v>7</v>
      </c>
      <c r="G485" s="81" t="s">
        <v>57</v>
      </c>
      <c r="H485" s="81" t="s">
        <v>1008</v>
      </c>
      <c r="I485" s="81"/>
      <c r="J485" s="15" t="str">
        <f>IF(E485="Invalid_Segment","Invalid",IFERROR(INDEX(Severity_Matrix!$C$3:$M$10,MATCH('Error Log'!$F485,Severity_Matrix!$B$3:$B$10,0),MATCH('Error Log'!$G485,Severity_Matrix!$C$2:$M$2,0)),"No errors"))</f>
        <v>Critical</v>
      </c>
    </row>
    <row r="486" spans="1:10">
      <c r="A486" s="87" t="s">
        <v>1068</v>
      </c>
      <c r="B486" s="18">
        <v>1</v>
      </c>
      <c r="C486" s="78" t="s">
        <v>1009</v>
      </c>
      <c r="D486" s="80" t="s">
        <v>1010</v>
      </c>
      <c r="E486" s="81" t="s">
        <v>21</v>
      </c>
      <c r="F486" s="81" t="s">
        <v>7</v>
      </c>
      <c r="G486" s="81" t="s">
        <v>57</v>
      </c>
      <c r="H486" s="81" t="s">
        <v>1011</v>
      </c>
      <c r="I486" s="81"/>
      <c r="J486" s="15" t="str">
        <f>IF(E486="Invalid_Segment","Invalid",IFERROR(INDEX(Severity_Matrix!$C$3:$M$10,MATCH('Error Log'!$F486,Severity_Matrix!$B$3:$B$10,0),MATCH('Error Log'!$G486,Severity_Matrix!$C$2:$M$2,0)),"No errors"))</f>
        <v>Critical</v>
      </c>
    </row>
    <row r="487" spans="1:10">
      <c r="A487" s="87" t="s">
        <v>1069</v>
      </c>
      <c r="B487" s="18">
        <v>1</v>
      </c>
      <c r="C487" s="80" t="s">
        <v>1012</v>
      </c>
      <c r="D487" s="80" t="s">
        <v>1013</v>
      </c>
      <c r="E487" s="81" t="s">
        <v>21</v>
      </c>
      <c r="F487" s="81" t="s">
        <v>22</v>
      </c>
      <c r="G487" s="81" t="s">
        <v>57</v>
      </c>
      <c r="H487" s="81" t="s">
        <v>1014</v>
      </c>
      <c r="I487" s="81"/>
      <c r="J487" s="15" t="str">
        <f>IF(E487="Invalid_Segment","Invalid",IFERROR(INDEX(Severity_Matrix!$C$3:$M$10,MATCH('Error Log'!$F487,Severity_Matrix!$B$3:$B$10,0),MATCH('Error Log'!$G487,Severity_Matrix!$C$2:$M$2,0)),"No errors"))</f>
        <v>Major</v>
      </c>
    </row>
    <row r="488" spans="1:10">
      <c r="A488" s="87" t="s">
        <v>1069</v>
      </c>
      <c r="B488" s="18">
        <v>2</v>
      </c>
      <c r="C488" s="80" t="s">
        <v>1012</v>
      </c>
      <c r="D488" s="80" t="s">
        <v>1013</v>
      </c>
      <c r="E488" s="81" t="s">
        <v>21</v>
      </c>
      <c r="F488" s="81" t="s">
        <v>7</v>
      </c>
      <c r="G488" s="81" t="s">
        <v>57</v>
      </c>
      <c r="H488" s="81" t="s">
        <v>1015</v>
      </c>
      <c r="I488" s="81"/>
      <c r="J488" s="15" t="str">
        <f>IF(E488="Invalid_Segment","Invalid",IFERROR(INDEX(Severity_Matrix!$C$3:$M$10,MATCH('Error Log'!$F488,Severity_Matrix!$B$3:$B$10,0),MATCH('Error Log'!$G488,Severity_Matrix!$C$2:$M$2,0)),"No errors"))</f>
        <v>Critical</v>
      </c>
    </row>
    <row r="489" spans="1:10">
      <c r="A489" s="87" t="s">
        <v>1069</v>
      </c>
      <c r="B489" s="18">
        <v>3</v>
      </c>
      <c r="C489" s="80" t="s">
        <v>1012</v>
      </c>
      <c r="D489" s="80" t="s">
        <v>1013</v>
      </c>
      <c r="E489" s="81" t="s">
        <v>21</v>
      </c>
      <c r="F489" s="81" t="s">
        <v>7</v>
      </c>
      <c r="G489" s="81" t="s">
        <v>57</v>
      </c>
      <c r="H489" s="81" t="s">
        <v>1016</v>
      </c>
      <c r="I489" s="81"/>
      <c r="J489" s="15" t="str">
        <f>IF(E489="Invalid_Segment","Invalid",IFERROR(INDEX(Severity_Matrix!$C$3:$M$10,MATCH('Error Log'!$F489,Severity_Matrix!$B$3:$B$10,0),MATCH('Error Log'!$G489,Severity_Matrix!$C$2:$M$2,0)),"No errors"))</f>
        <v>Critical</v>
      </c>
    </row>
    <row r="490" spans="1:10">
      <c r="A490" s="87" t="s">
        <v>1069</v>
      </c>
      <c r="B490" s="18">
        <v>4</v>
      </c>
      <c r="C490" s="80" t="s">
        <v>1012</v>
      </c>
      <c r="D490" s="80" t="s">
        <v>1013</v>
      </c>
      <c r="E490" s="81" t="s">
        <v>21</v>
      </c>
      <c r="F490" s="81" t="s">
        <v>7</v>
      </c>
      <c r="G490" s="81" t="s">
        <v>57</v>
      </c>
      <c r="H490" s="81" t="s">
        <v>1017</v>
      </c>
      <c r="I490" s="81"/>
      <c r="J490" s="15" t="str">
        <f>IF(E490="Invalid_Segment","Invalid",IFERROR(INDEX(Severity_Matrix!$C$3:$M$10,MATCH('Error Log'!$F490,Severity_Matrix!$B$3:$B$10,0),MATCH('Error Log'!$G490,Severity_Matrix!$C$2:$M$2,0)),"No errors"))</f>
        <v>Critical</v>
      </c>
    </row>
    <row r="491" spans="1:10">
      <c r="A491" s="87" t="s">
        <v>1069</v>
      </c>
      <c r="B491" s="18">
        <v>5</v>
      </c>
      <c r="C491" s="80" t="s">
        <v>1012</v>
      </c>
      <c r="D491" s="80" t="s">
        <v>1013</v>
      </c>
      <c r="E491" s="81" t="s">
        <v>21</v>
      </c>
      <c r="F491" s="81" t="s">
        <v>7</v>
      </c>
      <c r="G491" s="81" t="s">
        <v>57</v>
      </c>
      <c r="H491" s="81" t="s">
        <v>1018</v>
      </c>
      <c r="I491" s="81"/>
      <c r="J491" s="15" t="str">
        <f>IF(E491="Invalid_Segment","Invalid",IFERROR(INDEX(Severity_Matrix!$C$3:$M$10,MATCH('Error Log'!$F491,Severity_Matrix!$B$3:$B$10,0),MATCH('Error Log'!$G491,Severity_Matrix!$C$2:$M$2,0)),"No errors"))</f>
        <v>Critical</v>
      </c>
    </row>
    <row r="492" spans="1:10">
      <c r="A492" s="79" t="s">
        <v>1070</v>
      </c>
      <c r="B492" s="18">
        <v>1</v>
      </c>
      <c r="C492" s="78" t="s">
        <v>1071</v>
      </c>
      <c r="D492" s="78" t="s">
        <v>1072</v>
      </c>
      <c r="E492" s="81" t="s">
        <v>21</v>
      </c>
      <c r="F492" s="81" t="s">
        <v>22</v>
      </c>
      <c r="G492" s="81" t="s">
        <v>57</v>
      </c>
      <c r="H492" s="81" t="s">
        <v>1073</v>
      </c>
      <c r="I492" s="81"/>
      <c r="J492" s="15" t="str">
        <f>IF(E492="Invalid_Segment","Invalid",IFERROR(INDEX(Severity_Matrix!$C$3:$M$10,MATCH('Error Log'!$F492,Severity_Matrix!$B$3:$B$10,0),MATCH('Error Log'!$G492,Severity_Matrix!$C$2:$M$2,0)),"No errors"))</f>
        <v>Major</v>
      </c>
    </row>
    <row r="493" spans="1:10">
      <c r="A493" s="79" t="s">
        <v>1070</v>
      </c>
      <c r="B493" s="88">
        <v>2</v>
      </c>
      <c r="C493" s="78" t="s">
        <v>1071</v>
      </c>
      <c r="D493" s="78" t="s">
        <v>1072</v>
      </c>
      <c r="E493" s="81" t="s">
        <v>21</v>
      </c>
      <c r="F493" s="81" t="s">
        <v>22</v>
      </c>
      <c r="G493" s="81" t="s">
        <v>57</v>
      </c>
      <c r="H493" s="81" t="s">
        <v>1074</v>
      </c>
      <c r="I493" s="81"/>
      <c r="J493" s="15" t="str">
        <f>IF(E493="Invalid_Segment","Invalid",IFERROR(INDEX(Severity_Matrix!$C$3:$M$10,MATCH('Error Log'!$F493,Severity_Matrix!$B$3:$B$10,0),MATCH('Error Log'!$G493,Severity_Matrix!$C$2:$M$2,0)),"No errors"))</f>
        <v>Major</v>
      </c>
    </row>
    <row r="494" spans="1:10">
      <c r="A494" s="79" t="s">
        <v>1070</v>
      </c>
      <c r="B494" s="18">
        <v>3</v>
      </c>
      <c r="C494" s="78" t="s">
        <v>1071</v>
      </c>
      <c r="D494" s="78" t="s">
        <v>1072</v>
      </c>
      <c r="E494" s="81" t="s">
        <v>21</v>
      </c>
      <c r="F494" s="81" t="s">
        <v>22</v>
      </c>
      <c r="G494" s="81" t="s">
        <v>57</v>
      </c>
      <c r="H494" s="81" t="s">
        <v>1075</v>
      </c>
      <c r="I494" s="81"/>
      <c r="J494" s="15" t="str">
        <f>IF(E494="Invalid_Segment","Invalid",IFERROR(INDEX(Severity_Matrix!$C$3:$M$10,MATCH('Error Log'!$F494,Severity_Matrix!$B$3:$B$10,0),MATCH('Error Log'!$G494,Severity_Matrix!$C$2:$M$2,0)),"No errors"))</f>
        <v>Major</v>
      </c>
    </row>
    <row r="495" spans="1:10">
      <c r="A495" s="79" t="s">
        <v>1070</v>
      </c>
      <c r="B495" s="88">
        <v>4</v>
      </c>
      <c r="C495" s="78" t="s">
        <v>1071</v>
      </c>
      <c r="D495" s="78" t="s">
        <v>1072</v>
      </c>
      <c r="E495" s="81" t="s">
        <v>21</v>
      </c>
      <c r="F495" s="81" t="s">
        <v>7</v>
      </c>
      <c r="G495" s="81" t="s">
        <v>57</v>
      </c>
      <c r="H495" s="81" t="s">
        <v>1076</v>
      </c>
      <c r="I495" s="81"/>
      <c r="J495" s="15" t="str">
        <f>IF(E495="Invalid_Segment","Invalid",IFERROR(INDEX(Severity_Matrix!$C$3:$M$10,MATCH('Error Log'!$F495,Severity_Matrix!$B$3:$B$10,0),MATCH('Error Log'!$G495,Severity_Matrix!$C$2:$M$2,0)),"No errors"))</f>
        <v>Critical</v>
      </c>
    </row>
    <row r="496" spans="1:10">
      <c r="A496" s="79" t="s">
        <v>1070</v>
      </c>
      <c r="B496" s="18">
        <v>5</v>
      </c>
      <c r="C496" s="78" t="s">
        <v>1071</v>
      </c>
      <c r="D496" s="78" t="s">
        <v>1072</v>
      </c>
      <c r="E496" s="81" t="s">
        <v>21</v>
      </c>
      <c r="F496" s="81" t="s">
        <v>7</v>
      </c>
      <c r="G496" s="81" t="s">
        <v>57</v>
      </c>
      <c r="H496" s="81" t="s">
        <v>1077</v>
      </c>
      <c r="I496" s="81"/>
      <c r="J496" s="15" t="str">
        <f>IF(E496="Invalid_Segment","Invalid",IFERROR(INDEX(Severity_Matrix!$C$3:$M$10,MATCH('Error Log'!$F496,Severity_Matrix!$B$3:$B$10,0),MATCH('Error Log'!$G496,Severity_Matrix!$C$2:$M$2,0)),"No errors"))</f>
        <v>Critical</v>
      </c>
    </row>
    <row r="497" spans="1:10">
      <c r="A497" s="79" t="s">
        <v>1070</v>
      </c>
      <c r="B497" s="88">
        <v>6</v>
      </c>
      <c r="C497" s="78" t="s">
        <v>1071</v>
      </c>
      <c r="D497" s="78" t="s">
        <v>1072</v>
      </c>
      <c r="E497" s="81" t="s">
        <v>21</v>
      </c>
      <c r="F497" s="81" t="s">
        <v>7</v>
      </c>
      <c r="G497" s="81" t="s">
        <v>57</v>
      </c>
      <c r="H497" s="81" t="s">
        <v>1078</v>
      </c>
      <c r="I497" s="81"/>
      <c r="J497" s="15" t="str">
        <f>IF(E497="Invalid_Segment","Invalid",IFERROR(INDEX(Severity_Matrix!$C$3:$M$10,MATCH('Error Log'!$F497,Severity_Matrix!$B$3:$B$10,0),MATCH('Error Log'!$G497,Severity_Matrix!$C$2:$M$2,0)),"No errors"))</f>
        <v>Critical</v>
      </c>
    </row>
    <row r="498" spans="1:10" ht="15.6">
      <c r="A498" s="119" t="s">
        <v>1079</v>
      </c>
      <c r="B498" s="18">
        <v>1</v>
      </c>
      <c r="C498" s="78" t="s">
        <v>1080</v>
      </c>
      <c r="D498" s="78" t="s">
        <v>1081</v>
      </c>
      <c r="E498" s="81" t="s">
        <v>21</v>
      </c>
      <c r="F498" s="81" t="s">
        <v>7</v>
      </c>
      <c r="G498" s="81" t="s">
        <v>28</v>
      </c>
      <c r="H498" s="81" t="s">
        <v>1082</v>
      </c>
      <c r="I498" s="87"/>
      <c r="J498" s="15" t="str">
        <f>IF(E498="Invalid_Segment","Invalid",IFERROR(INDEX(Severity_Matrix!$C$3:$M$10,MATCH('Error Log'!$F498,Severity_Matrix!$B$3:$B$10,0),MATCH('Error Log'!$G498,Severity_Matrix!$C$2:$M$2,0)),"No errors"))</f>
        <v>Major</v>
      </c>
    </row>
    <row r="499" spans="1:10" ht="15.6">
      <c r="A499" s="119" t="s">
        <v>1079</v>
      </c>
      <c r="B499" s="18">
        <v>2</v>
      </c>
      <c r="C499" s="78" t="s">
        <v>1080</v>
      </c>
      <c r="D499" s="78" t="s">
        <v>1081</v>
      </c>
      <c r="E499" s="81" t="s">
        <v>21</v>
      </c>
      <c r="F499" s="81" t="s">
        <v>22</v>
      </c>
      <c r="G499" s="81" t="s">
        <v>57</v>
      </c>
      <c r="H499" s="81" t="s">
        <v>1083</v>
      </c>
      <c r="I499" s="81"/>
      <c r="J499" s="15" t="str">
        <f>IF(E499="Invalid_Segment","Invalid",IFERROR(INDEX(Severity_Matrix!$C$3:$M$10,MATCH('Error Log'!$F499,Severity_Matrix!$B$3:$B$10,0),MATCH('Error Log'!$G499,Severity_Matrix!$C$2:$M$2,0)),"No errors"))</f>
        <v>Major</v>
      </c>
    </row>
    <row r="500" spans="1:10" ht="15.6">
      <c r="A500" s="119" t="s">
        <v>1079</v>
      </c>
      <c r="B500" s="18">
        <v>3</v>
      </c>
      <c r="C500" s="78" t="s">
        <v>1080</v>
      </c>
      <c r="D500" s="78" t="s">
        <v>1081</v>
      </c>
      <c r="E500" s="81" t="s">
        <v>21</v>
      </c>
      <c r="F500" s="81" t="s">
        <v>22</v>
      </c>
      <c r="G500" s="81" t="s">
        <v>57</v>
      </c>
      <c r="H500" s="81" t="s">
        <v>1084</v>
      </c>
      <c r="I500" s="81"/>
      <c r="J500" s="15" t="str">
        <f>IF(E500="Invalid_Segment","Invalid",IFERROR(INDEX(Severity_Matrix!$C$3:$M$10,MATCH('Error Log'!$F500,Severity_Matrix!$B$3:$B$10,0),MATCH('Error Log'!$G500,Severity_Matrix!$C$2:$M$2,0)),"No errors"))</f>
        <v>Major</v>
      </c>
    </row>
    <row r="501" spans="1:10" ht="15.6">
      <c r="A501" s="119" t="s">
        <v>1079</v>
      </c>
      <c r="B501" s="18">
        <v>4</v>
      </c>
      <c r="C501" s="78" t="s">
        <v>1080</v>
      </c>
      <c r="D501" s="78" t="s">
        <v>1081</v>
      </c>
      <c r="E501" s="81" t="s">
        <v>21</v>
      </c>
      <c r="F501" s="81" t="s">
        <v>7</v>
      </c>
      <c r="G501" s="81" t="s">
        <v>57</v>
      </c>
      <c r="H501" s="81" t="s">
        <v>1085</v>
      </c>
      <c r="I501" s="81"/>
      <c r="J501" s="15" t="str">
        <f>IF(E501="Invalid_Segment","Invalid",IFERROR(INDEX(Severity_Matrix!$C$3:$M$10,MATCH('Error Log'!$F501,Severity_Matrix!$B$3:$B$10,0),MATCH('Error Log'!$G501,Severity_Matrix!$C$2:$M$2,0)),"No errors"))</f>
        <v>Critical</v>
      </c>
    </row>
    <row r="502" spans="1:10" ht="15.6">
      <c r="A502" s="119" t="s">
        <v>1079</v>
      </c>
      <c r="B502" s="18">
        <v>5</v>
      </c>
      <c r="C502" s="78" t="s">
        <v>1080</v>
      </c>
      <c r="D502" s="78" t="s">
        <v>1081</v>
      </c>
      <c r="E502" s="81" t="s">
        <v>21</v>
      </c>
      <c r="F502" s="81" t="s">
        <v>7</v>
      </c>
      <c r="G502" s="81" t="s">
        <v>57</v>
      </c>
      <c r="H502" s="81" t="s">
        <v>1086</v>
      </c>
      <c r="I502" s="81"/>
      <c r="J502" s="15" t="str">
        <f>IF(E502="Invalid_Segment","Invalid",IFERROR(INDEX(Severity_Matrix!$C$3:$M$10,MATCH('Error Log'!$F502,Severity_Matrix!$B$3:$B$10,0),MATCH('Error Log'!$G502,Severity_Matrix!$C$2:$M$2,0)),"No errors"))</f>
        <v>Critical</v>
      </c>
    </row>
    <row r="503" spans="1:10">
      <c r="A503" s="89" t="s">
        <v>1087</v>
      </c>
      <c r="B503" s="18">
        <v>1</v>
      </c>
      <c r="C503" s="78" t="s">
        <v>1088</v>
      </c>
      <c r="D503" s="78" t="s">
        <v>1089</v>
      </c>
      <c r="E503" s="81" t="s">
        <v>21</v>
      </c>
      <c r="F503" s="81" t="s">
        <v>7</v>
      </c>
      <c r="G503" s="81" t="s">
        <v>57</v>
      </c>
      <c r="H503" s="86" t="s">
        <v>1090</v>
      </c>
      <c r="I503" s="81"/>
      <c r="J503" s="15" t="str">
        <f>IF(E503="Invalid_Segment","Invalid",IFERROR(INDEX(Severity_Matrix!$C$3:$M$10,MATCH('Error Log'!$F503,Severity_Matrix!$B$3:$B$10,0),MATCH('Error Log'!$G503,Severity_Matrix!$C$2:$M$2,0)),"No errors"))</f>
        <v>Critical</v>
      </c>
    </row>
    <row r="504" spans="1:10">
      <c r="A504" s="89" t="s">
        <v>1091</v>
      </c>
      <c r="B504" s="18">
        <v>1</v>
      </c>
      <c r="C504" s="80" t="s">
        <v>1092</v>
      </c>
      <c r="D504" s="78" t="s">
        <v>1093</v>
      </c>
      <c r="E504" s="81" t="s">
        <v>2</v>
      </c>
      <c r="F504" s="81" t="s">
        <v>26</v>
      </c>
      <c r="G504" s="81" t="s">
        <v>57</v>
      </c>
      <c r="H504" s="86" t="s">
        <v>1094</v>
      </c>
      <c r="I504" s="81"/>
      <c r="J504" s="15" t="str">
        <f>IF(E504="Invalid_Segment","Invalid",IFERROR(INDEX(Severity_Matrix!$C$3:$M$10,MATCH('Error Log'!$F504,Severity_Matrix!$B$3:$B$10,0),MATCH('Error Log'!$G504,Severity_Matrix!$C$2:$M$2,0)),"No errors"))</f>
        <v>Major</v>
      </c>
    </row>
    <row r="505" spans="1:10">
      <c r="A505" s="89" t="s">
        <v>1091</v>
      </c>
      <c r="B505" s="18">
        <v>2</v>
      </c>
      <c r="C505" s="80" t="s">
        <v>1092</v>
      </c>
      <c r="D505" s="78" t="s">
        <v>1093</v>
      </c>
      <c r="E505" s="81" t="s">
        <v>21</v>
      </c>
      <c r="F505" s="81" t="s">
        <v>7</v>
      </c>
      <c r="G505" s="81" t="s">
        <v>57</v>
      </c>
      <c r="H505" s="86" t="s">
        <v>1095</v>
      </c>
      <c r="I505" s="81"/>
      <c r="J505" s="15" t="str">
        <f>IF(E505="Invalid_Segment","Invalid",IFERROR(INDEX(Severity_Matrix!$C$3:$M$10,MATCH('Error Log'!$F505,Severity_Matrix!$B$3:$B$10,0),MATCH('Error Log'!$G505,Severity_Matrix!$C$2:$M$2,0)),"No errors"))</f>
        <v>Critical</v>
      </c>
    </row>
    <row r="506" spans="1:10">
      <c r="A506" s="89" t="s">
        <v>1096</v>
      </c>
      <c r="B506" s="18">
        <v>1</v>
      </c>
      <c r="C506" s="80" t="s">
        <v>1097</v>
      </c>
      <c r="D506" s="78" t="s">
        <v>1098</v>
      </c>
      <c r="E506" s="81" t="s">
        <v>21</v>
      </c>
      <c r="F506" s="81" t="s">
        <v>22</v>
      </c>
      <c r="G506" s="81" t="s">
        <v>57</v>
      </c>
      <c r="H506" s="81" t="s">
        <v>1099</v>
      </c>
      <c r="I506" s="81"/>
      <c r="J506" s="15" t="str">
        <f>IF(E506="Invalid_Segment","Invalid",IFERROR(INDEX(Severity_Matrix!$C$3:$M$10,MATCH('Error Log'!$F506,Severity_Matrix!$B$3:$B$10,0),MATCH('Error Log'!$G506,Severity_Matrix!$C$2:$M$2,0)),"No errors"))</f>
        <v>Major</v>
      </c>
    </row>
    <row r="507" spans="1:10">
      <c r="A507" s="89" t="s">
        <v>1096</v>
      </c>
      <c r="B507" s="18">
        <v>2</v>
      </c>
      <c r="C507" s="80" t="s">
        <v>1097</v>
      </c>
      <c r="D507" s="78" t="s">
        <v>1098</v>
      </c>
      <c r="E507" s="81" t="s">
        <v>21</v>
      </c>
      <c r="F507" s="81" t="s">
        <v>22</v>
      </c>
      <c r="G507" s="81" t="s">
        <v>57</v>
      </c>
      <c r="H507" s="81" t="s">
        <v>1100</v>
      </c>
      <c r="I507" s="81"/>
      <c r="J507" s="15" t="str">
        <f>IF(E507="Invalid_Segment","Invalid",IFERROR(INDEX(Severity_Matrix!$C$3:$M$10,MATCH('Error Log'!$F507,Severity_Matrix!$B$3:$B$10,0),MATCH('Error Log'!$G507,Severity_Matrix!$C$2:$M$2,0)),"No errors"))</f>
        <v>Major</v>
      </c>
    </row>
    <row r="508" spans="1:10">
      <c r="A508" s="89" t="s">
        <v>1096</v>
      </c>
      <c r="B508" s="18">
        <v>3</v>
      </c>
      <c r="C508" s="80" t="s">
        <v>1097</v>
      </c>
      <c r="D508" s="78" t="s">
        <v>1098</v>
      </c>
      <c r="E508" s="81" t="s">
        <v>21</v>
      </c>
      <c r="F508" s="81" t="s">
        <v>7</v>
      </c>
      <c r="G508" s="81" t="s">
        <v>57</v>
      </c>
      <c r="H508" s="81" t="s">
        <v>1101</v>
      </c>
      <c r="I508" s="81"/>
      <c r="J508" s="15" t="str">
        <f>IF(E508="Invalid_Segment","Invalid",IFERROR(INDEX(Severity_Matrix!$C$3:$M$10,MATCH('Error Log'!$F508,Severity_Matrix!$B$3:$B$10,0),MATCH('Error Log'!$G508,Severity_Matrix!$C$2:$M$2,0)),"No errors"))</f>
        <v>Critical</v>
      </c>
    </row>
    <row r="509" spans="1:10">
      <c r="A509" s="120" t="s">
        <v>1102</v>
      </c>
      <c r="B509" s="90">
        <v>1</v>
      </c>
      <c r="C509" s="78" t="s">
        <v>1103</v>
      </c>
      <c r="D509" s="78" t="s">
        <v>1104</v>
      </c>
      <c r="E509" s="91" t="s">
        <v>2</v>
      </c>
      <c r="F509" s="91" t="s">
        <v>26</v>
      </c>
      <c r="G509" s="91" t="s">
        <v>57</v>
      </c>
      <c r="H509" s="91" t="s">
        <v>1105</v>
      </c>
      <c r="I509" s="91"/>
      <c r="J509" s="15" t="str">
        <f>IF(E509="Invalid_Segment","Invalid",IFERROR(INDEX(Severity_Matrix!$C$3:$M$10,MATCH('Error Log'!$F509,Severity_Matrix!$B$3:$B$10,0),MATCH('Error Log'!$G509,Severity_Matrix!$C$2:$M$2,0)),"No errors"))</f>
        <v>Major</v>
      </c>
    </row>
    <row r="510" spans="1:10">
      <c r="A510" s="120" t="s">
        <v>1102</v>
      </c>
      <c r="B510" s="90">
        <v>2</v>
      </c>
      <c r="C510" s="78" t="s">
        <v>1103</v>
      </c>
      <c r="D510" s="78" t="s">
        <v>1104</v>
      </c>
      <c r="E510" s="91" t="s">
        <v>21</v>
      </c>
      <c r="F510" s="91" t="s">
        <v>22</v>
      </c>
      <c r="G510" s="91" t="s">
        <v>57</v>
      </c>
      <c r="H510" s="91" t="s">
        <v>1106</v>
      </c>
      <c r="I510" s="91"/>
      <c r="J510" s="15" t="str">
        <f>IF(E510="Invalid_Segment","Invalid",IFERROR(INDEX(Severity_Matrix!$C$3:$M$10,MATCH('Error Log'!$F510,Severity_Matrix!$B$3:$B$10,0),MATCH('Error Log'!$G510,Severity_Matrix!$C$2:$M$2,0)),"No errors"))</f>
        <v>Major</v>
      </c>
    </row>
    <row r="511" spans="1:10">
      <c r="A511" s="120" t="s">
        <v>1102</v>
      </c>
      <c r="B511" s="90">
        <v>3</v>
      </c>
      <c r="C511" s="78" t="s">
        <v>1103</v>
      </c>
      <c r="D511" s="78" t="s">
        <v>1104</v>
      </c>
      <c r="E511" s="91" t="s">
        <v>21</v>
      </c>
      <c r="F511" s="91" t="s">
        <v>7</v>
      </c>
      <c r="G511" s="91" t="s">
        <v>57</v>
      </c>
      <c r="H511" s="91" t="s">
        <v>1107</v>
      </c>
      <c r="I511" s="91"/>
      <c r="J511" s="15" t="str">
        <f>IF(E511="Invalid_Segment","Invalid",IFERROR(INDEX(Severity_Matrix!$C$3:$M$10,MATCH('Error Log'!$F511,Severity_Matrix!$B$3:$B$10,0),MATCH('Error Log'!$G511,Severity_Matrix!$C$2:$M$2,0)),"No errors"))</f>
        <v>Critical</v>
      </c>
    </row>
    <row r="512" spans="1:10">
      <c r="A512" s="120" t="s">
        <v>1108</v>
      </c>
      <c r="B512" s="18">
        <v>1</v>
      </c>
      <c r="C512" s="78" t="s">
        <v>1109</v>
      </c>
      <c r="D512" s="78" t="s">
        <v>1110</v>
      </c>
      <c r="E512" s="81" t="s">
        <v>21</v>
      </c>
      <c r="F512" s="81" t="s">
        <v>22</v>
      </c>
      <c r="G512" s="81" t="s">
        <v>57</v>
      </c>
      <c r="H512" s="80" t="s">
        <v>1111</v>
      </c>
      <c r="I512" s="81"/>
      <c r="J512" s="15" t="str">
        <f>IF(E512="Invalid_Segment","Invalid",IFERROR(INDEX(Severity_Matrix!$C$3:$M$10,MATCH('Error Log'!$F512,Severity_Matrix!$B$3:$B$10,0),MATCH('Error Log'!$G512,Severity_Matrix!$C$2:$M$2,0)),"No errors"))</f>
        <v>Major</v>
      </c>
    </row>
    <row r="513" spans="1:10">
      <c r="A513" s="120" t="s">
        <v>1108</v>
      </c>
      <c r="B513" s="18">
        <v>2</v>
      </c>
      <c r="C513" s="78" t="s">
        <v>1109</v>
      </c>
      <c r="D513" s="78" t="s">
        <v>1110</v>
      </c>
      <c r="E513" s="81" t="s">
        <v>2</v>
      </c>
      <c r="F513" s="81" t="s">
        <v>26</v>
      </c>
      <c r="G513" s="81" t="s">
        <v>57</v>
      </c>
      <c r="H513" s="80" t="s">
        <v>1111</v>
      </c>
      <c r="I513" s="81"/>
      <c r="J513" s="15" t="str">
        <f>IF(E513="Invalid_Segment","Invalid",IFERROR(INDEX(Severity_Matrix!$C$3:$M$10,MATCH('Error Log'!$F513,Severity_Matrix!$B$3:$B$10,0),MATCH('Error Log'!$G513,Severity_Matrix!$C$2:$M$2,0)),"No errors"))</f>
        <v>Major</v>
      </c>
    </row>
    <row r="514" spans="1:10">
      <c r="A514" s="120" t="s">
        <v>1108</v>
      </c>
      <c r="B514" s="18">
        <v>3</v>
      </c>
      <c r="C514" s="78" t="s">
        <v>1109</v>
      </c>
      <c r="D514" s="78" t="s">
        <v>1110</v>
      </c>
      <c r="E514" s="81" t="s">
        <v>2</v>
      </c>
      <c r="F514" s="81" t="s">
        <v>26</v>
      </c>
      <c r="G514" s="81" t="s">
        <v>57</v>
      </c>
      <c r="H514" s="80" t="s">
        <v>1111</v>
      </c>
      <c r="I514" s="81"/>
      <c r="J514" s="15" t="str">
        <f>IF(E514="Invalid_Segment","Invalid",IFERROR(INDEX(Severity_Matrix!$C$3:$M$10,MATCH('Error Log'!$F514,Severity_Matrix!$B$3:$B$10,0),MATCH('Error Log'!$G514,Severity_Matrix!$C$2:$M$2,0)),"No errors"))</f>
        <v>Major</v>
      </c>
    </row>
    <row r="515" spans="1:10">
      <c r="A515" s="120" t="s">
        <v>1108</v>
      </c>
      <c r="B515" s="18">
        <v>4</v>
      </c>
      <c r="C515" s="78" t="s">
        <v>1109</v>
      </c>
      <c r="D515" s="78" t="s">
        <v>1110</v>
      </c>
      <c r="E515" s="81" t="s">
        <v>21</v>
      </c>
      <c r="F515" s="81" t="s">
        <v>7</v>
      </c>
      <c r="G515" s="81" t="s">
        <v>57</v>
      </c>
      <c r="H515" s="80" t="s">
        <v>1112</v>
      </c>
      <c r="I515" s="81"/>
      <c r="J515" s="15" t="str">
        <f>IF(E515="Invalid_Segment","Invalid",IFERROR(INDEX(Severity_Matrix!$C$3:$M$10,MATCH('Error Log'!$F515,Severity_Matrix!$B$3:$B$10,0),MATCH('Error Log'!$G515,Severity_Matrix!$C$2:$M$2,0)),"No errors"))</f>
        <v>Critical</v>
      </c>
    </row>
    <row r="516" spans="1:10">
      <c r="A516" s="120" t="s">
        <v>1108</v>
      </c>
      <c r="B516" s="18">
        <v>5</v>
      </c>
      <c r="C516" s="78" t="s">
        <v>1109</v>
      </c>
      <c r="D516" s="78" t="s">
        <v>1110</v>
      </c>
      <c r="E516" s="81" t="s">
        <v>21</v>
      </c>
      <c r="F516" s="81" t="s">
        <v>7</v>
      </c>
      <c r="G516" s="81" t="s">
        <v>57</v>
      </c>
      <c r="H516" s="80" t="s">
        <v>1113</v>
      </c>
      <c r="I516" s="81"/>
      <c r="J516" s="15" t="str">
        <f>IF(E516="Invalid_Segment","Invalid",IFERROR(INDEX(Severity_Matrix!$C$3:$M$10,MATCH('Error Log'!$F516,Severity_Matrix!$B$3:$B$10,0),MATCH('Error Log'!$G516,Severity_Matrix!$C$2:$M$2,0)),"No errors"))</f>
        <v>Critical</v>
      </c>
    </row>
    <row r="517" spans="1:10">
      <c r="A517" s="120" t="s">
        <v>1108</v>
      </c>
      <c r="B517" s="18">
        <v>6</v>
      </c>
      <c r="C517" s="78" t="s">
        <v>1109</v>
      </c>
      <c r="D517" s="78" t="s">
        <v>1110</v>
      </c>
      <c r="E517" s="81" t="s">
        <v>21</v>
      </c>
      <c r="F517" s="81" t="s">
        <v>7</v>
      </c>
      <c r="G517" s="81" t="s">
        <v>57</v>
      </c>
      <c r="H517" s="80" t="s">
        <v>1114</v>
      </c>
      <c r="I517" s="81"/>
      <c r="J517" s="15" t="str">
        <f>IF(E517="Invalid_Segment","Invalid",IFERROR(INDEX(Severity_Matrix!$C$3:$M$10,MATCH('Error Log'!$F517,Severity_Matrix!$B$3:$B$10,0),MATCH('Error Log'!$G517,Severity_Matrix!$C$2:$M$2,0)),"No errors"))</f>
        <v>Critical</v>
      </c>
    </row>
    <row r="518" spans="1:10">
      <c r="A518" s="120" t="s">
        <v>1115</v>
      </c>
      <c r="B518" s="18">
        <v>1</v>
      </c>
      <c r="C518" s="78" t="s">
        <v>1116</v>
      </c>
      <c r="D518" s="78" t="s">
        <v>1117</v>
      </c>
      <c r="E518" s="81" t="s">
        <v>21</v>
      </c>
      <c r="F518" s="81" t="s">
        <v>22</v>
      </c>
      <c r="G518" s="81" t="s">
        <v>57</v>
      </c>
      <c r="H518" s="81" t="s">
        <v>1118</v>
      </c>
      <c r="I518" s="81"/>
      <c r="J518" s="15" t="str">
        <f>IF(E518="Invalid_Segment","Invalid",IFERROR(INDEX(Severity_Matrix!$C$3:$M$10,MATCH('Error Log'!$F518,Severity_Matrix!$B$3:$B$10,0),MATCH('Error Log'!$G518,Severity_Matrix!$C$2:$M$2,0)),"No errors"))</f>
        <v>Major</v>
      </c>
    </row>
    <row r="519" spans="1:10">
      <c r="A519" s="120" t="s">
        <v>1115</v>
      </c>
      <c r="B519" s="18">
        <v>2</v>
      </c>
      <c r="C519" s="78" t="s">
        <v>1116</v>
      </c>
      <c r="D519" s="78" t="s">
        <v>1117</v>
      </c>
      <c r="E519" s="81" t="s">
        <v>21</v>
      </c>
      <c r="F519" s="81" t="s">
        <v>7</v>
      </c>
      <c r="G519" s="81" t="s">
        <v>57</v>
      </c>
      <c r="H519" s="81" t="s">
        <v>1119</v>
      </c>
      <c r="I519" s="81"/>
      <c r="J519" s="15" t="str">
        <f>IF(E519="Invalid_Segment","Invalid",IFERROR(INDEX(Severity_Matrix!$C$3:$M$10,MATCH('Error Log'!$F519,Severity_Matrix!$B$3:$B$10,0),MATCH('Error Log'!$G519,Severity_Matrix!$C$2:$M$2,0)),"No errors"))</f>
        <v>Critical</v>
      </c>
    </row>
    <row r="520" spans="1:10">
      <c r="A520" s="120" t="s">
        <v>1120</v>
      </c>
      <c r="B520" s="18">
        <v>1</v>
      </c>
      <c r="C520" s="78" t="s">
        <v>1121</v>
      </c>
      <c r="D520" s="78" t="s">
        <v>1122</v>
      </c>
      <c r="E520" s="81" t="s">
        <v>21</v>
      </c>
      <c r="F520" s="81" t="s">
        <v>22</v>
      </c>
      <c r="G520" s="81" t="s">
        <v>57</v>
      </c>
      <c r="H520" s="81" t="s">
        <v>1123</v>
      </c>
      <c r="I520" s="81"/>
      <c r="J520" s="15" t="str">
        <f>IF(E520="Invalid_Segment","Invalid",IFERROR(INDEX(Severity_Matrix!$C$3:$M$10,MATCH('Error Log'!$F520,Severity_Matrix!$B$3:$B$10,0),MATCH('Error Log'!$G520,Severity_Matrix!$C$2:$M$2,0)),"No errors"))</f>
        <v>Major</v>
      </c>
    </row>
    <row r="521" spans="1:10">
      <c r="A521" s="120" t="s">
        <v>1120</v>
      </c>
      <c r="B521" s="18">
        <v>2</v>
      </c>
      <c r="C521" s="78" t="s">
        <v>1121</v>
      </c>
      <c r="D521" s="78" t="s">
        <v>1122</v>
      </c>
      <c r="E521" s="81" t="s">
        <v>21</v>
      </c>
      <c r="F521" s="81" t="s">
        <v>7</v>
      </c>
      <c r="G521" s="81" t="s">
        <v>57</v>
      </c>
      <c r="H521" s="87" t="s">
        <v>1124</v>
      </c>
      <c r="I521" s="81"/>
      <c r="J521" s="15" t="str">
        <f>IF(E521="Invalid_Segment","Invalid",IFERROR(INDEX(Severity_Matrix!$C$3:$M$10,MATCH('Error Log'!$F521,Severity_Matrix!$B$3:$B$10,0),MATCH('Error Log'!$G521,Severity_Matrix!$C$2:$M$2,0)),"No errors"))</f>
        <v>Critical</v>
      </c>
    </row>
    <row r="522" spans="1:10">
      <c r="A522" s="89" t="s">
        <v>1125</v>
      </c>
      <c r="B522" s="18">
        <v>1</v>
      </c>
      <c r="C522" s="80" t="s">
        <v>1126</v>
      </c>
      <c r="D522" s="78" t="s">
        <v>1127</v>
      </c>
      <c r="E522" s="81" t="s">
        <v>21</v>
      </c>
      <c r="F522" s="81" t="s">
        <v>7</v>
      </c>
      <c r="G522" s="81" t="s">
        <v>57</v>
      </c>
      <c r="H522" s="81" t="s">
        <v>1128</v>
      </c>
      <c r="I522" s="81"/>
      <c r="J522" s="15" t="str">
        <f>IF(E522="Invalid_Segment","Invalid",IFERROR(INDEX(Severity_Matrix!$C$3:$M$10,MATCH('Error Log'!$F522,Severity_Matrix!$B$3:$B$10,0),MATCH('Error Log'!$G522,Severity_Matrix!$C$2:$M$2,0)),"No errors"))</f>
        <v>Critical</v>
      </c>
    </row>
    <row r="523" spans="1:10">
      <c r="A523" s="89" t="s">
        <v>1129</v>
      </c>
      <c r="B523" s="18">
        <v>1</v>
      </c>
      <c r="C523" s="80" t="s">
        <v>1130</v>
      </c>
      <c r="D523" s="78" t="s">
        <v>1131</v>
      </c>
      <c r="E523" s="81" t="s">
        <v>21</v>
      </c>
      <c r="F523" s="81" t="s">
        <v>22</v>
      </c>
      <c r="G523" s="81" t="s">
        <v>57</v>
      </c>
      <c r="H523" s="81" t="s">
        <v>1132</v>
      </c>
      <c r="I523" s="81"/>
      <c r="J523" s="15" t="str">
        <f>IF(E523="Invalid_Segment","Invalid",IFERROR(INDEX(Severity_Matrix!$C$3:$M$10,MATCH('Error Log'!$F523,Severity_Matrix!$B$3:$B$10,0),MATCH('Error Log'!$G523,Severity_Matrix!$C$2:$M$2,0)),"No errors"))</f>
        <v>Major</v>
      </c>
    </row>
    <row r="524" spans="1:10">
      <c r="A524" s="89" t="s">
        <v>1129</v>
      </c>
      <c r="B524" s="18">
        <v>2</v>
      </c>
      <c r="C524" s="80" t="s">
        <v>1130</v>
      </c>
      <c r="D524" s="78" t="s">
        <v>1131</v>
      </c>
      <c r="E524" s="81" t="s">
        <v>21</v>
      </c>
      <c r="F524" s="81" t="s">
        <v>22</v>
      </c>
      <c r="G524" s="81" t="s">
        <v>57</v>
      </c>
      <c r="H524" s="81" t="s">
        <v>1133</v>
      </c>
      <c r="I524" s="81"/>
      <c r="J524" s="15" t="str">
        <f>IF(E524="Invalid_Segment","Invalid",IFERROR(INDEX(Severity_Matrix!$C$3:$M$10,MATCH('Error Log'!$F524,Severity_Matrix!$B$3:$B$10,0),MATCH('Error Log'!$G524,Severity_Matrix!$C$2:$M$2,0)),"No errors"))</f>
        <v>Major</v>
      </c>
    </row>
    <row r="525" spans="1:10">
      <c r="A525" s="89" t="s">
        <v>1129</v>
      </c>
      <c r="B525" s="18">
        <v>3</v>
      </c>
      <c r="C525" s="80" t="s">
        <v>1130</v>
      </c>
      <c r="D525" s="78" t="s">
        <v>1131</v>
      </c>
      <c r="E525" s="81" t="s">
        <v>21</v>
      </c>
      <c r="F525" s="81" t="s">
        <v>7</v>
      </c>
      <c r="G525" s="81" t="s">
        <v>57</v>
      </c>
      <c r="H525" s="81" t="s">
        <v>1134</v>
      </c>
      <c r="I525" s="81"/>
      <c r="J525" s="15" t="str">
        <f>IF(E525="Invalid_Segment","Invalid",IFERROR(INDEX(Severity_Matrix!$C$3:$M$10,MATCH('Error Log'!$F525,Severity_Matrix!$B$3:$B$10,0),MATCH('Error Log'!$G525,Severity_Matrix!$C$2:$M$2,0)),"No errors"))</f>
        <v>Critical</v>
      </c>
    </row>
    <row r="526" spans="1:10">
      <c r="A526" s="89" t="s">
        <v>1129</v>
      </c>
      <c r="B526" s="18">
        <v>4</v>
      </c>
      <c r="C526" s="80" t="s">
        <v>1130</v>
      </c>
      <c r="D526" s="78" t="s">
        <v>1131</v>
      </c>
      <c r="E526" s="81" t="s">
        <v>21</v>
      </c>
      <c r="F526" s="81" t="s">
        <v>7</v>
      </c>
      <c r="G526" s="81" t="s">
        <v>57</v>
      </c>
      <c r="H526" s="81" t="s">
        <v>1135</v>
      </c>
      <c r="I526" s="81"/>
      <c r="J526" s="15" t="str">
        <f>IF(E526="Invalid_Segment","Invalid",IFERROR(INDEX(Severity_Matrix!$C$3:$M$10,MATCH('Error Log'!$F526,Severity_Matrix!$B$3:$B$10,0),MATCH('Error Log'!$G526,Severity_Matrix!$C$2:$M$2,0)),"No errors"))</f>
        <v>Critical</v>
      </c>
    </row>
    <row r="527" spans="1:10">
      <c r="A527" s="89" t="s">
        <v>1136</v>
      </c>
      <c r="B527" s="18">
        <v>1</v>
      </c>
      <c r="C527" s="80" t="s">
        <v>1137</v>
      </c>
      <c r="D527" s="78" t="s">
        <v>1138</v>
      </c>
      <c r="E527" s="81" t="s">
        <v>21</v>
      </c>
      <c r="F527" s="81" t="s">
        <v>22</v>
      </c>
      <c r="G527" s="81" t="s">
        <v>28</v>
      </c>
      <c r="H527" s="81" t="s">
        <v>1139</v>
      </c>
      <c r="I527" s="81"/>
      <c r="J527" s="15" t="str">
        <f>IF(E527="Invalid_Segment","Invalid",IFERROR(INDEX(Severity_Matrix!$C$3:$M$10,MATCH('Error Log'!$F527,Severity_Matrix!$B$3:$B$10,0),MATCH('Error Log'!$G527,Severity_Matrix!$C$2:$M$2,0)),"No errors"))</f>
        <v>Major</v>
      </c>
    </row>
    <row r="528" spans="1:10">
      <c r="A528" s="89" t="s">
        <v>1136</v>
      </c>
      <c r="B528" s="18">
        <v>2</v>
      </c>
      <c r="C528" s="80" t="s">
        <v>1137</v>
      </c>
      <c r="D528" s="78" t="s">
        <v>1138</v>
      </c>
      <c r="E528" s="81" t="s">
        <v>21</v>
      </c>
      <c r="F528" s="81" t="s">
        <v>7</v>
      </c>
      <c r="G528" s="81" t="s">
        <v>57</v>
      </c>
      <c r="H528" s="81" t="s">
        <v>1140</v>
      </c>
      <c r="I528" s="81"/>
      <c r="J528" s="15" t="str">
        <f>IF(E528="Invalid_Segment","Invalid",IFERROR(INDEX(Severity_Matrix!$C$3:$M$10,MATCH('Error Log'!$F528,Severity_Matrix!$B$3:$B$10,0),MATCH('Error Log'!$G528,Severity_Matrix!$C$2:$M$2,0)),"No errors"))</f>
        <v>Critical</v>
      </c>
    </row>
    <row r="529" spans="1:10">
      <c r="A529" s="89" t="s">
        <v>1136</v>
      </c>
      <c r="B529" s="18">
        <v>3</v>
      </c>
      <c r="C529" s="80" t="s">
        <v>1137</v>
      </c>
      <c r="D529" s="78" t="s">
        <v>1138</v>
      </c>
      <c r="E529" s="81" t="s">
        <v>21</v>
      </c>
      <c r="F529" s="81" t="s">
        <v>7</v>
      </c>
      <c r="G529" s="81" t="s">
        <v>57</v>
      </c>
      <c r="H529" s="81" t="s">
        <v>1141</v>
      </c>
      <c r="I529" s="81"/>
      <c r="J529" s="15" t="str">
        <f>IF(E529="Invalid_Segment","Invalid",IFERROR(INDEX(Severity_Matrix!$C$3:$M$10,MATCH('Error Log'!$F529,Severity_Matrix!$B$3:$B$10,0),MATCH('Error Log'!$G529,Severity_Matrix!$C$2:$M$2,0)),"No errors"))</f>
        <v>Critical</v>
      </c>
    </row>
    <row r="530" spans="1:10">
      <c r="A530" s="89" t="s">
        <v>1136</v>
      </c>
      <c r="B530" s="18">
        <v>4</v>
      </c>
      <c r="C530" s="80" t="s">
        <v>1137</v>
      </c>
      <c r="D530" s="78" t="s">
        <v>1138</v>
      </c>
      <c r="E530" s="81" t="s">
        <v>21</v>
      </c>
      <c r="F530" s="81" t="s">
        <v>22</v>
      </c>
      <c r="G530" s="81" t="s">
        <v>57</v>
      </c>
      <c r="H530" s="81" t="s">
        <v>1142</v>
      </c>
      <c r="I530" s="81"/>
      <c r="J530" s="15" t="str">
        <f>IF(E530="Invalid_Segment","Invalid",IFERROR(INDEX(Severity_Matrix!$C$3:$M$10,MATCH('Error Log'!$F530,Severity_Matrix!$B$3:$B$10,0),MATCH('Error Log'!$G530,Severity_Matrix!$C$2:$M$2,0)),"No errors"))</f>
        <v>Major</v>
      </c>
    </row>
    <row r="531" spans="1:10">
      <c r="A531" s="19"/>
      <c r="B531" s="18"/>
      <c r="C531" s="20"/>
      <c r="D531" s="20"/>
      <c r="E531" s="14"/>
      <c r="F531" s="14"/>
      <c r="G531" s="14"/>
      <c r="H531" s="14"/>
      <c r="I531" s="14"/>
      <c r="J531" s="15"/>
    </row>
    <row r="532" spans="1:10">
      <c r="A532" s="19"/>
      <c r="B532" s="18"/>
      <c r="C532" s="20"/>
      <c r="D532" s="20"/>
      <c r="E532" s="14"/>
      <c r="F532" s="14"/>
      <c r="G532" s="14"/>
      <c r="H532" s="14"/>
      <c r="I532" s="14"/>
      <c r="J532" s="15"/>
    </row>
    <row r="533" spans="1:10">
      <c r="A533" s="19"/>
      <c r="B533" s="18"/>
      <c r="C533" s="20"/>
      <c r="D533" s="20"/>
      <c r="E533" s="14"/>
      <c r="F533" s="14"/>
      <c r="G533" s="14"/>
      <c r="H533" s="14"/>
      <c r="I533" s="14"/>
      <c r="J533" s="15"/>
    </row>
    <row r="534" spans="1:10">
      <c r="A534" s="19"/>
      <c r="B534" s="18"/>
      <c r="C534" s="20"/>
      <c r="D534" s="20"/>
      <c r="E534" s="14"/>
      <c r="F534" s="14"/>
      <c r="G534" s="14"/>
      <c r="H534" s="14"/>
      <c r="I534" s="14"/>
      <c r="J534" s="15"/>
    </row>
    <row r="535" spans="1:10">
      <c r="A535" s="19"/>
      <c r="B535" s="18"/>
      <c r="C535" s="20"/>
      <c r="D535" s="20"/>
      <c r="E535" s="14"/>
      <c r="F535" s="14"/>
      <c r="G535" s="14"/>
      <c r="H535" s="14"/>
      <c r="I535" s="14"/>
      <c r="J535" s="15"/>
    </row>
    <row r="536" spans="1:10">
      <c r="A536" s="19"/>
      <c r="B536" s="18"/>
      <c r="C536" s="20"/>
      <c r="D536" s="20"/>
      <c r="E536" s="14"/>
      <c r="F536" s="14"/>
      <c r="G536" s="14"/>
      <c r="H536" s="14"/>
      <c r="I536" s="14"/>
      <c r="J536" s="15"/>
    </row>
    <row r="537" spans="1:10">
      <c r="A537" s="19"/>
      <c r="B537" s="18"/>
      <c r="C537" s="20"/>
      <c r="D537" s="20"/>
      <c r="E537" s="14"/>
      <c r="F537" s="14"/>
      <c r="G537" s="14"/>
      <c r="H537" s="14"/>
      <c r="I537" s="14"/>
      <c r="J537" s="15"/>
    </row>
    <row r="538" spans="1:10">
      <c r="A538" s="19"/>
      <c r="B538" s="18"/>
      <c r="C538" s="20"/>
      <c r="D538" s="20"/>
      <c r="E538" s="14"/>
      <c r="F538" s="14"/>
      <c r="G538" s="14"/>
      <c r="H538" s="14"/>
      <c r="I538" s="14"/>
      <c r="J538" s="15"/>
    </row>
    <row r="539" spans="1:10">
      <c r="A539" s="19"/>
      <c r="B539" s="18"/>
      <c r="C539" s="20"/>
      <c r="D539" s="20"/>
      <c r="E539" s="14"/>
      <c r="F539" s="14"/>
      <c r="G539" s="14"/>
      <c r="H539" s="14"/>
      <c r="I539" s="14"/>
      <c r="J539" s="15"/>
    </row>
    <row r="540" spans="1:10">
      <c r="A540" s="19"/>
      <c r="B540" s="18"/>
      <c r="C540" s="20"/>
      <c r="D540" s="20"/>
      <c r="E540" s="14"/>
      <c r="F540" s="14"/>
      <c r="G540" s="14"/>
      <c r="H540" s="14"/>
      <c r="I540" s="14"/>
      <c r="J540" s="15"/>
    </row>
    <row r="541" spans="1:10">
      <c r="A541" s="19"/>
      <c r="B541" s="18"/>
      <c r="C541" s="20"/>
      <c r="D541" s="20"/>
      <c r="E541" s="14"/>
      <c r="F541" s="14"/>
      <c r="G541" s="14"/>
      <c r="H541" s="14"/>
      <c r="I541" s="14"/>
      <c r="J541" s="15"/>
    </row>
    <row r="542" spans="1:10">
      <c r="A542" s="19"/>
      <c r="B542" s="18"/>
      <c r="C542" s="20"/>
      <c r="D542" s="20"/>
      <c r="E542" s="14"/>
      <c r="F542" s="14"/>
      <c r="G542" s="14"/>
      <c r="H542" s="14"/>
      <c r="I542" s="14"/>
      <c r="J542" s="15"/>
    </row>
    <row r="543" spans="1:10">
      <c r="A543" s="19"/>
      <c r="B543" s="18"/>
      <c r="C543" s="20"/>
      <c r="D543" s="20"/>
      <c r="E543" s="14"/>
      <c r="F543" s="14"/>
      <c r="G543" s="14"/>
      <c r="H543" s="14"/>
      <c r="I543" s="14"/>
      <c r="J543" s="15"/>
    </row>
    <row r="544" spans="1:10">
      <c r="A544" s="19"/>
      <c r="B544" s="18"/>
      <c r="C544" s="20"/>
      <c r="D544" s="20"/>
      <c r="E544" s="14"/>
      <c r="F544" s="14"/>
      <c r="G544" s="14"/>
      <c r="H544" s="14"/>
      <c r="I544" s="14"/>
      <c r="J544" s="15"/>
    </row>
    <row r="545" spans="1:10">
      <c r="A545" s="19"/>
      <c r="B545" s="18"/>
      <c r="C545" s="20"/>
      <c r="D545" s="20"/>
      <c r="E545" s="14"/>
      <c r="F545" s="14"/>
      <c r="G545" s="14"/>
      <c r="H545" s="14"/>
      <c r="I545" s="14"/>
      <c r="J545" s="15"/>
    </row>
    <row r="546" spans="1:10">
      <c r="A546" s="19"/>
      <c r="B546" s="18"/>
      <c r="C546" s="20"/>
      <c r="D546" s="20"/>
      <c r="E546" s="14"/>
      <c r="F546" s="14"/>
      <c r="G546" s="14"/>
      <c r="H546" s="14"/>
      <c r="I546" s="14"/>
      <c r="J546" s="15"/>
    </row>
    <row r="547" spans="1:10">
      <c r="A547" s="19"/>
      <c r="B547" s="18"/>
      <c r="C547" s="20"/>
      <c r="D547" s="20"/>
      <c r="E547" s="14"/>
      <c r="F547" s="14"/>
      <c r="G547" s="14"/>
      <c r="H547" s="14"/>
      <c r="I547" s="14"/>
      <c r="J547" s="15"/>
    </row>
    <row r="548" spans="1:10">
      <c r="A548" s="19"/>
      <c r="B548" s="18"/>
      <c r="C548" s="20"/>
      <c r="D548" s="20"/>
      <c r="E548" s="14"/>
      <c r="F548" s="14"/>
      <c r="G548" s="14"/>
      <c r="H548" s="14"/>
      <c r="I548" s="14"/>
      <c r="J548" s="15"/>
    </row>
    <row r="549" spans="1:10">
      <c r="A549" s="19"/>
      <c r="B549" s="18"/>
      <c r="C549" s="20"/>
      <c r="D549" s="20"/>
      <c r="E549" s="14"/>
      <c r="F549" s="14"/>
      <c r="G549" s="14"/>
      <c r="H549" s="14"/>
      <c r="I549" s="14"/>
      <c r="J549" s="15"/>
    </row>
    <row r="550" spans="1:10">
      <c r="A550" s="19"/>
      <c r="B550" s="18"/>
      <c r="C550" s="20"/>
      <c r="D550" s="20"/>
      <c r="E550" s="14"/>
      <c r="F550" s="14"/>
      <c r="G550" s="14"/>
      <c r="H550" s="14"/>
      <c r="I550" s="14"/>
      <c r="J550" s="15"/>
    </row>
    <row r="551" spans="1:10">
      <c r="A551" s="19"/>
      <c r="B551" s="18"/>
      <c r="C551" s="20"/>
      <c r="D551" s="20"/>
      <c r="E551" s="14"/>
      <c r="F551" s="14"/>
      <c r="G551" s="14"/>
      <c r="H551" s="14"/>
      <c r="I551" s="14"/>
      <c r="J551" s="15"/>
    </row>
    <row r="552" spans="1:10">
      <c r="A552" s="19"/>
      <c r="B552" s="18"/>
      <c r="C552" s="20"/>
      <c r="D552" s="20"/>
      <c r="E552" s="14"/>
      <c r="F552" s="14"/>
      <c r="G552" s="14"/>
      <c r="H552" s="14"/>
      <c r="I552" s="14"/>
      <c r="J552" s="15"/>
    </row>
    <row r="553" spans="1:10">
      <c r="A553" s="19"/>
      <c r="B553" s="18"/>
      <c r="C553" s="20"/>
      <c r="D553" s="20"/>
      <c r="E553" s="14"/>
      <c r="F553" s="14"/>
      <c r="G553" s="14"/>
      <c r="H553" s="14"/>
      <c r="I553" s="14"/>
      <c r="J553" s="15"/>
    </row>
    <row r="554" spans="1:10">
      <c r="A554" s="19"/>
      <c r="B554" s="18"/>
      <c r="C554" s="20"/>
      <c r="D554" s="20"/>
      <c r="E554" s="14"/>
      <c r="F554" s="14"/>
      <c r="G554" s="14"/>
      <c r="H554" s="14"/>
      <c r="I554" s="14"/>
      <c r="J554" s="15"/>
    </row>
    <row r="555" spans="1:10">
      <c r="A555" s="19"/>
      <c r="B555" s="18"/>
      <c r="C555" s="20"/>
      <c r="D555" s="20"/>
      <c r="E555" s="14"/>
      <c r="F555" s="14"/>
      <c r="G555" s="14"/>
      <c r="H555" s="14"/>
      <c r="I555" s="14"/>
      <c r="J555" s="15"/>
    </row>
    <row r="556" spans="1:10">
      <c r="A556" s="19"/>
      <c r="B556" s="18"/>
      <c r="C556" s="20"/>
      <c r="D556" s="20"/>
      <c r="E556" s="14"/>
      <c r="F556" s="14"/>
      <c r="G556" s="14"/>
      <c r="H556" s="14"/>
      <c r="I556" s="14"/>
      <c r="J556" s="15"/>
    </row>
    <row r="557" spans="1:10">
      <c r="A557" s="19"/>
      <c r="B557" s="18"/>
      <c r="C557" s="20"/>
      <c r="D557" s="20"/>
      <c r="E557" s="14"/>
      <c r="F557" s="14"/>
      <c r="G557" s="14"/>
      <c r="H557" s="14"/>
      <c r="I557" s="14"/>
      <c r="J557" s="15"/>
    </row>
    <row r="558" spans="1:10">
      <c r="A558" s="19"/>
      <c r="B558" s="18"/>
      <c r="C558" s="20"/>
      <c r="D558" s="20"/>
      <c r="E558" s="14"/>
      <c r="F558" s="14"/>
      <c r="G558" s="14"/>
      <c r="H558" s="14"/>
      <c r="I558" s="14"/>
      <c r="J558" s="15"/>
    </row>
    <row r="559" spans="1:10">
      <c r="A559" s="19"/>
      <c r="B559" s="18"/>
      <c r="C559" s="20"/>
      <c r="D559" s="20"/>
      <c r="E559" s="14"/>
      <c r="F559" s="14"/>
      <c r="G559" s="14"/>
      <c r="H559" s="14"/>
      <c r="I559" s="14"/>
      <c r="J559" s="15"/>
    </row>
    <row r="560" spans="1:10">
      <c r="A560" s="19"/>
      <c r="B560" s="18"/>
      <c r="C560" s="20"/>
      <c r="D560" s="20"/>
      <c r="E560" s="14"/>
      <c r="F560" s="14"/>
      <c r="G560" s="14"/>
      <c r="H560" s="14"/>
      <c r="I560" s="14"/>
      <c r="J560" s="15"/>
    </row>
    <row r="561" spans="1:10">
      <c r="A561" s="19"/>
      <c r="B561" s="18"/>
      <c r="C561" s="20"/>
      <c r="D561" s="20"/>
      <c r="E561" s="14"/>
      <c r="F561" s="14"/>
      <c r="G561" s="14"/>
      <c r="H561" s="14"/>
      <c r="I561" s="14"/>
      <c r="J561" s="15"/>
    </row>
    <row r="562" spans="1:10">
      <c r="A562" s="19"/>
      <c r="B562" s="18"/>
      <c r="C562" s="20"/>
      <c r="D562" s="20"/>
      <c r="E562" s="14"/>
      <c r="F562" s="14"/>
      <c r="G562" s="14"/>
      <c r="H562" s="14"/>
      <c r="I562" s="14"/>
      <c r="J562" s="15"/>
    </row>
    <row r="563" spans="1:10">
      <c r="A563" s="19"/>
      <c r="B563" s="18"/>
      <c r="C563" s="20"/>
      <c r="D563" s="20"/>
      <c r="E563" s="14"/>
      <c r="F563" s="14"/>
      <c r="G563" s="14"/>
      <c r="H563" s="14"/>
      <c r="I563" s="14"/>
      <c r="J563" s="15"/>
    </row>
    <row r="564" spans="1:10">
      <c r="A564" s="19"/>
      <c r="B564" s="18"/>
      <c r="C564" s="20"/>
      <c r="D564" s="20"/>
      <c r="E564" s="14"/>
      <c r="F564" s="14"/>
      <c r="G564" s="14"/>
      <c r="H564" s="14"/>
      <c r="I564" s="14"/>
      <c r="J564" s="15"/>
    </row>
    <row r="565" spans="1:10">
      <c r="A565" s="19"/>
      <c r="B565" s="18"/>
      <c r="C565" s="20"/>
      <c r="D565" s="20"/>
      <c r="E565" s="14"/>
      <c r="F565" s="14"/>
      <c r="G565" s="14"/>
      <c r="H565" s="14"/>
      <c r="I565" s="14"/>
      <c r="J565" s="15"/>
    </row>
    <row r="566" spans="1:10">
      <c r="A566" s="19"/>
      <c r="B566" s="18"/>
      <c r="C566" s="20"/>
      <c r="D566" s="20"/>
      <c r="E566" s="14"/>
      <c r="F566" s="14"/>
      <c r="G566" s="14"/>
      <c r="H566" s="14"/>
      <c r="I566" s="14"/>
      <c r="J566" s="15"/>
    </row>
    <row r="567" spans="1:10">
      <c r="A567" s="19"/>
      <c r="B567" s="18"/>
      <c r="C567" s="20"/>
      <c r="D567" s="20"/>
      <c r="E567" s="14"/>
      <c r="F567" s="14"/>
      <c r="G567" s="14"/>
      <c r="H567" s="14"/>
      <c r="I567" s="14"/>
      <c r="J567" s="15"/>
    </row>
    <row r="568" spans="1:10">
      <c r="A568" s="19"/>
      <c r="B568" s="18"/>
      <c r="C568" s="20"/>
      <c r="D568" s="20"/>
      <c r="E568" s="14"/>
      <c r="F568" s="14"/>
      <c r="G568" s="14"/>
      <c r="H568" s="14"/>
      <c r="I568" s="14"/>
      <c r="J568" s="15"/>
    </row>
    <row r="569" spans="1:10">
      <c r="A569" s="19"/>
      <c r="B569" s="18"/>
      <c r="C569" s="20"/>
      <c r="D569" s="20"/>
      <c r="E569" s="14"/>
      <c r="F569" s="14"/>
      <c r="G569" s="14"/>
      <c r="H569" s="14"/>
      <c r="I569" s="14"/>
      <c r="J569" s="15"/>
    </row>
    <row r="570" spans="1:10">
      <c r="A570" s="19"/>
      <c r="B570" s="18"/>
      <c r="C570" s="20"/>
      <c r="D570" s="20"/>
      <c r="E570" s="14"/>
      <c r="F570" s="14"/>
      <c r="G570" s="14"/>
      <c r="H570" s="14"/>
      <c r="I570" s="14"/>
      <c r="J570" s="15"/>
    </row>
    <row r="571" spans="1:10">
      <c r="A571" s="19"/>
      <c r="B571" s="18"/>
      <c r="C571" s="20"/>
      <c r="D571" s="20"/>
      <c r="E571" s="14"/>
      <c r="F571" s="14"/>
      <c r="G571" s="14"/>
      <c r="H571" s="14"/>
      <c r="I571" s="14"/>
      <c r="J571" s="15"/>
    </row>
    <row r="572" spans="1:10">
      <c r="A572" s="19"/>
      <c r="B572" s="18"/>
      <c r="C572" s="20"/>
      <c r="D572" s="20"/>
      <c r="E572" s="14"/>
      <c r="F572" s="14"/>
      <c r="G572" s="14"/>
      <c r="H572" s="14"/>
      <c r="I572" s="14"/>
      <c r="J572" s="15"/>
    </row>
    <row r="573" spans="1:10">
      <c r="A573" s="19"/>
      <c r="B573" s="18"/>
      <c r="C573" s="20"/>
      <c r="D573" s="20"/>
      <c r="E573" s="14"/>
      <c r="F573" s="14"/>
      <c r="G573" s="14"/>
      <c r="H573" s="14"/>
      <c r="I573" s="14"/>
      <c r="J573" s="15"/>
    </row>
    <row r="574" spans="1:10">
      <c r="A574" s="19"/>
      <c r="B574" s="18"/>
      <c r="C574" s="20"/>
      <c r="D574" s="20"/>
      <c r="E574" s="14"/>
      <c r="F574" s="14"/>
      <c r="G574" s="14"/>
      <c r="H574" s="14"/>
      <c r="I574" s="14"/>
      <c r="J574" s="15"/>
    </row>
    <row r="575" spans="1:10">
      <c r="A575" s="19"/>
      <c r="B575" s="18"/>
      <c r="C575" s="20"/>
      <c r="D575" s="20"/>
      <c r="E575" s="14"/>
      <c r="F575" s="14"/>
      <c r="G575" s="14"/>
      <c r="H575" s="14"/>
      <c r="I575" s="14"/>
      <c r="J575" s="15"/>
    </row>
    <row r="576" spans="1:10">
      <c r="A576" s="19"/>
      <c r="B576" s="18"/>
      <c r="C576" s="20"/>
      <c r="D576" s="20"/>
      <c r="E576" s="14"/>
      <c r="F576" s="14"/>
      <c r="G576" s="14"/>
      <c r="H576" s="14"/>
      <c r="I576" s="14"/>
      <c r="J576" s="15"/>
    </row>
    <row r="577" spans="1:10">
      <c r="A577" s="19"/>
      <c r="B577" s="18"/>
      <c r="C577" s="20"/>
      <c r="D577" s="20"/>
      <c r="E577" s="14"/>
      <c r="F577" s="14"/>
      <c r="G577" s="14"/>
      <c r="H577" s="14"/>
      <c r="I577" s="14"/>
      <c r="J577" s="15"/>
    </row>
    <row r="578" spans="1:10">
      <c r="A578" s="19"/>
      <c r="B578" s="18"/>
      <c r="C578" s="20"/>
      <c r="D578" s="20"/>
      <c r="E578" s="14"/>
      <c r="F578" s="14"/>
      <c r="G578" s="14"/>
      <c r="H578" s="14"/>
      <c r="I578" s="14"/>
      <c r="J578" s="15"/>
    </row>
    <row r="579" spans="1:10">
      <c r="A579" s="19"/>
      <c r="B579" s="18"/>
      <c r="C579" s="20"/>
      <c r="D579" s="20"/>
      <c r="E579" s="14"/>
      <c r="F579" s="14"/>
      <c r="G579" s="14"/>
      <c r="H579" s="14"/>
      <c r="I579" s="14"/>
      <c r="J579" s="15"/>
    </row>
    <row r="580" spans="1:10">
      <c r="A580" s="19"/>
      <c r="B580" s="18"/>
      <c r="C580" s="20"/>
      <c r="D580" s="20"/>
      <c r="E580" s="14"/>
      <c r="F580" s="14"/>
      <c r="G580" s="14"/>
      <c r="H580" s="14"/>
      <c r="I580" s="14"/>
      <c r="J580" s="15"/>
    </row>
    <row r="581" spans="1:10">
      <c r="A581" s="19"/>
      <c r="B581" s="18"/>
      <c r="C581" s="20"/>
      <c r="D581" s="20"/>
      <c r="E581" s="14"/>
      <c r="F581" s="14"/>
      <c r="G581" s="14"/>
      <c r="H581" s="14"/>
      <c r="I581" s="14"/>
      <c r="J581" s="15"/>
    </row>
    <row r="582" spans="1:10">
      <c r="A582" s="19"/>
      <c r="B582" s="18"/>
      <c r="C582" s="20"/>
      <c r="D582" s="20"/>
      <c r="E582" s="14"/>
      <c r="F582" s="14"/>
      <c r="G582" s="14"/>
      <c r="H582" s="14"/>
      <c r="I582" s="14"/>
      <c r="J582" s="15"/>
    </row>
    <row r="583" spans="1:10">
      <c r="A583" s="19"/>
      <c r="B583" s="18"/>
      <c r="C583" s="20"/>
      <c r="D583" s="20"/>
      <c r="E583" s="14"/>
      <c r="F583" s="14"/>
      <c r="G583" s="14"/>
      <c r="H583" s="14"/>
      <c r="I583" s="14"/>
      <c r="J583" s="15"/>
    </row>
    <row r="584" spans="1:10">
      <c r="A584" s="19"/>
      <c r="B584" s="18"/>
      <c r="C584" s="20"/>
      <c r="D584" s="20"/>
      <c r="E584" s="14"/>
      <c r="F584" s="14"/>
      <c r="G584" s="14"/>
      <c r="H584" s="14"/>
      <c r="I584" s="14"/>
      <c r="J584" s="15"/>
    </row>
    <row r="585" spans="1:10">
      <c r="A585" s="19"/>
      <c r="B585" s="18"/>
      <c r="C585" s="20"/>
      <c r="D585" s="20"/>
      <c r="E585" s="14"/>
      <c r="F585" s="14"/>
      <c r="G585" s="14"/>
      <c r="H585" s="14"/>
      <c r="I585" s="14"/>
      <c r="J585" s="15"/>
    </row>
    <row r="586" spans="1:10">
      <c r="A586" s="19"/>
      <c r="B586" s="18"/>
      <c r="C586" s="20"/>
      <c r="D586" s="20"/>
      <c r="E586" s="14"/>
      <c r="F586" s="14"/>
      <c r="G586" s="14"/>
      <c r="H586" s="14"/>
      <c r="I586" s="14"/>
      <c r="J586" s="15"/>
    </row>
    <row r="587" spans="1:10">
      <c r="A587" s="19"/>
      <c r="B587" s="18"/>
      <c r="C587" s="20"/>
      <c r="D587" s="20"/>
      <c r="E587" s="14"/>
      <c r="F587" s="14"/>
      <c r="G587" s="14"/>
      <c r="H587" s="14"/>
      <c r="I587" s="14"/>
      <c r="J587" s="15"/>
    </row>
    <row r="588" spans="1:10">
      <c r="A588" s="19"/>
      <c r="B588" s="18"/>
      <c r="C588" s="20"/>
      <c r="D588" s="20"/>
      <c r="E588" s="14"/>
      <c r="F588" s="14"/>
      <c r="G588" s="14"/>
      <c r="H588" s="14"/>
      <c r="I588" s="14"/>
      <c r="J588" s="15"/>
    </row>
    <row r="589" spans="1:10">
      <c r="A589" s="19"/>
      <c r="B589" s="18"/>
      <c r="C589" s="20"/>
      <c r="D589" s="20"/>
      <c r="E589" s="14"/>
      <c r="F589" s="14"/>
      <c r="G589" s="14"/>
      <c r="H589" s="14"/>
      <c r="I589" s="14"/>
      <c r="J589" s="15"/>
    </row>
    <row r="590" spans="1:10">
      <c r="A590" s="19"/>
      <c r="B590" s="18"/>
      <c r="C590" s="20"/>
      <c r="D590" s="20"/>
      <c r="E590" s="14"/>
      <c r="F590" s="14"/>
      <c r="G590" s="14"/>
      <c r="H590" s="14"/>
      <c r="I590" s="14"/>
      <c r="J590" s="15"/>
    </row>
    <row r="591" spans="1:10">
      <c r="A591" s="19"/>
      <c r="B591" s="18"/>
      <c r="C591" s="20"/>
      <c r="D591" s="20"/>
      <c r="E591" s="14"/>
      <c r="F591" s="14"/>
      <c r="G591" s="14"/>
      <c r="H591" s="14"/>
      <c r="I591" s="14"/>
      <c r="J591" s="15"/>
    </row>
    <row r="592" spans="1:10">
      <c r="A592" s="19"/>
      <c r="B592" s="18"/>
      <c r="C592" s="20"/>
      <c r="D592" s="20"/>
      <c r="E592" s="14"/>
      <c r="F592" s="14"/>
      <c r="G592" s="14"/>
      <c r="H592" s="14"/>
      <c r="I592" s="14"/>
      <c r="J592" s="15"/>
    </row>
    <row r="593" spans="1:10">
      <c r="A593" s="19"/>
      <c r="B593" s="18"/>
      <c r="C593" s="20"/>
      <c r="D593" s="20"/>
      <c r="E593" s="14"/>
      <c r="F593" s="14"/>
      <c r="G593" s="14"/>
      <c r="H593" s="14"/>
      <c r="I593" s="14"/>
      <c r="J593" s="15"/>
    </row>
    <row r="594" spans="1:10">
      <c r="A594" s="19"/>
      <c r="B594" s="18"/>
      <c r="C594" s="20"/>
      <c r="D594" s="20"/>
      <c r="E594" s="14"/>
      <c r="F594" s="14"/>
      <c r="G594" s="14"/>
      <c r="H594" s="14"/>
      <c r="I594" s="14"/>
      <c r="J594" s="15"/>
    </row>
    <row r="595" spans="1:10">
      <c r="A595" s="19"/>
      <c r="B595" s="18"/>
      <c r="C595" s="20"/>
      <c r="D595" s="20"/>
      <c r="E595" s="14"/>
      <c r="F595" s="14"/>
      <c r="G595" s="14"/>
      <c r="H595" s="14"/>
      <c r="I595" s="14"/>
      <c r="J595" s="15"/>
    </row>
    <row r="596" spans="1:10">
      <c r="A596" s="19"/>
      <c r="B596" s="18"/>
      <c r="C596" s="20"/>
      <c r="D596" s="20"/>
      <c r="E596" s="14"/>
      <c r="F596" s="14"/>
      <c r="G596" s="14"/>
      <c r="H596" s="14"/>
      <c r="I596" s="14"/>
      <c r="J596" s="15"/>
    </row>
    <row r="597" spans="1:10">
      <c r="A597" s="19"/>
      <c r="B597" s="18"/>
      <c r="C597" s="20"/>
      <c r="D597" s="20"/>
      <c r="E597" s="14"/>
      <c r="F597" s="14"/>
      <c r="G597" s="14"/>
      <c r="H597" s="14"/>
      <c r="I597" s="14"/>
      <c r="J597" s="15"/>
    </row>
    <row r="598" spans="1:10">
      <c r="A598" s="19"/>
      <c r="B598" s="18"/>
      <c r="C598" s="20"/>
      <c r="D598" s="20"/>
      <c r="E598" s="14"/>
      <c r="F598" s="14"/>
      <c r="G598" s="14"/>
      <c r="H598" s="14"/>
      <c r="I598" s="14"/>
      <c r="J598" s="15"/>
    </row>
    <row r="599" spans="1:10">
      <c r="A599" s="19"/>
      <c r="B599" s="18"/>
      <c r="C599" s="20"/>
      <c r="D599" s="20"/>
      <c r="E599" s="14"/>
      <c r="F599" s="14"/>
      <c r="G599" s="14"/>
      <c r="H599" s="14"/>
      <c r="I599" s="14"/>
      <c r="J599" s="15"/>
    </row>
    <row r="600" spans="1:10">
      <c r="A600" s="19"/>
      <c r="B600" s="18"/>
      <c r="C600" s="20"/>
      <c r="D600" s="20"/>
      <c r="E600" s="14"/>
      <c r="F600" s="14"/>
      <c r="G600" s="14"/>
      <c r="H600" s="14"/>
      <c r="I600" s="14"/>
      <c r="J600" s="15"/>
    </row>
    <row r="601" spans="1:10">
      <c r="A601" s="19"/>
      <c r="B601" s="18"/>
      <c r="C601" s="20"/>
      <c r="D601" s="20"/>
      <c r="E601" s="14"/>
      <c r="F601" s="14"/>
      <c r="G601" s="14"/>
      <c r="H601" s="14"/>
      <c r="I601" s="14"/>
      <c r="J601" s="15"/>
    </row>
    <row r="602" spans="1:10">
      <c r="A602" s="19"/>
      <c r="B602" s="18"/>
      <c r="C602" s="20"/>
      <c r="D602" s="20"/>
      <c r="E602" s="14"/>
      <c r="F602" s="14"/>
      <c r="G602" s="14"/>
      <c r="H602" s="14"/>
      <c r="I602" s="14"/>
      <c r="J602" s="15"/>
    </row>
    <row r="603" spans="1:10">
      <c r="A603" s="19"/>
      <c r="B603" s="18"/>
      <c r="C603" s="20"/>
      <c r="D603" s="20"/>
      <c r="E603" s="14"/>
      <c r="F603" s="14"/>
      <c r="G603" s="14"/>
      <c r="H603" s="14"/>
      <c r="I603" s="14"/>
      <c r="J603" s="15"/>
    </row>
    <row r="604" spans="1:10">
      <c r="A604" s="19"/>
      <c r="B604" s="18"/>
      <c r="C604" s="20"/>
      <c r="D604" s="20"/>
      <c r="E604" s="14"/>
      <c r="F604" s="14"/>
      <c r="G604" s="14"/>
      <c r="H604" s="14"/>
      <c r="I604" s="14"/>
      <c r="J604" s="15"/>
    </row>
    <row r="605" spans="1:10">
      <c r="A605" s="19"/>
      <c r="B605" s="18"/>
      <c r="C605" s="20"/>
      <c r="D605" s="20"/>
      <c r="E605" s="14"/>
      <c r="F605" s="14"/>
      <c r="G605" s="14"/>
      <c r="H605" s="14"/>
      <c r="I605" s="14"/>
      <c r="J605" s="15"/>
    </row>
    <row r="606" spans="1:10">
      <c r="A606" s="19"/>
      <c r="B606" s="18"/>
      <c r="C606" s="20"/>
      <c r="D606" s="20"/>
      <c r="E606" s="14"/>
      <c r="F606" s="14"/>
      <c r="G606" s="14"/>
      <c r="H606" s="14"/>
      <c r="I606" s="14"/>
      <c r="J606" s="15"/>
    </row>
    <row r="607" spans="1:10">
      <c r="A607" s="19"/>
      <c r="B607" s="18"/>
      <c r="C607" s="20"/>
      <c r="D607" s="20"/>
      <c r="E607" s="14"/>
      <c r="F607" s="14"/>
      <c r="G607" s="14"/>
      <c r="H607" s="14"/>
      <c r="I607" s="14"/>
      <c r="J607" s="15"/>
    </row>
    <row r="608" spans="1:10">
      <c r="A608" s="19"/>
      <c r="B608" s="18"/>
      <c r="C608" s="20"/>
      <c r="D608" s="20"/>
      <c r="E608" s="14"/>
      <c r="F608" s="14"/>
      <c r="G608" s="14"/>
      <c r="H608" s="14"/>
      <c r="I608" s="14"/>
      <c r="J608" s="15"/>
    </row>
    <row r="609" spans="1:10">
      <c r="A609" s="19"/>
      <c r="B609" s="18"/>
      <c r="C609" s="20"/>
      <c r="D609" s="20"/>
      <c r="E609" s="14"/>
      <c r="F609" s="14"/>
      <c r="G609" s="14"/>
      <c r="H609" s="14"/>
      <c r="I609" s="14"/>
      <c r="J609" s="15"/>
    </row>
    <row r="610" spans="1:10">
      <c r="A610" s="19"/>
      <c r="B610" s="18"/>
      <c r="C610" s="20"/>
      <c r="D610" s="20"/>
      <c r="E610" s="14"/>
      <c r="F610" s="14"/>
      <c r="G610" s="14"/>
      <c r="H610" s="14"/>
      <c r="I610" s="14"/>
      <c r="J610" s="15"/>
    </row>
    <row r="611" spans="1:10">
      <c r="A611" s="19"/>
      <c r="B611" s="18"/>
      <c r="C611" s="20"/>
      <c r="D611" s="20"/>
      <c r="E611" s="14"/>
      <c r="F611" s="14"/>
      <c r="G611" s="14"/>
      <c r="H611" s="14"/>
      <c r="I611" s="14"/>
      <c r="J611" s="15"/>
    </row>
    <row r="612" spans="1:10">
      <c r="A612" s="19"/>
      <c r="B612" s="18"/>
      <c r="C612" s="20"/>
      <c r="D612" s="20"/>
      <c r="E612" s="14"/>
      <c r="F612" s="14"/>
      <c r="G612" s="14"/>
      <c r="H612" s="14"/>
      <c r="I612" s="14"/>
      <c r="J612" s="15"/>
    </row>
    <row r="613" spans="1:10">
      <c r="A613" s="19"/>
      <c r="B613" s="18"/>
      <c r="C613" s="20"/>
      <c r="D613" s="20"/>
      <c r="E613" s="14"/>
      <c r="F613" s="14"/>
      <c r="G613" s="14"/>
      <c r="H613" s="14"/>
      <c r="I613" s="14"/>
      <c r="J613" s="15"/>
    </row>
    <row r="614" spans="1:10">
      <c r="A614" s="19"/>
      <c r="B614" s="18"/>
      <c r="C614" s="20"/>
      <c r="D614" s="20"/>
      <c r="E614" s="14"/>
      <c r="F614" s="14"/>
      <c r="G614" s="14"/>
      <c r="H614" s="14"/>
      <c r="I614" s="14"/>
      <c r="J614" s="15"/>
    </row>
    <row r="615" spans="1:10">
      <c r="A615" s="19"/>
      <c r="B615" s="18"/>
      <c r="C615" s="20"/>
      <c r="D615" s="20"/>
      <c r="E615" s="14"/>
      <c r="F615" s="14"/>
      <c r="G615" s="14"/>
      <c r="H615" s="14"/>
      <c r="I615" s="14"/>
      <c r="J615" s="15"/>
    </row>
    <row r="616" spans="1:10">
      <c r="A616" s="19"/>
      <c r="B616" s="18"/>
      <c r="C616" s="20"/>
      <c r="D616" s="20"/>
      <c r="E616" s="14"/>
      <c r="F616" s="14"/>
      <c r="G616" s="14"/>
      <c r="H616" s="14"/>
      <c r="I616" s="14"/>
      <c r="J616" s="15"/>
    </row>
    <row r="617" spans="1:10">
      <c r="A617" s="19"/>
      <c r="B617" s="18"/>
      <c r="C617" s="20"/>
      <c r="D617" s="20"/>
      <c r="E617" s="14"/>
      <c r="F617" s="14"/>
      <c r="G617" s="14"/>
      <c r="H617" s="14"/>
      <c r="I617" s="14"/>
      <c r="J617" s="15"/>
    </row>
    <row r="618" spans="1:10">
      <c r="A618" s="19"/>
      <c r="B618" s="18"/>
      <c r="C618" s="20"/>
      <c r="D618" s="20"/>
      <c r="E618" s="14"/>
      <c r="F618" s="14"/>
      <c r="G618" s="14"/>
      <c r="H618" s="14"/>
      <c r="I618" s="14"/>
      <c r="J618" s="15"/>
    </row>
    <row r="619" spans="1:10">
      <c r="A619" s="19"/>
      <c r="B619" s="18"/>
      <c r="C619" s="20"/>
      <c r="D619" s="20"/>
      <c r="E619" s="14"/>
      <c r="F619" s="14"/>
      <c r="G619" s="14"/>
      <c r="H619" s="14"/>
      <c r="I619" s="14"/>
      <c r="J619" s="15"/>
    </row>
    <row r="620" spans="1:10">
      <c r="A620" s="19"/>
      <c r="B620" s="18"/>
      <c r="C620" s="20"/>
      <c r="D620" s="20"/>
      <c r="E620" s="14"/>
      <c r="F620" s="14"/>
      <c r="G620" s="14"/>
      <c r="H620" s="14"/>
      <c r="I620" s="14"/>
      <c r="J620" s="15"/>
    </row>
    <row r="621" spans="1:10">
      <c r="A621" s="19"/>
      <c r="B621" s="18"/>
      <c r="C621" s="20"/>
      <c r="D621" s="20"/>
      <c r="E621" s="14"/>
      <c r="F621" s="14"/>
      <c r="G621" s="14"/>
      <c r="H621" s="14"/>
      <c r="I621" s="14"/>
      <c r="J621" s="15"/>
    </row>
    <row r="622" spans="1:10">
      <c r="A622" s="19"/>
      <c r="B622" s="18"/>
      <c r="C622" s="20"/>
      <c r="D622" s="20"/>
      <c r="E622" s="14"/>
      <c r="F622" s="14"/>
      <c r="G622" s="14"/>
      <c r="H622" s="14"/>
      <c r="I622" s="14"/>
      <c r="J622" s="15"/>
    </row>
    <row r="623" spans="1:10">
      <c r="A623" s="19"/>
      <c r="B623" s="18"/>
      <c r="C623" s="20"/>
      <c r="D623" s="20"/>
      <c r="E623" s="14"/>
      <c r="F623" s="14"/>
      <c r="G623" s="14"/>
      <c r="H623" s="14"/>
      <c r="I623" s="14"/>
      <c r="J623" s="15"/>
    </row>
    <row r="624" spans="1:10">
      <c r="A624" s="19"/>
      <c r="B624" s="18"/>
      <c r="C624" s="20"/>
      <c r="D624" s="20"/>
      <c r="E624" s="14"/>
      <c r="F624" s="14"/>
      <c r="G624" s="14"/>
      <c r="H624" s="14"/>
      <c r="I624" s="14"/>
      <c r="J624" s="15"/>
    </row>
    <row r="625" spans="1:10">
      <c r="A625" s="19"/>
      <c r="B625" s="18"/>
      <c r="C625" s="20"/>
      <c r="D625" s="20"/>
      <c r="E625" s="14"/>
      <c r="F625" s="14"/>
      <c r="G625" s="14"/>
      <c r="H625" s="14"/>
      <c r="I625" s="14"/>
      <c r="J625" s="15"/>
    </row>
    <row r="626" spans="1:10">
      <c r="A626" s="19"/>
      <c r="B626" s="18"/>
      <c r="C626" s="20"/>
      <c r="D626" s="20"/>
      <c r="E626" s="14"/>
      <c r="F626" s="14"/>
      <c r="G626" s="14"/>
      <c r="H626" s="14"/>
      <c r="I626" s="14"/>
      <c r="J626" s="15"/>
    </row>
    <row r="627" spans="1:10">
      <c r="A627" s="19"/>
      <c r="B627" s="18"/>
      <c r="C627" s="20"/>
      <c r="D627" s="20"/>
      <c r="E627" s="14"/>
      <c r="F627" s="14"/>
      <c r="G627" s="14"/>
      <c r="H627" s="14"/>
      <c r="I627" s="14"/>
      <c r="J627" s="15"/>
    </row>
    <row r="628" spans="1:10">
      <c r="A628" s="19"/>
      <c r="B628" s="18"/>
      <c r="C628" s="20"/>
      <c r="D628" s="20"/>
      <c r="E628" s="14"/>
      <c r="F628" s="14"/>
      <c r="G628" s="14"/>
      <c r="H628" s="14"/>
      <c r="I628" s="14"/>
      <c r="J628" s="15"/>
    </row>
    <row r="629" spans="1:10">
      <c r="A629" s="19"/>
      <c r="B629" s="18"/>
      <c r="C629" s="20"/>
      <c r="D629" s="20"/>
      <c r="E629" s="14"/>
      <c r="F629" s="14"/>
      <c r="G629" s="14"/>
      <c r="H629" s="14"/>
      <c r="I629" s="14"/>
      <c r="J629" s="15"/>
    </row>
    <row r="630" spans="1:10">
      <c r="A630" s="19"/>
      <c r="B630" s="18"/>
      <c r="C630" s="20"/>
      <c r="D630" s="20"/>
      <c r="E630" s="14"/>
      <c r="F630" s="14"/>
      <c r="G630" s="14"/>
      <c r="H630" s="14"/>
      <c r="I630" s="14"/>
      <c r="J630" s="15"/>
    </row>
    <row r="631" spans="1:10">
      <c r="A631" s="19"/>
      <c r="B631" s="18"/>
      <c r="C631" s="20"/>
      <c r="D631" s="20"/>
      <c r="E631" s="14"/>
      <c r="F631" s="14"/>
      <c r="G631" s="14"/>
      <c r="H631" s="14"/>
      <c r="I631" s="14"/>
      <c r="J631" s="15"/>
    </row>
    <row r="632" spans="1:10">
      <c r="A632" s="19"/>
      <c r="B632" s="18"/>
      <c r="C632" s="20"/>
      <c r="D632" s="20"/>
      <c r="E632" s="14"/>
      <c r="F632" s="14"/>
      <c r="G632" s="14"/>
      <c r="H632" s="14"/>
      <c r="I632" s="14"/>
      <c r="J632" s="15"/>
    </row>
    <row r="633" spans="1:10">
      <c r="A633" s="19"/>
      <c r="B633" s="18"/>
      <c r="C633" s="20"/>
      <c r="D633" s="20"/>
      <c r="E633" s="14"/>
      <c r="F633" s="14"/>
      <c r="G633" s="14"/>
      <c r="H633" s="14"/>
      <c r="I633" s="14"/>
      <c r="J633" s="15"/>
    </row>
    <row r="634" spans="1:10">
      <c r="A634" s="19"/>
      <c r="B634" s="18"/>
      <c r="C634" s="20"/>
      <c r="D634" s="20"/>
      <c r="E634" s="14"/>
      <c r="F634" s="14"/>
      <c r="G634" s="14"/>
      <c r="H634" s="14"/>
      <c r="I634" s="14"/>
      <c r="J634" s="15"/>
    </row>
    <row r="635" spans="1:10">
      <c r="A635" s="19"/>
      <c r="B635" s="18"/>
      <c r="C635" s="20"/>
      <c r="D635" s="20"/>
      <c r="E635" s="14"/>
      <c r="F635" s="14"/>
      <c r="G635" s="14"/>
      <c r="H635" s="14"/>
      <c r="I635" s="14"/>
      <c r="J635" s="15"/>
    </row>
    <row r="636" spans="1:10">
      <c r="A636" s="19"/>
      <c r="B636" s="18"/>
      <c r="C636" s="20"/>
      <c r="D636" s="20"/>
      <c r="E636" s="14"/>
      <c r="F636" s="14"/>
      <c r="G636" s="14"/>
      <c r="H636" s="14"/>
      <c r="I636" s="14"/>
      <c r="J636" s="15"/>
    </row>
    <row r="637" spans="1:10">
      <c r="A637" s="19"/>
      <c r="B637" s="18"/>
      <c r="C637" s="20"/>
      <c r="D637" s="20"/>
      <c r="E637" s="14"/>
      <c r="F637" s="14"/>
      <c r="G637" s="14"/>
      <c r="H637" s="14"/>
      <c r="I637" s="14"/>
      <c r="J637" s="15"/>
    </row>
    <row r="638" spans="1:10">
      <c r="A638" s="19"/>
      <c r="B638" s="18"/>
      <c r="C638" s="20"/>
      <c r="D638" s="20"/>
      <c r="E638" s="14"/>
      <c r="F638" s="14"/>
      <c r="G638" s="14"/>
      <c r="H638" s="14"/>
      <c r="I638" s="14"/>
      <c r="J638" s="15"/>
    </row>
    <row r="639" spans="1:10">
      <c r="A639" s="19"/>
      <c r="B639" s="18"/>
      <c r="C639" s="20"/>
      <c r="D639" s="20"/>
      <c r="E639" s="14"/>
      <c r="F639" s="14"/>
      <c r="G639" s="14"/>
      <c r="H639" s="14"/>
      <c r="I639" s="14"/>
      <c r="J639" s="15"/>
    </row>
    <row r="640" spans="1:10">
      <c r="A640" s="19"/>
      <c r="B640" s="18"/>
      <c r="C640" s="20"/>
      <c r="D640" s="20"/>
      <c r="E640" s="14"/>
      <c r="F640" s="14"/>
      <c r="G640" s="14"/>
      <c r="H640" s="14"/>
      <c r="I640" s="14"/>
      <c r="J640" s="15"/>
    </row>
    <row r="641" spans="1:10">
      <c r="A641" s="19"/>
      <c r="B641" s="18"/>
      <c r="C641" s="20"/>
      <c r="D641" s="20"/>
      <c r="E641" s="14"/>
      <c r="F641" s="14"/>
      <c r="G641" s="14"/>
      <c r="H641" s="14"/>
      <c r="I641" s="14"/>
      <c r="J641" s="15"/>
    </row>
    <row r="642" spans="1:10">
      <c r="A642" s="19"/>
      <c r="B642" s="18"/>
      <c r="C642" s="20"/>
      <c r="D642" s="20"/>
      <c r="E642" s="14"/>
      <c r="F642" s="14"/>
      <c r="G642" s="14"/>
      <c r="H642" s="14"/>
      <c r="I642" s="14"/>
      <c r="J642" s="15"/>
    </row>
    <row r="643" spans="1:10">
      <c r="A643" s="19"/>
      <c r="B643" s="18"/>
      <c r="C643" s="20"/>
      <c r="D643" s="20"/>
      <c r="E643" s="14"/>
      <c r="F643" s="14"/>
      <c r="G643" s="14"/>
      <c r="H643" s="14"/>
      <c r="I643" s="14"/>
      <c r="J643" s="15"/>
    </row>
    <row r="644" spans="1:10">
      <c r="A644" s="19"/>
      <c r="B644" s="18"/>
      <c r="C644" s="20"/>
      <c r="D644" s="20"/>
      <c r="E644" s="14"/>
      <c r="F644" s="14"/>
      <c r="G644" s="14"/>
      <c r="H644" s="14"/>
      <c r="I644" s="14"/>
      <c r="J644" s="15"/>
    </row>
    <row r="645" spans="1:10">
      <c r="A645" s="19"/>
      <c r="B645" s="18"/>
      <c r="C645" s="20"/>
      <c r="D645" s="20"/>
      <c r="E645" s="14"/>
      <c r="F645" s="14"/>
      <c r="G645" s="14"/>
      <c r="H645" s="14"/>
      <c r="I645" s="14"/>
      <c r="J645" s="15"/>
    </row>
    <row r="646" spans="1:10">
      <c r="A646" s="19"/>
      <c r="B646" s="18"/>
      <c r="C646" s="20"/>
      <c r="D646" s="20"/>
      <c r="E646" s="14"/>
      <c r="F646" s="14"/>
      <c r="G646" s="14"/>
      <c r="H646" s="14"/>
      <c r="I646" s="14"/>
      <c r="J646" s="15"/>
    </row>
    <row r="647" spans="1:10">
      <c r="A647" s="19"/>
      <c r="B647" s="18"/>
      <c r="C647" s="20"/>
      <c r="D647" s="20"/>
      <c r="E647" s="14"/>
      <c r="F647" s="14"/>
      <c r="G647" s="14"/>
      <c r="H647" s="14"/>
      <c r="I647" s="14"/>
      <c r="J647" s="15"/>
    </row>
    <row r="648" spans="1:10">
      <c r="A648" s="19"/>
      <c r="B648" s="18"/>
      <c r="C648" s="20"/>
      <c r="D648" s="20"/>
      <c r="E648" s="14"/>
      <c r="F648" s="14"/>
      <c r="G648" s="14"/>
      <c r="H648" s="14"/>
      <c r="I648" s="14"/>
      <c r="J648" s="15"/>
    </row>
    <row r="649" spans="1:10">
      <c r="A649" s="19"/>
      <c r="B649" s="18"/>
      <c r="C649" s="20"/>
      <c r="D649" s="20"/>
      <c r="E649" s="14"/>
      <c r="F649" s="14"/>
      <c r="G649" s="14"/>
      <c r="H649" s="14"/>
      <c r="I649" s="14"/>
      <c r="J649" s="15"/>
    </row>
    <row r="650" spans="1:10">
      <c r="A650" s="19"/>
      <c r="B650" s="18"/>
      <c r="C650" s="20"/>
      <c r="D650" s="20"/>
      <c r="E650" s="14"/>
      <c r="F650" s="14"/>
      <c r="G650" s="14"/>
      <c r="H650" s="14"/>
      <c r="I650" s="14"/>
      <c r="J650" s="15"/>
    </row>
    <row r="651" spans="1:10">
      <c r="A651" s="19"/>
      <c r="B651" s="18"/>
      <c r="C651" s="20"/>
      <c r="D651" s="20"/>
      <c r="E651" s="14"/>
      <c r="F651" s="14"/>
      <c r="G651" s="14"/>
      <c r="H651" s="14"/>
      <c r="I651" s="14"/>
      <c r="J651" s="15"/>
    </row>
    <row r="652" spans="1:10">
      <c r="A652" s="19"/>
      <c r="B652" s="18"/>
      <c r="C652" s="20"/>
      <c r="D652" s="20"/>
      <c r="E652" s="14"/>
      <c r="F652" s="14"/>
      <c r="G652" s="14"/>
      <c r="H652" s="14"/>
      <c r="I652" s="14"/>
      <c r="J652" s="15"/>
    </row>
    <row r="653" spans="1:10">
      <c r="A653" s="19"/>
      <c r="B653" s="18"/>
      <c r="C653" s="20"/>
      <c r="D653" s="20"/>
      <c r="E653" s="14"/>
      <c r="F653" s="14"/>
      <c r="G653" s="14"/>
      <c r="H653" s="14"/>
      <c r="I653" s="14"/>
      <c r="J653" s="15"/>
    </row>
    <row r="654" spans="1:10">
      <c r="A654" s="19"/>
      <c r="B654" s="18"/>
      <c r="C654" s="20"/>
      <c r="D654" s="20"/>
      <c r="E654" s="14"/>
      <c r="F654" s="14"/>
      <c r="G654" s="14"/>
      <c r="H654" s="14"/>
      <c r="I654" s="14"/>
      <c r="J654" s="15"/>
    </row>
    <row r="655" spans="1:10">
      <c r="A655" s="19"/>
      <c r="B655" s="18"/>
      <c r="C655" s="20"/>
      <c r="D655" s="20"/>
      <c r="E655" s="14"/>
      <c r="F655" s="14"/>
      <c r="G655" s="14"/>
      <c r="H655" s="14"/>
      <c r="I655" s="14"/>
      <c r="J655" s="15"/>
    </row>
    <row r="656" spans="1:10">
      <c r="A656" s="19"/>
      <c r="B656" s="18"/>
      <c r="C656" s="20"/>
      <c r="D656" s="20"/>
      <c r="E656" s="14"/>
      <c r="F656" s="14"/>
      <c r="G656" s="14"/>
      <c r="H656" s="14"/>
      <c r="I656" s="14"/>
      <c r="J656" s="15"/>
    </row>
    <row r="657" spans="1:10">
      <c r="A657" s="19"/>
      <c r="B657" s="18"/>
      <c r="C657" s="20"/>
      <c r="D657" s="20"/>
      <c r="E657" s="14"/>
      <c r="F657" s="14"/>
      <c r="G657" s="14"/>
      <c r="H657" s="14"/>
      <c r="I657" s="14"/>
      <c r="J657" s="15"/>
    </row>
    <row r="658" spans="1:10">
      <c r="A658" s="19"/>
      <c r="B658" s="18"/>
      <c r="C658" s="20"/>
      <c r="D658" s="20"/>
      <c r="E658" s="14"/>
      <c r="F658" s="14"/>
      <c r="G658" s="14"/>
      <c r="H658" s="14"/>
      <c r="I658" s="14"/>
      <c r="J658" s="15"/>
    </row>
    <row r="659" spans="1:10">
      <c r="A659" s="19"/>
      <c r="B659" s="18"/>
      <c r="C659" s="20"/>
      <c r="D659" s="20"/>
      <c r="E659" s="14"/>
      <c r="F659" s="14"/>
      <c r="G659" s="14"/>
      <c r="H659" s="14"/>
      <c r="I659" s="14"/>
      <c r="J659" s="15"/>
    </row>
    <row r="660" spans="1:10">
      <c r="A660" s="19"/>
      <c r="B660" s="18"/>
      <c r="C660" s="20"/>
      <c r="D660" s="20"/>
      <c r="E660" s="14"/>
      <c r="F660" s="14"/>
      <c r="G660" s="14"/>
      <c r="H660" s="14"/>
      <c r="I660" s="14"/>
      <c r="J660" s="15"/>
    </row>
    <row r="661" spans="1:10">
      <c r="A661" s="19"/>
      <c r="B661" s="18"/>
      <c r="C661" s="20"/>
      <c r="D661" s="20"/>
      <c r="E661" s="14"/>
      <c r="F661" s="14"/>
      <c r="G661" s="14"/>
      <c r="H661" s="14"/>
      <c r="I661" s="14"/>
      <c r="J661" s="15"/>
    </row>
    <row r="662" spans="1:10">
      <c r="A662" s="19"/>
      <c r="B662" s="18"/>
      <c r="C662" s="20"/>
      <c r="D662" s="20"/>
      <c r="E662" s="14"/>
      <c r="F662" s="14"/>
      <c r="G662" s="14"/>
      <c r="H662" s="14"/>
      <c r="I662" s="14"/>
      <c r="J662" s="15"/>
    </row>
    <row r="663" spans="1:10">
      <c r="A663" s="19"/>
      <c r="B663" s="18"/>
      <c r="C663" s="20"/>
      <c r="D663" s="20"/>
      <c r="E663" s="14"/>
      <c r="F663" s="14"/>
      <c r="G663" s="14"/>
      <c r="H663" s="14"/>
      <c r="I663" s="14"/>
      <c r="J663" s="15"/>
    </row>
    <row r="664" spans="1:10">
      <c r="A664" s="19"/>
      <c r="B664" s="18"/>
      <c r="C664" s="20"/>
      <c r="D664" s="20"/>
      <c r="E664" s="14"/>
      <c r="F664" s="14"/>
      <c r="G664" s="14"/>
      <c r="H664" s="14"/>
      <c r="I664" s="14"/>
      <c r="J664" s="15"/>
    </row>
    <row r="665" spans="1:10">
      <c r="A665" s="19"/>
      <c r="B665" s="18"/>
      <c r="C665" s="20"/>
      <c r="D665" s="20"/>
      <c r="E665" s="14"/>
      <c r="F665" s="14"/>
      <c r="G665" s="14"/>
      <c r="H665" s="14"/>
      <c r="I665" s="14"/>
      <c r="J665" s="15"/>
    </row>
    <row r="666" spans="1:10">
      <c r="A666" s="19"/>
      <c r="B666" s="18"/>
      <c r="C666" s="20"/>
      <c r="D666" s="20"/>
      <c r="E666" s="14"/>
      <c r="F666" s="14"/>
      <c r="G666" s="14"/>
      <c r="H666" s="14"/>
      <c r="I666" s="14"/>
      <c r="J666" s="15"/>
    </row>
    <row r="667" spans="1:10">
      <c r="A667" s="19"/>
      <c r="B667" s="18"/>
      <c r="C667" s="20"/>
      <c r="D667" s="20"/>
      <c r="E667" s="14"/>
      <c r="F667" s="14"/>
      <c r="G667" s="14"/>
      <c r="H667" s="14"/>
      <c r="I667" s="14"/>
      <c r="J667" s="15"/>
    </row>
    <row r="668" spans="1:10">
      <c r="A668" s="19"/>
      <c r="B668" s="18"/>
      <c r="C668" s="20"/>
      <c r="D668" s="20"/>
      <c r="E668" s="14"/>
      <c r="F668" s="14"/>
      <c r="G668" s="14"/>
      <c r="H668" s="14"/>
      <c r="I668" s="14"/>
      <c r="J668" s="15"/>
    </row>
    <row r="669" spans="1:10">
      <c r="A669" s="19"/>
      <c r="B669" s="18"/>
      <c r="C669" s="20"/>
      <c r="D669" s="20"/>
      <c r="E669" s="14"/>
      <c r="F669" s="14"/>
      <c r="G669" s="14"/>
      <c r="H669" s="14"/>
      <c r="I669" s="14"/>
      <c r="J669" s="15"/>
    </row>
    <row r="670" spans="1:10">
      <c r="A670" s="19"/>
      <c r="B670" s="18"/>
      <c r="C670" s="20"/>
      <c r="D670" s="20"/>
      <c r="E670" s="14"/>
      <c r="F670" s="14"/>
      <c r="G670" s="14"/>
      <c r="H670" s="14"/>
      <c r="I670" s="14"/>
      <c r="J670" s="15"/>
    </row>
    <row r="671" spans="1:10">
      <c r="A671" s="19"/>
      <c r="B671" s="18"/>
      <c r="C671" s="20"/>
      <c r="D671" s="20"/>
      <c r="E671" s="14"/>
      <c r="F671" s="14"/>
      <c r="G671" s="14"/>
      <c r="H671" s="14"/>
      <c r="I671" s="14"/>
      <c r="J671" s="15"/>
    </row>
    <row r="672" spans="1:10">
      <c r="A672" s="19"/>
      <c r="B672" s="18"/>
      <c r="C672" s="20"/>
      <c r="D672" s="20"/>
      <c r="E672" s="14"/>
      <c r="F672" s="14"/>
      <c r="G672" s="14"/>
      <c r="H672" s="14"/>
      <c r="I672" s="14"/>
      <c r="J672" s="15"/>
    </row>
    <row r="673" spans="1:10">
      <c r="A673" s="19"/>
      <c r="B673" s="18"/>
      <c r="C673" s="20"/>
      <c r="D673" s="20"/>
      <c r="E673" s="14"/>
      <c r="F673" s="14"/>
      <c r="G673" s="14"/>
      <c r="H673" s="14"/>
      <c r="I673" s="14"/>
      <c r="J673" s="15"/>
    </row>
    <row r="674" spans="1:10">
      <c r="A674" s="19"/>
      <c r="B674" s="18"/>
      <c r="C674" s="20"/>
      <c r="D674" s="20"/>
      <c r="E674" s="14"/>
      <c r="F674" s="14"/>
      <c r="G674" s="14"/>
      <c r="H674" s="14"/>
      <c r="I674" s="14"/>
      <c r="J674" s="15"/>
    </row>
    <row r="675" spans="1:10">
      <c r="A675" s="19"/>
      <c r="B675" s="18"/>
      <c r="C675" s="20"/>
      <c r="D675" s="20"/>
      <c r="E675" s="14"/>
      <c r="F675" s="14"/>
      <c r="G675" s="14"/>
      <c r="H675" s="14"/>
      <c r="I675" s="14"/>
      <c r="J675" s="15"/>
    </row>
    <row r="676" spans="1:10">
      <c r="A676" s="19"/>
      <c r="B676" s="18"/>
      <c r="C676" s="20"/>
      <c r="D676" s="20"/>
      <c r="E676" s="14"/>
      <c r="F676" s="14"/>
      <c r="G676" s="14"/>
      <c r="H676" s="14"/>
      <c r="I676" s="14"/>
      <c r="J676" s="15"/>
    </row>
    <row r="677" spans="1:10">
      <c r="A677" s="19"/>
      <c r="B677" s="18"/>
      <c r="C677" s="20"/>
      <c r="D677" s="20"/>
      <c r="E677" s="14"/>
      <c r="F677" s="14"/>
      <c r="G677" s="14"/>
      <c r="H677" s="14"/>
      <c r="I677" s="14"/>
      <c r="J677" s="15"/>
    </row>
    <row r="678" spans="1:10">
      <c r="A678" s="19"/>
      <c r="B678" s="18"/>
      <c r="C678" s="20"/>
      <c r="D678" s="20"/>
      <c r="E678" s="14"/>
      <c r="F678" s="14"/>
      <c r="G678" s="14"/>
      <c r="H678" s="14"/>
      <c r="I678" s="14"/>
      <c r="J678" s="15"/>
    </row>
    <row r="679" spans="1:10">
      <c r="A679" s="19"/>
      <c r="B679" s="18"/>
      <c r="C679" s="20"/>
      <c r="D679" s="20"/>
      <c r="E679" s="14"/>
      <c r="F679" s="14"/>
      <c r="G679" s="14"/>
      <c r="H679" s="14"/>
      <c r="I679" s="14"/>
      <c r="J679" s="15"/>
    </row>
    <row r="680" spans="1:10">
      <c r="A680" s="19"/>
      <c r="B680" s="18"/>
      <c r="C680" s="20"/>
      <c r="D680" s="20"/>
      <c r="E680" s="14"/>
      <c r="F680" s="14"/>
      <c r="G680" s="14"/>
      <c r="H680" s="14"/>
      <c r="I680" s="14"/>
      <c r="J680" s="15"/>
    </row>
    <row r="681" spans="1:10">
      <c r="A681" s="19"/>
      <c r="B681" s="18"/>
      <c r="C681" s="20"/>
      <c r="D681" s="20"/>
      <c r="E681" s="14"/>
      <c r="F681" s="14"/>
      <c r="G681" s="14"/>
      <c r="H681" s="14"/>
      <c r="I681" s="14"/>
      <c r="J681" s="15"/>
    </row>
    <row r="682" spans="1:10">
      <c r="A682" s="19"/>
      <c r="B682" s="18"/>
      <c r="C682" s="20"/>
      <c r="D682" s="20"/>
      <c r="E682" s="14"/>
      <c r="F682" s="14"/>
      <c r="G682" s="14"/>
      <c r="H682" s="14"/>
      <c r="I682" s="14"/>
      <c r="J682" s="15"/>
    </row>
    <row r="683" spans="1:10">
      <c r="A683" s="19"/>
      <c r="B683" s="18"/>
      <c r="C683" s="20"/>
      <c r="D683" s="20"/>
      <c r="E683" s="14"/>
      <c r="F683" s="14"/>
      <c r="G683" s="14"/>
      <c r="H683" s="14"/>
      <c r="I683" s="14"/>
      <c r="J683" s="15"/>
    </row>
    <row r="684" spans="1:10">
      <c r="A684" s="19"/>
      <c r="B684" s="18"/>
      <c r="C684" s="20"/>
      <c r="D684" s="20"/>
      <c r="E684" s="14"/>
      <c r="F684" s="14"/>
      <c r="G684" s="14"/>
      <c r="H684" s="14"/>
      <c r="I684" s="14"/>
      <c r="J684" s="15"/>
    </row>
    <row r="685" spans="1:10">
      <c r="A685" s="19"/>
      <c r="B685" s="18"/>
      <c r="C685" s="20"/>
      <c r="D685" s="20"/>
      <c r="E685" s="14"/>
      <c r="F685" s="14"/>
      <c r="G685" s="14"/>
      <c r="H685" s="14"/>
      <c r="I685" s="14"/>
      <c r="J685" s="15"/>
    </row>
    <row r="686" spans="1:10">
      <c r="A686" s="19"/>
      <c r="B686" s="18"/>
      <c r="C686" s="20"/>
      <c r="D686" s="20"/>
      <c r="E686" s="14"/>
      <c r="F686" s="14"/>
      <c r="G686" s="14"/>
      <c r="H686" s="14"/>
      <c r="I686" s="14"/>
      <c r="J686" s="15"/>
    </row>
    <row r="687" spans="1:10">
      <c r="A687" s="19"/>
      <c r="B687" s="18"/>
      <c r="C687" s="20"/>
      <c r="D687" s="20"/>
      <c r="E687" s="14"/>
      <c r="F687" s="14"/>
      <c r="G687" s="14"/>
      <c r="H687" s="14"/>
      <c r="I687" s="14"/>
      <c r="J687" s="15"/>
    </row>
    <row r="688" spans="1:10">
      <c r="A688" s="19"/>
      <c r="B688" s="18"/>
      <c r="C688" s="20"/>
      <c r="D688" s="20"/>
      <c r="E688" s="14"/>
      <c r="F688" s="14"/>
      <c r="G688" s="14"/>
      <c r="H688" s="14"/>
      <c r="I688" s="14"/>
      <c r="J688" s="15"/>
    </row>
    <row r="689" spans="1:10">
      <c r="A689" s="19"/>
      <c r="B689" s="18"/>
      <c r="C689" s="20"/>
      <c r="D689" s="20"/>
      <c r="E689" s="14"/>
      <c r="F689" s="14"/>
      <c r="G689" s="14"/>
      <c r="H689" s="14"/>
      <c r="I689" s="14"/>
      <c r="J689" s="15"/>
    </row>
    <row r="690" spans="1:10">
      <c r="A690" s="19"/>
      <c r="B690" s="18"/>
      <c r="C690" s="20"/>
      <c r="D690" s="20"/>
      <c r="E690" s="14"/>
      <c r="F690" s="14"/>
      <c r="G690" s="14"/>
      <c r="H690" s="14"/>
      <c r="I690" s="14"/>
      <c r="J690" s="15"/>
    </row>
    <row r="691" spans="1:10">
      <c r="A691" s="19"/>
      <c r="B691" s="18"/>
      <c r="C691" s="20"/>
      <c r="D691" s="20"/>
      <c r="E691" s="14"/>
      <c r="F691" s="14"/>
      <c r="G691" s="14"/>
      <c r="H691" s="14"/>
      <c r="I691" s="14"/>
      <c r="J691" s="15"/>
    </row>
    <row r="692" spans="1:10">
      <c r="A692" s="19"/>
      <c r="B692" s="18"/>
      <c r="C692" s="20"/>
      <c r="D692" s="20"/>
      <c r="E692" s="14"/>
      <c r="F692" s="14"/>
      <c r="G692" s="14"/>
      <c r="H692" s="14"/>
      <c r="I692" s="14"/>
      <c r="J692" s="15"/>
    </row>
    <row r="693" spans="1:10">
      <c r="A693" s="19"/>
      <c r="B693" s="18"/>
      <c r="C693" s="20"/>
      <c r="D693" s="20"/>
      <c r="E693" s="14"/>
      <c r="F693" s="14"/>
      <c r="G693" s="14"/>
      <c r="H693" s="14"/>
      <c r="I693" s="14"/>
      <c r="J693" s="15"/>
    </row>
    <row r="694" spans="1:10">
      <c r="A694" s="19"/>
      <c r="B694" s="18"/>
      <c r="C694" s="20"/>
      <c r="D694" s="20"/>
      <c r="E694" s="14"/>
      <c r="F694" s="14"/>
      <c r="G694" s="14"/>
      <c r="H694" s="14"/>
      <c r="I694" s="14"/>
      <c r="J694" s="15"/>
    </row>
    <row r="695" spans="1:10">
      <c r="A695" s="19"/>
      <c r="B695" s="18"/>
      <c r="C695" s="20"/>
      <c r="D695" s="20"/>
      <c r="E695" s="14"/>
      <c r="F695" s="14"/>
      <c r="G695" s="14"/>
      <c r="H695" s="14"/>
      <c r="I695" s="14"/>
      <c r="J695" s="15"/>
    </row>
    <row r="696" spans="1:10">
      <c r="A696" s="19"/>
      <c r="B696" s="18"/>
      <c r="C696" s="20"/>
      <c r="D696" s="20"/>
      <c r="E696" s="14"/>
      <c r="F696" s="14"/>
      <c r="G696" s="14"/>
      <c r="H696" s="14"/>
      <c r="I696" s="14"/>
      <c r="J696" s="15"/>
    </row>
    <row r="697" spans="1:10">
      <c r="A697" s="19"/>
      <c r="B697" s="18"/>
      <c r="C697" s="20"/>
      <c r="D697" s="20"/>
      <c r="E697" s="14"/>
      <c r="F697" s="14"/>
      <c r="G697" s="14"/>
      <c r="H697" s="14"/>
      <c r="I697" s="14"/>
      <c r="J697" s="15"/>
    </row>
    <row r="698" spans="1:10">
      <c r="A698" s="19"/>
      <c r="B698" s="18"/>
      <c r="C698" s="20"/>
      <c r="D698" s="20"/>
      <c r="E698" s="14"/>
      <c r="F698" s="14"/>
      <c r="G698" s="14"/>
      <c r="H698" s="14"/>
      <c r="I698" s="14"/>
      <c r="J698" s="15"/>
    </row>
    <row r="699" spans="1:10">
      <c r="A699" s="19"/>
      <c r="B699" s="18"/>
      <c r="C699" s="20"/>
      <c r="D699" s="20"/>
      <c r="E699" s="14"/>
      <c r="F699" s="14"/>
      <c r="G699" s="14"/>
      <c r="H699" s="14"/>
      <c r="I699" s="14"/>
      <c r="J699" s="15"/>
    </row>
    <row r="700" spans="1:10">
      <c r="A700" s="19"/>
      <c r="B700" s="18"/>
      <c r="C700" s="20"/>
      <c r="D700" s="20"/>
      <c r="E700" s="14"/>
      <c r="F700" s="14"/>
      <c r="G700" s="14"/>
      <c r="H700" s="14"/>
      <c r="I700" s="14"/>
      <c r="J700" s="15"/>
    </row>
    <row r="701" spans="1:10">
      <c r="A701" s="19"/>
      <c r="B701" s="18"/>
      <c r="C701" s="20"/>
      <c r="D701" s="20"/>
      <c r="E701" s="14"/>
      <c r="F701" s="14"/>
      <c r="G701" s="14"/>
      <c r="H701" s="14"/>
      <c r="I701" s="14"/>
      <c r="J701" s="15"/>
    </row>
    <row r="702" spans="1:10">
      <c r="A702" s="19"/>
      <c r="B702" s="18"/>
      <c r="C702" s="20"/>
      <c r="D702" s="20"/>
      <c r="E702" s="14"/>
      <c r="F702" s="14"/>
      <c r="G702" s="14"/>
      <c r="H702" s="14"/>
      <c r="I702" s="14"/>
      <c r="J702" s="15"/>
    </row>
    <row r="703" spans="1:10">
      <c r="A703" s="19"/>
      <c r="B703" s="18"/>
      <c r="C703" s="20"/>
      <c r="D703" s="20"/>
      <c r="E703" s="14"/>
      <c r="F703" s="14"/>
      <c r="G703" s="14"/>
      <c r="H703" s="14"/>
      <c r="I703" s="14"/>
      <c r="J703" s="15"/>
    </row>
    <row r="704" spans="1:10">
      <c r="A704" s="19"/>
      <c r="B704" s="18"/>
      <c r="C704" s="20"/>
      <c r="D704" s="20"/>
      <c r="E704" s="14"/>
      <c r="F704" s="14"/>
      <c r="G704" s="14"/>
      <c r="H704" s="14"/>
      <c r="I704" s="14"/>
      <c r="J704" s="15"/>
    </row>
    <row r="705" spans="1:10">
      <c r="A705" s="19"/>
      <c r="B705" s="18"/>
      <c r="C705" s="20"/>
      <c r="D705" s="20"/>
      <c r="E705" s="14"/>
      <c r="F705" s="14"/>
      <c r="G705" s="14"/>
      <c r="H705" s="14"/>
      <c r="I705" s="14"/>
      <c r="J705" s="15"/>
    </row>
    <row r="706" spans="1:10">
      <c r="A706" s="19"/>
      <c r="B706" s="18"/>
      <c r="C706" s="20"/>
      <c r="D706" s="20"/>
      <c r="E706" s="14"/>
      <c r="F706" s="14"/>
      <c r="G706" s="14"/>
      <c r="H706" s="14"/>
      <c r="I706" s="14"/>
      <c r="J706" s="15"/>
    </row>
    <row r="707" spans="1:10">
      <c r="A707" s="19"/>
      <c r="B707" s="18"/>
      <c r="C707" s="20"/>
      <c r="D707" s="20"/>
      <c r="E707" s="14"/>
      <c r="F707" s="14"/>
      <c r="G707" s="14"/>
      <c r="H707" s="14"/>
      <c r="I707" s="14"/>
      <c r="J707" s="15"/>
    </row>
    <row r="708" spans="1:10">
      <c r="A708" s="19"/>
      <c r="B708" s="18"/>
      <c r="C708" s="20"/>
      <c r="D708" s="20"/>
      <c r="E708" s="14"/>
      <c r="F708" s="14"/>
      <c r="G708" s="14"/>
      <c r="H708" s="14"/>
      <c r="I708" s="14"/>
      <c r="J708" s="15"/>
    </row>
    <row r="709" spans="1:10">
      <c r="A709" s="19"/>
      <c r="B709" s="18"/>
      <c r="C709" s="20"/>
      <c r="D709" s="20"/>
      <c r="E709" s="14"/>
      <c r="F709" s="14"/>
      <c r="G709" s="14"/>
      <c r="H709" s="14"/>
      <c r="I709" s="14"/>
      <c r="J709" s="15"/>
    </row>
    <row r="710" spans="1:10">
      <c r="A710" s="19"/>
      <c r="B710" s="18"/>
      <c r="C710" s="20"/>
      <c r="D710" s="20"/>
      <c r="E710" s="14"/>
      <c r="F710" s="14"/>
      <c r="G710" s="14"/>
      <c r="H710" s="14"/>
      <c r="I710" s="14"/>
      <c r="J710" s="15"/>
    </row>
    <row r="711" spans="1:10">
      <c r="A711" s="19"/>
      <c r="B711" s="18"/>
      <c r="C711" s="20"/>
      <c r="D711" s="20"/>
      <c r="E711" s="14"/>
      <c r="F711" s="14"/>
      <c r="G711" s="14"/>
      <c r="H711" s="14"/>
      <c r="I711" s="14"/>
      <c r="J711" s="15"/>
    </row>
    <row r="712" spans="1:10">
      <c r="A712" s="19"/>
      <c r="B712" s="18"/>
      <c r="C712" s="20"/>
      <c r="D712" s="20"/>
      <c r="E712" s="14"/>
      <c r="F712" s="14"/>
      <c r="G712" s="14"/>
      <c r="H712" s="14"/>
      <c r="I712" s="14"/>
      <c r="J712" s="15"/>
    </row>
    <row r="713" spans="1:10">
      <c r="A713" s="19"/>
      <c r="B713" s="18"/>
      <c r="C713" s="20"/>
      <c r="D713" s="20"/>
      <c r="E713" s="14"/>
      <c r="F713" s="14"/>
      <c r="G713" s="14"/>
      <c r="H713" s="14"/>
      <c r="I713" s="14"/>
      <c r="J713" s="15"/>
    </row>
    <row r="714" spans="1:10">
      <c r="A714" s="19"/>
      <c r="B714" s="18"/>
      <c r="C714" s="20"/>
      <c r="D714" s="20"/>
      <c r="E714" s="14"/>
      <c r="F714" s="14"/>
      <c r="G714" s="14"/>
      <c r="H714" s="14"/>
      <c r="I714" s="14"/>
      <c r="J714" s="15"/>
    </row>
    <row r="715" spans="1:10">
      <c r="A715" s="19"/>
      <c r="B715" s="18"/>
      <c r="C715" s="20"/>
      <c r="D715" s="20"/>
      <c r="E715" s="14"/>
      <c r="F715" s="14"/>
      <c r="G715" s="14"/>
      <c r="H715" s="14"/>
      <c r="I715" s="14"/>
      <c r="J715" s="15"/>
    </row>
    <row r="716" spans="1:10">
      <c r="A716" s="19"/>
      <c r="B716" s="18"/>
      <c r="C716" s="20"/>
      <c r="D716" s="20"/>
      <c r="E716" s="14"/>
      <c r="F716" s="14"/>
      <c r="G716" s="14"/>
      <c r="H716" s="14"/>
      <c r="I716" s="14"/>
      <c r="J716" s="15"/>
    </row>
    <row r="717" spans="1:10">
      <c r="A717" s="19"/>
      <c r="B717" s="18"/>
      <c r="C717" s="20"/>
      <c r="D717" s="20"/>
      <c r="E717" s="14"/>
      <c r="F717" s="14"/>
      <c r="G717" s="14"/>
      <c r="H717" s="14"/>
      <c r="I717" s="14"/>
      <c r="J717" s="15"/>
    </row>
    <row r="718" spans="1:10">
      <c r="A718" s="19"/>
      <c r="B718" s="18"/>
      <c r="C718" s="20"/>
      <c r="D718" s="20"/>
      <c r="E718" s="14"/>
      <c r="F718" s="14"/>
      <c r="G718" s="14"/>
      <c r="H718" s="14"/>
      <c r="I718" s="14"/>
      <c r="J718" s="15"/>
    </row>
    <row r="719" spans="1:10">
      <c r="A719" s="19"/>
      <c r="B719" s="18"/>
      <c r="C719" s="20"/>
      <c r="D719" s="20"/>
      <c r="E719" s="14"/>
      <c r="F719" s="14"/>
      <c r="G719" s="14"/>
      <c r="H719" s="14"/>
      <c r="I719" s="14"/>
      <c r="J719" s="15"/>
    </row>
    <row r="720" spans="1:10">
      <c r="A720" s="19"/>
      <c r="B720" s="18"/>
      <c r="C720" s="20"/>
      <c r="D720" s="20"/>
      <c r="E720" s="14"/>
      <c r="F720" s="14"/>
      <c r="G720" s="14"/>
      <c r="H720" s="14"/>
      <c r="I720" s="14"/>
      <c r="J720" s="15"/>
    </row>
    <row r="721" spans="1:10">
      <c r="A721" s="19"/>
      <c r="B721" s="18"/>
      <c r="C721" s="20"/>
      <c r="D721" s="20"/>
      <c r="E721" s="14"/>
      <c r="F721" s="14"/>
      <c r="G721" s="14"/>
      <c r="H721" s="14"/>
      <c r="I721" s="14"/>
      <c r="J721" s="15"/>
    </row>
    <row r="722" spans="1:10">
      <c r="A722" s="19"/>
      <c r="B722" s="18"/>
      <c r="C722" s="20"/>
      <c r="D722" s="20"/>
      <c r="E722" s="14"/>
      <c r="F722" s="14"/>
      <c r="G722" s="14"/>
      <c r="H722" s="14"/>
      <c r="I722" s="14"/>
      <c r="J722" s="15"/>
    </row>
    <row r="723" spans="1:10">
      <c r="A723" s="19"/>
      <c r="B723" s="18"/>
      <c r="C723" s="20"/>
      <c r="D723" s="20"/>
      <c r="E723" s="14"/>
      <c r="F723" s="14"/>
      <c r="G723" s="14"/>
      <c r="H723" s="14"/>
      <c r="I723" s="14"/>
      <c r="J723" s="15"/>
    </row>
    <row r="724" spans="1:10">
      <c r="A724" s="19"/>
      <c r="B724" s="18"/>
      <c r="C724" s="20"/>
      <c r="D724" s="20"/>
      <c r="E724" s="14"/>
      <c r="F724" s="14"/>
      <c r="G724" s="14"/>
      <c r="H724" s="14"/>
      <c r="I724" s="14"/>
      <c r="J724" s="15"/>
    </row>
    <row r="725" spans="1:10">
      <c r="A725" s="19"/>
      <c r="B725" s="18"/>
      <c r="C725" s="20"/>
      <c r="D725" s="20"/>
      <c r="E725" s="14"/>
      <c r="F725" s="14"/>
      <c r="G725" s="14"/>
      <c r="H725" s="14"/>
      <c r="I725" s="14"/>
      <c r="J725" s="15"/>
    </row>
    <row r="726" spans="1:10">
      <c r="A726" s="19"/>
      <c r="B726" s="18"/>
      <c r="C726" s="20"/>
      <c r="D726" s="20"/>
      <c r="E726" s="14"/>
      <c r="F726" s="14"/>
      <c r="G726" s="14"/>
      <c r="H726" s="14"/>
      <c r="I726" s="14"/>
      <c r="J726" s="15"/>
    </row>
    <row r="727" spans="1:10">
      <c r="A727" s="19"/>
      <c r="B727" s="18"/>
      <c r="C727" s="20"/>
      <c r="D727" s="20"/>
      <c r="E727" s="14"/>
      <c r="F727" s="14"/>
      <c r="G727" s="14"/>
      <c r="H727" s="14"/>
      <c r="I727" s="14"/>
      <c r="J727" s="15"/>
    </row>
    <row r="728" spans="1:10">
      <c r="A728" s="19"/>
      <c r="B728" s="18"/>
      <c r="C728" s="20"/>
      <c r="D728" s="20"/>
      <c r="E728" s="14"/>
      <c r="F728" s="14"/>
      <c r="G728" s="14"/>
      <c r="H728" s="14"/>
      <c r="I728" s="14"/>
      <c r="J728" s="15"/>
    </row>
    <row r="729" spans="1:10">
      <c r="A729" s="19"/>
      <c r="B729" s="18"/>
      <c r="C729" s="20"/>
      <c r="D729" s="20"/>
      <c r="E729" s="14"/>
      <c r="F729" s="14"/>
      <c r="G729" s="14"/>
      <c r="H729" s="14"/>
      <c r="I729" s="14"/>
      <c r="J729" s="15"/>
    </row>
    <row r="730" spans="1:10">
      <c r="A730" s="19"/>
      <c r="B730" s="18"/>
      <c r="C730" s="20"/>
      <c r="D730" s="20"/>
      <c r="E730" s="14"/>
      <c r="F730" s="14"/>
      <c r="G730" s="14"/>
      <c r="H730" s="14"/>
      <c r="I730" s="14"/>
      <c r="J730" s="15"/>
    </row>
    <row r="731" spans="1:10">
      <c r="A731" s="19"/>
      <c r="B731" s="18"/>
      <c r="C731" s="20"/>
      <c r="D731" s="20"/>
      <c r="E731" s="14"/>
      <c r="F731" s="14"/>
      <c r="G731" s="14"/>
      <c r="H731" s="14"/>
      <c r="I731" s="14"/>
      <c r="J731" s="15"/>
    </row>
    <row r="732" spans="1:10">
      <c r="A732" s="19"/>
      <c r="B732" s="18"/>
      <c r="C732" s="20"/>
      <c r="D732" s="20"/>
      <c r="E732" s="14"/>
      <c r="F732" s="14"/>
      <c r="G732" s="14"/>
      <c r="H732" s="14"/>
      <c r="I732" s="14"/>
      <c r="J732" s="15"/>
    </row>
    <row r="733" spans="1:10">
      <c r="A733" s="19"/>
      <c r="B733" s="18"/>
      <c r="C733" s="20"/>
      <c r="D733" s="20"/>
      <c r="E733" s="14"/>
      <c r="F733" s="14"/>
      <c r="G733" s="14"/>
      <c r="H733" s="14"/>
      <c r="I733" s="14"/>
      <c r="J733" s="15"/>
    </row>
    <row r="734" spans="1:10">
      <c r="A734" s="19"/>
      <c r="B734" s="18"/>
      <c r="C734" s="20"/>
      <c r="D734" s="20"/>
      <c r="E734" s="14"/>
      <c r="F734" s="14"/>
      <c r="G734" s="14"/>
      <c r="H734" s="14"/>
      <c r="I734" s="14"/>
      <c r="J734" s="15"/>
    </row>
    <row r="735" spans="1:10">
      <c r="A735" s="19"/>
      <c r="B735" s="18"/>
      <c r="C735" s="20"/>
      <c r="D735" s="20"/>
      <c r="E735" s="14"/>
      <c r="F735" s="14"/>
      <c r="G735" s="14"/>
      <c r="H735" s="14"/>
      <c r="I735" s="14"/>
      <c r="J735" s="15"/>
    </row>
    <row r="736" spans="1:10">
      <c r="A736" s="19"/>
      <c r="B736" s="18"/>
      <c r="C736" s="20"/>
      <c r="D736" s="20"/>
      <c r="E736" s="14"/>
      <c r="F736" s="14"/>
      <c r="G736" s="14"/>
      <c r="H736" s="14"/>
      <c r="I736" s="14"/>
      <c r="J736" s="15"/>
    </row>
    <row r="737" spans="1:10">
      <c r="A737" s="19"/>
      <c r="B737" s="18"/>
      <c r="C737" s="20"/>
      <c r="D737" s="20"/>
      <c r="E737" s="14"/>
      <c r="F737" s="14"/>
      <c r="G737" s="14"/>
      <c r="H737" s="14"/>
      <c r="I737" s="14"/>
      <c r="J737" s="15"/>
    </row>
    <row r="738" spans="1:10">
      <c r="A738" s="19"/>
      <c r="B738" s="18"/>
      <c r="C738" s="20"/>
      <c r="D738" s="20"/>
      <c r="E738" s="14"/>
      <c r="F738" s="14"/>
      <c r="G738" s="14"/>
      <c r="H738" s="14"/>
      <c r="I738" s="14"/>
      <c r="J738" s="15"/>
    </row>
    <row r="739" spans="1:10">
      <c r="A739" s="19"/>
      <c r="B739" s="18"/>
      <c r="C739" s="20"/>
      <c r="D739" s="20"/>
      <c r="E739" s="14"/>
      <c r="F739" s="14"/>
      <c r="G739" s="14"/>
      <c r="H739" s="14"/>
      <c r="I739" s="14"/>
      <c r="J739" s="15"/>
    </row>
    <row r="740" spans="1:10">
      <c r="A740" s="19"/>
      <c r="B740" s="18"/>
      <c r="C740" s="20"/>
      <c r="D740" s="20"/>
      <c r="E740" s="14"/>
      <c r="F740" s="14"/>
      <c r="G740" s="14"/>
      <c r="H740" s="14"/>
      <c r="I740" s="14"/>
      <c r="J740" s="15"/>
    </row>
    <row r="741" spans="1:10">
      <c r="A741" s="19"/>
      <c r="B741" s="18"/>
      <c r="C741" s="20"/>
      <c r="D741" s="20"/>
      <c r="E741" s="14"/>
      <c r="F741" s="14"/>
      <c r="G741" s="14"/>
      <c r="H741" s="14"/>
      <c r="I741" s="14"/>
      <c r="J741" s="15"/>
    </row>
    <row r="742" spans="1:10">
      <c r="A742" s="19"/>
      <c r="B742" s="18"/>
      <c r="C742" s="20"/>
      <c r="D742" s="20"/>
      <c r="E742" s="14"/>
      <c r="F742" s="14"/>
      <c r="G742" s="14"/>
      <c r="H742" s="14"/>
      <c r="I742" s="14"/>
      <c r="J742" s="15"/>
    </row>
    <row r="743" spans="1:10">
      <c r="A743" s="19"/>
      <c r="B743" s="18"/>
      <c r="C743" s="20"/>
      <c r="D743" s="20"/>
      <c r="E743" s="14"/>
      <c r="F743" s="14"/>
      <c r="G743" s="14"/>
      <c r="H743" s="14"/>
      <c r="I743" s="14"/>
      <c r="J743" s="15"/>
    </row>
    <row r="744" spans="1:10">
      <c r="A744" s="19"/>
      <c r="B744" s="18"/>
      <c r="C744" s="20"/>
      <c r="D744" s="20"/>
      <c r="E744" s="14"/>
      <c r="F744" s="14"/>
      <c r="G744" s="14"/>
      <c r="H744" s="14"/>
      <c r="I744" s="14"/>
      <c r="J744" s="15"/>
    </row>
    <row r="745" spans="1:10">
      <c r="A745" s="19"/>
      <c r="B745" s="18"/>
      <c r="C745" s="20"/>
      <c r="D745" s="20"/>
      <c r="E745" s="14"/>
      <c r="F745" s="14"/>
      <c r="G745" s="14"/>
      <c r="H745" s="14"/>
      <c r="I745" s="14"/>
      <c r="J745" s="15"/>
    </row>
    <row r="746" spans="1:10">
      <c r="A746" s="19"/>
      <c r="B746" s="18"/>
      <c r="C746" s="20"/>
      <c r="D746" s="20"/>
      <c r="E746" s="14"/>
      <c r="F746" s="14"/>
      <c r="G746" s="14"/>
      <c r="H746" s="14"/>
      <c r="I746" s="14"/>
      <c r="J746" s="15"/>
    </row>
    <row r="747" spans="1:10">
      <c r="A747" s="19"/>
      <c r="B747" s="18"/>
      <c r="C747" s="20"/>
      <c r="D747" s="20"/>
      <c r="E747" s="14"/>
      <c r="F747" s="14"/>
      <c r="G747" s="14"/>
      <c r="H747" s="14"/>
      <c r="I747" s="14"/>
      <c r="J747" s="15"/>
    </row>
    <row r="748" spans="1:10">
      <c r="A748" s="19"/>
      <c r="B748" s="18"/>
      <c r="C748" s="20"/>
      <c r="D748" s="20"/>
      <c r="E748" s="14"/>
      <c r="F748" s="14"/>
      <c r="G748" s="14"/>
      <c r="H748" s="14"/>
      <c r="I748" s="14"/>
      <c r="J748" s="15"/>
    </row>
    <row r="749" spans="1:10">
      <c r="A749" s="19"/>
      <c r="B749" s="18"/>
      <c r="C749" s="20"/>
      <c r="D749" s="20"/>
      <c r="E749" s="14"/>
      <c r="F749" s="14"/>
      <c r="G749" s="14"/>
      <c r="H749" s="14"/>
      <c r="I749" s="14"/>
      <c r="J749" s="15"/>
    </row>
    <row r="750" spans="1:10">
      <c r="A750" s="19"/>
      <c r="B750" s="18"/>
      <c r="C750" s="20"/>
      <c r="D750" s="20"/>
      <c r="E750" s="14"/>
      <c r="F750" s="14"/>
      <c r="G750" s="14"/>
      <c r="H750" s="14"/>
      <c r="I750" s="14"/>
      <c r="J750" s="15"/>
    </row>
    <row r="751" spans="1:10">
      <c r="A751" s="19"/>
      <c r="B751" s="18"/>
      <c r="C751" s="20"/>
      <c r="D751" s="20"/>
      <c r="E751" s="14"/>
      <c r="F751" s="14"/>
      <c r="G751" s="14"/>
      <c r="H751" s="14"/>
      <c r="I751" s="14"/>
      <c r="J751" s="15"/>
    </row>
    <row r="752" spans="1:10">
      <c r="A752" s="19"/>
      <c r="B752" s="18"/>
      <c r="C752" s="20"/>
      <c r="D752" s="20"/>
      <c r="E752" s="14"/>
      <c r="F752" s="14"/>
      <c r="G752" s="14"/>
      <c r="H752" s="14"/>
      <c r="I752" s="14"/>
      <c r="J752" s="15"/>
    </row>
    <row r="753" spans="1:10">
      <c r="A753" s="19"/>
      <c r="B753" s="18"/>
      <c r="C753" s="20"/>
      <c r="D753" s="20"/>
      <c r="E753" s="14"/>
      <c r="F753" s="14"/>
      <c r="G753" s="14"/>
      <c r="H753" s="14"/>
      <c r="I753" s="14"/>
      <c r="J753" s="15"/>
    </row>
    <row r="754" spans="1:10">
      <c r="A754" s="19"/>
      <c r="B754" s="18"/>
      <c r="C754" s="20"/>
      <c r="D754" s="20"/>
      <c r="E754" s="14"/>
      <c r="F754" s="14"/>
      <c r="G754" s="14"/>
      <c r="H754" s="14"/>
      <c r="I754" s="14"/>
      <c r="J754" s="15"/>
    </row>
    <row r="755" spans="1:10">
      <c r="A755" s="19"/>
      <c r="B755" s="18"/>
      <c r="C755" s="20"/>
      <c r="D755" s="20"/>
      <c r="E755" s="14"/>
      <c r="F755" s="14"/>
      <c r="G755" s="14"/>
      <c r="H755" s="14"/>
      <c r="I755" s="14"/>
      <c r="J755" s="15"/>
    </row>
    <row r="756" spans="1:10">
      <c r="A756" s="19"/>
      <c r="B756" s="18"/>
      <c r="C756" s="20"/>
      <c r="D756" s="20"/>
      <c r="E756" s="14"/>
      <c r="F756" s="14"/>
      <c r="G756" s="14"/>
      <c r="H756" s="14"/>
      <c r="I756" s="14"/>
      <c r="J756" s="15"/>
    </row>
    <row r="757" spans="1:10">
      <c r="A757" s="19"/>
      <c r="B757" s="18"/>
      <c r="C757" s="20"/>
      <c r="D757" s="20"/>
      <c r="E757" s="14"/>
      <c r="F757" s="14"/>
      <c r="G757" s="14"/>
      <c r="H757" s="14"/>
      <c r="I757" s="14"/>
      <c r="J757" s="15"/>
    </row>
    <row r="758" spans="1:10">
      <c r="A758" s="19"/>
      <c r="B758" s="18"/>
      <c r="C758" s="20"/>
      <c r="D758" s="20"/>
      <c r="E758" s="14"/>
      <c r="F758" s="14"/>
      <c r="G758" s="14"/>
      <c r="H758" s="14"/>
      <c r="I758" s="14"/>
      <c r="J758" s="15"/>
    </row>
    <row r="759" spans="1:10">
      <c r="A759" s="19"/>
      <c r="B759" s="18"/>
      <c r="C759" s="20"/>
      <c r="D759" s="20"/>
      <c r="E759" s="14"/>
      <c r="F759" s="14"/>
      <c r="G759" s="14"/>
      <c r="H759" s="14"/>
      <c r="I759" s="14"/>
      <c r="J759" s="15"/>
    </row>
    <row r="760" spans="1:10">
      <c r="A760" s="19"/>
      <c r="B760" s="18"/>
      <c r="C760" s="20"/>
      <c r="D760" s="20"/>
      <c r="E760" s="14"/>
      <c r="F760" s="14"/>
      <c r="G760" s="14"/>
      <c r="H760" s="14"/>
      <c r="I760" s="14"/>
      <c r="J760" s="15"/>
    </row>
    <row r="761" spans="1:10">
      <c r="A761" s="19"/>
      <c r="B761" s="18"/>
      <c r="C761" s="20"/>
      <c r="D761" s="20"/>
      <c r="E761" s="14"/>
      <c r="F761" s="14"/>
      <c r="G761" s="14"/>
      <c r="H761" s="14"/>
      <c r="I761" s="14"/>
      <c r="J761" s="15"/>
    </row>
    <row r="762" spans="1:10">
      <c r="A762" s="19"/>
      <c r="B762" s="18"/>
      <c r="C762" s="20"/>
      <c r="D762" s="20"/>
      <c r="E762" s="14"/>
      <c r="F762" s="14"/>
      <c r="G762" s="14"/>
      <c r="H762" s="14"/>
      <c r="I762" s="14"/>
      <c r="J762" s="15"/>
    </row>
    <row r="763" spans="1:10">
      <c r="A763" s="19"/>
      <c r="B763" s="18"/>
      <c r="C763" s="20"/>
      <c r="D763" s="20"/>
      <c r="E763" s="14"/>
      <c r="F763" s="14"/>
      <c r="G763" s="14"/>
      <c r="H763" s="14"/>
      <c r="I763" s="14"/>
      <c r="J763" s="15"/>
    </row>
    <row r="764" spans="1:10">
      <c r="A764" s="19"/>
      <c r="B764" s="18"/>
      <c r="C764" s="20"/>
      <c r="D764" s="20"/>
      <c r="E764" s="14"/>
      <c r="F764" s="14"/>
      <c r="G764" s="14"/>
      <c r="H764" s="14"/>
      <c r="I764" s="14"/>
      <c r="J764" s="15"/>
    </row>
    <row r="765" spans="1:10">
      <c r="A765" s="19"/>
      <c r="B765" s="18"/>
      <c r="C765" s="20"/>
      <c r="D765" s="20"/>
      <c r="E765" s="14"/>
      <c r="F765" s="14"/>
      <c r="G765" s="14"/>
      <c r="H765" s="14"/>
      <c r="I765" s="14"/>
      <c r="J765" s="15"/>
    </row>
    <row r="766" spans="1:10">
      <c r="A766" s="19"/>
      <c r="B766" s="18"/>
      <c r="C766" s="20"/>
      <c r="D766" s="20"/>
      <c r="E766" s="14"/>
      <c r="F766" s="14"/>
      <c r="G766" s="14"/>
      <c r="H766" s="14"/>
      <c r="I766" s="14"/>
      <c r="J766" s="15"/>
    </row>
    <row r="767" spans="1:10">
      <c r="A767" s="19"/>
      <c r="B767" s="18"/>
      <c r="C767" s="20"/>
      <c r="D767" s="20"/>
      <c r="E767" s="14"/>
      <c r="F767" s="14"/>
      <c r="G767" s="14"/>
      <c r="H767" s="14"/>
      <c r="I767" s="14"/>
      <c r="J767" s="15"/>
    </row>
    <row r="768" spans="1:10">
      <c r="A768" s="19"/>
      <c r="B768" s="18"/>
      <c r="C768" s="20"/>
      <c r="D768" s="20"/>
      <c r="E768" s="14"/>
      <c r="F768" s="14"/>
      <c r="G768" s="14"/>
      <c r="H768" s="14"/>
      <c r="I768" s="14"/>
      <c r="J768" s="15"/>
    </row>
    <row r="769" spans="1:10">
      <c r="A769" s="19"/>
      <c r="B769" s="18"/>
      <c r="C769" s="20"/>
      <c r="D769" s="20"/>
      <c r="E769" s="14"/>
      <c r="F769" s="14"/>
      <c r="G769" s="14"/>
      <c r="H769" s="14"/>
      <c r="I769" s="14"/>
      <c r="J769" s="15"/>
    </row>
    <row r="770" spans="1:10">
      <c r="A770" s="19"/>
      <c r="B770" s="18"/>
      <c r="C770" s="20"/>
      <c r="D770" s="20"/>
      <c r="E770" s="14"/>
      <c r="F770" s="14"/>
      <c r="G770" s="14"/>
      <c r="H770" s="14"/>
      <c r="I770" s="14"/>
      <c r="J770" s="15"/>
    </row>
    <row r="771" spans="1:10">
      <c r="A771" s="19"/>
      <c r="B771" s="18"/>
      <c r="C771" s="20"/>
      <c r="D771" s="20"/>
      <c r="E771" s="14"/>
      <c r="F771" s="14"/>
      <c r="G771" s="14"/>
      <c r="H771" s="14"/>
      <c r="I771" s="14"/>
      <c r="J771" s="15"/>
    </row>
    <row r="772" spans="1:10">
      <c r="A772" s="19"/>
      <c r="B772" s="18"/>
      <c r="C772" s="20"/>
      <c r="D772" s="20"/>
      <c r="E772" s="14"/>
      <c r="F772" s="14"/>
      <c r="G772" s="14"/>
      <c r="H772" s="14"/>
      <c r="I772" s="14"/>
      <c r="J772" s="15"/>
    </row>
    <row r="773" spans="1:10">
      <c r="A773" s="19"/>
      <c r="B773" s="18"/>
      <c r="C773" s="20"/>
      <c r="D773" s="20"/>
      <c r="E773" s="14"/>
      <c r="F773" s="14"/>
      <c r="G773" s="14"/>
      <c r="H773" s="14"/>
      <c r="I773" s="14"/>
      <c r="J773" s="15"/>
    </row>
    <row r="774" spans="1:10">
      <c r="A774" s="19"/>
      <c r="B774" s="18"/>
      <c r="C774" s="20"/>
      <c r="D774" s="20"/>
      <c r="E774" s="14"/>
      <c r="F774" s="14"/>
      <c r="G774" s="14"/>
      <c r="H774" s="14"/>
      <c r="I774" s="14"/>
      <c r="J774" s="15"/>
    </row>
    <row r="775" spans="1:10">
      <c r="A775" s="19"/>
      <c r="B775" s="18"/>
      <c r="C775" s="20"/>
      <c r="D775" s="20"/>
      <c r="E775" s="14"/>
      <c r="F775" s="14"/>
      <c r="G775" s="14"/>
      <c r="H775" s="14"/>
      <c r="I775" s="14"/>
      <c r="J775" s="15"/>
    </row>
    <row r="776" spans="1:10">
      <c r="A776" s="19"/>
      <c r="B776" s="18"/>
      <c r="C776" s="20"/>
      <c r="D776" s="20"/>
      <c r="E776" s="14"/>
      <c r="F776" s="14"/>
      <c r="G776" s="14"/>
      <c r="H776" s="14"/>
      <c r="I776" s="14"/>
      <c r="J776" s="15"/>
    </row>
    <row r="777" spans="1:10">
      <c r="A777" s="19"/>
      <c r="B777" s="18"/>
      <c r="C777" s="20"/>
      <c r="D777" s="20"/>
      <c r="E777" s="14"/>
      <c r="F777" s="14"/>
      <c r="G777" s="14"/>
      <c r="H777" s="14"/>
      <c r="I777" s="14"/>
      <c r="J777" s="15"/>
    </row>
    <row r="778" spans="1:10">
      <c r="A778" s="19"/>
      <c r="B778" s="18"/>
      <c r="C778" s="20"/>
      <c r="D778" s="20"/>
      <c r="E778" s="14"/>
      <c r="F778" s="14"/>
      <c r="G778" s="14"/>
      <c r="H778" s="14"/>
      <c r="I778" s="14"/>
      <c r="J778" s="15"/>
    </row>
    <row r="779" spans="1:10">
      <c r="A779" s="19"/>
      <c r="B779" s="18"/>
      <c r="C779" s="20"/>
      <c r="D779" s="20"/>
      <c r="E779" s="14"/>
      <c r="F779" s="14"/>
      <c r="G779" s="14"/>
      <c r="H779" s="14"/>
      <c r="I779" s="14"/>
      <c r="J779" s="15"/>
    </row>
    <row r="780" spans="1:10">
      <c r="A780" s="19"/>
      <c r="B780" s="18"/>
      <c r="C780" s="20"/>
      <c r="D780" s="20"/>
      <c r="E780" s="14"/>
      <c r="F780" s="14"/>
      <c r="G780" s="14"/>
      <c r="H780" s="14"/>
      <c r="I780" s="14"/>
      <c r="J780" s="15"/>
    </row>
    <row r="781" spans="1:10">
      <c r="A781" s="19"/>
      <c r="B781" s="18"/>
      <c r="C781" s="20"/>
      <c r="D781" s="20"/>
      <c r="E781" s="14"/>
      <c r="F781" s="14"/>
      <c r="G781" s="14"/>
      <c r="H781" s="14"/>
      <c r="I781" s="14"/>
      <c r="J781" s="15"/>
    </row>
    <row r="782" spans="1:10">
      <c r="A782" s="19"/>
      <c r="B782" s="18"/>
      <c r="C782" s="20"/>
      <c r="D782" s="20"/>
      <c r="E782" s="14"/>
      <c r="F782" s="14"/>
      <c r="G782" s="14"/>
      <c r="H782" s="14"/>
      <c r="I782" s="14"/>
      <c r="J782" s="15"/>
    </row>
    <row r="783" spans="1:10">
      <c r="A783" s="19"/>
      <c r="B783" s="18"/>
      <c r="C783" s="20"/>
      <c r="D783" s="20"/>
      <c r="E783" s="14"/>
      <c r="F783" s="14"/>
      <c r="G783" s="14"/>
      <c r="H783" s="14"/>
      <c r="I783" s="14"/>
      <c r="J783" s="15"/>
    </row>
    <row r="784" spans="1:10">
      <c r="A784" s="19"/>
      <c r="B784" s="18"/>
      <c r="C784" s="20"/>
      <c r="D784" s="20"/>
      <c r="E784" s="14"/>
      <c r="F784" s="14"/>
      <c r="G784" s="14"/>
      <c r="H784" s="14"/>
      <c r="I784" s="14"/>
      <c r="J784" s="15"/>
    </row>
    <row r="785" spans="1:10">
      <c r="A785" s="19"/>
      <c r="B785" s="18"/>
      <c r="C785" s="20"/>
      <c r="D785" s="20"/>
      <c r="E785" s="14"/>
      <c r="F785" s="14"/>
      <c r="G785" s="14"/>
      <c r="H785" s="14"/>
      <c r="I785" s="14"/>
      <c r="J785" s="15"/>
    </row>
    <row r="786" spans="1:10">
      <c r="A786" s="19"/>
      <c r="B786" s="18"/>
      <c r="C786" s="20"/>
      <c r="D786" s="20"/>
      <c r="E786" s="14"/>
      <c r="F786" s="14"/>
      <c r="G786" s="14"/>
      <c r="H786" s="14"/>
      <c r="I786" s="14"/>
      <c r="J786" s="15"/>
    </row>
    <row r="787" spans="1:10">
      <c r="A787" s="19"/>
      <c r="B787" s="18"/>
      <c r="C787" s="20"/>
      <c r="D787" s="20"/>
      <c r="E787" s="14"/>
      <c r="F787" s="14"/>
      <c r="G787" s="14"/>
      <c r="H787" s="14"/>
      <c r="I787" s="14"/>
      <c r="J787" s="15"/>
    </row>
    <row r="788" spans="1:10">
      <c r="A788" s="19"/>
      <c r="B788" s="18"/>
      <c r="C788" s="20"/>
      <c r="D788" s="20"/>
      <c r="E788" s="14"/>
      <c r="F788" s="14"/>
      <c r="G788" s="14"/>
      <c r="H788" s="14"/>
      <c r="I788" s="14"/>
      <c r="J788" s="15"/>
    </row>
    <row r="789" spans="1:10">
      <c r="A789" s="19"/>
      <c r="B789" s="18"/>
      <c r="C789" s="20"/>
      <c r="D789" s="20"/>
      <c r="E789" s="14"/>
      <c r="F789" s="14"/>
      <c r="G789" s="14"/>
      <c r="H789" s="14"/>
      <c r="I789" s="14"/>
      <c r="J789" s="15"/>
    </row>
    <row r="790" spans="1:10">
      <c r="A790" s="19"/>
      <c r="B790" s="18"/>
      <c r="C790" s="20"/>
      <c r="D790" s="20"/>
      <c r="E790" s="14"/>
      <c r="F790" s="14"/>
      <c r="G790" s="14"/>
      <c r="H790" s="14"/>
      <c r="I790" s="14"/>
      <c r="J790" s="15"/>
    </row>
    <row r="791" spans="1:10">
      <c r="A791" s="19"/>
      <c r="B791" s="18"/>
      <c r="C791" s="20"/>
      <c r="D791" s="20"/>
      <c r="E791" s="14"/>
      <c r="F791" s="14"/>
      <c r="G791" s="14"/>
      <c r="H791" s="14"/>
      <c r="I791" s="14"/>
      <c r="J791" s="15"/>
    </row>
    <row r="792" spans="1:10">
      <c r="A792" s="19"/>
      <c r="B792" s="18"/>
      <c r="C792" s="20"/>
      <c r="D792" s="20"/>
      <c r="E792" s="14"/>
      <c r="F792" s="14"/>
      <c r="G792" s="14"/>
      <c r="H792" s="14"/>
      <c r="I792" s="14"/>
      <c r="J792" s="15"/>
    </row>
    <row r="793" spans="1:10">
      <c r="A793" s="19"/>
      <c r="B793" s="18"/>
      <c r="C793" s="20"/>
      <c r="D793" s="20"/>
      <c r="E793" s="14"/>
      <c r="F793" s="14"/>
      <c r="G793" s="14"/>
      <c r="H793" s="14"/>
      <c r="I793" s="14"/>
      <c r="J793" s="15"/>
    </row>
    <row r="794" spans="1:10">
      <c r="A794" s="19"/>
      <c r="B794" s="18"/>
      <c r="C794" s="20"/>
      <c r="D794" s="20"/>
      <c r="E794" s="14"/>
      <c r="F794" s="14"/>
      <c r="G794" s="14"/>
      <c r="H794" s="14"/>
      <c r="I794" s="14"/>
      <c r="J794" s="15"/>
    </row>
    <row r="795" spans="1:10">
      <c r="A795" s="19"/>
      <c r="B795" s="18"/>
      <c r="C795" s="20"/>
      <c r="D795" s="20"/>
      <c r="E795" s="14"/>
      <c r="F795" s="14"/>
      <c r="G795" s="14"/>
      <c r="H795" s="14"/>
      <c r="I795" s="14"/>
      <c r="J795" s="15"/>
    </row>
    <row r="796" spans="1:10">
      <c r="A796" s="19"/>
      <c r="B796" s="18"/>
      <c r="C796" s="20"/>
      <c r="D796" s="20"/>
      <c r="E796" s="14"/>
      <c r="F796" s="14"/>
      <c r="G796" s="14"/>
      <c r="H796" s="14"/>
      <c r="I796" s="14"/>
      <c r="J796" s="15"/>
    </row>
    <row r="797" spans="1:10">
      <c r="A797" s="19"/>
      <c r="B797" s="18"/>
      <c r="C797" s="20"/>
      <c r="D797" s="20"/>
      <c r="E797" s="14"/>
      <c r="F797" s="14"/>
      <c r="G797" s="14"/>
      <c r="H797" s="14"/>
      <c r="I797" s="14"/>
      <c r="J797" s="15"/>
    </row>
    <row r="798" spans="1:10">
      <c r="A798" s="19"/>
      <c r="B798" s="18"/>
      <c r="C798" s="20"/>
      <c r="D798" s="20"/>
      <c r="E798" s="14"/>
      <c r="F798" s="14"/>
      <c r="G798" s="14"/>
      <c r="H798" s="14"/>
      <c r="I798" s="14"/>
      <c r="J798" s="15"/>
    </row>
    <row r="799" spans="1:10">
      <c r="A799" s="19"/>
      <c r="B799" s="18"/>
      <c r="C799" s="20"/>
      <c r="D799" s="20"/>
      <c r="E799" s="14"/>
      <c r="F799" s="14"/>
      <c r="G799" s="14"/>
      <c r="H799" s="14"/>
      <c r="I799" s="14"/>
      <c r="J799" s="15"/>
    </row>
    <row r="800" spans="1:10">
      <c r="A800" s="19"/>
      <c r="B800" s="18"/>
      <c r="C800" s="20"/>
      <c r="D800" s="20"/>
      <c r="E800" s="14"/>
      <c r="F800" s="14"/>
      <c r="G800" s="14"/>
      <c r="H800" s="14"/>
      <c r="I800" s="14"/>
      <c r="J800" s="15"/>
    </row>
    <row r="801" spans="1:10">
      <c r="A801" s="19"/>
      <c r="B801" s="18"/>
      <c r="C801" s="20"/>
      <c r="D801" s="20"/>
      <c r="E801" s="14"/>
      <c r="F801" s="14"/>
      <c r="G801" s="14"/>
      <c r="H801" s="14"/>
      <c r="I801" s="14"/>
      <c r="J801" s="15"/>
    </row>
    <row r="802" spans="1:10">
      <c r="A802" s="19"/>
      <c r="B802" s="18"/>
      <c r="C802" s="20"/>
      <c r="D802" s="20"/>
      <c r="E802" s="14"/>
      <c r="F802" s="14"/>
      <c r="G802" s="14"/>
      <c r="H802" s="14"/>
      <c r="I802" s="14"/>
      <c r="J802" s="15"/>
    </row>
    <row r="803" spans="1:10">
      <c r="A803" s="19"/>
      <c r="B803" s="18"/>
      <c r="C803" s="20"/>
      <c r="D803" s="20"/>
      <c r="E803" s="14"/>
      <c r="F803" s="14"/>
      <c r="G803" s="14"/>
      <c r="H803" s="14"/>
      <c r="I803" s="14"/>
      <c r="J803" s="15"/>
    </row>
    <row r="804" spans="1:10">
      <c r="A804" s="19"/>
      <c r="B804" s="18"/>
      <c r="C804" s="20"/>
      <c r="D804" s="20"/>
      <c r="E804" s="14"/>
      <c r="F804" s="14"/>
      <c r="G804" s="14"/>
      <c r="H804" s="14"/>
      <c r="I804" s="14"/>
      <c r="J804" s="15"/>
    </row>
    <row r="805" spans="1:10">
      <c r="A805" s="19"/>
      <c r="B805" s="18"/>
      <c r="C805" s="20"/>
      <c r="D805" s="20"/>
      <c r="E805" s="14"/>
      <c r="F805" s="14"/>
      <c r="G805" s="14"/>
      <c r="H805" s="14"/>
      <c r="I805" s="14"/>
      <c r="J805" s="15"/>
    </row>
    <row r="806" spans="1:10">
      <c r="A806" s="19"/>
      <c r="B806" s="18"/>
      <c r="C806" s="20"/>
      <c r="D806" s="20"/>
      <c r="E806" s="14"/>
      <c r="F806" s="14"/>
      <c r="G806" s="14"/>
      <c r="H806" s="14"/>
      <c r="I806" s="14"/>
      <c r="J806" s="15"/>
    </row>
    <row r="807" spans="1:10">
      <c r="A807" s="19"/>
      <c r="B807" s="18"/>
      <c r="C807" s="20"/>
      <c r="D807" s="20"/>
      <c r="E807" s="14"/>
      <c r="F807" s="14"/>
      <c r="G807" s="14"/>
      <c r="H807" s="14"/>
      <c r="I807" s="14"/>
      <c r="J807" s="15"/>
    </row>
    <row r="808" spans="1:10">
      <c r="A808" s="19"/>
      <c r="B808" s="18"/>
      <c r="C808" s="20"/>
      <c r="D808" s="20"/>
      <c r="E808" s="14"/>
      <c r="F808" s="14"/>
      <c r="G808" s="14"/>
      <c r="H808" s="14"/>
      <c r="I808" s="14"/>
      <c r="J808" s="15"/>
    </row>
    <row r="809" spans="1:10">
      <c r="A809" s="19"/>
      <c r="B809" s="18"/>
      <c r="C809" s="20"/>
      <c r="D809" s="20"/>
      <c r="E809" s="14"/>
      <c r="F809" s="14"/>
      <c r="G809" s="14"/>
      <c r="H809" s="14"/>
      <c r="I809" s="14"/>
      <c r="J809" s="15"/>
    </row>
    <row r="810" spans="1:10">
      <c r="A810" s="19"/>
      <c r="B810" s="18"/>
      <c r="C810" s="20"/>
      <c r="D810" s="20"/>
      <c r="E810" s="14"/>
      <c r="F810" s="14"/>
      <c r="G810" s="14"/>
      <c r="H810" s="14"/>
      <c r="I810" s="14"/>
      <c r="J810" s="15"/>
    </row>
    <row r="811" spans="1:10">
      <c r="A811" s="19"/>
      <c r="B811" s="18"/>
      <c r="C811" s="20"/>
      <c r="D811" s="20"/>
      <c r="E811" s="14"/>
      <c r="F811" s="14"/>
      <c r="G811" s="14"/>
      <c r="H811" s="14"/>
      <c r="I811" s="14"/>
      <c r="J811" s="15"/>
    </row>
    <row r="812" spans="1:10">
      <c r="A812" s="19"/>
      <c r="B812" s="18"/>
      <c r="C812" s="20"/>
      <c r="D812" s="20"/>
      <c r="E812" s="14"/>
      <c r="F812" s="14"/>
      <c r="G812" s="14"/>
      <c r="H812" s="14"/>
      <c r="I812" s="14"/>
      <c r="J812" s="15"/>
    </row>
    <row r="813" spans="1:10">
      <c r="A813" s="19"/>
      <c r="B813" s="18"/>
      <c r="C813" s="20"/>
      <c r="D813" s="20"/>
      <c r="E813" s="14"/>
      <c r="F813" s="14"/>
      <c r="G813" s="14"/>
      <c r="H813" s="14"/>
      <c r="I813" s="14"/>
      <c r="J813" s="15"/>
    </row>
    <row r="814" spans="1:10">
      <c r="A814" s="19"/>
      <c r="B814" s="18"/>
      <c r="C814" s="20"/>
      <c r="D814" s="20"/>
      <c r="E814" s="14"/>
      <c r="F814" s="14"/>
      <c r="G814" s="14"/>
      <c r="H814" s="14"/>
      <c r="I814" s="14"/>
      <c r="J814" s="15"/>
    </row>
    <row r="815" spans="1:10">
      <c r="A815" s="19"/>
      <c r="B815" s="18"/>
      <c r="C815" s="20"/>
      <c r="D815" s="20"/>
      <c r="E815" s="14"/>
      <c r="F815" s="14"/>
      <c r="G815" s="14"/>
      <c r="H815" s="14"/>
      <c r="I815" s="14"/>
      <c r="J815" s="15"/>
    </row>
    <row r="816" spans="1:10">
      <c r="A816" s="19"/>
      <c r="B816" s="18"/>
      <c r="C816" s="20"/>
      <c r="D816" s="20"/>
      <c r="E816" s="14"/>
      <c r="F816" s="14"/>
      <c r="G816" s="14"/>
      <c r="H816" s="14"/>
      <c r="I816" s="14"/>
      <c r="J816" s="15"/>
    </row>
    <row r="817" spans="1:10">
      <c r="A817" s="19"/>
      <c r="B817" s="18"/>
      <c r="C817" s="20"/>
      <c r="D817" s="20"/>
      <c r="E817" s="14"/>
      <c r="F817" s="14"/>
      <c r="G817" s="14"/>
      <c r="H817" s="14"/>
      <c r="I817" s="14"/>
      <c r="J817" s="15"/>
    </row>
    <row r="818" spans="1:10">
      <c r="A818" s="19"/>
      <c r="B818" s="18"/>
      <c r="C818" s="20"/>
      <c r="D818" s="20"/>
      <c r="E818" s="14"/>
      <c r="F818" s="14"/>
      <c r="G818" s="14"/>
      <c r="H818" s="14"/>
      <c r="I818" s="14"/>
      <c r="J818" s="15"/>
    </row>
    <row r="819" spans="1:10">
      <c r="A819" s="19"/>
      <c r="B819" s="18"/>
      <c r="C819" s="20"/>
      <c r="D819" s="20"/>
      <c r="E819" s="14"/>
      <c r="F819" s="14"/>
      <c r="G819" s="14"/>
      <c r="H819" s="14"/>
      <c r="I819" s="14"/>
      <c r="J819" s="15"/>
    </row>
    <row r="820" spans="1:10">
      <c r="A820" s="19"/>
      <c r="B820" s="18"/>
      <c r="C820" s="20"/>
      <c r="D820" s="20"/>
      <c r="E820" s="14"/>
      <c r="F820" s="14"/>
      <c r="G820" s="14"/>
      <c r="H820" s="14"/>
      <c r="I820" s="14"/>
      <c r="J820" s="15"/>
    </row>
  </sheetData>
  <sheetProtection formatCells="0" formatColumns="0" formatRows="0" insertRows="0" deleteRows="0" autoFilter="0"/>
  <phoneticPr fontId="4" type="noConversion"/>
  <conditionalFormatting sqref="E531:G820 E1 E531:E1048576">
    <cfRule type="expression" dxfId="788" priority="3030">
      <formula>IF(OR(AND(E1="",F1="",OR(G1="Critical",G1="Major",G1="Minor"))),1,0)</formula>
    </cfRule>
  </conditionalFormatting>
  <conditionalFormatting sqref="F1 F531:F1048576">
    <cfRule type="expression" dxfId="787" priority="3029">
      <formula>IF(AND(F1="",OR(E1="Accuracy",E1="Fluency",E1="Segment",E1="Other")),1,0)</formula>
    </cfRule>
  </conditionalFormatting>
  <conditionalFormatting sqref="G1 G531:G1048576">
    <cfRule type="expression" dxfId="786" priority="3028">
      <formula>IF(AND(OR(G1="",E1="Segment"),OR(E1="Accuracy",E1="Fluency",E1="Other")),1,0)</formula>
    </cfRule>
  </conditionalFormatting>
  <conditionalFormatting sqref="E4:G6 E2:G2">
    <cfRule type="expression" dxfId="785" priority="830">
      <formula>IF(OR(AND(E2="",F2="",OR(G2="Critical",G2="Major",G2="Minor"))),1,0)</formula>
    </cfRule>
  </conditionalFormatting>
  <conditionalFormatting sqref="F4:F6 F2">
    <cfRule type="expression" dxfId="784" priority="829">
      <formula>IF(AND(F2="",OR(E2="Accuracy",E2="Fluency",E2="Segment",E2="Other")),1,0)</formula>
    </cfRule>
  </conditionalFormatting>
  <conditionalFormatting sqref="G4:G6 G2">
    <cfRule type="expression" dxfId="783" priority="831">
      <formula>IF(AND(OR(G2="",#REF!="Segment"),OR(#REF!="Accuracy",#REF!="Fluency",#REF!="Other")),1,0)</formula>
    </cfRule>
  </conditionalFormatting>
  <conditionalFormatting sqref="E3:G3">
    <cfRule type="expression" dxfId="782" priority="824">
      <formula>IF(OR(AND(E3="",F3="",OR(G3="Critical",G3="Major",G3="Minor"))),1,0)</formula>
    </cfRule>
  </conditionalFormatting>
  <conditionalFormatting sqref="F3">
    <cfRule type="expression" dxfId="781" priority="823">
      <formula>IF(AND(F3="",OR(E3="Accuracy",E3="Fluency",E3="Segment",E3="Other")),1,0)</formula>
    </cfRule>
  </conditionalFormatting>
  <conditionalFormatting sqref="G3">
    <cfRule type="expression" dxfId="780" priority="825">
      <formula>IF(AND(OR(G3="",#REF!="Segment"),OR(#REF!="Accuracy",#REF!="Fluency",#REF!="Other")),1,0)</formula>
    </cfRule>
  </conditionalFormatting>
  <conditionalFormatting sqref="E257:G257 E243:G244 G245 E87:G87 E95:G95 E103:G103 E122:G123 G130 E133:G133 E147:G148 G193 E195:G195 E205:G205 E208 E212:G212 G63:G64 E52:G52 E24:G25 E7:G22 E30:G35 E40:F40 E43:G44 E49:G49 E58:F58 E60:F60 E65:G66 E69:F70 E79:G80 E83:F83 E91:F91 E100:G100 E114:G120 E121:F121 E128:G128 E130:F132 E134:F136 E143:G145 E151:G152 E155:G156 E159:F161 E169:G176 E186:G189 E193:F194 E197:G198 E202:F202 E210:G210 E217:G219 E223:G225 E227:G239 E242:F242 E248:F249 E253:G253 E265:F265 E269:F269 E273:F273 E281:F282 E286:F287 E290:F290 E298:F298 E302:F302 E306:F307 E309:F310 E316:F317 E322:F322 E328:F330 E334:F334 E339:F339 E343:F345 E358:F359 E364:F364 E371:F371 E373:F373 E375:F375 E378:F379 E383:F383 E385:F385 E394:F394 E397:F397 E402:F402 E406:F406 E408:F408 E411:F411 E415:F415 E418:F418 E421:F421 E424:F425 E430:F430 E433:F433 E437:F437 E442:F442 E448:F448 E450:F451 E455:F455 E463:F463 E466:F466 E471:F471 E479:F479 E487:F487 E179:G181">
    <cfRule type="expression" dxfId="779" priority="821">
      <formula>IF(OR(AND(E7="",F7="",OR(G7="Critical",G7="Major",G7="Minor"))),1,0)</formula>
    </cfRule>
  </conditionalFormatting>
  <conditionalFormatting sqref="F257 F87 F95 F103 F147:F148 F205 F208 F212 F52 F24:F25 F7:F22 F30:F35 F40 F43:F44 F49 F58 F60 F65:F66 F69:F70 F79:F80 F83 F91 F100 F114:F123 F128 F130:F136 F143:F145 F151:F152 F155:F156 F159:F161 F169:F176 F186:F189 F193:F195 F197:F198 F202 F210 F217:F219 F223:F225 F227:F239 F242:F244 F248:F249 F253 F265 F269 F273 F281:F282 F286:F287 F290 F298 F302 F306:F307 F309:F310 F316:F317 F322 F328:F330 F334 F339 F343:F345 F358:F359 F364 F371 F373 F375 F378:F379 F383 F385 F394 F397 F402 F406 F408 F411 F415 F418 F421 F424:F425 F430 F433 F437 F442 F448 F450:F451 F455 F463 F466 F471 F479 F487 F179:F181">
    <cfRule type="expression" dxfId="778" priority="820">
      <formula>IF(AND(F7="",OR(E7="Accuracy",E7="Fluency",E7="Segment",E7="Other")),1,0)</formula>
    </cfRule>
  </conditionalFormatting>
  <conditionalFormatting sqref="G257 G253 G243:G245 G227:G239 G223:G225 G87 G95 G100 G103 G114:G120 G122:G123 G128 G130 G133 G143:G145 G147:G148 G151:G152 G155:G156 G169:G176 G186:G189 G193 G195 G197:G198 G202 G205 G208 G210 G212 G217:G219 G79:G80 G63:G66 G52 G49 G43:G44 G30:G35 G24:G25 G7:G22 G179:G181">
    <cfRule type="expression" dxfId="777" priority="822">
      <formula>IF(AND(OR(G7="",#REF!="Segment"),OR(#REF!="Accuracy",#REF!="Fluency",#REF!="Other")),1,0)</formula>
    </cfRule>
  </conditionalFormatting>
  <conditionalFormatting sqref="E23:G23">
    <cfRule type="expression" dxfId="776" priority="818">
      <formula>IF(OR(AND(E23="",F23="",OR(G23="Critical",G23="Major",G23="Minor"))),1,0)</formula>
    </cfRule>
  </conditionalFormatting>
  <conditionalFormatting sqref="F23">
    <cfRule type="expression" dxfId="775" priority="817">
      <formula>IF(AND(F23="",OR(E23="Accuracy",E23="Fluency",E23="Segment",E23="Other")),1,0)</formula>
    </cfRule>
  </conditionalFormatting>
  <conditionalFormatting sqref="G23">
    <cfRule type="expression" dxfId="774" priority="819">
      <formula>IF(AND(OR(G23="",#REF!="Segment"),OR(#REF!="Accuracy",#REF!="Fluency",#REF!="Other")),1,0)</formula>
    </cfRule>
  </conditionalFormatting>
  <conditionalFormatting sqref="E26:G26">
    <cfRule type="expression" dxfId="773" priority="815">
      <formula>IF(OR(AND(E26="",F26="",OR(G26="Critical",G26="Major",G26="Minor"))),1,0)</formula>
    </cfRule>
  </conditionalFormatting>
  <conditionalFormatting sqref="F26">
    <cfRule type="expression" dxfId="772" priority="814">
      <formula>IF(AND(F26="",OR(E26="Accuracy",E26="Fluency",E26="Segment",E26="Other")),1,0)</formula>
    </cfRule>
  </conditionalFormatting>
  <conditionalFormatting sqref="G26">
    <cfRule type="expression" dxfId="771" priority="816">
      <formula>IF(AND(OR(G26="",#REF!="Segment"),OR(#REF!="Accuracy",#REF!="Fluency",#REF!="Other")),1,0)</formula>
    </cfRule>
  </conditionalFormatting>
  <conditionalFormatting sqref="E27:G27">
    <cfRule type="expression" dxfId="770" priority="812">
      <formula>IF(OR(AND(E27="",F27="",OR(G27="Critical",G27="Major",G27="Minor"))),1,0)</formula>
    </cfRule>
  </conditionalFormatting>
  <conditionalFormatting sqref="F27">
    <cfRule type="expression" dxfId="769" priority="811">
      <formula>IF(AND(F27="",OR(E27="Accuracy",E27="Fluency",E27="Segment",E27="Other")),1,0)</formula>
    </cfRule>
  </conditionalFormatting>
  <conditionalFormatting sqref="G27">
    <cfRule type="expression" dxfId="768" priority="813">
      <formula>IF(AND(OR(G27="",#REF!="Segment"),OR(#REF!="Accuracy",#REF!="Fluency",#REF!="Other")),1,0)</formula>
    </cfRule>
  </conditionalFormatting>
  <conditionalFormatting sqref="E28:G28">
    <cfRule type="expression" dxfId="767" priority="809">
      <formula>IF(OR(AND(E28="",F28="",OR(G28="Critical",G28="Major",G28="Minor"))),1,0)</formula>
    </cfRule>
  </conditionalFormatting>
  <conditionalFormatting sqref="F28">
    <cfRule type="expression" dxfId="766" priority="808">
      <formula>IF(AND(F28="",OR(E28="Accuracy",E28="Fluency",E28="Segment",E28="Other")),1,0)</formula>
    </cfRule>
  </conditionalFormatting>
  <conditionalFormatting sqref="G28">
    <cfRule type="expression" dxfId="765" priority="810">
      <formula>IF(AND(OR(G28="",#REF!="Segment"),OR(#REF!="Accuracy",#REF!="Fluency",#REF!="Other")),1,0)</formula>
    </cfRule>
  </conditionalFormatting>
  <conditionalFormatting sqref="E29:G29">
    <cfRule type="expression" dxfId="764" priority="806">
      <formula>IF(OR(AND(E29="",F29="",OR(G29="Critical",G29="Major",G29="Minor"))),1,0)</formula>
    </cfRule>
  </conditionalFormatting>
  <conditionalFormatting sqref="F29">
    <cfRule type="expression" dxfId="763" priority="805">
      <formula>IF(AND(F29="",OR(E29="Accuracy",E29="Fluency",E29="Segment",E29="Other")),1,0)</formula>
    </cfRule>
  </conditionalFormatting>
  <conditionalFormatting sqref="G29">
    <cfRule type="expression" dxfId="762" priority="807">
      <formula>IF(AND(OR(G29="",#REF!="Segment"),OR(#REF!="Accuracy",#REF!="Fluency",#REF!="Other")),1,0)</formula>
    </cfRule>
  </conditionalFormatting>
  <conditionalFormatting sqref="E36:G36">
    <cfRule type="expression" dxfId="761" priority="803">
      <formula>IF(OR(AND(E36="",F36="",OR(G36="Critical",G36="Major",G36="Minor"))),1,0)</formula>
    </cfRule>
  </conditionalFormatting>
  <conditionalFormatting sqref="F36">
    <cfRule type="expression" dxfId="760" priority="802">
      <formula>IF(AND(F36="",OR(E36="Accuracy",E36="Fluency",E36="Segment",E36="Other")),1,0)</formula>
    </cfRule>
  </conditionalFormatting>
  <conditionalFormatting sqref="G36">
    <cfRule type="expression" dxfId="759" priority="804">
      <formula>IF(AND(OR(G36="",#REF!="Segment"),OR(#REF!="Accuracy",#REF!="Fluency",#REF!="Other")),1,0)</formula>
    </cfRule>
  </conditionalFormatting>
  <conditionalFormatting sqref="E37:G37">
    <cfRule type="expression" dxfId="758" priority="800">
      <formula>IF(OR(AND(E37="",F37="",OR(G37="Critical",G37="Major",G37="Minor"))),1,0)</formula>
    </cfRule>
  </conditionalFormatting>
  <conditionalFormatting sqref="F37">
    <cfRule type="expression" dxfId="757" priority="799">
      <formula>IF(AND(F37="",OR(E37="Accuracy",E37="Fluency",E37="Segment",E37="Other")),1,0)</formula>
    </cfRule>
  </conditionalFormatting>
  <conditionalFormatting sqref="G37">
    <cfRule type="expression" dxfId="756" priority="801">
      <formula>IF(AND(OR(G37="",#REF!="Segment"),OR(#REF!="Accuracy",#REF!="Fluency",#REF!="Other")),1,0)</formula>
    </cfRule>
  </conditionalFormatting>
  <conditionalFormatting sqref="E38:G38">
    <cfRule type="expression" dxfId="755" priority="797">
      <formula>IF(OR(AND(E38="",F38="",OR(G38="Critical",G38="Major",G38="Minor"))),1,0)</formula>
    </cfRule>
  </conditionalFormatting>
  <conditionalFormatting sqref="F38">
    <cfRule type="expression" dxfId="754" priority="796">
      <formula>IF(AND(F38="",OR(E38="Accuracy",E38="Fluency",E38="Segment",E38="Other")),1,0)</formula>
    </cfRule>
  </conditionalFormatting>
  <conditionalFormatting sqref="G38">
    <cfRule type="expression" dxfId="753" priority="798">
      <formula>IF(AND(OR(G38="",#REF!="Segment"),OR(#REF!="Accuracy",#REF!="Fluency",#REF!="Other")),1,0)</formula>
    </cfRule>
  </conditionalFormatting>
  <conditionalFormatting sqref="E39:G39">
    <cfRule type="expression" dxfId="752" priority="794">
      <formula>IF(OR(AND(E39="",F39="",OR(G39="Critical",G39="Major",G39="Minor"))),1,0)</formula>
    </cfRule>
  </conditionalFormatting>
  <conditionalFormatting sqref="F39">
    <cfRule type="expression" dxfId="751" priority="793">
      <formula>IF(AND(F39="",OR(E39="Accuracy",E39="Fluency",E39="Segment",E39="Other")),1,0)</formula>
    </cfRule>
  </conditionalFormatting>
  <conditionalFormatting sqref="G39">
    <cfRule type="expression" dxfId="750" priority="795">
      <formula>IF(AND(OR(G39="",#REF!="Segment"),OR(#REF!="Accuracy",#REF!="Fluency",#REF!="Other")),1,0)</formula>
    </cfRule>
  </conditionalFormatting>
  <conditionalFormatting sqref="G40">
    <cfRule type="expression" dxfId="749" priority="791">
      <formula>IF(OR(AND(G40="",H40="",OR(I40="Critical",I40="Major",I40="Minor"))),1,0)</formula>
    </cfRule>
  </conditionalFormatting>
  <conditionalFormatting sqref="G40">
    <cfRule type="expression" dxfId="748" priority="792">
      <formula>IF(AND(OR(G40="",#REF!="Segment"),OR(#REF!="Accuracy",#REF!="Fluency",#REF!="Other")),1,0)</formula>
    </cfRule>
  </conditionalFormatting>
  <conditionalFormatting sqref="E41:G41">
    <cfRule type="expression" dxfId="747" priority="788">
      <formula>IF(OR(AND(E41="",F41="",OR(G41="Critical",G41="Major",G41="Minor"))),1,0)</formula>
    </cfRule>
  </conditionalFormatting>
  <conditionalFormatting sqref="F41">
    <cfRule type="expression" dxfId="746" priority="787">
      <formula>IF(AND(F41="",OR(E41="Accuracy",E41="Fluency",E41="Segment",E41="Other")),1,0)</formula>
    </cfRule>
  </conditionalFormatting>
  <conditionalFormatting sqref="G41">
    <cfRule type="expression" dxfId="745" priority="789">
      <formula>IF(AND(OR(G41="",#REF!="Segment"),OR(#REF!="Accuracy",#REF!="Fluency",#REF!="Other")),1,0)</formula>
    </cfRule>
  </conditionalFormatting>
  <conditionalFormatting sqref="E42:G42">
    <cfRule type="expression" dxfId="744" priority="785">
      <formula>IF(OR(AND(E42="",F42="",OR(G42="Critical",G42="Major",G42="Minor"))),1,0)</formula>
    </cfRule>
  </conditionalFormatting>
  <conditionalFormatting sqref="F42">
    <cfRule type="expression" dxfId="743" priority="784">
      <formula>IF(AND(F42="",OR(E42="Accuracy",E42="Fluency",E42="Segment",E42="Other")),1,0)</formula>
    </cfRule>
  </conditionalFormatting>
  <conditionalFormatting sqref="G42">
    <cfRule type="expression" dxfId="742" priority="786">
      <formula>IF(AND(OR(G42="",#REF!="Segment"),OR(#REF!="Accuracy",#REF!="Fluency",#REF!="Other")),1,0)</formula>
    </cfRule>
  </conditionalFormatting>
  <conditionalFormatting sqref="E45:G45">
    <cfRule type="expression" dxfId="741" priority="782">
      <formula>IF(OR(AND(E45="",F45="",OR(G45="Critical",G45="Major",G45="Minor"))),1,0)</formula>
    </cfRule>
  </conditionalFormatting>
  <conditionalFormatting sqref="F45">
    <cfRule type="expression" dxfId="740" priority="781">
      <formula>IF(AND(F45="",OR(E45="Accuracy",E45="Fluency",E45="Segment",E45="Other")),1,0)</formula>
    </cfRule>
  </conditionalFormatting>
  <conditionalFormatting sqref="G45">
    <cfRule type="expression" dxfId="739" priority="783">
      <formula>IF(AND(OR(G45="",#REF!="Segment"),OR(#REF!="Accuracy",#REF!="Fluency",#REF!="Other")),1,0)</formula>
    </cfRule>
  </conditionalFormatting>
  <conditionalFormatting sqref="E46:G46">
    <cfRule type="expression" dxfId="738" priority="779">
      <formula>IF(OR(AND(E46="",F46="",OR(G46="Critical",G46="Major",G46="Minor"))),1,0)</formula>
    </cfRule>
  </conditionalFormatting>
  <conditionalFormatting sqref="F46">
    <cfRule type="expression" dxfId="737" priority="778">
      <formula>IF(AND(F46="",OR(E46="Accuracy",E46="Fluency",E46="Segment",E46="Other")),1,0)</formula>
    </cfRule>
  </conditionalFormatting>
  <conditionalFormatting sqref="G46">
    <cfRule type="expression" dxfId="736" priority="780">
      <formula>IF(AND(OR(G46="",#REF!="Segment"),OR(#REF!="Accuracy",#REF!="Fluency",#REF!="Other")),1,0)</formula>
    </cfRule>
  </conditionalFormatting>
  <conditionalFormatting sqref="E47:G47">
    <cfRule type="expression" dxfId="735" priority="776">
      <formula>IF(OR(AND(E47="",F47="",OR(G47="Critical",G47="Major",G47="Minor"))),1,0)</formula>
    </cfRule>
  </conditionalFormatting>
  <conditionalFormatting sqref="F47">
    <cfRule type="expression" dxfId="734" priority="775">
      <formula>IF(AND(F47="",OR(E47="Accuracy",E47="Fluency",E47="Segment",E47="Other")),1,0)</formula>
    </cfRule>
  </conditionalFormatting>
  <conditionalFormatting sqref="G47">
    <cfRule type="expression" dxfId="733" priority="777">
      <formula>IF(AND(OR(G47="",#REF!="Segment"),OR(#REF!="Accuracy",#REF!="Fluency",#REF!="Other")),1,0)</formula>
    </cfRule>
  </conditionalFormatting>
  <conditionalFormatting sqref="E48:G48">
    <cfRule type="expression" dxfId="732" priority="773">
      <formula>IF(OR(AND(E48="",F48="",OR(G48="Critical",G48="Major",G48="Minor"))),1,0)</formula>
    </cfRule>
  </conditionalFormatting>
  <conditionalFormatting sqref="F48">
    <cfRule type="expression" dxfId="731" priority="772">
      <formula>IF(AND(F48="",OR(E48="Accuracy",E48="Fluency",E48="Segment",E48="Other")),1,0)</formula>
    </cfRule>
  </conditionalFormatting>
  <conditionalFormatting sqref="G48">
    <cfRule type="expression" dxfId="730" priority="774">
      <formula>IF(AND(OR(G48="",#REF!="Segment"),OR(#REF!="Accuracy",#REF!="Fluency",#REF!="Other")),1,0)</formula>
    </cfRule>
  </conditionalFormatting>
  <conditionalFormatting sqref="E50:G51">
    <cfRule type="expression" dxfId="729" priority="770">
      <formula>IF(OR(AND(E50="",F50="",OR(G50="Critical",G50="Major",G50="Minor"))),1,0)</formula>
    </cfRule>
  </conditionalFormatting>
  <conditionalFormatting sqref="F50:F51">
    <cfRule type="expression" dxfId="728" priority="769">
      <formula>IF(AND(F50="",OR(E50="Accuracy",E50="Fluency",E50="Segment",E50="Other")),1,0)</formula>
    </cfRule>
  </conditionalFormatting>
  <conditionalFormatting sqref="G50:G51">
    <cfRule type="expression" dxfId="727" priority="771">
      <formula>IF(AND(OR(G50="",#REF!="Segment"),OR(#REF!="Accuracy",#REF!="Fluency",#REF!="Other")),1,0)</formula>
    </cfRule>
  </conditionalFormatting>
  <conditionalFormatting sqref="E56:G56">
    <cfRule type="expression" dxfId="726" priority="767">
      <formula>IF(OR(AND(E56="",F56="",OR(G56="Critical",G56="Major",G56="Minor"))),1,0)</formula>
    </cfRule>
  </conditionalFormatting>
  <conditionalFormatting sqref="F56">
    <cfRule type="expression" dxfId="725" priority="766">
      <formula>IF(AND(F56="",OR(E56="Accuracy",E56="Fluency",E56="Segment",E56="Other")),1,0)</formula>
    </cfRule>
  </conditionalFormatting>
  <conditionalFormatting sqref="G56">
    <cfRule type="expression" dxfId="724" priority="768">
      <formula>IF(AND(OR(G56="",#REF!="Segment"),OR(#REF!="Accuracy",#REF!="Fluency",#REF!="Other")),1,0)</formula>
    </cfRule>
  </conditionalFormatting>
  <conditionalFormatting sqref="E53:G55">
    <cfRule type="expression" dxfId="723" priority="764">
      <formula>IF(OR(AND(E53="",F53="",OR(G53="Critical",G53="Major",G53="Minor"))),1,0)</formula>
    </cfRule>
  </conditionalFormatting>
  <conditionalFormatting sqref="F53:F55">
    <cfRule type="expression" dxfId="722" priority="763">
      <formula>IF(AND(F53="",OR(E53="Accuracy",E53="Fluency",E53="Segment",E53="Other")),1,0)</formula>
    </cfRule>
  </conditionalFormatting>
  <conditionalFormatting sqref="G53:G55">
    <cfRule type="expression" dxfId="721" priority="765">
      <formula>IF(AND(OR(G53="",#REF!="Segment"),OR(#REF!="Accuracy",#REF!="Fluency",#REF!="Other")),1,0)</formula>
    </cfRule>
  </conditionalFormatting>
  <conditionalFormatting sqref="E57:G57">
    <cfRule type="expression" dxfId="720" priority="761">
      <formula>IF(OR(AND(E57="",F57="",OR(G57="Critical",G57="Major",G57="Minor"))),1,0)</formula>
    </cfRule>
  </conditionalFormatting>
  <conditionalFormatting sqref="F57">
    <cfRule type="expression" dxfId="719" priority="760">
      <formula>IF(AND(F57="",OR(E57="Accuracy",E57="Fluency",E57="Segment",E57="Other")),1,0)</formula>
    </cfRule>
  </conditionalFormatting>
  <conditionalFormatting sqref="G57">
    <cfRule type="expression" dxfId="718" priority="762">
      <formula>IF(AND(OR(G57="",#REF!="Segment"),OR(#REF!="Accuracy",#REF!="Fluency",#REF!="Other")),1,0)</formula>
    </cfRule>
  </conditionalFormatting>
  <conditionalFormatting sqref="G58">
    <cfRule type="expression" dxfId="717" priority="758">
      <formula>IF(OR(AND(G58="",H58="",OR(I58="Critical",I58="Major",I58="Minor"))),1,0)</formula>
    </cfRule>
  </conditionalFormatting>
  <conditionalFormatting sqref="G58">
    <cfRule type="expression" dxfId="716" priority="759">
      <formula>IF(AND(OR(G58="",#REF!="Segment"),OR(#REF!="Accuracy",#REF!="Fluency",#REF!="Other")),1,0)</formula>
    </cfRule>
  </conditionalFormatting>
  <conditionalFormatting sqref="E59:G59">
    <cfRule type="expression" dxfId="715" priority="755">
      <formula>IF(OR(AND(E59="",F59="",OR(G59="Critical",G59="Major",G59="Minor"))),1,0)</formula>
    </cfRule>
  </conditionalFormatting>
  <conditionalFormatting sqref="F59">
    <cfRule type="expression" dxfId="714" priority="754">
      <formula>IF(AND(F59="",OR(E59="Accuracy",E59="Fluency",E59="Segment",E59="Other")),1,0)</formula>
    </cfRule>
  </conditionalFormatting>
  <conditionalFormatting sqref="G59">
    <cfRule type="expression" dxfId="713" priority="756">
      <formula>IF(AND(OR(G59="",#REF!="Segment"),OR(#REF!="Accuracy",#REF!="Fluency",#REF!="Other")),1,0)</formula>
    </cfRule>
  </conditionalFormatting>
  <conditionalFormatting sqref="E61:G62">
    <cfRule type="expression" dxfId="712" priority="752">
      <formula>IF(OR(AND(E61="",F61="",OR(G61="Critical",G61="Major",G61="Minor"))),1,0)</formula>
    </cfRule>
  </conditionalFormatting>
  <conditionalFormatting sqref="F61:F62">
    <cfRule type="expression" dxfId="711" priority="751">
      <formula>IF(AND(F61="",OR(E61="Accuracy",E61="Fluency",E61="Segment",E61="Other")),1,0)</formula>
    </cfRule>
  </conditionalFormatting>
  <conditionalFormatting sqref="G61:G62">
    <cfRule type="expression" dxfId="710" priority="753">
      <formula>IF(AND(OR(G61="",#REF!="Segment"),OR(#REF!="Accuracy",#REF!="Fluency",#REF!="Other")),1,0)</formula>
    </cfRule>
  </conditionalFormatting>
  <conditionalFormatting sqref="G60">
    <cfRule type="expression" dxfId="709" priority="749">
      <formula>IF(OR(AND(G60="",H60="",OR(I60="Critical",I60="Major",I60="Minor"))),1,0)</formula>
    </cfRule>
  </conditionalFormatting>
  <conditionalFormatting sqref="G60">
    <cfRule type="expression" dxfId="708" priority="750">
      <formula>IF(AND(OR(G60="",#REF!="Segment"),OR(#REF!="Accuracy",#REF!="Fluency",#REF!="Other")),1,0)</formula>
    </cfRule>
  </conditionalFormatting>
  <conditionalFormatting sqref="E63:F64">
    <cfRule type="expression" dxfId="707" priority="747">
      <formula>IF(OR(AND(E63="",F63="",OR(G63="Critical",G63="Major",G63="Minor"))),1,0)</formula>
    </cfRule>
  </conditionalFormatting>
  <conditionalFormatting sqref="F63:F64">
    <cfRule type="expression" dxfId="706" priority="746">
      <formula>IF(AND(F63="",OR(E63="Accuracy",E63="Fluency",E63="Segment",E63="Other")),1,0)</formula>
    </cfRule>
  </conditionalFormatting>
  <conditionalFormatting sqref="E67:G68">
    <cfRule type="expression" dxfId="705" priority="744">
      <formula>IF(OR(AND(E67="",F67="",OR(G67="Critical",G67="Major",G67="Minor"))),1,0)</formula>
    </cfRule>
  </conditionalFormatting>
  <conditionalFormatting sqref="F67:F68">
    <cfRule type="expression" dxfId="704" priority="743">
      <formula>IF(AND(F67="",OR(E67="Accuracy",E67="Fluency",E67="Segment",E67="Other")),1,0)</formula>
    </cfRule>
  </conditionalFormatting>
  <conditionalFormatting sqref="G67:G68">
    <cfRule type="expression" dxfId="703" priority="745">
      <formula>IF(AND(OR(G67="",#REF!="Segment"),OR(#REF!="Accuracy",#REF!="Fluency",#REF!="Other")),1,0)</formula>
    </cfRule>
  </conditionalFormatting>
  <conditionalFormatting sqref="G69:G70">
    <cfRule type="expression" dxfId="702" priority="741">
      <formula>IF(OR(AND(G69="",H69="",OR(I69="Critical",I69="Major",I69="Minor"))),1,0)</formula>
    </cfRule>
  </conditionalFormatting>
  <conditionalFormatting sqref="G69:G70">
    <cfRule type="expression" dxfId="701" priority="742">
      <formula>IF(AND(OR(G69="",#REF!="Segment"),OR(#REF!="Accuracy",#REF!="Fluency",#REF!="Other")),1,0)</formula>
    </cfRule>
  </conditionalFormatting>
  <conditionalFormatting sqref="E71:G72">
    <cfRule type="expression" dxfId="700" priority="738">
      <formula>IF(OR(AND(E71="",F71="",OR(G71="Critical",G71="Major",G71="Minor"))),1,0)</formula>
    </cfRule>
  </conditionalFormatting>
  <conditionalFormatting sqref="F71:F72">
    <cfRule type="expression" dxfId="699" priority="737">
      <formula>IF(AND(F71="",OR(E71="Accuracy",E71="Fluency",E71="Segment",E71="Other")),1,0)</formula>
    </cfRule>
  </conditionalFormatting>
  <conditionalFormatting sqref="G71:G72">
    <cfRule type="expression" dxfId="698" priority="739">
      <formula>IF(AND(OR(G71="",#REF!="Segment"),OR(#REF!="Accuracy",#REF!="Fluency",#REF!="Other")),1,0)</formula>
    </cfRule>
  </conditionalFormatting>
  <conditionalFormatting sqref="E73:G73">
    <cfRule type="expression" dxfId="697" priority="735">
      <formula>IF(OR(AND(E73="",F73="",OR(G73="Critical",G73="Major",G73="Minor"))),1,0)</formula>
    </cfRule>
  </conditionalFormatting>
  <conditionalFormatting sqref="F73">
    <cfRule type="expression" dxfId="696" priority="734">
      <formula>IF(AND(F73="",OR(E73="Accuracy",E73="Fluency",E73="Segment",E73="Other")),1,0)</formula>
    </cfRule>
  </conditionalFormatting>
  <conditionalFormatting sqref="G73">
    <cfRule type="expression" dxfId="695" priority="736">
      <formula>IF(AND(OR(G73="",#REF!="Segment"),OR(#REF!="Accuracy",#REF!="Fluency",#REF!="Other")),1,0)</formula>
    </cfRule>
  </conditionalFormatting>
  <conditionalFormatting sqref="E74:G76">
    <cfRule type="expression" dxfId="694" priority="732">
      <formula>IF(OR(AND(E74="",F74="",OR(G74="Critical",G74="Major",G74="Minor"))),1,0)</formula>
    </cfRule>
  </conditionalFormatting>
  <conditionalFormatting sqref="F74:F76">
    <cfRule type="expression" dxfId="693" priority="731">
      <formula>IF(AND(F74="",OR(E74="Accuracy",E74="Fluency",E74="Segment",E74="Other")),1,0)</formula>
    </cfRule>
  </conditionalFormatting>
  <conditionalFormatting sqref="G74:G76">
    <cfRule type="expression" dxfId="692" priority="733">
      <formula>IF(AND(OR(G74="",#REF!="Segment"),OR(#REF!="Accuracy",#REF!="Fluency",#REF!="Other")),1,0)</formula>
    </cfRule>
  </conditionalFormatting>
  <conditionalFormatting sqref="E77:G77">
    <cfRule type="expression" dxfId="691" priority="729">
      <formula>IF(OR(AND(E77="",F77="",OR(G77="Critical",G77="Major",G77="Minor"))),1,0)</formula>
    </cfRule>
  </conditionalFormatting>
  <conditionalFormatting sqref="F77">
    <cfRule type="expression" dxfId="690" priority="728">
      <formula>IF(AND(F77="",OR(E77="Accuracy",E77="Fluency",E77="Segment",E77="Other")),1,0)</formula>
    </cfRule>
  </conditionalFormatting>
  <conditionalFormatting sqref="G77">
    <cfRule type="expression" dxfId="689" priority="730">
      <formula>IF(AND(OR(G77="",#REF!="Segment"),OR(#REF!="Accuracy",#REF!="Fluency",#REF!="Other")),1,0)</formula>
    </cfRule>
  </conditionalFormatting>
  <conditionalFormatting sqref="E78:G78">
    <cfRule type="expression" dxfId="688" priority="726">
      <formula>IF(OR(AND(E78="",F78="",OR(G78="Critical",G78="Major",G78="Minor"))),1,0)</formula>
    </cfRule>
  </conditionalFormatting>
  <conditionalFormatting sqref="F78">
    <cfRule type="expression" dxfId="687" priority="725">
      <formula>IF(AND(F78="",OR(E78="Accuracy",E78="Fluency",E78="Segment",E78="Other")),1,0)</formula>
    </cfRule>
  </conditionalFormatting>
  <conditionalFormatting sqref="G78">
    <cfRule type="expression" dxfId="686" priority="727">
      <formula>IF(AND(OR(G78="",#REF!="Segment"),OR(#REF!="Accuracy",#REF!="Fluency",#REF!="Other")),1,0)</formula>
    </cfRule>
  </conditionalFormatting>
  <conditionalFormatting sqref="E81:G81">
    <cfRule type="expression" dxfId="685" priority="723">
      <formula>IF(OR(AND(E81="",F81="",OR(G81="Critical",G81="Major",G81="Minor"))),1,0)</formula>
    </cfRule>
  </conditionalFormatting>
  <conditionalFormatting sqref="F81">
    <cfRule type="expression" dxfId="684" priority="722">
      <formula>IF(AND(F81="",OR(E81="Accuracy",E81="Fluency",E81="Segment",E81="Other")),1,0)</formula>
    </cfRule>
  </conditionalFormatting>
  <conditionalFormatting sqref="G81">
    <cfRule type="expression" dxfId="683" priority="724">
      <formula>IF(AND(OR(G81="",#REF!="Segment"),OR(#REF!="Accuracy",#REF!="Fluency",#REF!="Other")),1,0)</formula>
    </cfRule>
  </conditionalFormatting>
  <conditionalFormatting sqref="E82:G82">
    <cfRule type="expression" dxfId="682" priority="720">
      <formula>IF(OR(AND(E82="",F82="",OR(G82="Critical",G82="Major",G82="Minor"))),1,0)</formula>
    </cfRule>
  </conditionalFormatting>
  <conditionalFormatting sqref="F82">
    <cfRule type="expression" dxfId="681" priority="719">
      <formula>IF(AND(F82="",OR(E82="Accuracy",E82="Fluency",E82="Segment",E82="Other")),1,0)</formula>
    </cfRule>
  </conditionalFormatting>
  <conditionalFormatting sqref="G82">
    <cfRule type="expression" dxfId="680" priority="721">
      <formula>IF(AND(OR(G82="",#REF!="Segment"),OR(#REF!="Accuracy",#REF!="Fluency",#REF!="Other")),1,0)</formula>
    </cfRule>
  </conditionalFormatting>
  <conditionalFormatting sqref="G83">
    <cfRule type="expression" dxfId="679" priority="717">
      <formula>IF(OR(AND(G83="",H83="",OR(I83="Critical",I83="Major",I83="Minor"))),1,0)</formula>
    </cfRule>
  </conditionalFormatting>
  <conditionalFormatting sqref="G83">
    <cfRule type="expression" dxfId="678" priority="718">
      <formula>IF(AND(OR(G83="",#REF!="Segment"),OR(#REF!="Accuracy",#REF!="Fluency",#REF!="Other")),1,0)</formula>
    </cfRule>
  </conditionalFormatting>
  <conditionalFormatting sqref="E84:G84">
    <cfRule type="expression" dxfId="677" priority="714">
      <formula>IF(OR(AND(E84="",F84="",OR(G84="Critical",G84="Major",G84="Minor"))),1,0)</formula>
    </cfRule>
  </conditionalFormatting>
  <conditionalFormatting sqref="F84">
    <cfRule type="expression" dxfId="676" priority="713">
      <formula>IF(AND(F84="",OR(E84="Accuracy",E84="Fluency",E84="Segment",E84="Other")),1,0)</formula>
    </cfRule>
  </conditionalFormatting>
  <conditionalFormatting sqref="G84">
    <cfRule type="expression" dxfId="675" priority="715">
      <formula>IF(AND(OR(G84="",#REF!="Segment"),OR(#REF!="Accuracy",#REF!="Fluency",#REF!="Other")),1,0)</formula>
    </cfRule>
  </conditionalFormatting>
  <conditionalFormatting sqref="E85:G85">
    <cfRule type="expression" dxfId="674" priority="711">
      <formula>IF(OR(AND(E85="",F85="",OR(G85="Critical",G85="Major",G85="Minor"))),1,0)</formula>
    </cfRule>
  </conditionalFormatting>
  <conditionalFormatting sqref="F85">
    <cfRule type="expression" dxfId="673" priority="710">
      <formula>IF(AND(F85="",OR(E85="Accuracy",E85="Fluency",E85="Segment",E85="Other")),1,0)</formula>
    </cfRule>
  </conditionalFormatting>
  <conditionalFormatting sqref="G85">
    <cfRule type="expression" dxfId="672" priority="712">
      <formula>IF(AND(OR(G85="",#REF!="Segment"),OR(#REF!="Accuracy",#REF!="Fluency",#REF!="Other")),1,0)</formula>
    </cfRule>
  </conditionalFormatting>
  <conditionalFormatting sqref="E86:G86">
    <cfRule type="expression" dxfId="671" priority="708">
      <formula>IF(OR(AND(E86="",F86="",OR(G86="Critical",G86="Major",G86="Minor"))),1,0)</formula>
    </cfRule>
  </conditionalFormatting>
  <conditionalFormatting sqref="F86">
    <cfRule type="expression" dxfId="670" priority="707">
      <formula>IF(AND(F86="",OR(E86="Accuracy",E86="Fluency",E86="Segment",E86="Other")),1,0)</formula>
    </cfRule>
  </conditionalFormatting>
  <conditionalFormatting sqref="G86">
    <cfRule type="expression" dxfId="669" priority="709">
      <formula>IF(AND(OR(G86="",#REF!="Segment"),OR(#REF!="Accuracy",#REF!="Fluency",#REF!="Other")),1,0)</formula>
    </cfRule>
  </conditionalFormatting>
  <conditionalFormatting sqref="E88:G88">
    <cfRule type="expression" dxfId="668" priority="701">
      <formula>IF(OR(AND(E88="",F88="",OR(G88="Critical",G88="Major",G88="Minor"))),1,0)</formula>
    </cfRule>
  </conditionalFormatting>
  <conditionalFormatting sqref="F88">
    <cfRule type="expression" dxfId="667" priority="700">
      <formula>IF(AND(F88="",OR(E88="Accuracy",E88="Fluency",E88="Segment",E88="Other")),1,0)</formula>
    </cfRule>
  </conditionalFormatting>
  <conditionalFormatting sqref="G88">
    <cfRule type="expression" dxfId="666" priority="702">
      <formula>IF(AND(OR(G88="",#REF!="Segment"),OR(#REF!="Accuracy",#REF!="Fluency",#REF!="Other")),1,0)</formula>
    </cfRule>
  </conditionalFormatting>
  <conditionalFormatting sqref="E89:G89">
    <cfRule type="expression" dxfId="665" priority="698">
      <formula>IF(OR(AND(E89="",F89="",OR(G89="Critical",G89="Major",G89="Minor"))),1,0)</formula>
    </cfRule>
  </conditionalFormatting>
  <conditionalFormatting sqref="F89">
    <cfRule type="expression" dxfId="664" priority="697">
      <formula>IF(AND(F89="",OR(E89="Accuracy",E89="Fluency",E89="Segment",E89="Other")),1,0)</formula>
    </cfRule>
  </conditionalFormatting>
  <conditionalFormatting sqref="G89">
    <cfRule type="expression" dxfId="663" priority="699">
      <formula>IF(AND(OR(G89="",#REF!="Segment"),OR(#REF!="Accuracy",#REF!="Fluency",#REF!="Other")),1,0)</formula>
    </cfRule>
  </conditionalFormatting>
  <conditionalFormatting sqref="E90:G90">
    <cfRule type="expression" dxfId="662" priority="695">
      <formula>IF(OR(AND(E90="",F90="",OR(G90="Critical",G90="Major",G90="Minor"))),1,0)</formula>
    </cfRule>
  </conditionalFormatting>
  <conditionalFormatting sqref="F90">
    <cfRule type="expression" dxfId="661" priority="694">
      <formula>IF(AND(F90="",OR(E90="Accuracy",E90="Fluency",E90="Segment",E90="Other")),1,0)</formula>
    </cfRule>
  </conditionalFormatting>
  <conditionalFormatting sqref="G90">
    <cfRule type="expression" dxfId="660" priority="696">
      <formula>IF(AND(OR(G90="",#REF!="Segment"),OR(#REF!="Accuracy",#REF!="Fluency",#REF!="Other")),1,0)</formula>
    </cfRule>
  </conditionalFormatting>
  <conditionalFormatting sqref="G91">
    <cfRule type="expression" dxfId="659" priority="692">
      <formula>IF(OR(AND(G91="",H91="",OR(I91="Critical",I91="Major",I91="Minor"))),1,0)</formula>
    </cfRule>
  </conditionalFormatting>
  <conditionalFormatting sqref="G91">
    <cfRule type="expression" dxfId="658" priority="693">
      <formula>IF(AND(OR(G91="",#REF!="Segment"),OR(#REF!="Accuracy",#REF!="Fluency",#REF!="Other")),1,0)</formula>
    </cfRule>
  </conditionalFormatting>
  <conditionalFormatting sqref="E92:G92">
    <cfRule type="expression" dxfId="657" priority="689">
      <formula>IF(OR(AND(E92="",F92="",OR(G92="Critical",G92="Major",G92="Minor"))),1,0)</formula>
    </cfRule>
  </conditionalFormatting>
  <conditionalFormatting sqref="F92">
    <cfRule type="expression" dxfId="656" priority="688">
      <formula>IF(AND(F92="",OR(E92="Accuracy",E92="Fluency",E92="Segment",E92="Other")),1,0)</formula>
    </cfRule>
  </conditionalFormatting>
  <conditionalFormatting sqref="G92">
    <cfRule type="expression" dxfId="655" priority="690">
      <formula>IF(AND(OR(G92="",#REF!="Segment"),OR(#REF!="Accuracy",#REF!="Fluency",#REF!="Other")),1,0)</formula>
    </cfRule>
  </conditionalFormatting>
  <conditionalFormatting sqref="E93:G93">
    <cfRule type="expression" dxfId="654" priority="686">
      <formula>IF(OR(AND(E93="",F93="",OR(G93="Critical",G93="Major",G93="Minor"))),1,0)</formula>
    </cfRule>
  </conditionalFormatting>
  <conditionalFormatting sqref="F93">
    <cfRule type="expression" dxfId="653" priority="685">
      <formula>IF(AND(F93="",OR(E93="Accuracy",E93="Fluency",E93="Segment",E93="Other")),1,0)</formula>
    </cfRule>
  </conditionalFormatting>
  <conditionalFormatting sqref="G93">
    <cfRule type="expression" dxfId="652" priority="687">
      <formula>IF(AND(OR(G93="",#REF!="Segment"),OR(#REF!="Accuracy",#REF!="Fluency",#REF!="Other")),1,0)</formula>
    </cfRule>
  </conditionalFormatting>
  <conditionalFormatting sqref="E94:G94">
    <cfRule type="expression" dxfId="651" priority="683">
      <formula>IF(OR(AND(E94="",F94="",OR(G94="Critical",G94="Major",G94="Minor"))),1,0)</formula>
    </cfRule>
  </conditionalFormatting>
  <conditionalFormatting sqref="F94">
    <cfRule type="expression" dxfId="650" priority="682">
      <formula>IF(AND(F94="",OR(E94="Accuracy",E94="Fluency",E94="Segment",E94="Other")),1,0)</formula>
    </cfRule>
  </conditionalFormatting>
  <conditionalFormatting sqref="G94">
    <cfRule type="expression" dxfId="649" priority="684">
      <formula>IF(AND(OR(G94="",#REF!="Segment"),OR(#REF!="Accuracy",#REF!="Fluency",#REF!="Other")),1,0)</formula>
    </cfRule>
  </conditionalFormatting>
  <conditionalFormatting sqref="E96:G96">
    <cfRule type="expression" dxfId="648" priority="680">
      <formula>IF(OR(AND(E96="",F96="",OR(G96="Critical",G96="Major",G96="Minor"))),1,0)</formula>
    </cfRule>
  </conditionalFormatting>
  <conditionalFormatting sqref="F96">
    <cfRule type="expression" dxfId="647" priority="679">
      <formula>IF(AND(F96="",OR(E96="Accuracy",E96="Fluency",E96="Segment",E96="Other")),1,0)</formula>
    </cfRule>
  </conditionalFormatting>
  <conditionalFormatting sqref="G96">
    <cfRule type="expression" dxfId="646" priority="681">
      <formula>IF(AND(OR(G96="",#REF!="Segment"),OR(#REF!="Accuracy",#REF!="Fluency",#REF!="Other")),1,0)</formula>
    </cfRule>
  </conditionalFormatting>
  <conditionalFormatting sqref="E97:G97">
    <cfRule type="expression" dxfId="645" priority="677">
      <formula>IF(OR(AND(E97="",F97="",OR(G97="Critical",G97="Major",G97="Minor"))),1,0)</formula>
    </cfRule>
  </conditionalFormatting>
  <conditionalFormatting sqref="F97">
    <cfRule type="expression" dxfId="644" priority="676">
      <formula>IF(AND(F97="",OR(E97="Accuracy",E97="Fluency",E97="Segment",E97="Other")),1,0)</formula>
    </cfRule>
  </conditionalFormatting>
  <conditionalFormatting sqref="G97">
    <cfRule type="expression" dxfId="643" priority="678">
      <formula>IF(AND(OR(G97="",#REF!="Segment"),OR(#REF!="Accuracy",#REF!="Fluency",#REF!="Other")),1,0)</formula>
    </cfRule>
  </conditionalFormatting>
  <conditionalFormatting sqref="E98:G98">
    <cfRule type="expression" dxfId="642" priority="674">
      <formula>IF(OR(AND(E98="",F98="",OR(G98="Critical",G98="Major",G98="Minor"))),1,0)</formula>
    </cfRule>
  </conditionalFormatting>
  <conditionalFormatting sqref="F98">
    <cfRule type="expression" dxfId="641" priority="673">
      <formula>IF(AND(F98="",OR(E98="Accuracy",E98="Fluency",E98="Segment",E98="Other")),1,0)</formula>
    </cfRule>
  </conditionalFormatting>
  <conditionalFormatting sqref="G98">
    <cfRule type="expression" dxfId="640" priority="675">
      <formula>IF(AND(OR(G98="",#REF!="Segment"),OR(#REF!="Accuracy",#REF!="Fluency",#REF!="Other")),1,0)</formula>
    </cfRule>
  </conditionalFormatting>
  <conditionalFormatting sqref="E99:G99">
    <cfRule type="expression" dxfId="639" priority="671">
      <formula>IF(OR(AND(E99="",F99="",OR(G99="Critical",G99="Major",G99="Minor"))),1,0)</formula>
    </cfRule>
  </conditionalFormatting>
  <conditionalFormatting sqref="F99">
    <cfRule type="expression" dxfId="638" priority="670">
      <formula>IF(AND(F99="",OR(E99="Accuracy",E99="Fluency",E99="Segment",E99="Other")),1,0)</formula>
    </cfRule>
  </conditionalFormatting>
  <conditionalFormatting sqref="G99">
    <cfRule type="expression" dxfId="637" priority="672">
      <formula>IF(AND(OR(G99="",#REF!="Segment"),OR(#REF!="Accuracy",#REF!="Fluency",#REF!="Other")),1,0)</formula>
    </cfRule>
  </conditionalFormatting>
  <conditionalFormatting sqref="E101:G101">
    <cfRule type="expression" dxfId="636" priority="668">
      <formula>IF(OR(AND(E101="",F101="",OR(G101="Critical",G101="Major",G101="Minor"))),1,0)</formula>
    </cfRule>
  </conditionalFormatting>
  <conditionalFormatting sqref="F101">
    <cfRule type="expression" dxfId="635" priority="667">
      <formula>IF(AND(F101="",OR(E101="Accuracy",E101="Fluency",E101="Segment",E101="Other")),1,0)</formula>
    </cfRule>
  </conditionalFormatting>
  <conditionalFormatting sqref="G101">
    <cfRule type="expression" dxfId="634" priority="669">
      <formula>IF(AND(OR(G101="",#REF!="Segment"),OR(#REF!="Accuracy",#REF!="Fluency",#REF!="Other")),1,0)</formula>
    </cfRule>
  </conditionalFormatting>
  <conditionalFormatting sqref="E102:G102">
    <cfRule type="expression" dxfId="633" priority="665">
      <formula>IF(OR(AND(E102="",F102="",OR(G102="Critical",G102="Major",G102="Minor"))),1,0)</formula>
    </cfRule>
  </conditionalFormatting>
  <conditionalFormatting sqref="F102">
    <cfRule type="expression" dxfId="632" priority="664">
      <formula>IF(AND(F102="",OR(E102="Accuracy",E102="Fluency",E102="Segment",E102="Other")),1,0)</formula>
    </cfRule>
  </conditionalFormatting>
  <conditionalFormatting sqref="G102">
    <cfRule type="expression" dxfId="631" priority="666">
      <formula>IF(AND(OR(G102="",#REF!="Segment"),OR(#REF!="Accuracy",#REF!="Fluency",#REF!="Other")),1,0)</formula>
    </cfRule>
  </conditionalFormatting>
  <conditionalFormatting sqref="E104:G104">
    <cfRule type="expression" dxfId="630" priority="662">
      <formula>IF(OR(AND(E104="",F104="",OR(G104="Critical",G104="Major",G104="Minor"))),1,0)</formula>
    </cfRule>
  </conditionalFormatting>
  <conditionalFormatting sqref="F104">
    <cfRule type="expression" dxfId="629" priority="661">
      <formula>IF(AND(F104="",OR(E104="Accuracy",E104="Fluency",E104="Segment",E104="Other")),1,0)</formula>
    </cfRule>
  </conditionalFormatting>
  <conditionalFormatting sqref="G104">
    <cfRule type="expression" dxfId="628" priority="663">
      <formula>IF(AND(OR(G104="",#REF!="Segment"),OR(#REF!="Accuracy",#REF!="Fluency",#REF!="Other")),1,0)</formula>
    </cfRule>
  </conditionalFormatting>
  <conditionalFormatting sqref="E105:G105">
    <cfRule type="expression" dxfId="627" priority="659">
      <formula>IF(OR(AND(E105="",F105="",OR(G105="Critical",G105="Major",G105="Minor"))),1,0)</formula>
    </cfRule>
  </conditionalFormatting>
  <conditionalFormatting sqref="F105">
    <cfRule type="expression" dxfId="626" priority="658">
      <formula>IF(AND(F105="",OR(E105="Accuracy",E105="Fluency",E105="Segment",E105="Other")),1,0)</formula>
    </cfRule>
  </conditionalFormatting>
  <conditionalFormatting sqref="G105">
    <cfRule type="expression" dxfId="625" priority="660">
      <formula>IF(AND(OR(G105="",#REF!="Segment"),OR(#REF!="Accuracy",#REF!="Fluency",#REF!="Other")),1,0)</formula>
    </cfRule>
  </conditionalFormatting>
  <conditionalFormatting sqref="E106:G106 G108:G113">
    <cfRule type="expression" dxfId="624" priority="656">
      <formula>IF(OR(AND(E106="",F106="",OR(G106="Critical",G106="Major",G106="Minor"))),1,0)</formula>
    </cfRule>
  </conditionalFormatting>
  <conditionalFormatting sqref="F106">
    <cfRule type="expression" dxfId="623" priority="655">
      <formula>IF(AND(F106="",OR(E106="Accuracy",E106="Fluency",E106="Segment",E106="Other")),1,0)</formula>
    </cfRule>
  </conditionalFormatting>
  <conditionalFormatting sqref="G106 G108:G113">
    <cfRule type="expression" dxfId="622" priority="657">
      <formula>IF(AND(OR(G106="",#REF!="Segment"),OR(#REF!="Accuracy",#REF!="Fluency",#REF!="Other")),1,0)</formula>
    </cfRule>
  </conditionalFormatting>
  <conditionalFormatting sqref="E107:G107 E108:F113">
    <cfRule type="expression" dxfId="621" priority="653">
      <formula>IF(OR(AND(E107="",F107="",OR(G107="Critical",G107="Major",G107="Minor"))),1,0)</formula>
    </cfRule>
  </conditionalFormatting>
  <conditionalFormatting sqref="F107:F113">
    <cfRule type="expression" dxfId="620" priority="652">
      <formula>IF(AND(F107="",OR(E107="Accuracy",E107="Fluency",E107="Segment",E107="Other")),1,0)</formula>
    </cfRule>
  </conditionalFormatting>
  <conditionalFormatting sqref="G107">
    <cfRule type="expression" dxfId="619" priority="654">
      <formula>IF(AND(OR(G107="",#REF!="Segment"),OR(#REF!="Accuracy",#REF!="Fluency",#REF!="Other")),1,0)</formula>
    </cfRule>
  </conditionalFormatting>
  <conditionalFormatting sqref="G121">
    <cfRule type="expression" dxfId="618" priority="650">
      <formula>IF(OR(AND(G121="",H121="",OR(I121="Critical",I121="Major",I121="Minor"))),1,0)</formula>
    </cfRule>
  </conditionalFormatting>
  <conditionalFormatting sqref="G121">
    <cfRule type="expression" dxfId="617" priority="651">
      <formula>IF(AND(OR(G121="",#REF!="Segment"),OR(#REF!="Accuracy",#REF!="Fluency",#REF!="Other")),1,0)</formula>
    </cfRule>
  </conditionalFormatting>
  <conditionalFormatting sqref="E124:G126">
    <cfRule type="expression" dxfId="616" priority="647">
      <formula>IF(OR(AND(E124="",F124="",OR(G124="Critical",G124="Major",G124="Minor"))),1,0)</formula>
    </cfRule>
  </conditionalFormatting>
  <conditionalFormatting sqref="F124:F126">
    <cfRule type="expression" dxfId="615" priority="646">
      <formula>IF(AND(F124="",OR(E124="Accuracy",E124="Fluency",E124="Segment",E124="Other")),1,0)</formula>
    </cfRule>
  </conditionalFormatting>
  <conditionalFormatting sqref="G124:G126">
    <cfRule type="expression" dxfId="614" priority="648">
      <formula>IF(AND(OR(G124="",#REF!="Segment"),OR(#REF!="Accuracy",#REF!="Fluency",#REF!="Other")),1,0)</formula>
    </cfRule>
  </conditionalFormatting>
  <conditionalFormatting sqref="E127:G127">
    <cfRule type="expression" dxfId="613" priority="644">
      <formula>IF(OR(AND(E127="",F127="",OR(G127="Critical",G127="Major",G127="Minor"))),1,0)</formula>
    </cfRule>
  </conditionalFormatting>
  <conditionalFormatting sqref="F127">
    <cfRule type="expression" dxfId="612" priority="643">
      <formula>IF(AND(F127="",OR(E127="Accuracy",E127="Fluency",E127="Segment",E127="Other")),1,0)</formula>
    </cfRule>
  </conditionalFormatting>
  <conditionalFormatting sqref="G127">
    <cfRule type="expression" dxfId="611" priority="645">
      <formula>IF(AND(OR(G127="",#REF!="Segment"),OR(#REF!="Accuracy",#REF!="Fluency",#REF!="Other")),1,0)</formula>
    </cfRule>
  </conditionalFormatting>
  <conditionalFormatting sqref="E129:G129">
    <cfRule type="expression" dxfId="610" priority="641">
      <formula>IF(OR(AND(E129="",F129="",OR(G129="Critical",G129="Major",G129="Minor"))),1,0)</formula>
    </cfRule>
  </conditionalFormatting>
  <conditionalFormatting sqref="F129">
    <cfRule type="expression" dxfId="609" priority="640">
      <formula>IF(AND(F129="",OR(E129="Accuracy",E129="Fluency",E129="Segment",E129="Other")),1,0)</formula>
    </cfRule>
  </conditionalFormatting>
  <conditionalFormatting sqref="G129">
    <cfRule type="expression" dxfId="608" priority="642">
      <formula>IF(AND(OR(G129="",#REF!="Segment"),OR(#REF!="Accuracy",#REF!="Fluency",#REF!="Other")),1,0)</formula>
    </cfRule>
  </conditionalFormatting>
  <conditionalFormatting sqref="G131">
    <cfRule type="expression" dxfId="607" priority="638">
      <formula>IF(OR(AND(G131="",H131="",OR(I131="Critical",I131="Major",I131="Minor"))),1,0)</formula>
    </cfRule>
  </conditionalFormatting>
  <conditionalFormatting sqref="G131">
    <cfRule type="expression" dxfId="606" priority="639">
      <formula>IF(AND(OR(G131="",#REF!="Segment"),OR(#REF!="Accuracy",#REF!="Fluency",#REF!="Other")),1,0)</formula>
    </cfRule>
  </conditionalFormatting>
  <conditionalFormatting sqref="G132">
    <cfRule type="expression" dxfId="605" priority="635">
      <formula>IF(OR(AND(G132="",H132="",OR(I132="Critical",I132="Major",I132="Minor"))),1,0)</formula>
    </cfRule>
  </conditionalFormatting>
  <conditionalFormatting sqref="G132">
    <cfRule type="expression" dxfId="604" priority="636">
      <formula>IF(AND(OR(G132="",#REF!="Segment"),OR(#REF!="Accuracy",#REF!="Fluency",#REF!="Other")),1,0)</formula>
    </cfRule>
  </conditionalFormatting>
  <conditionalFormatting sqref="G134:G136">
    <cfRule type="expression" dxfId="603" priority="632">
      <formula>IF(OR(AND(G134="",H134="",OR(I134="Critical",I134="Major",I134="Minor"))),1,0)</formula>
    </cfRule>
  </conditionalFormatting>
  <conditionalFormatting sqref="G134:G136">
    <cfRule type="expression" dxfId="602" priority="633">
      <formula>IF(AND(OR(G134="",#REF!="Segment"),OR(#REF!="Accuracy",#REF!="Fluency",#REF!="Other")),1,0)</formula>
    </cfRule>
  </conditionalFormatting>
  <conditionalFormatting sqref="E137:G142">
    <cfRule type="expression" dxfId="601" priority="629">
      <formula>IF(OR(AND(E137="",F137="",OR(G137="Critical",G137="Major",G137="Minor"))),1,0)</formula>
    </cfRule>
  </conditionalFormatting>
  <conditionalFormatting sqref="F137:F142">
    <cfRule type="expression" dxfId="600" priority="628">
      <formula>IF(AND(F137="",OR(E137="Accuracy",E137="Fluency",E137="Segment",E137="Other")),1,0)</formula>
    </cfRule>
  </conditionalFormatting>
  <conditionalFormatting sqref="G137:G142">
    <cfRule type="expression" dxfId="599" priority="630">
      <formula>IF(AND(OR(G137="",#REF!="Segment"),OR(#REF!="Accuracy",#REF!="Fluency",#REF!="Other")),1,0)</formula>
    </cfRule>
  </conditionalFormatting>
  <conditionalFormatting sqref="E146:G146">
    <cfRule type="expression" dxfId="598" priority="626">
      <formula>IF(OR(AND(E146="",F146="",OR(G146="Critical",G146="Major",G146="Minor"))),1,0)</formula>
    </cfRule>
  </conditionalFormatting>
  <conditionalFormatting sqref="F146">
    <cfRule type="expression" dxfId="597" priority="625">
      <formula>IF(AND(F146="",OR(E146="Accuracy",E146="Fluency",E146="Segment",E146="Other")),1,0)</formula>
    </cfRule>
  </conditionalFormatting>
  <conditionalFormatting sqref="G146">
    <cfRule type="expression" dxfId="596" priority="627">
      <formula>IF(AND(OR(G146="",#REF!="Segment"),OR(#REF!="Accuracy",#REF!="Fluency",#REF!="Other")),1,0)</formula>
    </cfRule>
  </conditionalFormatting>
  <conditionalFormatting sqref="E149:G149">
    <cfRule type="expression" dxfId="595" priority="623">
      <formula>IF(OR(AND(E149="",F149="",OR(G149="Critical",G149="Major",G149="Minor"))),1,0)</formula>
    </cfRule>
  </conditionalFormatting>
  <conditionalFormatting sqref="F149">
    <cfRule type="expression" dxfId="594" priority="622">
      <formula>IF(AND(F149="",OR(E149="Accuracy",E149="Fluency",E149="Segment",E149="Other")),1,0)</formula>
    </cfRule>
  </conditionalFormatting>
  <conditionalFormatting sqref="G149">
    <cfRule type="expression" dxfId="593" priority="624">
      <formula>IF(AND(OR(G149="",#REF!="Segment"),OR(#REF!="Accuracy",#REF!="Fluency",#REF!="Other")),1,0)</formula>
    </cfRule>
  </conditionalFormatting>
  <conditionalFormatting sqref="E150:G150">
    <cfRule type="expression" dxfId="592" priority="620">
      <formula>IF(OR(AND(E150="",F150="",OR(G150="Critical",G150="Major",G150="Minor"))),1,0)</formula>
    </cfRule>
  </conditionalFormatting>
  <conditionalFormatting sqref="F150">
    <cfRule type="expression" dxfId="591" priority="619">
      <formula>IF(AND(F150="",OR(E150="Accuracy",E150="Fluency",E150="Segment",E150="Other")),1,0)</formula>
    </cfRule>
  </conditionalFormatting>
  <conditionalFormatting sqref="G150">
    <cfRule type="expression" dxfId="590" priority="621">
      <formula>IF(AND(OR(G150="",#REF!="Segment"),OR(#REF!="Accuracy",#REF!="Fluency",#REF!="Other")),1,0)</formula>
    </cfRule>
  </conditionalFormatting>
  <conditionalFormatting sqref="E153:G153">
    <cfRule type="expression" dxfId="589" priority="617">
      <formula>IF(OR(AND(E153="",F153="",OR(G153="Critical",G153="Major",G153="Minor"))),1,0)</formula>
    </cfRule>
  </conditionalFormatting>
  <conditionalFormatting sqref="F153">
    <cfRule type="expression" dxfId="588" priority="616">
      <formula>IF(AND(F153="",OR(E153="Accuracy",E153="Fluency",E153="Segment",E153="Other")),1,0)</formula>
    </cfRule>
  </conditionalFormatting>
  <conditionalFormatting sqref="G153">
    <cfRule type="expression" dxfId="587" priority="618">
      <formula>IF(AND(OR(G153="",#REF!="Segment"),OR(#REF!="Accuracy",#REF!="Fluency",#REF!="Other")),1,0)</formula>
    </cfRule>
  </conditionalFormatting>
  <conditionalFormatting sqref="E154:G154">
    <cfRule type="expression" dxfId="586" priority="614">
      <formula>IF(OR(AND(E154="",F154="",OR(G154="Critical",G154="Major",G154="Minor"))),1,0)</formula>
    </cfRule>
  </conditionalFormatting>
  <conditionalFormatting sqref="F154">
    <cfRule type="expression" dxfId="585" priority="613">
      <formula>IF(AND(F154="",OR(E154="Accuracy",E154="Fluency",E154="Segment",E154="Other")),1,0)</formula>
    </cfRule>
  </conditionalFormatting>
  <conditionalFormatting sqref="G154">
    <cfRule type="expression" dxfId="584" priority="615">
      <formula>IF(AND(OR(G154="",#REF!="Segment"),OR(#REF!="Accuracy",#REF!="Fluency",#REF!="Other")),1,0)</formula>
    </cfRule>
  </conditionalFormatting>
  <conditionalFormatting sqref="E157:G157">
    <cfRule type="expression" dxfId="583" priority="611">
      <formula>IF(OR(AND(E157="",F157="",OR(G157="Critical",G157="Major",G157="Minor"))),1,0)</formula>
    </cfRule>
  </conditionalFormatting>
  <conditionalFormatting sqref="F157">
    <cfRule type="expression" dxfId="582" priority="610">
      <formula>IF(AND(F157="",OR(E157="Accuracy",E157="Fluency",E157="Segment",E157="Other")),1,0)</formula>
    </cfRule>
  </conditionalFormatting>
  <conditionalFormatting sqref="G157">
    <cfRule type="expression" dxfId="581" priority="612">
      <formula>IF(AND(OR(G157="",#REF!="Segment"),OR(#REF!="Accuracy",#REF!="Fluency",#REF!="Other")),1,0)</formula>
    </cfRule>
  </conditionalFormatting>
  <conditionalFormatting sqref="E158:G158">
    <cfRule type="expression" dxfId="580" priority="608">
      <formula>IF(OR(AND(E158="",F158="",OR(G158="Critical",G158="Major",G158="Minor"))),1,0)</formula>
    </cfRule>
  </conditionalFormatting>
  <conditionalFormatting sqref="F158">
    <cfRule type="expression" dxfId="579" priority="607">
      <formula>IF(AND(F158="",OR(E158="Accuracy",E158="Fluency",E158="Segment",E158="Other")),1,0)</formula>
    </cfRule>
  </conditionalFormatting>
  <conditionalFormatting sqref="G158">
    <cfRule type="expression" dxfId="578" priority="609">
      <formula>IF(AND(OR(G158="",#REF!="Segment"),OR(#REF!="Accuracy",#REF!="Fluency",#REF!="Other")),1,0)</formula>
    </cfRule>
  </conditionalFormatting>
  <conditionalFormatting sqref="G159">
    <cfRule type="expression" dxfId="577" priority="605">
      <formula>IF(OR(AND(G159="",H159="",OR(I159="Critical",I159="Major",I159="Minor"))),1,0)</formula>
    </cfRule>
  </conditionalFormatting>
  <conditionalFormatting sqref="G159">
    <cfRule type="expression" dxfId="576" priority="606">
      <formula>IF(AND(OR(G159="",#REF!="Segment"),OR(#REF!="Accuracy",#REF!="Fluency",#REF!="Other")),1,0)</formula>
    </cfRule>
  </conditionalFormatting>
  <conditionalFormatting sqref="G160:G161">
    <cfRule type="expression" dxfId="575" priority="602">
      <formula>IF(OR(AND(G160="",H160="",OR(I160="Critical",I160="Major",I160="Minor"))),1,0)</formula>
    </cfRule>
  </conditionalFormatting>
  <conditionalFormatting sqref="G160:G161">
    <cfRule type="expression" dxfId="574" priority="603">
      <formula>IF(AND(OR(G160="",#REF!="Segment"),OR(#REF!="Accuracy",#REF!="Fluency",#REF!="Other")),1,0)</formula>
    </cfRule>
  </conditionalFormatting>
  <conditionalFormatting sqref="E162:G168">
    <cfRule type="expression" dxfId="573" priority="599">
      <formula>IF(OR(AND(E162="",F162="",OR(G162="Critical",G162="Major",G162="Minor"))),1,0)</formula>
    </cfRule>
  </conditionalFormatting>
  <conditionalFormatting sqref="F162:F168">
    <cfRule type="expression" dxfId="572" priority="598">
      <formula>IF(AND(F162="",OR(E162="Accuracy",E162="Fluency",E162="Segment",E162="Other")),1,0)</formula>
    </cfRule>
  </conditionalFormatting>
  <conditionalFormatting sqref="G162:G168">
    <cfRule type="expression" dxfId="571" priority="600">
      <formula>IF(AND(OR(G162="",#REF!="Segment"),OR(#REF!="Accuracy",#REF!="Fluency",#REF!="Other")),1,0)</formula>
    </cfRule>
  </conditionalFormatting>
  <conditionalFormatting sqref="E182:G182">
    <cfRule type="expression" dxfId="570" priority="596">
      <formula>IF(OR(AND(E182="",F182="",OR(G182="Critical",G182="Major",G182="Minor"))),1,0)</formula>
    </cfRule>
  </conditionalFormatting>
  <conditionalFormatting sqref="F182">
    <cfRule type="expression" dxfId="569" priority="595">
      <formula>IF(AND(F182="",OR(E182="Accuracy",E182="Fluency",E182="Segment",E182="Other")),1,0)</formula>
    </cfRule>
  </conditionalFormatting>
  <conditionalFormatting sqref="G182">
    <cfRule type="expression" dxfId="568" priority="597">
      <formula>IF(AND(OR(G182="",#REF!="Segment"),OR(#REF!="Accuracy",#REF!="Fluency",#REF!="Other")),1,0)</formula>
    </cfRule>
  </conditionalFormatting>
  <conditionalFormatting sqref="E183:G185">
    <cfRule type="expression" dxfId="567" priority="593">
      <formula>IF(OR(AND(E183="",F183="",OR(G183="Critical",G183="Major",G183="Minor"))),1,0)</formula>
    </cfRule>
  </conditionalFormatting>
  <conditionalFormatting sqref="F183:F185">
    <cfRule type="expression" dxfId="566" priority="592">
      <formula>IF(AND(F183="",OR(E183="Accuracy",E183="Fluency",E183="Segment",E183="Other")),1,0)</formula>
    </cfRule>
  </conditionalFormatting>
  <conditionalFormatting sqref="G183:G185">
    <cfRule type="expression" dxfId="565" priority="594">
      <formula>IF(AND(OR(G183="",#REF!="Segment"),OR(#REF!="Accuracy",#REF!="Fluency",#REF!="Other")),1,0)</formula>
    </cfRule>
  </conditionalFormatting>
  <conditionalFormatting sqref="G208">
    <cfRule type="expression" dxfId="564" priority="703">
      <formula>IF(OR(AND(G208="",#REF!="",OR(I208="Critical",I208="Major",I208="Minor"))),1,0)</formula>
    </cfRule>
  </conditionalFormatting>
  <conditionalFormatting sqref="F208">
    <cfRule type="expression" dxfId="563" priority="704">
      <formula>IF(OR(AND(F208="",G208="",OR(#REF!="Critical",#REF!="Major",#REF!="Minor"))),1,0)</formula>
    </cfRule>
  </conditionalFormatting>
  <conditionalFormatting sqref="E190:G192">
    <cfRule type="expression" dxfId="562" priority="590">
      <formula>IF(OR(AND(E190="",F190="",OR(G190="Critical",G190="Major",G190="Minor"))),1,0)</formula>
    </cfRule>
  </conditionalFormatting>
  <conditionalFormatting sqref="F190:F192">
    <cfRule type="expression" dxfId="561" priority="589">
      <formula>IF(AND(F190="",OR(E190="Accuracy",E190="Fluency",E190="Segment",E190="Other")),1,0)</formula>
    </cfRule>
  </conditionalFormatting>
  <conditionalFormatting sqref="G190:G192">
    <cfRule type="expression" dxfId="560" priority="591">
      <formula>IF(AND(OR(G190="",#REF!="Segment"),OR(#REF!="Accuracy",#REF!="Fluency",#REF!="Other")),1,0)</formula>
    </cfRule>
  </conditionalFormatting>
  <conditionalFormatting sqref="G194">
    <cfRule type="expression" dxfId="559" priority="587">
      <formula>IF(OR(AND(G194="",H194="",OR(I194="Critical",I194="Major",I194="Minor"))),1,0)</formula>
    </cfRule>
  </conditionalFormatting>
  <conditionalFormatting sqref="G194">
    <cfRule type="expression" dxfId="558" priority="588">
      <formula>IF(AND(OR(G194="",#REF!="Segment"),OR(#REF!="Accuracy",#REF!="Fluency",#REF!="Other")),1,0)</formula>
    </cfRule>
  </conditionalFormatting>
  <conditionalFormatting sqref="E196:G196">
    <cfRule type="expression" dxfId="557" priority="584">
      <formula>IF(OR(AND(E196="",F196="",OR(G196="Critical",G196="Major",G196="Minor"))),1,0)</formula>
    </cfRule>
  </conditionalFormatting>
  <conditionalFormatting sqref="F196">
    <cfRule type="expression" dxfId="556" priority="583">
      <formula>IF(AND(F196="",OR(E196="Accuracy",E196="Fluency",E196="Segment",E196="Other")),1,0)</formula>
    </cfRule>
  </conditionalFormatting>
  <conditionalFormatting sqref="G196">
    <cfRule type="expression" dxfId="555" priority="585">
      <formula>IF(AND(OR(G196="",#REF!="Segment"),OR(#REF!="Accuracy",#REF!="Fluency",#REF!="Other")),1,0)</formula>
    </cfRule>
  </conditionalFormatting>
  <conditionalFormatting sqref="G202">
    <cfRule type="expression" dxfId="554" priority="705">
      <formula>IF(OR(AND(G202="",H201="",OR(I202="Critical",I202="Major",I202="Minor"))),1,0)</formula>
    </cfRule>
  </conditionalFormatting>
  <conditionalFormatting sqref="F202">
    <cfRule type="expression" dxfId="553" priority="706">
      <formula>IF(OR(AND(F202="",G202="",OR(H201="Critical",H201="Major",H201="Minor"))),1,0)</formula>
    </cfRule>
  </conditionalFormatting>
  <conditionalFormatting sqref="E199:G199">
    <cfRule type="expression" dxfId="552" priority="581">
      <formula>IF(OR(AND(E199="",F199="",OR(G199="Critical",G199="Major",G199="Minor"))),1,0)</formula>
    </cfRule>
  </conditionalFormatting>
  <conditionalFormatting sqref="F199">
    <cfRule type="expression" dxfId="551" priority="580">
      <formula>IF(AND(F199="",OR(E199="Accuracy",E199="Fluency",E199="Segment",E199="Other")),1,0)</formula>
    </cfRule>
  </conditionalFormatting>
  <conditionalFormatting sqref="G199">
    <cfRule type="expression" dxfId="550" priority="582">
      <formula>IF(AND(OR(G199="",#REF!="Segment"),OR(#REF!="Accuracy",#REF!="Fluency",#REF!="Other")),1,0)</formula>
    </cfRule>
  </conditionalFormatting>
  <conditionalFormatting sqref="E200:G200">
    <cfRule type="expression" dxfId="549" priority="578">
      <formula>IF(OR(AND(E200="",F200="",OR(G200="Critical",G200="Major",G200="Minor"))),1,0)</formula>
    </cfRule>
  </conditionalFormatting>
  <conditionalFormatting sqref="F200">
    <cfRule type="expression" dxfId="548" priority="577">
      <formula>IF(AND(F200="",OR(E200="Accuracy",E200="Fluency",E200="Segment",E200="Other")),1,0)</formula>
    </cfRule>
  </conditionalFormatting>
  <conditionalFormatting sqref="G200">
    <cfRule type="expression" dxfId="547" priority="579">
      <formula>IF(AND(OR(G200="",#REF!="Segment"),OR(#REF!="Accuracy",#REF!="Fluency",#REF!="Other")),1,0)</formula>
    </cfRule>
  </conditionalFormatting>
  <conditionalFormatting sqref="E201:G201">
    <cfRule type="expression" dxfId="546" priority="575">
      <formula>IF(OR(AND(E201="",F201="",OR(G201="Critical",G201="Major",G201="Minor"))),1,0)</formula>
    </cfRule>
  </conditionalFormatting>
  <conditionalFormatting sqref="F201">
    <cfRule type="expression" dxfId="545" priority="574">
      <formula>IF(AND(F201="",OR(E201="Accuracy",E201="Fluency",E201="Segment",E201="Other")),1,0)</formula>
    </cfRule>
  </conditionalFormatting>
  <conditionalFormatting sqref="G201">
    <cfRule type="expression" dxfId="544" priority="576">
      <formula>IF(AND(OR(G201="",#REF!="Segment"),OR(#REF!="Accuracy",#REF!="Fluency",#REF!="Other")),1,0)</formula>
    </cfRule>
  </conditionalFormatting>
  <conditionalFormatting sqref="E203:G203">
    <cfRule type="expression" dxfId="543" priority="572">
      <formula>IF(OR(AND(E203="",F203="",OR(G203="Critical",G203="Major",G203="Minor"))),1,0)</formula>
    </cfRule>
  </conditionalFormatting>
  <conditionalFormatting sqref="F203">
    <cfRule type="expression" dxfId="542" priority="571">
      <formula>IF(AND(F203="",OR(E203="Accuracy",E203="Fluency",E203="Segment",E203="Other")),1,0)</formula>
    </cfRule>
  </conditionalFormatting>
  <conditionalFormatting sqref="G203">
    <cfRule type="expression" dxfId="541" priority="573">
      <formula>IF(AND(OR(G203="",#REF!="Segment"),OR(#REF!="Accuracy",#REF!="Fluency",#REF!="Other")),1,0)</formula>
    </cfRule>
  </conditionalFormatting>
  <conditionalFormatting sqref="E204:G204">
    <cfRule type="expression" dxfId="540" priority="569">
      <formula>IF(OR(AND(E204="",F204="",OR(G204="Critical",G204="Major",G204="Minor"))),1,0)</formula>
    </cfRule>
  </conditionalFormatting>
  <conditionalFormatting sqref="F204">
    <cfRule type="expression" dxfId="539" priority="568">
      <formula>IF(AND(F204="",OR(E204="Accuracy",E204="Fluency",E204="Segment",E204="Other")),1,0)</formula>
    </cfRule>
  </conditionalFormatting>
  <conditionalFormatting sqref="G204">
    <cfRule type="expression" dxfId="538" priority="570">
      <formula>IF(AND(OR(G204="",#REF!="Segment"),OR(#REF!="Accuracy",#REF!="Fluency",#REF!="Other")),1,0)</formula>
    </cfRule>
  </conditionalFormatting>
  <conditionalFormatting sqref="E206:G206">
    <cfRule type="expression" dxfId="537" priority="566">
      <formula>IF(OR(AND(E206="",F206="",OR(G206="Critical",G206="Major",G206="Minor"))),1,0)</formula>
    </cfRule>
  </conditionalFormatting>
  <conditionalFormatting sqref="F206">
    <cfRule type="expression" dxfId="536" priority="565">
      <formula>IF(AND(F206="",OR(E206="Accuracy",E206="Fluency",E206="Segment",E206="Other")),1,0)</formula>
    </cfRule>
  </conditionalFormatting>
  <conditionalFormatting sqref="G206">
    <cfRule type="expression" dxfId="535" priority="567">
      <formula>IF(AND(OR(G206="",#REF!="Segment"),OR(#REF!="Accuracy",#REF!="Fluency",#REF!="Other")),1,0)</formula>
    </cfRule>
  </conditionalFormatting>
  <conditionalFormatting sqref="E207:G207">
    <cfRule type="expression" dxfId="534" priority="563">
      <formula>IF(OR(AND(E207="",F207="",OR(G207="Critical",G207="Major",G207="Minor"))),1,0)</formula>
    </cfRule>
  </conditionalFormatting>
  <conditionalFormatting sqref="F207">
    <cfRule type="expression" dxfId="533" priority="562">
      <formula>IF(AND(F207="",OR(E207="Accuracy",E207="Fluency",E207="Segment",E207="Other")),1,0)</formula>
    </cfRule>
  </conditionalFormatting>
  <conditionalFormatting sqref="G207">
    <cfRule type="expression" dxfId="532" priority="564">
      <formula>IF(AND(OR(G207="",#REF!="Segment"),OR(#REF!="Accuracy",#REF!="Fluency",#REF!="Other")),1,0)</formula>
    </cfRule>
  </conditionalFormatting>
  <conditionalFormatting sqref="E209">
    <cfRule type="expression" dxfId="531" priority="558">
      <formula>IF(OR(AND(E209="",F209="",OR(G209="Critical",G209="Major",G209="Minor"))),1,0)</formula>
    </cfRule>
  </conditionalFormatting>
  <conditionalFormatting sqref="F209">
    <cfRule type="expression" dxfId="530" priority="557">
      <formula>IF(AND(F209="",OR(E209="Accuracy",E209="Fluency",E209="Segment",E209="Other")),1,0)</formula>
    </cfRule>
  </conditionalFormatting>
  <conditionalFormatting sqref="G209">
    <cfRule type="expression" dxfId="529" priority="559">
      <formula>IF(AND(OR(G209="",#REF!="Segment"),OR(#REF!="Accuracy",#REF!="Fluency",#REF!="Other")),1,0)</formula>
    </cfRule>
  </conditionalFormatting>
  <conditionalFormatting sqref="G209">
    <cfRule type="expression" dxfId="528" priority="560">
      <formula>IF(OR(AND(G209="",#REF!="",OR(I209="Critical",I209="Major",I209="Minor"))),1,0)</formula>
    </cfRule>
  </conditionalFormatting>
  <conditionalFormatting sqref="F209">
    <cfRule type="expression" dxfId="527" priority="561">
      <formula>IF(OR(AND(F209="",G209="",OR(#REF!="Critical",#REF!="Major",#REF!="Minor"))),1,0)</formula>
    </cfRule>
  </conditionalFormatting>
  <conditionalFormatting sqref="E211">
    <cfRule type="expression" dxfId="526" priority="553">
      <formula>IF(OR(AND(E211="",F211="",OR(G211="Critical",G211="Major",G211="Minor"))),1,0)</formula>
    </cfRule>
  </conditionalFormatting>
  <conditionalFormatting sqref="F211">
    <cfRule type="expression" dxfId="525" priority="552">
      <formula>IF(AND(F211="",OR(E211="Accuracy",E211="Fluency",E211="Segment",E211="Other")),1,0)</formula>
    </cfRule>
  </conditionalFormatting>
  <conditionalFormatting sqref="G211">
    <cfRule type="expression" dxfId="524" priority="554">
      <formula>IF(AND(OR(G211="",#REF!="Segment"),OR(#REF!="Accuracy",#REF!="Fluency",#REF!="Other")),1,0)</formula>
    </cfRule>
  </conditionalFormatting>
  <conditionalFormatting sqref="G211">
    <cfRule type="expression" dxfId="523" priority="555">
      <formula>IF(OR(AND(G211="",#REF!="",OR(I211="Critical",I211="Major",I211="Minor"))),1,0)</formula>
    </cfRule>
  </conditionalFormatting>
  <conditionalFormatting sqref="F211">
    <cfRule type="expression" dxfId="522" priority="556">
      <formula>IF(OR(AND(F211="",G211="",OR(#REF!="Critical",#REF!="Major",#REF!="Minor"))),1,0)</formula>
    </cfRule>
  </conditionalFormatting>
  <conditionalFormatting sqref="E213:G214">
    <cfRule type="expression" dxfId="521" priority="550">
      <formula>IF(OR(AND(E213="",F213="",OR(G213="Critical",G213="Major",G213="Minor"))),1,0)</formula>
    </cfRule>
  </conditionalFormatting>
  <conditionalFormatting sqref="F213:F214">
    <cfRule type="expression" dxfId="520" priority="549">
      <formula>IF(AND(F213="",OR(E213="Accuracy",E213="Fluency",E213="Segment",E213="Other")),1,0)</formula>
    </cfRule>
  </conditionalFormatting>
  <conditionalFormatting sqref="G213:G214">
    <cfRule type="expression" dxfId="519" priority="551">
      <formula>IF(AND(OR(G213="",#REF!="Segment"),OR(#REF!="Accuracy",#REF!="Fluency",#REF!="Other")),1,0)</formula>
    </cfRule>
  </conditionalFormatting>
  <conditionalFormatting sqref="E215:G215">
    <cfRule type="expression" dxfId="518" priority="547">
      <formula>IF(OR(AND(E215="",F215="",OR(G215="Critical",G215="Major",G215="Minor"))),1,0)</formula>
    </cfRule>
  </conditionalFormatting>
  <conditionalFormatting sqref="F215">
    <cfRule type="expression" dxfId="517" priority="546">
      <formula>IF(AND(F215="",OR(E215="Accuracy",E215="Fluency",E215="Segment",E215="Other")),1,0)</formula>
    </cfRule>
  </conditionalFormatting>
  <conditionalFormatting sqref="G215">
    <cfRule type="expression" dxfId="516" priority="548">
      <formula>IF(AND(OR(G215="",#REF!="Segment"),OR(#REF!="Accuracy",#REF!="Fluency",#REF!="Other")),1,0)</formula>
    </cfRule>
  </conditionalFormatting>
  <conditionalFormatting sqref="E216:G216">
    <cfRule type="expression" dxfId="515" priority="544">
      <formula>IF(OR(AND(E216="",F216="",OR(G216="Critical",G216="Major",G216="Minor"))),1,0)</formula>
    </cfRule>
  </conditionalFormatting>
  <conditionalFormatting sqref="F216">
    <cfRule type="expression" dxfId="514" priority="543">
      <formula>IF(AND(F216="",OR(E216="Accuracy",E216="Fluency",E216="Segment",E216="Other")),1,0)</formula>
    </cfRule>
  </conditionalFormatting>
  <conditionalFormatting sqref="G216">
    <cfRule type="expression" dxfId="513" priority="545">
      <formula>IF(AND(OR(G216="",#REF!="Segment"),OR(#REF!="Accuracy",#REF!="Fluency",#REF!="Other")),1,0)</formula>
    </cfRule>
  </conditionalFormatting>
  <conditionalFormatting sqref="E220:G220">
    <cfRule type="expression" dxfId="512" priority="541">
      <formula>IF(OR(AND(E220="",F220="",OR(G220="Critical",G220="Major",G220="Minor"))),1,0)</formula>
    </cfRule>
  </conditionalFormatting>
  <conditionalFormatting sqref="F220">
    <cfRule type="expression" dxfId="511" priority="540">
      <formula>IF(AND(F220="",OR(E220="Accuracy",E220="Fluency",E220="Segment",E220="Other")),1,0)</formula>
    </cfRule>
  </conditionalFormatting>
  <conditionalFormatting sqref="G220">
    <cfRule type="expression" dxfId="510" priority="542">
      <formula>IF(AND(OR(G220="",#REF!="Segment"),OR(#REF!="Accuracy",#REF!="Fluency",#REF!="Other")),1,0)</formula>
    </cfRule>
  </conditionalFormatting>
  <conditionalFormatting sqref="E221:G221">
    <cfRule type="expression" dxfId="509" priority="538">
      <formula>IF(OR(AND(E221="",F221="",OR(G221="Critical",G221="Major",G221="Minor"))),1,0)</formula>
    </cfRule>
  </conditionalFormatting>
  <conditionalFormatting sqref="F221">
    <cfRule type="expression" dxfId="508" priority="537">
      <formula>IF(AND(F221="",OR(E221="Accuracy",E221="Fluency",E221="Segment",E221="Other")),1,0)</formula>
    </cfRule>
  </conditionalFormatting>
  <conditionalFormatting sqref="G221">
    <cfRule type="expression" dxfId="507" priority="539">
      <formula>IF(AND(OR(G221="",#REF!="Segment"),OR(#REF!="Accuracy",#REF!="Fluency",#REF!="Other")),1,0)</formula>
    </cfRule>
  </conditionalFormatting>
  <conditionalFormatting sqref="E222:G222">
    <cfRule type="expression" dxfId="506" priority="535">
      <formula>IF(OR(AND(E222="",F222="",OR(G222="Critical",G222="Major",G222="Minor"))),1,0)</formula>
    </cfRule>
  </conditionalFormatting>
  <conditionalFormatting sqref="F222">
    <cfRule type="expression" dxfId="505" priority="534">
      <formula>IF(AND(F222="",OR(E222="Accuracy",E222="Fluency",E222="Segment",E222="Other")),1,0)</formula>
    </cfRule>
  </conditionalFormatting>
  <conditionalFormatting sqref="G222">
    <cfRule type="expression" dxfId="504" priority="536">
      <formula>IF(AND(OR(G222="",#REF!="Segment"),OR(#REF!="Accuracy",#REF!="Fluency",#REF!="Other")),1,0)</formula>
    </cfRule>
  </conditionalFormatting>
  <conditionalFormatting sqref="E226:G226">
    <cfRule type="expression" dxfId="503" priority="532">
      <formula>IF(OR(AND(E226="",F226="",OR(G226="Critical",G226="Major",G226="Minor"))),1,0)</formula>
    </cfRule>
  </conditionalFormatting>
  <conditionalFormatting sqref="F226">
    <cfRule type="expression" dxfId="502" priority="531">
      <formula>IF(AND(F226="",OR(E226="Accuracy",E226="Fluency",E226="Segment",E226="Other")),1,0)</formula>
    </cfRule>
  </conditionalFormatting>
  <conditionalFormatting sqref="G226">
    <cfRule type="expression" dxfId="501" priority="533">
      <formula>IF(AND(OR(G226="",#REF!="Segment"),OR(#REF!="Accuracy",#REF!="Fluency",#REF!="Other")),1,0)</formula>
    </cfRule>
  </conditionalFormatting>
  <conditionalFormatting sqref="E240:G240">
    <cfRule type="expression" dxfId="500" priority="529">
      <formula>IF(OR(AND(E240="",F240="",OR(G240="Critical",G240="Major",G240="Minor"))),1,0)</formula>
    </cfRule>
  </conditionalFormatting>
  <conditionalFormatting sqref="F240">
    <cfRule type="expression" dxfId="499" priority="528">
      <formula>IF(AND(F240="",OR(E240="Accuracy",E240="Fluency",E240="Segment",E240="Other")),1,0)</formula>
    </cfRule>
  </conditionalFormatting>
  <conditionalFormatting sqref="G240">
    <cfRule type="expression" dxfId="498" priority="530">
      <formula>IF(AND(OR(G240="",#REF!="Segment"),OR(#REF!="Accuracy",#REF!="Fluency",#REF!="Other")),1,0)</formula>
    </cfRule>
  </conditionalFormatting>
  <conditionalFormatting sqref="E241:G241">
    <cfRule type="expression" dxfId="497" priority="526">
      <formula>IF(OR(AND(E241="",F241="",OR(G241="Critical",G241="Major",G241="Minor"))),1,0)</formula>
    </cfRule>
  </conditionalFormatting>
  <conditionalFormatting sqref="F241">
    <cfRule type="expression" dxfId="496" priority="525">
      <formula>IF(AND(F241="",OR(E241="Accuracy",E241="Fluency",E241="Segment",E241="Other")),1,0)</formula>
    </cfRule>
  </conditionalFormatting>
  <conditionalFormatting sqref="G241">
    <cfRule type="expression" dxfId="495" priority="527">
      <formula>IF(AND(OR(G241="",#REF!="Segment"),OR(#REF!="Accuracy",#REF!="Fluency",#REF!="Other")),1,0)</formula>
    </cfRule>
  </conditionalFormatting>
  <conditionalFormatting sqref="G242">
    <cfRule type="expression" dxfId="494" priority="523">
      <formula>IF(OR(AND(G242="",H242="",OR(I242="Critical",I242="Major",I242="Minor"))),1,0)</formula>
    </cfRule>
  </conditionalFormatting>
  <conditionalFormatting sqref="G242">
    <cfRule type="expression" dxfId="493" priority="524">
      <formula>IF(AND(OR(G242="",#REF!="Segment"),OR(#REF!="Accuracy",#REF!="Fluency",#REF!="Other")),1,0)</formula>
    </cfRule>
  </conditionalFormatting>
  <conditionalFormatting sqref="E245:F245">
    <cfRule type="expression" dxfId="492" priority="521">
      <formula>IF(OR(AND(E245="",F245="",OR(G245="Critical",G245="Major",G245="Minor"))),1,0)</formula>
    </cfRule>
  </conditionalFormatting>
  <conditionalFormatting sqref="F245">
    <cfRule type="expression" dxfId="491" priority="520">
      <formula>IF(AND(F245="",OR(E245="Accuracy",E245="Fluency",E245="Segment",E245="Other")),1,0)</formula>
    </cfRule>
  </conditionalFormatting>
  <conditionalFormatting sqref="E246:G246">
    <cfRule type="expression" dxfId="490" priority="518">
      <formula>IF(OR(AND(E246="",F246="",OR(G246="Critical",G246="Major",G246="Minor"))),1,0)</formula>
    </cfRule>
  </conditionalFormatting>
  <conditionalFormatting sqref="F246">
    <cfRule type="expression" dxfId="489" priority="517">
      <formula>IF(AND(F246="",OR(E246="Accuracy",E246="Fluency",E246="Segment",E246="Other")),1,0)</formula>
    </cfRule>
  </conditionalFormatting>
  <conditionalFormatting sqref="G246">
    <cfRule type="expression" dxfId="488" priority="519">
      <formula>IF(AND(OR(G246="",#REF!="Segment"),OR(#REF!="Accuracy",#REF!="Fluency",#REF!="Other")),1,0)</formula>
    </cfRule>
  </conditionalFormatting>
  <conditionalFormatting sqref="E247:G247">
    <cfRule type="expression" dxfId="487" priority="515">
      <formula>IF(OR(AND(E247="",F247="",OR(G247="Critical",G247="Major",G247="Minor"))),1,0)</formula>
    </cfRule>
  </conditionalFormatting>
  <conditionalFormatting sqref="F247">
    <cfRule type="expression" dxfId="486" priority="514">
      <formula>IF(AND(F247="",OR(E247="Accuracy",E247="Fluency",E247="Segment",E247="Other")),1,0)</formula>
    </cfRule>
  </conditionalFormatting>
  <conditionalFormatting sqref="G247">
    <cfRule type="expression" dxfId="485" priority="516">
      <formula>IF(AND(OR(G247="",#REF!="Segment"),OR(#REF!="Accuracy",#REF!="Fluency",#REF!="Other")),1,0)</formula>
    </cfRule>
  </conditionalFormatting>
  <conditionalFormatting sqref="G248">
    <cfRule type="expression" dxfId="484" priority="512">
      <formula>IF(OR(AND(G248="",H248="",OR(I248="Critical",I248="Major",I248="Minor"))),1,0)</formula>
    </cfRule>
  </conditionalFormatting>
  <conditionalFormatting sqref="G248">
    <cfRule type="expression" dxfId="483" priority="513">
      <formula>IF(AND(OR(G248="",#REF!="Segment"),OR(#REF!="Accuracy",#REF!="Fluency",#REF!="Other")),1,0)</formula>
    </cfRule>
  </conditionalFormatting>
  <conditionalFormatting sqref="G249">
    <cfRule type="expression" dxfId="482" priority="509">
      <formula>IF(OR(AND(G249="",H249="",OR(I249="Critical",I249="Major",I249="Minor"))),1,0)</formula>
    </cfRule>
  </conditionalFormatting>
  <conditionalFormatting sqref="G249">
    <cfRule type="expression" dxfId="481" priority="510">
      <formula>IF(AND(OR(G249="",#REF!="Segment"),OR(#REF!="Accuracy",#REF!="Fluency",#REF!="Other")),1,0)</formula>
    </cfRule>
  </conditionalFormatting>
  <conditionalFormatting sqref="E250:G250">
    <cfRule type="expression" dxfId="480" priority="506">
      <formula>IF(OR(AND(E250="",F250="",OR(G250="Critical",G250="Major",G250="Minor"))),1,0)</formula>
    </cfRule>
  </conditionalFormatting>
  <conditionalFormatting sqref="F250">
    <cfRule type="expression" dxfId="479" priority="505">
      <formula>IF(AND(F250="",OR(E250="Accuracy",E250="Fluency",E250="Segment",E250="Other")),1,0)</formula>
    </cfRule>
  </conditionalFormatting>
  <conditionalFormatting sqref="G250">
    <cfRule type="expression" dxfId="478" priority="507">
      <formula>IF(AND(OR(G250="",#REF!="Segment"),OR(#REF!="Accuracy",#REF!="Fluency",#REF!="Other")),1,0)</formula>
    </cfRule>
  </conditionalFormatting>
  <conditionalFormatting sqref="E251:G251">
    <cfRule type="expression" dxfId="477" priority="503">
      <formula>IF(OR(AND(E251="",F251="",OR(G251="Critical",G251="Major",G251="Minor"))),1,0)</formula>
    </cfRule>
  </conditionalFormatting>
  <conditionalFormatting sqref="F251">
    <cfRule type="expression" dxfId="476" priority="502">
      <formula>IF(AND(F251="",OR(E251="Accuracy",E251="Fluency",E251="Segment",E251="Other")),1,0)</formula>
    </cfRule>
  </conditionalFormatting>
  <conditionalFormatting sqref="G251">
    <cfRule type="expression" dxfId="475" priority="504">
      <formula>IF(AND(OR(G251="",#REF!="Segment"),OR(#REF!="Accuracy",#REF!="Fluency",#REF!="Other")),1,0)</formula>
    </cfRule>
  </conditionalFormatting>
  <conditionalFormatting sqref="E252:G252">
    <cfRule type="expression" dxfId="474" priority="500">
      <formula>IF(OR(AND(E252="",F252="",OR(G252="Critical",G252="Major",G252="Minor"))),1,0)</formula>
    </cfRule>
  </conditionalFormatting>
  <conditionalFormatting sqref="F252">
    <cfRule type="expression" dxfId="473" priority="499">
      <formula>IF(AND(F252="",OR(E252="Accuracy",E252="Fluency",E252="Segment",E252="Other")),1,0)</formula>
    </cfRule>
  </conditionalFormatting>
  <conditionalFormatting sqref="G252">
    <cfRule type="expression" dxfId="472" priority="501">
      <formula>IF(AND(OR(G252="",#REF!="Segment"),OR(#REF!="Accuracy",#REF!="Fluency",#REF!="Other")),1,0)</formula>
    </cfRule>
  </conditionalFormatting>
  <conditionalFormatting sqref="E254:G254">
    <cfRule type="expression" dxfId="471" priority="497">
      <formula>IF(OR(AND(E254="",F254="",OR(G254="Critical",G254="Major",G254="Minor"))),1,0)</formula>
    </cfRule>
  </conditionalFormatting>
  <conditionalFormatting sqref="F254">
    <cfRule type="expression" dxfId="470" priority="496">
      <formula>IF(AND(F254="",OR(E254="Accuracy",E254="Fluency",E254="Segment",E254="Other")),1,0)</formula>
    </cfRule>
  </conditionalFormatting>
  <conditionalFormatting sqref="G254">
    <cfRule type="expression" dxfId="469" priority="498">
      <formula>IF(AND(OR(G254="",#REF!="Segment"),OR(#REF!="Accuracy",#REF!="Fluency",#REF!="Other")),1,0)</formula>
    </cfRule>
  </conditionalFormatting>
  <conditionalFormatting sqref="E255:G255">
    <cfRule type="expression" dxfId="468" priority="494">
      <formula>IF(OR(AND(E255="",F255="",OR(G255="Critical",G255="Major",G255="Minor"))),1,0)</formula>
    </cfRule>
  </conditionalFormatting>
  <conditionalFormatting sqref="F255">
    <cfRule type="expression" dxfId="467" priority="493">
      <formula>IF(AND(F255="",OR(E255="Accuracy",E255="Fluency",E255="Segment",E255="Other")),1,0)</formula>
    </cfRule>
  </conditionalFormatting>
  <conditionalFormatting sqref="G255">
    <cfRule type="expression" dxfId="466" priority="495">
      <formula>IF(AND(OR(G255="",#REF!="Segment"),OR(#REF!="Accuracy",#REF!="Fluency",#REF!="Other")),1,0)</formula>
    </cfRule>
  </conditionalFormatting>
  <conditionalFormatting sqref="E256:G256">
    <cfRule type="expression" dxfId="465" priority="491">
      <formula>IF(OR(AND(E256="",F256="",OR(G256="Critical",G256="Major",G256="Minor"))),1,0)</formula>
    </cfRule>
  </conditionalFormatting>
  <conditionalFormatting sqref="F256">
    <cfRule type="expression" dxfId="464" priority="490">
      <formula>IF(AND(F256="",OR(E256="Accuracy",E256="Fluency",E256="Segment",E256="Other")),1,0)</formula>
    </cfRule>
  </conditionalFormatting>
  <conditionalFormatting sqref="G256">
    <cfRule type="expression" dxfId="463" priority="492">
      <formula>IF(AND(OR(G256="",#REF!="Segment"),OR(#REF!="Accuracy",#REF!="Fluency",#REF!="Other")),1,0)</formula>
    </cfRule>
  </conditionalFormatting>
  <conditionalFormatting sqref="E258:G258">
    <cfRule type="expression" dxfId="462" priority="488">
      <formula>IF(OR(AND(E258="",F258="",OR(G258="Critical",G258="Major",G258="Minor"))),1,0)</formula>
    </cfRule>
  </conditionalFormatting>
  <conditionalFormatting sqref="F258">
    <cfRule type="expression" dxfId="461" priority="487">
      <formula>IF(AND(F258="",OR(E258="Accuracy",E258="Fluency",E258="Segment",E258="Other")),1,0)</formula>
    </cfRule>
  </conditionalFormatting>
  <conditionalFormatting sqref="G258">
    <cfRule type="expression" dxfId="460" priority="489">
      <formula>IF(AND(OR(G258="",#REF!="Segment"),OR(#REF!="Accuracy",#REF!="Fluency",#REF!="Other")),1,0)</formula>
    </cfRule>
  </conditionalFormatting>
  <conditionalFormatting sqref="E259:G259">
    <cfRule type="expression" dxfId="459" priority="485">
      <formula>IF(OR(AND(E259="",F259="",OR(G259="Critical",G259="Major",G259="Minor"))),1,0)</formula>
    </cfRule>
  </conditionalFormatting>
  <conditionalFormatting sqref="F259">
    <cfRule type="expression" dxfId="458" priority="484">
      <formula>IF(AND(F259="",OR(E259="Accuracy",E259="Fluency",E259="Segment",E259="Other")),1,0)</formula>
    </cfRule>
  </conditionalFormatting>
  <conditionalFormatting sqref="G259">
    <cfRule type="expression" dxfId="457" priority="486">
      <formula>IF(AND(OR(G259="",#REF!="Segment"),OR(#REF!="Accuracy",#REF!="Fluency",#REF!="Other")),1,0)</formula>
    </cfRule>
  </conditionalFormatting>
  <conditionalFormatting sqref="E260:G260">
    <cfRule type="expression" dxfId="456" priority="482">
      <formula>IF(OR(AND(E260="",F260="",OR(G260="Critical",G260="Major",G260="Minor"))),1,0)</formula>
    </cfRule>
  </conditionalFormatting>
  <conditionalFormatting sqref="F260">
    <cfRule type="expression" dxfId="455" priority="481">
      <formula>IF(AND(F260="",OR(E260="Accuracy",E260="Fluency",E260="Segment",E260="Other")),1,0)</formula>
    </cfRule>
  </conditionalFormatting>
  <conditionalFormatting sqref="G260">
    <cfRule type="expression" dxfId="454" priority="483">
      <formula>IF(AND(OR(G260="",#REF!="Segment"),OR(#REF!="Accuracy",#REF!="Fluency",#REF!="Other")),1,0)</formula>
    </cfRule>
  </conditionalFormatting>
  <conditionalFormatting sqref="H261:H262">
    <cfRule type="expression" dxfId="453" priority="480">
      <formula>IF(OR(AND(H261="",J261="",OR(#REF!="Critical",#REF!="Major",#REF!="Minor"))),1,0)</formula>
    </cfRule>
  </conditionalFormatting>
  <conditionalFormatting sqref="E261:G261">
    <cfRule type="expression" dxfId="452" priority="478">
      <formula>IF(OR(AND(E261="",F261="",OR(G261="Critical",G261="Major",G261="Minor"))),1,0)</formula>
    </cfRule>
  </conditionalFormatting>
  <conditionalFormatting sqref="F261">
    <cfRule type="expression" dxfId="451" priority="477">
      <formula>IF(AND(F261="",OR(E261="Accuracy",E261="Fluency",E261="Segment",E261="Other")),1,0)</formula>
    </cfRule>
  </conditionalFormatting>
  <conditionalFormatting sqref="G261">
    <cfRule type="expression" dxfId="450" priority="479">
      <formula>IF(AND(OR(G261="",#REF!="Segment"),OR(#REF!="Accuracy",#REF!="Fluency",#REF!="Other")),1,0)</formula>
    </cfRule>
  </conditionalFormatting>
  <conditionalFormatting sqref="E262:G262">
    <cfRule type="expression" dxfId="449" priority="475">
      <formula>IF(OR(AND(E262="",F262="",OR(G262="Critical",G262="Major",G262="Minor"))),1,0)</formula>
    </cfRule>
  </conditionalFormatting>
  <conditionalFormatting sqref="F262">
    <cfRule type="expression" dxfId="448" priority="474">
      <formula>IF(AND(F262="",OR(E262="Accuracy",E262="Fluency",E262="Segment",E262="Other")),1,0)</formula>
    </cfRule>
  </conditionalFormatting>
  <conditionalFormatting sqref="G262">
    <cfRule type="expression" dxfId="447" priority="476">
      <formula>IF(AND(OR(G262="",#REF!="Segment"),OR(#REF!="Accuracy",#REF!="Fluency",#REF!="Other")),1,0)</formula>
    </cfRule>
  </conditionalFormatting>
  <conditionalFormatting sqref="E340:G340 E337:G337 E326:G326 E323 E314:G315 G309:G310 E304:G304 E299:G300 E293:G296 E275:G276 E263:G263 E266:G268 G265 G298 G316:G317 G339">
    <cfRule type="expression" dxfId="446" priority="472">
      <formula>IF(OR(AND(E263="",F263="",OR(G263="Critical",G263="Major",G263="Minor"))),1,0)</formula>
    </cfRule>
  </conditionalFormatting>
  <conditionalFormatting sqref="F340 F337 F326 F323 F314:F315 F304 F299:F300 F293:F296 F275:F276 F263 F266:F268">
    <cfRule type="expression" dxfId="445" priority="471">
      <formula>IF(AND(F263="",OR(E263="Accuracy",E263="Fluency",E263="Segment",E263="Other")),1,0)</formula>
    </cfRule>
  </conditionalFormatting>
  <conditionalFormatting sqref="G339:G340 G337 G326 G323 G314:G317 G309:G310 G304 G298:G300 G293:G296 G275:G276 G263 G265:G268">
    <cfRule type="expression" dxfId="444" priority="473">
      <formula>IF(AND(OR(G263="",#REF!="Segment"),OR(#REF!="Accuracy",#REF!="Fluency",#REF!="Other")),1,0)</formula>
    </cfRule>
  </conditionalFormatting>
  <conditionalFormatting sqref="E264:G264">
    <cfRule type="expression" dxfId="443" priority="469">
      <formula>IF(OR(AND(E264="",F264="",OR(G264="Critical",G264="Major",G264="Minor"))),1,0)</formula>
    </cfRule>
  </conditionalFormatting>
  <conditionalFormatting sqref="F264">
    <cfRule type="expression" dxfId="442" priority="468">
      <formula>IF(AND(F264="",OR(E264="Accuracy",E264="Fluency",E264="Segment",E264="Other")),1,0)</formula>
    </cfRule>
  </conditionalFormatting>
  <conditionalFormatting sqref="G264">
    <cfRule type="expression" dxfId="441" priority="470">
      <formula>IF(AND(OR(G264="",#REF!="Segment"),OR(#REF!="Accuracy",#REF!="Fluency",#REF!="Other")),1,0)</formula>
    </cfRule>
  </conditionalFormatting>
  <conditionalFormatting sqref="G269">
    <cfRule type="expression" dxfId="440" priority="466">
      <formula>IF(OR(AND(G269="",H269="",OR(I269="Critical",I269="Major",I269="Minor"))),1,0)</formula>
    </cfRule>
  </conditionalFormatting>
  <conditionalFormatting sqref="G269">
    <cfRule type="expression" dxfId="439" priority="467">
      <formula>IF(AND(OR(G269="",#REF!="Segment"),OR(#REF!="Accuracy",#REF!="Fluency",#REF!="Other")),1,0)</formula>
    </cfRule>
  </conditionalFormatting>
  <conditionalFormatting sqref="E270:G270">
    <cfRule type="expression" dxfId="438" priority="463">
      <formula>IF(OR(AND(E270="",F270="",OR(G270="Critical",G270="Major",G270="Minor"))),1,0)</formula>
    </cfRule>
  </conditionalFormatting>
  <conditionalFormatting sqref="F270">
    <cfRule type="expression" dxfId="437" priority="462">
      <formula>IF(AND(F270="",OR(E270="Accuracy",E270="Fluency",E270="Segment",E270="Other")),1,0)</formula>
    </cfRule>
  </conditionalFormatting>
  <conditionalFormatting sqref="G270">
    <cfRule type="expression" dxfId="436" priority="464">
      <formula>IF(AND(OR(G270="",#REF!="Segment"),OR(#REF!="Accuracy",#REF!="Fluency",#REF!="Other")),1,0)</formula>
    </cfRule>
  </conditionalFormatting>
  <conditionalFormatting sqref="E271:G271">
    <cfRule type="expression" dxfId="435" priority="460">
      <formula>IF(OR(AND(E271="",F271="",OR(G271="Critical",G271="Major",G271="Minor"))),1,0)</formula>
    </cfRule>
  </conditionalFormatting>
  <conditionalFormatting sqref="F271">
    <cfRule type="expression" dxfId="434" priority="459">
      <formula>IF(AND(F271="",OR(E271="Accuracy",E271="Fluency",E271="Segment",E271="Other")),1,0)</formula>
    </cfRule>
  </conditionalFormatting>
  <conditionalFormatting sqref="G271">
    <cfRule type="expression" dxfId="433" priority="461">
      <formula>IF(AND(OR(G271="",#REF!="Segment"),OR(#REF!="Accuracy",#REF!="Fluency",#REF!="Other")),1,0)</formula>
    </cfRule>
  </conditionalFormatting>
  <conditionalFormatting sqref="E272:G272">
    <cfRule type="expression" dxfId="432" priority="457">
      <formula>IF(OR(AND(E272="",F272="",OR(G272="Critical",G272="Major",G272="Minor"))),1,0)</formula>
    </cfRule>
  </conditionalFormatting>
  <conditionalFormatting sqref="F272">
    <cfRule type="expression" dxfId="431" priority="456">
      <formula>IF(AND(F272="",OR(E272="Accuracy",E272="Fluency",E272="Segment",E272="Other")),1,0)</formula>
    </cfRule>
  </conditionalFormatting>
  <conditionalFormatting sqref="G272">
    <cfRule type="expression" dxfId="430" priority="458">
      <formula>IF(AND(OR(G272="",#REF!="Segment"),OR(#REF!="Accuracy",#REF!="Fluency",#REF!="Other")),1,0)</formula>
    </cfRule>
  </conditionalFormatting>
  <conditionalFormatting sqref="G273">
    <cfRule type="expression" dxfId="429" priority="454">
      <formula>IF(OR(AND(G273="",H273="",OR(I273="Critical",I273="Major",I273="Minor"))),1,0)</formula>
    </cfRule>
  </conditionalFormatting>
  <conditionalFormatting sqref="G273">
    <cfRule type="expression" dxfId="428" priority="455">
      <formula>IF(AND(OR(G273="",#REF!="Segment"),OR(#REF!="Accuracy",#REF!="Fluency",#REF!="Other")),1,0)</formula>
    </cfRule>
  </conditionalFormatting>
  <conditionalFormatting sqref="E274:G274">
    <cfRule type="expression" dxfId="427" priority="451">
      <formula>IF(OR(AND(E274="",F274="",OR(G274="Critical",G274="Major",G274="Minor"))),1,0)</formula>
    </cfRule>
  </conditionalFormatting>
  <conditionalFormatting sqref="F274">
    <cfRule type="expression" dxfId="426" priority="450">
      <formula>IF(AND(F274="",OR(E274="Accuracy",E274="Fluency",E274="Segment",E274="Other")),1,0)</formula>
    </cfRule>
  </conditionalFormatting>
  <conditionalFormatting sqref="G274">
    <cfRule type="expression" dxfId="425" priority="452">
      <formula>IF(AND(OR(G274="",#REF!="Segment"),OR(#REF!="Accuracy",#REF!="Fluency",#REF!="Other")),1,0)</formula>
    </cfRule>
  </conditionalFormatting>
  <conditionalFormatting sqref="E277:G277">
    <cfRule type="expression" dxfId="424" priority="448">
      <formula>IF(OR(AND(E277="",F277="",OR(G277="Critical",G277="Major",G277="Minor"))),1,0)</formula>
    </cfRule>
  </conditionalFormatting>
  <conditionalFormatting sqref="F277">
    <cfRule type="expression" dxfId="423" priority="447">
      <formula>IF(AND(F277="",OR(E277="Accuracy",E277="Fluency",E277="Segment",E277="Other")),1,0)</formula>
    </cfRule>
  </conditionalFormatting>
  <conditionalFormatting sqref="G277">
    <cfRule type="expression" dxfId="422" priority="449">
      <formula>IF(AND(OR(G277="",#REF!="Segment"),OR(#REF!="Accuracy",#REF!="Fluency",#REF!="Other")),1,0)</formula>
    </cfRule>
  </conditionalFormatting>
  <conditionalFormatting sqref="E278:G278">
    <cfRule type="expression" dxfId="421" priority="445">
      <formula>IF(OR(AND(E278="",F278="",OR(G278="Critical",G278="Major",G278="Minor"))),1,0)</formula>
    </cfRule>
  </conditionalFormatting>
  <conditionalFormatting sqref="F278">
    <cfRule type="expression" dxfId="420" priority="444">
      <formula>IF(AND(F278="",OR(E278="Accuracy",E278="Fluency",E278="Segment",E278="Other")),1,0)</formula>
    </cfRule>
  </conditionalFormatting>
  <conditionalFormatting sqref="G278">
    <cfRule type="expression" dxfId="419" priority="446">
      <formula>IF(AND(OR(G278="",#REF!="Segment"),OR(#REF!="Accuracy",#REF!="Fluency",#REF!="Other")),1,0)</formula>
    </cfRule>
  </conditionalFormatting>
  <conditionalFormatting sqref="E279:G279">
    <cfRule type="expression" dxfId="418" priority="442">
      <formula>IF(OR(AND(E279="",F279="",OR(G279="Critical",G279="Major",G279="Minor"))),1,0)</formula>
    </cfRule>
  </conditionalFormatting>
  <conditionalFormatting sqref="F279">
    <cfRule type="expression" dxfId="417" priority="441">
      <formula>IF(AND(F279="",OR(E279="Accuracy",E279="Fluency",E279="Segment",E279="Other")),1,0)</formula>
    </cfRule>
  </conditionalFormatting>
  <conditionalFormatting sqref="G279">
    <cfRule type="expression" dxfId="416" priority="443">
      <formula>IF(AND(OR(G279="",#REF!="Segment"),OR(#REF!="Accuracy",#REF!="Fluency",#REF!="Other")),1,0)</formula>
    </cfRule>
  </conditionalFormatting>
  <conditionalFormatting sqref="E280:G280">
    <cfRule type="expression" dxfId="415" priority="439">
      <formula>IF(OR(AND(E280="",F280="",OR(G280="Critical",G280="Major",G280="Minor"))),1,0)</formula>
    </cfRule>
  </conditionalFormatting>
  <conditionalFormatting sqref="F280">
    <cfRule type="expression" dxfId="414" priority="438">
      <formula>IF(AND(F280="",OR(E280="Accuracy",E280="Fluency",E280="Segment",E280="Other")),1,0)</formula>
    </cfRule>
  </conditionalFormatting>
  <conditionalFormatting sqref="G280">
    <cfRule type="expression" dxfId="413" priority="440">
      <formula>IF(AND(OR(G280="",#REF!="Segment"),OR(#REF!="Accuracy",#REF!="Fluency",#REF!="Other")),1,0)</formula>
    </cfRule>
  </conditionalFormatting>
  <conditionalFormatting sqref="E283:G285">
    <cfRule type="expression" dxfId="412" priority="436">
      <formula>IF(OR(AND(E283="",F283="",OR(G283="Critical",G283="Major",G283="Minor"))),1,0)</formula>
    </cfRule>
  </conditionalFormatting>
  <conditionalFormatting sqref="F283:F285">
    <cfRule type="expression" dxfId="411" priority="435">
      <formula>IF(AND(F283="",OR(E283="Accuracy",E283="Fluency",E283="Segment",E283="Other")),1,0)</formula>
    </cfRule>
  </conditionalFormatting>
  <conditionalFormatting sqref="G283:G285">
    <cfRule type="expression" dxfId="410" priority="437">
      <formula>IF(AND(OR(G283="",#REF!="Segment"),OR(#REF!="Accuracy",#REF!="Fluency",#REF!="Other")),1,0)</formula>
    </cfRule>
  </conditionalFormatting>
  <conditionalFormatting sqref="G281:G282">
    <cfRule type="expression" dxfId="409" priority="433">
      <formula>IF(OR(AND(G281="",H281="",OR(I281="Critical",I281="Major",I281="Minor"))),1,0)</formula>
    </cfRule>
  </conditionalFormatting>
  <conditionalFormatting sqref="G281:G282">
    <cfRule type="expression" dxfId="408" priority="434">
      <formula>IF(AND(OR(G281="",#REF!="Segment"),OR(#REF!="Accuracy",#REF!="Fluency",#REF!="Other")),1,0)</formula>
    </cfRule>
  </conditionalFormatting>
  <conditionalFormatting sqref="G286:G287">
    <cfRule type="expression" dxfId="407" priority="430">
      <formula>IF(OR(AND(G286="",H286="",OR(I286="Critical",I286="Major",I286="Minor"))),1,0)</formula>
    </cfRule>
  </conditionalFormatting>
  <conditionalFormatting sqref="G286:G287">
    <cfRule type="expression" dxfId="406" priority="431">
      <formula>IF(AND(OR(G286="",#REF!="Segment"),OR(#REF!="Accuracy",#REF!="Fluency",#REF!="Other")),1,0)</formula>
    </cfRule>
  </conditionalFormatting>
  <conditionalFormatting sqref="E288:G289">
    <cfRule type="expression" dxfId="405" priority="427">
      <formula>IF(OR(AND(E288="",F288="",OR(G288="Critical",G288="Major",G288="Minor"))),1,0)</formula>
    </cfRule>
  </conditionalFormatting>
  <conditionalFormatting sqref="F288:F289">
    <cfRule type="expression" dxfId="404" priority="426">
      <formula>IF(AND(F288="",OR(E288="Accuracy",E288="Fluency",E288="Segment",E288="Other")),1,0)</formula>
    </cfRule>
  </conditionalFormatting>
  <conditionalFormatting sqref="G288:G289">
    <cfRule type="expression" dxfId="403" priority="428">
      <formula>IF(AND(OR(G288="",#REF!="Segment"),OR(#REF!="Accuracy",#REF!="Fluency",#REF!="Other")),1,0)</formula>
    </cfRule>
  </conditionalFormatting>
  <conditionalFormatting sqref="G290">
    <cfRule type="expression" dxfId="402" priority="424">
      <formula>IF(OR(AND(G290="",H290="",OR(I290="Critical",I290="Major",I290="Minor"))),1,0)</formula>
    </cfRule>
  </conditionalFormatting>
  <conditionalFormatting sqref="G290">
    <cfRule type="expression" dxfId="401" priority="425">
      <formula>IF(AND(OR(G290="",#REF!="Segment"),OR(#REF!="Accuracy",#REF!="Fluency",#REF!="Other")),1,0)</formula>
    </cfRule>
  </conditionalFormatting>
  <conditionalFormatting sqref="E291:E292">
    <cfRule type="expression" dxfId="400" priority="420">
      <formula>IF(OR(AND(E291="",F291="",OR(G291="Critical",G291="Major",G291="Minor"))),1,0)</formula>
    </cfRule>
  </conditionalFormatting>
  <conditionalFormatting sqref="F291:F292">
    <cfRule type="expression" dxfId="399" priority="418">
      <formula>IF(AND(F291="",OR(E291="Accuracy",E291="Fluency",E291="Segment",E291="Other")),1,0)</formula>
    </cfRule>
  </conditionalFormatting>
  <conditionalFormatting sqref="G291:G292">
    <cfRule type="expression" dxfId="398" priority="419">
      <formula>IF(AND(OR(G291="",#REF!="Segment"),OR(#REF!="Accuracy",#REF!="Fluency",#REF!="Other")),1,0)</formula>
    </cfRule>
  </conditionalFormatting>
  <conditionalFormatting sqref="F291:F292">
    <cfRule type="expression" dxfId="397" priority="421">
      <formula>IF(OR(AND(F291="",G291="",OR(H290="Critical",H290="Major",H290="Minor"))),1,0)</formula>
    </cfRule>
  </conditionalFormatting>
  <conditionalFormatting sqref="G291:G292">
    <cfRule type="expression" dxfId="396" priority="422">
      <formula>IF(OR(AND(G291="",H290="",OR(I290="Critical",I290="Major",I290="Minor"))),1,0)</formula>
    </cfRule>
  </conditionalFormatting>
  <conditionalFormatting sqref="E297:G297">
    <cfRule type="expression" dxfId="395" priority="416">
      <formula>IF(OR(AND(E297="",F297="",OR(G297="Critical",G297="Major",G297="Minor"))),1,0)</formula>
    </cfRule>
  </conditionalFormatting>
  <conditionalFormatting sqref="F297">
    <cfRule type="expression" dxfId="394" priority="415">
      <formula>IF(AND(F297="",OR(E297="Accuracy",E297="Fluency",E297="Segment",E297="Other")),1,0)</formula>
    </cfRule>
  </conditionalFormatting>
  <conditionalFormatting sqref="G297">
    <cfRule type="expression" dxfId="393" priority="417">
      <formula>IF(AND(OR(G297="",#REF!="Segment"),OR(#REF!="Accuracy",#REF!="Fluency",#REF!="Other")),1,0)</formula>
    </cfRule>
  </conditionalFormatting>
  <conditionalFormatting sqref="E301:G301">
    <cfRule type="expression" dxfId="392" priority="413">
      <formula>IF(OR(AND(E301="",F301="",OR(G301="Critical",G301="Major",G301="Minor"))),1,0)</formula>
    </cfRule>
  </conditionalFormatting>
  <conditionalFormatting sqref="F301">
    <cfRule type="expression" dxfId="391" priority="412">
      <formula>IF(AND(F301="",OR(E301="Accuracy",E301="Fluency",E301="Segment",E301="Other")),1,0)</formula>
    </cfRule>
  </conditionalFormatting>
  <conditionalFormatting sqref="G301">
    <cfRule type="expression" dxfId="390" priority="414">
      <formula>IF(AND(OR(G301="",#REF!="Segment"),OR(#REF!="Accuracy",#REF!="Fluency",#REF!="Other")),1,0)</formula>
    </cfRule>
  </conditionalFormatting>
  <conditionalFormatting sqref="E303">
    <cfRule type="expression" dxfId="389" priority="410">
      <formula>IF(OR(AND(E303="",F303="",OR(G303="Critical",G303="Major",G303="Minor"))),1,0)</formula>
    </cfRule>
  </conditionalFormatting>
  <conditionalFormatting sqref="G302">
    <cfRule type="expression" dxfId="388" priority="408">
      <formula>IF(OR(AND(G302="",H302="",OR(I302="Critical",I302="Major",I302="Minor"))),1,0)</formula>
    </cfRule>
  </conditionalFormatting>
  <conditionalFormatting sqref="G302">
    <cfRule type="expression" dxfId="387" priority="409">
      <formula>IF(AND(OR(G302="",#REF!="Segment"),OR(#REF!="Accuracy",#REF!="Fluency",#REF!="Other")),1,0)</formula>
    </cfRule>
  </conditionalFormatting>
  <conditionalFormatting sqref="F303:G303">
    <cfRule type="expression" dxfId="386" priority="405">
      <formula>IF(OR(AND(F303="",G303="",OR(H303="Critical",H303="Major",H303="Minor"))),1,0)</formula>
    </cfRule>
  </conditionalFormatting>
  <conditionalFormatting sqref="F303">
    <cfRule type="expression" dxfId="385" priority="404">
      <formula>IF(AND(F303="",OR(E303="Accuracy",E303="Fluency",E303="Segment",E303="Other")),1,0)</formula>
    </cfRule>
  </conditionalFormatting>
  <conditionalFormatting sqref="G303">
    <cfRule type="expression" dxfId="384" priority="406">
      <formula>IF(AND(OR(G303="",#REF!="Segment"),OR(#REF!="Accuracy",#REF!="Fluency",#REF!="Other")),1,0)</formula>
    </cfRule>
  </conditionalFormatting>
  <conditionalFormatting sqref="E305:G305">
    <cfRule type="expression" dxfId="383" priority="402">
      <formula>IF(OR(AND(E305="",F305="",OR(G305="Critical",G305="Major",G305="Minor"))),1,0)</formula>
    </cfRule>
  </conditionalFormatting>
  <conditionalFormatting sqref="F305">
    <cfRule type="expression" dxfId="382" priority="401">
      <formula>IF(AND(F305="",OR(E305="Accuracy",E305="Fluency",E305="Segment",E305="Other")),1,0)</formula>
    </cfRule>
  </conditionalFormatting>
  <conditionalFormatting sqref="G305">
    <cfRule type="expression" dxfId="381" priority="403">
      <formula>IF(AND(OR(G305="",#REF!="Segment"),OR(#REF!="Accuracy",#REF!="Fluency",#REF!="Other")),1,0)</formula>
    </cfRule>
  </conditionalFormatting>
  <conditionalFormatting sqref="G306">
    <cfRule type="expression" dxfId="380" priority="399">
      <formula>IF(OR(AND(G306="",H305="",OR(I306="Critical",I306="Major",I306="Minor"))),1,0)</formula>
    </cfRule>
  </conditionalFormatting>
  <conditionalFormatting sqref="G306">
    <cfRule type="expression" dxfId="379" priority="397">
      <formula>IF(AND(OR(G306="",#REF!="Segment"),OR(#REF!="Accuracy",#REF!="Fluency",#REF!="Other")),1,0)</formula>
    </cfRule>
  </conditionalFormatting>
  <conditionalFormatting sqref="G307">
    <cfRule type="expression" dxfId="378" priority="394">
      <formula>IF(OR(AND(G307="",H306="",OR(I307="Critical",I307="Major",I307="Minor"))),1,0)</formula>
    </cfRule>
  </conditionalFormatting>
  <conditionalFormatting sqref="G307">
    <cfRule type="expression" dxfId="377" priority="392">
      <formula>IF(AND(OR(G307="",#REF!="Segment"),OR(#REF!="Accuracy",#REF!="Fluency",#REF!="Other")),1,0)</formula>
    </cfRule>
  </conditionalFormatting>
  <conditionalFormatting sqref="E308">
    <cfRule type="expression" dxfId="376" priority="388">
      <formula>IF(OR(AND(E308="",F308="",OR(G308="Critical",G308="Major",G308="Minor"))),1,0)</formula>
    </cfRule>
  </conditionalFormatting>
  <conditionalFormatting sqref="G308">
    <cfRule type="expression" dxfId="375" priority="389">
      <formula>IF(OR(AND(G308="",H307="",OR(I308="Critical",I308="Major",I308="Minor"))),1,0)</formula>
    </cfRule>
  </conditionalFormatting>
  <conditionalFormatting sqref="F308">
    <cfRule type="expression" dxfId="374" priority="390">
      <formula>IF(OR(AND(F308="",G308="",OR(H307="Critical",H307="Major",H307="Minor"))),1,0)</formula>
    </cfRule>
  </conditionalFormatting>
  <conditionalFormatting sqref="F308">
    <cfRule type="expression" dxfId="373" priority="386">
      <formula>IF(AND(F308="",OR(E308="Accuracy",E308="Fluency",E308="Segment",E308="Other")),1,0)</formula>
    </cfRule>
  </conditionalFormatting>
  <conditionalFormatting sqref="G308">
    <cfRule type="expression" dxfId="372" priority="387">
      <formula>IF(AND(OR(G308="",#REF!="Segment"),OR(#REF!="Accuracy",#REF!="Fluency",#REF!="Other")),1,0)</formula>
    </cfRule>
  </conditionalFormatting>
  <conditionalFormatting sqref="E311">
    <cfRule type="expression" dxfId="371" priority="383">
      <formula>IF(OR(AND(E311="",F311="",OR(G311="Critical",G311="Major",G311="Minor"))),1,0)</formula>
    </cfRule>
  </conditionalFormatting>
  <conditionalFormatting sqref="G311">
    <cfRule type="expression" dxfId="370" priority="384">
      <formula>IF(OR(AND(G311="",H310="",OR(I311="Critical",I311="Major",I311="Minor"))),1,0)</formula>
    </cfRule>
  </conditionalFormatting>
  <conditionalFormatting sqref="F311">
    <cfRule type="expression" dxfId="369" priority="385">
      <formula>IF(OR(AND(F311="",G311="",OR(H310="Critical",H310="Major",H310="Minor"))),1,0)</formula>
    </cfRule>
  </conditionalFormatting>
  <conditionalFormatting sqref="F311">
    <cfRule type="expression" dxfId="368" priority="381">
      <formula>IF(AND(F311="",OR(E311="Accuracy",E311="Fluency",E311="Segment",E311="Other")),1,0)</formula>
    </cfRule>
  </conditionalFormatting>
  <conditionalFormatting sqref="G311">
    <cfRule type="expression" dxfId="367" priority="382">
      <formula>IF(AND(OR(G311="",#REF!="Segment"),OR(#REF!="Accuracy",#REF!="Fluency",#REF!="Other")),1,0)</formula>
    </cfRule>
  </conditionalFormatting>
  <conditionalFormatting sqref="E312">
    <cfRule type="expression" dxfId="366" priority="378">
      <formula>IF(OR(AND(E312="",F312="",OR(G312="Critical",G312="Major",G312="Minor"))),1,0)</formula>
    </cfRule>
  </conditionalFormatting>
  <conditionalFormatting sqref="G312">
    <cfRule type="expression" dxfId="365" priority="379">
      <formula>IF(OR(AND(G312="",H311="",OR(I312="Critical",I312="Major",I312="Minor"))),1,0)</formula>
    </cfRule>
  </conditionalFormatting>
  <conditionalFormatting sqref="F312">
    <cfRule type="expression" dxfId="364" priority="380">
      <formula>IF(OR(AND(F312="",G312="",OR(H311="Critical",H311="Major",H311="Minor"))),1,0)</formula>
    </cfRule>
  </conditionalFormatting>
  <conditionalFormatting sqref="F312">
    <cfRule type="expression" dxfId="363" priority="376">
      <formula>IF(AND(F312="",OR(E312="Accuracy",E312="Fluency",E312="Segment",E312="Other")),1,0)</formula>
    </cfRule>
  </conditionalFormatting>
  <conditionalFormatting sqref="G312">
    <cfRule type="expression" dxfId="362" priority="377">
      <formula>IF(AND(OR(G312="",#REF!="Segment"),OR(#REF!="Accuracy",#REF!="Fluency",#REF!="Other")),1,0)</formula>
    </cfRule>
  </conditionalFormatting>
  <conditionalFormatting sqref="E313:G313">
    <cfRule type="expression" dxfId="361" priority="374">
      <formula>IF(OR(AND(E313="",F313="",OR(G313="Critical",G313="Major",G313="Minor"))),1,0)</formula>
    </cfRule>
  </conditionalFormatting>
  <conditionalFormatting sqref="F313">
    <cfRule type="expression" dxfId="360" priority="373">
      <formula>IF(AND(F313="",OR(E313="Accuracy",E313="Fluency",E313="Segment",E313="Other")),1,0)</formula>
    </cfRule>
  </conditionalFormatting>
  <conditionalFormatting sqref="G313">
    <cfRule type="expression" dxfId="359" priority="375">
      <formula>IF(AND(OR(G313="",#REF!="Segment"),OR(#REF!="Accuracy",#REF!="Fluency",#REF!="Other")),1,0)</formula>
    </cfRule>
  </conditionalFormatting>
  <conditionalFormatting sqref="E318:G318">
    <cfRule type="expression" dxfId="358" priority="371">
      <formula>IF(OR(AND(E318="",F318="",OR(G318="Critical",G318="Major",G318="Minor"))),1,0)</formula>
    </cfRule>
  </conditionalFormatting>
  <conditionalFormatting sqref="F318">
    <cfRule type="expression" dxfId="357" priority="370">
      <formula>IF(AND(F318="",OR(E318="Accuracy",E318="Fluency",E318="Segment",E318="Other")),1,0)</formula>
    </cfRule>
  </conditionalFormatting>
  <conditionalFormatting sqref="G318">
    <cfRule type="expression" dxfId="356" priority="372">
      <formula>IF(AND(OR(G318="",#REF!="Segment"),OR(#REF!="Accuracy",#REF!="Fluency",#REF!="Other")),1,0)</formula>
    </cfRule>
  </conditionalFormatting>
  <conditionalFormatting sqref="E319:G319">
    <cfRule type="expression" dxfId="355" priority="368">
      <formula>IF(OR(AND(E319="",F319="",OR(G319="Critical",G319="Major",G319="Minor"))),1,0)</formula>
    </cfRule>
  </conditionalFormatting>
  <conditionalFormatting sqref="F319">
    <cfRule type="expression" dxfId="354" priority="367">
      <formula>IF(AND(F319="",OR(E319="Accuracy",E319="Fluency",E319="Segment",E319="Other")),1,0)</formula>
    </cfRule>
  </conditionalFormatting>
  <conditionalFormatting sqref="G319">
    <cfRule type="expression" dxfId="353" priority="369">
      <formula>IF(AND(OR(G319="",#REF!="Segment"),OR(#REF!="Accuracy",#REF!="Fluency",#REF!="Other")),1,0)</formula>
    </cfRule>
  </conditionalFormatting>
  <conditionalFormatting sqref="E320:G321">
    <cfRule type="expression" dxfId="352" priority="365">
      <formula>IF(OR(AND(E320="",F320="",OR(G320="Critical",G320="Major",G320="Minor"))),1,0)</formula>
    </cfRule>
  </conditionalFormatting>
  <conditionalFormatting sqref="F320:F321">
    <cfRule type="expression" dxfId="351" priority="364">
      <formula>IF(AND(F320="",OR(E320="Accuracy",E320="Fluency",E320="Segment",E320="Other")),1,0)</formula>
    </cfRule>
  </conditionalFormatting>
  <conditionalFormatting sqref="G320:G321">
    <cfRule type="expression" dxfId="350" priority="366">
      <formula>IF(AND(OR(G320="",#REF!="Segment"),OR(#REF!="Accuracy",#REF!="Fluency",#REF!="Other")),1,0)</formula>
    </cfRule>
  </conditionalFormatting>
  <conditionalFormatting sqref="G323">
    <cfRule type="expression" dxfId="349" priority="362">
      <formula>IF(OR(AND(G323="",H322="",OR(I323="Critical",I323="Major",I323="Minor"))),1,0)</formula>
    </cfRule>
  </conditionalFormatting>
  <conditionalFormatting sqref="F323">
    <cfRule type="expression" dxfId="348" priority="363">
      <formula>IF(OR(AND(F323="",G323="",OR(H322="Critical",H322="Major",H322="Minor"))),1,0)</formula>
    </cfRule>
  </conditionalFormatting>
  <conditionalFormatting sqref="G322">
    <cfRule type="expression" dxfId="347" priority="360">
      <formula>IF(OR(AND(G322="",H322="",OR(I322="Critical",I322="Major",I322="Minor"))),1,0)</formula>
    </cfRule>
  </conditionalFormatting>
  <conditionalFormatting sqref="G322">
    <cfRule type="expression" dxfId="346" priority="361">
      <formula>IF(AND(OR(G322="",#REF!="Segment"),OR(#REF!="Accuracy",#REF!="Fluency",#REF!="Other")),1,0)</formula>
    </cfRule>
  </conditionalFormatting>
  <conditionalFormatting sqref="G324">
    <cfRule type="expression" dxfId="345" priority="357">
      <formula>IF(OR(AND(G324="",H324="",OR(I324="Critical",I324="Major",I324="Minor"))),1,0)</formula>
    </cfRule>
  </conditionalFormatting>
  <conditionalFormatting sqref="G324">
    <cfRule type="expression" dxfId="344" priority="358">
      <formula>IF(AND(OR(G324="",#REF!="Segment"),OR(#REF!="Accuracy",#REF!="Fluency",#REF!="Other")),1,0)</formula>
    </cfRule>
  </conditionalFormatting>
  <conditionalFormatting sqref="E324:F324">
    <cfRule type="expression" dxfId="343" priority="356">
      <formula>IF(OR(AND(E324="",F324="",OR(G324="Critical",G324="Major",G324="Minor"))),1,0)</formula>
    </cfRule>
  </conditionalFormatting>
  <conditionalFormatting sqref="F324">
    <cfRule type="expression" dxfId="342" priority="355">
      <formula>IF(AND(F324="",OR(E324="Accuracy",E324="Fluency",E324="Segment",E324="Other")),1,0)</formula>
    </cfRule>
  </conditionalFormatting>
  <conditionalFormatting sqref="G325">
    <cfRule type="expression" dxfId="341" priority="353">
      <formula>IF(OR(AND(G325="",H325="",OR(I325="Critical",I325="Major",I325="Minor"))),1,0)</formula>
    </cfRule>
  </conditionalFormatting>
  <conditionalFormatting sqref="G325">
    <cfRule type="expression" dxfId="340" priority="354">
      <formula>IF(AND(OR(G325="",#REF!="Segment"),OR(#REF!="Accuracy",#REF!="Fluency",#REF!="Other")),1,0)</formula>
    </cfRule>
  </conditionalFormatting>
  <conditionalFormatting sqref="E325:F325">
    <cfRule type="expression" dxfId="339" priority="352">
      <formula>IF(OR(AND(E325="",F325="",OR(G325="Critical",G325="Major",G325="Minor"))),1,0)</formula>
    </cfRule>
  </conditionalFormatting>
  <conditionalFormatting sqref="F325">
    <cfRule type="expression" dxfId="338" priority="351">
      <formula>IF(AND(F325="",OR(E325="Accuracy",E325="Fluency",E325="Segment",E325="Other")),1,0)</formula>
    </cfRule>
  </conditionalFormatting>
  <conditionalFormatting sqref="E327:G327">
    <cfRule type="expression" dxfId="337" priority="349">
      <formula>IF(OR(AND(E327="",F327="",OR(G327="Critical",G327="Major",G327="Minor"))),1,0)</formula>
    </cfRule>
  </conditionalFormatting>
  <conditionalFormatting sqref="F327">
    <cfRule type="expression" dxfId="336" priority="348">
      <formula>IF(AND(F327="",OR(E327="Accuracy",E327="Fluency",E327="Segment",E327="Other")),1,0)</formula>
    </cfRule>
  </conditionalFormatting>
  <conditionalFormatting sqref="G327">
    <cfRule type="expression" dxfId="335" priority="350">
      <formula>IF(AND(OR(G327="",#REF!="Segment"),OR(#REF!="Accuracy",#REF!="Fluency",#REF!="Other")),1,0)</formula>
    </cfRule>
  </conditionalFormatting>
  <conditionalFormatting sqref="G328:G330">
    <cfRule type="expression" dxfId="334" priority="346">
      <formula>IF(OR(AND(G328="",H328="",OR(I328="Critical",I328="Major",I328="Minor"))),1,0)</formula>
    </cfRule>
  </conditionalFormatting>
  <conditionalFormatting sqref="G328:G330">
    <cfRule type="expression" dxfId="333" priority="347">
      <formula>IF(AND(OR(G328="",#REF!="Segment"),OR(#REF!="Accuracy",#REF!="Fluency",#REF!="Other")),1,0)</formula>
    </cfRule>
  </conditionalFormatting>
  <conditionalFormatting sqref="E331">
    <cfRule type="expression" dxfId="332" priority="341">
      <formula>IF(OR(AND(E331="",F331="",OR(G331="Critical",G331="Major",G331="Minor"))),1,0)</formula>
    </cfRule>
  </conditionalFormatting>
  <conditionalFormatting sqref="F331">
    <cfRule type="expression" dxfId="331" priority="340">
      <formula>IF(AND(F331="",OR(E331="Accuracy",E331="Fluency",E331="Segment",E331="Other")),1,0)</formula>
    </cfRule>
  </conditionalFormatting>
  <conditionalFormatting sqref="G331">
    <cfRule type="expression" dxfId="330" priority="342">
      <formula>IF(AND(OR(G331="",#REF!="Segment"),OR(#REF!="Accuracy",#REF!="Fluency",#REF!="Other")),1,0)</formula>
    </cfRule>
  </conditionalFormatting>
  <conditionalFormatting sqref="G331">
    <cfRule type="expression" dxfId="329" priority="343">
      <formula>IF(OR(AND(G331="",H330="",OR(I331="Critical",I331="Major",I331="Minor"))),1,0)</formula>
    </cfRule>
  </conditionalFormatting>
  <conditionalFormatting sqref="F331">
    <cfRule type="expression" dxfId="328" priority="344">
      <formula>IF(OR(AND(F331="",G331="",OR(H330="Critical",H330="Major",H330="Minor"))),1,0)</formula>
    </cfRule>
  </conditionalFormatting>
  <conditionalFormatting sqref="E332">
    <cfRule type="expression" dxfId="327" priority="336">
      <formula>IF(OR(AND(E332="",F332="",OR(G332="Critical",G332="Major",G332="Minor"))),1,0)</formula>
    </cfRule>
  </conditionalFormatting>
  <conditionalFormatting sqref="F332">
    <cfRule type="expression" dxfId="326" priority="335">
      <formula>IF(AND(F332="",OR(E332="Accuracy",E332="Fluency",E332="Segment",E332="Other")),1,0)</formula>
    </cfRule>
  </conditionalFormatting>
  <conditionalFormatting sqref="G332">
    <cfRule type="expression" dxfId="325" priority="337">
      <formula>IF(AND(OR(G332="",#REF!="Segment"),OR(#REF!="Accuracy",#REF!="Fluency",#REF!="Other")),1,0)</formula>
    </cfRule>
  </conditionalFormatting>
  <conditionalFormatting sqref="G332">
    <cfRule type="expression" dxfId="324" priority="338">
      <formula>IF(OR(AND(G332="",H331="",OR(I332="Critical",I332="Major",I332="Minor"))),1,0)</formula>
    </cfRule>
  </conditionalFormatting>
  <conditionalFormatting sqref="F332">
    <cfRule type="expression" dxfId="323" priority="339">
      <formula>IF(OR(AND(F332="",G332="",OR(H331="Critical",H331="Major",H331="Minor"))),1,0)</formula>
    </cfRule>
  </conditionalFormatting>
  <conditionalFormatting sqref="E333">
    <cfRule type="expression" dxfId="322" priority="331">
      <formula>IF(OR(AND(E333="",F333="",OR(G333="Critical",G333="Major",G333="Minor"))),1,0)</formula>
    </cfRule>
  </conditionalFormatting>
  <conditionalFormatting sqref="F333">
    <cfRule type="expression" dxfId="321" priority="330">
      <formula>IF(AND(F333="",OR(E333="Accuracy",E333="Fluency",E333="Segment",E333="Other")),1,0)</formula>
    </cfRule>
  </conditionalFormatting>
  <conditionalFormatting sqref="G333">
    <cfRule type="expression" dxfId="320" priority="332">
      <formula>IF(AND(OR(G333="",#REF!="Segment"),OR(#REF!="Accuracy",#REF!="Fluency",#REF!="Other")),1,0)</formula>
    </cfRule>
  </conditionalFormatting>
  <conditionalFormatting sqref="G333">
    <cfRule type="expression" dxfId="319" priority="333">
      <formula>IF(OR(AND(G333="",H332="",OR(I333="Critical",I333="Major",I333="Minor"))),1,0)</formula>
    </cfRule>
  </conditionalFormatting>
  <conditionalFormatting sqref="F333">
    <cfRule type="expression" dxfId="318" priority="334">
      <formula>IF(OR(AND(F333="",G333="",OR(H332="Critical",H332="Major",H332="Minor"))),1,0)</formula>
    </cfRule>
  </conditionalFormatting>
  <conditionalFormatting sqref="G334">
    <cfRule type="expression" dxfId="317" priority="328">
      <formula>IF(OR(AND(G334="",H334="",OR(I334="Critical",I334="Major",I334="Minor"))),1,0)</formula>
    </cfRule>
  </conditionalFormatting>
  <conditionalFormatting sqref="G334">
    <cfRule type="expression" dxfId="316" priority="329">
      <formula>IF(AND(OR(G334="",#REF!="Segment"),OR(#REF!="Accuracy",#REF!="Fluency",#REF!="Other")),1,0)</formula>
    </cfRule>
  </conditionalFormatting>
  <conditionalFormatting sqref="E335">
    <cfRule type="expression" dxfId="315" priority="323">
      <formula>IF(OR(AND(E335="",F335="",OR(G335="Critical",G335="Major",G335="Minor"))),1,0)</formula>
    </cfRule>
  </conditionalFormatting>
  <conditionalFormatting sqref="F335">
    <cfRule type="expression" dxfId="314" priority="322">
      <formula>IF(AND(F335="",OR(E335="Accuracy",E335="Fluency",E335="Segment",E335="Other")),1,0)</formula>
    </cfRule>
  </conditionalFormatting>
  <conditionalFormatting sqref="G335">
    <cfRule type="expression" dxfId="313" priority="324">
      <formula>IF(AND(OR(G335="",#REF!="Segment"),OR(#REF!="Accuracy",#REF!="Fluency",#REF!="Other")),1,0)</formula>
    </cfRule>
  </conditionalFormatting>
  <conditionalFormatting sqref="G335">
    <cfRule type="expression" dxfId="312" priority="325">
      <formula>IF(OR(AND(G335="",H334="",OR(I335="Critical",I335="Major",I335="Minor"))),1,0)</formula>
    </cfRule>
  </conditionalFormatting>
  <conditionalFormatting sqref="F335">
    <cfRule type="expression" dxfId="311" priority="326">
      <formula>IF(OR(AND(F335="",G335="",OR(H334="Critical",H334="Major",H334="Minor"))),1,0)</formula>
    </cfRule>
  </conditionalFormatting>
  <conditionalFormatting sqref="E336">
    <cfRule type="expression" dxfId="310" priority="318">
      <formula>IF(OR(AND(E336="",F336="",OR(G336="Critical",G336="Major",G336="Minor"))),1,0)</formula>
    </cfRule>
  </conditionalFormatting>
  <conditionalFormatting sqref="F336">
    <cfRule type="expression" dxfId="309" priority="317">
      <formula>IF(AND(F336="",OR(E336="Accuracy",E336="Fluency",E336="Segment",E336="Other")),1,0)</formula>
    </cfRule>
  </conditionalFormatting>
  <conditionalFormatting sqref="G336">
    <cfRule type="expression" dxfId="308" priority="319">
      <formula>IF(AND(OR(G336="",#REF!="Segment"),OR(#REF!="Accuracy",#REF!="Fluency",#REF!="Other")),1,0)</formula>
    </cfRule>
  </conditionalFormatting>
  <conditionalFormatting sqref="G336">
    <cfRule type="expression" dxfId="307" priority="320">
      <formula>IF(OR(AND(G336="",H335="",OR(I336="Critical",I336="Major",I336="Minor"))),1,0)</formula>
    </cfRule>
  </conditionalFormatting>
  <conditionalFormatting sqref="F336">
    <cfRule type="expression" dxfId="306" priority="321">
      <formula>IF(OR(AND(F336="",G336="",OR(H335="Critical",H335="Major",H335="Minor"))),1,0)</formula>
    </cfRule>
  </conditionalFormatting>
  <conditionalFormatting sqref="E338">
    <cfRule type="expression" dxfId="305" priority="313">
      <formula>IF(OR(AND(E338="",F338="",OR(G338="Critical",G338="Major",G338="Minor"))),1,0)</formula>
    </cfRule>
  </conditionalFormatting>
  <conditionalFormatting sqref="F338">
    <cfRule type="expression" dxfId="304" priority="312">
      <formula>IF(AND(F338="",OR(E338="Accuracy",E338="Fluency",E338="Segment",E338="Other")),1,0)</formula>
    </cfRule>
  </conditionalFormatting>
  <conditionalFormatting sqref="G338">
    <cfRule type="expression" dxfId="303" priority="314">
      <formula>IF(AND(OR(G338="",#REF!="Segment"),OR(#REF!="Accuracy",#REF!="Fluency",#REF!="Other")),1,0)</formula>
    </cfRule>
  </conditionalFormatting>
  <conditionalFormatting sqref="G338">
    <cfRule type="expression" dxfId="302" priority="315">
      <formula>IF(OR(AND(G338="",H337="",OR(I338="Critical",I338="Major",I338="Minor"))),1,0)</formula>
    </cfRule>
  </conditionalFormatting>
  <conditionalFormatting sqref="F338">
    <cfRule type="expression" dxfId="301" priority="316">
      <formula>IF(OR(AND(F338="",G338="",OR(H337="Critical",H337="Major",H337="Minor"))),1,0)</formula>
    </cfRule>
  </conditionalFormatting>
  <conditionalFormatting sqref="E341:G342">
    <cfRule type="expression" dxfId="300" priority="310">
      <formula>IF(OR(AND(E341="",F341="",OR(G341="Critical",G341="Major",G341="Minor"))),1,0)</formula>
    </cfRule>
  </conditionalFormatting>
  <conditionalFormatting sqref="F341:F342">
    <cfRule type="expression" dxfId="299" priority="309">
      <formula>IF(AND(F341="",OR(E341="Accuracy",E341="Fluency",E341="Segment",E341="Other")),1,0)</formula>
    </cfRule>
  </conditionalFormatting>
  <conditionalFormatting sqref="G341:G342">
    <cfRule type="expression" dxfId="298" priority="311">
      <formula>IF(AND(OR(G341="",#REF!="Segment"),OR(#REF!="Accuracy",#REF!="Fluency",#REF!="Other")),1,0)</formula>
    </cfRule>
  </conditionalFormatting>
  <conditionalFormatting sqref="E346:G346">
    <cfRule type="expression" dxfId="297" priority="307">
      <formula>IF(OR(AND(E346="",F346="",OR(G346="Critical",G346="Major",G346="Minor"))),1,0)</formula>
    </cfRule>
  </conditionalFormatting>
  <conditionalFormatting sqref="F346">
    <cfRule type="expression" dxfId="296" priority="306">
      <formula>IF(AND(F346="",OR(E346="Accuracy",E346="Fluency",E346="Segment",E346="Other")),1,0)</formula>
    </cfRule>
  </conditionalFormatting>
  <conditionalFormatting sqref="G346">
    <cfRule type="expression" dxfId="295" priority="308">
      <formula>IF(AND(OR(G346="",#REF!="Segment"),OR(#REF!="Accuracy",#REF!="Fluency",#REF!="Other")),1,0)</formula>
    </cfRule>
  </conditionalFormatting>
  <conditionalFormatting sqref="E347:G347">
    <cfRule type="expression" dxfId="294" priority="304">
      <formula>IF(OR(AND(E347="",F347="",OR(G347="Critical",G347="Major",G347="Minor"))),1,0)</formula>
    </cfRule>
  </conditionalFormatting>
  <conditionalFormatting sqref="F347">
    <cfRule type="expression" dxfId="293" priority="303">
      <formula>IF(AND(F347="",OR(E347="Accuracy",E347="Fluency",E347="Segment",E347="Other")),1,0)</formula>
    </cfRule>
  </conditionalFormatting>
  <conditionalFormatting sqref="G347">
    <cfRule type="expression" dxfId="292" priority="305">
      <formula>IF(AND(OR(G347="",#REF!="Segment"),OR(#REF!="Accuracy",#REF!="Fluency",#REF!="Other")),1,0)</formula>
    </cfRule>
  </conditionalFormatting>
  <conditionalFormatting sqref="E348:G348">
    <cfRule type="expression" dxfId="291" priority="301">
      <formula>IF(OR(AND(E348="",F348="",OR(G348="Critical",G348="Major",G348="Minor"))),1,0)</formula>
    </cfRule>
  </conditionalFormatting>
  <conditionalFormatting sqref="F348">
    <cfRule type="expression" dxfId="290" priority="300">
      <formula>IF(AND(F348="",OR(E348="Accuracy",E348="Fluency",E348="Segment",E348="Other")),1,0)</formula>
    </cfRule>
  </conditionalFormatting>
  <conditionalFormatting sqref="G348">
    <cfRule type="expression" dxfId="289" priority="302">
      <formula>IF(AND(OR(G348="",#REF!="Segment"),OR(#REF!="Accuracy",#REF!="Fluency",#REF!="Other")),1,0)</formula>
    </cfRule>
  </conditionalFormatting>
  <conditionalFormatting sqref="G343:G345">
    <cfRule type="expression" dxfId="288" priority="298">
      <formula>IF(OR(AND(G343="",H343="",OR(I343="Critical",I343="Major",I343="Minor"))),1,0)</formula>
    </cfRule>
  </conditionalFormatting>
  <conditionalFormatting sqref="G343:G345">
    <cfRule type="expression" dxfId="287" priority="299">
      <formula>IF(AND(OR(G343="",#REF!="Segment"),OR(#REF!="Accuracy",#REF!="Fluency",#REF!="Other")),1,0)</formula>
    </cfRule>
  </conditionalFormatting>
  <conditionalFormatting sqref="E349:G357">
    <cfRule type="expression" dxfId="286" priority="295">
      <formula>IF(OR(AND(E349="",F349="",OR(G349="Critical",G349="Major",G349="Minor"))),1,0)</formula>
    </cfRule>
  </conditionalFormatting>
  <conditionalFormatting sqref="F349:F357">
    <cfRule type="expression" dxfId="285" priority="294">
      <formula>IF(AND(F349="",OR(E349="Accuracy",E349="Fluency",E349="Segment",E349="Other")),1,0)</formula>
    </cfRule>
  </conditionalFormatting>
  <conditionalFormatting sqref="G349:G357">
    <cfRule type="expression" dxfId="284" priority="296">
      <formula>IF(AND(OR(G349="",#REF!="Segment"),OR(#REF!="Accuracy",#REF!="Fluency",#REF!="Other")),1,0)</formula>
    </cfRule>
  </conditionalFormatting>
  <conditionalFormatting sqref="E446:G446 E449:G449 E440:G441 E434:G436 E416 E417:G417 E412:G414 E409:G410 E403:G405 E399:F401 E384:G384 E380:G382 E369:G370 F367:G367 E367:E368 E360:G363 E365:G366 G364 E372:G372 G371 E374:G374 G373 E376:G377 G375 E386:G393 G385 E395:G396 G394 E398:G398 G397 G402 E407:G407 G406 G415 E419:G420 G418 E422:G423 G421 E426:G428 G424:G425 G433 G448 G450">
    <cfRule type="expression" dxfId="283" priority="290">
      <formula>IF(OR(AND(E360="",F360="",OR(G360="Critical",G360="Major",G360="Minor"))),1,0)</formula>
    </cfRule>
  </conditionalFormatting>
  <conditionalFormatting sqref="F446 F449 F440:F441 F434:F436 F360:F363 F365:F370 F372 F374 F376:F377 F380:F382 F384 F386:F393 F395:F396 F398:F401 F403:F405 F407 F409:F410 F412:F414 F416:F417 F419:F420 F422:F423 F426:F428">
    <cfRule type="expression" dxfId="282" priority="289">
      <formula>IF(AND(F360="",OR(E360="Accuracy",E360="Fluency",E360="Segment",E360="Other")),1,0)</formula>
    </cfRule>
  </conditionalFormatting>
  <conditionalFormatting sqref="G446 G448:G450 G440:G441 G433:G436 G393 G386:G387 G369:G372 G367 G360">
    <cfRule type="expression" dxfId="281" priority="291">
      <formula>IF(AND(OR(G360="",#REF!="Segment"),OR(#REF!="Accuracy",#REF!="Fluency",#REF!="Other")),1,0)</formula>
    </cfRule>
  </conditionalFormatting>
  <conditionalFormatting sqref="G416 G408 G368 G358:G359">
    <cfRule type="expression" dxfId="280" priority="292">
      <formula>IF(OR(AND(G358="",H357="",OR(I358="Critical",I358="Major",I358="Minor"))),1,0)</formula>
    </cfRule>
  </conditionalFormatting>
  <conditionalFormatting sqref="F416 F368">
    <cfRule type="expression" dxfId="279" priority="293">
      <formula>IF(OR(AND(F368="",G368="",OR(H367="Critical",H367="Major",H367="Minor"))),1,0)</formula>
    </cfRule>
  </conditionalFormatting>
  <conditionalFormatting sqref="G358">
    <cfRule type="expression" dxfId="278" priority="288">
      <formula>IF(AND(OR(G358="",#REF!="Segment"),OR(#REF!="Accuracy",#REF!="Fluency",#REF!="Other")),1,0)</formula>
    </cfRule>
  </conditionalFormatting>
  <conditionalFormatting sqref="G359">
    <cfRule type="expression" dxfId="277" priority="287">
      <formula>IF(AND(OR(G359="",#REF!="Segment"),OR(#REF!="Accuracy",#REF!="Fluency",#REF!="Other")),1,0)</formula>
    </cfRule>
  </conditionalFormatting>
  <conditionalFormatting sqref="G361">
    <cfRule type="expression" dxfId="276" priority="286">
      <formula>IF(AND(OR(G361="",#REF!="Segment"),OR(#REF!="Accuracy",#REF!="Fluency",#REF!="Other")),1,0)</formula>
    </cfRule>
  </conditionalFormatting>
  <conditionalFormatting sqref="G362">
    <cfRule type="expression" dxfId="275" priority="285">
      <formula>IF(AND(OR(G362="",#REF!="Segment"),OR(#REF!="Accuracy",#REF!="Fluency",#REF!="Other")),1,0)</formula>
    </cfRule>
  </conditionalFormatting>
  <conditionalFormatting sqref="G363">
    <cfRule type="expression" dxfId="274" priority="284">
      <formula>IF(AND(OR(G363="",#REF!="Segment"),OR(#REF!="Accuracy",#REF!="Fluency",#REF!="Other")),1,0)</formula>
    </cfRule>
  </conditionalFormatting>
  <conditionalFormatting sqref="G364">
    <cfRule type="expression" dxfId="273" priority="283">
      <formula>IF(AND(OR(G364="",#REF!="Segment"),OR(#REF!="Accuracy",#REF!="Fluency",#REF!="Other")),1,0)</formula>
    </cfRule>
  </conditionalFormatting>
  <conditionalFormatting sqref="G365">
    <cfRule type="expression" dxfId="272" priority="282">
      <formula>IF(AND(OR(G365="",#REF!="Segment"),OR(#REF!="Accuracy",#REF!="Fluency",#REF!="Other")),1,0)</formula>
    </cfRule>
  </conditionalFormatting>
  <conditionalFormatting sqref="G366">
    <cfRule type="expression" dxfId="271" priority="281">
      <formula>IF(AND(OR(G366="",#REF!="Segment"),OR(#REF!="Accuracy",#REF!="Fluency",#REF!="Other")),1,0)</formula>
    </cfRule>
  </conditionalFormatting>
  <conditionalFormatting sqref="G368">
    <cfRule type="expression" dxfId="270" priority="280">
      <formula>IF(AND(OR(G368="",#REF!="Segment"),OR(#REF!="Accuracy",#REF!="Fluency",#REF!="Other")),1,0)</formula>
    </cfRule>
  </conditionalFormatting>
  <conditionalFormatting sqref="G369:G370">
    <cfRule type="expression" dxfId="269" priority="279">
      <formula>IF(AND(OR(G369="",#REF!="Segment"),OR(#REF!="Accuracy",#REF!="Fluency",#REF!="Other")),1,0)</formula>
    </cfRule>
  </conditionalFormatting>
  <conditionalFormatting sqref="G369:G370">
    <cfRule type="expression" dxfId="268" priority="278">
      <formula>IF(AND(OR(G369="",#REF!="Segment"),OR(#REF!="Accuracy",#REF!="Fluency",#REF!="Other")),1,0)</formula>
    </cfRule>
  </conditionalFormatting>
  <conditionalFormatting sqref="G373">
    <cfRule type="expression" dxfId="267" priority="277">
      <formula>IF(AND(OR(G373="",#REF!="Segment"),OR(#REF!="Accuracy",#REF!="Fluency",#REF!="Other")),1,0)</formula>
    </cfRule>
  </conditionalFormatting>
  <conditionalFormatting sqref="G374">
    <cfRule type="expression" dxfId="266" priority="276">
      <formula>IF(AND(OR(G374="",#REF!="Segment"),OR(#REF!="Accuracy",#REF!="Fluency",#REF!="Other")),1,0)</formula>
    </cfRule>
  </conditionalFormatting>
  <conditionalFormatting sqref="G375">
    <cfRule type="expression" dxfId="265" priority="275">
      <formula>IF(AND(OR(G375="",#REF!="Segment"),OR(#REF!="Accuracy",#REF!="Fluency",#REF!="Other")),1,0)</formula>
    </cfRule>
  </conditionalFormatting>
  <conditionalFormatting sqref="G376">
    <cfRule type="expression" dxfId="264" priority="274">
      <formula>IF(AND(OR(G376="",#REF!="Segment"),OR(#REF!="Accuracy",#REF!="Fluency",#REF!="Other")),1,0)</formula>
    </cfRule>
  </conditionalFormatting>
  <conditionalFormatting sqref="G377">
    <cfRule type="expression" dxfId="263" priority="273">
      <formula>IF(AND(OR(G377="",#REF!="Segment"),OR(#REF!="Accuracy",#REF!="Fluency",#REF!="Other")),1,0)</formula>
    </cfRule>
  </conditionalFormatting>
  <conditionalFormatting sqref="G383 G378:G379">
    <cfRule type="expression" dxfId="262" priority="271">
      <formula>IF(OR(AND(G378="",#REF!="",OR(I378="Critical",I378="Major",I378="Minor"))),1,0)</formula>
    </cfRule>
  </conditionalFormatting>
  <conditionalFormatting sqref="G378">
    <cfRule type="expression" dxfId="261" priority="270">
      <formula>IF(AND(OR(G378="",#REF!="Segment"),OR(#REF!="Accuracy",#REF!="Fluency",#REF!="Other")),1,0)</formula>
    </cfRule>
  </conditionalFormatting>
  <conditionalFormatting sqref="G379">
    <cfRule type="expression" dxfId="260" priority="269">
      <formula>IF(AND(OR(G379="",#REF!="Segment"),OR(#REF!="Accuracy",#REF!="Fluency",#REF!="Other")),1,0)</formula>
    </cfRule>
  </conditionalFormatting>
  <conditionalFormatting sqref="G380:G381">
    <cfRule type="expression" dxfId="259" priority="268">
      <formula>IF(AND(OR(G380="",#REF!="Segment"),OR(#REF!="Accuracy",#REF!="Fluency",#REF!="Other")),1,0)</formula>
    </cfRule>
  </conditionalFormatting>
  <conditionalFormatting sqref="G382">
    <cfRule type="expression" dxfId="258" priority="267">
      <formula>IF(AND(OR(G382="",#REF!="Segment"),OR(#REF!="Accuracy",#REF!="Fluency",#REF!="Other")),1,0)</formula>
    </cfRule>
  </conditionalFormatting>
  <conditionalFormatting sqref="G383">
    <cfRule type="expression" dxfId="257" priority="266">
      <formula>IF(AND(OR(G383="",#REF!="Segment"),OR(#REF!="Accuracy",#REF!="Fluency",#REF!="Other")),1,0)</formula>
    </cfRule>
  </conditionalFormatting>
  <conditionalFormatting sqref="G384">
    <cfRule type="expression" dxfId="256" priority="265">
      <formula>IF(AND(OR(G384="",#REF!="Segment"),OR(#REF!="Accuracy",#REF!="Fluency",#REF!="Other")),1,0)</formula>
    </cfRule>
  </conditionalFormatting>
  <conditionalFormatting sqref="G385">
    <cfRule type="expression" dxfId="255" priority="264">
      <formula>IF(AND(OR(G385="",#REF!="Segment"),OR(#REF!="Accuracy",#REF!="Fluency",#REF!="Other")),1,0)</formula>
    </cfRule>
  </conditionalFormatting>
  <conditionalFormatting sqref="G388:G389">
    <cfRule type="expression" dxfId="254" priority="263">
      <formula>IF(AND(OR(G388="",#REF!="Segment"),OR(#REF!="Accuracy",#REF!="Fluency",#REF!="Other")),1,0)</formula>
    </cfRule>
  </conditionalFormatting>
  <conditionalFormatting sqref="G390:G391">
    <cfRule type="expression" dxfId="253" priority="262">
      <formula>IF(AND(OR(G390="",#REF!="Segment"),OR(#REF!="Accuracy",#REF!="Fluency",#REF!="Other")),1,0)</formula>
    </cfRule>
  </conditionalFormatting>
  <conditionalFormatting sqref="G392">
    <cfRule type="expression" dxfId="252" priority="261">
      <formula>IF(AND(OR(G392="",#REF!="Segment"),OR(#REF!="Accuracy",#REF!="Fluency",#REF!="Other")),1,0)</formula>
    </cfRule>
  </conditionalFormatting>
  <conditionalFormatting sqref="G394">
    <cfRule type="expression" dxfId="251" priority="260">
      <formula>IF(AND(OR(G394="",#REF!="Segment"),OR(#REF!="Accuracy",#REF!="Fluency",#REF!="Other")),1,0)</formula>
    </cfRule>
  </conditionalFormatting>
  <conditionalFormatting sqref="G395">
    <cfRule type="expression" dxfId="250" priority="259">
      <formula>IF(AND(OR(G395="",#REF!="Segment"),OR(#REF!="Accuracy",#REF!="Fluency",#REF!="Other")),1,0)</formula>
    </cfRule>
  </conditionalFormatting>
  <conditionalFormatting sqref="G396">
    <cfRule type="expression" dxfId="249" priority="258">
      <formula>IF(AND(OR(G396="",#REF!="Segment"),OR(#REF!="Accuracy",#REF!="Fluency",#REF!="Other")),1,0)</formula>
    </cfRule>
  </conditionalFormatting>
  <conditionalFormatting sqref="G397">
    <cfRule type="expression" dxfId="248" priority="257">
      <formula>IF(AND(OR(G397="",#REF!="Segment"),OR(#REF!="Accuracy",#REF!="Fluency",#REF!="Other")),1,0)</formula>
    </cfRule>
  </conditionalFormatting>
  <conditionalFormatting sqref="G398">
    <cfRule type="expression" dxfId="247" priority="256">
      <formula>IF(AND(OR(G398="",#REF!="Segment"),OR(#REF!="Accuracy",#REF!="Fluency",#REF!="Other")),1,0)</formula>
    </cfRule>
  </conditionalFormatting>
  <conditionalFormatting sqref="G399:G401">
    <cfRule type="expression" dxfId="246" priority="255">
      <formula>IF(OR(AND(G399="",H399="",OR(I401="Critical",I401="Major",I401="Minor"))),1,0)</formula>
    </cfRule>
  </conditionalFormatting>
  <conditionalFormatting sqref="G399">
    <cfRule type="expression" dxfId="245" priority="254">
      <formula>IF(AND(OR(G399="",#REF!="Segment"),OR(#REF!="Accuracy",#REF!="Fluency",#REF!="Other")),1,0)</formula>
    </cfRule>
  </conditionalFormatting>
  <conditionalFormatting sqref="G400:G401">
    <cfRule type="expression" dxfId="244" priority="253">
      <formula>IF(AND(OR(G400="",#REF!="Segment"),OR(#REF!="Accuracy",#REF!="Fluency",#REF!="Other")),1,0)</formula>
    </cfRule>
  </conditionalFormatting>
  <conditionalFormatting sqref="G403">
    <cfRule type="expression" dxfId="243" priority="252">
      <formula>IF(AND(OR(G403="",#REF!="Segment"),OR(#REF!="Accuracy",#REF!="Fluency",#REF!="Other")),1,0)</formula>
    </cfRule>
  </conditionalFormatting>
  <conditionalFormatting sqref="G402">
    <cfRule type="expression" dxfId="242" priority="251">
      <formula>IF(AND(OR(G402="",#REF!="Segment"),OR(#REF!="Accuracy",#REF!="Fluency",#REF!="Other")),1,0)</formula>
    </cfRule>
  </conditionalFormatting>
  <conditionalFormatting sqref="G404:G405">
    <cfRule type="expression" dxfId="241" priority="250">
      <formula>IF(AND(OR(G404="",#REF!="Segment"),OR(#REF!="Accuracy",#REF!="Fluency",#REF!="Other")),1,0)</formula>
    </cfRule>
  </conditionalFormatting>
  <conditionalFormatting sqref="G407">
    <cfRule type="expression" dxfId="240" priority="249">
      <formula>IF(AND(OR(G407="",#REF!="Segment"),OR(#REF!="Accuracy",#REF!="Fluency",#REF!="Other")),1,0)</formula>
    </cfRule>
  </conditionalFormatting>
  <conditionalFormatting sqref="G406">
    <cfRule type="expression" dxfId="239" priority="248">
      <formula>IF(AND(OR(G406="",#REF!="Segment"),OR(#REF!="Accuracy",#REF!="Fluency",#REF!="Other")),1,0)</formula>
    </cfRule>
  </conditionalFormatting>
  <conditionalFormatting sqref="G409">
    <cfRule type="expression" dxfId="238" priority="247">
      <formula>IF(AND(OR(G409="",#REF!="Segment"),OR(#REF!="Accuracy",#REF!="Fluency",#REF!="Other")),1,0)</formula>
    </cfRule>
  </conditionalFormatting>
  <conditionalFormatting sqref="G408">
    <cfRule type="expression" dxfId="237" priority="246">
      <formula>IF(AND(OR(G408="",#REF!="Segment"),OR(#REF!="Accuracy",#REF!="Fluency",#REF!="Other")),1,0)</formula>
    </cfRule>
  </conditionalFormatting>
  <conditionalFormatting sqref="G410">
    <cfRule type="expression" dxfId="236" priority="245">
      <formula>IF(AND(OR(G410="",#REF!="Segment"),OR(#REF!="Accuracy",#REF!="Fluency",#REF!="Other")),1,0)</formula>
    </cfRule>
  </conditionalFormatting>
  <conditionalFormatting sqref="G412">
    <cfRule type="expression" dxfId="235" priority="244">
      <formula>IF(AND(OR(G412="",#REF!="Segment"),OR(#REF!="Accuracy",#REF!="Fluency",#REF!="Other")),1,0)</formula>
    </cfRule>
  </conditionalFormatting>
  <conditionalFormatting sqref="G411">
    <cfRule type="expression" dxfId="234" priority="242">
      <formula>IF(OR(AND(G411="",H411="",OR(I412="Critical",I412="Major",I412="Minor"))),1,0)</formula>
    </cfRule>
  </conditionalFormatting>
  <conditionalFormatting sqref="G411">
    <cfRule type="expression" dxfId="233" priority="243">
      <formula>IF(AND(OR(G411="",#REF!="Segment"),OR(#REF!="Accuracy",#REF!="Fluency",#REF!="Other")),1,0)</formula>
    </cfRule>
  </conditionalFormatting>
  <conditionalFormatting sqref="G413">
    <cfRule type="expression" dxfId="232" priority="241">
      <formula>IF(AND(OR(G413="",#REF!="Segment"),OR(#REF!="Accuracy",#REF!="Fluency",#REF!="Other")),1,0)</formula>
    </cfRule>
  </conditionalFormatting>
  <conditionalFormatting sqref="G414">
    <cfRule type="expression" dxfId="231" priority="240">
      <formula>IF(AND(OR(G414="",#REF!="Segment"),OR(#REF!="Accuracy",#REF!="Fluency",#REF!="Other")),1,0)</formula>
    </cfRule>
  </conditionalFormatting>
  <conditionalFormatting sqref="G416">
    <cfRule type="expression" dxfId="230" priority="239">
      <formula>IF(AND(OR(G416="",#REF!="Segment"),OR(#REF!="Accuracy",#REF!="Fluency",#REF!="Other")),1,0)</formula>
    </cfRule>
  </conditionalFormatting>
  <conditionalFormatting sqref="G415">
    <cfRule type="expression" dxfId="229" priority="238">
      <formula>IF(AND(OR(G415="",#REF!="Segment"),OR(#REF!="Accuracy",#REF!="Fluency",#REF!="Other")),1,0)</formula>
    </cfRule>
  </conditionalFormatting>
  <conditionalFormatting sqref="G417">
    <cfRule type="expression" dxfId="228" priority="237">
      <formula>IF(AND(OR(G417="",#REF!="Segment"),OR(#REF!="Accuracy",#REF!="Fluency",#REF!="Other")),1,0)</formula>
    </cfRule>
  </conditionalFormatting>
  <conditionalFormatting sqref="G419">
    <cfRule type="expression" dxfId="227" priority="236">
      <formula>IF(AND(OR(G419="",#REF!="Segment"),OR(#REF!="Accuracy",#REF!="Fluency",#REF!="Other")),1,0)</formula>
    </cfRule>
  </conditionalFormatting>
  <conditionalFormatting sqref="G418">
    <cfRule type="expression" dxfId="226" priority="235">
      <formula>IF(AND(OR(G418="",#REF!="Segment"),OR(#REF!="Accuracy",#REF!="Fluency",#REF!="Other")),1,0)</formula>
    </cfRule>
  </conditionalFormatting>
  <conditionalFormatting sqref="G420">
    <cfRule type="expression" dxfId="225" priority="234">
      <formula>IF(AND(OR(G420="",#REF!="Segment"),OR(#REF!="Accuracy",#REF!="Fluency",#REF!="Other")),1,0)</formula>
    </cfRule>
  </conditionalFormatting>
  <conditionalFormatting sqref="G421">
    <cfRule type="expression" dxfId="224" priority="233">
      <formula>IF(AND(OR(G421="",#REF!="Segment"),OR(#REF!="Accuracy",#REF!="Fluency",#REF!="Other")),1,0)</formula>
    </cfRule>
  </conditionalFormatting>
  <conditionalFormatting sqref="G422:G423">
    <cfRule type="expression" dxfId="223" priority="232">
      <formula>IF(AND(OR(G422="",#REF!="Segment"),OR(#REF!="Accuracy",#REF!="Fluency",#REF!="Other")),1,0)</formula>
    </cfRule>
  </conditionalFormatting>
  <conditionalFormatting sqref="G426">
    <cfRule type="expression" dxfId="222" priority="231">
      <formula>IF(AND(OR(G426="",#REF!="Segment"),OR(#REF!="Accuracy",#REF!="Fluency",#REF!="Other")),1,0)</formula>
    </cfRule>
  </conditionalFormatting>
  <conditionalFormatting sqref="G424:G425">
    <cfRule type="expression" dxfId="221" priority="230">
      <formula>IF(AND(OR(G424="",#REF!="Segment"),OR(#REF!="Accuracy",#REF!="Fluency",#REF!="Other")),1,0)</formula>
    </cfRule>
  </conditionalFormatting>
  <conditionalFormatting sqref="G427:G428">
    <cfRule type="expression" dxfId="220" priority="229">
      <formula>IF(AND(OR(G427="",#REF!="Segment"),OR(#REF!="Accuracy",#REF!="Fluency",#REF!="Other")),1,0)</formula>
    </cfRule>
  </conditionalFormatting>
  <conditionalFormatting sqref="E429:G429">
    <cfRule type="expression" dxfId="219" priority="227">
      <formula>IF(OR(AND(E429="",F429="",OR(G429="Critical",G429="Major",G429="Minor"))),1,0)</formula>
    </cfRule>
  </conditionalFormatting>
  <conditionalFormatting sqref="F429">
    <cfRule type="expression" dxfId="218" priority="226">
      <formula>IF(AND(F429="",OR(E429="Accuracy",E429="Fluency",E429="Segment",E429="Other")),1,0)</formula>
    </cfRule>
  </conditionalFormatting>
  <conditionalFormatting sqref="G429">
    <cfRule type="expression" dxfId="217" priority="228">
      <formula>IF(AND(OR(G429="",#REF!="Segment"),OR(#REF!="Accuracy",#REF!="Fluency",#REF!="Other")),1,0)</formula>
    </cfRule>
  </conditionalFormatting>
  <conditionalFormatting sqref="G430">
    <cfRule type="expression" dxfId="216" priority="224">
      <formula>IF(OR(AND(G430="",H430="",OR(I430="Critical",I430="Major",I430="Minor"))),1,0)</formula>
    </cfRule>
  </conditionalFormatting>
  <conditionalFormatting sqref="G430">
    <cfRule type="expression" dxfId="215" priority="225">
      <formula>IF(AND(OR(G430="",#REF!="Segment"),OR(#REF!="Accuracy",#REF!="Fluency",#REF!="Other")),1,0)</formula>
    </cfRule>
  </conditionalFormatting>
  <conditionalFormatting sqref="E431:G431">
    <cfRule type="expression" dxfId="214" priority="221">
      <formula>IF(OR(AND(E431="",F431="",OR(G431="Critical",G431="Major",G431="Minor"))),1,0)</formula>
    </cfRule>
  </conditionalFormatting>
  <conditionalFormatting sqref="F431">
    <cfRule type="expression" dxfId="213" priority="220">
      <formula>IF(AND(F431="",OR(E431="Accuracy",E431="Fluency",E431="Segment",E431="Other")),1,0)</formula>
    </cfRule>
  </conditionalFormatting>
  <conditionalFormatting sqref="G431">
    <cfRule type="expression" dxfId="212" priority="222">
      <formula>IF(AND(OR(G431="",#REF!="Segment"),OR(#REF!="Accuracy",#REF!="Fluency",#REF!="Other")),1,0)</formula>
    </cfRule>
  </conditionalFormatting>
  <conditionalFormatting sqref="E432:G432">
    <cfRule type="expression" dxfId="211" priority="218">
      <formula>IF(OR(AND(E432="",F432="",OR(G432="Critical",G432="Major",G432="Minor"))),1,0)</formula>
    </cfRule>
  </conditionalFormatting>
  <conditionalFormatting sqref="F432">
    <cfRule type="expression" dxfId="210" priority="217">
      <formula>IF(AND(F432="",OR(E432="Accuracy",E432="Fluency",E432="Segment",E432="Other")),1,0)</formula>
    </cfRule>
  </conditionalFormatting>
  <conditionalFormatting sqref="G432">
    <cfRule type="expression" dxfId="209" priority="219">
      <formula>IF(AND(OR(G432="",#REF!="Segment"),OR(#REF!="Accuracy",#REF!="Fluency",#REF!="Other")),1,0)</formula>
    </cfRule>
  </conditionalFormatting>
  <conditionalFormatting sqref="G437">
    <cfRule type="expression" dxfId="208" priority="215">
      <formula>IF(OR(AND(G437="",H437="",OR(I437="Critical",I437="Major",I437="Minor"))),1,0)</formula>
    </cfRule>
  </conditionalFormatting>
  <conditionalFormatting sqref="G437">
    <cfRule type="expression" dxfId="207" priority="216">
      <formula>IF(AND(OR(G437="",#REF!="Segment"),OR(#REF!="Accuracy",#REF!="Fluency",#REF!="Other")),1,0)</formula>
    </cfRule>
  </conditionalFormatting>
  <conditionalFormatting sqref="E438:G438">
    <cfRule type="expression" dxfId="206" priority="212">
      <formula>IF(OR(AND(E438="",F438="",OR(G438="Critical",G438="Major",G438="Minor"))),1,0)</formula>
    </cfRule>
  </conditionalFormatting>
  <conditionalFormatting sqref="F438">
    <cfRule type="expression" dxfId="205" priority="211">
      <formula>IF(AND(F438="",OR(E438="Accuracy",E438="Fluency",E438="Segment",E438="Other")),1,0)</formula>
    </cfRule>
  </conditionalFormatting>
  <conditionalFormatting sqref="G438">
    <cfRule type="expression" dxfId="204" priority="213">
      <formula>IF(AND(OR(G438="",#REF!="Segment"),OR(#REF!="Accuracy",#REF!="Fluency",#REF!="Other")),1,0)</formula>
    </cfRule>
  </conditionalFormatting>
  <conditionalFormatting sqref="E439:G439">
    <cfRule type="expression" dxfId="203" priority="209">
      <formula>IF(OR(AND(E439="",F439="",OR(G439="Critical",G439="Major",G439="Minor"))),1,0)</formula>
    </cfRule>
  </conditionalFormatting>
  <conditionalFormatting sqref="F439">
    <cfRule type="expression" dxfId="202" priority="208">
      <formula>IF(AND(F439="",OR(E439="Accuracy",E439="Fluency",E439="Segment",E439="Other")),1,0)</formula>
    </cfRule>
  </conditionalFormatting>
  <conditionalFormatting sqref="G439">
    <cfRule type="expression" dxfId="201" priority="210">
      <formula>IF(AND(OR(G439="",#REF!="Segment"),OR(#REF!="Accuracy",#REF!="Fluency",#REF!="Other")),1,0)</formula>
    </cfRule>
  </conditionalFormatting>
  <conditionalFormatting sqref="E443:G443">
    <cfRule type="expression" dxfId="200" priority="206">
      <formula>IF(OR(AND(E443="",F443="",OR(G443="Critical",G443="Major",G443="Minor"))),1,0)</formula>
    </cfRule>
  </conditionalFormatting>
  <conditionalFormatting sqref="F443">
    <cfRule type="expression" dxfId="199" priority="205">
      <formula>IF(AND(F443="",OR(E443="Accuracy",E443="Fluency",E443="Segment",E443="Other")),1,0)</formula>
    </cfRule>
  </conditionalFormatting>
  <conditionalFormatting sqref="G443">
    <cfRule type="expression" dxfId="198" priority="207">
      <formula>IF(AND(OR(G443="",#REF!="Segment"),OR(#REF!="Accuracy",#REF!="Fluency",#REF!="Other")),1,0)</formula>
    </cfRule>
  </conditionalFormatting>
  <conditionalFormatting sqref="G442">
    <cfRule type="expression" dxfId="197" priority="203">
      <formula>IF(OR(AND(G442="",H442="",OR(I442="Critical",I442="Major",I442="Minor"))),1,0)</formula>
    </cfRule>
  </conditionalFormatting>
  <conditionalFormatting sqref="G442">
    <cfRule type="expression" dxfId="196" priority="204">
      <formula>IF(AND(OR(G442="",#REF!="Segment"),OR(#REF!="Accuracy",#REF!="Fluency",#REF!="Other")),1,0)</formula>
    </cfRule>
  </conditionalFormatting>
  <conditionalFormatting sqref="E444:G444">
    <cfRule type="expression" dxfId="195" priority="199">
      <formula>IF(OR(AND(E444="",F444="",OR(G444="Critical",G444="Major",G444="Minor"))),1,0)</formula>
    </cfRule>
  </conditionalFormatting>
  <conditionalFormatting sqref="F444">
    <cfRule type="expression" dxfId="194" priority="198">
      <formula>IF(AND(F444="",OR(E444="Accuracy",E444="Fluency",E444="Segment",E444="Other")),1,0)</formula>
    </cfRule>
  </conditionalFormatting>
  <conditionalFormatting sqref="G444">
    <cfRule type="expression" dxfId="193" priority="200">
      <formula>IF(AND(OR(G444="",#REF!="Segment"),OR(#REF!="Accuracy",#REF!="Fluency",#REF!="Other")),1,0)</formula>
    </cfRule>
  </conditionalFormatting>
  <conditionalFormatting sqref="E445:G445">
    <cfRule type="expression" dxfId="192" priority="196">
      <formula>IF(OR(AND(E445="",F445="",OR(G445="Critical",G445="Major",G445="Minor"))),1,0)</formula>
    </cfRule>
  </conditionalFormatting>
  <conditionalFormatting sqref="F445">
    <cfRule type="expression" dxfId="191" priority="195">
      <formula>IF(AND(F445="",OR(E445="Accuracy",E445="Fluency",E445="Segment",E445="Other")),1,0)</formula>
    </cfRule>
  </conditionalFormatting>
  <conditionalFormatting sqref="G445">
    <cfRule type="expression" dxfId="190" priority="197">
      <formula>IF(AND(OR(G445="",#REF!="Segment"),OR(#REF!="Accuracy",#REF!="Fluency",#REF!="Other")),1,0)</formula>
    </cfRule>
  </conditionalFormatting>
  <conditionalFormatting sqref="E447:G447">
    <cfRule type="expression" dxfId="189" priority="193">
      <formula>IF(OR(AND(E447="",F447="",OR(G447="Critical",G447="Major",G447="Minor"))),1,0)</formula>
    </cfRule>
  </conditionalFormatting>
  <conditionalFormatting sqref="F447">
    <cfRule type="expression" dxfId="188" priority="192">
      <formula>IF(AND(F447="",OR(E447="Accuracy",E447="Fluency",E447="Segment",E447="Other")),1,0)</formula>
    </cfRule>
  </conditionalFormatting>
  <conditionalFormatting sqref="G447">
    <cfRule type="expression" dxfId="187" priority="194">
      <formula>IF(AND(OR(G447="",#REF!="Segment"),OR(#REF!="Accuracy",#REF!="Fluency",#REF!="Other")),1,0)</formula>
    </cfRule>
  </conditionalFormatting>
  <conditionalFormatting sqref="G451">
    <cfRule type="expression" dxfId="186" priority="190">
      <formula>IF(OR(AND(G451="",H451="",OR(I451="Critical",I451="Major",I451="Minor"))),1,0)</formula>
    </cfRule>
  </conditionalFormatting>
  <conditionalFormatting sqref="G451">
    <cfRule type="expression" dxfId="185" priority="191">
      <formula>IF(AND(OR(G451="",#REF!="Segment"),OR(#REF!="Accuracy",#REF!="Fluency",#REF!="Other")),1,0)</formula>
    </cfRule>
  </conditionalFormatting>
  <conditionalFormatting sqref="E452:G452">
    <cfRule type="expression" dxfId="184" priority="187">
      <formula>IF(OR(AND(E452="",F452="",OR(G452="Critical",G452="Major",G452="Minor"))),1,0)</formula>
    </cfRule>
  </conditionalFormatting>
  <conditionalFormatting sqref="F452">
    <cfRule type="expression" dxfId="183" priority="186">
      <formula>IF(AND(F452="",OR(E452="Accuracy",E452="Fluency",E452="Segment",E452="Other")),1,0)</formula>
    </cfRule>
  </conditionalFormatting>
  <conditionalFormatting sqref="G452">
    <cfRule type="expression" dxfId="182" priority="188">
      <formula>IF(AND(OR(G452="",#REF!="Segment"),OR(#REF!="Accuracy",#REF!="Fluency",#REF!="Other")),1,0)</formula>
    </cfRule>
  </conditionalFormatting>
  <conditionalFormatting sqref="F453">
    <cfRule type="expression" dxfId="181" priority="183">
      <formula>IF(AND(F453="",OR(E453="Accuracy",E453="Fluency",E453="Segment",E453="Other")),1,0)</formula>
    </cfRule>
  </conditionalFormatting>
  <conditionalFormatting sqref="E453:G453">
    <cfRule type="expression" dxfId="180" priority="184">
      <formula>IF(OR(AND(E453="",F453="",OR(G453="Critical",G453="Major",G453="Minor"))),1,0)</formula>
    </cfRule>
  </conditionalFormatting>
  <conditionalFormatting sqref="G453">
    <cfRule type="expression" dxfId="179" priority="185">
      <formula>IF(AND(OR(G453="",#REF!="Segment"),OR(#REF!="Accuracy",#REF!="Fluency",#REF!="Other")),1,0)</formula>
    </cfRule>
  </conditionalFormatting>
  <conditionalFormatting sqref="E454:G454">
    <cfRule type="expression" dxfId="178" priority="181">
      <formula>IF(OR(AND(E454="",F454="",OR(G454="Critical",G454="Major",G454="Minor"))),1,0)</formula>
    </cfRule>
  </conditionalFormatting>
  <conditionalFormatting sqref="F454">
    <cfRule type="expression" dxfId="177" priority="180">
      <formula>IF(AND(F454="",OR(E454="Accuracy",E454="Fluency",E454="Segment",E454="Other")),1,0)</formula>
    </cfRule>
  </conditionalFormatting>
  <conditionalFormatting sqref="G454">
    <cfRule type="expression" dxfId="176" priority="182">
      <formula>IF(AND(OR(G454="",#REF!="Segment"),OR(#REF!="Accuracy",#REF!="Fluency",#REF!="Other")),1,0)</formula>
    </cfRule>
  </conditionalFormatting>
  <conditionalFormatting sqref="G487 G455:G456 E456 E458 G458">
    <cfRule type="expression" dxfId="175" priority="178">
      <formula>IF(OR(AND(E455="",F455="",OR(G455="Critical",G455="Major",G455="Minor"))),1,0)</formula>
    </cfRule>
  </conditionalFormatting>
  <conditionalFormatting sqref="F456 F458">
    <cfRule type="expression" dxfId="174" priority="177">
      <formula>IF(AND(F456="",OR(E456="Accuracy",E456="Fluency",E456="Segment",E456="Other")),1,0)</formula>
    </cfRule>
  </conditionalFormatting>
  <conditionalFormatting sqref="G487 G455:G456 G458">
    <cfRule type="expression" dxfId="173" priority="179">
      <formula>IF(AND(OR(G455="",#REF!="Segment"),OR(#REF!="Accuracy",#REF!="Fluency",#REF!="Other")),1,0)</formula>
    </cfRule>
  </conditionalFormatting>
  <conditionalFormatting sqref="G457 E457">
    <cfRule type="expression" dxfId="172" priority="175">
      <formula>IF(OR(AND(E457="",F457="",OR(G457="Critical",G457="Major",G457="Minor"))),1,0)</formula>
    </cfRule>
  </conditionalFormatting>
  <conditionalFormatting sqref="F457">
    <cfRule type="expression" dxfId="171" priority="174">
      <formula>IF(AND(F457="",OR(E457="Accuracy",E457="Fluency",E457="Segment",E457="Other")),1,0)</formula>
    </cfRule>
  </conditionalFormatting>
  <conditionalFormatting sqref="G457">
    <cfRule type="expression" dxfId="170" priority="176">
      <formula>IF(AND(OR(G457="",#REF!="Segment"),OR(#REF!="Accuracy",#REF!="Fluency",#REF!="Other")),1,0)</formula>
    </cfRule>
  </conditionalFormatting>
  <conditionalFormatting sqref="E459 G459">
    <cfRule type="expression" dxfId="169" priority="172">
      <formula>IF(OR(AND(E459="",F459="",OR(G459="Critical",G459="Major",G459="Minor"))),1,0)</formula>
    </cfRule>
  </conditionalFormatting>
  <conditionalFormatting sqref="F459">
    <cfRule type="expression" dxfId="168" priority="171">
      <formula>IF(AND(F459="",OR(E459="Accuracy",E459="Fluency",E459="Segment",E459="Other")),1,0)</formula>
    </cfRule>
  </conditionalFormatting>
  <conditionalFormatting sqref="G459">
    <cfRule type="expression" dxfId="167" priority="173">
      <formula>IF(AND(OR(G459="",#REF!="Segment"),OR(#REF!="Accuracy",#REF!="Fluency",#REF!="Other")),1,0)</formula>
    </cfRule>
  </conditionalFormatting>
  <conditionalFormatting sqref="E460 G460">
    <cfRule type="expression" dxfId="166" priority="169">
      <formula>IF(OR(AND(E460="",F460="",OR(G460="Critical",G460="Major",G460="Minor"))),1,0)</formula>
    </cfRule>
  </conditionalFormatting>
  <conditionalFormatting sqref="F460">
    <cfRule type="expression" dxfId="165" priority="168">
      <formula>IF(AND(F460="",OR(E460="Accuracy",E460="Fluency",E460="Segment",E460="Other")),1,0)</formula>
    </cfRule>
  </conditionalFormatting>
  <conditionalFormatting sqref="G460">
    <cfRule type="expression" dxfId="164" priority="170">
      <formula>IF(AND(OR(G460="",#REF!="Segment"),OR(#REF!="Accuracy",#REF!="Fluency",#REF!="Other")),1,0)</formula>
    </cfRule>
  </conditionalFormatting>
  <conditionalFormatting sqref="E461:G461">
    <cfRule type="expression" dxfId="163" priority="166">
      <formula>IF(OR(AND(E461="",F461="",OR(G461="Critical",G461="Major",G461="Minor"))),1,0)</formula>
    </cfRule>
  </conditionalFormatting>
  <conditionalFormatting sqref="F461">
    <cfRule type="expression" dxfId="162" priority="165">
      <formula>IF(AND(F461="",OR(E461="Accuracy",E461="Fluency",E461="Segment",E461="Other")),1,0)</formula>
    </cfRule>
  </conditionalFormatting>
  <conditionalFormatting sqref="G461">
    <cfRule type="expression" dxfId="161" priority="167">
      <formula>IF(AND(OR(G461="",#REF!="Segment"),OR(#REF!="Accuracy",#REF!="Fluency",#REF!="Other")),1,0)</formula>
    </cfRule>
  </conditionalFormatting>
  <conditionalFormatting sqref="E462:G462 E464:G464 G463">
    <cfRule type="expression" dxfId="160" priority="163">
      <formula>IF(OR(AND(E462="",F462="",OR(G462="Critical",G462="Major",G462="Minor"))),1,0)</formula>
    </cfRule>
  </conditionalFormatting>
  <conditionalFormatting sqref="F462 F464">
    <cfRule type="expression" dxfId="159" priority="162">
      <formula>IF(AND(F462="",OR(E462="Accuracy",E462="Fluency",E462="Segment",E462="Other")),1,0)</formula>
    </cfRule>
  </conditionalFormatting>
  <conditionalFormatting sqref="G462:G464">
    <cfRule type="expression" dxfId="158" priority="164">
      <formula>IF(AND(OR(G462="",#REF!="Segment"),OR(#REF!="Accuracy",#REF!="Fluency",#REF!="Other")),1,0)</formula>
    </cfRule>
  </conditionalFormatting>
  <conditionalFormatting sqref="E465:G465">
    <cfRule type="expression" dxfId="157" priority="160">
      <formula>IF(OR(AND(E465="",F465="",OR(G465="Critical",G465="Major",G465="Minor"))),1,0)</formula>
    </cfRule>
  </conditionalFormatting>
  <conditionalFormatting sqref="F465">
    <cfRule type="expression" dxfId="156" priority="159">
      <formula>IF(AND(F465="",OR(E465="Accuracy",E465="Fluency",E465="Segment",E465="Other")),1,0)</formula>
    </cfRule>
  </conditionalFormatting>
  <conditionalFormatting sqref="G465">
    <cfRule type="expression" dxfId="155" priority="161">
      <formula>IF(AND(OR(G465="",#REF!="Segment"),OR(#REF!="Accuracy",#REF!="Fluency",#REF!="Other")),1,0)</formula>
    </cfRule>
  </conditionalFormatting>
  <conditionalFormatting sqref="G466">
    <cfRule type="expression" dxfId="154" priority="157">
      <formula>IF(OR(AND(G466="",H466="",OR(I466="Critical",I466="Major",I466="Minor"))),1,0)</formula>
    </cfRule>
  </conditionalFormatting>
  <conditionalFormatting sqref="G466">
    <cfRule type="expression" dxfId="153" priority="158">
      <formula>IF(AND(OR(G466="",#REF!="Segment"),OR(#REF!="Accuracy",#REF!="Fluency",#REF!="Other")),1,0)</formula>
    </cfRule>
  </conditionalFormatting>
  <conditionalFormatting sqref="E467:G467">
    <cfRule type="expression" dxfId="152" priority="154">
      <formula>IF(OR(AND(E467="",F467="",OR(G467="Critical",G467="Major",G467="Minor"))),1,0)</formula>
    </cfRule>
  </conditionalFormatting>
  <conditionalFormatting sqref="F467">
    <cfRule type="expression" dxfId="151" priority="153">
      <formula>IF(AND(F467="",OR(E467="Accuracy",E467="Fluency",E467="Segment",E467="Other")),1,0)</formula>
    </cfRule>
  </conditionalFormatting>
  <conditionalFormatting sqref="G467">
    <cfRule type="expression" dxfId="150" priority="155">
      <formula>IF(AND(OR(G467="",#REF!="Segment"),OR(#REF!="Accuracy",#REF!="Fluency",#REF!="Other")),1,0)</formula>
    </cfRule>
  </conditionalFormatting>
  <conditionalFormatting sqref="E468:G468">
    <cfRule type="expression" dxfId="149" priority="151">
      <formula>IF(OR(AND(E468="",F468="",OR(G468="Critical",G468="Major",G468="Minor"))),1,0)</formula>
    </cfRule>
  </conditionalFormatting>
  <conditionalFormatting sqref="F468">
    <cfRule type="expression" dxfId="148" priority="150">
      <formula>IF(AND(F468="",OR(E468="Accuracy",E468="Fluency",E468="Segment",E468="Other")),1,0)</formula>
    </cfRule>
  </conditionalFormatting>
  <conditionalFormatting sqref="G468">
    <cfRule type="expression" dxfId="147" priority="152">
      <formula>IF(AND(OR(G468="",#REF!="Segment"),OR(#REF!="Accuracy",#REF!="Fluency",#REF!="Other")),1,0)</formula>
    </cfRule>
  </conditionalFormatting>
  <conditionalFormatting sqref="G469">
    <cfRule type="expression" dxfId="146" priority="148">
      <formula>IF(OR(AND(G469="",H469="",OR(I469="Critical",I469="Major",I469="Minor"))),1,0)</formula>
    </cfRule>
  </conditionalFormatting>
  <conditionalFormatting sqref="G469">
    <cfRule type="expression" dxfId="145" priority="149">
      <formula>IF(AND(OR(G469="",#REF!="Segment"),OR(#REF!="Accuracy",#REF!="Fluency",#REF!="Other")),1,0)</formula>
    </cfRule>
  </conditionalFormatting>
  <conditionalFormatting sqref="E469:F469">
    <cfRule type="expression" dxfId="144" priority="147">
      <formula>IF(OR(AND(E469="",F469="",OR(G469="Critical",G469="Major",G469="Minor"))),1,0)</formula>
    </cfRule>
  </conditionalFormatting>
  <conditionalFormatting sqref="F469">
    <cfRule type="expression" dxfId="143" priority="146">
      <formula>IF(AND(F469="",OR(E469="Accuracy",E469="Fluency",E469="Segment",E469="Other")),1,0)</formula>
    </cfRule>
  </conditionalFormatting>
  <conditionalFormatting sqref="G470">
    <cfRule type="expression" dxfId="142" priority="144">
      <formula>IF(OR(AND(G470="",H470="",OR(I470="Critical",I470="Major",I470="Minor"))),1,0)</formula>
    </cfRule>
  </conditionalFormatting>
  <conditionalFormatting sqref="G470">
    <cfRule type="expression" dxfId="141" priority="145">
      <formula>IF(AND(OR(G470="",#REF!="Segment"),OR(#REF!="Accuracy",#REF!="Fluency",#REF!="Other")),1,0)</formula>
    </cfRule>
  </conditionalFormatting>
  <conditionalFormatting sqref="E470:F470">
    <cfRule type="expression" dxfId="140" priority="143">
      <formula>IF(OR(AND(E470="",F470="",OR(G470="Critical",G470="Major",G470="Minor"))),1,0)</formula>
    </cfRule>
  </conditionalFormatting>
  <conditionalFormatting sqref="F470">
    <cfRule type="expression" dxfId="139" priority="142">
      <formula>IF(AND(F470="",OR(E470="Accuracy",E470="Fluency",E470="Segment",E470="Other")),1,0)</formula>
    </cfRule>
  </conditionalFormatting>
  <conditionalFormatting sqref="E473:G475">
    <cfRule type="expression" dxfId="138" priority="140">
      <formula>IF(OR(AND(E473="",F473="",OR(G473="Critical",G473="Major",G473="Minor"))),1,0)</formula>
    </cfRule>
  </conditionalFormatting>
  <conditionalFormatting sqref="F473:F475">
    <cfRule type="expression" dxfId="137" priority="139">
      <formula>IF(AND(F473="",OR(E473="Accuracy",E473="Fluency",E473="Segment",E473="Other")),1,0)</formula>
    </cfRule>
  </conditionalFormatting>
  <conditionalFormatting sqref="G473:G475">
    <cfRule type="expression" dxfId="136" priority="141">
      <formula>IF(AND(OR(G473="",#REF!="Segment"),OR(#REF!="Accuracy",#REF!="Fluency",#REF!="Other")),1,0)</formula>
    </cfRule>
  </conditionalFormatting>
  <conditionalFormatting sqref="G471">
    <cfRule type="expression" dxfId="135" priority="137">
      <formula>IF(OR(AND(G471="",H471="",OR(I471="Critical",I471="Major",I471="Minor"))),1,0)</formula>
    </cfRule>
  </conditionalFormatting>
  <conditionalFormatting sqref="G471">
    <cfRule type="expression" dxfId="134" priority="138">
      <formula>IF(AND(OR(G471="",#REF!="Segment"),OR(#REF!="Accuracy",#REF!="Fluency",#REF!="Other")),1,0)</formula>
    </cfRule>
  </conditionalFormatting>
  <conditionalFormatting sqref="E472:G472">
    <cfRule type="expression" dxfId="133" priority="134">
      <formula>IF(OR(AND(E472="",F472="",OR(G472="Critical",G472="Major",G472="Minor"))),1,0)</formula>
    </cfRule>
  </conditionalFormatting>
  <conditionalFormatting sqref="F472">
    <cfRule type="expression" dxfId="132" priority="133">
      <formula>IF(AND(F472="",OR(E472="Accuracy",E472="Fluency",E472="Segment",E472="Other")),1,0)</formula>
    </cfRule>
  </conditionalFormatting>
  <conditionalFormatting sqref="G472">
    <cfRule type="expression" dxfId="131" priority="135">
      <formula>IF(AND(OR(G472="",#REF!="Segment"),OR(#REF!="Accuracy",#REF!="Fluency",#REF!="Other")),1,0)</formula>
    </cfRule>
  </conditionalFormatting>
  <conditionalFormatting sqref="E476">
    <cfRule type="expression" dxfId="130" priority="130">
      <formula>IF(OR(AND(E476="",F476="",OR(G476="Critical",G476="Major",G476="Minor"))),1,0)</formula>
    </cfRule>
  </conditionalFormatting>
  <conditionalFormatting sqref="F476">
    <cfRule type="expression" dxfId="129" priority="128">
      <formula>IF(AND(F476="",OR(E476="Accuracy",E476="Fluency",E476="Segment",E476="Other")),1,0)</formula>
    </cfRule>
  </conditionalFormatting>
  <conditionalFormatting sqref="G476">
    <cfRule type="expression" dxfId="128" priority="129">
      <formula>IF(AND(OR(G476="",#REF!="Segment"),OR(#REF!="Accuracy",#REF!="Fluency",#REF!="Other")),1,0)</formula>
    </cfRule>
  </conditionalFormatting>
  <conditionalFormatting sqref="G476">
    <cfRule type="expression" dxfId="127" priority="131">
      <formula>IF(OR(AND(G476="",#REF!="",OR(I476="Critical",I476="Major",I476="Minor"))),1,0)</formula>
    </cfRule>
  </conditionalFormatting>
  <conditionalFormatting sqref="F476">
    <cfRule type="expression" dxfId="126" priority="132">
      <formula>IF(OR(AND(F476="",G476="",OR(#REF!="Critical",#REF!="Major",#REF!="Minor"))),1,0)</formula>
    </cfRule>
  </conditionalFormatting>
  <conditionalFormatting sqref="E477:G477">
    <cfRule type="expression" dxfId="125" priority="126">
      <formula>IF(OR(AND(E477="",F477="",OR(G477="Critical",G477="Major",G477="Minor"))),1,0)</formula>
    </cfRule>
  </conditionalFormatting>
  <conditionalFormatting sqref="F477">
    <cfRule type="expression" dxfId="124" priority="125">
      <formula>IF(AND(F477="",OR(E477="Accuracy",E477="Fluency",E477="Segment",E477="Other")),1,0)</formula>
    </cfRule>
  </conditionalFormatting>
  <conditionalFormatting sqref="G477">
    <cfRule type="expression" dxfId="123" priority="127">
      <formula>IF(AND(OR(G477="",#REF!="Segment"),OR(#REF!="Accuracy",#REF!="Fluency",#REF!="Other")),1,0)</formula>
    </cfRule>
  </conditionalFormatting>
  <conditionalFormatting sqref="E478:G478">
    <cfRule type="expression" dxfId="122" priority="123">
      <formula>IF(OR(AND(E478="",F478="",OR(G478="Critical",G478="Major",G478="Minor"))),1,0)</formula>
    </cfRule>
  </conditionalFormatting>
  <conditionalFormatting sqref="F478">
    <cfRule type="expression" dxfId="121" priority="122">
      <formula>IF(AND(F478="",OR(E478="Accuracy",E478="Fluency",E478="Segment",E478="Other")),1,0)</formula>
    </cfRule>
  </conditionalFormatting>
  <conditionalFormatting sqref="G478">
    <cfRule type="expression" dxfId="120" priority="124">
      <formula>IF(AND(OR(G478="",#REF!="Segment"),OR(#REF!="Accuracy",#REF!="Fluency",#REF!="Other")),1,0)</formula>
    </cfRule>
  </conditionalFormatting>
  <conditionalFormatting sqref="G479">
    <cfRule type="expression" dxfId="119" priority="120">
      <formula>IF(OR(AND(G479="",H479="",OR(I479="Critical",I479="Major",I479="Minor"))),1,0)</formula>
    </cfRule>
  </conditionalFormatting>
  <conditionalFormatting sqref="G479">
    <cfRule type="expression" dxfId="118" priority="121">
      <formula>IF(AND(OR(G479="",#REF!="Segment"),OR(#REF!="Accuracy",#REF!="Fluency",#REF!="Other")),1,0)</formula>
    </cfRule>
  </conditionalFormatting>
  <conditionalFormatting sqref="E480:G480">
    <cfRule type="expression" dxfId="117" priority="117">
      <formula>IF(OR(AND(E480="",F480="",OR(G480="Critical",G480="Major",G480="Minor"))),1,0)</formula>
    </cfRule>
  </conditionalFormatting>
  <conditionalFormatting sqref="F480">
    <cfRule type="expression" dxfId="116" priority="116">
      <formula>IF(AND(F480="",OR(E480="Accuracy",E480="Fluency",E480="Segment",E480="Other")),1,0)</formula>
    </cfRule>
  </conditionalFormatting>
  <conditionalFormatting sqref="G480">
    <cfRule type="expression" dxfId="115" priority="118">
      <formula>IF(AND(OR(G480="",#REF!="Segment"),OR(#REF!="Accuracy",#REF!="Fluency",#REF!="Other")),1,0)</formula>
    </cfRule>
  </conditionalFormatting>
  <conditionalFormatting sqref="E481:G481">
    <cfRule type="expression" dxfId="114" priority="114">
      <formula>IF(OR(AND(E481="",F481="",OR(G481="Critical",G481="Major",G481="Minor"))),1,0)</formula>
    </cfRule>
  </conditionalFormatting>
  <conditionalFormatting sqref="F481">
    <cfRule type="expression" dxfId="113" priority="113">
      <formula>IF(AND(F481="",OR(E481="Accuracy",E481="Fluency",E481="Segment",E481="Other")),1,0)</formula>
    </cfRule>
  </conditionalFormatting>
  <conditionalFormatting sqref="G481">
    <cfRule type="expression" dxfId="112" priority="115">
      <formula>IF(AND(OR(G481="",#REF!="Segment"),OR(#REF!="Accuracy",#REF!="Fluency",#REF!="Other")),1,0)</formula>
    </cfRule>
  </conditionalFormatting>
  <conditionalFormatting sqref="E482:G482">
    <cfRule type="expression" dxfId="111" priority="111">
      <formula>IF(OR(AND(E482="",F482="",OR(G482="Critical",G482="Major",G482="Minor"))),1,0)</formula>
    </cfRule>
  </conditionalFormatting>
  <conditionalFormatting sqref="F482">
    <cfRule type="expression" dxfId="110" priority="110">
      <formula>IF(AND(F482="",OR(E482="Accuracy",E482="Fluency",E482="Segment",E482="Other")),1,0)</formula>
    </cfRule>
  </conditionalFormatting>
  <conditionalFormatting sqref="G482">
    <cfRule type="expression" dxfId="109" priority="112">
      <formula>IF(AND(OR(G482="",#REF!="Segment"),OR(#REF!="Accuracy",#REF!="Fluency",#REF!="Other")),1,0)</formula>
    </cfRule>
  </conditionalFormatting>
  <conditionalFormatting sqref="E483:G483">
    <cfRule type="expression" dxfId="108" priority="108">
      <formula>IF(OR(AND(E483="",F483="",OR(G483="Critical",G483="Major",G483="Minor"))),1,0)</formula>
    </cfRule>
  </conditionalFormatting>
  <conditionalFormatting sqref="F483">
    <cfRule type="expression" dxfId="107" priority="107">
      <formula>IF(AND(F483="",OR(E483="Accuracy",E483="Fluency",E483="Segment",E483="Other")),1,0)</formula>
    </cfRule>
  </conditionalFormatting>
  <conditionalFormatting sqref="G483">
    <cfRule type="expression" dxfId="106" priority="109">
      <formula>IF(AND(OR(G483="",#REF!="Segment"),OR(#REF!="Accuracy",#REF!="Fluency",#REF!="Other")),1,0)</formula>
    </cfRule>
  </conditionalFormatting>
  <conditionalFormatting sqref="E484:G484">
    <cfRule type="expression" dxfId="105" priority="105">
      <formula>IF(OR(AND(E484="",F484="",OR(G484="Critical",G484="Major",G484="Minor"))),1,0)</formula>
    </cfRule>
  </conditionalFormatting>
  <conditionalFormatting sqref="F484">
    <cfRule type="expression" dxfId="104" priority="104">
      <formula>IF(AND(F484="",OR(E484="Accuracy",E484="Fluency",E484="Segment",E484="Other")),1,0)</formula>
    </cfRule>
  </conditionalFormatting>
  <conditionalFormatting sqref="G484">
    <cfRule type="expression" dxfId="103" priority="106">
      <formula>IF(AND(OR(G484="",#REF!="Segment"),OR(#REF!="Accuracy",#REF!="Fluency",#REF!="Other")),1,0)</formula>
    </cfRule>
  </conditionalFormatting>
  <conditionalFormatting sqref="E485:G485">
    <cfRule type="expression" dxfId="102" priority="102">
      <formula>IF(OR(AND(E485="",F485="",OR(G485="Critical",G485="Major",G485="Minor"))),1,0)</formula>
    </cfRule>
  </conditionalFormatting>
  <conditionalFormatting sqref="F485">
    <cfRule type="expression" dxfId="101" priority="101">
      <formula>IF(AND(F485="",OR(E485="Accuracy",E485="Fluency",E485="Segment",E485="Other")),1,0)</formula>
    </cfRule>
  </conditionalFormatting>
  <conditionalFormatting sqref="G485">
    <cfRule type="expression" dxfId="100" priority="103">
      <formula>IF(AND(OR(G485="",#REF!="Segment"),OR(#REF!="Accuracy",#REF!="Fluency",#REF!="Other")),1,0)</formula>
    </cfRule>
  </conditionalFormatting>
  <conditionalFormatting sqref="E486:G486">
    <cfRule type="expression" dxfId="99" priority="99">
      <formula>IF(OR(AND(E486="",F486="",OR(G486="Critical",G486="Major",G486="Minor"))),1,0)</formula>
    </cfRule>
  </conditionalFormatting>
  <conditionalFormatting sqref="F486">
    <cfRule type="expression" dxfId="98" priority="98">
      <formula>IF(AND(F486="",OR(E486="Accuracy",E486="Fluency",E486="Segment",E486="Other")),1,0)</formula>
    </cfRule>
  </conditionalFormatting>
  <conditionalFormatting sqref="G486">
    <cfRule type="expression" dxfId="97" priority="100">
      <formula>IF(AND(OR(G486="",#REF!="Segment"),OR(#REF!="Accuracy",#REF!="Fluency",#REF!="Other")),1,0)</formula>
    </cfRule>
  </conditionalFormatting>
  <conditionalFormatting sqref="E488:E489">
    <cfRule type="expression" dxfId="96" priority="97">
      <formula>IF(OR(AND(E488="",F488="",OR(G488="Critical",G488="Major",G488="Minor"))),1,0)</formula>
    </cfRule>
  </conditionalFormatting>
  <conditionalFormatting sqref="F488:F489">
    <cfRule type="expression" dxfId="95" priority="95">
      <formula>IF(OR(AND(F488="",G488="",OR(H486="Critical",H486="Major",H486="Minor"))),1,0)</formula>
    </cfRule>
  </conditionalFormatting>
  <conditionalFormatting sqref="G488:G489">
    <cfRule type="expression" dxfId="94" priority="96">
      <formula>IF(OR(AND(G488="",H486="",OR(I486="Critical",I486="Major",I486="Minor"))),1,0)</formula>
    </cfRule>
  </conditionalFormatting>
  <conditionalFormatting sqref="F488:F489">
    <cfRule type="expression" dxfId="93" priority="93">
      <formula>IF(AND(F488="",OR(E488="Accuracy",E488="Fluency",E488="Segment",E488="Other")),1,0)</formula>
    </cfRule>
  </conditionalFormatting>
  <conditionalFormatting sqref="G488:G489">
    <cfRule type="expression" dxfId="92" priority="94">
      <formula>IF(AND(OR(G488="",#REF!="Segment"),OR(#REF!="Accuracy",#REF!="Fluency",#REF!="Other")),1,0)</formula>
    </cfRule>
  </conditionalFormatting>
  <conditionalFormatting sqref="E490:E491">
    <cfRule type="expression" dxfId="91" priority="92">
      <formula>IF(OR(AND(E490="",F490="",OR(G490="Critical",G490="Major",G490="Minor"))),1,0)</formula>
    </cfRule>
  </conditionalFormatting>
  <conditionalFormatting sqref="F490:F491">
    <cfRule type="expression" dxfId="90" priority="90">
      <formula>IF(OR(AND(F490="",G490="",OR(H488="Critical",H488="Major",H488="Minor"))),1,0)</formula>
    </cfRule>
  </conditionalFormatting>
  <conditionalFormatting sqref="G490:G491">
    <cfRule type="expression" dxfId="89" priority="91">
      <formula>IF(OR(AND(G490="",H488="",OR(I488="Critical",I488="Major",I488="Minor"))),1,0)</formula>
    </cfRule>
  </conditionalFormatting>
  <conditionalFormatting sqref="F490:F491">
    <cfRule type="expression" dxfId="88" priority="88">
      <formula>IF(AND(F490="",OR(E490="Accuracy",E490="Fluency",E490="Segment",E490="Other")),1,0)</formula>
    </cfRule>
  </conditionalFormatting>
  <conditionalFormatting sqref="G490:G491">
    <cfRule type="expression" dxfId="87" priority="89">
      <formula>IF(AND(OR(G490="",#REF!="Segment"),OR(#REF!="Accuracy",#REF!="Fluency",#REF!="Other")),1,0)</formula>
    </cfRule>
  </conditionalFormatting>
  <conditionalFormatting sqref="E177:G178">
    <cfRule type="expression" dxfId="86" priority="87">
      <formula>IF(OR(AND(E177="",F177="",OR(G177="Critical",G177="Major",G177="Minor"))),1,0)</formula>
    </cfRule>
  </conditionalFormatting>
  <conditionalFormatting sqref="F177:F178">
    <cfRule type="expression" dxfId="85" priority="86">
      <formula>IF(AND(F177="",OR(E177="Accuracy",E177="Fluency",E177="Segment",E177="Other")),1,0)</formula>
    </cfRule>
  </conditionalFormatting>
  <conditionalFormatting sqref="G177:G178">
    <cfRule type="expression" dxfId="84" priority="85">
      <formula>IF(AND(OR(G177="",#REF!="Segment"),OR(#REF!="Accuracy",#REF!="Fluency",#REF!="Other")),1,0)</formula>
    </cfRule>
  </conditionalFormatting>
  <conditionalFormatting sqref="H492:H497">
    <cfRule type="expression" dxfId="83" priority="84">
      <formula>IF(OR(AND(H492="",J492="",OR(#REF!="Critical",#REF!="Major",#REF!="Minor"))),1,0)</formula>
    </cfRule>
  </conditionalFormatting>
  <conditionalFormatting sqref="E492:G497">
    <cfRule type="expression" dxfId="82" priority="82">
      <formula>IF(OR(AND(E492="",F492="",OR(G492="Critical",G492="Major",G492="Minor"))),1,0)</formula>
    </cfRule>
  </conditionalFormatting>
  <conditionalFormatting sqref="F492:F497">
    <cfRule type="expression" dxfId="81" priority="81">
      <formula>IF(AND(F492="",OR(E492="Accuracy",E492="Fluency",E492="Segment",E492="Other")),1,0)</formula>
    </cfRule>
  </conditionalFormatting>
  <conditionalFormatting sqref="G492:G497">
    <cfRule type="expression" dxfId="80" priority="83">
      <formula>IF(AND(OR(G492="",#REF!="Segment"),OR(#REF!="Accuracy",#REF!="Fluency",#REF!="Other")),1,0)</formula>
    </cfRule>
  </conditionalFormatting>
  <conditionalFormatting sqref="E498:E500 F499:G500">
    <cfRule type="expression" dxfId="79" priority="78">
      <formula>IF(OR(AND(E498="",F498="",OR(G498="Critical",G498="Major",G498="Minor"))),1,0)</formula>
    </cfRule>
  </conditionalFormatting>
  <conditionalFormatting sqref="F498:F500">
    <cfRule type="expression" dxfId="78" priority="76">
      <formula>IF(AND(F498="",OR(E498="Accuracy",E498="Fluency",E498="Segment",E498="Other")),1,0)</formula>
    </cfRule>
  </conditionalFormatting>
  <conditionalFormatting sqref="G498:G500">
    <cfRule type="expression" dxfId="77" priority="77">
      <formula>IF(AND(OR(G498="",#REF!="Segment"),OR(#REF!="Accuracy",#REF!="Fluency",#REF!="Other")),1,0)</formula>
    </cfRule>
  </conditionalFormatting>
  <conditionalFormatting sqref="G498">
    <cfRule type="expression" dxfId="76" priority="79">
      <formula>IF(OR(AND(G498="",#REF!="",OR(H498="Critical",H498="Major",H498="Minor"))),1,0)</formula>
    </cfRule>
  </conditionalFormatting>
  <conditionalFormatting sqref="F498">
    <cfRule type="expression" dxfId="75" priority="80">
      <formula>IF(OR(AND(F498="",G498="",OR(#REF!="Critical",#REF!="Major",#REF!="Minor"))),1,0)</formula>
    </cfRule>
  </conditionalFormatting>
  <conditionalFormatting sqref="E501:G501">
    <cfRule type="expression" dxfId="74" priority="74">
      <formula>IF(OR(AND(E501="",F501="",OR(G501="Critical",G501="Major",G501="Minor"))),1,0)</formula>
    </cfRule>
  </conditionalFormatting>
  <conditionalFormatting sqref="F501">
    <cfRule type="expression" dxfId="73" priority="73">
      <formula>IF(AND(F501="",OR(E501="Accuracy",E501="Fluency",E501="Segment",E501="Other")),1,0)</formula>
    </cfRule>
  </conditionalFormatting>
  <conditionalFormatting sqref="G501">
    <cfRule type="expression" dxfId="72" priority="75">
      <formula>IF(AND(OR(G501="",#REF!="Segment"),OR(#REF!="Accuracy",#REF!="Fluency",#REF!="Other")),1,0)</formula>
    </cfRule>
  </conditionalFormatting>
  <conditionalFormatting sqref="E502:G502">
    <cfRule type="expression" dxfId="71" priority="71">
      <formula>IF(OR(AND(E502="",F502="",OR(G502="Critical",G502="Major",G502="Minor"))),1,0)</formula>
    </cfRule>
  </conditionalFormatting>
  <conditionalFormatting sqref="F502">
    <cfRule type="expression" dxfId="70" priority="70">
      <formula>IF(AND(F502="",OR(E502="Accuracy",E502="Fluency",E502="Segment",E502="Other")),1,0)</formula>
    </cfRule>
  </conditionalFormatting>
  <conditionalFormatting sqref="G502">
    <cfRule type="expression" dxfId="69" priority="72">
      <formula>IF(AND(OR(G502="",#REF!="Segment"),OR(#REF!="Accuracy",#REF!="Fluency",#REF!="Other")),1,0)</formula>
    </cfRule>
  </conditionalFormatting>
  <conditionalFormatting sqref="E503:F503">
    <cfRule type="expression" dxfId="68" priority="67">
      <formula>IF(OR(AND(E503="",F503="",OR(G503="Critical",G503="Major",G503="Minor"))),1,0)</formula>
    </cfRule>
  </conditionalFormatting>
  <conditionalFormatting sqref="F503">
    <cfRule type="expression" dxfId="67" priority="66">
      <formula>IF(AND(F503="",OR(E503="Accuracy",E503="Fluency",E503="Segment",E503="Other")),1,0)</formula>
    </cfRule>
  </conditionalFormatting>
  <conditionalFormatting sqref="G503">
    <cfRule type="expression" dxfId="66" priority="68">
      <formula>IF(AND(OR(G503="",#REF!="Segment"),OR(#REF!="Accuracy",#REF!="Fluency",#REF!="Other")),1,0)</formula>
    </cfRule>
  </conditionalFormatting>
  <conditionalFormatting sqref="G503">
    <cfRule type="expression" dxfId="65" priority="69">
      <formula>IF(OR(AND(G503="",#REF!="",OR(I503="Critical",I503="Major",I503="Minor"))),1,0)</formula>
    </cfRule>
  </conditionalFormatting>
  <conditionalFormatting sqref="E504:F505">
    <cfRule type="expression" dxfId="64" priority="65">
      <formula>IF(OR(AND(E504="",F504="",OR(G504="Critical",G504="Major",G504="Minor"))),1,0)</formula>
    </cfRule>
  </conditionalFormatting>
  <conditionalFormatting sqref="F504:F505">
    <cfRule type="expression" dxfId="63" priority="64">
      <formula>IF(AND(F504="",OR(E504="Accuracy",E504="Fluency",E504="Segment",E504="Other")),1,0)</formula>
    </cfRule>
  </conditionalFormatting>
  <conditionalFormatting sqref="G504:G505">
    <cfRule type="expression" dxfId="62" priority="62">
      <formula>IF(OR(AND(G504="",H504="",OR(I504="Critical",I504="Major",I504="Minor"))),1,0)</formula>
    </cfRule>
  </conditionalFormatting>
  <conditionalFormatting sqref="G504:G505">
    <cfRule type="expression" dxfId="61" priority="63">
      <formula>IF(AND(OR(G504="",#REF!="Segment"),OR(#REF!="Accuracy",#REF!="Fluency",#REF!="Other")),1,0)</formula>
    </cfRule>
  </conditionalFormatting>
  <conditionalFormatting sqref="E506:F507">
    <cfRule type="expression" dxfId="60" priority="61">
      <formula>IF(OR(AND(E506="",F506="",OR(G506="Critical",G506="Major",G506="Minor"))),1,0)</formula>
    </cfRule>
  </conditionalFormatting>
  <conditionalFormatting sqref="F506:F507">
    <cfRule type="expression" dxfId="59" priority="60">
      <formula>IF(AND(F506="",OR(E506="Accuracy",E506="Fluency",E506="Segment",E506="Other")),1,0)</formula>
    </cfRule>
  </conditionalFormatting>
  <conditionalFormatting sqref="G506:G507">
    <cfRule type="expression" dxfId="58" priority="59">
      <formula>IF(OR(AND(G506="",H506="",OR(I506="Critical",I506="Major",I506="Minor"))),1,0)</formula>
    </cfRule>
  </conditionalFormatting>
  <conditionalFormatting sqref="G506:G507">
    <cfRule type="expression" dxfId="57" priority="58">
      <formula>IF(AND(OR(G506="",#REF!="Segment"),OR(#REF!="Accuracy",#REF!="Fluency",#REF!="Other")),1,0)</formula>
    </cfRule>
  </conditionalFormatting>
  <conditionalFormatting sqref="E508:F508">
    <cfRule type="expression" dxfId="56" priority="57">
      <formula>IF(OR(AND(E508="",F508="",OR(G508="Critical",G508="Major",G508="Minor"))),1,0)</formula>
    </cfRule>
  </conditionalFormatting>
  <conditionalFormatting sqref="F508">
    <cfRule type="expression" dxfId="55" priority="56">
      <formula>IF(AND(F508="",OR(E508="Accuracy",E508="Fluency",E508="Segment",E508="Other")),1,0)</formula>
    </cfRule>
  </conditionalFormatting>
  <conditionalFormatting sqref="G508">
    <cfRule type="expression" dxfId="54" priority="55">
      <formula>IF(OR(AND(G508="",H508="",OR(I508="Critical",I508="Major",I508="Minor"))),1,0)</formula>
    </cfRule>
  </conditionalFormatting>
  <conditionalFormatting sqref="G508">
    <cfRule type="expression" dxfId="53" priority="54">
      <formula>IF(AND(OR(G508="",#REF!="Segment"),OR(#REF!="Accuracy",#REF!="Fluency",#REF!="Other")),1,0)</formula>
    </cfRule>
  </conditionalFormatting>
  <conditionalFormatting sqref="G509:G511">
    <cfRule type="expression" dxfId="52" priority="51">
      <formula>IF(AND(OR(G509="",#REF!="Segment"),OR(#REF!="Accuracy",#REF!="Fluency",#REF!="Other")),1,0)</formula>
    </cfRule>
  </conditionalFormatting>
  <conditionalFormatting sqref="E522:G522 E509:G513">
    <cfRule type="expression" dxfId="51" priority="53">
      <formula>IF(OR(AND(E509="",F509="",OR(G509="Critical",G509="Major",G509="Minor"))),1,0)</formula>
    </cfRule>
  </conditionalFormatting>
  <conditionalFormatting sqref="F522 F509:F513">
    <cfRule type="expression" dxfId="50" priority="52">
      <formula>IF(AND(F509="",OR(E509="Accuracy",E509="Fluency",E509="Segment",E509="Other")),1,0)</formula>
    </cfRule>
  </conditionalFormatting>
  <conditionalFormatting sqref="G512:G513">
    <cfRule type="expression" dxfId="49" priority="50">
      <formula>IF(AND(OR(G512="",#REF!="Segment"),OR(#REF!="Accuracy",#REF!="Fluency",#REF!="Other")),1,0)</formula>
    </cfRule>
  </conditionalFormatting>
  <conditionalFormatting sqref="G514">
    <cfRule type="expression" dxfId="48" priority="47">
      <formula>IF(AND(OR(G514="",#REF!="Segment"),OR(#REF!="Accuracy",#REF!="Fluency",#REF!="Other")),1,0)</formula>
    </cfRule>
  </conditionalFormatting>
  <conditionalFormatting sqref="E514:G514">
    <cfRule type="expression" dxfId="47" priority="49">
      <formula>IF(OR(AND(E514="",F514="",OR(G514="Critical",G514="Major",G514="Minor"))),1,0)</formula>
    </cfRule>
  </conditionalFormatting>
  <conditionalFormatting sqref="F514">
    <cfRule type="expression" dxfId="46" priority="48">
      <formula>IF(AND(F514="",OR(E514="Accuracy",E514="Fluency",E514="Segment",E514="Other")),1,0)</formula>
    </cfRule>
  </conditionalFormatting>
  <conditionalFormatting sqref="G515">
    <cfRule type="expression" dxfId="45" priority="44">
      <formula>IF(AND(OR(G515="",#REF!="Segment"),OR(#REF!="Accuracy",#REF!="Fluency",#REF!="Other")),1,0)</formula>
    </cfRule>
  </conditionalFormatting>
  <conditionalFormatting sqref="F515">
    <cfRule type="expression" dxfId="44" priority="46">
      <formula>IF(AND(F515="",OR(E515="Accuracy",E515="Fluency",E515="Segment",E515="Other")),1,0)</formula>
    </cfRule>
  </conditionalFormatting>
  <conditionalFormatting sqref="E515:G515">
    <cfRule type="expression" dxfId="43" priority="45">
      <formula>IF(OR(AND(E515="",F515="",OR(G515="Critical",G515="Major",G515="Minor"))),1,0)</formula>
    </cfRule>
  </conditionalFormatting>
  <conditionalFormatting sqref="G515">
    <cfRule type="expression" dxfId="42" priority="43">
      <formula>IF(AND(OR(G515="",#REF!="Segment"),OR(#REF!="Accuracy",#REF!="Fluency",#REF!="Other")),1,0)</formula>
    </cfRule>
  </conditionalFormatting>
  <conditionalFormatting sqref="G516">
    <cfRule type="expression" dxfId="41" priority="40">
      <formula>IF(AND(OR(G516="",#REF!="Segment"),OR(#REF!="Accuracy",#REF!="Fluency",#REF!="Other")),1,0)</formula>
    </cfRule>
  </conditionalFormatting>
  <conditionalFormatting sqref="F516">
    <cfRule type="expression" dxfId="40" priority="42">
      <formula>IF(AND(F516="",OR(E516="Accuracy",E516="Fluency",E516="Segment",E516="Other")),1,0)</formula>
    </cfRule>
  </conditionalFormatting>
  <conditionalFormatting sqref="E516:G516">
    <cfRule type="expression" dxfId="39" priority="41">
      <formula>IF(OR(AND(E516="",F516="",OR(G516="Critical",G516="Major",G516="Minor"))),1,0)</formula>
    </cfRule>
  </conditionalFormatting>
  <conditionalFormatting sqref="G516">
    <cfRule type="expression" dxfId="38" priority="39">
      <formula>IF(AND(OR(G516="",#REF!="Segment"),OR(#REF!="Accuracy",#REF!="Fluency",#REF!="Other")),1,0)</formula>
    </cfRule>
  </conditionalFormatting>
  <conditionalFormatting sqref="G517">
    <cfRule type="expression" dxfId="37" priority="36">
      <formula>IF(AND(OR(G517="",#REF!="Segment"),OR(#REF!="Accuracy",#REF!="Fluency",#REF!="Other")),1,0)</formula>
    </cfRule>
  </conditionalFormatting>
  <conditionalFormatting sqref="F517">
    <cfRule type="expression" dxfId="36" priority="38">
      <formula>IF(AND(F517="",OR(E517="Accuracy",E517="Fluency",E517="Segment",E517="Other")),1,0)</formula>
    </cfRule>
  </conditionalFormatting>
  <conditionalFormatting sqref="E517:G517">
    <cfRule type="expression" dxfId="35" priority="37">
      <formula>IF(OR(AND(E517="",F517="",OR(G517="Critical",G517="Major",G517="Minor"))),1,0)</formula>
    </cfRule>
  </conditionalFormatting>
  <conditionalFormatting sqref="G517">
    <cfRule type="expression" dxfId="34" priority="35">
      <formula>IF(AND(OR(G517="",#REF!="Segment"),OR(#REF!="Accuracy",#REF!="Fluency",#REF!="Other")),1,0)</formula>
    </cfRule>
  </conditionalFormatting>
  <conditionalFormatting sqref="E518:G518">
    <cfRule type="expression" dxfId="33" priority="32">
      <formula>IF(OR(AND(E518="",F518="",OR(G518="Critical",G518="Major",G518="Minor"))),1,0)</formula>
    </cfRule>
  </conditionalFormatting>
  <conditionalFormatting sqref="F518">
    <cfRule type="expression" dxfId="32" priority="31">
      <formula>IF(AND(F518="",OR(E518="Accuracy",E518="Fluency",E518="Segment",E518="Other")),1,0)</formula>
    </cfRule>
  </conditionalFormatting>
  <conditionalFormatting sqref="G518">
    <cfRule type="expression" dxfId="31" priority="33">
      <formula>IF(AND(OR(G518="",#REF!="Segment"),OR(#REF!="Accuracy",#REF!="Fluency",#REF!="Other")),1,0)</formula>
    </cfRule>
  </conditionalFormatting>
  <conditionalFormatting sqref="E519:F519">
    <cfRule type="expression" dxfId="30" priority="30">
      <formula>IF(OR(AND(E519="",F519="",OR(G519="Critical",G519="Major",G519="Minor"))),1,0)</formula>
    </cfRule>
  </conditionalFormatting>
  <conditionalFormatting sqref="F519">
    <cfRule type="expression" dxfId="29" priority="29">
      <formula>IF(AND(F519="",OR(E519="Accuracy",E519="Fluency",E519="Segment",E519="Other")),1,0)</formula>
    </cfRule>
  </conditionalFormatting>
  <conditionalFormatting sqref="G519">
    <cfRule type="expression" dxfId="28" priority="28">
      <formula>IF(AND(OR(G519="",#REF!="Segment"),OR(#REF!="Accuracy",#REF!="Fluency",#REF!="Other")),1,0)</formula>
    </cfRule>
  </conditionalFormatting>
  <conditionalFormatting sqref="G519">
    <cfRule type="expression" dxfId="27" priority="34">
      <formula>IF(OR(AND(G519="",H504="",OR(I519="Critical",I519="Major",I519="Minor"))),1,0)</formula>
    </cfRule>
  </conditionalFormatting>
  <conditionalFormatting sqref="E520">
    <cfRule type="expression" dxfId="26" priority="27">
      <formula>IF(OR(AND(E520="",F520="",OR(G520="Critical",G520="Major",G520="Minor"))),1,0)</formula>
    </cfRule>
  </conditionalFormatting>
  <conditionalFormatting sqref="F520">
    <cfRule type="expression" dxfId="25" priority="26">
      <formula>IF(AND(F520="",OR(E520="Accuracy",E520="Fluency",E520="Segment",E520="Other")),1,0)</formula>
    </cfRule>
  </conditionalFormatting>
  <conditionalFormatting sqref="F520">
    <cfRule type="expression" dxfId="24" priority="25">
      <formula>IF(OR(AND(F520="",G520="",OR(H516="Critical",H516="Major",H516="Minor"))),1,0)</formula>
    </cfRule>
  </conditionalFormatting>
  <conditionalFormatting sqref="G520">
    <cfRule type="expression" dxfId="23" priority="24">
      <formula>IF(OR(AND(G520="",H516="",OR(I520="Critical",I520="Major",I520="Minor"))),1,0)</formula>
    </cfRule>
  </conditionalFormatting>
  <conditionalFormatting sqref="G520">
    <cfRule type="expression" dxfId="22" priority="23">
      <formula>IF(AND(OR(G520="",#REF!="Segment"),OR(#REF!="Accuracy",#REF!="Fluency",#REF!="Other")),1,0)</formula>
    </cfRule>
  </conditionalFormatting>
  <conditionalFormatting sqref="G521">
    <cfRule type="expression" dxfId="21" priority="21">
      <formula>IF(OR(AND(G521="",H521="",OR(I521="Critical",I521="Major",I521="Minor"))),1,0)</formula>
    </cfRule>
  </conditionalFormatting>
  <conditionalFormatting sqref="G521">
    <cfRule type="expression" dxfId="20" priority="22">
      <formula>IF(AND(OR(G521="",#REF!="Segment"),OR(#REF!="Accuracy",#REF!="Fluency",#REF!="Other")),1,0)</formula>
    </cfRule>
  </conditionalFormatting>
  <conditionalFormatting sqref="E521:F521">
    <cfRule type="expression" dxfId="19" priority="20">
      <formula>IF(OR(AND(E521="",F521="",OR(G521="Critical",G521="Major",G521="Minor"))),1,0)</formula>
    </cfRule>
  </conditionalFormatting>
  <conditionalFormatting sqref="F521">
    <cfRule type="expression" dxfId="18" priority="19">
      <formula>IF(AND(F521="",OR(E521="Accuracy",E521="Fluency",E521="Segment",E521="Other")),1,0)</formula>
    </cfRule>
  </conditionalFormatting>
  <conditionalFormatting sqref="G522">
    <cfRule type="expression" dxfId="17" priority="18">
      <formula>IF(AND(OR(G522="",#REF!="Segment"),OR(#REF!="Accuracy",#REF!="Fluency",#REF!="Other")),1,0)</formula>
    </cfRule>
  </conditionalFormatting>
  <conditionalFormatting sqref="F525:F526">
    <cfRule type="expression" dxfId="16" priority="17">
      <formula>IF(OR(AND(F525="",G525="",OR(H520="Critical",H520="Major",H520="Minor"))),1,0)</formula>
    </cfRule>
  </conditionalFormatting>
  <conditionalFormatting sqref="G525:G526">
    <cfRule type="expression" dxfId="15" priority="16">
      <formula>IF(OR(AND(G525="",H520="",OR(I525="Critical",I525="Major",I525="Minor"))),1,0)</formula>
    </cfRule>
  </conditionalFormatting>
  <conditionalFormatting sqref="F525:F526">
    <cfRule type="expression" dxfId="14" priority="15">
      <formula>IF(AND(F525="",OR(E525="Accuracy",E525="Fluency",E525="Segment",E525="Other")),1,0)</formula>
    </cfRule>
  </conditionalFormatting>
  <conditionalFormatting sqref="G525:G526">
    <cfRule type="expression" dxfId="13" priority="14">
      <formula>IF(AND(OR(G525="",#REF!="Segment"),OR(#REF!="Accuracy",#REF!="Fluency",#REF!="Other")),1,0)</formula>
    </cfRule>
  </conditionalFormatting>
  <conditionalFormatting sqref="G523:G524">
    <cfRule type="expression" dxfId="12" priority="12">
      <formula>IF(OR(AND(G523="",H523="",OR(I523="Critical",I523="Major",I523="Minor"))),1,0)</formula>
    </cfRule>
  </conditionalFormatting>
  <conditionalFormatting sqref="E523:F524 E525:E526">
    <cfRule type="expression" dxfId="11" priority="11">
      <formula>IF(OR(AND(E523="",F523="",OR(G523="Critical",G523="Major",G523="Minor"))),1,0)</formula>
    </cfRule>
  </conditionalFormatting>
  <conditionalFormatting sqref="F523:F524">
    <cfRule type="expression" dxfId="10" priority="10">
      <formula>IF(AND(F523="",OR(E523="Accuracy",E523="Fluency",E523="Segment",E523="Other")),1,0)</formula>
    </cfRule>
  </conditionalFormatting>
  <conditionalFormatting sqref="G523:G524">
    <cfRule type="expression" dxfId="9" priority="13">
      <formula>IF(AND(OR(G523="",#REF!="Segment"),OR(#REF!="Accuracy",#REF!="Fluency",#REF!="Other")),1,0)</formula>
    </cfRule>
  </conditionalFormatting>
  <conditionalFormatting sqref="E527:G527 E530:G530">
    <cfRule type="expression" dxfId="8" priority="9">
      <formula>IF(OR(AND(E527="",F527="",OR(G527="Critical",G527="Major",G527="Minor"))),1,0)</formula>
    </cfRule>
  </conditionalFormatting>
  <conditionalFormatting sqref="F527 F530">
    <cfRule type="expression" dxfId="7" priority="8">
      <formula>IF(AND(F527="",OR(E527="Accuracy",E527="Fluency",E527="Segment",E527="Other")),1,0)</formula>
    </cfRule>
  </conditionalFormatting>
  <conditionalFormatting sqref="G527 G530">
    <cfRule type="expression" dxfId="6" priority="7">
      <formula>IF(AND(OR(G527="",E527="Segment"),OR(E527="Accuracy",E527="Fluency",E527="Other")),1,0)</formula>
    </cfRule>
  </conditionalFormatting>
  <conditionalFormatting sqref="E529:G529">
    <cfRule type="expression" dxfId="5" priority="5">
      <formula>IF(OR(AND(E529="",F529="",OR(G529="Critical",G529="Major",G529="Minor"))),1,0)</formula>
    </cfRule>
  </conditionalFormatting>
  <conditionalFormatting sqref="F529">
    <cfRule type="expression" dxfId="4" priority="4">
      <formula>IF(AND(F529="",OR(E529="Accuracy",E529="Fluency",E529="Segment",E529="Other")),1,0)</formula>
    </cfRule>
  </conditionalFormatting>
  <conditionalFormatting sqref="G529">
    <cfRule type="expression" dxfId="3" priority="6">
      <formula>IF(AND(OR(G529="",#REF!="Segment"),OR(#REF!="Accuracy",#REF!="Fluency",#REF!="Other")),1,0)</formula>
    </cfRule>
  </conditionalFormatting>
  <conditionalFormatting sqref="E528:G528">
    <cfRule type="expression" dxfId="2" priority="3">
      <formula>IF(OR(AND(E528="",F528="",OR(G528="Critical",G528="Major",G528="Minor"))),1,0)</formula>
    </cfRule>
  </conditionalFormatting>
  <conditionalFormatting sqref="F528">
    <cfRule type="expression" dxfId="1" priority="2">
      <formula>IF(AND(F528="",OR(E528="Accuracy",E528="Fluency",E528="Segment",E528="Other")),1,0)</formula>
    </cfRule>
  </conditionalFormatting>
  <conditionalFormatting sqref="G528">
    <cfRule type="expression" dxfId="0" priority="1">
      <formula>IF(AND(OR(G528="",E528="Segment"),OR(E528="Accuracy",E528="Fluency",E528="Other")),1,0)</formula>
    </cfRule>
  </conditionalFormatting>
  <dataValidations count="3">
    <dataValidation allowBlank="1" showDropDown="1" showInputMessage="1" showErrorMessage="1" sqref="E1:G1 H210 H195:H201 H203:H208 H212:H319 H321:H322 H1:H193 H324:H361 H363:H367 H369:H453 I1:I497 H455:H502 H506:H520 I499:I521 H522:I820" xr:uid="{00000000-0002-0000-0100-000000000000}"/>
    <dataValidation type="list" allowBlank="1" showInputMessage="1" showErrorMessage="1" sqref="E2:E820" xr:uid="{00000000-0002-0000-0100-000001000000}">
      <formula1>Issue_Type</formula1>
    </dataValidation>
    <dataValidation type="list" allowBlank="1" showInputMessage="1" showErrorMessage="1" sqref="F2:G820" xr:uid="{00000000-0002-0000-0100-000002000000}">
      <formula1>INDIRECT(E2)</formula1>
    </dataValidation>
  </dataValidations>
  <pageMargins left="0.75" right="0.75" top="1" bottom="1" header="0.5" footer="0.5"/>
  <pageSetup paperSize="9" orientation="portrait" horizontalDpi="4294967292" verticalDpi="4294967292" r:id="rId1"/>
  <drawing r:id="rId2"/>
  <legacyDrawing r:id="rId3"/>
  <mc:AlternateContent xmlns:mc="http://schemas.openxmlformats.org/markup-compatibility/2006">
    <mc:Choice Requires="x14">
      <controls>
        <mc:AlternateContent xmlns:mc="http://schemas.openxmlformats.org/markup-compatibility/2006">
          <mc:Choice Requires="x14">
            <control shapeId="3074" r:id="rId4" name="Button 2">
              <controlPr defaultSize="0" print="0" autoFill="0" autoPict="0" macro="[0]!DuplicateRows">
                <anchor moveWithCells="1" sizeWithCells="1">
                  <from>
                    <xdr:col>10</xdr:col>
                    <xdr:colOff>152400</xdr:colOff>
                    <xdr:row>0</xdr:row>
                    <xdr:rowOff>22860</xdr:rowOff>
                  </from>
                  <to>
                    <xdr:col>10</xdr:col>
                    <xdr:colOff>1013460</xdr:colOff>
                    <xdr:row>0</xdr:row>
                    <xdr:rowOff>365760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9"/>
  <dimension ref="A1:J501"/>
  <sheetViews>
    <sheetView zoomScale="90" zoomScaleNormal="90" workbookViewId="0">
      <pane ySplit="1" topLeftCell="A2" activePane="bottomLeft" state="frozen"/>
      <selection pane="bottomLeft" activeCell="C8" sqref="C8"/>
    </sheetView>
  </sheetViews>
  <sheetFormatPr defaultColWidth="9" defaultRowHeight="15"/>
  <cols>
    <col min="1" max="1" width="9" style="102"/>
    <col min="2" max="2" width="23.19921875" style="32" customWidth="1"/>
    <col min="3" max="3" width="47" style="32" customWidth="1"/>
    <col min="4" max="4" width="11" style="32" bestFit="1" customWidth="1"/>
    <col min="5" max="9" width="9" style="32"/>
    <col min="10" max="10" width="17" style="32" bestFit="1" customWidth="1"/>
    <col min="11" max="16384" width="9" style="32"/>
  </cols>
  <sheetData>
    <row r="1" spans="1:10" ht="27.6">
      <c r="A1" s="93" t="s">
        <v>20</v>
      </c>
      <c r="B1" s="13" t="s">
        <v>4</v>
      </c>
      <c r="C1" s="13" t="s">
        <v>5</v>
      </c>
      <c r="D1" s="16" t="s">
        <v>44</v>
      </c>
      <c r="E1" s="12" t="s">
        <v>25</v>
      </c>
      <c r="F1" s="12" t="s">
        <v>23</v>
      </c>
      <c r="G1" s="12" t="s">
        <v>1</v>
      </c>
      <c r="H1" s="12" t="s">
        <v>46</v>
      </c>
      <c r="I1" s="12" t="s">
        <v>47</v>
      </c>
      <c r="J1" s="12" t="s">
        <v>53</v>
      </c>
    </row>
    <row r="2" spans="1:10">
      <c r="A2" s="94" t="s">
        <v>81</v>
      </c>
      <c r="B2" s="70" t="str">
        <f>IF(ISBLANK(A2),"",INDEX('Error Log'!$A:$J,MATCH('Scores per segment'!$A2,'Error Log'!$A:$A,0),MATCH('Scores per segment'!B$1,'Error Log'!$A$1:$J$1,0)))</f>
        <v>at the grand old age of 75 , jack nicklaus is still capable of hitting aces . the golden bear added another magic moment to his storied career at augusta national in the par-3 contest . stepping up to the tee on the 130-yard fourth , the greatest golfer of all time saw his shot sail beyond the flag before spinning back into the hole . jack nicklaus gave the crowd something to cheer with a hole in one on the fourth during the par-3 contest . nicklaus holds up his ball to an adoring crowd as gary player ( left ) and ben crenshaw salute the great . crenshaw and nicklaus fist pump following his ace on the 130-yard hole at augusta national . nicklaus was playing alongside gary player and ben crenshaw as the first roar of masters week filled the skies in a sunswept georgia . ' i had an interview this morning , and i said `` well , all i 've got to do is go out and win the par-3 and make a hole and one '' , and i make a hole in one , ' nicklaus said afterwards . the ace was nicklaus ' first on the hallowed turf of augusta , but the veteran saw his achievement eclipsed by that of camilo villegas on a day which saw five hole-in-ones , levelling the record from 2002 . the colombian followed nicklaus with an ace on the fourth and also managed one on the eighth , but he could n't quite land the title , losing out to world no 74 kevin streelman in a play-off . nicklaus became the youngest person to wear a green jacket in 1963 , and collected his sixth in 1986 . he is one of five men to complete the career grand slam , an accolade which favourite rory mcilroy can achieve if he wins his third major in succession .</v>
      </c>
      <c r="C2" s="70" t="str">
        <f>IF(ISBLANK(A2),"",INDEX('Error Log'!$A:$J,MATCH('Scores per segment'!$A2,'Error Log'!$A:$A,0),MATCH('Scores per segment'!C$1,'Error Log'!$A$1:$J$1,0)))</f>
        <v>jack nicklaus gave the crowd something to cheer with a hole in one on the fourth during the par-3 contest .
nicklaus holds up his ball to an adoring crowd as gary player and ben crenshaw salute the great .
nicklaus was playing alongside gary player and ben crenshaw as the first roar of masters week .</v>
      </c>
      <c r="D2" s="70">
        <f>IF(H2=0,wdct(TRIM(C2)),0)</f>
        <v>54</v>
      </c>
      <c r="E2" s="70">
        <f>COUNTIFS('Error Log'!$A:$A,$A2,'Error Log'!$J:$J,E$1)</f>
        <v>2</v>
      </c>
      <c r="F2" s="70">
        <f>COUNTIFS('Error Log'!$A:$A,$A2,'Error Log'!$J:$J,F$1)</f>
        <v>0</v>
      </c>
      <c r="G2" s="70">
        <f>COUNTIFS('Error Log'!$A:$A,$A2,'Error Log'!$J:$J,G$1)</f>
        <v>0</v>
      </c>
      <c r="H2" s="70">
        <f>COUNTIFS('Error Log'!$A:$A,$A2,'Error Log'!$F:$F,"Source")</f>
        <v>0</v>
      </c>
      <c r="I2" s="70">
        <f>COUNTIFS('Error Log'!$A:$A,$A2,'Error Log'!$F:$F,"Target")</f>
        <v>0</v>
      </c>
      <c r="J2" s="71">
        <f t="shared" ref="J2:J65" si="0">IF(I2=0,IFERROR((((1-((E2*10+F2*5+G2*1)/D2))*100)+100)/2,0),-150)</f>
        <v>81.481481481481481</v>
      </c>
    </row>
    <row r="3" spans="1:10">
      <c r="A3" s="94" t="s">
        <v>86</v>
      </c>
      <c r="B3" s="70" t="str">
        <f>IF(ISBLANK(A3),"",INDEX('Error Log'!$A:$J,MATCH('Scores per segment'!$A3,'Error Log'!$A:$A,0),MATCH('Scores per segment'!B$1,'Error Log'!$A$1:$J$1,0)))</f>
        <v>( cnn ) an oklahoma reserve sheriff 's deputy accused of fatally shooting a man he says he meant to subdue with a taser pleaded not guilty tuesday to a charge of second-degree manslaughter . at the hearing , the judge granted robert bates permission to go to the bahamas for a family vacation . that decision prompted a response from the family of eric harris , the man bates killed . `` we are not surprised that mr. bates pled not guilty . we are , however , surprised that mr. bates would choose to go on a vacation to the bahamas during this tumultuous time . whether intended or not , mr. bates ' vacationing in the bahamas at this time sends a message of apathy with respect to the shooting and eric 's life . at a time when we are still mourning the death of a loved one that he shot down in the street , mr. bates will be relaxing and enjoying his wealth and privilege . '' bates ' preliminary hearing is scheduled for 10 a.m. july 2 . `` this will give us an opportunity to deal with the facts in the courtroom instead of the media and we 're looking very much forward to that , '' said clark brewster , one of his lawyers , after the hearing . bates , 73 , was working as a reserve deputy for the tulsa county sheriff 's office on april 2 when he was involved the arrest of eric harris in a weapons sting operation . bates claims he meant to stun harris with a taser after harris fled from officers , but mistakenly shot harris with a gun instead . bates has said the shooting was accidental . he has apologized to the harris family , as has sheriff stanley glanz . the lawyer for the family of the man who was killed claims that bates was n't qualified to be on the force , but received preferential treatment because he 'd made donations to the agency and was a friend of the sheriff . the tulsa world newspaper reported some supervisors in the tulsa county sheriff 's office were told to forge bates ' records and were reassigned when they refused . the tulsa county sheriff 's office has denied these allegations . over the weekend , one of bates ' lawyers released most of his training documents and said they prove bates had proper law enforcement training . two deputies involved in arrest of harris have been reassigned because of threats against them and their families , glanz said monday in a news conference . lawyer releases training records for tulsa deputy charged in killing . cnn 's jason morris and ed lavandera contributed to this report .</v>
      </c>
      <c r="C3" s="70" t="str">
        <f>IF(ISBLANK(A3),"",INDEX('Error Log'!$A:$J,MATCH('Scores per segment'!$A3,'Error Log'!$A:$A,0),MATCH('Scores per segment'!C$1,'Error Log'!$A$1:$J$1,0)))</f>
        <v>oklahoma reserve sheriff 's deputy accused of fatally shooting a man he meant to subdue with a taser .
bates ' preliminary hearing is scheduled for 10 a.m. july 2 .
bates ' preliminary hearing is scheduled for 10 a.m. july 2 .</v>
      </c>
      <c r="D3" s="70">
        <f>IF(H3=0,wdct(TRIM(C3)),0)</f>
        <v>40</v>
      </c>
      <c r="E3" s="70">
        <f>COUNTIFS('Error Log'!$A:$A,$A3,'Error Log'!$J:$J,E$1)</f>
        <v>2</v>
      </c>
      <c r="F3" s="70">
        <f>COUNTIFS('Error Log'!$A:$A,$A3,'Error Log'!$J:$J,F$1)</f>
        <v>1</v>
      </c>
      <c r="G3" s="70">
        <f>COUNTIFS('Error Log'!$A:$A,$A3,'Error Log'!$J:$J,G$1)</f>
        <v>0</v>
      </c>
      <c r="H3" s="70">
        <f>COUNTIFS('Error Log'!$A:$A,$A3,'Error Log'!$F:$F,"Source")</f>
        <v>0</v>
      </c>
      <c r="I3" s="70">
        <f>COUNTIFS('Error Log'!$A:$A,$A3,'Error Log'!$F:$F,"Target")</f>
        <v>0</v>
      </c>
      <c r="J3" s="71">
        <f t="shared" si="0"/>
        <v>68.75</v>
      </c>
    </row>
    <row r="4" spans="1:10">
      <c r="A4" s="92" t="s">
        <v>93</v>
      </c>
      <c r="B4" s="70" t="str">
        <f>IF(ISBLANK(A4),"",INDEX('Error Log'!$A:$J,MATCH('Scores per segment'!$A4,'Error Log'!$A:$A,0),MATCH('Scores per segment'!B$1,'Error Log'!$A$1:$J$1,0)))</f>
        <v>stephen curry eclipsed his own nba record for most 3-pointers in a season , scoring 45 points to rally the golden state warriors to a 116-105 victory over the portland trail blazers on thursday night . curry entered the game four shy of his mark of 272 three-pointers , which he set two years ago in the season finale at portland . he hit six before halftime and eight overall , teaming with fellow splash brothers star klay thompson to bring the warriors back from 13 points down . curry added nine assists , and thompson scored 26 to help golden state avoid its first three-game losing streak this season . stephen curry broke his own nba three-point record as golden state warriors beat portland trail blazers . curry ( centre ) hit eight three-pointers to to eclipse his previous nba best of 272 made in a single season . lamarcus aldridge had 27 points and six rebounds , and damian lillard added 20 points and eight assists for the blazers , who have already have locked up the northwest division . elsewhere , pau gasol had 16 points and 15 rebounds and chicago bulls easily wiped out a 19-point halftime deficit to deal a huge blow to miami 's playoff hopes . aaron brooks and taj gibson each scored 14 points for the bulls , who were outscored 33-12 in the second quarter - then went on a staggering 39-8 run to open the second half . miami missed its first 12 shots after halftime , and the freefall never stopped . mike dunleavy and derrick rose each had 12 for chicago , which moved back into the no 3 spot in the eastern conference standings . hassan whiteside had 19 points and 16 rebounds for the heat . dwyane wade scored nine points , shooting just 4 for 20 . the heat were outscored 57-27 after halftime . pau gasol ( right ) had 16 points and 15 rebounds as the chicago bulls beat miami heat 89-78 on thursday . point guard derrick rose ( right ) scored 12 points for the bulls as he continued his comeback from injury .</v>
      </c>
      <c r="C4" s="70" t="str">
        <f>IF(ISBLANK(A4),"",INDEX('Error Log'!$A:$J,MATCH('Scores per segment'!$A4,'Error Log'!$A:$A,0),MATCH('Scores per segment'!C$1,'Error Log'!$A$1:$J$1,0)))</f>
        <v>stephen curry eclipsed his own nba record for most 3-pointers in a season , scoring 45 points to rally the golden state warriors to a 116-105 victory over the portland trail blazers .
curry added nine assists , and thompson scored 26 to help golden state warriors avoid its first three-game losing streak this season .</v>
      </c>
      <c r="D4" s="70">
        <f>IF(H4=0,wdct(TRIM(C4)),0)</f>
        <v>52</v>
      </c>
      <c r="E4" s="70">
        <f>COUNTIFS('Error Log'!$A:$A,$A4,'Error Log'!$J:$J,E$1)</f>
        <v>2</v>
      </c>
      <c r="F4" s="70">
        <f>COUNTIFS('Error Log'!$A:$A,$A4,'Error Log'!$J:$J,F$1)</f>
        <v>0</v>
      </c>
      <c r="G4" s="70">
        <f>COUNTIFS('Error Log'!$A:$A,$A4,'Error Log'!$J:$J,G$1)</f>
        <v>0</v>
      </c>
      <c r="H4" s="70">
        <f>COUNTIFS('Error Log'!$A:$A,$A4,'Error Log'!$F:$F,"Source")</f>
        <v>0</v>
      </c>
      <c r="I4" s="70">
        <f>COUNTIFS('Error Log'!$A:$A,$A4,'Error Log'!$F:$F,"Target")</f>
        <v>0</v>
      </c>
      <c r="J4" s="71">
        <f t="shared" si="0"/>
        <v>80.769230769230774</v>
      </c>
    </row>
    <row r="5" spans="1:10">
      <c r="A5" s="95" t="s">
        <v>98</v>
      </c>
      <c r="B5" s="70" t="str">
        <f>IF(ISBLANK(A5),"",INDEX('Error Log'!$A:$J,MATCH('Scores per segment'!$A5,'Error Log'!$A:$A,0),MATCH('Scores per segment'!B$1,'Error Log'!$A$1:$J$1,0)))</f>
        <v>conor mcgregor is gearing up for a featherweight title challenge against jose aldo on july 11 and has unveiled a fearsome new tattoo ahead of the encounter . the 26-year-old irishman has already got a picture of a gorilla eating a heart inked upon his chest and ' the notorious ' has now revealed a tiger 's face tattooed onto his stomach . ' if you see the tiger , it 's too late . you 're food , ' mcgregor wrote next to the instagram post of his new artwork . conor mcgregor reveals his new tattoo of a tiger on his stomach to his instagram followers . mcgregor ( left ) poses in the shop with a fan shortly after having his tattoo on his stomach done . mcgregor is challenging jose aldo for his featherweight champion title in las vegas on july 11 . aldo makes the eighth defence of his belt against the irish fighter in las vegas , but mcgregor claimed last week that the man he is challenging lacks the same motivation as him . ' he does n't want to be near me , he does n't want this the way i want it , ' mcgregor said . ' he ca n't hide the fact he does n't want the belt in his presence . ' conor mcgregor grabbed aldo 's ( left ) belt when they took their promotional tour to dublin . mcgregor claims he has greater motivation to win the title than aldo has to defend it for the eighth time . at the end of march , the duo were undergoing a promotional tour in dublin when mcgregor grabbed the belt from aldo and raised it in front of 5,000 home supporters . the pair have a fractious relationship as it is , with a little under three months away until mcgregor has a chance to legitimately hold the belt before his supporters .</v>
      </c>
      <c r="C5" s="70" t="str">
        <f>IF(ISBLANK(A5),"",INDEX('Error Log'!$A:$J,MATCH('Scores per segment'!$A5,'Error Log'!$A:$A,0),MATCH('Scores per segment'!C$1,'Error Log'!$A$1:$J$1,0)))</f>
        <v>conor mcgregor is gearing up for a featherweight title challenge against jose aldo on july 11 .
the 26-year-old has already got a picture of a gorilla eating a heart inked upon his chest and ' the notorious ' has revealed a tiger 's face tattooed onto his stomach .</v>
      </c>
      <c r="D5" s="70">
        <f>IF(H5=0,wdct(TRIM(C5)),0)</f>
        <v>46</v>
      </c>
      <c r="E5" s="70">
        <f>COUNTIFS('Error Log'!$A:$A,$A5,'Error Log'!$J:$J,E$1)</f>
        <v>1</v>
      </c>
      <c r="F5" s="70">
        <f>COUNTIFS('Error Log'!$A:$A,$A5,'Error Log'!$J:$J,F$1)</f>
        <v>0</v>
      </c>
      <c r="G5" s="70">
        <f>COUNTIFS('Error Log'!$A:$A,$A5,'Error Log'!$J:$J,G$1)</f>
        <v>0</v>
      </c>
      <c r="H5" s="70">
        <f>COUNTIFS('Error Log'!$A:$A,$A5,'Error Log'!$F:$F,"Source")</f>
        <v>0</v>
      </c>
      <c r="I5" s="70">
        <f>COUNTIFS('Error Log'!$A:$A,$A5,'Error Log'!$F:$F,"Target")</f>
        <v>0</v>
      </c>
      <c r="J5" s="71">
        <f t="shared" si="0"/>
        <v>89.130434782608688</v>
      </c>
    </row>
    <row r="6" spans="1:10">
      <c r="A6" s="95" t="s">
        <v>102</v>
      </c>
      <c r="B6" s="70" t="str">
        <f>IF(ISBLANK(A6),"",INDEX('Error Log'!$A:$J,MATCH('Scores per segment'!$A6,'Error Log'!$A:$A,0),MATCH('Scores per segment'!B$1,'Error Log'!$A$1:$J$1,0)))</f>
        <v xml:space="preserve">liverpool players 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 after a few rounds of action , however , it became clear to balotelli and his team-mates that they were not dealing with a regular fan as van velzen showcased his skills in front of goal . ( left to right ) rickie lambert , fabio borini , lazar markovic and mario balotelli meet bas van velzen . van velzen lines up his first free-kick of the day as the liverpool stars watch on . balotelli and lambert watch as van velzen showcases his dead-ball skills at melwood . the stand-in keeper was helpless as the youtube star 's strike sailed into the top corner . after a poor first effort , balotelli sends a perfectly-executed free-kick into the top corner . balotelli looks pleased with his effort as markovic ( left ) and van velzen wait for their turn . van velzen has become a youtube sensation by uploading videos of his free-kick exploits and he certainly wowed the liverpool quartet . ' the whole experience was amazing , especially meeting balotelli and getting involved with the other liverpool players , ' said van velzen . ' it 's every fan 's dream to play football with their idols and i really enjoyed pretending that i was n't very good at free-kicks . ' seeing the players ' faces when they saw me shoot was also really satisfying . ' van velzen had one last surprise for balotelli as he unveiled the liverpool forward 's infamous slogan . balotelli wore his famous t-shirt during manchester city 's 6-1 win over united in october 2011 . </v>
      </c>
      <c r="C6" s="70" t="str">
        <f>IF(ISBLANK(A6),"",INDEX('Error Log'!$A:$J,MATCH('Scores per segment'!$A6,'Error Log'!$A:$A,0),MATCH('Scores per segment'!C$1,'Error Log'!$A$1:$J$1,0)))</f>
        <v>mario balotelli , fabio borini , rickie lambert and lazar markovic got more than they bargained for when youtube star bas van velzen arrived at melwood .
the merseysiders were led to believe that the dutch free-kick specialist was a competition winner who had won the opportunity to meet the anfield stars and receive a dead-ball masterclass .</v>
      </c>
      <c r="D6" s="70">
        <f>IF(H6=0,wdct(TRIM(C6)),0)</f>
        <v>54</v>
      </c>
      <c r="E6" s="70">
        <f>COUNTIFS('Error Log'!$A:$A,$A6,'Error Log'!$J:$J,E$1)</f>
        <v>2</v>
      </c>
      <c r="F6" s="70">
        <f>COUNTIFS('Error Log'!$A:$A,$A6,'Error Log'!$J:$J,F$1)</f>
        <v>0</v>
      </c>
      <c r="G6" s="70">
        <f>COUNTIFS('Error Log'!$A:$A,$A6,'Error Log'!$J:$J,G$1)</f>
        <v>0</v>
      </c>
      <c r="H6" s="70">
        <f>COUNTIFS('Error Log'!$A:$A,$A6,'Error Log'!$F:$F,"Source")</f>
        <v>0</v>
      </c>
      <c r="I6" s="70">
        <f>COUNTIFS('Error Log'!$A:$A,$A6,'Error Log'!$F:$F,"Target")</f>
        <v>0</v>
      </c>
      <c r="J6" s="71">
        <f t="shared" si="0"/>
        <v>81.481481481481481</v>
      </c>
    </row>
    <row r="7" spans="1:10">
      <c r="A7" s="92" t="s">
        <v>107</v>
      </c>
      <c r="B7" s="70" t="str">
        <f>IF(ISBLANK(A7),"",INDEX('Error Log'!$A:$J,MATCH('Scores per segment'!$A7,'Error Log'!$A:$A,0),MATCH('Scores per segment'!B$1,'Error Log'!$A$1:$J$1,0)))</f>
        <v>tony abbott may have thrilled players at an australian rules function by skolling a beer but he’s drawn the ire of anti-drinking campaigners who claim he’s glorifying binge drinking and associating being a man with drinking booze . julie robert , a cultural studies professor at the university of technology sydney , said it was ' problematic ' that the prime minister , who she believes should be advocating against binge drinking , thought it acceptable to ' showcase his masculinity ' by skolling a beer . ‘ it sets up a culture that drinking isn’t about socialising with friends , it’s about how quickly and how much you can drink , ’ she said . scroll down for video . australian prime minister tony abbott was cheered on by a crowd of about 50 as he skolled a schooner of beer . mr abbott came under fire after the incident as anti-drinking campaigners said he was glorifying binge drinking . ‘ it sets up a culture that drinking isn’t about socialising with friends , it’s about how quickly and how much you can drink . ’ on saturday night mr abbott appeared happy to oblige when he was asked to have a drink by university of technology sydney bats coach simon carradous . it took the prime minister about six seconds to down the schooner as players cheered and chanted ' skol ' and ' tony ' . dr robert warned people can forget their limits when they are wrapped up in the act of demonstrating how much , or how quickly , they can drink . ' it is the whole performance and the display and showing off which is the problematic part , ' she told daily mail australia . however , she said it was not just mr abbott 's skol that was concerning , it was also the way media and other government officials have reacted to the event . in an interview on sunday , opposition leader bill shorten quipped that he was ' just pleased that tony abbott’s learning to drink beer without adding lemonade to it ' . mr abbott was labelled 'un-australian ' for ordering a light beer during his 2010 campaign . dr robert said while drinking was a part of the australian tradition , it was dangerous to make comments that would only glorify irresponsible drinking practices and perpetuate the stereotype that drinking heavily makes you a true blue aussie bloke . critics said he should be setting an example that you do n't have to drink heavily to be a ' true blue aussie bloke ' . it appeared to take the prime minister about six seconds to down the schooner , as players cheered and chanted ' skol ' and ' tony ' . health minister sussan ley was quick to jump to mr abbott 's defence saying there was ' nothing wrong ' with the prime minister 's antics . “ if more people got up at 4.30 in the morning and went running and cycling and worked as hard as our prime minister to keep fit and demonstrate that there are many ways that you can do this , i think we’d have a healthier country as a result , ’’ ms ley said . during his night out , mr abbott gave a speech to the players , according to australian women 's weekly . ' he grabs the microphone and gives a speech , which went along the lines of : ' well is n't this a real treat , i 've been a rugby man all my life but now i finally get to hang out with some real footballers ' to which of course the crowd went crazy , ' coach carradous said . ' then he proceeds to reach down and grab a schooner and he drank from head-to-toe the entire schooner , dribbling little bits on his shirt ... he was proud as punch . ' while mr abbott is not the first australian prime minister to show off his skolling skills , with former labor prime minister bob hawke a notable example , dr roberts said he should have taken into consideration recent shifts in attitudes over heavy drinking . ' i don’t necessarily think it’s a partisan thing but i do think the climate has changed and we didn’t [ used to ] have the concern over binge drinking that we do now , ' she said . mr abbott was asked to have a drink by university of technology sydney bats coach simon carradous , and the prime minister happily obliged . ' he drank the entire schooner , dribbling bits on his shirt ... he was proud as punch , ' a witness said .</v>
      </c>
      <c r="C7" s="70" t="str">
        <f>IF(ISBLANK(A7),"",INDEX('Error Log'!$A:$J,MATCH('Scores per segment'!$A7,'Error Log'!$A:$A,0),MATCH('Scores per segment'!C$1,'Error Log'!$A$1:$J$1,0)))</f>
        <v>julie robert , a cultural studies professor at the university of technology sydney , said it was ' problematic ' that the prime minister , who she believes should be advocating against binge drinking .
mr abbott came under fire after the incident as anti-drinking campaigners said he was glorifying binge drinking .
mr abbott came under fire after the incident as anti-drinking campaigners said he was glorifying binge drinking .</v>
      </c>
      <c r="D7" s="70">
        <f>IF(H7=0,wdct(TRIM(C7)),0)</f>
        <v>63</v>
      </c>
      <c r="E7" s="70">
        <f>COUNTIFS('Error Log'!$A:$A,$A7,'Error Log'!$J:$J,E$1)</f>
        <v>3</v>
      </c>
      <c r="F7" s="70">
        <f>COUNTIFS('Error Log'!$A:$A,$A7,'Error Log'!$J:$J,F$1)</f>
        <v>2</v>
      </c>
      <c r="G7" s="70">
        <f>COUNTIFS('Error Log'!$A:$A,$A7,'Error Log'!$J:$J,G$1)</f>
        <v>0</v>
      </c>
      <c r="H7" s="70">
        <f>COUNTIFS('Error Log'!$A:$A,$A7,'Error Log'!$F:$F,"Source")</f>
        <v>0</v>
      </c>
      <c r="I7" s="70">
        <f>COUNTIFS('Error Log'!$A:$A,$A7,'Error Log'!$F:$F,"Target")</f>
        <v>0</v>
      </c>
      <c r="J7" s="71">
        <f t="shared" si="0"/>
        <v>68.253968253968253</v>
      </c>
    </row>
    <row r="8" spans="1:10">
      <c r="A8" s="92" t="s">
        <v>116</v>
      </c>
      <c r="B8" s="70" t="str">
        <f>IF(ISBLANK(A8),"",INDEX('Error Log'!$A:$J,MATCH('Scores per segment'!$A8,'Error Log'!$A:$A,0),MATCH('Scores per segment'!B$1,'Error Log'!$A$1:$J$1,0)))</f>
        <v xml:space="preserve">carriers of the brca1 gene , like hollywood star angelina jolie , can reduce their risk of death once they have been diagnosed with breast cancer by having their ovaries removed . women diagnosed with breast cancer caused by the gene carried by angelina jolie could be helped to beat the disease if they have their ovaries removed as she did . a study indicates that following the example of the hollywood star cuts their risk of dying from breast cancer by more than 60 per cent . miss jolie , 39 , had the procedure , known as an oophorectomy , in march . two years before , she had a double mastectomy as she carries the brca1 gene variant which dramatically raises the risk of developing both breast and ovarian cancer . women who carry a mutated version of brca1 or another gene known as brca2 face a life-time risk of breast cancer of up to 70 per cent . if diagnosed , they face a severe threat of ovarian tumours . the researchers in canada analysed 676 breast cancer patients who had one of the mutated genes , nearly half ( 345 ) underwent oophorectomy after their diagnosis . the study found the 20-year survival rate for the entire group was 77.4 per cent . having an oophorectomy was associated with a significant drop of 62 per cent in breast cancer death in women with a brca1 mutation , but this did not occur in those with a brca2 mutation . there were nine deaths from ovarian cancer in the women who did not have oophorectomies . the scientists found a 65 per cent reduction in death from all causes associated with oophorectomy . according to the study , oophorectomies were performed an average of six years after breast cancer diagnosis . for the 70 brca1 carriers who had their ovaries removed within two years , there was a 73 per cent reduction in death compared with women with the mutation who never underwent the procedure . the authors , writing in the journal jama oncology , said that the protective effect of oophorectomy against breast cancer was apparent immediately after diagnosis and lasted for 15 years . dr steven narod , of the women’s college research institute , toronto , called for follow-up studies on women who undergo oophorectomy as part of their initial treatment , in particular , those who had the surgery within a year of finding out they have breast cancer . he added that more research was needed , especially on carriers of the brca2 variant . journal editor dr mary disis said the results were ‘ compelling and suggest the potential of oophorectomy should become part of the treatment discussion at the time of diagnosis for brca mutation carriers with early stage breast cancers’ . she added : ‘ the results provide a validation of oophorectomy in coveying both a disease-free and overall survival benefit for brca1 carriers . ‘ in the entire group , oophorectomy was particularly effective for survival benefit in women with oestrogen-receptor negative breast cancer . ’ those women diagnosed with the brca1 gene mutation have a 50 to 80 per cent risk of developing breast cancer , pictured , in their lifetime . women with a significant family history of breast cancer may have an increased risk of getting the disease . a significant family history is defined by : women who inherit the faulty , or mutated , brca1 or brca2 genes have a 50 to 80 per cent chance of developing breast cancer during their lifetime . genetic tests are available to women who are likely to have a brca1 or brca2 mutation , or faults in two other genes called tp53 and pten . brca gene faults are more common in the ashkenazi jewish population , about 2.3 per cent of ashkenazi jewish women have a brca gene mutation . source : breast cancer campaign . this type of the disease affects about one in four women diagnosed with breast cancer . it is an especially aggressive form which is often resilient to drug treatment and requires intensive chemotherapy . other studies of the gene mutation carriers have found that reduced mortality is associated with ovary removal for women with a history of breast cancer . speaking about her decision to have the procedure miss jolie , who has six children , said that having her ovaries removed did not make her feel any less womanly . in an article for the new york times , she wrote : ‘ i feel feminine , and grounded in the choices i am making for myself and my family . ’ </v>
      </c>
      <c r="C8" s="70" t="str">
        <f>IF(ISBLANK(A8),"",INDEX('Error Log'!$A:$J,MATCH('Scores per segment'!$A8,'Error Log'!$A:$A,0),MATCH('Scores per segment'!C$1,'Error Log'!$A$1:$J$1,0)))</f>
        <v>women diagnosed with breast cancer caused by the gene carried by angelina jolie could be helped to beat the disease if they have their ovaries removed .
miss jolie , 39 , had a double mastectomy as she carries the brca1 gene variant which dramatically raises the risk of dying from breast cancer by more than 60 per cent .</v>
      </c>
      <c r="D8" s="70">
        <f>IF(H8=0,wdct(TRIM(C8)),0)</f>
        <v>56</v>
      </c>
      <c r="E8" s="70">
        <f>COUNTIFS('Error Log'!$A:$A,$A8,'Error Log'!$J:$J,E$1)</f>
        <v>3</v>
      </c>
      <c r="F8" s="70">
        <f>COUNTIFS('Error Log'!$A:$A,$A8,'Error Log'!$J:$J,F$1)</f>
        <v>1</v>
      </c>
      <c r="G8" s="70">
        <f>COUNTIFS('Error Log'!$A:$A,$A8,'Error Log'!$J:$J,G$1)</f>
        <v>0</v>
      </c>
      <c r="H8" s="70">
        <f>COUNTIFS('Error Log'!$A:$A,$A8,'Error Log'!$F:$F,"Source")</f>
        <v>0</v>
      </c>
      <c r="I8" s="70">
        <f>COUNTIFS('Error Log'!$A:$A,$A8,'Error Log'!$F:$F,"Target")</f>
        <v>0</v>
      </c>
      <c r="J8" s="71">
        <f t="shared" si="0"/>
        <v>68.75</v>
      </c>
    </row>
    <row r="9" spans="1:10">
      <c r="A9" s="92" t="s">
        <v>124</v>
      </c>
      <c r="B9" s="70" t="str">
        <f>IF(ISBLANK(A9),"",INDEX('Error Log'!$A:$J,MATCH('Scores per segment'!$A9,'Error Log'!$A:$A,0),MATCH('Scores per segment'!B$1,'Error Log'!$A$1:$J$1,0)))</f>
        <v xml:space="preserve">indiana has seen a ' significant increase ' in the number of cases of hiv more than two weeks into a short-term needle exchange program approved by gov . mike pence , state health officials said on friday . there are now 120 confirmed hiv cases and 10 preliminary positive cases tied to scott county , about 30 miles north of louisville , kentucky . that 's up from 106 last week , said the indiana state department of health . health officials who declared an epidemic last month have said they expect the number of cases to rise as more people are tested . but the growing number could put pressure on pence to extend the 30-day needle exchange program that he approved on march 26 . scroll down for video . more than two weeks into a short-term needle exchange program approved by gov . mike pence , there are now 120 confirmed hiv cases and 10 preliminary positive cases tied to scott county , about 30 miles north of louisville , kentucky . spokeswoman kara brooks said pence is reviewing reports and recommendations from health officials and will make a decision early next week about extending the program beyond april 25 . the scott county outbreak has occurred among intravenous drug users and primarily involves the use of the high-powered painkiller opana , health officials have said . the county typically sees about five hiv cases each year . since pence approved the temporary needle exchange , 5,322 clean syringes have been provided to 86 participants , health officials said friday . about 1,400 used syringes have been returned . brittany combs , public health nurse for the scott county health department , said the needle-exchange program had ' really picked up a lot this week , ' in large part because a mobile unit has been traveling around neighborhoods seeking to get more iv drug users into the program . ' it 's that trust factor . you have to gain that trust , and i think we 're slowly starting to do that , ' combs said . but the future of the scott county program , as well as the fate of legislation that would allow needle-exchange programs in other counties , is n't clear . the scott county outbreak has occurred among intravenous drug users and primarily involves the use of the high-powered prescription painkiller opana , health officials have said . pence opposes needle exchanges as an anti-drug policy . senate president pro tem david long said on thursday that the emergency exchange for scott county was ' the right reaction ' but was n't sure if it is the correct approach long-term . nor was he sure whether the senate would support legislation sponsored by house public health committee chairman ed clere , r-new albany , that would allow the 23 indiana counties with the highest rate-per-population of hepatitis c to establish their own needle-exchange programs . the centers for disease control and prevention reports that between 50 percent and 90 percent of people with hepatitis c are also infected with hiv . health officials say because of this , high rates of hepatitis c are a key indicator of needle-sharing and a potential hiv outbreak . the house approved the bill on april 7 in a 54-39 vote , and the measure is scheduled for a hearing on monday in a house-senate conference committee , which will try to work out a final version for lawmakers to consider before the legislature 's april 29 adjournment deadline . long said pence is n't alone in his concerns that needle exchanges could promote drug use instead of prevent it . ' at the same time , you adapt and you evolve based on the world we live in , so we 're going to have to see if that requires a pivot for us , ' long said . medical waste containers stored in preparation for scott county residents that are looking to exchange used needles . the needle-exchange program was created through an emergency executive order signed last week by gov . mike pence in an attempt to curb the state 's largest-ever hiv outbreak . clere said he appreciates pence 's approval of the short-term needle exchange but that ' it does n't help in other areas of the state that are at risk for a similar outbreak . it 's just not enough . ' he said the association between needle exchanges and illegal drug activity makes many people , including lawmakers , uncomfortable . but he thinks the exchange program should n't be viewed as anti-drug policy , but as ' a proven and effective harm-reduction policy . ' ' we simply ca n't afford to view this as a short-term problem , ' clere said . money could also be an issue as lawmakers weigh their options . since 1989 , the federal government has banned public funding of needle exchange programs . pence 's executive order did n't include money for the scott county program . ' they asked the state agencies to find their own money . how sustainable is that ? ' said dr. beth meyerson , co-director of the rural center for aids/std prevention at indiana university . ' there 's no evidence that the pence administration is thinking about this in the long term at all . ' </v>
      </c>
      <c r="C9" s="70" t="str">
        <f>IF(ISBLANK(A9),"",INDEX('Error Log'!$A:$J,MATCH('Scores per segment'!$A9,'Error Log'!$A:$A,0),MATCH('Scores per segment'!C$1,'Error Log'!$A$1:$J$1,0)))</f>
        <v>there are now 120 confirmed hiv cases and 10 preliminary positive cases tied to scott county , about 30 miles north of louisville , kentucky .
health officials who declared an epidemic last month have said they expect the number of cases to rise as more people are tested .
the growing number could put pressure on pence to extend the program beyond april 25 .</v>
      </c>
      <c r="D9" s="70">
        <f>IF(H9=0,wdct(TRIM(C9)),0)</f>
        <v>61</v>
      </c>
      <c r="E9" s="70">
        <f>COUNTIFS('Error Log'!$A:$A,$A9,'Error Log'!$J:$J,E$1)</f>
        <v>2</v>
      </c>
      <c r="F9" s="70">
        <f>COUNTIFS('Error Log'!$A:$A,$A9,'Error Log'!$J:$J,F$1)</f>
        <v>1</v>
      </c>
      <c r="G9" s="70">
        <f>COUNTIFS('Error Log'!$A:$A,$A9,'Error Log'!$J:$J,G$1)</f>
        <v>0</v>
      </c>
      <c r="H9" s="70">
        <f>COUNTIFS('Error Log'!$A:$A,$A9,'Error Log'!$F:$F,"Source")</f>
        <v>0</v>
      </c>
      <c r="I9" s="70">
        <f>COUNTIFS('Error Log'!$A:$A,$A9,'Error Log'!$F:$F,"Target")</f>
        <v>0</v>
      </c>
      <c r="J9" s="71">
        <f t="shared" si="0"/>
        <v>79.508196721311478</v>
      </c>
    </row>
    <row r="10" spans="1:10">
      <c r="A10" s="95" t="s">
        <v>130</v>
      </c>
      <c r="B10" s="70" t="str">
        <f>IF(ISBLANK(A10),"",INDEX('Error Log'!$A:$J,MATCH('Scores per segment'!$A10,'Error Log'!$A:$A,0),MATCH('Scores per segment'!B$1,'Error Log'!$A$1:$J$1,0)))</f>
        <v>police in north carolina say a married couple is dead after an amtrak train hit them on easter morning as they lingered on the tracks . derek lowe , 38 , and tina lowe , 33 , were hit shortly before 10am on sunday in durham by a train heading north . amtrak spokesman marc magliari said train no . 80 , the carolinian , was headed from charlotte to new york city when the accident occurred on property owned by norfolk-southern . scroll down for video . derek lowe , 38 , and tina lowe , 33 , were struck and killed by an amtrak train shortly before 10am on easter sunday in durham , north carolina . authorities say none of the 166 passengers on the train were injured , although a man who fell ill during the delay did receive treatment . the lowes were both pronounced dead at the scene , wral reported . the train continued on its route after a delay of about two hours and 45 minutes , according to magliari . authorities say none of the 166 passengers on the train were injured , although a man who fell ill during the delay did receive treatment . a man who met the pair while collecting scrap metal said they may have lived in a homeless camp , abc 11 reported . james thompson said : ' the last encounter i had with the man and woman was they had a grocery cart and they had a few items in it . ' they asked me would i use my truck to go over there because crossing the railroad tracks was so bad , and so hard with the cart . after the accident occurred , the train was delayed for almost three hours before continuing on its way . ' they 'll come up to me and want me to give them a little something . ' when you see a person that 's in dire straits , be kind to them . ' do n't condemn them . they 've got a heart . ' durham is located about 25 miles northwest of the train 's next destination , raleigh . the trip from charlotte to new york city usually takes about 13 hours and 30 minutes .</v>
      </c>
      <c r="C10" s="70" t="str">
        <f>IF(ISBLANK(A10),"",INDEX('Error Log'!$A:$J,MATCH('Scores per segment'!$A10,'Error Log'!$A:$A,0),MATCH('Scores per segment'!C$1,'Error Log'!$A$1:$J$1,0)))</f>
        <v>derek lowe , 38 , and tina lowe , 33 , were struck and killed by an amtrak train .
authorities say none of the 166 passengers on the train were injured .
authorities say none of the 166 passengers on the train were injured .
authorities say none of the 166 passengers on the train were injured .</v>
      </c>
      <c r="D10" s="70">
        <f>IF(H10=0,wdct(TRIM(C10)),0)</f>
        <v>51</v>
      </c>
      <c r="E10" s="70">
        <f>COUNTIFS('Error Log'!$A:$A,$A10,'Error Log'!$J:$J,E$1)</f>
        <v>4</v>
      </c>
      <c r="F10" s="70">
        <f>COUNTIFS('Error Log'!$A:$A,$A10,'Error Log'!$J:$J,F$1)</f>
        <v>2</v>
      </c>
      <c r="G10" s="70">
        <f>COUNTIFS('Error Log'!$A:$A,$A10,'Error Log'!$J:$J,G$1)</f>
        <v>0</v>
      </c>
      <c r="H10" s="70">
        <f>COUNTIFS('Error Log'!$A:$A,$A10,'Error Log'!$F:$F,"Source")</f>
        <v>0</v>
      </c>
      <c r="I10" s="70">
        <f>COUNTIFS('Error Log'!$A:$A,$A10,'Error Log'!$F:$F,"Target")</f>
        <v>0</v>
      </c>
      <c r="J10" s="71">
        <f t="shared" si="0"/>
        <v>50.980392156862749</v>
      </c>
    </row>
    <row r="11" spans="1:10">
      <c r="A11" s="92" t="s">
        <v>139</v>
      </c>
      <c r="B11" s="70" t="str">
        <f>IF(ISBLANK(A11),"",INDEX('Error Log'!$A:$J,MATCH('Scores per segment'!$A11,'Error Log'!$A:$A,0),MATCH('Scores per segment'!B$1,'Error Log'!$A$1:$J$1,0)))</f>
        <v>an obsessive arsenal fan made his girlfriend sit a test quizzing her about his favourite football club . marking her answers with red pen , she scored an impressive 43.5 out of 50 , to which he commented , ' well done saskia ! as a result , i will not be dumping you ! ( lucky you ) ' . saskia posted snaps of the test to her twitter account , @ saskiaisabxlla , commenting ' boyfriend made me take an @ arsenal exam ! ' with emoticons showing she did n't know whether to laugh or cry . we do n't blame her . saskia 's football fan boyfriend made her take an arsenal test and did n't dump her thanks to her a grade . the test took the form of a school exam , with multiple choice questions , tables to complete , and ' in your own words ... ' section . there were even ' helpful ' instructions including ' read every question at least twice ' and ' check your answers if you have time at the end ' . oh , and ' calculators may be used ' . saskia scored an impressive 87 per cent , but according to her unnamed boyfriend 's feedback she ' could have performed better on q17 ' , needs to ' learn all player positions ' and should understand that ' tottenham are scum ' . what does the ' fc ' in arsenal fc stand for ? what is the nickname for arsenal fans ? who is the current manager of arsenal ? is the kit below ( see picture ) arsenal # s current home kit or away kit ? name the starting 11 squad of this season in their relevant positions . in your own words , explain why alexis sanchez is better than eden hazard . who are our top 2 goalscorers of the season so far ? what was the scoreline for the 2014 fa cup final vs hull city ? what player scored the winning goal in the 204 fa cup final ? a ) olivier giroud . b ) santi cazorla . c ) aaron ramsey . d ) per mertesacker . why are arsenal the best team to ever grace english football ? questions put to her in the test included : ' what was the scoreline for the 2014 fa cup final vs hull city ? ' , ' what player scored the winning goal in the 2014 fa cup final ? ' ' name the starting 11 squad of this season in their relevant positions . ' she struggled to come up with the 11th player of the starting squad ( koscielny , defence , apparently ) and thought ozil was defence and wellbeck a midfielder , when in fact they are midfield and striker respectively . tut tut . she scored some decent points for her more creative answers . asked to explain why alexis sanchez is better than eden hazard in her own words , she wrote , ' sanchez is buff , scores lots of goals , hazard is a p***k , sanchez is chilean ' . she got double marks for the hazard comment , but only got half a point for the last one . saskia clearly knows how to keep her boyfriend happy , as she humoured his question of ' why are arsenal the best team to ever grace english football ? ' with the answer of ' they 've won many fa cups ' and ' thierry henry is a legend ' . however , when she got an answer wrong , her examiner wrote the correct answer in capitals and drew an angry face . this man clearly means business . doh ! saskia struggled to name all 11 players of the starting squad and got confused on the player positions . saskia 's boyfriend drew an angry face when she got a question wrong - this man means business . saskia kept her boyfriend happy with creative answers to his questions , and got double marks for some ... he was impressed with the end result , though , grading her an ' a ' and rewarding her by not ending their relationship . and they say romance is dead . comments generally hailed the man as a ' legend ' and fellow football fans were impressed with saskia 's knowledge . some twitter users hailed the unnamed boyfriend who tested saskia on her arsenal knowledge as a legend . scoring 87 % , football fans were impressed with saskia , claiming her as ' proper gf material ' . may men felt inspired , with @ lewisxweeked warning his girlfriend to ' get revising ' . indeed , @ gstarrs85 congratulated saskia and stating that she was ' proper gf material ' . plenty of men felt inspired by the post , with @ lewisxweekes telling his girlfriend @ laycijade to ' get revising ' and @ digsxiii crying ' where can i get this test from ? ' others , though , felt that the boyfriend had taken things a tad too far . @ gunsaured11 stated ' football fans are nuts ' , and @ dcslfc commented ' imagine actually broadcasting that your boyfriend is the biggest biff-head ever to the world . ' we reckon it was a bit of fun and he would n't really have dumped her if she 'd failed ... at least we like to think that 's the case . trimothy wants to put his girlfriend to the test , although apparently ca n't be bothered to create his own exam . eduardo claims ' football fans are nuts ' despite appearing to be one as he holds what looks suspiciously like the fa cup in his hands ... some thought saskia 's boyfriend took things too far with @ dcslfc creatively naming him a 'biff-head '</v>
      </c>
      <c r="C11" s="70" t="str">
        <f>IF(ISBLANK(A11),"",INDEX('Error Log'!$A:$J,MATCH('Scores per segment'!$A11,'Error Log'!$A:$A,0),MATCH('Scores per segment'!C$1,'Error Log'!$A$1:$J$1,0)))</f>
        <v>saskia posted snaps of the test to her twitter account , @ saskiaisabxlla .
she posted snaps of the test to her twitter account , commenting ' well done saskia ! as a result , i will not be dumping you ! ( lucky you ) ' .</v>
      </c>
      <c r="D11" s="70">
        <f>IF(H11=0,wdct(TRIM(C11)),0)</f>
        <v>36</v>
      </c>
      <c r="E11" s="70">
        <f>COUNTIFS('Error Log'!$A:$A,$A11,'Error Log'!$J:$J,E$1)</f>
        <v>2</v>
      </c>
      <c r="F11" s="70">
        <f>COUNTIFS('Error Log'!$A:$A,$A11,'Error Log'!$J:$J,F$1)</f>
        <v>0</v>
      </c>
      <c r="G11" s="70">
        <f>COUNTIFS('Error Log'!$A:$A,$A11,'Error Log'!$J:$J,G$1)</f>
        <v>1</v>
      </c>
      <c r="H11" s="70">
        <f>COUNTIFS('Error Log'!$A:$A,$A11,'Error Log'!$F:$F,"Source")</f>
        <v>0</v>
      </c>
      <c r="I11" s="70">
        <f>COUNTIFS('Error Log'!$A:$A,$A11,'Error Log'!$F:$F,"Target")</f>
        <v>0</v>
      </c>
      <c r="J11" s="71">
        <f t="shared" si="0"/>
        <v>70.833333333333329</v>
      </c>
    </row>
    <row r="12" spans="1:10">
      <c r="A12" s="92" t="s">
        <v>146</v>
      </c>
      <c r="B12" s="70" t="str">
        <f>IF(ISBLANK(A12),"",INDEX('Error Log'!$A:$J,MATCH('Scores per segment'!$A12,'Error Log'!$A:$A,0),MATCH('Scores per segment'!B$1,'Error Log'!$A$1:$J$1,0)))</f>
        <v xml:space="preserve">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scroll down for video . carlos toro , seen in 1982 , is facing deportation from the united states after working for the dea for 27 years . toro , 66 , was one of the dea 's strongest assets and helped carry out undercover stings around the world . carlos lehder rivas of colombia was taken down thanks in part to former medellin cartel member toro .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but i atoned . ' many times over , i atoned . ' all i want now is what they promised me . '  </v>
      </c>
      <c r="C12" s="70" t="str">
        <f>IF(ISBLANK(A12),"",INDEX('Error Log'!$A:$J,MATCH('Scores per segment'!$A12,'Error Log'!$A:$A,0),MATCH('Scores per segment'!C$1,'Error Log'!$A$1:$J$1,0)))</f>
        <v>carlos toro , 66 , worked as a mid-level member of the medellin cartel in the 1980s when a confrontation with his boss caused him to flee from colombia fearing for his life .
toro , 66 , was one of the dea 's strongest assets and helped carry out undercover stings around the world .
the dea refused to help toro with his citizenship after providing information about a number of his former bosses and associates .</v>
      </c>
      <c r="D12" s="70">
        <f>IF(H12=0,wdct(TRIM(C12)),0)</f>
        <v>71</v>
      </c>
      <c r="E12" s="70">
        <f>COUNTIFS('Error Log'!$A:$A,$A12,'Error Log'!$J:$J,E$1)</f>
        <v>5</v>
      </c>
      <c r="F12" s="70">
        <f>COUNTIFS('Error Log'!$A:$A,$A12,'Error Log'!$J:$J,F$1)</f>
        <v>2</v>
      </c>
      <c r="G12" s="70">
        <f>COUNTIFS('Error Log'!$A:$A,$A12,'Error Log'!$J:$J,G$1)</f>
        <v>0</v>
      </c>
      <c r="H12" s="70">
        <f>COUNTIFS('Error Log'!$A:$A,$A12,'Error Log'!$F:$F,"Source")</f>
        <v>0</v>
      </c>
      <c r="I12" s="70">
        <f>COUNTIFS('Error Log'!$A:$A,$A12,'Error Log'!$F:$F,"Target")</f>
        <v>0</v>
      </c>
      <c r="J12" s="71">
        <f t="shared" si="0"/>
        <v>57.74647887323944</v>
      </c>
    </row>
    <row r="13" spans="1:10">
      <c r="A13" s="95" t="s">
        <v>157</v>
      </c>
      <c r="B13" s="70" t="str">
        <f>IF(ISBLANK(A13),"",INDEX('Error Log'!$A:$J,MATCH('Scores per segment'!$A13,'Error Log'!$A:$A,0),MATCH('Scores per segment'!B$1,'Error Log'!$A$1:$J$1,0)))</f>
        <v xml:space="preserve">an informant who spent the last 27 years working for the dea as an undercover operative in exchange for the promise of us citizenship says he 'll be deported now that he has retired . carlos toro , 66 , worked as a mid-level member of the medellin cartel in the 1980s when a confrontation with his boss caused him to flee from colombia fearing for his life . toro came to the united states and eventually began working for the dea as an informant after providing information about a number of his former bosses and associates . scroll down for video . carlos toro , seen in 1982 , is facing deportation from the united states after working for the dea for 27 years . toro , 66 , was one of the dea 's strongest assets and helped carry out undercover stings around the world . carlos lehder rivas of colombia was taken down thanks in part to former medellin cartel member toro . the ex-cartel member became one of the dea 's most important assets and helped the agency carry out undercover stings around the world , cbs news reported . he was n't paid for work , but was told he would be rewarded with us citizenship . that has not happened and toro is now technically living in the us illegally after declining health forced him to retire , according to the florida center for investigative reporting . the dea refused to help toro with his citizenship after he went public with his plight . he said : ' if i am sent back to colombia , i would be dead within the first four hours . ' ' i am scared to death . i do n't sleep anymore . ' i 'm only thinking about what happens if they come for me . ' the united states government has sentenced me to death . ' information provided by toro aided in the prosecution of ex-panamanian dictator manuel noriega ( seen 1990 ) .  his fears sound reasonable considering his work aided in the prosecution of cocaine overlord carlos lehder and former panamanian dictator manuel noriega . dea agent mike mcmanus , who was toro 's handler for two years , gained notoriety after working with the uniquely-suited operative . mcmanus who arrested george jung - the drug dealer portrayed by johnny depp in 2001 's blow - gave toro $ 5,000 for an operation after the dea declined to help , the huffington post reported . he said : ' it is government bureaucracy at its worst . ' he deserves to live life ever after in the united states . he 's done his debt , he 's paid his dues , he 's done his service . ' one of toro 's former colleagues recently gave him $ 5,000 for an operation after the dea declined to help . toro remains in limbo while trying to get a green card or a passport , and he ca n't collect social security benefits until he secures one of those documents . his final temporary visa expired on january 1 and toro is prepared to go into hiding if he must . he said : ' i messed up , in a big way , many years ago . ' but i atoned . ' many times over , i atoned . ' all i want now is what they promised me . '  </v>
      </c>
      <c r="C13" s="70" t="str">
        <f>IF(ISBLANK(A13),"",INDEX('Error Log'!$A:$J,MATCH('Scores per segment'!$A13,'Error Log'!$A:$A,0),MATCH('Scores per segment'!C$1,'Error Log'!$A$1:$J$1,0)))</f>
        <v>mils muliaina bailed after being arrested on suspicion of sexual assault .
former all black was arrested on suspicion of sexual assault in cardiff .
he was held in cells overnight before being questioned for more than six hours .</v>
      </c>
      <c r="D13" s="70">
        <f>IF(H13=0,wdct(TRIM(C13)),0)</f>
        <v>37</v>
      </c>
      <c r="E13" s="70">
        <f>COUNTIFS('Error Log'!$A:$A,$A13,'Error Log'!$J:$J,E$1)</f>
        <v>2</v>
      </c>
      <c r="F13" s="70">
        <f>COUNTIFS('Error Log'!$A:$A,$A13,'Error Log'!$J:$J,F$1)</f>
        <v>1</v>
      </c>
      <c r="G13" s="70">
        <f>COUNTIFS('Error Log'!$A:$A,$A13,'Error Log'!$J:$J,G$1)</f>
        <v>0</v>
      </c>
      <c r="H13" s="70">
        <f>COUNTIFS('Error Log'!$A:$A,$A13,'Error Log'!$F:$F,"Source")</f>
        <v>0</v>
      </c>
      <c r="I13" s="70">
        <f>COUNTIFS('Error Log'!$A:$A,$A13,'Error Log'!$F:$F,"Target")</f>
        <v>0</v>
      </c>
      <c r="J13" s="71">
        <f t="shared" si="0"/>
        <v>66.216216216216225</v>
      </c>
    </row>
    <row r="14" spans="1:10">
      <c r="A14" s="92" t="s">
        <v>163</v>
      </c>
      <c r="B14" s="70" t="str">
        <f>IF(ISBLANK(A14),"",INDEX('Error Log'!$A:$J,MATCH('Scores per segment'!$A14,'Error Log'!$A:$A,0),MATCH('Scores per segment'!B$1,'Error Log'!$A$1:$J$1,0)))</f>
        <v>the us body that regulates internet addresses is looking to crack down on a canadian company using the new '.sucks ' domain name to extract exorbitant sums from celebrities such as kevin spacey and companies looking to protect their reputations . so far , purchased names include youtube.sucks , bing.sucks , visa.sucks , bankofamerica.sucks , yahoo.sucks , telusmobility.sucks and other major brand names . kevin spacey has reportedly paid have his his '.sucks ' domain taken down . kevin spacey is reportedly among celebrities paying out to have their name removed from one of the '.sucks ' domains which opened on 30 march . taylor swift has also had to spend defensively in the past to remove her name from '.porn ' and '.adult ' domains attacking her , cnbc reported . the internet corporation for assigned names and numbers , or ' icann , ' sent a letter on thursday to the u.s. federal trade commission and canada 's office of consumer affairs to see if the actions of company vox populi registry ltd. were illegal . icann initially approved of the so-called top-level domain name , among nearly 600 it has added recently to expand beyond common names such as '.com , ' '.org ' and '.us . ' but it is backtracking after an advisory panel made up of industry groups and companies like microsoft , verizon and ebay complained last month . vox populi began accepting registrations using '.sucks ' on march 30 from trademark holders and celebrities before it is released to public applicants . taylor swift has also had to spend defensively in the past to remove her name from '.porn ' and '.adult ' domains . it has recommended charging $ 2,499 a year for the privilege , and according to vox populi ceo john berard , most of the names have been sold by resellers for around $ 2,000 a year . berard has said the domain name is meant to create destinations for companies to interact with their critics and called his company 's business ' well within the lines of icann rules and the law . ' two weeks ago , the advisory body called the intellectual property constituency representing major companies and industry groups asked icann in a letter to halt the rollout of '.sucks , ' calling it a ' shakedown scheme ' and ' predatory . ' companies like godaddy.com register some domain names for just $ 1 a year , and vox populi will offer consumers the right to secure a '.sucks ' address for just $ 10 a year starting in september . the advisory body says that the threat of opening a '.sucks ' site to the average consumer later is ' an essential element of vox populi 's coercive scheme . ' icann said in its letter that if canadian or u.s. regulators find vox populi 's actions are illegal , it could declare the company in breach of its contract and seek to change the registry 's behavior . it said it is also seeking other remedies within its agreement with the company . the advisory body says that the threat of opening a '.sucks ' site to the average consumer later is ' an essential element of vox populi 's coercive scheme .</v>
      </c>
      <c r="C14" s="70" t="str">
        <f>IF(ISBLANK(A14),"",INDEX('Error Log'!$A:$J,MATCH('Scores per segment'!$A14,'Error Log'!$A:$A,0),MATCH('Scores per segment'!C$1,'Error Log'!$A$1:$J$1,0)))</f>
        <v>kevin spacey is reportedly among celebrities paying out to have their name removed from one of the '.sucks ' domains which opened on 30 march .
kevin spacey is reportedly among celebrities paying out to have their name removed from one of the '.sucks ' domains which opened on 30 march .
taylor swift has also had to spend defensively in the past to remove her name from '.porn ' and '.adult ' domains .</v>
      </c>
      <c r="D14" s="70">
        <f>IF(H14=0,wdct(TRIM(C14)),0)</f>
        <v>68</v>
      </c>
      <c r="E14" s="70">
        <f>COUNTIFS('Error Log'!$A:$A,$A14,'Error Log'!$J:$J,E$1)</f>
        <v>3</v>
      </c>
      <c r="F14" s="70">
        <f>COUNTIFS('Error Log'!$A:$A,$A14,'Error Log'!$J:$J,F$1)</f>
        <v>2</v>
      </c>
      <c r="G14" s="70">
        <f>COUNTIFS('Error Log'!$A:$A,$A14,'Error Log'!$J:$J,G$1)</f>
        <v>0</v>
      </c>
      <c r="H14" s="70">
        <f>COUNTIFS('Error Log'!$A:$A,$A14,'Error Log'!$F:$F,"Source")</f>
        <v>0</v>
      </c>
      <c r="I14" s="70">
        <f>COUNTIFS('Error Log'!$A:$A,$A14,'Error Log'!$F:$F,"Target")</f>
        <v>0</v>
      </c>
      <c r="J14" s="71">
        <f t="shared" si="0"/>
        <v>70.588235294117652</v>
      </c>
    </row>
    <row r="15" spans="1:10">
      <c r="A15" s="92" t="s">
        <v>172</v>
      </c>
      <c r="B15" s="70" t="str">
        <f>IF(ISBLANK(A15),"",INDEX('Error Log'!$A:$J,MATCH('Scores per segment'!$A15,'Error Log'!$A:$A,0),MATCH('Scores per segment'!B$1,'Error Log'!$A$1:$J$1,0)))</f>
        <v>a teenager set herself on fire after allegedly being raped by five men from her village in india – and her family reportedly told her to keep quiet about the attack . the 14-year-old is now fighting for her life in delhi’s safdarjung hospital with 70 per cent burns . she was allegedly gang-raped on sunday when she went outside her house in kosi kalan , in uttar pradesh 's mathura district , to relieve herself . scroll down for video . a teenager set herself on fire after allegedly being raped by five men from her village in india . she is now recovering in delhi’s safdarjung hospital ( pictured ) . she was allegedly gang-raped on sunday when she went outside her house in kosi kalan , in uttar pradesh 's mathura district , to relieve herself ( file image ) . on tuesday she set herself on fire using kerosene , according to ndtv , to the shock of her brother , who doused her with water . he told the broadcaster : ‘ when i woke up , i saw her in flames ... i poured water on her to put out the flames . ’ the girl was screaming for help , according to a neighbour . the accused men have been arrested . there is a heightened sensitivity to the issue of sexual assault in india at the moment after officials last month banned india 's daughter , a documentary about the gang rape and murder of an indian student in delhi . recent attacks in india have resulted in street protests with many calling for more protection for women . officials said the documentary would cause further disorder if it was shown , following a number of protests and incidents of vigilante justice in the country . the documentary explained the brutal rape and murder of 23-year-old student jyoti singh , who was attacked on a bus when she returned home from the cinema . one of the six men convicted of the attack , bus driver mukesh singh , was interviewed in prison and told researchers that had jyoti not fought back she would not have been killed . her death led to protests throughout india and outraged the world . last month an angry mob were seen on video footage beating a man to death in the street who was accused of raping and murdering an 11-year-old girl . video footage has emerged of the brutal prolonged attack on the 18-year-old , which was watched by a jeering 1,000-strong crowd in nagaland in eastern india . ibo cha was said to have been beaten for an hour before he died of his injuries . the footage was shot in september last year after the girl 's body was found in woodland , enraging locals . but it only came to light after earlier this year alleged rapist syed sarif khan was kidnapped from prison and dragged through the streets of the same area . he was then stripped naked and beaten to death . he was accused but not convicted of raping a 19-year-old female student multiple times . later nagaland government said he was innocent . jyoti singh pandey , a physiotherapy student , was gang raped as she travelled on a bus . the 23-year-old suffered in hospital for 13 days from her injuries before she died . vinay sharma , 20 , akshay thakur , 28 , pawan gupta , 19 , and mukesh singh , 26 , were all sentenced to death for her rape . ram singh , co-accused and widely considered the leader of the group , was found dead in his cell . a minor also found guilty was sentenced to three years in a reformatory institution . her death sparked angry protests in india and internationally about misogyny in the country . the attention forced judges to prioritise the case and the lawyer 's association in saket reportedly refused to defend the perpetrators .  sorry we are not currently accepting comments on this article .</v>
      </c>
      <c r="C15" s="70" t="str">
        <f>IF(ISBLANK(A15),"",INDEX('Error Log'!$A:$J,MATCH('Scores per segment'!$A15,'Error Log'!$A:$A,0),MATCH('Scores per segment'!C$1,'Error Log'!$A$1:$J$1,0)))</f>
        <v>the 14-year-old is now fighting for her life in delhi’s safdarjung hospital .
she was allegedly gang-raped on sunday when she went outside her house .
she was allegedly gang-raped on sunday when she went outside her house .
she set herself on fire using kerosene , according to ndtv .</v>
      </c>
      <c r="D15" s="70">
        <f>IF(H15=0,wdct(TRIM(C15)),0)</f>
        <v>47</v>
      </c>
      <c r="E15" s="70">
        <f>COUNTIFS('Error Log'!$A:$A,$A15,'Error Log'!$J:$J,E$1)</f>
        <v>3</v>
      </c>
      <c r="F15" s="70">
        <f>COUNTIFS('Error Log'!$A:$A,$A15,'Error Log'!$J:$J,F$1)</f>
        <v>1</v>
      </c>
      <c r="G15" s="70">
        <f>COUNTIFS('Error Log'!$A:$A,$A15,'Error Log'!$J:$J,G$1)</f>
        <v>0</v>
      </c>
      <c r="H15" s="70">
        <f>COUNTIFS('Error Log'!$A:$A,$A15,'Error Log'!$F:$F,"Source")</f>
        <v>0</v>
      </c>
      <c r="I15" s="70">
        <f>COUNTIFS('Error Log'!$A:$A,$A15,'Error Log'!$F:$F,"Target")</f>
        <v>0</v>
      </c>
      <c r="J15" s="71">
        <f t="shared" si="0"/>
        <v>62.765957446808514</v>
      </c>
    </row>
    <row r="16" spans="1:10">
      <c r="A16" s="92" t="s">
        <v>180</v>
      </c>
      <c r="B16" s="70" t="str">
        <f>IF(ISBLANK(A16),"",INDEX('Error Log'!$A:$J,MATCH('Scores per segment'!$A16,'Error Log'!$A:$A,0),MATCH('Scores per segment'!B$1,'Error Log'!$A$1:$J$1,0)))</f>
        <v>a mother of a baby boy was arrested 27 years after his body was found wrapped in a blanket inside a sainsbury 's bag floating on a village pond . police exhumed the boy 's body from his grave in norfolk last year after the case came up for periodical review . a dna sample eventually led them to his mother . the woman , who has not been named , was arrested on suspicion of infanticide but the charge was dropped after she explained how the baby had been stillborn and that she had concealed the pregnancy from her family and friends . she explained how she had placed her dead baby in the pond in the village of weasenham st peter on june 5 , 1988 , just a few days before it was found by teenagers on a sunday afternoon outing . scroll down for video . unsolved case : a police officer searches windmill pit , the norfolk pond where the baby boy 's body was found back in 1988 . the boy 's body was exhumed by officers as part of a case review , with dna samples leading police to the boy 's mother . he has now been reburied at weasenham st peter church , norfolk . police said they have ruled out any foul play and the woman remains on bail while the cps decide whether to charge her with failing to register a birth and preventing a lawful burial . during the original investigation , police had been unable to identify the mother and villagers carried out a collection to raise money to pay for the baby 's burial at 13th century st peter 's church in the village . a report in the eastern daily press from 1988 tells how the body was found floating on the pond . but after the body was exhumed in april last year , dna taken from his leg bone was put through the national police database which found a match for a possible relative of one of the parents . detectives examined that person 's family tree and identified the woman who admitted being the boy 's mother . a police spokesman said : ' in this case it was not clear how the baby died despite a post mortem examination and the circumstances surrounding the death remained the focus of the investigation . ' thanks to advances in dna we were able to trace the mother of the baby and during interview the woman revealed she had concealed her pregnancy from family and friends and delivered the baby by herself . ' sadly the baby was delivered stillborn and we are satisfied there was no third party involvement or foul play . ' det insp andy guy , of norfolk police who led the investigation said the dna was compared to five million samples on the national database . he said : ' it came back with a match of a family member and by looking at that family we were able to find a lady of the right age . ' we went to see that individual and she told us she was mum . she was arrested on suspicion of infanticide . ' we were then given an account by the lady concerned who gave details about the birth and details only the mother would know to myself and the officer who interviewed her . ' the pregnancy was concealed from everybody . she did n't tell her family , her close friends , she gave birth in secret . the baby was stillborn . ' the woman told officers how she placed her dead baby in the pond , known locally as windmill pit , before it was found by a group of teenagers . the boy was originally buried without a name but a support group for parents of stillborn children raised the money for a new headstone giving his name as peter after the name of the church . a second post-mortem carried out on the remains last year found no evidence of foul play . an inquest held in 1988 body also failed to establish a cause of death . the baby boy was re-buried in the churchyard on june 5 last year - the 26th anniversary of his discovery - he was named peter after the name of the church . det insp guy said police were now satisfied that nobody else had been involved at the time . he added : ' this has been unsolved for 27 years . by using the latest techniques , we 've solved something which has been a mystery for a long time . ' ' we do n't ever give up . all the unsolved cases we have going back to the 60s are still on our books and they 're reviewed at regular intervals . ' det insp guy said the small team of officers involved in the case had ' mixed feelings ' after bringing the investigation to a final close . he said : ' from a police officer 's perspective , it 's fantastic . from a human perspective you can only have empathy for the woman and imagine how terrible it was for her . ' the grave of the baby was originally marked by a simple wooden cross , which read : ' in loving memory of unknown baby boy . born and died 1988 . ' a support group called hana 's gift for families who have suffered a stillbirth has now paid for a new headstone giving his name as peter . the inscription reads : ' in loving memory of baby peter , june 1988 . a sweet little child , lost but then found , to bloom and grow in heaven 's playground . there is no foot so small that it can not leave an imprint on the world . ' tranquil : the pond in the village of weasenham st peter , norfolk , as it is today . karen murray-tye who set up hana 's gift charity after her daughter was stillborn in 2006 , said : ' it was quite hard to find the right words , but i thought the ' lost but found ' fitted the circumstances . ' i hope she sees we 've tried to do the best for him as we have for hana . it would be lovely if it made her think she could have some support if she came forward . ' norfolk coroner 's chaplain chris copsey said : ' when the coffin was exhumed all that was left was a little plaque that said ' unnamed baby boy ' . ' it seemed terrible to bury an unnamed baby boy so i took the name of the church , st peter 's church . '  sorry we are not currently accepting comments on this article .</v>
      </c>
      <c r="C16" s="70" t="str">
        <f>IF(ISBLANK(A16),"",INDEX('Error Log'!$A:$J,MATCH('Scores per segment'!$A16,'Error Log'!$A:$A,0),MATCH('Scores per segment'!C$1,'Error Log'!$A$1:$J$1,0)))</f>
        <v>baby boy 's remains were exhumed last year after case came up for review .
dna led police to the mother who was arrested on suspicion of infanticide .
but the charge was dropped after she explained the baby was stillborn .
cps may now charge her with failing to register the birth and preventing a lawful burial .</v>
      </c>
      <c r="D16" s="70">
        <f>IF(H16=0,wdct(TRIM(C16)),0)</f>
        <v>55</v>
      </c>
      <c r="E16" s="70">
        <f>COUNTIFS('Error Log'!$A:$A,$A16,'Error Log'!$J:$J,E$1)</f>
        <v>1</v>
      </c>
      <c r="F16" s="70">
        <f>COUNTIFS('Error Log'!$A:$A,$A16,'Error Log'!$J:$J,F$1)</f>
        <v>0</v>
      </c>
      <c r="G16" s="70">
        <f>COUNTIFS('Error Log'!$A:$A,$A16,'Error Log'!$J:$J,G$1)</f>
        <v>0</v>
      </c>
      <c r="H16" s="70">
        <f>COUNTIFS('Error Log'!$A:$A,$A16,'Error Log'!$F:$F,"Source")</f>
        <v>0</v>
      </c>
      <c r="I16" s="70">
        <f>COUNTIFS('Error Log'!$A:$A,$A16,'Error Log'!$F:$F,"Target")</f>
        <v>0</v>
      </c>
      <c r="J16" s="71">
        <f t="shared" si="0"/>
        <v>90.909090909090907</v>
      </c>
    </row>
    <row r="17" spans="1:10">
      <c r="A17" s="95" t="s">
        <v>184</v>
      </c>
      <c r="B17" s="70" t="str">
        <f>IF(ISBLANK(A17),"",INDEX('Error Log'!$A:$J,MATCH('Scores per segment'!$A17,'Error Log'!$A:$A,0),MATCH('Scores per segment'!B$1,'Error Log'!$A$1:$J$1,0)))</f>
        <v>manchester united manager louis van gaal says he has been dreaming of beating rivals city in sunday 's derby at old trafford but will have to do so without robin van persie . van persie said he was fit to feature in the game against city on sunday after ankle trouble but van gaal has ruled him out . ' most of the players are fit but being fit for me is different , ' van gaal said . robin van persie will not return to the fray for manchester united against manchester city on sunday . louis van gaal explained at his press conference on friday that van persie is not yet fit enough to play . united players train in the sunshine ahead of their game against local rivals city on sunday . ' robin is not fit enough to play . ' with city rocking after defeat at crystal palace on monday , van gaal and his players have an opportunity to finish as high as second or third and avoid a champions league qualifying fixture later in the summer . the united boss wants his side to move towards that target by taking all three points against city . van gaal said : ' i dream of it . every player should dream of the victory . ' of course i want to win because it 's a big step up the table also . if we win then third place is available . van gaal watches on as he prepares his side for his first manchester derby at old trafford . manager van gaal ( left ) oversees the training while captain wayne rooney runs with the ball . goalkeeper david de gea ( left ) , winger angel di maria ( centre ) and radamel falcao were in training action . rooney leads the way in training as he runs through some cones in the sunshine on friday in manchester . ( left to right ) di maria , juan mata , falcao , marcos rojo and ander herrera prepare to take on city . ' a few months ago , nobody would have thought about that , apart from me . ' if we win then the position in the table is good as we would then almost certainly be qualified for the top four . and if we are third it 's better than the goal we set in pre-season . ' van gaal acknowledged that city will provide a stern challenge to his team and played down the idea he will be motivated by revenge , after losing the away fixture earlier in the campaign . ' we have lost 1-0 , that is my history , the last game , ' van gaal said . ' i say always in such games , always , you have to control your aggression . ' we did not do that at that time . so i hope we have learned from that moment . i can not say because we lost that game that we have to win this game . ' in my opinion , you can lose to man city two times . that is possible . ' the united boss also ruled out a potential return for luke shaw . like van persie , van gaal does not yet consider him fit enough to feature . ' i don’t think shaw is fit enough to play , ' van gaal said . ' but i can not say they are not fit , but in my opinion they are not fit to play . that is a different question . ' luke shaw is another player yet to be at the standard of match fitness required by van gaal . ( left to right ) rooney , ashley young , goalkeeper anders lindegaard and michael carrick have a breather . falcao ( left ) and antonio valencia ( second right ) look in high spirits as they prepare for the derby . herrera will be hoping to continue the fine form that has seen him become one of united 's key players recently . van gaal admitted he is looking forward to sampling the derby atmosphere at old trafford , as he takes on city with home advantage for the first time since arriving at the club . ' when i see the fans of man utd , they are supporting us in a marvellous way , i think , ' van gaal said . ' after matches , i give our fans a big compliment , not because i have to , because then i wouldn’t say it . i say it because i feel it . '</v>
      </c>
      <c r="C17" s="70" t="str">
        <f>IF(ISBLANK(A17),"",INDEX('Error Log'!$A:$J,MATCH('Scores per segment'!$A17,'Error Log'!$A:$A,0),MATCH('Scores per segment'!C$1,'Error Log'!$A$1:$J$1,0)))</f>
        <v>robin van persie will not return to the fray for manchester united .
robin van persie will not return to the fray for manchester united .
robin van persie will not return to the fray for manchester united .</v>
      </c>
      <c r="D17" s="70">
        <f>IF(H17=0,wdct(TRIM(C17)),0)</f>
        <v>36</v>
      </c>
      <c r="E17" s="70">
        <f>COUNTIFS('Error Log'!$A:$A,$A17,'Error Log'!$J:$J,E$1)</f>
        <v>3</v>
      </c>
      <c r="F17" s="70">
        <f>COUNTIFS('Error Log'!$A:$A,$A17,'Error Log'!$J:$J,F$1)</f>
        <v>2</v>
      </c>
      <c r="G17" s="70">
        <f>COUNTIFS('Error Log'!$A:$A,$A17,'Error Log'!$J:$J,G$1)</f>
        <v>0</v>
      </c>
      <c r="H17" s="70">
        <f>COUNTIFS('Error Log'!$A:$A,$A17,'Error Log'!$F:$F,"Source")</f>
        <v>0</v>
      </c>
      <c r="I17" s="70">
        <f>COUNTIFS('Error Log'!$A:$A,$A17,'Error Log'!$F:$F,"Target")</f>
        <v>0</v>
      </c>
      <c r="J17" s="71">
        <f t="shared" si="0"/>
        <v>44.444444444444443</v>
      </c>
    </row>
    <row r="18" spans="1:10">
      <c r="A18" s="92" t="s">
        <v>192</v>
      </c>
      <c r="B18" s="70" t="str">
        <f>IF(ISBLANK(A18),"",INDEX('Error Log'!$A:$J,MATCH('Scores per segment'!$A18,'Error Log'!$A:$A,0),MATCH('Scores per segment'!B$1,'Error Log'!$A$1:$J$1,0)))</f>
        <v xml:space="preserve">a taxi driver has been ordered to pay compensation to a passenger who was left with severe brain injuries after he jumped out of the moving car . kristopher hicks , now 27 , was on his way home from a night out in bath , somerset , with his girlfriend in a taxi driven by michael young , 56 , five years ago . mr young , a former soldier , had mistakenly believed mr hicks was planning to ' do a runner ' and decided to drive him back to the rank in a bid to teach him a lesson . but when mr hicks objected , the driver continued on for almost a mile , leading him to jump from the vehicle while it was travelling at more than 20mph . he suffered devastating brain injuries , developed epilepsy and now requires round-the-clock care from his mother . mr hicks ' family , from bath , took driver mr young to the high court ( pictured ) , where a judge ruled he had unlawfully imprisoned his passenger . mr hicks ' family , from bath , took mr young to the high court . there , mr justice edis ruled the driver had unlawfully imprisoned mr hicks , who was therefore entitled to damages . the exact amount of compensation is yet to be decided - but is set to be around 50 per cent of what the family had requested and thought to be ' hundreds of thousands of pounds ' . speaking on behalf of the family , lawyer james davies said : ' this was a terrible incident in which kristopher suffered a very severe brain injury leaving him needing care for the rest of his life . ' the latest judgement agrees that kristopher is entitled to a settlement to provide specialist rehabilitation and care which will help maximise his progress . ' mr hicks , who was 23 at the time of the incident , had gotten into the taxi with his girlfriend abigail noad at orange grove taxi rank in bath to his home in the foxhill area , according to high court documents . in a police interview , mr young said he had become suspicious after hearing ms noad joke that the couple were not going to ' do a runner ' . deciding the issue of liability , the judge said mr young mistakenly decided mr hicks was not going to pay the fare on november 2 in 2010 , adding there was no basis for him to think so . the driver had decided to take mr hicks back to the rank to cause him as much inconvenience as possible . mr hicks , who found himself being unlawfully driven off by a stranger into the night , decided he should try to escape . mr justice edis said : ' the end result is that the claimant decided to jump out of the taxi at a dangerous speed . i do not know why he did this . ' it may have been that he misjudged the speed and thought it was safe to do so , but the true motive will never be known . ' he said had mr hicks jumped out when it was stationary at lights there would be no permanent damage . mr hicks had gotten into the taxi at the orange grove rank in bath ( pictured ) in 2010 with his girlfriend . ' i have broadly accepted the evidence of the defendant and therefore find that his intention was not to do anything other than to return him to the rank where he would be released , ' he added . ' this is the kind of conduct which creates a significant risk to life and limb as this case demonstrates . ' the judge said it was a ' stark and unattractive choice ' to decide between the two - and concluded there should be a 50 per cent reduction in the damages payable to mr hicks . he was also entitled to a further £250 for unlawful imprisonment . lawyers representing mr hicks said the incident left him with ' devastating ' brain injuries and he is now being cared for by his mother gill . speaking at the time the claim was lodged with the high court , james davies , said : ' whilst he has undergone extensive treatment and rehabilitation , he has developed post-traumatic epilepsy , headaches , fatigue , suffers social and behavioural problems and has no sense of taste or smell . ' he is reliant on 24-hour care from his mum and is unable to work . ' both sides were given permission to appeal and a further hearing will determine the amount which mr young will have to pay . </v>
      </c>
      <c r="C18" s="70" t="str">
        <f>IF(ISBLANK(A18),"",INDEX('Error Log'!$A:$J,MATCH('Scores per segment'!$A18,'Error Log'!$A:$A,0),MATCH('Scores per segment'!C$1,'Error Log'!$A$1:$J$1,0)))</f>
        <v>kristopher hicks , 27 , was on his way home from a night out in bath , somerset .
he suffered devastating brain injuries , developed epilepsy and now requires round-the-clock care from his mother .
mr young , a former soldier , had mistakenly believed mr hicks was planning to ' do a runner ' .
he suffered devastating brain injuries , developed epilepsy and now requires round-the-clock care from his mother .
mr hicks ' family , from bath , took mr young to the high court .</v>
      </c>
      <c r="D18" s="70">
        <f>IF(H18=0,wdct(TRIM(C18)),0)</f>
        <v>73</v>
      </c>
      <c r="E18" s="70">
        <f>COUNTIFS('Error Log'!$A:$A,$A18,'Error Log'!$J:$J,E$1)</f>
        <v>2</v>
      </c>
      <c r="F18" s="70">
        <f>COUNTIFS('Error Log'!$A:$A,$A18,'Error Log'!$J:$J,F$1)</f>
        <v>3</v>
      </c>
      <c r="G18" s="70">
        <f>COUNTIFS('Error Log'!$A:$A,$A18,'Error Log'!$J:$J,G$1)</f>
        <v>0</v>
      </c>
      <c r="H18" s="70">
        <f>COUNTIFS('Error Log'!$A:$A,$A18,'Error Log'!$F:$F,"Source")</f>
        <v>0</v>
      </c>
      <c r="I18" s="70">
        <f>COUNTIFS('Error Log'!$A:$A,$A18,'Error Log'!$F:$F,"Target")</f>
        <v>0</v>
      </c>
      <c r="J18" s="71">
        <f t="shared" si="0"/>
        <v>76.027397260273972</v>
      </c>
    </row>
    <row r="19" spans="1:10">
      <c r="A19" s="92" t="s">
        <v>201</v>
      </c>
      <c r="B19" s="70" t="str">
        <f>IF(ISBLANK(A19),"",INDEX('Error Log'!$A:$J,MATCH('Scores per segment'!$A19,'Error Log'!$A:$A,0),MATCH('Scores per segment'!B$1,'Error Log'!$A$1:$J$1,0)))</f>
        <v>a section of arsenal and liverpool fans left their seats empty at the emirates stadium for the first 10 minutes of their lunchtime barclays premier league clash in a protest against ticket prices . supporters from both clubs say they are ' disgusted ' at the continuing rise of ticket prices , with the protest coming in the aftermath of the announcement of the premier league 's £5.14billion tv rights deal with banners held up inside and outside the ground . with tickets at the sold-out emirates starting from £64 for the 12.45pm kick-off , protesters hope the image of empty seats around the ground will raise awareness of the struggles fans face to meet the rising costs of following their clubs . fans inside the emirates stadium display a banner reading : '£5bn and what do we get ? £64 a ticket ' . the cheapest tickets for the lunchtime kick-off were £64 , some of the highest prices in the premier league . supporters of both sides gathered outside the 60,000-capacity stadium before kick-off to show off banners against the rising costs of modern football . a banner inside the stadium , held between the home and away ends , read : '£5bn and what do we get ? £64 a ticket ' . ahead of the game , kelvin meadows of arsenal 's black scarf movement - who organised the event with liverpool's spirit of shankly and spion kop 1906 fan groups - called ticket prices ' extortionate ' . ' in the pursuit of money football has sold it 's soul , ' he said . ' the fans are that soul and no one cares about the match going fans . arsenal and liverpool fans unite outside the emirates stadium in a protest against ticket prices . fans show off a banner reading ' football without fans is nothing ' outside the stadium before kick-off . ' we put up with late fixture changes , unreasonable kick off times and ridiculously high prices . we do it ' cos of the love of our team . ' but the tide is turning . old rivalries are being put aside as fans from all clubs come together . away fans help make the event but have to pay extortionate prices . then we 're told to `` sit down , shut up '' . ' roy bentham of spirit of shankly said : ' we want tangible reductions in line with what working class people earn . we may lose a generation or more of fans otherwise unless the footballing authorities wake up . ' further protests are expected after full-time at the emirates .</v>
      </c>
      <c r="C19" s="70" t="str">
        <f>IF(ISBLANK(A19),"",INDEX('Error Log'!$A:$J,MATCH('Scores per segment'!$A19,'Error Log'!$A:$A,0),MATCH('Scores per segment'!C$1,'Error Log'!$A$1:$J$1,0)))</f>
        <v>arsenal and liverpool fans left their seats empty at the emirates stadium .
the cheapest tickets for the lunchtime kick-off were £64 , some of the highest prices in the premier league .
protesters hope the image of empty seats will raise awareness of the struggles fans face to meet the rising costs of following their clubs .</v>
      </c>
      <c r="D19" s="70">
        <f>IF(H19=0,wdct(TRIM(C19)),0)</f>
        <v>54</v>
      </c>
      <c r="E19" s="70">
        <f>COUNTIFS('Error Log'!$A:$A,$A19,'Error Log'!$J:$J,E$1)</f>
        <v>3</v>
      </c>
      <c r="F19" s="70">
        <f>COUNTIFS('Error Log'!$A:$A,$A19,'Error Log'!$J:$J,F$1)</f>
        <v>2</v>
      </c>
      <c r="G19" s="70">
        <f>COUNTIFS('Error Log'!$A:$A,$A19,'Error Log'!$J:$J,G$1)</f>
        <v>1</v>
      </c>
      <c r="H19" s="70">
        <f>COUNTIFS('Error Log'!$A:$A,$A19,'Error Log'!$F:$F,"Source")</f>
        <v>0</v>
      </c>
      <c r="I19" s="70">
        <f>COUNTIFS('Error Log'!$A:$A,$A19,'Error Log'!$F:$F,"Target")</f>
        <v>0</v>
      </c>
      <c r="J19" s="71">
        <f t="shared" si="0"/>
        <v>62.037037037037038</v>
      </c>
    </row>
    <row r="20" spans="1:10">
      <c r="A20" s="92" t="s">
        <v>211</v>
      </c>
      <c r="B20" s="70" t="str">
        <f>IF(ISBLANK(A20),"",INDEX('Error Log'!$A:$J,MATCH('Scores per segment'!$A20,'Error Log'!$A:$A,0),MATCH('Scores per segment'!B$1,'Error Log'!$A$1:$J$1,0)))</f>
        <v>( cnn ) tornado sirens blared wednesday night in kansas as several storms brought reports of twisters . spotters reported a tornado about 6 miles northwest of goddard , which is less than 15 miles west of wichita . that storm moved to the northeast , missing the city , but posing potential risks to other communities . `` there will be storms ... that pop up all night long , '' said cnn severe weather expert chad myers . `` nighttime tornadoes are the most deadly , are the most dangerous . '' other reports of tornadoes came in from southwestern kansas , according to the storm prediction center . three of the sightings were near aetna , 125 miles southwest of wichita . kansas was n't the only state affected by the storms . the national weather service indicated a tornado may have touched down in the small town of potosi , missouri , about 70 miles from st. louis . cnn affiliate kmov reported that it had received reports of wind damage and flooding in the town . one instagram user there posted a photo of a fallen tree . aerial footage also showed damage to roofs and one street overtaken by water . not far away from potosi , shyler and christin strube in leadington posted an instagram picture of some unusual dark clouds . and a twitter user in farmington got bad news when he went out to his car . `` they were n't kidding when they said baseball size ( hail ) , '' kevin knox wrote . on thursday , more storms are expected in the midwest , mississippi river valley , tennessee river valley and near the southern great lakes , the weather service said . cnn 's sean morris and anneclaire stapleton contributed to this report .</v>
      </c>
      <c r="C20" s="70" t="str">
        <f>IF(ISBLANK(A20),"",INDEX('Error Log'!$A:$J,MATCH('Scores per segment'!$A20,'Error Log'!$A:$A,0),MATCH('Scores per segment'!C$1,'Error Log'!$A$1:$J$1,0)))</f>
        <v>sirens blared wednesday night in kansas as several storms brought reports of twisters .
`` nighttime tornadoes are the most deadly , are the most dangerous , '' other reports of tornadoes came in from southwestern kansas .</v>
      </c>
      <c r="D20" s="70">
        <f>IF(H20=0,wdct(TRIM(C20)),0)</f>
        <v>32</v>
      </c>
      <c r="E20" s="70">
        <f>COUNTIFS('Error Log'!$A:$A,$A20,'Error Log'!$J:$J,E$1)</f>
        <v>3</v>
      </c>
      <c r="F20" s="70">
        <f>COUNTIFS('Error Log'!$A:$A,$A20,'Error Log'!$J:$J,F$1)</f>
        <v>2</v>
      </c>
      <c r="G20" s="70">
        <f>COUNTIFS('Error Log'!$A:$A,$A20,'Error Log'!$J:$J,G$1)</f>
        <v>0</v>
      </c>
      <c r="H20" s="70">
        <f>COUNTIFS('Error Log'!$A:$A,$A20,'Error Log'!$F:$F,"Source")</f>
        <v>0</v>
      </c>
      <c r="I20" s="70">
        <f>COUNTIFS('Error Log'!$A:$A,$A20,'Error Log'!$F:$F,"Target")</f>
        <v>0</v>
      </c>
      <c r="J20" s="71">
        <f t="shared" si="0"/>
        <v>37.5</v>
      </c>
    </row>
    <row r="21" spans="1:10">
      <c r="A21" s="95" t="s">
        <v>220</v>
      </c>
      <c r="B21" s="70" t="str">
        <f>IF(ISBLANK(A21),"",INDEX('Error Log'!$A:$J,MATCH('Scores per segment'!$A21,'Error Log'!$A:$A,0),MATCH('Scores per segment'!B$1,'Error Log'!$A$1:$J$1,0)))</f>
        <v>a newborn baby with a life-threatening liver condition has been saved after undergoing a transplant from her mother 's twin sister . star reader was diagnosed with biliary atresia within days of being born in barnsley , west yorkshire . after undergoing an operation to have her bile ducts unblocked , her parents , jade reader and matthew bygrave , were told the infant would need a liver transplant in order to survive . jade reader ( left ) said she was ' overcome with emotion ' when her twin sister shanell ( right ) gave up part of her liver to save niece star . with neither parent a suitable match , her maternal aunt shanell reader offered part of her organ , and has since saved her niece 's life . star 's parents feared she was unwell after noticing her skin turning a yellowy tinge shortly after birth . while jaundice is common among babies , the colour did not leave her little body for weeks , prompting doctors to run tests on her liver . ' we didn’t think it was anything serious at first . matthew had jaundice when he was a baby and he just had to go back into hospital and go under a lamp , ' said miss reader , 24 . doctors discovered the baby 's bile ducts were blocked , a condition that can prove fatal if untreated . following an unsuccessful attempt to unclog them , a liver transplant was the family 's only option . within days of being born , star 's parents knew something was wrong when she her skin turned a yellowy tinge . while the baby 's mother was not a suitable match , her twin sister proved an ideal candidate . they are pictured as children . ' we were utterly shocked when we were told what star had . we had never thought it was anything like that . ‘ when we knew that it could be life-threatening it was devastating . she was only a few weeks old and yet we may lose her , ' said her mother . biliary atresia affects about 1 in 16,000 babies at birth . in this condition , bile ducts are either blocked or absent . the cause of the condition is not clear and may vary . one of the most common early symptoms is jaundice ( a yellow appearance of the skin or whites of the eyes ) and pale stools . if untreated the condition can lead to liver failure and death . the most common treatments for biliary atresia is the kasai procedure ( surgery that allows bile to drain directly into the bowel ) . both parents volunteered for the surgery but were told neither was a good enough candidate for a partial liver transplant . miss reader 's twin sister shanell was tested and told that she would give the baby the best chance of survival . ' she said without any hesitation that she would do it and that star could have a piece of her liver . ' i was so overcome with emotion . she 's my twin sister and if it was the other way round , i 'd have done it to save her daughter too , ' added miss reader . star underwent the operation in november and , after spending six weeks in hospital . returned home where she has since made a good recovery . ‘ star has to have blood tests and liver function tests every week and she will be on anti rejection medication for the rest of her life . ‘ but now she has been given the chance to live a normal life - and it’s all thanks to my twin sister . i can’t thank her enough , ' her other added . speaking of the decision , shanell said : ' i didn’t hesitate to step forward to save star . she’s my niece and i would do anything to help her . ’ since the operation in november baby star has made a good recovery as has her aunt shanell who said she did not hesitate when confronted with the choice of giving up part of her liver .</v>
      </c>
      <c r="C21" s="70" t="str">
        <f>IF(ISBLANK(A21),"",INDEX('Error Log'!$A:$J,MATCH('Scores per segment'!$A21,'Error Log'!$A:$A,0),MATCH('Scores per segment'!C$1,'Error Log'!$A$1:$J$1,0)))</f>
        <v>jade reader was diagnosed with biliary atresia within days of being born in barnsley , west yorkshire .
after undergoing an operation to have her bile ducts unblocked , her parents , jade reader and matthew bygrave , were told the infant would need a liver transplant in order to survive .</v>
      </c>
      <c r="D21" s="70">
        <f>IF(H21=0,wdct(TRIM(C21)),0)</f>
        <v>46</v>
      </c>
      <c r="E21" s="70">
        <f>COUNTIFS('Error Log'!$A:$A,$A21,'Error Log'!$J:$J,E$1)</f>
        <v>3</v>
      </c>
      <c r="F21" s="70">
        <f>COUNTIFS('Error Log'!$A:$A,$A21,'Error Log'!$J:$J,F$1)</f>
        <v>0</v>
      </c>
      <c r="G21" s="70">
        <f>COUNTIFS('Error Log'!$A:$A,$A21,'Error Log'!$J:$J,G$1)</f>
        <v>0</v>
      </c>
      <c r="H21" s="70">
        <f>COUNTIFS('Error Log'!$A:$A,$A21,'Error Log'!$F:$F,"Source")</f>
        <v>0</v>
      </c>
      <c r="I21" s="70">
        <f>COUNTIFS('Error Log'!$A:$A,$A21,'Error Log'!$F:$F,"Target")</f>
        <v>0</v>
      </c>
      <c r="J21" s="71">
        <f t="shared" si="0"/>
        <v>67.391304347826093</v>
      </c>
    </row>
    <row r="22" spans="1:10">
      <c r="A22" s="95" t="s">
        <v>227</v>
      </c>
      <c r="B22" s="70" t="str">
        <f>IF(ISBLANK(A22),"",INDEX('Error Log'!$A:$J,MATCH('Scores per segment'!$A22,'Error Log'!$A:$A,0),MATCH('Scores per segment'!B$1,'Error Log'!$A$1:$J$1,0)))</f>
        <v xml:space="preserve">luke rockhold is ready to be the bull to lyoto machida 's matador when the middleweights collide in new jersey on saturday . the californian is bidding for his fourth consecutive victory since losing to vitor belfort two years ago and has a title shot in his sights . and he knows exactly what it will take to beat machida . lyoto machida ( left ) and luke rockhold face off ahead of their middleweight clash this weekend . ' a big set of balls . i 've just got to come forward and go out there and dominate him , ' he said . ' machida likes to run around and dance and do his thing . i 've just got to cut him off , slowly progress and be the bull . he tries to be the matador – sometimes you 've got to play one role or the other and this is the time to be the bull and slowly progress , put him in a bad spot and make him fight my fight . ' i 've seen little things that he does n't like – there 's plenty of other fights too that i 've seen that show a lot of holes and areas where i can take advantage of . ' you see fights where guys stand in the middle ground too long – i 've just got to make him think about everything . i 'm a true mixed martial artist ; i have everything to my game . he 's got to think about me taking him down , and then my kicks and my punches and everything that i bring to the table . ' machida has got a very small avenue to win this fight on the feet . other than that , my avenue is quite big comparably to his.. . he does n't really have much of a chance on the ground . rockhold performs during an open workout as he bids to extend his winning streak to five . machida lands a side kick as he works out in front of fans and media . ' i 'll be operating at a different frequency than him – he does n't have the hip movement and the speed to keep up with me . ' and while rockhold afforded machida his respect , he has no plans to let it get in the way of victory . ' i think there is a mutual respect between machida and me – i respect what he does , ' he said . ' he 's one of the best in the game and has been for a long , long time . ' he 's right here at the top , where he 's been for the whole of his career . he 's a martial artist – he lives by the code . a lot of people love his fighting style , a lot of people hate his fighting style , but you have to respect his fighting style . ' i respect what he does and i like a lot of the things he does . but at the same time , i 'm going to go out there and show him my style and dominate . ' i 've been running marathons every day so i 'm ready to go in there and chase him down . ' rockhold 's last victory came against michael bisping last november in australia . machida is also coming off the back of a victory , against cb dollaway in brazil . machida , meanwhile , is confident he can upset rockhold and earn himself a title shot . ' i think if i apply my style , my technique , i can stop luke , you know , ' he said . ' if i can do my strategy , i can win the fight . ' i know there was another fight in line for the title shot - jacare vs yoel romero – but now , whoever wins out of me and luke – deserves a title shot i think . ' i can see a couple of weaknesses in luke but it 's hard to say before the fight , it 's hard to foresee the fight . i have to be there to feel the fight- to see any mistakes he makes . ' i am very well prepared for this fight . i had eight weeks of camp and i had great training . glover [ teixeira ] was there and many , many other fighters . so i am feeling very well , very calm , and i think i can do a great job . '  </v>
      </c>
      <c r="C22" s="70" t="str">
        <f>IF(ISBLANK(A22),"",INDEX('Error Log'!$A:$J,MATCH('Scores per segment'!$A22,'Error Log'!$A:$A,0),MATCH('Scores per segment'!C$1,'Error Log'!$A$1:$J$1,0)))</f>
        <v>the californian is bidding for his fourth consecutive victory since losing to vitor belfort two years ago and has a title shot in his sights .
the californian is bidding for his fourth consecutive victory since losing to vitor belfort two years ago and has a title shot in his sights .</v>
      </c>
      <c r="D22" s="70">
        <f>IF(H22=0,wdct(TRIM(C22)),0)</f>
        <v>50</v>
      </c>
      <c r="E22" s="70">
        <f>COUNTIFS('Error Log'!$A:$A,$A22,'Error Log'!$J:$J,E$1)</f>
        <v>2</v>
      </c>
      <c r="F22" s="70">
        <f>COUNTIFS('Error Log'!$A:$A,$A22,'Error Log'!$J:$J,F$1)</f>
        <v>1</v>
      </c>
      <c r="G22" s="70">
        <f>COUNTIFS('Error Log'!$A:$A,$A22,'Error Log'!$J:$J,G$1)</f>
        <v>0</v>
      </c>
      <c r="H22" s="70">
        <f>COUNTIFS('Error Log'!$A:$A,$A22,'Error Log'!$F:$F,"Source")</f>
        <v>0</v>
      </c>
      <c r="I22" s="70">
        <f>COUNTIFS('Error Log'!$A:$A,$A22,'Error Log'!$F:$F,"Target")</f>
        <v>0</v>
      </c>
      <c r="J22" s="71">
        <f t="shared" si="0"/>
        <v>75</v>
      </c>
    </row>
    <row r="23" spans="1:10">
      <c r="A23" s="92" t="s">
        <v>234</v>
      </c>
      <c r="B23" s="70" t="str">
        <f>IF(ISBLANK(A23),"",INDEX('Error Log'!$A:$J,MATCH('Scores per segment'!$A23,'Error Log'!$A:$A,0),MATCH('Scores per segment'!B$1,'Error Log'!$A$1:$J$1,0)))</f>
        <v>on the pitch this season , chelsea have been hitting their targets ... and off it , eden hazard and three of his blues team-mates have been doing the same . taking part in audi 's football challenge , hazard and nathan ake paired up to take on loic remy and willian in a head-to-head challenge for the car manufacturers . in round one , the chelsea stars aim to fire balls into the boot of a car from close range , with hazard and ake securing the points with a 5-3 win . one of the challenges the chelsea players were set was to sink balls into convertible audi 's from long range . 17-goal man eden hazard and youngster nathan ake took on blues ' team-mates loic remy and willian . from there , they take to a makeshift tennis court , where the net is replaced by a £127,000 audi r8 v10 plus , and the players must play over the top of it . once again , it is 17-goal man hazard and his partner ake who come up trumps , winning the decider to take a 6-0 lead after the first two rounds . it is in the final game that most points are won , as the players shoot from long range aiming to sink their footballs through the top of a convertible audi . hazard poses next to a £127,000 r8 v10 plus audi , which played the part of tennis net in one challenge . the final challenge involved the players shooting at cars from long range , with remy and willian winning . hazard throws footballs up to his team-mate ake , who tries to fire them into the boot of an audi . willian and remy redeem themselves to produce a shock win over their team-mates , but the pair were involved in the biggest misfortune of the day on their way to victory . shown in a short clip at the very end of the video , willian can be seen smashing the wing mirror off one of the audi 's with a long-range effort . team-mate remy 's hands-on-head reaction says it all ... but we 're pretty sure he wo n't have to pay to repair the damage . remy puts his hands on his head after watching willian smash the wing mirror of one of the cars . willian laughs after being allowed to drive one of the audi 's that was part of the football challenge .</v>
      </c>
      <c r="C23" s="70" t="str">
        <f>IF(ISBLANK(A23),"",INDEX('Error Log'!$A:$J,MATCH('Scores per segment'!$A23,'Error Log'!$A:$A,0),MATCH('Scores per segment'!C$1,'Error Log'!$A$1:$J$1,0)))</f>
        <v>eden hazard and nathan ake paired up to take on loic remy and willian in a head-to-head challenge for the car manufacturers .
in round one , the chelsea stars aim to fire balls into the boot of a car from close range , with hazard and ake securing the points with a 5-3 win .</v>
      </c>
      <c r="D23" s="70">
        <f>IF(H23=0,wdct(TRIM(C23)),0)</f>
        <v>52</v>
      </c>
      <c r="E23" s="70">
        <f>COUNTIFS('Error Log'!$A:$A,$A23,'Error Log'!$J:$J,E$1)</f>
        <v>1</v>
      </c>
      <c r="F23" s="70">
        <f>COUNTIFS('Error Log'!$A:$A,$A23,'Error Log'!$J:$J,F$1)</f>
        <v>1</v>
      </c>
      <c r="G23" s="70">
        <f>COUNTIFS('Error Log'!$A:$A,$A23,'Error Log'!$J:$J,G$1)</f>
        <v>0</v>
      </c>
      <c r="H23" s="70">
        <f>COUNTIFS('Error Log'!$A:$A,$A23,'Error Log'!$F:$F,"Source")</f>
        <v>0</v>
      </c>
      <c r="I23" s="70">
        <f>COUNTIFS('Error Log'!$A:$A,$A23,'Error Log'!$F:$F,"Target")</f>
        <v>0</v>
      </c>
      <c r="J23" s="71">
        <f t="shared" si="0"/>
        <v>85.57692307692308</v>
      </c>
    </row>
    <row r="24" spans="1:10">
      <c r="A24" s="92" t="s">
        <v>239</v>
      </c>
      <c r="B24" s="70" t="str">
        <f>IF(ISBLANK(A24),"",INDEX('Error Log'!$A:$J,MATCH('Scores per segment'!$A24,'Error Log'!$A:$A,0),MATCH('Scores per segment'!B$1,'Error Log'!$A$1:$J$1,0)))</f>
        <v>this is the moment an aeroplane touched down on a runway without deploying its landing gear and skidded along the runway on its belly . captured in fort pierce , florida , the shocking footage shows the light general aviation aircraft approaching the aero acres residential airpark . despite the fact the aerostar plane travels at speed , its descent towards the landing strip appears normal until the video maker makes a startling observation . the light general aviation aircraft approaches the aero acres residential airpark and touches down without its landing gear deployed . he states that the landing gear has not been deployed and at that very moment the plane touches down with a bump and scratches along the tarmac . its propellers can be heard ricocheting off the ground as the wings bounce up and down from the impact . suddenly the pilot re-engages the engines and rather unceremoniously takes off back into the air . the plane 's propellers can be heard ricocheting off the ground as the wings bounce up and down from the impact . the video maker can be heard saying that the plane’s propellers have been damaged in the collision with the runway and that more than likely , the pilot will crash . he later said : ‘ i was walking down the flight line of aircraft that flew in for the day , which is close to the main runway and noticed this light twin aircraft coming in low . ‘ i noticed he did not have his landing gear down and thought he was going to do a fly-by , but then noticed the power was pulled back with the aircraft approaching for a landing with no landing gear . the plane scratches along the runway and the video maker describes the sound as ' one you will not forget ' . ‘ the belly and tips of the propellers impacted the runway ( the sound of the propellers hitting the surface was one sound you will not forget ) . ‘ once the pilot realized his mistake , he gave what appeared to be full throttle and both propellers pulled the front of the aircraft down with the propellers making a second impact with the runway . ‘ somehow the engines stayed on and running and the pilot was able to regain control while leaving the airport . the video maker noted that once the pilot realized his mistake he began re-engaging the engine . he added : ‘it’s amazing the aeroplane engines did not get destroyed during the propellers impact and the pilot did not stall during the forced take-off with the high angle of attack and damaged propellers . ’ according to wpbf 25 news , the plane’s pilot , chris georgaklis , 85 , managed to fly 100 miles to fort lauderdale after the incident and landed safely . mr georgaklis is said to have flown for almost 50 years and was accompanied on the trip by his dog , buddy . people look on as the damaged aircraft takes off from the runway and flies 100 miles to fort lauderdale , where it landed safely . the most common cause of a gear-up landing , also known as a belly landing or pancake landing , is human error – when the pilot simply forgets to deploy the landing gear before touchdown . another cause is mechanical fault , when an electric motor or a hydraulic actuator fails . the faa is said to be investigating the incident .</v>
      </c>
      <c r="C24" s="70" t="str">
        <f>IF(ISBLANK(A24),"",INDEX('Error Log'!$A:$J,MATCH('Scores per segment'!$A24,'Error Log'!$A:$A,0),MATCH('Scores per segment'!C$1,'Error Log'!$A$1:$J$1,0)))</f>
        <v>the light general aviation aircraft approaching the aero acres residential airpark .
despite the fact the aerostar plane travels at speed , its descent towards the landing strip appears normal until the video maker makes a startling observation .
the plane touches down with a bump and scratches along the tarmac .</v>
      </c>
      <c r="D24" s="70">
        <f>IF(H24=0,wdct(TRIM(C24)),0)</f>
        <v>48</v>
      </c>
      <c r="E24" s="70">
        <f>COUNTIFS('Error Log'!$A:$A,$A24,'Error Log'!$J:$J,E$1)</f>
        <v>3</v>
      </c>
      <c r="F24" s="70">
        <f>COUNTIFS('Error Log'!$A:$A,$A24,'Error Log'!$J:$J,F$1)</f>
        <v>2</v>
      </c>
      <c r="G24" s="70">
        <f>COUNTIFS('Error Log'!$A:$A,$A24,'Error Log'!$J:$J,G$1)</f>
        <v>0</v>
      </c>
      <c r="H24" s="70">
        <f>COUNTIFS('Error Log'!$A:$A,$A24,'Error Log'!$F:$F,"Source")</f>
        <v>0</v>
      </c>
      <c r="I24" s="70">
        <f>COUNTIFS('Error Log'!$A:$A,$A24,'Error Log'!$F:$F,"Target")</f>
        <v>0</v>
      </c>
      <c r="J24" s="71">
        <f t="shared" si="0"/>
        <v>58.333333333333329</v>
      </c>
    </row>
    <row r="25" spans="1:10">
      <c r="A25" s="92" t="s">
        <v>248</v>
      </c>
      <c r="B25" s="70" t="str">
        <f>IF(ISBLANK(A25),"",INDEX('Error Log'!$A:$J,MATCH('Scores per segment'!$A25,'Error Log'!$A:$A,0),MATCH('Scores per segment'!B$1,'Error Log'!$A$1:$J$1,0)))</f>
        <v xml:space="preserve">a former fortune 500 executive from new hampshire who caused a highway crash that killed a vermont couple and their unborn baby said during his sentencing wednesday that he was n't suicidal . prosecutors previously said that robert dellinger , 54 , told investigators he was trying to kill himself in december 2013 when he drove his pickup truck across a median at more than 100mph and plowed into an oncoming suv . the crash killed 24-year-old amanda murphy , who was eight months pregnant , and her fiance , 29-year-old jason timmons . speaking out : former fortune 500 executive robert dellinger , 54 , said in court during his sentencing wednesday that he was not suicidal on the day he crashed into a couple 's suv , killing them instantly . tragic : john timmons , 29 , and amanda murphy , 24 , were killed instantly in the crash on december 7 , 2013 . pregnant : this is an ultrasound of the couple 's unborn baby who they were going to call reagan elizabeth . during the first day of what is expected to be a two-day sentencing , the former executive at ppg industries inc told the court he has ' never been suicidal. , ' according to valley news . deborah dellinger , the defendant 's wife , described her husband from the witness stand wednesday as a ' man of ethics , integrity and friendship ' who has lived his life with ' grace and modesty , ' despite being plagued with serious health problems . addressing the victims ' families sitting in the courtroom , mrs dellinger said : ' we are devastated by the deaths of your loved ones . we have been and continue to pray every day for your collective peace and comfort . ' dellinger reportedly broke down in tears at the defense table as his wife was speaking to the relatives of murphy and timmons . crushed : this is a picture of the scene of the crash after dellinger careered over the central median in december 2013 . dellinger pleaded guilty in february to negligent homicide in the deaths of the young couple and to one count of assault for the fetus ' death . he faces 12 to 24 years in prison when sentencing resumes thursday . the defendant also faces a wrongful death lawsuit filed in february by the estate of amanda murphy . robert dellinger 's attorneys claimed that the former high-powered executive was suffering from ambien withdrawal , the effects of a psychiatric drug overdose and prozac , and the advanced symptoms of multiple sclerosis . dellinger , who held high-level posts at ppg industries inc. , sprint corp. , delphi corp. and general electric co. , told investigators he was trying to kill himself on december 7 , 2013 , when he steered his pickup across a highway median in lebanon , new hampshire . his truck became airborne and sheared the top off of the victims ' suv , causing injuries so severe that the medical examiner said the couple looked like they had been in a plane crash . the vermont couple , who had met while working at a home for the elderly , were killed instantly . dellinger , who suffered cuts on his head and face , was initially charged with two counts of reckless manslaughter , which were later upgraded to negligent homicide . arraignment : robert j. dellinger , was is arraigned by video at lebanon district court in lebanon , new hampshire , on december 11 , 2013 , a few days after the crash . according to the prosecution , the former executive had argued with his wife over his medications on the morning of the crash , wmur reported . ' he was driving around , depressed and loopy , ' senior assistant attorney general for new hampshire susan morrell said . ' he saw the median and decided to turn into it . ' dellinger 's lawyer , r. peter decato , however called the state 's comments ' over the top ' and said dellinger had led a ' productive and exemplary life . ' he took a severance package worth more than $ 1million in cash plus stocks when he left in 2011 because of health reasons , according to documents filed with the securities and exchange commission . records show that a dellinger family trust owns four property in the town of sunapee worth $ 3million in total . </v>
      </c>
      <c r="C25" s="70" t="str">
        <f>IF(ISBLANK(A25),"",INDEX('Error Log'!$A:$J,MATCH('Scores per segment'!$A25,'Error Log'!$A:$A,0),MATCH('Scores per segment'!C$1,'Error Log'!$A$1:$J$1,0)))</f>
        <v>john timmons , 29 , and amanda murphy , 24 , were killed instantly in the crash on december 7 , 2013 .
prosecutors previously said that robert dellinger , 54 , told investigators he was trying to kill himself in december 2013 when he drove his pickup truck across a median at more than 100mph .
the crash killed 24-year-old amanda murphy , who was eight months pregnant , and her fiance , 29-year-old jason timmons .</v>
      </c>
      <c r="D25" s="70">
        <f>IF(H25=0,wdct(TRIM(C25)),0)</f>
        <v>65</v>
      </c>
      <c r="E25" s="70">
        <f>COUNTIFS('Error Log'!$A:$A,$A25,'Error Log'!$J:$J,E$1)</f>
        <v>3</v>
      </c>
      <c r="F25" s="70">
        <f>COUNTIFS('Error Log'!$A:$A,$A25,'Error Log'!$J:$J,F$1)</f>
        <v>1</v>
      </c>
      <c r="G25" s="70">
        <f>COUNTIFS('Error Log'!$A:$A,$A25,'Error Log'!$J:$J,G$1)</f>
        <v>0</v>
      </c>
      <c r="H25" s="70">
        <f>COUNTIFS('Error Log'!$A:$A,$A25,'Error Log'!$F:$F,"Source")</f>
        <v>0</v>
      </c>
      <c r="I25" s="70">
        <f>COUNTIFS('Error Log'!$A:$A,$A25,'Error Log'!$F:$F,"Target")</f>
        <v>0</v>
      </c>
      <c r="J25" s="71">
        <f t="shared" si="0"/>
        <v>73.07692307692308</v>
      </c>
    </row>
    <row r="26" spans="1:10">
      <c r="A26" s="95" t="s">
        <v>256</v>
      </c>
      <c r="B26" s="70" t="str">
        <f>IF(ISBLANK(A26),"",INDEX('Error Log'!$A:$J,MATCH('Scores per segment'!$A26,'Error Log'!$A:$A,0),MATCH('Scores per segment'!B$1,'Error Log'!$A$1:$J$1,0)))</f>
        <v>manuel pellegrini has admitted he is disappointed in yaya toure but vowed to back the manchester city midfielder — at least until the end of the season . sportsmail revealed city would listen to offers for the ivorian as they look to overhaul an ageing squad at the end of a faltering campaign . toure is determined not to be forced out but the chilean , speaking ahead of sunday 's visit of west ham , acknowledged the midfielder had underperformed and dismissed claims he should be given a rest . manchester city midfielder yaya toure has come in for criticism for his performances this season . manuel pellegrini has admitted he has been disappointed by the ivory coast midfielder 's level . ‘ i don’t think he’s happy with his performance this year — and nor am i , ’ said pellegrini . ‘ he doesn’t need a break . ’ toure , who has two years left on a £220,000-a-week deal , has come in for criticism amid the collapse of city’s premier league defence . but pellegrini , who faces questions over his own future , said the 31-year-old would be backed . ‘he’s a very important player and he will have my support until the end of the season , ’ he said . city , who have taken just 18 points from the last available 39 , take on sam allardyce’s side knowing that defeat will leave fifth-placed liverpool with the chance to close the gap to one point with victory at west brom next weekend . city will also face the hammers without captain vincent kompany , who could miss the rest of the campaign with a muscle injury . with his manager in the firing line , city goalkeeper joe hart insisted the players should take responsibility . ‘ people have been disappointed in their own performances , ’ said the england no 1 . ‘we’ve let the manager down a few times and we’ve baffled ourselves because we feel like we’ve got the quality to beat anyone and that’s not been the case . ’ city boss pellegrini has vowed to support toure until at least the end of the season . sportsmail revealed that manchester city will listen to offers for toure in the summer . hart added that pellegrini retained the backing of the dressing room . ‘he’s been great , ’ hart said . ‘he’s hard , he kind of says it how it is and you can’t ask for much more than that from a manager . ’ pellegrini , however , said : ‘ the players have responsibility but i choose the players . ’ meanwhile sam allardyce has warned aaron cresswell not to make the same mistake as others amid interest from chelsea and manchester city . manchester city want to sign west ham left back aaron cresswell in the summer . sam allardyce has warned cresswell not to make same mistake as other english players by moving to city . allardyce believes the 25-year-old is an attractive prospect after a fine season at west ham and because he can help clubs fill homegrown player quotas . ‘ jack rodwell and scott sinclair spent time at city but did not play a great deal , ’ allardyce wrote in his evening standard column . ‘ the decision for a player like sinclair is would he be willing to join another club in a permanent deal if it meant less money ? ’</v>
      </c>
      <c r="C26" s="70" t="str">
        <f>IF(ISBLANK(A26),"",INDEX('Error Log'!$A:$J,MATCH('Scores per segment'!$A26,'Error Log'!$A:$A,0),MATCH('Scores per segment'!C$1,'Error Log'!$A$1:$J$1,0)))</f>
        <v>manuel pellegrini has admitted he has been disappointed by the ivory coast midfielder 's level .
manchester city midfielder had underperformed and dismissed claims he should be given a rest .
city will also face the hammers without captain vincent kompany .</v>
      </c>
      <c r="D26" s="70">
        <f>IF(H26=0,wdct(TRIM(C26)),0)</f>
        <v>39</v>
      </c>
      <c r="E26" s="70">
        <f>COUNTIFS('Error Log'!$A:$A,$A26,'Error Log'!$J:$J,E$1)</f>
        <v>3</v>
      </c>
      <c r="F26" s="70">
        <f>COUNTIFS('Error Log'!$A:$A,$A26,'Error Log'!$J:$J,F$1)</f>
        <v>1</v>
      </c>
      <c r="G26" s="70">
        <f>COUNTIFS('Error Log'!$A:$A,$A26,'Error Log'!$J:$J,G$1)</f>
        <v>0</v>
      </c>
      <c r="H26" s="70">
        <f>COUNTIFS('Error Log'!$A:$A,$A26,'Error Log'!$F:$F,"Source")</f>
        <v>0</v>
      </c>
      <c r="I26" s="70">
        <f>COUNTIFS('Error Log'!$A:$A,$A26,'Error Log'!$F:$F,"Target")</f>
        <v>0</v>
      </c>
      <c r="J26" s="71">
        <f t="shared" si="0"/>
        <v>55.128205128205124</v>
      </c>
    </row>
    <row r="27" spans="1:10">
      <c r="A27" s="92" t="s">
        <v>264</v>
      </c>
      <c r="B27" s="70" t="str">
        <f>IF(ISBLANK(A27),"",INDEX('Error Log'!$A:$J,MATCH('Scores per segment'!$A27,'Error Log'!$A:$A,0),MATCH('Scores per segment'!B$1,'Error Log'!$A$1:$J$1,0)))</f>
        <v xml:space="preserve">the ex of a woman convicted of killing their five-year-old son by poisoning him with salt has lashed out on facebook just days after she was sentenced to 20 years to life in prison . lacey spears of scottsville , kentucky , who was spared the maximum 25 years to life , appeared emotionless as the verdict was read in the death of her son garnett-paul spears . the boy 's father , chris hill , was not emotionless however and wrote of his wife 's sentence ; ' please put her in general population ! thats all im asking for ! because she wont make it . ' scroll down for video . garnett-paul spears ' ( left ) father chris hill ( right ) lashed at his ex and the boy 's mother on facebook this week expressing his hope that she would die in prison . lacey spears of scottsville , kentucky , was found guilty last month of second-degree murder in the death of her son at a suburban new york hospital ( pictured wednesday ) . she was spared the maximum 25 years to life and instead received 20 , showing no emotion when she was sentenced . as the conversation continued on his facebook page the father , who said he was tired of crying over the loss of his boy , stated ; ' crazy a** woman needs to be beat to death in prison . ' he also noted his ex 's complete lack of emotion at her sentencing , writing ; ' no emotion what so ever . what the hell ! ? ? ' the new york judge who sentenced spears on wednesday said she suffers from a mental illness and said the crime was still ' unfathomable in its cruelty . ' prosecutors asked for the maximum sentence , saying spears made her son ill because she had a bizarre need for attention . spears ' lawyer requested the minimum 15 years to life - he called her a hardworking single mother who gave her son unconditional love . prosecutors said spears loaded the hospitalized boy 's feeding tube with a lethal amount of salt and kept on blogging . poignant : spears is seen here with her son garnett . prosecutors said spears loaded the hospitalized boy 's feeding tube with a lethal amount of salt and kept on blogging . spears ' lawyer stephen riebling said she was innocent and blamed the hospital for negligence as he revealed plans to appeal the verdict . while awaiting sentencing , she was being held at westchester county jail in valhalla , said a spokesman for westchester district attorney janet difiore . prosecutors blamed spears , who lived in chestnut ridge , about 32 miles north of new york city , for her son 's short and tormented life . prosecutors blamed spears , who lived in chestnut ridge , about 32 miles ( 51 km ) north of new york city , for her son'sshort and tormented life . ' throughout his five years , garnett spears was forced to suffer through repeated hospitalizations , unneeded surgical procedures and ultimately poisoning with salt , all at the hands of the one person who should have been his ultimate protector : his mother , ' difiore said after spears was convicted . ' using the child 's ' illnesses ' to self aggrandize herself , her actions directly lead to her son 's tortured death , ' the prosecutor said . spears told investigators that her blond , blue-eyed son , whose father was killed in a car accident , suffered from a slew of medical problems from chrohn 's and celiac diseases to ear abnormalities , according to court papers . her social media posts about his ongoing problems and hospitalizations , including photos of his final hours on life support , were introduced as evidence by the prosecution at trial . spears did not testify at the trial . </v>
      </c>
      <c r="C27" s="70" t="str">
        <f>IF(ISBLANK(A27),"",INDEX('Error Log'!$A:$J,MATCH('Scores per segment'!$A27,'Error Log'!$A:$A,0),MATCH('Scores per segment'!C$1,'Error Log'!$A$1:$J$1,0)))</f>
        <v>lacey spears of scottsville , kentucky , was found guilty last month of second-degree murder in the death of her son at a suburban new york hospital .
the boy 's father , chris hill , was not emotionless however and wrote of his wife 's sentence ; ' please put her in general population ! thats all im asking for ! because she wont make it .
thats all im asking for ! because she wont make it ' .</v>
      </c>
      <c r="D27" s="70">
        <f>IF(H27=0,wdct(TRIM(C27)),0)</f>
        <v>68</v>
      </c>
      <c r="E27" s="70">
        <f>COUNTIFS('Error Log'!$A:$A,$A27,'Error Log'!$J:$J,E$1)</f>
        <v>3</v>
      </c>
      <c r="F27" s="70">
        <f>COUNTIFS('Error Log'!$A:$A,$A27,'Error Log'!$J:$J,F$1)</f>
        <v>1</v>
      </c>
      <c r="G27" s="70">
        <f>COUNTIFS('Error Log'!$A:$A,$A27,'Error Log'!$J:$J,G$1)</f>
        <v>0</v>
      </c>
      <c r="H27" s="70">
        <f>COUNTIFS('Error Log'!$A:$A,$A27,'Error Log'!$F:$F,"Source")</f>
        <v>0</v>
      </c>
      <c r="I27" s="70">
        <f>COUNTIFS('Error Log'!$A:$A,$A27,'Error Log'!$F:$F,"Target")</f>
        <v>0</v>
      </c>
      <c r="J27" s="71">
        <f t="shared" si="0"/>
        <v>74.264705882352942</v>
      </c>
    </row>
    <row r="28" spans="1:10">
      <c r="A28" s="95" t="s">
        <v>272</v>
      </c>
      <c r="B28" s="70" t="str">
        <f>IF(ISBLANK(A28),"",INDEX('Error Log'!$A:$J,MATCH('Scores per segment'!$A28,'Error Log'!$A:$A,0),MATCH('Scores per segment'!B$1,'Error Log'!$A$1:$J$1,0)))</f>
        <v>a sicilian mafia fugitive dubbed the godfather of uxbridge who was set to be extradited to italy will be allowed to remain in the uk after his sentence was dropped . domenico rancadore , who has lived in britain for more than 20 years , was given a seven-year sentence by an italian court in 1999 for being a member of the cosa nostra . in february he lost his year-and-a-half battle against extradition and was told he must return to italy to serve his sentence . but today it emerged that the 65-year-old 's case expired last october and his european arrest warrant is to be withdrawn . sentence dropped : domenico rancadore ( right and left ) fled to britain in the 1990s and was convicted in his absence in italy for his role as a ' man of honour ' . although his conviction remains intact , italian law states that a sentence is extinguished once a period of more than double the time of the penalty has passed . the case will still have to be heard by the italian supreme court , according to the crown prosecution service ( cps ) . rancadore 's solicitor , karen todner said : ' yesterday the italian court of appeal agreed to extinguish the conviction of domenico rancadore on the basis that the conviction is too old to sustain a prison sentence . ' i am therefore confident that the italian government will now withdraw their application for a european arrest warrant and that mr rancadore will be discharged from these proceedings . ' there has been a long and unhappy history of these proceedings and i am delighted mr rancadore will now be able to live in peace in england with his wife and family . ' ms todner said she was waiting for the cps to sign a consent order so that the court could discharge rancadore . once the paperwork is in order , the matter will be listed at westminster magistrates ' court in london and a judge will then have to approve it . the italian mobster does not have to be present when the matter is dealt with in court . domenico rancadore , pictured with hiswife ann last year , will be allowed to remain in the uk after his sentence dropped . rancadore was first arrested on a european arrest warrant at his semi-detached london home in august 2013 . although he was never convicted of murder , the italian authorities wanted him to be returned to the country after he fled in 1995 . known as the professor , rancadore was tried in absentia and handed a seven-year prison term for his ' mafia association ' . he was convicted for his role as a ' man of honour ' , taking bribes from builders in palermo . during protracted extradition proceedings at westminster magistrates ' court , district judge howard riddle reversed his initial decision over concerns that italian prison conditions would breach his human rights because he has a serious heart condition . in his judgment , judge riddle said : ' i am satisfied that , even without the assurance , there is no real risk that by returning this defendant to italy he will suffer inhuman or degrading treatment . ' before his arrest in 2013 , the mafia don spent two decades living under the name of marc skinner with his family in a house surrounded by a fence and large hedge , obscured from view . he claimed he had changed his name to escape the notoriety associated with his father , giuseppe . rancadore 's father was imprisoned in 1987 as part of the maxi trial which saw 475 mafiosi indicted . before his arrest in 2013 , rancadore spent two decades living under the name of marc skinner with his family in a house in uxbridge . there was an angry reaction from legal experts to the amount of time and money that had gone into rancadore 's case . extradition expert edward grange tweeted : ' what a waste of time and money . after two sets of proceedings , italy no longer seeks extradition of rancadore . ' mr grange , who is vice-chair of the extradition lawyers ' association , said : ' the purpose of the extradition request was for rancadore to be returned in order to serve a sentence of imprisonment . ' it transpires that as of october last year the italians could not actually legally enforce that sentence . ' so certainly from october onwards you would have thought that there would have been some communication from the italian authorities saying : `` hang on , we may have a problem here and we may not be able to continue with the extradition request '' . ' courts proceed on the basis of mutual trust and recognition , that is what we are told throughout in relation to the extradition and european arrest warrant scheme . ' it is something that is designed to be swift and quick and courts are supposed to trust what courts in the requesting state are saying . ' had the italians said in october we can not legally enforce this sentence and we therefore have to withdraw the european arrest warrant , i 'm sure our court would have encouraged them to do so as quickly as possible . ' domenico rancadore , who has lived in britain for more than 20 years , was given a seven-year sentence by an italian court in 1999 for being a member of the cosa nostra . asked about the costs of this kind of extradition process , mr grange said they were likely to be in the 'single-figure thousands rather than anything dramatic ' . barrister philip marshall qc said : ' yet more incompetence by the cps in the rancadore case ( allegedly ) : his seven-year prison sentence expired in october 2014 . ' there was no answer when reporters knocked on the door of rancadore 's home in manor way , uxbridge , london today . curtains were closed in all of the windows of the semi-detached house and a mercedes car was parked on the driveway . one neighbour claimed she was pleased it appeared he was not being extradited because ' you never know who will move in ' . she went on : ' he seems a nice chap and it happened a long time ago . ' the neighbour said she last saw rancadore around two weeks ago and he appeared to be suffering from ill-health . a court sketch of domenico rancadore . today it emerged that the 65-year-old 's case expired last october and his european arrest warrant is to be withdrawn . sharon walker , who also lives nearby , said : ' they were a normal couple before and i 'm sure they will go back to being a normal couple . ' they are very quiet . i would not have said they are the most notorious couple in the street . also known as cosa nostra , which translates as ' our thing ' , the mafia emerged in sicily in the mid 19th century and is best described as a loose association of criminal groups sharing a common organisational structure and code of conduct . groups , often known as families or clans , will claim leadership of an area , usually a town or village , and operate rackets within it , using violence to punish those causing problems to their ' clients ' - who may well have been coerced into buying protection . most of the clans are led by a ' boss ' ( capofamiglia or rappresentante ) , who is aided by an underboss ( capo bastone or sotto capo ) and supervised by one or more advisers ( consigliere ) . only men are allowed to join the clans , and candidates are not allowed to have any links to lawmen such as police officers or judges . it has been estimated that the sicilian mafia costs the region 's economy more than €10 billion a year , and that roughly 70 per cent of sicilian businesses pay some sort of protection money . politicians have also been accused of using the mafia to buy votes during elections . the american mafia arose from offshoots of the cosa nostra that emerged in the united states during the late nineteenth century , following waves of emigration from italy . ' he 's very quiet . he always has been , even before it all blew up . they are a very quiet family . ' federico bianchi , head of press at the italian embassy , said : ' when , in march 2014 , the district judge denied the extradition of mr rancadore to italy , the crown prosecution service failed to appeal against his decision in the prescribed terms , for which they issued a formal excuse . ' that is key to the release of mr rancadore because that loss of time , which obliged italy to start the procedures afresh , issuing a new european arrest warrant , because that year that was lost gave the possibility for the sentence to expire . ' it gave the possibility to mr rancadore 's lawyers , who are clever and know the penal code very well , to file an application for the sentence to be declared expired . ' mr bianchi also denied that the hearing in february had been ' useless ' because the sentence had not automatically expired until it was confirmed as such by a court in palermo on march 25 . a cps spokesman said : ' the italian ministry of justice has confirmed that the decision by the court of appeal in palermo is appealable to the italian supreme court . ' it is inaccurate to suggest that a delay due to administrative errors has had a significant bearing on today 's outcome . ' until the european arrest warrant was officially withdrawn today , the cps acted on behalf of the italian authorities in these extradition proceedings and had received no instructions to the contrary . ' the cps admitted it had made a mistake by failing to serve appeal papers to rancadore 's lawyers on time in march last year . at the time , director of public prosecutions alison saunders acknowledged that , as a result of the error , it was possible rancadore would never be extradited to italy .</v>
      </c>
      <c r="C28" s="70" t="str">
        <f>IF(ISBLANK(A28),"",INDEX('Error Log'!$A:$J,MATCH('Scores per segment'!$A28,'Error Log'!$A:$A,0),MATCH('Scores per segment'!C$1,'Error Log'!$A$1:$J$1,0)))</f>
        <v>domenico rancadore has lived in britain for more than 20 years .
he was given a seven-year sentence in 1999 for being a member of the cosa nostra .
but today it emerged that the 65-year-old 's case expired last october and his european arrest warrant is to be withdrawn .
the case expired last october and his european arrest warrant is to be withdrawn .</v>
      </c>
      <c r="D28" s="70">
        <f>IF(H28=0,wdct(TRIM(C28)),0)</f>
        <v>62</v>
      </c>
      <c r="E28" s="70">
        <f>COUNTIFS('Error Log'!$A:$A,$A28,'Error Log'!$J:$J,E$1)</f>
        <v>2</v>
      </c>
      <c r="F28" s="70">
        <f>COUNTIFS('Error Log'!$A:$A,$A28,'Error Log'!$J:$J,F$1)</f>
        <v>2</v>
      </c>
      <c r="G28" s="70">
        <f>COUNTIFS('Error Log'!$A:$A,$A28,'Error Log'!$J:$J,G$1)</f>
        <v>0</v>
      </c>
      <c r="H28" s="70">
        <f>COUNTIFS('Error Log'!$A:$A,$A28,'Error Log'!$F:$F,"Source")</f>
        <v>0</v>
      </c>
      <c r="I28" s="70">
        <f>COUNTIFS('Error Log'!$A:$A,$A28,'Error Log'!$F:$F,"Target")</f>
        <v>0</v>
      </c>
      <c r="J28" s="71">
        <f t="shared" si="0"/>
        <v>75.806451612903231</v>
      </c>
    </row>
    <row r="29" spans="1:10">
      <c r="A29" s="94" t="s">
        <v>280</v>
      </c>
      <c r="B29" s="70" t="str">
        <f>IF(ISBLANK(A29),"",INDEX('Error Log'!$A:$J,MATCH('Scores per segment'!$A29,'Error Log'!$A:$A,0),MATCH('Scores per segment'!B$1,'Error Log'!$A$1:$J$1,0)))</f>
        <v xml:space="preserve">fears for two new strains of influenza , which caused a spike in deaths in europe and the united states , will see the arrival of an improved vaccination on australian shores . stocks of the influenza vaccine are arriving a month later than expected as scientists have included protection against influenza a strain h3n2 and influenza b strain b/phuket . the decision to include both was triggered by a spike in flu-related deaths in the northern hemisphere as the vaccine was not a good match to fight against the two types of flu . stocks of the influenza vaccine are arriving a month later than expected as scientists have included protection against two new strains . high-risk groups - such as the very young and very old , and most indigenous australians - will be able to access free , government-funded flu shots from april 20 . experts say the modified version of the vaccination is worth waiting for . but dr alan hampson , who chairs the influenza specialist group , said everyone should be getting the vaccine , which also provided protection against influenza a strain h1n1 . he said h3n2 and b/phuket caused a spike in deaths in europe and the us during the northern winter because the vaccine available did not provide the right buffer against the diseases . there was a spike in deaths related to h3n2 and b/phuket in europe and the us during the northern winter as the vaccine did not cover the strains . world health authorities realised that and modified the vaccine to be used in australia this winter . ' our vaccine now should be a really good match for the strains that are circulating globally and we certainly hope we can prevent more deaths per capita than they did , ' dr hampson told aap . ' in fact the vaccine that will be used in the next northern winter will be exactly the same as the one we 'll be using over the next few weeks . ' dr hampson said people should be booking their flu shots now , given the delay in stocks arriving . ' even if people are not in one of the high-risk groups , they are probably coming into contact with people in their own families who are , ' he said . ' those high-risk groups are harder to protect so it 's great if we can also protect the people around them . ' </v>
      </c>
      <c r="C29" s="70" t="str">
        <f>IF(ISBLANK(A29),"",INDEX('Error Log'!$A:$J,MATCH('Scores per segment'!$A29,'Error Log'!$A:$A,0),MATCH('Scores per segment'!C$1,'Error Log'!$A$1:$J$1,0)))</f>
        <v>stocks of the influenza vaccine are arriving a month later than expected as scientists have included protection against influenza a strain h3n2 and influenza b strain b/phuket .
stocks of the influenza vaccine are arriving a month later than expected as scientists have included protection against influenza b strain b/phuket .</v>
      </c>
      <c r="D29" s="70">
        <f>IF(H29=0,wdct(TRIM(C29)),0)</f>
        <v>51</v>
      </c>
      <c r="E29" s="70">
        <f>COUNTIFS('Error Log'!$A:$A,$A29,'Error Log'!$J:$J,E$1)</f>
        <v>2</v>
      </c>
      <c r="F29" s="70">
        <f>COUNTIFS('Error Log'!$A:$A,$A29,'Error Log'!$J:$J,F$1)</f>
        <v>1</v>
      </c>
      <c r="G29" s="70">
        <f>COUNTIFS('Error Log'!$A:$A,$A29,'Error Log'!$J:$J,G$1)</f>
        <v>0</v>
      </c>
      <c r="H29" s="70">
        <f>COUNTIFS('Error Log'!$A:$A,$A29,'Error Log'!$F:$F,"Source")</f>
        <v>0</v>
      </c>
      <c r="I29" s="70">
        <f>COUNTIFS('Error Log'!$A:$A,$A29,'Error Log'!$F:$F,"Target")</f>
        <v>0</v>
      </c>
      <c r="J29" s="71">
        <f t="shared" si="0"/>
        <v>75.490196078431367</v>
      </c>
    </row>
    <row r="30" spans="1:10">
      <c r="A30" s="94" t="s">
        <v>287</v>
      </c>
      <c r="B30" s="70" t="str">
        <f>IF(ISBLANK(A30),"",INDEX('Error Log'!$A:$J,MATCH('Scores per segment'!$A30,'Error Log'!$A:$A,0),MATCH('Scores per segment'!B$1,'Error Log'!$A$1:$J$1,0)))</f>
        <v>mr mole , ap mccoy’s mount in the grade one celebration chase at sandown on saturday , has been installed as one of three 7-2 co-favourites in the seven-runner line-up . paul nicholls-trained mr mole is bracketed with irish raider special tiara and nicky henderson’s sprinter sacre , who will be ridden by cheltenham gold cup winner nico de boinville in the absence of injured barry geraghty . ap mccoy and mr mole will have six rivals in the grade one celebration chase at sandown on saturday . mr mole will be mccoy’s last ride in a grade one race . his book of rides for his final day as a professional jockey will not be finalised until friday morning . ironically , it was after riding mr mole to victory at newbury in february that mccoy shocked the racing world by announcing his intention to quit riding . other runners in the celebration chase include mick channon 's somersby .</v>
      </c>
      <c r="C30" s="70" t="str">
        <f>IF(ISBLANK(A30),"",INDEX('Error Log'!$A:$J,MATCH('Scores per segment'!$A30,'Error Log'!$A:$A,0),MATCH('Scores per segment'!C$1,'Error Log'!$A$1:$J$1,0)))</f>
        <v>ap mccoy’s mount in the grade one celebration chase at sandown on saturday .
paul nicholls-trained mr mole is bracketed with irish raider special tiara and nicky henderson’s sprinter sacre .
mr mole will be mccoy’s last ride in a grade one race chase at sandown .</v>
      </c>
      <c r="D30" s="70">
        <f>IF(H30=0,wdct(TRIM(C30)),0)</f>
        <v>47</v>
      </c>
      <c r="E30" s="70">
        <f>COUNTIFS('Error Log'!$A:$A,$A30,'Error Log'!$J:$J,E$1)</f>
        <v>4</v>
      </c>
      <c r="F30" s="70">
        <f>COUNTIFS('Error Log'!$A:$A,$A30,'Error Log'!$J:$J,F$1)</f>
        <v>2</v>
      </c>
      <c r="G30" s="70">
        <f>COUNTIFS('Error Log'!$A:$A,$A30,'Error Log'!$J:$J,G$1)</f>
        <v>2</v>
      </c>
      <c r="H30" s="70">
        <f>COUNTIFS('Error Log'!$A:$A,$A30,'Error Log'!$F:$F,"Source")</f>
        <v>0</v>
      </c>
      <c r="I30" s="70">
        <f>COUNTIFS('Error Log'!$A:$A,$A30,'Error Log'!$F:$F,"Target")</f>
        <v>0</v>
      </c>
      <c r="J30" s="71">
        <f t="shared" si="0"/>
        <v>44.680851063829785</v>
      </c>
    </row>
    <row r="31" spans="1:10">
      <c r="A31" s="94" t="s">
        <v>298</v>
      </c>
      <c r="B31" s="70" t="str">
        <f>IF(ISBLANK(A31),"",INDEX('Error Log'!$A:$J,MATCH('Scores per segment'!$A31,'Error Log'!$A:$A,0),MATCH('Scores per segment'!B$1,'Error Log'!$A$1:$J$1,0)))</f>
        <v>caretakers of abraham lincoln 's tomb are on the defensive over an unflattering critique in national geographic magazine and looming budget cuts that could threaten management of the historic site , even as they commemorate the 150th anniversary of the u.s. civil war president 's assassination . for the state that calls itself the ' land of lincoln , ' the timing of a ceremony wednesday in springfield to mark his death is awkward because illinois faces a financial crisis and gov . bruce rauner has proposed eliminating the state historic preservation agency that manages sites including the tomb as it currently exists . he would roll the agency into another department . what 's more , the popular tourist site was pilloried in this month 's issue of national geographic magazine as having ' all the historical character of an office lobby . ' landmark : in this feb. 12 , 2015 file photo , illinois gov . bruce rauner participates in ceremonies honoring president abraham lincoln at the lincoln tomb in springfield , illinois . leader : a marker is seen over the burial site of abraham lincoln inside lincoln 's tomb within oak ridge cemetery ( november 2013 file photo ) . killing : president lincoln was assassinated by john wilkes booth at a performance of the play ' our american cousin ' in april 1865 . recounting the route of lincoln 's funeral train to springfield for burial , historian adam goodheart describes the tomb as ' a disappointment ' and reconstructed in ' incongruous art deco style . ' ' it 's strange to think that there is a place where lincoln still physically exists in the world , let alone that it 's a place like this , ' writes goodheart , who is director for washington college 's center for the american experience in maryland . goodheart 's publicist did n't immediately return a request for comment . the hours and days the lincoln tomb is open have been reduced , and it 's staffed with fewer employees since state lawmakers last year cut $ 1.1 million funding for sites in the springfield area . on tuesday — the 150th anniversary of john wilkes booth 's shooting of lincoln , although the president was pronounced dead the following day — joan boatz and a group of former bridge club friends found the tomb 's iron door locked , despite a sign saying the site should be open at that time . chris wills , spokesman for the historic preservation agency , said the correct times when the site is open are posted on its website . pam vanalstine , president of the lincoln monument association , said she 's deeply concerned about what more cuts might mean for the lincoln site . ' we 're all scared to death , ' said vanalstine , who also serves as a volunteer tour guide . ' we do n't know how things are going to be run . ' she and other supporters of how lincoln 's final resting place is presented to the public said the national geographic portrayal was unfair . remembered : tourists walk out of abraham lincoln 's tomb and past a bust of lincoln statue ( november 2013 file photo ) . shrouded in history : caretakers of abraham lincoln 's tomb are on the defensive over an unflattering critique in national geographic magazine and looming budget cuts that could threaten management of the historic site ( february 2014 file photo ) . ' the author of the piece is certainly entitled to feel underwhelmed by the tomb 's interior , but i think it 's safe to say he 's in the minority , ' wills said . according to the state historic preservation agency , the tomb and its receiving vault have seen more than $ 2.5 million in recent repairs and renovations , leaving it in what wills describes as ' excellent physical condition . ' the tomb 's interior plaster and paint , and bronze and marble construction were renovated last year , and its interior lighting was upgraded for approximately $ 730,000 . the state is currently working on waterproofing the receiving vault , repairing the stone structure 's interior , and landscaping to direct water away from the vault , a roughly $ 390,000 project . lincoln 's tomb was designed by vermont sculptor larkin mead , who won a national contest . it was dedicated by president ulysses s. grant in 1874 . originally built on what historians describe as an ' inadequate foundation , ' it was reconstructed first in 1899 , and then again in 1930 to give the public access to the interior burial chamber . today , the tomb , a circular structure topped with an obelisk , has its interior sheathed in alternating black and tan marble and is trimmed with bronze . hallways stretch on either side of a rotunda to the family burial chamber , where lincoln lies below an inscription ' now he belongs to the ages . ' william sparks , a visitor to the outside of the tomb tuesday who took an amtrak train from green bay , wisconsin , said he had a copy of the national geographic story with him at his springfield hotel , but disagreed with its conclusion . ' it 's absolutely gorgeous , ' he said of the site , even though he did n't get to see the interior of the tomb . ' i do n't get ( the author 's take ) at all . this is very impressive . ' critique : the popular tourist site was pilloried in this month 's issue of national geographic magazine as having ' all the historical character of an office lobby ' ( april 2013 file photo ) . lincoln 's tomb was designed by vermont sculptor larkin mead , who won a national contest . it was dedicated by president ulysses s. grant in 1874 ( november 2013 file photo ) .</v>
      </c>
      <c r="C31" s="70" t="str">
        <f>IF(ISBLANK(A31),"",INDEX('Error Log'!$A:$J,MATCH('Scores per segment'!$A31,'Error Log'!$A:$A,0),MATCH('Scores per segment'!C$1,'Error Log'!$A$1:$J$1,0)))</f>
        <v>caretakers of abraham lincoln 's tomb are on the defensive over an unflattering critique in national geographic magazine .
the timing of a ceremony wednesday in springfield to mark his death is awkward because illinois faces a financial crisis and gov .
bruce rauner has proposed eliminating the state historic preservation agency that manages sites including the tomb .
illinois faces a financial crisis and gov .
bruce rauner has proposed eliminating the state historic preservation agency that manages sites including the tomb .</v>
      </c>
      <c r="D31" s="70">
        <f>IF(H31=0,wdct(TRIM(C31)),0)</f>
        <v>79</v>
      </c>
      <c r="E31" s="70">
        <f>COUNTIFS('Error Log'!$A:$A,$A31,'Error Log'!$J:$J,E$1)</f>
        <v>5</v>
      </c>
      <c r="F31" s="70">
        <f>COUNTIFS('Error Log'!$A:$A,$A31,'Error Log'!$J:$J,F$1)</f>
        <v>2</v>
      </c>
      <c r="G31" s="70">
        <f>COUNTIFS('Error Log'!$A:$A,$A31,'Error Log'!$J:$J,G$1)</f>
        <v>0</v>
      </c>
      <c r="H31" s="70">
        <f>COUNTIFS('Error Log'!$A:$A,$A31,'Error Log'!$F:$F,"Source")</f>
        <v>0</v>
      </c>
      <c r="I31" s="70">
        <f>COUNTIFS('Error Log'!$A:$A,$A31,'Error Log'!$F:$F,"Target")</f>
        <v>0</v>
      </c>
      <c r="J31" s="71">
        <f t="shared" si="0"/>
        <v>62.025316455696199</v>
      </c>
    </row>
    <row r="32" spans="1:10">
      <c r="A32" s="94" t="s">
        <v>309</v>
      </c>
      <c r="B32" s="70" t="str">
        <f>IF(ISBLANK(A32),"",INDEX('Error Log'!$A:$J,MATCH('Scores per segment'!$A32,'Error Log'!$A:$A,0),MATCH('Scores per segment'!B$1,'Error Log'!$A$1:$J$1,0)))</f>
        <v xml:space="preserve">the mother of a girl who was murdered 40 years ago has spoke of the horror of recently seeing crime scene photos of her daughter 's body . virginia trimble ritter 's daughter , marcia , was raped and choked to death by jerome sydney barrett in 1975 . marcia 's body was found 33 days after she disappeared and ritter 's then-husband advised her against seeing the body and the crime scene photos . the mother of a girl who was murdered 40 years ago finally asked to see the crime scene photos of her daughter 's body and now says she wants revenge . virginia trimble ritter 's daughter , marcia , was raped and choked to death by jerome sydney barrett in 1975 . marcia 's body was found 33 days after she disappeared and ritter 's then-husband advised her against seeing the body and the crime scene photos . charlie , who died in 1989 , wanted their last memory to be of her running in and out of the house , ' the real marcia . ' but ritter told the tennessean , last year it was a decision she now regrets . ' i have never seen a close-up photo and i want to . i 'm going to . ' she had declined to see the photos for several decades , and not even after barrett was convicted 33 years later . but last year she asked mickey miller , metro police lead investigator who worked on the case if she could see them . she says he tried to convince her not to see them , but she persisted and she viewed them on his laptop . jerome sidney barrett , 68 , was found guilty of second-degree murder six years ago and a davidson county criminal court jury imposed a sentence of 44 years ( pictured in 2009 ) . ' her mouth was black , ' ritter said . ' and her face , her head was swollen . it did n't look like marcia . but to see her other parts of her body looked like marcia . she said her daughter had vomit across her , her hair was pulled out in parts and there was blood on her scalp . ritter said she shouted , ' if i had a gun i 'd kill him ! ' marcia 's body was found 150 yards from her home amid the clutter of a rarely used , windowless garage , under a shower curtain and a child 's wading pool . she had been strangled and sexually assaulted , and her cookie money was missing . cookies were scattered around the clothed body . a neck bone was fractured . the case was nashville 's most notorious unsolved murder for 33 years . in 1979 police charged a trimble neighbor with the slaying , but prosecutors dropped the charges about a year later because of lack of evidence . he was 15 at the time of the crime . barrett , 68 , was living in memphis when he was arrested in 2006 . he was brought in after police matched the dna on the murdered child 's clothing to that of his . the match happened after he was arrested for the 1975 murder of vanderbilt university student sarah vannatta des prez . barrett had been in prison on sex charges between 1974 and 2002 except for about a year when marcia disappeared . in 2009 he was found guilty of second-degree murder of marcia and a davidson county criminal court jury imposed a sentence of 44 years .  </v>
      </c>
      <c r="C32" s="70" t="str">
        <f>IF(ISBLANK(A32),"",INDEX('Error Log'!$A:$J,MATCH('Scores per segment'!$A32,'Error Log'!$A:$A,0),MATCH('Scores per segment'!C$1,'Error Log'!$A$1:$J$1,0)))</f>
        <v>virginia trimble ritter 's daughter , marcia , was raped and choked to death by jerome sydney barrett in 1975 .
marcia 's body was found 33 days after she disappeared and ritter 's then-husband advised her against seeing the body and the crime scene photos .
marcia 's body was found 33 days after she disappeared and ritter 's then-husband advised her against seeing the body and the crime scene photos .
marcia 's body was found 33 days after she disappeared and ritter 's then-husband advised her against seeing the body and the crime scene photos .</v>
      </c>
      <c r="D32" s="70">
        <f>IF(H32=0,wdct(TRIM(C32)),0)</f>
        <v>93</v>
      </c>
      <c r="E32" s="70">
        <f>COUNTIFS('Error Log'!$A:$A,$A32,'Error Log'!$J:$J,E$1)</f>
        <v>3</v>
      </c>
      <c r="F32" s="70">
        <f>COUNTIFS('Error Log'!$A:$A,$A32,'Error Log'!$J:$J,F$1)</f>
        <v>3</v>
      </c>
      <c r="G32" s="70">
        <f>COUNTIFS('Error Log'!$A:$A,$A32,'Error Log'!$J:$J,G$1)</f>
        <v>0</v>
      </c>
      <c r="H32" s="70">
        <f>COUNTIFS('Error Log'!$A:$A,$A32,'Error Log'!$F:$F,"Source")</f>
        <v>0</v>
      </c>
      <c r="I32" s="70">
        <f>COUNTIFS('Error Log'!$A:$A,$A32,'Error Log'!$F:$F,"Target")</f>
        <v>0</v>
      </c>
      <c r="J32" s="71">
        <f t="shared" si="0"/>
        <v>75.806451612903231</v>
      </c>
    </row>
    <row r="33" spans="1:10">
      <c r="A33" s="94" t="s">
        <v>317</v>
      </c>
      <c r="B33" s="70" t="str">
        <f>IF(ISBLANK(A33),"",INDEX('Error Log'!$A:$J,MATCH('Scores per segment'!$A33,'Error Log'!$A:$A,0),MATCH('Scores per segment'!B$1,'Error Log'!$A$1:$J$1,0)))</f>
        <v xml:space="preserve">nineties style is hot right now . chokers , berry-coloured lips , round sunglasses and calvin klein logo t-shirts are all the rage with a new generation of fashion fans . but news that jnco , the brand responsible for the huge wideleg ' rave ' jeans , is set to make a comeback has horrified many of the people who wore the ridiculous pants the first time around . the return of the highly impractical jeans , which featured giant leg openings approaching 50in , has us contemplating the retro fashion nineties and noughties trends that really should be left in the past . femail rounds up the worst offenders ... scroll down for video . jcno jeans , popular at nineties raves , are threatening to make a comeback . 1 . the bucket hat . a casual nighties piece , the bucket hat is characterised by its wide , downwards sloping brim and limp structure . originally a staple of fishermen and farmers , it soon enough found its way into popular culture and temporarily dominated the music scene . after gaining prominence in the nineties and early noughties , the trend was ditched in favour of softer and more flattering shapes , but fashion-forward celebrities such as 27-year-old rihanna are n't letting it go quietly . then : the bucket hat was originally a staple of fishermen and farmers , but seeped into popular culture , and was sported by the likes of singer christina aguilera , now 36 , in 2001 . now : pop star rihanna , 27 , was spotted in july 2014 wearing a floppy bucket hat . 2 . camouflage print . for those of us non-military personnel not in need of immediate concealment from predators , very few can understand why time and time again , camouflage print manages to seep into our wardrobes . usually in variations of olive and khaki - but also available in more garish shades - the pattern consists of shapeless blobs that imitate foliage . the brash pattern was favoured by noughties bands such as beyoncé 's former band , destiny 's child and today is seen on silk pants or sports luxe trousers worn by street smart stars such as 24-year-old jourdan dunn . beyoncé , now 33 , was a big fan of camouflage print in 2001 back when she was still with destiny 's child . then : destiny 's child wore camouflage print in garish variations of bright blue back in 2001 . now : jourdan dunn , 24 , attempted to bring back the camouflage look in the form of skinny trousers and a crop top in february 2015 . 3 . taking it to the max . sometimes a trend becomes so popular that a few fashion-forward thinking individuals try to take it to the extreme . designer prints and double denim are two styles that worked well for celebrity wardrobes in the nineties , and today young reality star , 17-year-old kylie jenner is one of many who definitely do n't follow the ' less is more ' style mantra . then : in the noughties , pop stars such as victoria beckham , now 44 ( pictured left in 2000 ) , britney spears , now 33 , and justin timberlake , now 34 ( pictured middle to right in 2001 ) , loved to take trends to the maximum . now : 17-year-old reality star kylie jenner sported double denim out and about in los angeles earlier this month . 4 . ugg boots . the shapeless sheepskin ugg boot was a huge celebrity trend in the noughties , with heiress paris hilton , 34 , owning piles of pairs . they are not pretty , or remotely glamorous , but the cosy factor means that they remain popular with off-duty actors and models today , with actress kristen bell , 34 , being one of the more modern fashion offenders . then : heiress paris hilton wore ugg boots at heathrow in 2006 and now : kristen bell wears hers on set between takes earlier this month . 5 . daisy dukes . tiny , tiny denim shorts have been around for the longest time , but were brought back to popularity by jessica simpson , 34 ( pictured below ) , in the film remake of the dukes of hazzard in 2005 . extremely frayed , and impractically short , most stylish women are opting for slightly longer , more conservative styles this summer . but we can always count on miley cyrus , 22 , to keep things flirty - wearing hers cut seriously high on the thigh . then : tiny denim shorts , aka daisy dukes , were reintroduced to our wardrobes by jessica simpson with the promotion of the film reboot of the dukes of hazzard in 2005 . 6 . juicy couture tracksuits . juicy couture 's matching two-piece velour tracksuits were the staple wardrobe of the likes of nicole richie , 33 , paris hilton , 34 , and britney spears , 33 , in the noughties . available in all manner of garish shades , they were perfect for lounging around the house in and today celebrities like nicki minaj , 32 , are keeping the rainbow sweatpants in style . then : britney spears stepped out in a juicy couture velour tracksuits in 2005 before her wedding to kevin federline . now : nicki minaj stepped out in 2014 in the red version of the juicy couture tracksuit , proving that it 's maintained its popularity since the noughties . 7 . coloured sunglasses . rainbow lenses were a nineties favourite for boy bands such as *nsync and pop princesses like britney . these days they are sported by the likes of the mostly very stylish 22-year-old model cara delevingne and 17-year-old reality star , kylie jenner , with a mirrored sheen giving them a 2015 update . shady bunch : justin timberlake , now 34 ( pictured left in 2000 ) , and britney spears , now 33 ( pictured right in 1999 ) , were fans of brightly coloured sunglasses in the nineties . now : model cara delevingne and reality star kylie jenner are both fans of coloured sunglasses . 8 . corsets as outfits . corsets first became popular in the 16th century , worn under clothes to help transform women 's shapes . in the nineties they were being sported as outerwear , spearheaded by a very sexy victoria backham as posh spice , now 44 . and today they are being incorporated into dresses and tops to add edge to red carpet wear by young stars like 22-year-old selena gomez . then : victoria beckham ( pictured in 2004 ) popularised wearing corsets and lingerie as outerwear in the noughties . not very posh : victoria beckham sported tight corset structured dresses to events such as the mtv movie awards in 2007 ( pictured left ) and the victoria 's secret fashion show in 2007 ( pictured right ) . now : selena gomez works a sultry look to an awards ceremony with a corset-based gown . 9 . harem trousers . characterised by loose , baggy legs which nip in at the ankle , these middle eastern style trousers are a hard to wear shape for anyone with any kind of curves . before she discovered pencil skirts reality star kim kardashian , now 34 , was a huge fan of the voluminous pants . today they are still sported by supermodel legs like 51-year-old elle macpherson . then : reality star kim kardashian previously championed the wearing of harem trousers back in 2009 . now : supermodel elle macpherson steps out in a pair of leopard print harem trousers .  </v>
      </c>
      <c r="C33" s="70" t="str">
        <f>IF(ISBLANK(A33),"",INDEX('Error Log'!$A:$J,MATCH('Scores per segment'!$A33,'Error Log'!$A:$A,0),MATCH('Scores per segment'!C$1,'Error Log'!$A$1:$J$1,0)))</f>
        <v>jcno jeans , popular at nineties raves , are threatening to make a comeback .
the return of the highly impractical jeans , which featured giant leg openings approaching 50in , has us contemplating the retro fashion nineties .</v>
      </c>
      <c r="D33" s="70">
        <f>IF(H33=0,wdct(TRIM(C33)),0)</f>
        <v>33</v>
      </c>
      <c r="E33" s="70">
        <f>COUNTIFS('Error Log'!$A:$A,$A33,'Error Log'!$J:$J,E$1)</f>
        <v>1</v>
      </c>
      <c r="F33" s="70">
        <f>COUNTIFS('Error Log'!$A:$A,$A33,'Error Log'!$J:$J,F$1)</f>
        <v>0</v>
      </c>
      <c r="G33" s="70">
        <f>COUNTIFS('Error Log'!$A:$A,$A33,'Error Log'!$J:$J,G$1)</f>
        <v>0</v>
      </c>
      <c r="H33" s="70">
        <f>COUNTIFS('Error Log'!$A:$A,$A33,'Error Log'!$F:$F,"Source")</f>
        <v>0</v>
      </c>
      <c r="I33" s="70">
        <f>COUNTIFS('Error Log'!$A:$A,$A33,'Error Log'!$F:$F,"Target")</f>
        <v>0</v>
      </c>
      <c r="J33" s="71">
        <f t="shared" si="0"/>
        <v>84.848484848484844</v>
      </c>
    </row>
    <row r="34" spans="1:10">
      <c r="A34" s="94" t="s">
        <v>321</v>
      </c>
      <c r="B34" s="70" t="str">
        <f>IF(ISBLANK(A34),"",INDEX('Error Log'!$A:$J,MATCH('Scores per segment'!$A34,'Error Log'!$A:$A,0),MATCH('Scores per segment'!B$1,'Error Log'!$A$1:$J$1,0)))</f>
        <v xml:space="preserve">rory mcilroy believes it is ' unthinkable ' that he will not win the masters at some point to complete the career grand slam . and the world number one has revealed how his final-round collapse at augusta national in 2011 was the most important day of his career . mcilroy is looking to claim his first green jacket and become just the sixth player to win all four major titles after gene sarazen , ben hogan , gary player , jack nicklaus and tiger woods . rory mcilroy tees off at the arnold palmer invitational golf tournament in orlando on march 19 . ' for me now it 's a career-long goal to win there to achieve something that only a handful of players have ever achieved , ' the 25-year-old said in an interview with bbc northern ireland . ' there 's something special i can achieve going into augusta this year . you are a complete player if you can win every major because they are on different golf courses , different tests , different conditions . not many guys have done it in history so to put my name there would be awesome . it would just be incredible . ' you feel the sense of what can be achieved but i ca n't think about that too much . i just have to think about trying to go out there and playing as best as i can and if i can do that hopefully my scores add up to a shot lower than anyone else 's . ' mcilroy has just one top-10 finish to his name in six masters appearances , finishing joint eighth last year despite the embarrassment of being outscored by his marker in the third round . mcilroy is hoping to complete his grand slam of majors with a victory at augusta later this month . but the 25-year-old can not picture going through his career without slipping on at least one coveted green jacket . ' during my career , yes it 's unthinkable , ' he added . ' if i do n't win it this year ... either it 's not the right time or it is n't your time . if i was to look back as a 60-year-old on my career and not have won a green jacket i 'd obviously be very , very disappointed . ' and not just one . i feel like it 's a course i can do very well at and a golf course i can hopefully win multiple times on . obviously getting that first one is extra important and from there we can go on and maybe think about getting some others . ' mcilroy held a four-shot lead going into the final round four years ago , only to collapse to a closing 80 and finish 10 shots behind the winner charl schwartzel . but he bounced back to win his first major title by eight shots in the us open two months later , before adding wins in the 2012 us pga and both the open and us pga last year . mcilroy is hoping to emulate the likes of jack nicklaus ( above ) by winning all four major titles . ' i think it was the most important day of my career , ' he added . ' if i had n't had the whole unravelling and say i just made a couple of bogeys coming down the stretch and lost by one , i might not have learnt as much . ' but for it all to come apart how it did i learnt an awful lot . i learnt so much about myself and my game and what i needed to do differently the next time i was in that position . ' luckily it did n't take me long to get into a position like that again where i was leading a major and we know how that one played out . i was able to get over the line pretty comfortably . ' mcilroy 's extraordinary success last year came despite the distractions of calling off his wedding to caroline wozniacki and a legal dispute with his former management company which cost him millions of pounds when it was finally settled in february . mcilroy 's extraordinary success last year came he called off his wedding to caroline wozniacki . and he hopes he can again use the golf course as his ' sanctuary ' from the pressure and hype surrounding augusta . ' the golf course was my sanctuary , it was where i could get away from everything and just not have to think about it for the four or five hours that i am out there and it helped . it really did , ' he added . ' i was looking forward to getting to the course and playing and practising and i think it will be the same at augusta because there will be so much hype and build up and talk about what could happen . ' i know i wo n't be able to wait until thursday morning or afternoon and just get on the golf course and play golf . there is only so much you can talk about it and then you have to go out and try and play . ' </v>
      </c>
      <c r="C34" s="70" t="str">
        <f>IF(ISBLANK(A34),"",INDEX('Error Log'!$A:$J,MATCH('Scores per segment'!$A34,'Error Log'!$A:$A,0),MATCH('Scores per segment'!C$1,'Error Log'!$A$1:$J$1,0)))</f>
        <v>rory mcilroy tees off at the arnold palmer invitational golf tournament in orlando on march 19 .
the world number one has revealed how his final-round collapse at augusta national in 2011 was the most important day of his career .
mcilroy has just one top-10 finish to his name in six masters appearances .</v>
      </c>
      <c r="D34" s="70">
        <f>IF(H34=0,wdct(TRIM(C34)),0)</f>
        <v>52</v>
      </c>
      <c r="E34" s="70">
        <f>COUNTIFS('Error Log'!$A:$A,$A34,'Error Log'!$J:$J,E$1)</f>
        <v>1</v>
      </c>
      <c r="F34" s="70">
        <f>COUNTIFS('Error Log'!$A:$A,$A34,'Error Log'!$J:$J,F$1)</f>
        <v>1</v>
      </c>
      <c r="G34" s="70">
        <f>COUNTIFS('Error Log'!$A:$A,$A34,'Error Log'!$J:$J,G$1)</f>
        <v>0</v>
      </c>
      <c r="H34" s="70">
        <f>COUNTIFS('Error Log'!$A:$A,$A34,'Error Log'!$F:$F,"Source")</f>
        <v>0</v>
      </c>
      <c r="I34" s="70">
        <f>COUNTIFS('Error Log'!$A:$A,$A34,'Error Log'!$F:$F,"Target")</f>
        <v>0</v>
      </c>
      <c r="J34" s="71">
        <f t="shared" si="0"/>
        <v>85.57692307692308</v>
      </c>
    </row>
    <row r="35" spans="1:10">
      <c r="A35" s="94" t="s">
        <v>326</v>
      </c>
      <c r="B35" s="70" t="str">
        <f>IF(ISBLANK(A35),"",INDEX('Error Log'!$A:$J,MATCH('Scores per segment'!$A35,'Error Log'!$A:$A,0),MATCH('Scores per segment'!B$1,'Error Log'!$A$1:$J$1,0)))</f>
        <v>( cnn ) it was a busy week for trending stories . if you were n't online much , here 's some of the best of what you missed : after the new york area received a large amount of rain , four rainbows appeared to stretch across the early morning sky on tuesday . amanda curtis , ceo of a fashion company , snapped the lucky shot . in rural china , hiring exotic dancers to perform at wakes is an increasingly common practice . until now . families will have to find a new way to cheer up mourners , because the strippers are the latest focus of the country 's crackdown on vice . rdj grew increasingly agitated as a channel 4 interviewer from the uk asked about his private life on tuesday . oh , those kardashians . they seem to spawn a new trend every other week . the latest : lip plumping . by sucking on a jar . to look like kylie jenner . seriously . it even has a hashtag : # kyliejennerchallenge . with help from some filmmakers , 102-year-old alice barker went back in time . a prom-posal that referenced bombs ? one school would n't have it , but the prom-poser accuses administrators of racism . ewan mcgregor to play lumiere in ' beauty and the beast ' . this cast continues to draw lots of interest on social media . johnny depp is nearly unrecognizable in the ' black mass ' trailer . this chameleon strikes again . here 's one way to announce you 're pregnant : reference `` the fresh prince of bel-air . '' and a military dad photobombs his son ? kudos for originality this week .</v>
      </c>
      <c r="C35" s="70" t="str">
        <f>IF(ISBLANK(A35),"",INDEX('Error Log'!$A:$J,MATCH('Scores per segment'!$A35,'Error Log'!$A:$A,0),MATCH('Scores per segment'!C$1,'Error Log'!$A$1:$J$1,0)))</f>
        <v>amanda curtis is ceo of a fashion company , snapped the lucky shot .
in rural china , hiring exotic dancers to perform at wakes is an increasingly common practice .
families will have to find a new way to cheer up mourners .</v>
      </c>
      <c r="D35" s="70">
        <f>IF(H35=0,wdct(TRIM(C35)),0)</f>
        <v>39</v>
      </c>
      <c r="E35" s="70">
        <f>COUNTIFS('Error Log'!$A:$A,$A35,'Error Log'!$J:$J,E$1)</f>
        <v>1</v>
      </c>
      <c r="F35" s="70">
        <f>COUNTIFS('Error Log'!$A:$A,$A35,'Error Log'!$J:$J,F$1)</f>
        <v>3</v>
      </c>
      <c r="G35" s="70">
        <f>COUNTIFS('Error Log'!$A:$A,$A35,'Error Log'!$J:$J,G$1)</f>
        <v>0</v>
      </c>
      <c r="H35" s="70">
        <f>COUNTIFS('Error Log'!$A:$A,$A35,'Error Log'!$F:$F,"Source")</f>
        <v>0</v>
      </c>
      <c r="I35" s="70">
        <f>COUNTIFS('Error Log'!$A:$A,$A35,'Error Log'!$F:$F,"Target")</f>
        <v>0</v>
      </c>
      <c r="J35" s="71">
        <f t="shared" si="0"/>
        <v>67.948717948717942</v>
      </c>
    </row>
    <row r="36" spans="1:10">
      <c r="A36" s="94" t="s">
        <v>334</v>
      </c>
      <c r="B36" s="70" t="str">
        <f>IF(ISBLANK(A36),"",INDEX('Error Log'!$A:$J,MATCH('Scores per segment'!$A36,'Error Log'!$A:$A,0),MATCH('Scores per segment'!B$1,'Error Log'!$A$1:$J$1,0)))</f>
        <v xml:space="preserve">jurgen klopp put england 's top clubs on alert on wednesday by confirming that he will leave borussia dortmund at the end of the season after seven years in charge . klopp was immediately installed as the bookmakers ' favourite to replace manuel pellegrini at manchester city , although it is understood that the struggling premier league champions have no plans to make such a move . the colourful 47-year-old coach has been linked with several other english teams in the past , including liverpool and arsenal , and has a long-standing interest in working here . jurgen klopp confirmed in a press conference he is to leave borussia dortmund this summer . an emotional klopp said he believed dortmund need a change of manager next season . klopp will officially cease to be dortmund manager on june 30 as he looks for a fresh start elsewhere . klopp has enjoyed seven largely successful years in charge at the westfalenstadion . the emotion was clear to see as klopp announced he was leaving the club on wednesday . klopp leaves the press conference after confirming his departure as dortmund boss in the summer . klopp was alongside chief executive hans-joachim watzke ( left ) and sporting director michael zorc ( right ) . after the press conference , klopp joined the dortmund squad for a training session . klopp speaks to the players in training , shortly after making the announcement he would be leaving the club . dortmund are preparing for their home bundesliga match with paderborn at the weekend . klopp issues instructions to his defender mats hummels during wednesday 's training session . klopp , wearing a club tracksuit and baseball cap , cuts a lonely figure on the training ground . a downcast klopp during dortmund 's 3-1 loss to borussia monchengladbach at the weekend . man city – the premier league champions are unlikely to deviate from their top target pep guardiola as speculation continues to surround manuel pellegrini 's future – 3/10 . liverpool – klopp has been linked with the anfield job on previous occasions but brendan rodgers has come through a difficult spell and appears to be safe – 5/10 . arsenal – with the gunners on course for second place and the chance to retain the fa cup , it would be a surprise if they looked to replace arsene wenger now – 4/10 . bayern munich – klopp has appeared on bayern 's radar before and could do so again despite their intense rivalry with dortmund – 6/10 . real madrid – carlo ancelotti is on thin ice at the bernabeu but klopp has said he wants to work at a club where he speaks the language – 6/10 . he is among the most highly-rated managers in european football after winning two bundesliga titles and the german cup at the westfalenstadion , as well as leading dortmund to the champions league final in 2013 . klopp insisted that he has not had any contact with other clubs but confirmed that he is open to offers , denying reports that he will take a sabbatical after a difficult season in which dortmund have struggled towards the bottom of the table . ' i am sure that the decision is absolutely right , ' he said at an emotional press conference . ' this team deserves to have the absolutely one hundred per cent right coach . i believe that borussia dortmund actually needs a change . as long as i 'm here , we are always considering the successes of the past . ' what i have always said in the last few years is that in that moment when i feel i wo n't be the perfect manager for this incredible club then i would say it . ' i have of course every now and then thought about the topic in past years because it is always important to question yourself . i have though in the last weeks and days asked myself if i 'm still the right manager . i was n't sure but i could n't answer with a yes . ' i have had no contact with others clubs , either in england or elsewhere , but i am not planning a sabbatical . ' i do n't think of it as a load off my shoulders . i 'm not tired , even though i look like this . ' manuel pellegrini is under pressure at manchester city but klopp is unlikely to replace him at the etihad . dejected dortmund players neven subotic , mats hummels , sokratis and ciro immobile after saturday 's loss . the season has been one of struggle for dortmund , who flirted with relegation from the bundesliga . april 18 paderborn ( h ) . april 25 eintracht frankfurt ( h ) . april 28 bayern munich ( a ) . dfb-pokal semi-final . may 2 hoffenheim ( a ) . may 9 hertha berlin ( h ) . may 16 wolfsburg ( a ) . may 23 werder bremen ( h ) . sources in germany have not ruled out klopp making a controversial move to rivals bayern munich if pep guardiola fails to win the champions league this season , despite a mutual dislike of the club 's sporting director matthias sammer and the risk of tarnishing his reputation with dortmund supporters . that would free up city 's top target guardiola to move to the etihad and take over from pellegrini whose future remains uncertain following a disappointing second season in english football . neither will there be any shortage of top european clubs hoping to lure klopp away from germany where he has built an exciting team to challenge bayern 's dominance . having lost mario gotze and robert lewandowski to their rivals , however , more key players are set to leave this summer including mats hummels and ilkay gundogan who have been linked with a move to manchester united . klopp shakes hands with arsenal manager arsene wenger before their champions league tie in november . the news about klopp 's future will place a number of premier league clubs on alert . bundesliga 2010-11 , 2011-12 . german cup 2011-12 . dfl-supercup 2013 , 2014 . t-home supercup 2008 . uefa champions league runner-up 2012-13 . german manager of the year 2011 , 2012 . klopp 's record at dortmund . pld 309 w 175 d 67 l 67 win % 56.63 . klopp was under contract until 2018 but his relationship with his squad is believed to have gone stale after so long in charge and only the timing of wednesday 's announcement was unexpected . ' i believe this is the right decision at the right time , ' he added . ' i just wanted to make my decision known now so that the club can plan for the future . in the last few years , some player decisions were made late and there was no time to react . ' thomas tuchel , klopp 's former youth-team coach at mainz , is set to succeed him at dortmund after he was overlooked for the managerial vacancy at hamburg on wednesday in favour of bruno labbadia . </v>
      </c>
      <c r="C36" s="70" t="str">
        <f>IF(ISBLANK(A36),"",INDEX('Error Log'!$A:$J,MATCH('Scores per segment'!$A36,'Error Log'!$A:$A,0),MATCH('Scores per segment'!C$1,'Error Log'!$A$1:$J$1,0)))</f>
        <v>jurgen klopp put england 's top clubs on alert after seven years in charge .
klopp was immediately installed as the bookmakers ' favourite to replace manuel pellegrini at manchester city .
klopp was alongside chief executive hans-joachim watzke and sporting director michael zorc .</v>
      </c>
      <c r="D36" s="70">
        <f>IF(H36=0,wdct(TRIM(C36)),0)</f>
        <v>41</v>
      </c>
      <c r="E36" s="70">
        <f>COUNTIFS('Error Log'!$A:$A,$A36,'Error Log'!$J:$J,E$1)</f>
        <v>6</v>
      </c>
      <c r="F36" s="70">
        <f>COUNTIFS('Error Log'!$A:$A,$A36,'Error Log'!$J:$J,F$1)</f>
        <v>3</v>
      </c>
      <c r="G36" s="70">
        <f>COUNTIFS('Error Log'!$A:$A,$A36,'Error Log'!$J:$J,G$1)</f>
        <v>0</v>
      </c>
      <c r="H36" s="70">
        <f>COUNTIFS('Error Log'!$A:$A,$A36,'Error Log'!$F:$F,"Source")</f>
        <v>0</v>
      </c>
      <c r="I36" s="70">
        <f>COUNTIFS('Error Log'!$A:$A,$A36,'Error Log'!$F:$F,"Target")</f>
        <v>0</v>
      </c>
      <c r="J36" s="71">
        <f t="shared" si="0"/>
        <v>8.5365853658536537</v>
      </c>
    </row>
    <row r="37" spans="1:10">
      <c r="A37" s="94" t="s">
        <v>347</v>
      </c>
      <c r="B37" s="70" t="str">
        <f>IF(ISBLANK(A37),"",INDEX('Error Log'!$A:$J,MATCH('Scores per segment'!$A37,'Error Log'!$A:$A,0),MATCH('Scores per segment'!B$1,'Error Log'!$A$1:$J$1,0)))</f>
        <v>the miami open is threatening to turn into national cake week , after serena williams became the latest recipient of a giant celebration present after she clocked her 700th career victory . the day following andy murray’s 500th win another huge cake was wheeled out to mark williams reaching the semi-final with a 7-6 , 1-6 , 6-3 progression over germany’s sabine lisicki . williams’s hopes of another meeting with sister venus were dashed by her elder sibling’s defeat to spain’s carla suarez navarro , but the world no 1 was intent on staying alive in what is the nearest thing she has to a hometown event . serena williams strikes a pose next to her cake after recording her 700th career victory . williams beat sabine lisicki in three sets on wednesday to progress to the semi-finals of the miami open . willaims celebrates as the world no 1 sealed a match against either sloane stephens or simona halep . andy murray pretends to take a bite out a celebratory cake presented to him after winning his 500th match . in a battle of two huge servers , williams seemed to give away the second set but eventually gained a measure of revenge for the shock defeat she suffered at wimbledon 2013 against the same opponent , who has never quite been the same since . williams will face romania 's simona halep for a place in the final after the third-seed beat sloane stephens 6-1 , 7-5 . williams plays a backhand during her quarter-final at crandon park in florida on wednesday . lisicki and williams shake hands at the net after the tight match at the miami open . simona halep celebrates after beating sloane stephens to reach the miami open semi-finals .</v>
      </c>
      <c r="C37" s="70" t="str">
        <f>IF(ISBLANK(A37),"",INDEX('Error Log'!$A:$J,MATCH('Scores per segment'!$A37,'Error Log'!$A:$A,0),MATCH('Scores per segment'!C$1,'Error Log'!$A$1:$J$1,0)))</f>
        <v>serena williams beat sabine lisicki 7-6 , 1-6 , 1-6 , 6-3 in the miami open .
the miami open is threatening to turn into national cake week .
williams beat sabine lisicki in three sets to reach the miami open semi-finals .</v>
      </c>
      <c r="D37" s="70">
        <f>IF(H37=0,wdct(TRIM(C37)),0)</f>
        <v>37</v>
      </c>
      <c r="E37" s="70">
        <f>COUNTIFS('Error Log'!$A:$A,$A37,'Error Log'!$J:$J,E$1)</f>
        <v>2</v>
      </c>
      <c r="F37" s="70">
        <f>COUNTIFS('Error Log'!$A:$A,$A37,'Error Log'!$J:$J,F$1)</f>
        <v>2</v>
      </c>
      <c r="G37" s="70">
        <f>COUNTIFS('Error Log'!$A:$A,$A37,'Error Log'!$J:$J,G$1)</f>
        <v>0</v>
      </c>
      <c r="H37" s="70">
        <f>COUNTIFS('Error Log'!$A:$A,$A37,'Error Log'!$F:$F,"Source")</f>
        <v>0</v>
      </c>
      <c r="I37" s="70">
        <f>COUNTIFS('Error Log'!$A:$A,$A37,'Error Log'!$F:$F,"Target")</f>
        <v>0</v>
      </c>
      <c r="J37" s="71">
        <f t="shared" si="0"/>
        <v>59.45945945945946</v>
      </c>
    </row>
    <row r="38" spans="1:10">
      <c r="A38" s="94" t="s">
        <v>355</v>
      </c>
      <c r="B38" s="70" t="str">
        <f>IF(ISBLANK(A38),"",INDEX('Error Log'!$A:$J,MATCH('Scores per segment'!$A38,'Error Log'!$A:$A,0),MATCH('Scores per segment'!B$1,'Error Log'!$A$1:$J$1,0)))</f>
        <v>hundreds of children were admitted to hospital last year after being born brain damaged following exposure to alcohol in the womb , alarming new figures have revealed . in total , 272 youngsters left disabled by foetal alcohol syndrome were hospitalised in england over the past 12 months , according to data from the official health and social care information centre . but the actual number affected by their mother ' s drinking could be far greater , experts have warned . scroll down for video . warning : new figures show that 272 youngsters left disabled by foetal alcohol syndrome were hospitalised in england over the past 12 months , according to the official health and social care information centre . research by the world health organisation suggests that at least one in 100 babies born in the uk could suffer learning , behavioural and physical problems such as deformed limbs because of exposure to alcohol , according to the sunday people . that equates to about 7,500 every year . elizabeth mitchell , of the national organisation for foetal alchol syndrome , told reporter nicola fifield : ' children born with the syndrome do n't get better . they are brain damaged . ' it is an enormous problem and one that is terribly sad and vastly under-diagnosed . ' tip of the iceberg : research by the world health organisation suggests that at least one in 100 babies born in the uk could suffer learning and behavioural problems because of exposure to alcohol in the womb . one teenager who was born with foetal alcohol syndrome is 15-year-old niamh brown . she needs help getting dressed , has no sense of danger and will never be able to live independently . niamh was three when her adoptive parents julia and simon first noticed something was wrong . she stuggled at playschool , having difficulty holding a pencil and paying attention . two years later , at the age of five , niamh was diagnosed with foetal alcohol syndrome from her birth mother 's drinking . in 2007 , julia and simon set up the foetal alcohol spectrum disorder trust to help others . visit www.fasdtrust.co.uk . other medical issues associated with alcohol consumption during pregnancy include problems with the liver , kidneys and heart , cerebral palsy , sight loss and epilepsy . pregnant women are advised by the government not to drink alcohol . if they do , the maximum consumption recommended is up to two units no more than twice a week . but ms mitchell believes the guidance should be changed so that women are advised not to drink at all during pregnancy .</v>
      </c>
      <c r="C38" s="70" t="str">
        <f>IF(ISBLANK(A38),"",INDEX('Error Log'!$A:$J,MATCH('Scores per segment'!$A38,'Error Log'!$A:$A,0),MATCH('Scores per segment'!C$1,'Error Log'!$A$1:$J$1,0)))</f>
        <v>at least one in 100 babies born in the uk could suffer learning and behavioural problems .
at least one in 100 babies born in the uk could suffer learning and behavioural problems .
the actual number affected by their mother ' s drinking could be far greater .</v>
      </c>
      <c r="D38" s="70">
        <f>IF(H38=0,wdct(TRIM(C38)),0)</f>
        <v>45</v>
      </c>
      <c r="E38" s="70">
        <f>COUNTIFS('Error Log'!$A:$A,$A38,'Error Log'!$J:$J,E$1)</f>
        <v>1</v>
      </c>
      <c r="F38" s="70">
        <f>COUNTIFS('Error Log'!$A:$A,$A38,'Error Log'!$J:$J,F$1)</f>
        <v>1</v>
      </c>
      <c r="G38" s="70">
        <f>COUNTIFS('Error Log'!$A:$A,$A38,'Error Log'!$J:$J,G$1)</f>
        <v>0</v>
      </c>
      <c r="H38" s="70">
        <f>COUNTIFS('Error Log'!$A:$A,$A38,'Error Log'!$F:$F,"Source")</f>
        <v>0</v>
      </c>
      <c r="I38" s="70">
        <f>COUNTIFS('Error Log'!$A:$A,$A38,'Error Log'!$F:$F,"Target")</f>
        <v>0</v>
      </c>
      <c r="J38" s="71">
        <f t="shared" si="0"/>
        <v>83.333333333333343</v>
      </c>
    </row>
    <row r="39" spans="1:10">
      <c r="A39" s="94" t="s">
        <v>360</v>
      </c>
      <c r="B39" s="70" t="str">
        <f>IF(ISBLANK(A39),"",INDEX('Error Log'!$A:$J,MATCH('Scores per segment'!$A39,'Error Log'!$A:$A,0),MATCH('Scores per segment'!B$1,'Error Log'!$A$1:$J$1,0)))</f>
        <v>islamabad , pakistan ( cnn ) her second floor cafe on a dusty industrial road was painted with dashes of psychedelic colors . and sabeen mahmud surrounded herself there with books , people , and discussions on technology , human rights and women 's entrepreneurship . introducing others to jimi hendrix , street art , and talking politics was not supposed to get her killed . but in pakistan , free speech is dangerous , and mahmud 's exuberant exercise of it made her stick out nationwide . two gunman shot her dead at point-blank range late friday after she locked up the second floor cafe in karachi for the night , police said . mahmud died from five bullet wounds . the gunmen also shot her mother . she is in a hospital but is expected to be released on time for her daughter 's funeral . mahmud 's killing broke hearts beating for non-violence and progressive values across the country . she freely said what she thought in a place where many people are too afraid to and by doing so spoke for many more people than just herself . she had become a pakistani figurehead for humanism , love and tolerance . `` she took that torch into the dark forest and so many people followed . she really , truly was a success story of the heart , '' said close friend and bbc journalist ziad zafar . no one has claimed responsibility for her shooting , and police have not named any motive . but mahmud had just finished leading a discussion group on a topic that many want silenced , when the shots fell . in the province of baluchistan , where separatists have fought a virulent insurgency for years , people have been disappearing regularly . there have been steady allegations of mass abduction . the lahore university of management sciences planned to host the discussion on the topic , with human rights activist mama qadeer baloch , but authorities shut it down . mahmud would not hear of it not going on . `` despite the plurality of opinion , very little space seems to be given to the discussion in pakistani mainstream media or academia ; the debate seems to be shut down before it can even begin , '' she posted on facebook . `` what is the reality ? has the media been silenced on balochistan ? what makes it dangerous for us to talk about pakistan 's largest province at one of our most celebrated universities ? '' she invited the discussion to the second floor , also known by the shorthand t2f . she said she knew it was a potentially dangerous move , and she had received death threats in the past when she handled the topic before . `` she was the bravest woman in the world , she really was , she was a brave heart ; my god , she was a brave , brave girl , '' zafar said . even in its secluded , humble location , t2f was a magnet to those seeking secular wisdom . they found it in a homey setting , musingly decorated like a small town college bookstore . the walls outside its entrance are sprayed with socially critical graffiti -- dusky red hearts float across gray walls . mahmud waited to greet visitors , many of them young pakistanis seeking freedom of thought , with a hug , a mug and encouragement for pakistan 's future . `` she hoped the same thing we all hoped for , a place that is fair with liberty and justice for all , '' zafar said . grief over her death and gratefulness for her work poured out on social media and via email . `` thanks for giving us the room to breathe when fog pressed heavy on our shoulders . it 's only been a few hours , sabeen , and the city is already gasping for air , '' a group of illustrators called from karachi with love wrote . an artist drew mahmud puttering off on a vespa scooter wearing pants , a blouse and sandals . her tightly coiffed short hair and angular glasses framed her bright-eyed features . missing was a head scarf . on a wall in t2f is a spray painted technicolor image of marilyn monroe from `` the seven year itch , '' her white dress replaced by a traditional outfit of mustard , ocher and green . but it still flew up over her hips , revealing her alabaster legs , a daringly sexy and satirical image . the artistic expression sticks out and triggers passions , like many things mahmud said and did .</v>
      </c>
      <c r="C39" s="70" t="str">
        <f>IF(ISBLANK(A39),"",INDEX('Error Log'!$A:$J,MATCH('Scores per segment'!$A39,'Error Log'!$A:$A,0),MATCH('Scores per segment'!C$1,'Error Log'!$A$1:$J$1,0)))</f>
        <v>mahmud 's killing broke hearts beating for non-violence and progressive values across the country .
mahmud 's killing broke hearts beating for non-violence and progressive values across the country .
mahmud 's killing broke hearts beating for non-violence and progressive values across the country .</v>
      </c>
      <c r="D39" s="70">
        <f>IF(H39=0,wdct(TRIM(C39)),0)</f>
        <v>42</v>
      </c>
      <c r="E39" s="70">
        <f>COUNTIFS('Error Log'!$A:$A,$A39,'Error Log'!$J:$J,E$1)</f>
        <v>3</v>
      </c>
      <c r="F39" s="70">
        <f>COUNTIFS('Error Log'!$A:$A,$A39,'Error Log'!$J:$J,F$1)</f>
        <v>3</v>
      </c>
      <c r="G39" s="70">
        <f>COUNTIFS('Error Log'!$A:$A,$A39,'Error Log'!$J:$J,G$1)</f>
        <v>0</v>
      </c>
      <c r="H39" s="70">
        <f>COUNTIFS('Error Log'!$A:$A,$A39,'Error Log'!$F:$F,"Source")</f>
        <v>0</v>
      </c>
      <c r="I39" s="70">
        <f>COUNTIFS('Error Log'!$A:$A,$A39,'Error Log'!$F:$F,"Target")</f>
        <v>0</v>
      </c>
      <c r="J39" s="71">
        <f t="shared" si="0"/>
        <v>46.428571428571431</v>
      </c>
    </row>
    <row r="40" spans="1:10">
      <c r="A40" s="94" t="s">
        <v>369</v>
      </c>
      <c r="B40" s="70" t="str">
        <f>IF(ISBLANK(A40),"",INDEX('Error Log'!$A:$J,MATCH('Scores per segment'!$A40,'Error Log'!$A:$A,0),MATCH('Scores per segment'!B$1,'Error Log'!$A$1:$J$1,0)))</f>
        <v>an axe-wielding robber has been jailed after his attempt to rob a store was foiled when he was jumped on by the shopkeeper and hit by his wife with a baseball bat . ex-juvenile offender shaun andrew mckerry , dubbed boomerang boy or homing pigeon boy in his youth , burst into shildon post office and stores , county durham , at 8pm on march 15 . the masked 31-year-old waved an axe as he demanded cash from terrified assistant andrea brighty , but he did not see owner sab dhillon 's rugby tackle which dropped him to the floor , sending shelves and produce tumbling . scroll down for video . as the men wrestled , sab dhillon 's wife sam helped by hitting mckerry with a baseball bat . she struck him twice , helping to disarm him while her husband twisted him around to reveal his face to the cameras . as the men wrestled , and with mckerry still holding the axe , mr dhillon 's wife sam helped , hitting him twice with a baseball bat to make him drop the weapon . blood can be seen coming from the would-be robber 's nose as mr dhillon gestures to his wife to drop the bat . minutes later the police arrived and arrested mckerry . he previously pleaded guilty at durham crown court to attempted robbery and court officials confirmed he had been jailed for six years after the hearing today . mckerry , from coundon near bishop auckland , earned the nicknames boomerang boy or homing pigeon boy as he always returned home after committing a crime . he started shoplifting at the age of 12 and by 15 he had been arrested 80 times , and had convictions for aggravated vehicle-taking , sending indecent letters , and burglary . mckerry once stole 22 charity boxes while dressed as a woman , and locals dubbed him a one-man crime wave . his earned his moniker in the 1990s after he was arrested 80 times in 1995 and 45 times during the 36 weeks he managed to stay out of prison in 1998 . mckerry ( pictured aged 15 ) was dubbed ' boomerang boy ' in the 1990s because he always returned home after his crimes . mr dhillon said mckerry was waving the axe around when he jumped on him and wrestled him to the floor .</v>
      </c>
      <c r="C40" s="70" t="str">
        <f>IF(ISBLANK(A40),"",INDEX('Error Log'!$A:$J,MATCH('Scores per segment'!$A40,'Error Log'!$A:$A,0),MATCH('Scores per segment'!C$1,'Error Log'!$A$1:$J$1,0)))</f>
        <v>ex-juvenile offender shaun andrew mckerry burst into shildon post office and stores , county durham , at 8pm on march 15 .
masked 31-year-old waved an axe as he demanded cash from terrified assistant andrea brighty , but he did not see owner sab dhillon 's rugby tackle .</v>
      </c>
      <c r="D40" s="70">
        <f>IF(H40=0,wdct(TRIM(C40)),0)</f>
        <v>44</v>
      </c>
      <c r="E40" s="70">
        <f>COUNTIFS('Error Log'!$A:$A,$A40,'Error Log'!$J:$J,E$1)</f>
        <v>3</v>
      </c>
      <c r="F40" s="70">
        <f>COUNTIFS('Error Log'!$A:$A,$A40,'Error Log'!$J:$J,F$1)</f>
        <v>1</v>
      </c>
      <c r="G40" s="70">
        <f>COUNTIFS('Error Log'!$A:$A,$A40,'Error Log'!$J:$J,G$1)</f>
        <v>0</v>
      </c>
      <c r="H40" s="70">
        <f>COUNTIFS('Error Log'!$A:$A,$A40,'Error Log'!$F:$F,"Source")</f>
        <v>0</v>
      </c>
      <c r="I40" s="70">
        <f>COUNTIFS('Error Log'!$A:$A,$A40,'Error Log'!$F:$F,"Target")</f>
        <v>0</v>
      </c>
      <c r="J40" s="71">
        <f t="shared" si="0"/>
        <v>60.227272727272734</v>
      </c>
    </row>
    <row r="41" spans="1:10">
      <c r="A41" s="94" t="s">
        <v>377</v>
      </c>
      <c r="B41" s="70" t="str">
        <f>IF(ISBLANK(A41),"",INDEX('Error Log'!$A:$J,MATCH('Scores per segment'!$A41,'Error Log'!$A:$A,0),MATCH('Scores per segment'!B$1,'Error Log'!$A$1:$J$1,0)))</f>
        <v>as healer mangu ram rests with a threadbare blanket over his creaking knees , the 82-year-old looks to the future . it is almost 70 years since he fled the violence that followed the partition of india , and he is still regarded as a second class citizen in indian kashmir – unable to own property or vote in state elections . but now ram and thousands like him are daring to hope they will finally be able to shed the refugee status that has plagued them for decades , after prime minister narendra modi 's hindu nationalist party won a share of power in india 's only muslim-majority state . mangu ram was 14 when he fled to kashmir as a refugee - now an old man , for the past 70 years he has been denied citizenship rights . a hindu , traditional healer ram lives a slum house within india 's only muslim-majority state . its rulers have refused to give the west pakistan refugees ( wprs ) the right to own property or vote in state elections - meaning three generations are caught in abject poverty . ‘ if something can be done , then maybe i will finally have some enjoyment in this life , ’ the traditional healer said from his slum home on the outskirts of jammu , kashmir 's winter capital . ‘ if only the gods could show us some mercy . ’ ram , a hindu , was born in an area of punjab province , part of modern-day pakistan but within india’s boundaries before the country became independent in 1947 . hundreds of thousands of families fled across both sides of the border during the conflict which led to the partition of the sub-continent . around one million people were killed in the bloody war between the two countries . ram , aged 82 , with the success of prime minister narendra modi 's hindu nationalist party at a recent state vote , he says he is hopeful change will come for the west pakistan refugees : ' if something can be done , then maybe i will finally have some enjoyment in this life ' . around 100,000 people are classified as refugees - despite most of them never visiting pakistan , and living in the jammu region of india . most of those refugees were quickly absorbed in towns and cities of the newly-independent nations . however the fate of the west pakistan refugees ( wprs ) like ram who decamped to jammu and kashmir state became mired in the dispute with pakistan over the territory . because of this , its rulers held off granting the refugees residential rights , including the right to buy land , vote in state polls or work in the state government.. . observers say the reluctance of successive state governments to grant full rights to the overwhelmingly hindu wprs stems from fears of upsetting the demographic balance in india 's only muslim-majority state , which has special autonomy enshrined in the constitution . a hindu refugee washes pots at a communal hand pump in surej chak , on the outskirts of jammu . the area has evolved into one of the many slum settlements in hind-dominated areas of the city region of jammu , within india 's only muslim-majority state . generations of families have become stuck in poverty because of their continuing refugee status . successive governments have failed to act to due , say commentators , to a fear of upsetting the demographic balance of the state between the muslim and hindu populations . the wprs , whose families mainly originate from punjab , have fallen foul of a pre-independence law that only grants citizenship to people born - or descendants of those born - in the old undivided kingdom of kashmir . the same legislation has allowed around 35,000 hindus who have fled pakistan-controlled kashmir since partition to be granted citizenship . there are around 100,000 people classified as wprs , most living in the jammu region . hardly any of them have ever set foot in pakistan . a hindu refugee widow , who receives a monthly pension of £2 , walks in surej chak . the community live in poverty , while kashmir is one of india 's more prosperous states . activist labha ram gandhi said : ' granting us state-subject rights is the only way to improve our condition ' . with a hindu nationalist party winning a share of power in kashmir , there is hope . bharatiya janata party are expected to champion the refugees ' cause . but a veteran activist labha ram ghandi warned the community is not afraid to take matters into their own hands . suspected rebels shot dead three unarmed policemen monday in the disputed himalayan region of kashmir . the three policemen were investigating a dispute between neighbours when they were fired on by at least three militants wearing army uniforms , officials said . in a separate attack , another officer was critically wounded after suspected militants shot at him inside a bus near northern pattan town , police said . no rebel group immediately claimed responsibility for either attack . kashmir has been in conflict for decades , with rebels fighting either for independence or a merger with neighboring pakistan , which also claims the territory in its entirety while administering part of it . source : associated press . and despite prevailing unrest from different factions , who either fight for independence or to merge once again with pakistan , kashmir is one of india 's more prosperous states . yet the estimated 18,000 wpr families however live in abject poverty , mostly marrying among themselves because of their low economic status . ' i spend whatever money i earn to send my children to school , '' said ramesh kumar , a part-time driver who lives with his wife , two children and mother in a two-room hovel . he says he thinks the law is ‘ridiculous’ , adding : ‘ i was born here ( in india ) . my roots are here . what else do i and my children need to be citizens of this place ? ’ as things stand , kumar 's children can not be admitted to state-run training colleges or be employed in the state government , although they can work for the federal one . but the tide may soon turn on the rights given to refugees , after a pledge by the newly-elected bharatiya janata party to normalise the wprs ' status . although the bjp came second in the december hustings , they have joined a kashmir governing coalition for the first time and are expected to champion the wprs ' cause . ' we have been living here like this for three generations now , ' said veteran activist labha ram gandhi . ' granting us state-subject rights is the only way to improve our condition . ' but he warned the community is ready to take matters into their own hands if their hopes are dashed again . ‘ we will spill our blood on the streets for our rights , ’ he says . the daughter of a hindu refugee studies in her slum home in surej chak . under the current laws she is not allowed to enrolled at a state-run training college or be employed by the state government . such laws , argue opponents , make these families ' second class citizens ' .</v>
      </c>
      <c r="C41" s="70" t="str">
        <f>IF(ISBLANK(A41),"",INDEX('Error Log'!$A:$J,MATCH('Scores per segment'!$A41,'Error Log'!$A:$A,0),MATCH('Scores per segment'!C$1,'Error Log'!$A$1:$J$1,0)))</f>
        <v>prime minister narendra modi 's hindu nationalist party won a share of power in india 's only muslim-majority state .
ram was 14 when he fled to kashmir as a refugee for the past 70 years he has been denied citizenship rights .
ram , a hindu , was born in an area of punjab province , part of modern-day pakistan .</v>
      </c>
      <c r="D41" s="70">
        <f>IF(H41=0,wdct(TRIM(C41)),0)</f>
        <v>56</v>
      </c>
      <c r="E41" s="70">
        <f>COUNTIFS('Error Log'!$A:$A,$A41,'Error Log'!$J:$J,E$1)</f>
        <v>3</v>
      </c>
      <c r="F41" s="70">
        <f>COUNTIFS('Error Log'!$A:$A,$A41,'Error Log'!$J:$J,F$1)</f>
        <v>3</v>
      </c>
      <c r="G41" s="70">
        <f>COUNTIFS('Error Log'!$A:$A,$A41,'Error Log'!$J:$J,G$1)</f>
        <v>0</v>
      </c>
      <c r="H41" s="70">
        <f>COUNTIFS('Error Log'!$A:$A,$A41,'Error Log'!$F:$F,"Source")</f>
        <v>0</v>
      </c>
      <c r="I41" s="70">
        <f>COUNTIFS('Error Log'!$A:$A,$A41,'Error Log'!$F:$F,"Target")</f>
        <v>0</v>
      </c>
      <c r="J41" s="71">
        <f t="shared" si="0"/>
        <v>59.821428571428569</v>
      </c>
    </row>
    <row r="42" spans="1:10">
      <c r="A42" s="94" t="s">
        <v>387</v>
      </c>
      <c r="B42" s="70" t="str">
        <f>IF(ISBLANK(A42),"",INDEX('Error Log'!$A:$J,MATCH('Scores per segment'!$A42,'Error Log'!$A:$A,0),MATCH('Scores per segment'!B$1,'Error Log'!$A$1:$J$1,0)))</f>
        <v>four royal navy sailors charged with the gang rape of a young woman at an alcohol-fuelled party at a canadian barracks must stay in nova scotia until they have been tried . the four men appeared in turn in a courtroom in dartmouth , near halifax , where they were given identical but unusual bail conditions that could see them having to live on a canadian naval base for the next few years . bail was set at over £2,000 for each of them but they also agreed to surrender their passports and live at the nearby stadacona naval base in halifax . accused : joshua finbow , 23 , a submarine engineer from stockbridge , hampshire , arrives at court today . two of the accused , simon radford , 31 , of gosport , hampshire and craig stoner , 24 , from stonehouse , gloucestershire hid their faces as they were led to a provincial court in dartmouth , nova scotia . darren smalley , 35 , of gosport , hampshire , and his co-accused were ordered to surrender their passports as part of their bail conditions . in a deal agreed with the british government , they will also continue to work for the royal navy and draw their current pay . it was not clear last night how they will keep themselves occupied thousands of miles from their shipmates and a representative from the british high commission who was in court refused to elaborate . the four – joshua finbow , 23 , a submarine engineer , craig stoner , 24 , simon radford , 31 , and darren smalley , 35 – had been playing for the royal navy ice hockey team in a tournament at the shearwater naval base just east of halifax . the alleged sexual assault , in which police sources say all four men had sexual intercourse with their victim , took place on april 10 after the sailors had returned to the barracks from a hockey game . sources say their victim , who is aged in her early 20s and lives in halifax , had accompanied a friend who had been invited to attend the party by local canadian servicemen . yesterday , all four men – three of them wearing black royal navy ice hockey team hoodies – looked relieved to be getting out of custody as they respectfully answered judge john macdougall’s questions . charged : royal navy sailors joshua finbow , 23 , ( left ) and simon radford , 31 , ( right ) appeared in court . held : craig stoner , 24 , ( left ) and darren smalley , 35 , ( right ) are being held by military police in canada . they all said they understood their bail conditions and crown prosecutor eric taylor said outside court that the accused had not asked to be returned to the uk . they were ordered to return to court on may 27 and given the names of seven people – the victim and six witnesses – who they were forbidden to contact . they must not leave the province of nova scotia and can not apply for new passports . they must remain employed by the navy and must not resign without the court’s permission . the four , no longer trying to hide their faces , later filed out of the court building and were driven away together in a large white suv to their new home on the close stadacona base . they ignored a question over how they might plead in the case . commander michael o’sullivan , the air and naval advisor at the british high commission , has spoken to the four and described the alleged offences as ‘serious’ but stressed they were as yet only allegations . naval base : the east coast navy base at halifax , nova scotia , near to where the alleged incident occurred . military base : an aerial view of the shearwater military base where four british sailors are accused of assaulting a civilian . the commander , who drove the car the men left the court in , added : ‘we’re assisting the canadian authorities with their investigation . ’ the four are charged with sexual assault causing bodily harm and group sexual assault – offences that are punishable by up to 14 years in prison . crown prosecutor eric taylor said the investigation was still at an early stage and the results of forensic tests could result in additional charges . ‘ it will be up to the royal navy to decide now how to employ them while their charges are working their way through the court , ’ he said . canadian military investigators have described the alleged offences as ‘ a disturbing accusation of sexual assault’ . sorry we are not currently accepting comments on this article .</v>
      </c>
      <c r="C42" s="70" t="str">
        <f>IF(ISBLANK(A42),"",INDEX('Error Log'!$A:$J,MATCH('Scores per segment'!$A42,'Error Log'!$A:$A,0),MATCH('Scores per segment'!C$1,'Error Log'!$A$1:$J$1,0)))</f>
        <v>joshua finbow , 35 , of gosport , hampshire , arrives at court today .
two of the accused gang rape of a young woman must stay in nova scotia .
they also agreed to surrender their passports and live at the nearby stadacona naval base in halifax , nova scotia .</v>
      </c>
      <c r="D42" s="70">
        <f>IF(H42=0,wdct(TRIM(C42)),0)</f>
        <v>44</v>
      </c>
      <c r="E42" s="70">
        <f>COUNTIFS('Error Log'!$A:$A,$A42,'Error Log'!$J:$J,E$1)</f>
        <v>9</v>
      </c>
      <c r="F42" s="70">
        <f>COUNTIFS('Error Log'!$A:$A,$A42,'Error Log'!$J:$J,F$1)</f>
        <v>3</v>
      </c>
      <c r="G42" s="70">
        <f>COUNTIFS('Error Log'!$A:$A,$A42,'Error Log'!$J:$J,G$1)</f>
        <v>2</v>
      </c>
      <c r="H42" s="70">
        <f>COUNTIFS('Error Log'!$A:$A,$A42,'Error Log'!$F:$F,"Source")</f>
        <v>0</v>
      </c>
      <c r="I42" s="70">
        <f>COUNTIFS('Error Log'!$A:$A,$A42,'Error Log'!$F:$F,"Target")</f>
        <v>0</v>
      </c>
      <c r="J42" s="71">
        <f t="shared" si="0"/>
        <v>-21.590909090909079</v>
      </c>
    </row>
    <row r="43" spans="1:10">
      <c r="A43" s="94" t="s">
        <v>401</v>
      </c>
      <c r="B43" s="70" t="str">
        <f>IF(ISBLANK(A43),"",INDEX('Error Log'!$A:$J,MATCH('Scores per segment'!$A43,'Error Log'!$A:$A,0),MATCH('Scores per segment'!B$1,'Error Log'!$A$1:$J$1,0)))</f>
        <v>fc tokyo forward yoshinori muto has admitted that he is still considering whether to join premier league leaders chelsea this summer . earlier this month club president naoki ogane claimed that the blues have made an offer - believed to be around £4million - for the japan international . chelsea would look to loan muto to partner club vitesse arnhem next season but the 22-year-old is keen to join a club where he will play regularly and realise his potential . fc tokyo forward yoshinori muto has a shot against shonan bellmare during a j-league clash . chelsea have made an offer for muto according to fc tokyo president naoki ogane . asked about a potential switch to london this summer after scoring the winner against shonan bellmare last week , muto said : ' i want to think about it carefully . ' where can i go to develop ? a team that suits me , where i can play and develop . i 'm thinking about that , and for now i just want to take my time and think it through . ' real zaragoza boss ranko popovic gave muto his debut for fc tokyo in july 2013 and he believes the pacey forward could be a big hit at stamford bridge . speaking to bleacher report , popovic said : ' his potential was amazing , i did n't see for a long time such an intelligent player like muto . he 's a different guy , he 's not such a usual player . ' muto is something like a noble . he has something different to all other players because he comes from a good family , he has good education , he was at university . a very smart , intelligent guy . he has something which you can not learn . ' he was so fast . so speedy and , for a japanese guy , so strong . and also so confident . he has a lot of confidence . in our training games muto always had chances . amazing . he had 10 or 12 chances in every game . ' muto says he is still considering a move to chelsea as he wants to join a club where he will ' play and develop ' . chelsea boss jose mourinho had admitted that he is aware of the japan international . chelsea signed a £200million sponsorship deal with japanese tyre manufacturer yokohama rubber in february and jose mourinho has admitted that commercial interests do play a part in the club 's transfer policy . asked about muto earlier this month , mourinho said : ' i know a little about him . i do n't think it is nice for me to talk about a player who plays for fc tokyo . ' if a fc tokyo manager talks about my player i would n't be happy.it is not nice for me to speak about other players . ' in modern football and football is a business , an industry , you have to think about the financial situation , especially a club like chelsea that wants to be in the rules like financial fair play . ' but we want to win matches and do n't get a player unless he is a good player or a good prospect . '</v>
      </c>
      <c r="C43" s="70" t="str">
        <f>IF(ISBLANK(A43),"",INDEX('Error Log'!$A:$J,MATCH('Scores per segment'!$A43,'Error Log'!$A:$A,0),MATCH('Scores per segment'!C$1,'Error Log'!$A$1:$J$1,0)))</f>
        <v>chelsea have made an offer for muto for the japan international .
the blues have made an offer for muto according to president naoki ogane .
chelsea have made an offer for muto according to naoki ogane .</v>
      </c>
      <c r="D43" s="70">
        <f>IF(H43=0,wdct(TRIM(C43)),0)</f>
        <v>35</v>
      </c>
      <c r="E43" s="70">
        <f>COUNTIFS('Error Log'!$A:$A,$A43,'Error Log'!$J:$J,E$1)</f>
        <v>4</v>
      </c>
      <c r="F43" s="70">
        <f>COUNTIFS('Error Log'!$A:$A,$A43,'Error Log'!$J:$J,F$1)</f>
        <v>1</v>
      </c>
      <c r="G43" s="70">
        <f>COUNTIFS('Error Log'!$A:$A,$A43,'Error Log'!$J:$J,G$1)</f>
        <v>0</v>
      </c>
      <c r="H43" s="70">
        <f>COUNTIFS('Error Log'!$A:$A,$A43,'Error Log'!$F:$F,"Source")</f>
        <v>0</v>
      </c>
      <c r="I43" s="70">
        <f>COUNTIFS('Error Log'!$A:$A,$A43,'Error Log'!$F:$F,"Target")</f>
        <v>0</v>
      </c>
      <c r="J43" s="71">
        <f t="shared" si="0"/>
        <v>35.714285714285708</v>
      </c>
    </row>
    <row r="44" spans="1:10">
      <c r="A44" s="94" t="s">
        <v>410</v>
      </c>
      <c r="B44" s="70" t="str">
        <f>IF(ISBLANK(A44),"",INDEX('Error Log'!$A:$J,MATCH('Scores per segment'!$A44,'Error Log'!$A:$A,0),MATCH('Scores per segment'!B$1,'Error Log'!$A$1:$J$1,0)))</f>
        <v xml:space="preserve">a mother whose son suffers an incredibly rare disease , which makes his skin appear scalded , was shocked after a stranger reported her to police for child abuse . four-year-old 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 but while out shopping recently , mrs jackson was suddenly surrounded by armed police , who had been called by a member of the public . valerie jackson , pictured left with her son rj when he was three months old , was accused of scalding her son after a member of the public mistook his rare skin disease for the signs of abuse . rj , pictured recently right , suffers netherton 's syndrome , an incredibly rare illness which causes his skin to appear red and scaly . as soon as rj was born , mrs jackson , from las vegas , knew there was something wrong with her son , after noticing a red rash spreading across his tiny chest . they reported fears mrs jackson had been abusing rj . ' it just shows the extent of people 's ignorance , ' mrs jackson , from las vegas , said . the 35-year-old said she is also subjected to taunts in the street , with other mother 's accusing her of burning rj . ' his skin is bright red and shiny , ' mrs jackson added . ' i put vaseline all over him two to three times a day to keep his skin subtle but he is still sore . ' when he was younger he had to have it over his body every few hours – even in the night . ' we have n't known sleep for about five years . ' the mother-of-four said her young son is also targeted by bullies - many cruel taunts being made by adults . ' one woman came up to me and thought he was badly burnt , ' she said . ' she said sharply to me , `` excuse me , your child has caught the sun '' . ' i could n't believe it . but we 're used to the staring and ignorant comments . ' i think he is the most beautiful boy in the world . ' he 's got a cheeky smile and an adorable giggle . ' she said rj has been treated like an outcast because of his illness , a rare congenital skin disease , which makes skin red and scaly . mrs jackson and her husband , reginald , 40 , have to regularly cover rj 's body with creams to ease his painful symptoms . but she said , both she and her son face cruel taunts from bullies , most of whom are adults . while out shopping with rj , mrs jackson , pictured left with her son in hospital , was suddenly surrounded by armed police . a member of the pubic had called officers reporting the 35-year-old for child abuse . ' it just shows the extent of people 's ignorance , ' mrs jackson said . she said her son has been treated as an outcast , having been denied entry to play centres and facing cruel jibes from people in the street . ' we were denied entry to an indoor playhouse because of his skin , ' she said . ' we 've had the police called for child abuse . ' we were in walmart in las vegas putting his creams on when we were surrounded by five armed police . netherton 's syndrome is a rare congenital skin disease - a more extreme form of ichthyosis . sufferers ' skin appears red and scaly and can also experience hair , infection and allergy problems . because red skin can be attributed to several diseases , the condition may not be accurately diagnosed until later in a child 's life . most children with the disease appeared ' scalded ' at birth and are slow to gain weight . their skin quickly loses heat , water and protein and babies are often kept in incubators on special care baby units as a result . they are more at risk of infection because of their inflammed skin . parents are advised to reguarly cleanse and moisturiser their child'skin , while taking care when holding them . there is no cure for the condition , but in most infants , the symptoms improve with time . as they get older , a child 's skin may remain red and scaly , and their skin may be itchy , sensitive or raw , sometimes appearing thicker at the joints . the condition appears out of the blue where there has been no family history . but , it is thought to be genetic , and parents can carry the faulty gene responsible . source : ichthyosis support group . ' their guns were n't drawn . the officer asked what was going on . i explained and he apologised . ' but it just shows the extent of people 's ignorance . ' mrs jackson , who is married to rj 's father reginald , 40 , said their son was diagnosed when he was a baby . ' after an emergency caesarean , i knew something was n't right , ' she said . ' as rj was lifted up and i saw him for the first time , i noticed an angry rash on his chest . ' he was rushed to intensive care where the rash seemed to spread before our eyes , his skin becoming even redder and cracking . ' she said her first thought was he was being burnt by the incubator light . ' but he was n't , ' she said . ' no one had any idea what was wrong with him . ' when doctors told me i could take him home two weeks later , i burst into tears . ' i did n't think he was well enough to leave hospital . his skin was crusty and starting to fall off . ' back home , as he cried and screamed , i felt helpless , and wished there was something i could do . ' he 'd scratch at his skin until it bled , so i put socks on his hands to stop him . ' i searched the internet for answers but i could n't find anything . ' she eventually stumbled upon a facebook group called netherton 's syndrome research group . it had been set up by a couple in the uk whose child , jack oldacres has the condition . ' each symptom was exactly like rj 's , ' mrs jackson said . ' people from all over the world were sharing stories , swapping tips to help one another . ' i knew this was what he had . i found out netherton 's was a rare strain of the skin condition ichthyosis , affecting one in 200,000 births in the uk . mrs jackson was desperate to discover what was wrong with rj , centre on his sister 's lap , and so turned to the internet . there , she found a facebook group set up by the parents of a little boy with the disease . ' each symptom was exactly like rj 's , ' she said . ' i knew this was what he had ' . ' reginald and i started slathering rj 's skin in vaseline every three hours , like people on the group suggested . ' we bathed him just twice a week because the hard water dried out his skin too much . ' each time i 'd sit with him in the bath and painstakingly remove all the dead skin . ' but , she said , people are still critical of her . ' i 'm happy to explain what netherton 's is , but most people jump to conclusions before i get the chance , ' she said . ' his brother and sisters are great with him , always helping out and standing up for him . ' just like any other little boy , he loves throwing around a ball and is usually bubbly and happy , until his skin starts to hurt . ' right now , rj is too young to know that people make nasty comments , but i hope as he grows , his condition will be better known . ' it does n't matter how red his skin is , all i see is a beautiful little boy . '  </v>
      </c>
      <c r="C44" s="70" t="str">
        <f>IF(ISBLANK(A44),"",INDEX('Error Log'!$A:$J,MATCH('Scores per segment'!$A44,'Error Log'!$A:$A,0),MATCH('Scores per segment'!C$1,'Error Log'!$A$1:$J$1,0)))</f>
        <v>rj jackson is one of just 70 people in the world who suffers netherton 's syndrome .
his skin appears red and inflamed , and is often covered in dry skin that appears like scales on his body .
his mother valerie jackson has to regularly cover him in creams to try and prevent his skin drying out .</v>
      </c>
      <c r="D44" s="70">
        <f>IF(H44=0,wdct(TRIM(C44)),0)</f>
        <v>55</v>
      </c>
      <c r="E44" s="70">
        <f>COUNTIFS('Error Log'!$A:$A,$A44,'Error Log'!$J:$J,E$1)</f>
        <v>2</v>
      </c>
      <c r="F44" s="70">
        <f>COUNTIFS('Error Log'!$A:$A,$A44,'Error Log'!$J:$J,F$1)</f>
        <v>1</v>
      </c>
      <c r="G44" s="70">
        <f>COUNTIFS('Error Log'!$A:$A,$A44,'Error Log'!$J:$J,G$1)</f>
        <v>0</v>
      </c>
      <c r="H44" s="70">
        <f>COUNTIFS('Error Log'!$A:$A,$A44,'Error Log'!$F:$F,"Source")</f>
        <v>0</v>
      </c>
      <c r="I44" s="70">
        <f>COUNTIFS('Error Log'!$A:$A,$A44,'Error Log'!$F:$F,"Target")</f>
        <v>0</v>
      </c>
      <c r="J44" s="71">
        <f t="shared" si="0"/>
        <v>77.272727272727266</v>
      </c>
    </row>
    <row r="45" spans="1:10">
      <c r="A45" s="94" t="s">
        <v>417</v>
      </c>
      <c r="B45" s="70" t="str">
        <f>IF(ISBLANK(A45),"",INDEX('Error Log'!$A:$J,MATCH('Scores per segment'!$A45,'Error Log'!$A:$A,0),MATCH('Scores per segment'!B$1,'Error Log'!$A$1:$J$1,0)))</f>
        <v>congratulations to australia for seeing sense and dropping the ridiculous policy of not selecting their best players if they are playing overseas . it leaves england looking old-fashioned and they need to react . stuart lancaster must be free to pick his best players , no matter where in the world they ply their trade . if roy hodgson’s star names moved to bayern munich or barcelona , would the fa tell him not to pick them ? absolutely not . the same needs to apply to rugby . matt giteau 's stellar displays for toulon have put him back on the wallabies radar ahead of the world cup . the game is changing and australia have realised that . matt giteau and drew mitchell , for example , are top-class performers for toulon and if england lose to australia with those two playing out of their skins , you know exactly what the headlines will be . the world cup is simply about the world’s best coming together and ridiculous rules like this demean it . toulon’s steffon armitage came off the bench against leinster on sunday and turned the game on its head . his turnover work and ball-carrying are second to none and since he upped sticks to france his game has constantly improved . toulon 's steffon armitage takes on the leinster defence during the champions cup semi-final in marseille . i don’t think armitage would be playing this well if he was still at london irish . he took a big risk and it paid off , he shouldn’t be penalised for it . if one or two england back-rowers wouldn’t want to see armitage in the squad , then that confirms he should be ! nick abendanon has also become better since he crossed the channel . it’s simply wrong to say england are best served by players at english clubs . if someone is going to be happier , healthier and a better player overseas , he should be supported . jonny wilkinson moved to france and became even better than when he played for england , so that completes the argument for me . would i have picked jonny if he was playing in france ? of course i would . nick abendanon 's game has drastically improved since the former bath full back made the move to france . as england coach you will be judged on your world cup performance , even more so as the home team . that’s where you have to deliver the results and selecting your best starting xv is the first thing you have to get right , without exception . when it comes to the big games , the other england players will want to have the best possible squad available . every player , fan and englishman wants england to win the world cup and it starts with picking your best team . when it comes to a home world cup , you don’t want to be left talking about ‘ what ifs’ . england head coach stuart lancaster has remained steadfast in his policy not to select overseas players . england players deserve to go on to the field knowing they have been given the best chance of winning . do the squad truly believe this when such talented players are not considered ? they shouldn’t be left to doubt they are playing only because of their home address . this isn’t about being disloyal to the clubs . they benefit from a winning england team , especially in a world cup year . you simply can’t let the rfu or premier rugby tie your hands behind your back and dictate who you can or can’t pick . at toulon , they’ve got bryan habana playing for south africa and leigh halfpenny playing for wales . they’re among the best players in the world . it’s just crazy and misguided not to make any englishman available for selection . well done , australia . bryan habana plays for toulon but the springboks have continued to select the winger for test matches .</v>
      </c>
      <c r="C45" s="70" t="str">
        <f>IF(ISBLANK(A45),"",INDEX('Error Log'!$A:$J,MATCH('Scores per segment'!$A45,'Error Log'!$A:$A,0),MATCH('Scores per segment'!C$1,'Error Log'!$A$1:$J$1,0)))</f>
        <v>matt giteau 's stellar displays for toulon have put him back on the wallabies radar ahead of the world cup .
matt giteau 's turnover work and ball-carrying are second to none and since he upped sticks to france his game has constantly improved .
toulon 's steffon armitage takes on the leinster defence during the champions cup semi-final in marseille .</v>
      </c>
      <c r="D45" s="70">
        <f>IF(H45=0,wdct(TRIM(C45)),0)</f>
        <v>59</v>
      </c>
      <c r="E45" s="70">
        <f>COUNTIFS('Error Log'!$A:$A,$A45,'Error Log'!$J:$J,E$1)</f>
        <v>3</v>
      </c>
      <c r="F45" s="70">
        <f>COUNTIFS('Error Log'!$A:$A,$A45,'Error Log'!$J:$J,F$1)</f>
        <v>3</v>
      </c>
      <c r="G45" s="70">
        <f>COUNTIFS('Error Log'!$A:$A,$A45,'Error Log'!$J:$J,G$1)</f>
        <v>0</v>
      </c>
      <c r="H45" s="70">
        <f>COUNTIFS('Error Log'!$A:$A,$A45,'Error Log'!$F:$F,"Source")</f>
        <v>0</v>
      </c>
      <c r="I45" s="70">
        <f>COUNTIFS('Error Log'!$A:$A,$A45,'Error Log'!$F:$F,"Target")</f>
        <v>0</v>
      </c>
      <c r="J45" s="71">
        <f t="shared" si="0"/>
        <v>61.864406779661017</v>
      </c>
    </row>
    <row r="46" spans="1:10">
      <c r="A46" s="94" t="s">
        <v>427</v>
      </c>
      <c r="B46" s="70" t="str">
        <f>IF(ISBLANK(A46),"",INDEX('Error Log'!$A:$J,MATCH('Scores per segment'!$A46,'Error Log'!$A:$A,0),MATCH('Scores per segment'!B$1,'Error Log'!$A$1:$J$1,0)))</f>
        <v>campaigners against the new protein world ' are you beach body ready ? ' adverts are celebrating today after learning that they are being taken down . transport for london ( tfl ) has revealed that the controversial posters around the london underground , featuring a bikini-clad model called renee somerfield are being removed . the sight of the 24-year-old 's toned figure towering above train platforms has caused a stir among feminists and body image campaigners - a change.org petition calling for the adverts to be pulled has already attracted more than 50,000 signatures . one of the many protein world posters on the london underground that have been defaced . several of the images have also been defaced by bloggers , angry at the perceived insinuation that only women who look like renee are ready to go to the beach . the advertising standards authority has also received more than 200 complaints from people saying that the adverts promote an unhealthy body image . but today , tfl confirmed that it was pulling the posters down , because they had come to the end of the three-week advertising period that protein world had paid for . the company also said it had taken note of the reaction from customers to the advert and that they would bear it in mind if they received a request to put up posters of a similar nature in future . the posters are now being removed from the london underground . a tfl spokesperson told mailonline : ' this advertisement will begin to be removed from our network as scheduled from tomorrow . ' we have received one complaint about it and we will be guided by the committee of advertising practice ( cap ) and advertising standards authority ( asa ) if a similar advert were to be submitted again . ' we have zero tolerance towards graffiti on the network and take action to prevent it and remove it . ' the removal of the posters comes as a protest organised against protein world in hyde park on may 2 gathers steam - hundreds of people are expected to attend the rally in central london . the posters have caused a huge backlash on social media , with thousands of tweets directed at the campaign . one user called catrin stewartwrite : ' you clearly know what you 're trying to sell with that offensive , unrealistic and sexist advert . ' another called livy christophers ‏said : ' you do n't get to tell women what is offensive . `` are you beach body ready '' really means `` why do n't you look like this . `` ' online fitness store protein world , who claim that the image is entirely unphotoshopped , have been actively engaging in the furore on social media , strongly defending their campaign with some biting responses to aggrieved tweeters . online fitness store protein world , who claim that the image is entirely unphotoshopped , have been actively engaging in the furore on social media , strongly defending their campaign with some biting responses to aggrieved tweeters . ' we are a nation of sympathisers for fatties , ' a spokesperson for protein world tweeted to one user after she signed the change.org petition calling for the removal of the advert . ' why make your insecurities our problem ? ' tv presenter susanna reid described the campaign for protein shakes , which features a toned swimwear-clad model alongside the slogan ' are you beach body ready ? ' , as ' anxiety inducing ' during an interview with the fitness brand 's head of global marketing on monday morning . the good morning britain presenter and her co-host ben shephard grilled richard staveley about the uproar surrounding the poster , which has attracted the wrath of many social media users . many have been outraged that the advert appears to suggest women can not go on the beach in a bikini unless they look like the slim model in the advert . ' what if my only goal is to be on a beach ? ' , susanna asked richard , adding , ' am i irrational by finding that advert a little bit anxiety inducing ? ' weighing in on the debate : susanna reid revealed she found the controversial protein world advert ' anxiety inducing ' on good morning britain on monday . security threat : staveley revealed police were investigating a bomb threat made to the company . the protein world boss defended the campaign , saying : ' that may be but we are a fitness brand , our own aspirations are to make the nation healthier and ask each one of us to set our sights higher , to be fitter , to be healthier and actually have an inner and outer confidence within ourselves . ' the tv stars also addressed the company 's blunt responses to twitter complaints , including ' why make your insecurities our problem ' and ' grow up ' . but staveley believes the reaction is justified , saying , ' there is an irrational minority who have decided to interpret it in that way . ' susanna , 44 , retorted : ' do you think everybody who objects to it is irrational ? am i an irrational extremist ? ' defending protein world : richard staveley , head of global marketing , insisted the company 's advert was n't meant to offend and was targeted at health-conscious individuals looking to get fit in time for summer . the company boss revealed protein world has received ' threats on our head office , physical and violent threats ' . he added : ' we had a bomb threat ... that’s been reported to the police . it’s currently being investigated . ' staveley concluded his appearance on the itv show by declaring that it had been a ' fantastic campaign ' for the brand and they wo n't changing their advertising methods in future . the advertising standards authority ( asa ) said it has received 216 complaints about the advert and is ' carefully assessing ' the complaints to ' establish if there are grounds for further action ' . sales of protein powder - which can be priced up to £45 per kilogram tub - are rocketing in the uk , growing from £73m in 2007 to £170m in 2012 . they are expected to reach £358m by 2017 , according to the market-analyst euromonitor , as gym-going brits add the stuff to post-workout smoothies and drinks in a bid to build muscle . meanwhile , katie hopkins came to protein world 's defence , tweeting : ' chubsters , quit vandalising protein world ads and get your arse running on the road . feminism isn’t an excuse for being fat . eat less , move more . ' and writer samantha brick , who is open about feeling confident about her looks , posted a provocative update on facebook : ' just ordered my size 8 yellow bikini for my beach hols in june . i will be bikini ready . *that* ad totally worked for me . '</v>
      </c>
      <c r="C46" s="70" t="str">
        <f>IF(ISBLANK(A46),"",INDEX('Error Log'!$A:$J,MATCH('Scores per segment'!$A46,'Error Log'!$A:$A,0),MATCH('Scores per segment'!C$1,'Error Log'!$A$1:$J$1,0)))</f>
        <v>transport for london ( tfl ) has revealed that the posters are being removed .
one of the many protein world posters on the london underground have been defaced .
one of the images have also been defaced by bloggers , angry at the perceived insinuation that only women who look like renee are ready to go to the beach .</v>
      </c>
      <c r="D46" s="70">
        <f>IF(H46=0,wdct(TRIM(C46)),0)</f>
        <v>55</v>
      </c>
      <c r="E46" s="70">
        <f>COUNTIFS('Error Log'!$A:$A,$A46,'Error Log'!$J:$J,E$1)</f>
        <v>2</v>
      </c>
      <c r="F46" s="70">
        <f>COUNTIFS('Error Log'!$A:$A,$A46,'Error Log'!$J:$J,F$1)</f>
        <v>2</v>
      </c>
      <c r="G46" s="70">
        <f>COUNTIFS('Error Log'!$A:$A,$A46,'Error Log'!$J:$J,G$1)</f>
        <v>0</v>
      </c>
      <c r="H46" s="70">
        <f>COUNTIFS('Error Log'!$A:$A,$A46,'Error Log'!$F:$F,"Source")</f>
        <v>0</v>
      </c>
      <c r="I46" s="70">
        <f>COUNTIFS('Error Log'!$A:$A,$A46,'Error Log'!$F:$F,"Target")</f>
        <v>0</v>
      </c>
      <c r="J46" s="71">
        <f t="shared" si="0"/>
        <v>72.727272727272734</v>
      </c>
    </row>
    <row r="47" spans="1:10">
      <c r="A47" s="94" t="s">
        <v>434</v>
      </c>
      <c r="B47" s="70" t="str">
        <f>IF(ISBLANK(A47),"",INDEX('Error Log'!$A:$J,MATCH('Scores per segment'!$A47,'Error Log'!$A:$A,0),MATCH('Scores per segment'!B$1,'Error Log'!$A$1:$J$1,0)))</f>
        <v>its firechat app paved the way for chatting to friends without the need for the web or even a mobile signal . and now developers at open garden have built a small device designed to make these off-the-grid networks stronger . called greenstone , the egg-shaped gadget acts like a beacon , or booster , to help messages move around these so-called wireless mesh networks more easily . its firechat app paved the way for chatting to friends without the need for the web or even a mobile signal . and now developers at open garden have built greenstone - a small egg-shaped gadget that acts like a beacon , or a booster , to help messages move around so-called wireless mesh networks more easily . firechat launched last year and has been downloaded more than five million times . it takes advantage of a feature that launched in apple’s ios 7 called multipeer connectivity framework ( mcf ) . android has a similar feature that works over bluetooth . mcf lets you send messages and photos even when a person has no signal by creating what is called a wireless mesh network . apple added to multipeer connectivity framework ( mcf ) to ios 7 . it creates what’s called a wireless mesh network that connects phones to each other . instead of sending messages using mobile or data signal , the features lets users send messages to people in close proximity that are in bluetooth or wi-fi direct range - up to around 30 feet ( 9 metres ) . it does this by creating a localised network in which each phone becomes a node and the data is passed between nodes . apple uses the framework for its airdrop feature , for example , which makes it easy to send files and data to other connected iphone users . however , there are limits to how far a message can travel in this way - at around 200ft ( 61 metres ) - and greenstone has been designed to solve this . when a user opens the firechat app , they pick a screen name to start sending messages . within the app there are ' chatrooms ' with ' everyone ' and ' nearby ' options . the former will search for all users , while the latter option applies to people within bluetooth and wi-fi range who are also using the app . this is particularly useful when on a plane , or the underground . it can also be used to save money on data plans , for example . the app creates a localised network in which each phone becomes a node , and the data is passed between nodes . apple uses the framework for its airdrop feature , for example , which makes it easy to send files and data to other connected iphone users . these messages are sent securely , so the individual nodes can’t read them . users can also send messages anonymously to avoid snooping , for example , because data is sent from app usernames , as opposed to mobile numbers . elsewhere , because the feature doesn’t use an internet connection , it can’t be infiltrated by hackers . the ' everyone ' setting allows people to send information further , however . it does this by bringing all its nodes onto one network and relaying messages from one node to another until it reaches the final recipient . in firechat ( left ) there are ' chatrooms ' called everyone and nearby . the former searches for all users , while the latter applies to people within bluetooth and wi-fi range . it takes advantage of a tool used by apple for airdrop ( right ) . this creates a network in which phones become nodes , and data is passed between nodes . nodes are simply a vehicle for passing data along a network . on a traditional internet network any device that’s connected to the network is also called a node . firechat ( pictured ) has been downloaded more than five million times and is particularly useful when on a plane , or the underground . for example , if a network has a phone , tablet , two computers and a printer connected to it there are five nodes on the network . each of these devices has a network address which is used to uniquely identify each one . this helps keep track of where data is being transferred to and from on the network . however , there are limits to how far a message can travel in this way - at around 200ft ( 61 metres ) - and greenstone has been designed to plus these gaps . christophe daligault , chief marketing officer at open garden told daily dot : ' the combination between [ greenstone ] and the smartphones will enable a community , or a neighbourhood , or a hospital , or any other situation where they want resilient communication , even in the case of not having any connectivity . ' it could also be placed in certain locations at music festivals , organised protests , football matches and other events where having large numbers of people can crash networks . greenstone is still under development and only currently works with firechat at a range of around 20ft ( 6 metres ) . messages sit on greenstone until another firechat comes within range , and the device has a one-year battery life . it can additionally hold up to 1,000 of the most recent messages . open garden is now working with manufacturers to design and sell greenstone and the timeframe will depend on these partnerships .</v>
      </c>
      <c r="C47" s="70" t="str">
        <f>IF(ISBLANK(A47),"",INDEX('Error Log'!$A:$J,MATCH('Scores per segment'!$A47,'Error Log'!$A:$A,0),MATCH('Scores per segment'!C$1,'Error Log'!$A$1:$J$1,0)))</f>
        <v>greenstone launched last year and has been downloaded more than five million times .
it takes advantage of a feature that launched in apple’s ios 7 called multipeer connectivity framework ( mcf ) .
it takes advantage of a feature that launched in apple’s ios 7 called multipeer connectivity framework ( mcf ) .</v>
      </c>
      <c r="D47" s="70">
        <f>IF(H47=0,wdct(TRIM(C47)),0)</f>
        <v>49</v>
      </c>
      <c r="E47" s="70">
        <f>COUNTIFS('Error Log'!$A:$A,$A47,'Error Log'!$J:$J,E$1)</f>
        <v>3</v>
      </c>
      <c r="F47" s="70">
        <f>COUNTIFS('Error Log'!$A:$A,$A47,'Error Log'!$J:$J,F$1)</f>
        <v>2</v>
      </c>
      <c r="G47" s="70">
        <f>COUNTIFS('Error Log'!$A:$A,$A47,'Error Log'!$J:$J,G$1)</f>
        <v>0</v>
      </c>
      <c r="H47" s="70">
        <f>COUNTIFS('Error Log'!$A:$A,$A47,'Error Log'!$F:$F,"Source")</f>
        <v>0</v>
      </c>
      <c r="I47" s="70">
        <f>COUNTIFS('Error Log'!$A:$A,$A47,'Error Log'!$F:$F,"Target")</f>
        <v>0</v>
      </c>
      <c r="J47" s="71">
        <f t="shared" si="0"/>
        <v>59.183673469387756</v>
      </c>
    </row>
    <row r="48" spans="1:10">
      <c r="A48" s="94" t="s">
        <v>443</v>
      </c>
      <c r="B48" s="70" t="str">
        <f>IF(ISBLANK(A48),"",INDEX('Error Log'!$A:$J,MATCH('Scores per segment'!$A48,'Error Log'!$A:$A,0),MATCH('Scores per segment'!B$1,'Error Log'!$A$1:$J$1,0)))</f>
        <v xml:space="preserve">rail firms came under fire this weekend for planning a series of fare hikes of up to 87 per cent just ten days after the general election - despite the main party leaders pledging to freeze prices . the prime minister has requested first great western ( fgw ) ' urgently review ' its decision to almost double some fares on the route between london and the cotswolds - which passes through his witney constituency . mr cameron has promised to freeze fares in real terms for the whole of the next parliament , while labour has also pledged to bring in a ' cap ' on price hikes . scroll down for video . sent letter : prime minister david cameron has written to first great western to request it ' urgently reviews ' plans to increase fares on trains running through his witney constituency . passengers travelling from charlbury , the oxfordshire station nearest to his constituency home , can currently purchase an off-peak return to london costing £33.30 . this allows them to leave at 9.42am , outside the morning peak , but return on one of the four services that go from london during the evening peak period . but from may 17 , these customers will be forced to pay £62.40 if they want to come home on one of these trains - an 87 per cent increase . the planned changes have angered mr cameron 's constituents - prompting him to personally intervene . 1 . first great western . line : london to hereford . potential increase : 87 % 2 . virgin . line : stafford to liverpool . potential increase : 24.5 % 3 . london midlands . line : crewe to northampton . potential increase : 23 % the prime minister 's spokesman told the sunday times : ' mr cameron has written to first great western and asked them to urgently review their decision . ' train companies have three windows every year in which they can increase ' unregulated ' fares , which make up around half of their total revenue . unregulated fares can include journeys such as off-peak leisure and advance-purchase tickets . first great western has insisted the reason for the change is to bring the north cotswolds route in line with its other services . the firm is also offering some customers a cheaper option in advanced single tickets , potentially allowing them to buy a return for £20 if they book ahead . other sharp price hikes to be introduced include an off-peak first-class single from crewe to northampton on london midlands , which will rise from £30 to £37 , according to trainsplit.com - a website that provides passengers with cheaper ticket options . the cost of an anytime return between stafford and liverpool , travelling with virgin , will leap from £26.50 to £33 - a 24.5 per cent hike . biggest hike : passengers travelling with the rail firm between london and the cotswolds could face increases of up to 87 per cent come may 17 . and an anytime first-class day return on virgin from manchester to stoke will go up 22 per cent - rising from £29 to £35.30 . virgin has said the ' vast majority ' of its price hikes affected ' virgin trains-only fares ' - which are at least 20 per cent cheaper than tickets offered by rival firms . it added : ' our overall fare increase this year on the west coast is just 1.65 per cent , well below the industry average . ' speaking to mark hookham of the sunday times , mike richardson , of trainsplit.com , said : ' passengers might very well be surprised at these fare increases when both the main parties have talked about price freeezes . according to which ? hundreds of ' anytime ' and 'off-peak ' returns rose by 40 per cent in january . its research found rail fare increases on tickets that passengers buy on the day and on rural routes . defended rise : virgin has said the ' vast majority ' of its price hikes affected ' virgin trains-only fares ' - which are at least 20 per cent cheaper than tickets offered by rival firms . </v>
      </c>
      <c r="C48" s="70" t="str">
        <f>IF(ISBLANK(A48),"",INDEX('Error Log'!$A:$J,MATCH('Scores per segment'!$A48,'Error Log'!$A:$A,0),MATCH('Scores per segment'!C$1,'Error Log'!$A$1:$J$1,0)))</f>
        <v>prime minister has written to first great western to request it ' urgently reviews ' plans to increase fares on trains running through his witney constituency .
mr cameron has promised to freeze fares in real terms for the whole of the next parliament , while labour has also pledged to bring in a ' cap ' on price hikes .</v>
      </c>
      <c r="D48" s="70">
        <f>IF(H48=0,wdct(TRIM(C48)),0)</f>
        <v>54</v>
      </c>
      <c r="E48" s="70">
        <f>COUNTIFS('Error Log'!$A:$A,$A48,'Error Log'!$J:$J,E$1)</f>
        <v>2</v>
      </c>
      <c r="F48" s="70">
        <f>COUNTIFS('Error Log'!$A:$A,$A48,'Error Log'!$J:$J,F$1)</f>
        <v>1</v>
      </c>
      <c r="G48" s="70">
        <f>COUNTIFS('Error Log'!$A:$A,$A48,'Error Log'!$J:$J,G$1)</f>
        <v>0</v>
      </c>
      <c r="H48" s="70">
        <f>COUNTIFS('Error Log'!$A:$A,$A48,'Error Log'!$F:$F,"Source")</f>
        <v>0</v>
      </c>
      <c r="I48" s="70">
        <f>COUNTIFS('Error Log'!$A:$A,$A48,'Error Log'!$F:$F,"Target")</f>
        <v>0</v>
      </c>
      <c r="J48" s="71">
        <f t="shared" si="0"/>
        <v>76.851851851851848</v>
      </c>
    </row>
    <row r="49" spans="1:10">
      <c r="A49" s="94" t="s">
        <v>450</v>
      </c>
      <c r="B49" s="70" t="str">
        <f>IF(ISBLANK(A49),"",INDEX('Error Log'!$A:$J,MATCH('Scores per segment'!$A49,'Error Log'!$A:$A,0),MATCH('Scores per segment'!B$1,'Error Log'!$A$1:$J$1,0)))</f>
        <v>a burlesque performer is attempting to eradicate all negativity surrounding the word ' fat ' – by embracing it as an honest , body-positive description of her own physique . during a recent ted talk , lillian bustle , from new jersey , revealed that she also calls herself ' short ' , because she is 5'3 '' , and ' wife ' , because she is married , noting that each of these words is just an honest description of what she is . and ' fat ' is just another self-descriptor for her , who insists that the word does n't have to be used as a synonym for ' ugly ' . ' we as women are programmed to tell each other that we 're not fat , because to many people - both men and women - fat is the worst thing that you can be , ' she said during her talk , which took place earlier this month . scroll down for video . not-so-tiny dancer : burlesque performer lillian bustle explained in her ted talk that ' fat ' is just another word - and using it does n't have to be an insult . beauty comes in bigger packages , too : during her lecture , lillian explained that ' fat ' should n't mean the same thing as ugly . unfortunately , lillian added , her worldview is n't held by everyone , and she pointed to a statistic that shows that size discrimination in the workplace has risen 66 per cent in the past 30 years . and those negative perceptions of bigger people start young : the top ' magic wish ' for girls 11 to 17 , according to a study , is to be thinner . but there 's hope . lillian explained that , according to other studies , ' the more we 're exposed to body diversity , the more we tolerate , accept , and yes , even prefer , different body types ' . that promising fact is something that encourages the dancer to perform burlesque , which enables her to expose her audiences to a ' fat ' body in a positive , glamorous way . changing minds : studies show that the more people are exposed to different body types , the more they like them ; lillian hopes exposing her audience to a fuller figure will change their perceptions . lillian also quoted another performer named beelzebabe , who has spoken out in the past about the fact that the body diversity of burlesque performers ' challenges us to rethink the narrow confines that society has given us for what 's desirable ' . it certainly challenged lillian , who weighs in at 240lbs . she admits she was in awe at the first burlesque show she ever saw , immediately resolving to try it herself . she began performing in 2012 , and says the experience has been both empowering and incredibly body-positive . while the first time she performed she was nervous about people seeing her arms jiggle , once she did it , she felt like she could ' walk through fire ' . now , whenever she 's feeling insecure , she can think back to that first performance ; lillian recommends other people find a similar ' courage reference ' - a moment you felt brave that you can think back to at times when you feel more insecure and afraid . self-esteem boost : lillian said she was nervous before her first performance because of how her arms looked , but now she feels great about her body . plump crowd-pleaser : while a few people have left nasty comments on the youtube page for her ted talk , lillian said the response has been mostly positive . though lillian gave her ted talk in 2014 , it was only posted on youtube three weeks ago . since then , the clip has generated nearly 38,000 views - and plenty of positive feedback . 'i’ve never been so happy in all my life , ' she wrote for xojane . 'i’ve had this stupid grin on my face for a week straight . ' besides a few ' trolls ' posting vicious negative comments , lillian received a slew of positive messages , including letters of thanks , personal stories , and an email from a teenage girl who watched the video with her younger sister and said it made them reevaluate the way they viewed their bodies . ' i really think we - and by `` we '' i mean nice people and body-positivity - are winning , ' she said .</v>
      </c>
      <c r="C49" s="70" t="str">
        <f>IF(ISBLANK(A49),"",INDEX('Error Log'!$A:$J,MATCH('Scores per segment'!$A49,'Error Log'!$A:$A,0),MATCH('Scores per segment'!C$1,'Error Log'!$A$1:$J$1,0)))</f>
        <v>burlesque performer lillian bustle explained in her ted talk that ' fat ' is just another word - and using it does n't have to be an insult .
during her lecture , lillian explained that ' fat ' is just another word - and using it does n't have to be an insult .</v>
      </c>
      <c r="D49" s="70">
        <f>IF(H49=0,wdct(TRIM(C49)),0)</f>
        <v>46</v>
      </c>
      <c r="E49" s="70">
        <f>COUNTIFS('Error Log'!$A:$A,$A49,'Error Log'!$J:$J,E$1)</f>
        <v>2</v>
      </c>
      <c r="F49" s="70">
        <f>COUNTIFS('Error Log'!$A:$A,$A49,'Error Log'!$J:$J,F$1)</f>
        <v>1</v>
      </c>
      <c r="G49" s="70">
        <f>COUNTIFS('Error Log'!$A:$A,$A49,'Error Log'!$J:$J,G$1)</f>
        <v>0</v>
      </c>
      <c r="H49" s="70">
        <f>COUNTIFS('Error Log'!$A:$A,$A49,'Error Log'!$F:$F,"Source")</f>
        <v>0</v>
      </c>
      <c r="I49" s="70">
        <f>COUNTIFS('Error Log'!$A:$A,$A49,'Error Log'!$F:$F,"Target")</f>
        <v>0</v>
      </c>
      <c r="J49" s="71">
        <f t="shared" si="0"/>
        <v>72.826086956521749</v>
      </c>
    </row>
    <row r="50" spans="1:10">
      <c r="A50" s="94" t="s">
        <v>457</v>
      </c>
      <c r="B50" s="70" t="str">
        <f>IF(ISBLANK(A50),"",INDEX('Error Log'!$A:$J,MATCH('Scores per segment'!$A50,'Error Log'!$A:$A,0),MATCH('Scores per segment'!B$1,'Error Log'!$A$1:$J$1,0)))</f>
        <v>former soldier john young , 66 , has been left blinded in one eye after thugs through a brick at him through his front door when he confronted them about throwing stones at his property in oldham . a newlywed pensioner has been left blinded in one eye after being hit in the face with a brick hurled into his home by vandalising yobs . former soldier john young , 66 , and his new wife elaine , 54 , were sat in the front room of their home in oldham , greater manchester , when thugs began pelting his front window with stones . when one brick smashed the glass , mr young went and opened his front door to remonstrate with the attackers only to be struck in his left eye by another brick . he suffered an open wound to his forehead and a serious injury to his left eye and was taken to hospital . however , despite undergoing emergency surgery , doctors were unable to save his eyesight meaning he is now blind in one eye . the retired hgv driver , who formerly served with the royal electrical and mechanical engineers during the irish troubles , said he now ' does n't feel safe in his own home ' following the attack last friday . he said : ' i have lived here nearly all of my life and never had any problems before and i just do n't understand why these people have targeted us . ' we just can not believe what has happened . ' police have launched an investigation into the attack but said there appears to be no motive and it could be a case of yobs ' messing around ' . the attack occurred just three weeks after the couple , who have no children and who met just 14 months ago , got married . they were writing thank you cards for the wedding gifts they had received when their home was targeted at around 11pm on april 18 . mrs young , who works for the alzheimer 's society charity , said : ' we were sat down writing all of the thanks you cards . ' it was the first time we had been in the house since our wedding and it was getting late , around 11.20pm . mr young and his wife elaine , 54 , were sat in the front room of their home in oldham , greater manchester , when thugs began pelting his front window with stones . he was targeted when he went to confront them . the offenders threw stones at the living room window ( pictured ) before targeting the front door of the house . mr young was hit by the brick when he opened to the door to question why they had smashed his windows . the glass panel on the front door of mr young 's house was smashed when bricks were thrown at the property last friday . mr young was taken to hospital after being hit with a brick but doctors could not save his left eye . ' we did see a man outside and then there was a crash as a brick hit the window . the glass shattered . the next minute we knew there was glass shattered all over the hall because a brick had hit the door . ' john opened the door and the man was standing there shouting ' come on , come on ' . the next minute john is covered in blood . ' i just wish he had never opened the front door . i had already called 999 and for him to go out was a mistake but it obviously was a natural reaction to what was happening . ' we do n't have any idea why it happened . we feel like it must have been wrong place , wrong time . john has never had trouble before and neither of us can understand why these people would do something as low as this . ' i have got a flat in southport so we are moving there now . i do n't think either of us want to come back after what 's happened . we are just too scared to live in this neighbourhood . ' detective constable gareth gwilliam , of greater manchester police , said the second brick was thrown ' directly ' at the man but would n't reveal how many offenders were involved in the incident . he said : ' at this stage , there appears to be no known motive for this attack . ' it might be there is no motive other than the culprits were messing around and for whatever reason thought it would be funny to throw bricks at someone 's house . the attack occurred just three weeks after mr young married his partner elaine , who he met just 14 months ago . the couple are pictured on their wedding day at gretna green in dumfries and galloway , scotland . the couple had been sat quietly in the living room of their oldham home writing thank you notes for the gifts they received on their wedding day - just three weeks ago ( pictured ) - when the attack occurred last friday . police said the brick was thrown ' directly ' at mr young when he answered the door of his home ( pictured ) . officers said there appeared to be no known motive for the attack and said it could be yobs ' messing around ' . ' however , there is absolutely nothing funny or clever about what they did and as a result of their wanton and reckless actions , this man has been left with a permanent disability and a loss of sight in one eye . ' understandably , he is a mixture of angry and devastated so we need to establish who was responsible for this senseless incident and bring them to justice . ' i would therefore urge anyone who saw anything , or if you suspect who may be involved , to call us immediately . ' anyone with information about the incident should contact police on 101 .</v>
      </c>
      <c r="C50" s="70" t="str">
        <f>IF(ISBLANK(A50),"",INDEX('Error Log'!$A:$J,MATCH('Scores per segment'!$A50,'Error Log'!$A:$A,0),MATCH('Scores per segment'!C$1,'Error Log'!$A$1:$J$1,0)))</f>
        <v>former soldier john young , 66 , and his new wife elaine , 54 , were sat in the front room of their home in oldham , greater manchester .
when one brick smashed the glass , mr young went and opened his front door to remonstrate with the attackers .
when one brick smashed the glass , mr young went and opened his front door to remonstrate with the attackers only to be struck in his left eye by another brick .
despite undergoing emergency surgery , doctors were unable to save his eyesight meaning he is now blind in one eye .</v>
      </c>
      <c r="D50" s="70">
        <f>IF(H50=0,wdct(TRIM(C50)),0)</f>
        <v>92</v>
      </c>
      <c r="E50" s="70">
        <f>COUNTIFS('Error Log'!$A:$A,$A50,'Error Log'!$J:$J,E$1)</f>
        <v>0</v>
      </c>
      <c r="F50" s="70">
        <f>COUNTIFS('Error Log'!$A:$A,$A50,'Error Log'!$J:$J,F$1)</f>
        <v>1</v>
      </c>
      <c r="G50" s="70">
        <f>COUNTIFS('Error Log'!$A:$A,$A50,'Error Log'!$J:$J,G$1)</f>
        <v>0</v>
      </c>
      <c r="H50" s="70">
        <f>COUNTIFS('Error Log'!$A:$A,$A50,'Error Log'!$F:$F,"Source")</f>
        <v>0</v>
      </c>
      <c r="I50" s="70">
        <f>COUNTIFS('Error Log'!$A:$A,$A50,'Error Log'!$F:$F,"Target")</f>
        <v>0</v>
      </c>
      <c r="J50" s="71">
        <f t="shared" si="0"/>
        <v>97.282608695652172</v>
      </c>
    </row>
    <row r="51" spans="1:10">
      <c r="A51" s="94" t="s">
        <v>461</v>
      </c>
      <c r="B51" s="70" t="str">
        <f>IF(ISBLANK(A51),"",INDEX('Error Log'!$A:$J,MATCH('Scores per segment'!$A51,'Error Log'!$A:$A,0),MATCH('Scores per segment'!B$1,'Error Log'!$A$1:$J$1,0)))</f>
        <v>theo walcott sitting on a bench along with six of his arsenal colleagues is starting to become a familiar sight given the fact that he has been overlooked for the majority of the season . the arsenal winger has been pictured on a different kind of bench with his team-mates as he was pictured for a photoshoot with calum chambers , jack wilshere , mikel arteta , david ospina , mathieu flamini and mesut ozil . walcott and co , along with runway model olga sherer , have posed for an official portrait for paris ' oldest fashion house - lanvin - the club 's official tailor since 2013 . theo walcott ( third right ) poses for a lanvin photoshoot alongside runway model olga sherer , calum chambers , jack wilshere , mikel arteta , david ospina , mathieu flamini and mesut ozil . walcott , pictured with wilshere and wojciech szczesny , has spent much of the season on the bench . the 26-year-old looks on from the bench during arsenal 's 0-0 draw with chelsea at the emirates stadium . arsenal 's first team stars will be dressed in similar attire when arsene wenger 's side make their way to wembley stadium for their fa cup final encounter against aston villa on may 30 . walcott , who has been named on arsenal 's substitutes ' bench for 17 of their 33 barclays premier league games , came on for the last six minutes of his side 's goalless draw with chelsea on sunday . the 26-year-old will be hoping to make his first arsenal start since his side 's 3-0 win over west ham on march 14 when the gunners face hull at the kc stadium on monday .</v>
      </c>
      <c r="C51" s="70" t="str">
        <f>IF(ISBLANK(A51),"",INDEX('Error Log'!$A:$J,MATCH('Scores per segment'!$A51,'Error Log'!$A:$A,0),MATCH('Scores per segment'!C$1,'Error Log'!$A$1:$J$1,0)))</f>
        <v>arsenal winger theo walcott has spent much of the season on the bench .
the 26-year-old has spent much of the season on the bench .
the 26-year-old has spent much of the season on the bench .</v>
      </c>
      <c r="D51" s="70">
        <f>IF(H51=0,wdct(TRIM(C51)),0)</f>
        <v>35</v>
      </c>
      <c r="E51" s="70">
        <f>COUNTIFS('Error Log'!$A:$A,$A51,'Error Log'!$J:$J,E$1)</f>
        <v>5</v>
      </c>
      <c r="F51" s="70">
        <f>COUNTIFS('Error Log'!$A:$A,$A51,'Error Log'!$J:$J,F$1)</f>
        <v>3</v>
      </c>
      <c r="G51" s="70">
        <f>COUNTIFS('Error Log'!$A:$A,$A51,'Error Log'!$J:$J,G$1)</f>
        <v>0</v>
      </c>
      <c r="H51" s="70">
        <f>COUNTIFS('Error Log'!$A:$A,$A51,'Error Log'!$F:$F,"Source")</f>
        <v>0</v>
      </c>
      <c r="I51" s="70">
        <f>COUNTIFS('Error Log'!$A:$A,$A51,'Error Log'!$F:$F,"Target")</f>
        <v>0</v>
      </c>
      <c r="J51" s="71">
        <f t="shared" si="0"/>
        <v>7.1428571428571388</v>
      </c>
    </row>
    <row r="52" spans="1:10">
      <c r="A52" s="94" t="s">
        <v>472</v>
      </c>
      <c r="B52" s="70" t="str">
        <f>IF(ISBLANK(A52),"",INDEX('Error Log'!$A:$J,MATCH('Scores per segment'!$A52,'Error Log'!$A:$A,0),MATCH('Scores per segment'!B$1,'Error Log'!$A$1:$J$1,0)))</f>
        <v>derbyshire wicketkeeper tom poynton has been rewarded for his successful return from injury by signing a new one-year contract extension . poynton , 25 , missed the entire 2014 campaign due to leg injuries sustained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 he will be available for the start of the season and has now committed himself to the county until the end of the 2016 season . derbyshire 's elite performance director , graeme welch , said : ' tom has displayed exceptional character since the tragic events that ended his season last april . ' he has worked tirelessly both in training and in his off-the-field role to prepare him for his return and everyone at the club is delighted to see him back on the field playing for derbyshire . ' we hope the new contract will now give him the confidence to go out and express himself this summer . ' he has shown good form since his return to training and in abu dhabi and we hope this continues . '</v>
      </c>
      <c r="C52" s="70" t="str">
        <f>IF(ISBLANK(A52),"",INDEX('Error Log'!$A:$J,MATCH('Scores per segment'!$A52,'Error Log'!$A:$A,0),MATCH('Scores per segment'!C$1,'Error Log'!$A$1:$J$1,0)))</f>
        <v>tom poynton missed the entire 2014 campaign due to leg injuries in a road accident in which his father keith died last april .
the former england under-19 international had to undergo an ankle operation but he made his playing comeback during derbyshire 's pre-season tour of abu dhabi .
derbyshire wicketkeeper tom poynton has been rewarded for his successful return from injury .</v>
      </c>
      <c r="D52" s="70">
        <f>IF(H52=0,wdct(TRIM(C52)),0)</f>
        <v>61</v>
      </c>
      <c r="E52" s="70">
        <f>COUNTIFS('Error Log'!$A:$A,$A52,'Error Log'!$J:$J,E$1)</f>
        <v>0</v>
      </c>
      <c r="F52" s="70">
        <f>COUNTIFS('Error Log'!$A:$A,$A52,'Error Log'!$J:$J,F$1)</f>
        <v>0</v>
      </c>
      <c r="G52" s="70">
        <f>COUNTIFS('Error Log'!$A:$A,$A52,'Error Log'!$J:$J,G$1)</f>
        <v>0</v>
      </c>
      <c r="H52" s="70">
        <f>COUNTIFS('Error Log'!$A:$A,$A52,'Error Log'!$F:$F,"Source")</f>
        <v>0</v>
      </c>
      <c r="I52" s="70">
        <f>COUNTIFS('Error Log'!$A:$A,$A52,'Error Log'!$F:$F,"Target")</f>
        <v>0</v>
      </c>
      <c r="J52" s="71">
        <f t="shared" si="0"/>
        <v>100</v>
      </c>
    </row>
    <row r="53" spans="1:10">
      <c r="A53" s="94" t="s">
        <v>475</v>
      </c>
      <c r="B53" s="70" t="str">
        <f>IF(ISBLANK(A53),"",INDEX('Error Log'!$A:$J,MATCH('Scores per segment'!$A53,'Error Log'!$A:$A,0),MATCH('Scores per segment'!B$1,'Error Log'!$A$1:$J$1,0)))</f>
        <v>fans of blockbusters like men in black , batman forever and how the grinch stole christmas will have a chance to own a piece of hollywood history when an amazing collection of props and puppets goes under the hammer at the end of may .
the collection , which was created by legendary make-up effects artist rick baker , will be auctioned off at the hilton universal city in los angeles , california , and on propstore.com this may 29 .
the collection from baker 's cinovation studio is worth an estimated $ 746,100 and some of the individual items are expect to fetch more than $ 40,000 when they are offered to the public for the first time .
alien edgar bug from men in black has an estimated value of $ 40,000 and could end up selling for much more
the two face mask from batman forever is valued at , $ 1,500 .
actor tommy lee jones played the villain
the grinch costume from the jim carrey film how the grinch stole christmas is listed at $ 8,000
this mikey costume from men in black has an estimated value of $ 30,000 and is one of the pricier lots
this odd-looking hammerhead alien , which is also from men in black , was listed at $ 8,000 by prop store
the 417 original items are from more than 50 productions , according to icon versus icon .
during baker 's 30-year career , the 64-year-old worked on other films like an american werewolf in london , planet of the apes , batman &amp; robin , hellboy and mighty joe young .
items from those movies , as well as from michael jackson 's 1988 moonwalker film and 1983 thriller music video , will all be sold to the highest bidder .
the iconic harry suit from harry and the hendersons is valued at $ 6,000 but will likely sell for more than that
this bat gremlin from gremlins 2 : the new batch has a value of $ 8,000 and is one of a few gremlins items
the mohawk mogwai puppet from gremlins 2 : the new batch is listed at $ 8,000 .
remember , do n't get it wet
this frozen thug statue from batman &amp; robin is named frosty and it has an estimated value of $ 4,000
this bat puppet from batman forever is listed at $ 6,000 and it comes with the message : the evil setrakian '
brandon alinger of prop store said : ' " we are delighted to offer a no reserve live auction of over 400 items direct from rick baker 's cinovation studio to the public .
` baker 's career needs no introduction and it 's been an honor to work with him to prepare this sale , which spans his 30-plus years in the business .
` the rick baker auction is an exciting opportunity for collectors and fans of the make-up artist to have a chance to take home some of the brilliant creations from their favorite films . " '
the worm guy from men in black ii has been valued at $ 10,000 and is one of a handful of mib items
this michael jackson robotic transformation face is from the film moonwalker and it has a value of $ 3,000
the hero joe head from mighty joe young has a value of $ 6,000 .
baker also worked on planet of the apes .
this daffy gremlin puppet from gremlins 2 is valued at $ 6,000 and is one of more than 400 of baker 's items</v>
      </c>
      <c r="C53" s="70" t="str">
        <f>IF(ISBLANK(A53),"",INDEX('Error Log'!$A:$J,MATCH('Scores per segment'!$A53,'Error Log'!$A:$A,0),MATCH('Scores per segment'!C$1,'Error Log'!$A$1:$J$1,0)))</f>
        <v>the collection was created by legendary make-up effects artist rick baker .
it will be auctioned off at the hilton universal city in los angeles , california , and on propstore.com this may 29 .
the two face mask from batman forever is valued at , $ 1,500 .</v>
      </c>
      <c r="D53" s="70">
        <f>IF(H53=0,wdct(TRIM(C53)),0)</f>
        <v>43</v>
      </c>
      <c r="E53" s="70">
        <f>COUNTIFS('Error Log'!$A:$A,$A53,'Error Log'!$J:$J,E$1)</f>
        <v>4</v>
      </c>
      <c r="F53" s="70">
        <f>COUNTIFS('Error Log'!$A:$A,$A53,'Error Log'!$J:$J,F$1)</f>
        <v>1</v>
      </c>
      <c r="G53" s="70">
        <f>COUNTIFS('Error Log'!$A:$A,$A53,'Error Log'!$J:$J,G$1)</f>
        <v>0</v>
      </c>
      <c r="H53" s="70">
        <f>COUNTIFS('Error Log'!$A:$A,$A53,'Error Log'!$F:$F,"Source")</f>
        <v>0</v>
      </c>
      <c r="I53" s="70">
        <f>COUNTIFS('Error Log'!$A:$A,$A53,'Error Log'!$F:$F,"Target")</f>
        <v>0</v>
      </c>
      <c r="J53" s="71">
        <f t="shared" si="0"/>
        <v>47.674418604651159</v>
      </c>
    </row>
    <row r="54" spans="1:10">
      <c r="A54" s="94" t="s">
        <v>484</v>
      </c>
      <c r="B54" s="70" t="str">
        <f>IF(ISBLANK(A54),"",INDEX('Error Log'!$A:$J,MATCH('Scores per segment'!$A54,'Error Log'!$A:$A,0),MATCH('Scores per segment'!B$1,'Error Log'!$A$1:$J$1,0)))</f>
        <v>a five-year-old boy who battled cancer has been given the all clear by doctors - after creating a superhero mask to help him through his treatment .
harley renshaw was diagnosed with cancer in his kidney , neck , lungs and bones .
but his ninja turtle mask helped him feel stronger while he was having radiotherapy .
hospital staff were amazed when the youngster , from stretford , asked if he could decorate the protective mask that holds him still while having his treatment .
harley renshaw has been told he is cancer-free after battling an aggressive form of the disease for a year .
he donned a superhero costume during his radiotherapy treatment , to help him feel brave
harley asked if he could decorate the protective mask that holds him still while having his radiotherapy treatment like a ninja turtle
after harley 's story made headlines around the world , staff at children 's tv channel nickelodeon even sent harley a box full of ninja turtle presents for christmas .
and now doctors given harley 's parents oliver , 25 , and stacey , 23 , the news they had not dared to dream of - he is free of cancer .
he will undergo regular check-ups over the coming years to make sure he stays free of the disease .
mr renshaw said : ` we 're chuffed to bits .
it was just over a year ago that he was diagnosed and he has been through it .
` he 's been running about everywhere and we 're hoping that he will soon be back at school full time . '
mr and mrs renshaw were given harley 's devastating diagnosis after taking him to see a doctor when he complained of a pain in his stomach .
he was diagnosed with neuroblastoma - a rare and aggressive childhood cancer which affects fewer than 100 children in the uk .
harley was diagnosed with cancer in his kidney , lung , bones and neck after mother stacey took him to a doctor with a stomach pain
harley 's story became famous after it was reported in the local paper in december last year .
the children 's tv channel nickelodean even sent him a whole box of ninja turtles presents for christmas
neuroblastoma is cancer of specialised nerve cells , which are involved in the development of the nervous system .
the tumours usually start in one of the adrenal glands found above the kidneys , or in nerve tissues that run along the spinal cord , in the neck , chest , abdomen or pelvis .
as in harley 's case , the cancer can also spread to other areas of the body .
after doctors diagnosed his tumour , harley faced 80 days of intensive chemotherapy and an operation to remove his kidney tumour .
a month later , he was back at hospital for a stem cell transplant -- also called a blood or marrow transplant - where healthy stem cells were injected into his body to replace damaged or diseased stem cells .
he suffered complications as a result of the procedure , but battled through them to return home for his fifth birthday .
he also had weeks of radiotherapy at the christie clinic in manchester .
finally , he and his parents were given the incredible news that he was cancer-free .
harley 's father said he is ` so chuffed ' his son is cancer-free .
` harley is doing great , ' he said .
` he 's been running about everywhere and we 're hoping that he will soon be back at school full time '
his bravery caught the attention of doctors in the hospital and he was awarded one of cancer research uk 's little star awards .
he has also become the face of the charity 's kids and teens campaign , which aims to raise funds for research into child cancers .
mr renshaw said harley 's family are overjoyed to be told he is free of cancer .
he added : ` we 're just really excited and looking forward to the future . '
to donate or for more information about cancer research uk kids &amp; teens visit cruk.org/kidsandteens
neuroblastoma is a cancer of specialised nerve cells in the nervous system and other tissues .
fewer than 100 children in the uk are diagnosed each year with the disease .
most children diagnosed with the disease are younger than five years old .
it is the second most common solid tumour in childhood , and it makes up 8 per cent of the total number of children 's cancers .
neuroblastoma commonly occurs in either one of the two adrenal glands in a child 's tummy or in nerve tissue that runs alongside the spinal cord , in the neck , chest , abdomen or pelvis .
the cancer can spread to tissues beyond the original site , including bone marrow , bone , lymph nodes , liver and skin .
as with most cancers the cause of neuroblastoma is unknown .
a neuroblastoma cancer cell in the brain is pictured under the microscope .
fewer than 100 children in the uk are diagnosed each year with this form of cancer
the symptoms vary depending on where a child 's tumour is .
the first signs can be vague , and include tiredness , a loss of appetite and pain in the bones .
if the tumour is in a child 's tummy , it may be swollen and the child may complain of constipation or have difficulty passing urine .
where a tumour is growing in a child 's chest , they may be breathless and have difficulty swallowing .
tumours growing in the neck can be visible as a lump , and a child is likely to complain of breathing and swallowing problems .
in cases where a tumour is pressing on the spinal cord , children can experience a weakness in the legs and walk unsteadily .
a variety of tests and investigations may be needed to diagnose neuroblastoma .
treatment depends on the age of the child , as well as the size and position of the tumour and whether the disease has spread .
children can have surgery , chemotherapy , as well as antibody treatment and radiotherapy .</v>
      </c>
      <c r="C54" s="70" t="str">
        <f>IF(ISBLANK(A54),"",INDEX('Error Log'!$A:$J,MATCH('Scores per segment'!$A54,'Error Log'!$A:$A,0),MATCH('Scores per segment'!C$1,'Error Log'!$A$1:$J$1,0)))</f>
        <v>harley renshaw was diagnosed with cancer in his kidney , neck , lungs and bones .
his ninja turtle mask helped him feel stronger while he was having radiotherapy .
his ninja turtle mask helped him feel stronger while he was having radiotherapy .
hospital staff were amazed when the youngster asked if he could decorate the protective mask that holds him still while having his treatment .</v>
      </c>
      <c r="D54" s="70">
        <f>IF(H54=0,wdct(TRIM(C54)),0)</f>
        <v>62</v>
      </c>
      <c r="E54" s="70">
        <f>COUNTIFS('Error Log'!$A:$A,$A54,'Error Log'!$J:$J,E$1)</f>
        <v>2</v>
      </c>
      <c r="F54" s="70">
        <f>COUNTIFS('Error Log'!$A:$A,$A54,'Error Log'!$J:$J,F$1)</f>
        <v>2</v>
      </c>
      <c r="G54" s="70">
        <f>COUNTIFS('Error Log'!$A:$A,$A54,'Error Log'!$J:$J,G$1)</f>
        <v>0</v>
      </c>
      <c r="H54" s="70">
        <f>COUNTIFS('Error Log'!$A:$A,$A54,'Error Log'!$F:$F,"Source")</f>
        <v>0</v>
      </c>
      <c r="I54" s="70">
        <f>COUNTIFS('Error Log'!$A:$A,$A54,'Error Log'!$F:$F,"Target")</f>
        <v>0</v>
      </c>
      <c r="J54" s="71">
        <f t="shared" si="0"/>
        <v>75.806451612903231</v>
      </c>
    </row>
    <row r="55" spans="1:10">
      <c r="A55" s="94" t="s">
        <v>492</v>
      </c>
      <c r="B55" s="70" t="str">
        <f>IF(ISBLANK(A55),"",INDEX('Error Log'!$A:$J,MATCH('Scores per segment'!$A55,'Error Log'!$A:$A,0),MATCH('Scores per segment'!B$1,'Error Log'!$A$1:$J$1,0)))</f>
        <v>the family of the seven-year-old british boy killed in the french alps say his death has left a ` vast void in their hearts ' .
carwyn scott-howell was described as a ` daring , outgoing and determined ' youngster whose ` handsome smile lit up any room ' .
the schoolboy was skiing with his family when he became separated from his mother and headed into dense woodland where he fell over a 164ft drop .
tragedy : carwyn scott-howell ( left ; right ) fell to his death while on holiday with his mother ceri , nine-year-old sister antonia and brother gerwyn , 19 , in the alps
footprints in the snow eventually led police to his body , investigators revealed last night .
they also described how the boy 's mother cari , 44 , desperately tried to find her missing son .
in a moving tribute , carwyn 's family described how he ` made life full of laughter with never a dull moment ' .
` seven years is too short a time to be an angel in the sky , ' they added .
` carwyn was an adorable , caring person who gave so much love .
the family can not explain their feeling of utter devastation with a vast void in their hearts . '
carwyn , from talybont-on-usk in wales , was said to have been a ` very competent skier and snowboarder ' who had started skiing at the age of three .
the family said they had spent ` the most happy ski holiday together ' in the resort of flaine in the days before the tragedy stuck .
they were enjoying their last run of the day when the boy 's sister antonia , nine , lost her ski on a jump and carwyn pressed on ahead .
his mother stopped to help her daughter and continued to the bottom of the piste .
but carwyn -- who modelled himself on the tv adventurer bear grylls -- was nowhere to be seen .
mrs scott-howell returned to their hotel believing her son had made his own way back , but returned to the mountain when she found he was n't there .
pierre-yves michau , the judge heading the investigation , said yesterday : ` she asked everyone if they had seen him . '
it is believed carwyn left the piste and entered woodland because he had spotted the resort through the trees .
taking off his skis , he continued on foot as he hurried to get there .
police chief michel ollagnon confirmed that officers had been led to the boy 's body by footprints in the snow .
he said the final steps were broken up by ` sliding marks ' where carwyn had tackled the sharper inclines on his backside .
scene : carwyn 's family are believed to be staying in this hotel , close to the slopes where the seven-year-old died
tragic trail : search teams said they followed the little boy 's footprints and found his final steps broken up by ` sliding marks '
accident : the welsh schoolboy is believed to have got lost in the woods pictured above
carwyn , who friends say modelled himself on survival specialist and tv presenter bear grylls , is believed to have taken the chance to go skiing in woodland to get back to flaine , pictured
mr ollagnon said : ` we think he was attracted by the ski station that he could see below .
we think he was heading for the resort . '
police last night said carwyn 's body is ready to be repatriated but his family remained in the alps .
back in wales , his friends have written in a condolence book on display at brecon cathedral : ` miss you in class .
we will miss you always . '
alongside the book is a picture of carwyn dressed in his karate kit .
at the youngster 's school in brecon , head teacher emyr jones said pupils were devastated , adding : ` we are all grieving . '
he described carwyn as a ` lively , likeable pupil who will be greatly missed ' at ysol y bannau school .
county councillor liam fitzpatrick said the community would rally behind the scott-howells , who are well known for their award-winning farm shop .
he added : ` it 's horrendous .
a tragic , tragic accident . '
carwyn lived with his parents at their farmhouse in the village near the brecon beacons .
he is said to have loved the mountains and helping on the farm where he had grown up .
the family often attended food fairs across the country and david cameron was pictured buying a scotch egg from the family 's stand last year .
holiday : carwyn 's family has said ` the most happy ski holiday ' in flaine , france , turned to tragedy after carwyn became detached from the group on the last run of the day</v>
      </c>
      <c r="C55" s="70" t="str">
        <f>IF(ISBLANK(A55),"",INDEX('Error Log'!$A:$J,MATCH('Scores per segment'!$A55,'Error Log'!$A:$A,0),MATCH('Scores per segment'!C$1,'Error Log'!$A$1:$J$1,0)))</f>
        <v>carwyn scott-howell fell to his death while on holiday with his mother .
he fell to his death while on holiday with his mother ceri in the alps .
footprints in the snow eventually led police to his body , investigators say .</v>
      </c>
      <c r="D55" s="70">
        <f>IF(H55=0,wdct(TRIM(C55)),0)</f>
        <v>39</v>
      </c>
      <c r="E55" s="70">
        <f>COUNTIFS('Error Log'!$A:$A,$A55,'Error Log'!$J:$J,E$1)</f>
        <v>1</v>
      </c>
      <c r="F55" s="70">
        <f>COUNTIFS('Error Log'!$A:$A,$A55,'Error Log'!$J:$J,F$1)</f>
        <v>6</v>
      </c>
      <c r="G55" s="70">
        <f>COUNTIFS('Error Log'!$A:$A,$A55,'Error Log'!$J:$J,G$1)</f>
        <v>0</v>
      </c>
      <c r="H55" s="70">
        <f>COUNTIFS('Error Log'!$A:$A,$A55,'Error Log'!$F:$F,"Source")</f>
        <v>0</v>
      </c>
      <c r="I55" s="70">
        <f>COUNTIFS('Error Log'!$A:$A,$A55,'Error Log'!$F:$F,"Target")</f>
        <v>0</v>
      </c>
      <c r="J55" s="71">
        <f t="shared" si="0"/>
        <v>48.717948717948723</v>
      </c>
    </row>
    <row r="56" spans="1:10">
      <c r="A56" s="94" t="s">
        <v>503</v>
      </c>
      <c r="B56" s="70" t="str">
        <f>IF(ISBLANK(A56),"",INDEX('Error Log'!$A:$J,MATCH('Scores per segment'!$A56,'Error Log'!$A:$A,0),MATCH('Scores per segment'!B$1,'Error Log'!$A$1:$J$1,0)))</f>
        <v>jack grealish must concentrate on his aston villa career rather than his international future , according to tim sherwood .
sherwood has been impressed with the 19-year-old who starred for villa in their fa cup semi-final win over liverpool on sunday and is now at the centre of a tug of war between the republic of ireland and england .
but sherwood wants grealish to focus on continuing to force his way into the villa first team .
jack grealish takes on liverpool 's emre can at wembley during aston villa 's 2-1 victory at wembley
grealish ( centre ) impressed against liverpool and is wanted by the republic of ireland and england
` it 's up to jack where he wants to go .
it 's purely up to him .
what i 've got to do is make sure he 's got that decision to make .
he must be doing something right for aston villa if he 's got those options .
that 's my priority , ' sherwood told talksport .
` then it 's up to jack to decide where he wants to go .
i had the same situation with nabil bentaleb [ at tottenham ] , who could have played for france but decided to pick algeria .
i did have a chat with him and he asked me what to do .
i just said : " you 've got to go with your heart .
do you think you 're french or algerian ? "
` that 's the decision he had to make and now jack has got to make that decision .
he has to play a few more times for aston villa before he needs to make that decision .
when some kids come and play with the first team sometimes , they 're a bit overawed , but jack 's not .
` he receives the ball and dribbles it around people .
they kick lumps out of him because he 's so confident .
the ball is his friend , it sticks to his foot .
the more opportunities he gets , the better he 's going to become . '
grealish is expected to choose between ireland and england at the end of the season and sportsmail understands that he is split between the two countries at the moment .
grealish 's dad kevin agreed that his son must concentrate on his club football first .
` that is fantastic [ advice ] .
he had a good game against [ liverpool ] and a few games decent recently and he has to keep doing that first and the international stuff will come , ' he told talksport .
` it is going to be a difficult decision and it is completely up to jack .
` there is a friendly coming up soon and he could play 45 minutes for ireland and 45 minutes for england .
grealish ( left ) has played for the republic of ireland 's youth teams but england will hope to turn his head
tim sherwood celebrates villa 's win over liverpool and wants more of the same from grealish</v>
      </c>
      <c r="C56" s="70" t="str">
        <f>IF(ISBLANK(A56),"",INDEX('Error Log'!$A:$J,MATCH('Scores per segment'!$A56,'Error Log'!$A:$A,0),MATCH('Scores per segment'!C$1,'Error Log'!$A$1:$J$1,0)))</f>
        <v>jack grealish must concentrate on his aston villa career rather than his international future .
sherwood is now at the centre of a tug of war between the republic of ireland and england .
sherwood is now at the centre of a tug of war between the republic of ireland and england .</v>
      </c>
      <c r="D56" s="70">
        <f>IF(H56=0,wdct(TRIM(C56)),0)</f>
        <v>50</v>
      </c>
      <c r="E56" s="70">
        <f>COUNTIFS('Error Log'!$A:$A,$A56,'Error Log'!$J:$J,E$1)</f>
        <v>2</v>
      </c>
      <c r="F56" s="70">
        <f>COUNTIFS('Error Log'!$A:$A,$A56,'Error Log'!$J:$J,F$1)</f>
        <v>1</v>
      </c>
      <c r="G56" s="70">
        <f>COUNTIFS('Error Log'!$A:$A,$A56,'Error Log'!$J:$J,G$1)</f>
        <v>0</v>
      </c>
      <c r="H56" s="70">
        <f>COUNTIFS('Error Log'!$A:$A,$A56,'Error Log'!$F:$F,"Source")</f>
        <v>0</v>
      </c>
      <c r="I56" s="70">
        <f>COUNTIFS('Error Log'!$A:$A,$A56,'Error Log'!$F:$F,"Target")</f>
        <v>0</v>
      </c>
      <c r="J56" s="71">
        <f t="shared" si="0"/>
        <v>75</v>
      </c>
    </row>
    <row r="57" spans="1:10">
      <c r="A57" s="94" t="s">
        <v>510</v>
      </c>
      <c r="B57" s="70" t="str">
        <f>IF(ISBLANK(A57),"",INDEX('Error Log'!$A:$J,MATCH('Scores per segment'!$A57,'Error Log'!$A:$A,0),MATCH('Scores per segment'!B$1,'Error Log'!$A$1:$J$1,0)))</f>
        <v>just 13 and in the grip of a terrifying obsession surviving on just one piece of fruit a day , anorexic schoolgirl laura scurr 's body started to shut down .
the 15-year-old , from whitley bay , was left on a heart machine after she collapsed through starvation but has now spoken about pressures put on teenagers to be a ` size zero ' .
laura became so obsessed with having the perfect figure she would hide food down the side of her bed , lying to her mother about eating and sometimes surviving on just a piece of fruit a day .
laura scurr , 15 , has spoken out about the pressures on young girls to be a size zero after , having becoming obsessed with her own weight , she developed anorexia
but her dramatic weight loss led to horrific consequences when she suddenly collapsed at her family home and was rushed to intensive care .
laura has spoken about her two-year fight with anorexia and revealed the pressures she felt to be thin .
she said : ` at the worst point i was hiding food down the sides of the settee or beds , lying to my mum about having meals , and eating about 100 calories a day .
` i would even try to have mashed potato with each meal so i could hide the rest of the food under it , that way it looked like i 'd ate more . '
after spending a week on a heart monitor at north tyneside general hospital , laura was finally offered support from eating disorder organisations as she began her recovery .
problems started for the teen two years ago when she decided she wanted to go on a diet .
` i was nearly 13 stone and felt like i was too big , ' laura said .
` i 'd been bullied a little bit because of my weight , people saying things like ` here comes the whale ' and that made me feel horrible .
laura was living off just one piece of fruit a day and would hide her food down the side of her bed so her parents would n't see it
laura continued : ` i would look around at the other girls and they all seemed to be skinny and , of course , i wanted to be like them and fit into all the different types of clothes .
` but it was n't just people i knew .
i felt there was a lot of pressures from all over the place .
everywhere you looked there seemed to be this idea that girls should be a size zero . '
laura agreed with mum sue , 48 , to go on a ` sensible diet ' but soon the whitley bay high school pupil became frustrated , wanting to lose more weight , quicker .
according to the nhs anorexia or anorexia nervosa , to give its full name , is a serious mental health condition in which people try to keep their body weight as low as possible .
it is often said that people will often restrict their intake of food , make themselves vomit or increase the amount of exercise they are doing .
the condition often develops in people who are anxious about their body shape or weight , or in those who fear being fat or wish to be thin .
anorexia most commonly occurs in women , starting around the age of 16 or 17 .
although there are cases of men suffering from the disease too .
often people suffering from anorexia will obsessively count calories , take laxatives and repeatedly weight themselves or check their bodies in the mirror .
if you think you know someone who is suffering from the disease talk to them gently about it .
often it can be hard for them to seek help .
you can also seek advice from an eating disorder charity such as beat , who will be able to talk you through how to help them and how to handle the situation .
in february 2015 it was estimated that around 725,000 people were suffering from an eating disorder in the uk - 10 per cent of those were suffering from anorexia .
` it was coming off quite slowly , at about 2 lbs a week , ' said laura .
` but i became much more obsessive about it and decided to reduce my calorie intake .
` in the end , i was virtually eating nothing , maybe an apple or orange a day .
` i could tell my parents were getting worried , they could n't understand why i did n't want to eat . '
lack of food soon took its toll on laura 's health and her heart rate started slowing .
she said : ` i was in bed for three or four days , never going out of the house .
` i would feel dizzy or pass out because my heart rate was so slow . '
finally after a week of eating virtually nothing , laura collapsed .
no happy and healthy laura has made it to the semi final of miss teen gb , the competition aims to stay away from size zero stereotypes
sue , who works in sales , said : ` an ambulance was called and she was taken to hospital and put on the heart monitor for a week .
her body had just started to shut down .
` it was frightening , i was shocked that this was happening to my daughter .
` i remember sitting by her hospital bed and saying " laura , do you realise how sick you are ? "
but she just said " i do n't care , as long as i 'm skinny " .
` it was then i realised just how much pressure she , and all girls , were under to look a certain way . '
after getting discharged laura began working with eating disorder teams ( edict ) and child and adolescent mental health services ( camhs ) to help in her recovery .
today , her body image is better than ever and her new-found confidence has allowed her to make it through to the semi final of miss teen gb .
the contest aims to promote ` positive and confidence-building experiences ' for young girls , away from size zero stereotypes .</v>
      </c>
      <c r="C57" s="70" t="str">
        <f>IF(ISBLANK(A57),"",INDEX('Error Log'!$A:$J,MATCH('Scores per segment'!$A57,'Error Log'!$A:$A,0),MATCH('Scores per segment'!C$1,'Error Log'!$A$1:$J$1,0)))</f>
        <v>laura scurr , 15 , from whitley bay was left on a heart machine after she collapsed at her family home .
she has now spoken about pressures put on teenagers to be a ' size zero ' .
she has spoken about pressures put on teenagers to be a ' size zero ' .</v>
      </c>
      <c r="D57" s="70">
        <f>IF(H57=0,wdct(TRIM(C57)),0)</f>
        <v>46</v>
      </c>
      <c r="E57" s="70">
        <f>COUNTIFS('Error Log'!$A:$A,$A57,'Error Log'!$J:$J,E$1)</f>
        <v>3</v>
      </c>
      <c r="F57" s="70">
        <f>COUNTIFS('Error Log'!$A:$A,$A57,'Error Log'!$J:$J,F$1)</f>
        <v>2</v>
      </c>
      <c r="G57" s="70">
        <f>COUNTIFS('Error Log'!$A:$A,$A57,'Error Log'!$J:$J,G$1)</f>
        <v>0</v>
      </c>
      <c r="H57" s="70">
        <f>COUNTIFS('Error Log'!$A:$A,$A57,'Error Log'!$F:$F,"Source")</f>
        <v>0</v>
      </c>
      <c r="I57" s="70">
        <f>COUNTIFS('Error Log'!$A:$A,$A57,'Error Log'!$F:$F,"Target")</f>
        <v>0</v>
      </c>
      <c r="J57" s="71">
        <f t="shared" si="0"/>
        <v>56.521739130434781</v>
      </c>
    </row>
    <row r="58" spans="1:10">
      <c r="A58" s="94" t="s">
        <v>519</v>
      </c>
      <c r="B58" s="70" t="str">
        <f>IF(ISBLANK(A58),"",INDEX('Error Log'!$A:$J,MATCH('Scores per segment'!$A58,'Error Log'!$A:$A,0),MATCH('Scores per segment'!B$1,'Error Log'!$A$1:$J$1,0)))</f>
        <v>it is a problem the average traveller does n't often have to deal with .
but for those lucky few who travel the world by private jet , the landing fees charged at airports can differ dramatically , with some surprising hubs asking for the highest fees .
the high landings fees give an insight into some of the most unexpectedly popular transport hubs for the rich and famous , from salzburg , in austria , to darwin , in australia .
owning a private jet is a luxury only afford to the wealthy , and you 'll need to be to continually fork out for landing charges which can reach thousands every time
travelling by private jet is a growing trend , with 2.5 million private flights recorded in the us in 2013 ( the latest statistics ) and 705,000 in europe .
it a huge industry for the rich and famous , with its market worth $ 16.7 trillion in the us and $ 15.8 trillion in europe .
the busiest weekends unsurprisingly occur during huge sporting events , with the super bowl in america and the monaco grand prix the priciest times of year to fly and the busiest weekends for private jets companies .
private jet companies such as privatefly were estimating costs from new york to glendale for the super bowl this year at around $ 38,000 ( £ 25,322 ) on a medium jet and $ 54,000 ( £ 35,983 ) on a long-range jet for a round-trip .
salzburg airport handled 1.6 million passengers in 2012 .
it charges £ 2,530 to land a 767-400 jet on its runways
for the monaco grand prix in may , the trip is a more affordable £ 8,835 ( $ 13,253 ) from london to cannes and £ 8,895 ( £ 13,343 ) from london to nice .
haneda airport in tokyo , japan : £ 4,559 ( $ 6,850 )
narita international airport in tokyo , japan : £ 3,728 ( $ 5,600 )
kansai international airport in osaka , japan : £ 3,594 ( $ 5,400 )
toronto pearson international airport in toronto , canada : £ 3,461 ( $ 5,200 )
darwin international airport in darwin , australia : £ 3,059 ( $ 4,600 )
bristol airport in bristol , england : £ 2,929 ( $ 4,400 )
chūbu centrair international airport in nagoya , japan : £ 2,863 ( $ 4,300 )
dublin airport in dublin , ireland : £ 2,729 ( $ 4,100 )
la guardia airport in new york , united states : £ 2,630 ( $ 3,950 )
salzburg airport in salzburg , austria : £ 2,530 ( $ 3,800 )
according to private jet charter company privatefly , one of the most popular routes in the world is the short hop from los angeles to las vegas , which costs around £ 2,890 ( $ 4,340 ) .
while milan dot rome is the most popular in europe , a 50-minute flight costing around $ 5,880 one way .
but if you want to fly into any of these 10 airports , you 'll be paying much more than that in landing fees .
website the richest has compiled a list of the most expensive airports for landing fees , which are based on the 767-400 aircraft , which can hold up to 50 passengers but is often customised for private use .
surprisingly , the three most expensive airports for landing fees are in japan .
by far the most expensive airport is haneda airport , also known as tokyo international airport , where planes are charged a whopping £ 4,559 ( $ 6,850 ) just for the privilege of landing .
welcoming almost 69million passengers a year , and still maintaining an incredibly high punctuality rating , it is perhaps understandable that fees can be high .
tokyo 's narita international airprot comes second , charging £ 3,728 ( $ 5,600 ) , while kansai international airport in osaka charges £ 3,594 ( $ 5,400 ) per landing .
number eight on the list of the most expensive airport landing fees is dublin airport at £ 2,729
somewhat surprisingly , the uk 's bristol airport makes it into the top 10 as the only british airport featured , charging £ 2,929 ( $ 4,400 ) per private jet landing , just behind toronto in canada and darwin , australia .
the only us airport to make it into the top 10 is laguardia , in new york , which charges $ 3,950 ( £ 2,630 ) for private jets arriving in the city .
other unexpected appearances in the top 10 also include dublin airport , in eighth place and salzburg , in austria , in 10th .</v>
      </c>
      <c r="C58" s="70" t="str">
        <f>IF(ISBLANK(A58),"",INDEX('Error Log'!$A:$J,MATCH('Scores per segment'!$A58,'Error Log'!$A:$A,0),MATCH('Scores per segment'!C$1,'Error Log'!$A$1:$J$1,0)))</f>
        <v>the high landings fees give an insight into some of the most unexpectedly popular transport hubs for the rich and famous , from salzburg , to darwin , in australia .
the high landings fees give an insight into some of the most unexpectedly popular transport hubs for the rich and famous , from salzburg , in australia .</v>
      </c>
      <c r="D58" s="70">
        <f>IF(H58=0,wdct(TRIM(C58)),0)</f>
        <v>52</v>
      </c>
      <c r="E58" s="70">
        <f>COUNTIFS('Error Log'!$A:$A,$A58,'Error Log'!$J:$J,E$1)</f>
        <v>2</v>
      </c>
      <c r="F58" s="70">
        <f>COUNTIFS('Error Log'!$A:$A,$A58,'Error Log'!$J:$J,F$1)</f>
        <v>3</v>
      </c>
      <c r="G58" s="70">
        <f>COUNTIFS('Error Log'!$A:$A,$A58,'Error Log'!$J:$J,G$1)</f>
        <v>1</v>
      </c>
      <c r="H58" s="70">
        <f>COUNTIFS('Error Log'!$A:$A,$A58,'Error Log'!$F:$F,"Source")</f>
        <v>0</v>
      </c>
      <c r="I58" s="70">
        <f>COUNTIFS('Error Log'!$A:$A,$A58,'Error Log'!$F:$F,"Target")</f>
        <v>0</v>
      </c>
      <c r="J58" s="71">
        <f t="shared" si="0"/>
        <v>65.384615384615387</v>
      </c>
    </row>
    <row r="59" spans="1:10">
      <c r="A59" s="94" t="s">
        <v>528</v>
      </c>
      <c r="B59" s="70" t="str">
        <f>IF(ISBLANK(A59),"",INDEX('Error Log'!$A:$J,MATCH('Scores per segment'!$A59,'Error Log'!$A:$A,0),MATCH('Scores per segment'!B$1,'Error Log'!$A$1:$J$1,0)))</f>
        <v>raheem sterling was told in no uncertain terms by liverpool supporters that they expect him to remain at the club this summer on the day he was parading the club 's new home kit at anfield .
the new gingham design , presented to supporters at anfield on friday , is the first offering from us sports brand new balance , who struck a record-breaking £ 300million four-year kit deal to replace sister company warrior as liverpool 's suppliers .
the message was ` hold nothing back ' as sterling , daniel sturridge , martin skrtel and simon mignolet unveiled the new home strip to fans in the centenary stand on friday afternoon .
raheem sterling ( 2nd r ) models liverpool 's new kit alongside ( l-r ) adam lallana , daniel sturridge , jordan henderson and philippe coutinho
the liverpool stars , including goalkeeper simon mignolet in his new jersey , made their way to anfield to present the kit to the fans
sturridge uploaded these photographs to his instagram account as he posed with sterling , mignolet and skrtel at the launch
new balance struck a record-breaking £ 300million four-year kit deal to replace sister company warrior as liverpool 's suppliers
it looks like ( l-r ) skrtel , mignolet , sterling and sturridge will all remain at liverpool this season after unveiling in the new strip
fans pack into the centenary stand on friday afternoon to catch a glimpse of the new balance strip
raheem sterling ( left ) and daniel sturridge ( right ) sit on stage while a q&amp;a is conducted at anfield
the players arrive at anfield as they prepare for the launch of the 2015/16 strip
only a week ago , sterling held nothing back with his stunning interview after rejecting a new £ 100,000-a-week deal at liverpool .
he also sensationally revealed that he was flattered to be linked with arsenal to cast a huge question mark over his future .
but liverpool are adamant that the 20-year-old , who has two years left to run on his contract , will not be quitting this summer and are putting their shirt on him to stay .
one fan shouted ` make sure we see you in that next season ' at sterling , and the heckle was greeted with applause .
sterling told an expectant audience : ` the fans are great .
it 's a massive boost when you come out of the changing room and hear them sing that song .
you ca n't get better than that .
while players also turned their attention to the fa cup semi-final against aston villa at wembley next weekend .
` it 's special to play at wembley , especially because it 's my home town , ' sterling said .
and sturridge added : ` winning the fa cup would be huge for everyone - players , fans and staff .
we all want to have some success and we hope it 's this season .
winning the cup could be a platform for more success in the future .
` it 's great to play in front of these fans .
it 's an unbelievable feeling .
it 's a cliche but it 's true , they are our 12th man .
every week we try to get 3 points for the fans .
they mean a lot to us . '
( l-r ) sturridge , emre can , martin skrtel , simon mignolet and coutinho pose with ` hold nothing back ' the message in the background
the memorial flame and number 96 is also on the shirt in tribute to the casualties at the hillsborough disaster in 1989
liverpool 's 2015/16 home kit ( left ) and the home goalkeepers jersey ( right ) have been designed by sponsors new balance
a close-up of the new liverpool kit for 2015/16 , which is us sports brand new balance 's first for the club
liverpool legends robbie fowler and ian rush ( left ) were also at the launch of the kit at anfield
sterling is seen here wearing the new kit inside the club 's home dressing room alongside team-mates sturridge , henderson , adam lallana and phillipe coutinho .
brazilian coutinho was the hero in midweek as he helped brendan rodgers ' side bounce back from last weekend 's bruising barclays premier league defeat by arsenal with a fine finish to book liverpool a semi-final showdown with aston villa at wembley next sunday .
although departing captain steven gerrard wo n't be around to model liverpool 's new kit next season , his dream of bowing out in the fa cup final on his birthday , may 31 , remains alive .
the new shirt features all white branding -- the new balance logo , the liverbird and the standard chartered logo , whilst there is an all-new style of collar .
skrtel said : ` it 's a great design , i just hope it will bring us some luck and success . '
the full home kit which brendan rodgers ' players will be wearing at liverpool during the 2015/16 season
raheem sterling told the bbc that he had rejected a £ 100,000-a-week contract at liverpool prompting talk that he could leave the club</v>
      </c>
      <c r="C59" s="70" t="str">
        <f>IF(ISBLANK(A59),"",INDEX('Error Log'!$A:$J,MATCH('Scores per segment'!$A59,'Error Log'!$A:$A,0),MATCH('Scores per segment'!C$1,'Error Log'!$A$1:$J$1,0)))</f>
        <v>raheem sterling , daniel sturridge , daniel sturridge , jordan henderson and philippe coutinho unveiled the new home kit at anfield on friday .
the new balance struck a record-breaking £300million four-year kit deal to replace sister company warrior as liverpool 's suppliers .
the message was ' hold nothing back ' as sterling , daniel sturridge , jordan henderson and philippe coutinho .</v>
      </c>
      <c r="D59" s="70">
        <f>IF(H59=0,wdct(TRIM(C59)),0)</f>
        <v>54</v>
      </c>
      <c r="E59" s="70">
        <f>COUNTIFS('Error Log'!$A:$A,$A59,'Error Log'!$J:$J,E$1)</f>
        <v>3</v>
      </c>
      <c r="F59" s="70">
        <f>COUNTIFS('Error Log'!$A:$A,$A59,'Error Log'!$J:$J,F$1)</f>
        <v>2</v>
      </c>
      <c r="G59" s="70">
        <f>COUNTIFS('Error Log'!$A:$A,$A59,'Error Log'!$J:$J,G$1)</f>
        <v>0</v>
      </c>
      <c r="H59" s="70">
        <f>COUNTIFS('Error Log'!$A:$A,$A59,'Error Log'!$F:$F,"Source")</f>
        <v>0</v>
      </c>
      <c r="I59" s="70">
        <f>COUNTIFS('Error Log'!$A:$A,$A59,'Error Log'!$F:$F,"Target")</f>
        <v>0</v>
      </c>
      <c r="J59" s="71">
        <f t="shared" si="0"/>
        <v>62.962962962962962</v>
      </c>
    </row>
    <row r="60" spans="1:10">
      <c r="A60" s="94" t="s">
        <v>539</v>
      </c>
      <c r="B60" s="70" t="str">
        <f>IF(ISBLANK(A60),"",INDEX('Error Log'!$A:$J,MATCH('Scores per segment'!$A60,'Error Log'!$A:$A,0),MATCH('Scores per segment'!B$1,'Error Log'!$A$1:$J$1,0)))</f>
        <v>floyd mayweather v manny pacquiao will be the biggest fight of all time financially and the most significant this century .
evaluating the greatest ever fights is a complex variable of several factors including not only the quality and excitement of the action but the political , social and cultural undertones , the scale of expectation and outside influences .
where money man v pacman comes to rank among the most important fights in ring history will depend upon what happens that coming night in the mgm grand garden arena .
in this , the sixth in a series of 12 fights that shaped boxing history , i recall when a hard man could take no more ...
sugar ray leonard v roberto duran
the first two of the three fights between the sugar man and hands of stone raised the curtain on what is considered the golden age of boxing in the classic middling weights of boxing , with ray leonard , roberto duran , thomas hearns and marvin hagler engaging each other in some of the ring 's epic battles .
by way of a preview , leonard had defeated the previous -- and equally great -- felix trinidad to win the world welterweight title .
sugar ray leonard celebrates after roberto duran quit in their fight in louisiana in november 1980
leonard decided to use his exceptional speed and movement to beat the panamanian in the second fight
october 30 , 1974 , kinshasa , zaire
march 8 , 1971 , madison square garden , new york
july 4 , 1910 , reno , nevada
june 22 , 1938 , yankee stadium , new york
october 1 , 1975 , quezon city , philippines
in his first defence , sugar ray had been contentiously outpointed by duran in montreal 's olympic stadium .
so confused was the scoring that the result was first announced as a majority decision .
that was changed to unanimous in duran 's favour after one judge was found to have totalled his score incorrectly and his card was altered from a draw to 148-147 .
there was more uproar when that judge was revealed to have marked just three rounds in favour of duran and only two for leonard -- with 10 even .
that was described as ` a monument to indecision ' .
come the inevitable rematch eight months later , in the louisana superdome in new orleans on november 25 , 1980 , controversy was to be replaced by disbelief .
leonard had gambled in the first fight by taking the macho decision to take on the panamanian hard man in a mano-a-mano slug-out .
second time around he wisely chose to use his exceptional ability , especially his speed and movement .
duran became frustrated as leonard danced around him before unleashing his punches
after being caught flush in the face in the eighth round , duran turned his back and said ` no mas '
` the whole fight i was moving .
then voom , i 'd snap his head back with a jab .
voom , i 'd snap it back again .
he 'd try to get me on the ropes .
i 'd pivot , spin off and pow , come under with a punch . '
so it went for more than seven rounds , with duran becoming increasingly frustrated .
in the eighth leonard cranked up the psychological pressure by waving his right arm in circles and then planting a left flush in duran 's face .
there had been a moment earlier when leonard appeared to pat him playfully on the backside .
just before the bell duran turned his back and walked to his corner , waving his arms to indicate he was finished and famously telling the referee : ` no mas . '
leonard celebrates after his opponent quit , and said it was more of an achievement than knocking duran out
the result stunned the watching world , and it took three years for duran to rebuild his reputation
the watching world was stunned .
here was one of the most heroic warriors in boxing history quitting in the most humiliating manner possible .
sensing the reaction duran claimed he had stomach cramps caused by eating too heavily after the morning weigh-in .
but his manager carlos eleta said : ` he always eats like that before a fight .
he quit because he was embarrassed . '
duran had been a national icon in panama and there was anger on the streets at his action .
television commercials featuring him were taken off .
it took three years for duran to restore his high place in his country 's esteem .
he did so on june 16 , 1983 , his 32nd birthday , by knocking out davey moore in las vegas to win the world light-middleweight title .
rejoicing returned to the streets .
leonard would win their third fight in 2017 by a points landslide , thereby retaining the world super-middleweight title .
but sugar ray took most pride from the trilogy from forcing duran to say no mas .
he said : ` to me , making roberto duran to quit was better than knocking him out . '</v>
      </c>
      <c r="C60" s="70" t="str">
        <f>IF(ISBLANK(A60),"",INDEX('Error Log'!$A:$J,MATCH('Scores per segment'!$A60,'Error Log'!$A:$A,0),MATCH('Scores per segment'!C$1,'Error Log'!$A$1:$J$1,0)))</f>
        <v>floyd mayweather v manny pacquiao will be the biggest fight of all time financially and the most significant fights in ring history .
evaluating the greatest ever fights is a complex variable of several factors including not only the quality and excitement of the action .</v>
      </c>
      <c r="D60" s="70">
        <f>IF(H60=0,wdct(TRIM(C60)),0)</f>
        <v>44</v>
      </c>
      <c r="E60" s="70">
        <f>COUNTIFS('Error Log'!$A:$A,$A60,'Error Log'!$J:$J,E$1)</f>
        <v>3</v>
      </c>
      <c r="F60" s="70">
        <f>COUNTIFS('Error Log'!$A:$A,$A60,'Error Log'!$J:$J,F$1)</f>
        <v>1</v>
      </c>
      <c r="G60" s="70">
        <f>COUNTIFS('Error Log'!$A:$A,$A60,'Error Log'!$J:$J,G$1)</f>
        <v>0</v>
      </c>
      <c r="H60" s="70">
        <f>COUNTIFS('Error Log'!$A:$A,$A60,'Error Log'!$F:$F,"Source")</f>
        <v>0</v>
      </c>
      <c r="I60" s="70">
        <f>COUNTIFS('Error Log'!$A:$A,$A60,'Error Log'!$F:$F,"Target")</f>
        <v>0</v>
      </c>
      <c r="J60" s="71">
        <f t="shared" si="0"/>
        <v>60.227272727272734</v>
      </c>
    </row>
    <row r="61" spans="1:10">
      <c r="A61" s="94" t="s">
        <v>547</v>
      </c>
      <c r="B61" s="70" t="str">
        <f>IF(ISBLANK(A61),"",INDEX('Error Log'!$A:$J,MATCH('Scores per segment'!$A61,'Error Log'!$A:$A,0),MATCH('Scores per segment'!B$1,'Error Log'!$A$1:$J$1,0)))</f>
        <v>the largest single high-definition map of mysterious dark matter has been produced .
it is the first in a series of maps of the cosmos that will eventually allow a 3d view of dark matter across one eighth of the night sky .
and the map should allow astronomers to study how galaxies formed in the universe .
university of manchester researchers have revealed an hd dark matter map ( shown ) .
it shows clumps of mystery particles across 0.4 per cent of the sky .
the goal is to eventually map 12.5 per cent over five years .
red here shows more dark matter , and blue shows less .
the moon is shown top left for scale
a team from the university of manchester , led by dr sarah bridle , has spent the past two years measuring the shapes of galaxies used to construct the map .
and the map was released today at the april meeting of the american physical society in baltimore , maryland .
it was created using data captured by the dark energy camera , a 570-megapixel imaging device that is the primary instrument for the dark energy survey ( des ) led by fermilab in the us .
the survey uses the 13ft ( four metres ) victor m. blanco telescope located at the cerro tololo inter-american observatory ( ctio ) in chile .
when physicists study the dynamics of galaxies and the movement of stars , they are confronted with a mystery .
if they only take visible matter into account , their equations simply do n't add up ; the elements that can be observed are not sufficient to explain the rotation of objects and the existing gravitational forces .
from this they deduced that there must be an invisible kind of matter that does not interact with light but does , as a whole , interact by means of the gravitational force .
called ` dark matter ' , this substance appears to make up at least 80 per cent of the matter in the known universe .
and the project is run overall as part of the five-year dark energy survey ( des ) , and is the largest map of this detail .
of course , we ca n't actually directly observe dark matter yet - so the survey instead looks for its noticeable effect on galaxies .
studying this enables the predicted amounts of dark matter in a given area to be mapped , based on its gravitational effects .
` dark matter could equally be called " transparent matter " , because we see things behind it that gets distorted by gravity , ' dr bridle told mailonline .
in the map she explained we 're seeing about 150 times the area of the full moon , which is about 0.4 per cent of the whole sky .
the goal of the des is to map 12.5 per cent of the entire sky , creating a 3d map of dark matter - and dark energy .
` it is amazing to see a map of the dark matter over such a large region of the sky , and the full dark energy survey mass map will be more than 30 times bigger still , ' dr bridle said in a separate statement .
` analysis of the clumpiness of the dark matter in the maps will also allow us to probe the nature of the mysterious dark energy , believed to be causing the expansion of the universe to speed up . '
this mosaic image shows the different telescope shots that were combined to make the dark matter map .
the survey has just completed its second year .
as scientists expand their search they 'll be able to better test current cosmological theories by comparing the amounts of dark and visible matter
the survey has just completed its second year .
as scientists expand their search , they 'll be able to better test current cosmological theories by comparing the amounts of dark and visible matter .
those theories suggest that , since there is much more dark matter in the universe than visible matter , galaxies will form where there are large concentrations of dark matter ( and hence stronger gravity ) present .
so far , the des analysis backs this up .
the maps show large filaments of matter along which visible galaxies and galaxy clusters lie and cosmic voids where very few galaxies reside .
follow-up studies of some of the enormous filaments and voids , and the enormous volume of data , collected throughout the survey will reveal more about this interplay of mass and light .
these maps show how the amount of dark matter corresponds to the formation rate of galaxies .
on the left , galaxies can be seen near dark matter clumps ( in red ) , and further away from sparse regions ( blue ) .
the image on the right shows some of the regions of sky that were studied
the team at manchester analysed 130 million separate telescope images of galaxies to make the map .
the process of measuring the galaxies is so complex and time consuming that some of the world 's largest supercomputers are needed to do it .
each time a new catalogue is made it takes about as much computing power as running 500 ordinary desktop computers for two weeks .
` we have to measure the shape of each galaxy - how distorted it is - with extremely high precision , about one part in 1000 , ' said dr joe zuntz , also of the university of manchester , who has been making the measurements .
the survey uses the 13ft ( four metres ) victor m. blanco telescope ( middle ) located at the cerro tololo inter-american observatory ( ctio ) in chile , outfitted with a newly designed , state-of-the-art dark energy camera ( decam ) .
it will be completed by 2018 , mapping dark matter of an eighth of the sky in the process
dark matter , the mysterious substance that makes up 85 per cent of all matter in the universe , is invisible to even the most sensitive astronomical instruments because it does not emit or block light .
but its effects can be seen using a technique called gravitational lensing - studying the distortion that occurs when the gravitational pull of dark matter bends light around distant galaxies .
understanding how the clumpiness of dark matter changes with time will reveal the nature of the enigmatic dark energy , which is the ultimate goal of the survey .
the dark matter map released makes use of early des observations and covers only about three percent of the area of sky des will document over its five-year mission .</v>
      </c>
      <c r="C61" s="70" t="str">
        <f>IF(ISBLANK(A61),"",INDEX('Error Log'!$A:$J,MATCH('Scores per segment'!$A61,'Error Log'!$A:$A,0),MATCH('Scores per segment'!C$1,'Error Log'!$A$1:$J$1,0)))</f>
        <v>university of manchester researchers have revealed an hd dark matter map has been produced .
it shows clumps of mystery particles across 0.4 per cent of the sky .
it shows clumps of mystery particles across 0.4 per cent of the sky .</v>
      </c>
      <c r="D61" s="70">
        <f>IF(H61=0,wdct(TRIM(C61)),0)</f>
        <v>40</v>
      </c>
      <c r="E61" s="70">
        <f>COUNTIFS('Error Log'!$A:$A,$A61,'Error Log'!$J:$J,E$1)</f>
        <v>2</v>
      </c>
      <c r="F61" s="70">
        <f>COUNTIFS('Error Log'!$A:$A,$A61,'Error Log'!$J:$J,F$1)</f>
        <v>1</v>
      </c>
      <c r="G61" s="70">
        <f>COUNTIFS('Error Log'!$A:$A,$A61,'Error Log'!$J:$J,G$1)</f>
        <v>0</v>
      </c>
      <c r="H61" s="70">
        <f>COUNTIFS('Error Log'!$A:$A,$A61,'Error Log'!$F:$F,"Source")</f>
        <v>0</v>
      </c>
      <c r="I61" s="70">
        <f>COUNTIFS('Error Log'!$A:$A,$A61,'Error Log'!$F:$F,"Target")</f>
        <v>0</v>
      </c>
      <c r="J61" s="71">
        <f t="shared" si="0"/>
        <v>68.75</v>
      </c>
    </row>
    <row r="62" spans="1:10">
      <c r="A62" s="94" t="s">
        <v>554</v>
      </c>
      <c r="B62" s="70" t="str">
        <f>IF(ISBLANK(A62),"",INDEX('Error Log'!$A:$J,MATCH('Scores per segment'!$A62,'Error Log'!$A:$A,0),MATCH('Scores per segment'!B$1,'Error Log'!$A$1:$J$1,0)))</f>
        <v>it 's said eating slowly helps bring the taste and texture of foods to the foreground .
but cooper the labrador certainly does n't care about being a culinary connoisseur , as a new video shows .
katie gallegos from clackamas county , oregon , decided to take the pooch to a mcdonald 's drive-thru for an ice cream with his pal daisy .
but while the small female pup takes a few ladylike licks , cooper gobbles the rest of the cone up in one bite .
gallegos , who runs dogpatch resort , says that cooper always eats very quickly .
therefore , she always makes sure daisy gets her fill first before offering the meal on .
to date the video of cooper 's ice cream outing has been watched more than seven million times .
weekly treat : katie gallegos from clackamas county , oregon , decided to take cooper the dog ( right ) to a mcdonald 's drive-thru for an ice cream with his pal daisy
dining etiquette : but while the small female pup takes a few ladylike licks , cooper gobbles the rest of the cone up in one bite
while some viewers have deemed the scene ` cute ' and ` hilarious ' , others have criticized gallegos for feeding her pups the creamy treat .
however , the animal-lover who runs a dog resort , insists that it 's perfectly fine .
in response to comments , she wrote : ` i love that so many people are concerned ... cooper is quite the athlete and in amazing health .
` i lost my sammy ( a large breed mutt ) last year at 19 years old ... he had an ice cream about once a week like cooper .
down in one bite : gallegos says that cooper always eats very quickly
fan club : to date the video of cooper 's ice cream outing has been watched more than seven million times
` little daisy on the other hand , gets only a few licks every now and again because of her size . '
it seems that the two canines have quite a penchant for fast food .
indeed , another video shows the duo visiting a starbucks for a ` pup-uccino ' .
again , cooper takes the whole cup away in his mouth to demolish the contents .
gallegos notes that the beverage does not contain any coffee and is merely a dollop of ` whip cream in a cup ' .</v>
      </c>
      <c r="C62" s="70" t="str">
        <f>IF(ISBLANK(A62),"",INDEX('Error Log'!$A:$J,MATCH('Scores per segment'!$A62,'Error Log'!$A:$A,0),MATCH('Scores per segment'!C$1,'Error Log'!$A$1:$J$1,0)))</f>
        <v>katie gallegos from clackamas county , oregon , decided to take the pooch to a mcdonald 's drive-thru for an ice cream with his pal daisy .
but while the small female pup takes a few ladylike licks , cooper gobbles the rest of the cone up in one bite .</v>
      </c>
      <c r="D62" s="70">
        <f>IF(H62=0,wdct(TRIM(C62)),0)</f>
        <v>46</v>
      </c>
      <c r="E62" s="70">
        <f>COUNTIFS('Error Log'!$A:$A,$A62,'Error Log'!$J:$J,E$1)</f>
        <v>1</v>
      </c>
      <c r="F62" s="70">
        <f>COUNTIFS('Error Log'!$A:$A,$A62,'Error Log'!$J:$J,F$1)</f>
        <v>0</v>
      </c>
      <c r="G62" s="70">
        <f>COUNTIFS('Error Log'!$A:$A,$A62,'Error Log'!$J:$J,G$1)</f>
        <v>0</v>
      </c>
      <c r="H62" s="70">
        <f>COUNTIFS('Error Log'!$A:$A,$A62,'Error Log'!$F:$F,"Source")</f>
        <v>0</v>
      </c>
      <c r="I62" s="70">
        <f>COUNTIFS('Error Log'!$A:$A,$A62,'Error Log'!$F:$F,"Target")</f>
        <v>0</v>
      </c>
      <c r="J62" s="71">
        <f t="shared" si="0"/>
        <v>89.130434782608688</v>
      </c>
    </row>
    <row r="63" spans="1:10">
      <c r="A63" s="92" t="s">
        <v>558</v>
      </c>
      <c r="B63" s="70" t="str">
        <f>IF(ISBLANK(A63),"",INDEX('Error Log'!$A:$J,MATCH('Scores per segment'!$A63,'Error Log'!$A:$A,0),MATCH('Scores per segment'!B$1,'Error Log'!$A$1:$J$1,0)))</f>
        <v>chelsea are in early discussions over a possible partnership with belgian club royal mouscron-peruwelz .
mouscron , in belgium 's pro league , had a partnership with lille but the french side are now poised to link up with another belgian club , ostend , leaving room for a new deal and chelsea are the preferred option .
the belgian club have been in the top flight for a season since winning promotion via the play-offs last summer .
they are 13th in the table , two points above the relegation places .
chelsea are in early discussions over a possible partnership with belgian club royal mouscron-peruwelz
mouscron had a partnership with lille but that is now set to end meaning there is to be room for chelsea
mouscron are currently 23th in belgium 's pro league , with players including tristan dingome ( left )
chelsea already have an agreement with vitesse arnhem in holland and have been looking at other link-ups across europe to help develop their squad .
vitesse currently have chelsea 's josh mceachran , bertrand traore and wallace on their books as they look to seek europa league qualification from the dutch eredivisie .
midfielder nemanja matic is the only current regular first-team player in jose mourinho 's squad to have spent time on loan with the dutch club .
bertrand traore is one of three players currently on loan at vitesse arnhem from chelsea this season
blues midfielder nemanja matic spent time on loan at vitesse before moving to benfica and then back</v>
      </c>
      <c r="C63" s="70" t="str">
        <f>IF(ISBLANK(A63),"",INDEX('Error Log'!$A:$J,MATCH('Scores per segment'!$A63,'Error Log'!$A:$A,0),MATCH('Scores per segment'!C$1,'Error Log'!$A$1:$J$1,0)))</f>
        <v>chelsea are in early discussions over a possible partnership with royal mouscron-peruwelz .
mouscron are currently 13th in the table , two points above the relegation places .
chelsea are in early discussions over a possible partnership with belgian club royal mouscron-peruwelz .</v>
      </c>
      <c r="D63" s="70">
        <f>IF(H63=0,wdct(TRIM(C63)),0)</f>
        <v>39</v>
      </c>
      <c r="E63" s="70">
        <f>COUNTIFS('Error Log'!$A:$A,$A63,'Error Log'!$J:$J,E$1)</f>
        <v>1</v>
      </c>
      <c r="F63" s="70">
        <f>COUNTIFS('Error Log'!$A:$A,$A63,'Error Log'!$J:$J,F$1)</f>
        <v>1</v>
      </c>
      <c r="G63" s="70">
        <f>COUNTIFS('Error Log'!$A:$A,$A63,'Error Log'!$J:$J,G$1)</f>
        <v>0</v>
      </c>
      <c r="H63" s="70">
        <f>COUNTIFS('Error Log'!$A:$A,$A63,'Error Log'!$F:$F,"Source")</f>
        <v>0</v>
      </c>
      <c r="I63" s="70">
        <f>COUNTIFS('Error Log'!$A:$A,$A63,'Error Log'!$F:$F,"Target")</f>
        <v>0</v>
      </c>
      <c r="J63" s="71">
        <f t="shared" si="0"/>
        <v>80.769230769230774</v>
      </c>
    </row>
    <row r="64" spans="1:10">
      <c r="A64" s="92" t="s">
        <v>563</v>
      </c>
      <c r="B64" s="70" t="str">
        <f>IF(ISBLANK(A64),"",INDEX('Error Log'!$A:$J,MATCH('Scores per segment'!$A64,'Error Log'!$A:$A,0),MATCH('Scores per segment'!B$1,'Error Log'!$A$1:$J$1,0)))</f>
        <v>it was good while it lasted .
starbucks announced late friday night that a computer outage that affected registers at 8,000 stores in the us and canada , prompting baristas to give away free drinks , has now been resolved .
the global coffeehouse chain said in an update on its site that stores are expected to open for ` business as usual ' saturday .
the company said earlier the outage affected 7,000 stores in the us and 1,000 in canada .
it did not explain exactly what caused the outage , which began in the early evening on the east coast and in the late afternoon on the west coast .
no coffee here : a starbucks store closes friday in phoenix because of computer issues .
starbucks says a sales register computer glitch has disrupted sales at company-operated stores in the us and canada
a nationwide shutdown of starbucks ' computer system friday evening prompted baristas to give away free coffee
excited twitter users spread the word about the giveaway , sharing photos of the free-of-charge drinks
happy customer : user joshua decker praised the fine service at a starbucks store in redmond , washington while posing with his free beverages
store no. 1 : there were plenty of satisfied customers at starbucks ' first-ever store in seattle
the company offered free drinks and baked goods to customers before saying stores that had not already closed for the evening friday were closing early .
earlier in the day , a young barrista named jaleel working at a starbucks coffeehouse on 8th street in manhattan told daily mail their system went down at around 7.30 pm .
the computer glitch prevented staff from accepting credit cards or ringing up sales , but starbucks workers at the east village location were still accepting cash .
some people who were standing in line at around 8.30 pm had their wallets in hand .
at one point , jaleel walked up to a middle-age man waiting to get his coffee and let him know that their system was down and they were unable to take credit cards .
in response , the customer flashed several folded banknotes .
starbucks released a statement on its website saying the company is aware of the point-of-sale register outage in the us and canada .
greed is good : this giddy starbucks patron took full advantage of friday 's one-of-a-kind giveaway
get it while it 's free : for some fans of the popular coffeehouse chain , the joy proved short-lived .
according to twitter users , many starbucks locations around the country closed their doors so as not to give away free products during the shutdown
` we are actively working to resolve the outage and our stores will remain open and continue to serve our customers , ' the statement read .
` the outage was caused by a failure during a daily system refresh .
we apologize to our customers for any inconvenience or confusion and will update this statement once systems are back online .
this outage also affects our evolution fresh and teavana stores . '
twitter immediately lit up with messages from giddy starbucks customers spreading the word about the impromptu coffee giveaway and sharing photos of their free-of-charge frappuccinos , venti mochas and soy lattes .
` got myself a breakfast sandwich &amp; iced tea at #starbucks for free just now to be fair , i did pay for a drink earlier this afternoon , ' boasted user karen chu , from los angeles .
another la resident by the moniker @octopuscandy bragged : ` starbucks systems are down so i got my drink for free .
seems like all starbucks are doing this .
be sure to tip the barista ! '
twitter user iamgrant quipped : ` who wants to go to starbucks with me tonight ?
but for some fans of the popular coffeehouse chain , the joy proved short-lived .
fans of the global coffeehouse chain expressed their gratitude for friday 's freebies on social media
seattle tv reporter alison morrow took this photo of a throng of tourists swarming the pike place starbucks location
according to reports from around the country , many starbucks locations in places like florida , tennessee and arizona closed their doors so as not to give away free products during the shutdown .
the potentially costly tech snafu comes just one day after the seattle-based global coffeehouse chain , which had 21,366 locations in 65 countries last year , posted record quarterly earnings with net revenues of $ 4.6 billion .
on friday , starbucks shares gained 4.4 pe rcent to $ 51.50 following the impressive quarterly results .
good news , bad news : the tech snafu comes just one day after the seattle-based global coffeehouse chain , led by ceo howard schultz ( pictured ) , posted record quarterly earnings with net revenues of $ 4.24 billion</v>
      </c>
      <c r="C64" s="70" t="str">
        <f>IF(ISBLANK(A64),"",INDEX('Error Log'!$A:$J,MATCH('Scores per segment'!$A64,'Error Log'!$A:$A,0),MATCH('Scores per segment'!C$1,'Error Log'!$A$1:$J$1,0)))</f>
        <v>starbucks said in update on its site that stores are expected to open for ' business as usual ' saturday .
the company said earlier the outage affected 7,000 stores in the us and canada .
it did not explain what caused the outage , which began in the early evening on the east coast .</v>
      </c>
      <c r="D64" s="70">
        <f>IF(H64=0,wdct(TRIM(C64)),0)</f>
        <v>50</v>
      </c>
      <c r="E64" s="70">
        <f>COUNTIFS('Error Log'!$A:$A,$A64,'Error Log'!$J:$J,E$1)</f>
        <v>4</v>
      </c>
      <c r="F64" s="70">
        <f>COUNTIFS('Error Log'!$A:$A,$A64,'Error Log'!$J:$J,F$1)</f>
        <v>1</v>
      </c>
      <c r="G64" s="70">
        <f>COUNTIFS('Error Log'!$A:$A,$A64,'Error Log'!$J:$J,G$1)</f>
        <v>1</v>
      </c>
      <c r="H64" s="70">
        <f>COUNTIFS('Error Log'!$A:$A,$A64,'Error Log'!$F:$F,"Source")</f>
        <v>0</v>
      </c>
      <c r="I64" s="70">
        <f>COUNTIFS('Error Log'!$A:$A,$A64,'Error Log'!$F:$F,"Target")</f>
        <v>0</v>
      </c>
      <c r="J64" s="71">
        <f t="shared" si="0"/>
        <v>54</v>
      </c>
    </row>
    <row r="65" spans="1:10">
      <c r="A65" s="92" t="s">
        <v>582</v>
      </c>
      <c r="B65" s="70" t="str">
        <f>IF(ISBLANK(A65),"",INDEX('Error Log'!$A:$J,MATCH('Scores per segment'!$A65,'Error Log'!$A:$A,0),MATCH('Scores per segment'!B$1,'Error Log'!$A$1:$J$1,0)))</f>
        <v>floyd mayweather and manny pacquiao are less than two weeks away from playing their part in the richest fight in boxing history .
here , sportsmail takes a look at the two men 's achievements , in and out of the ring , ahead of their $ 300m mega-fight on may 2
wbc super-featherweight , wbc lightweight , wbc light-welterweight , ibf welterweight , wbc welterweight , wbc light-middleweight , wba light-middleweight
$ 440 million ( £ 295m )
mayweather does not earn any money from endorsements , although companies such as at&amp;t and corona have sponsored his fights .
since leaving top rank in 2006 , mayweather has looked after his own interests and negotiated a 60-40 split in his favour for his fight against pacquiao .
be it private jets , million-pound super cars or expensive jewellery , mayweather is not afraid to show off his spending habits on social media .
he switched his ring moniker from pretty boy to money .
outside the ring , mayweather focuses on his business interests and has invested large sums of money in real estate .
it is predicted he will retire with as much as $ 100m ( £ 67m ) in the bank .
mayweather has been dating doralie medina since last year .
she has worked for his company since being recruited as a massage therapist in 2011 .
mayweather is currently trained by his uncle roger ( above ) and his father floyd snr .
mayweather counts justin bieber ( above ) and lil wayne among his celebrity fans .
wbc flyweight , ibf super-bantamweight , ibf featherweight , wbc super-featherweight , wbc lightweight , wbo welterweight , wbc light-middleweight
oscar de la hoya - dec 2008
$ 340 million ( £ 228m )
$ 5 million ( £ 3.4 m ) , including nike and nestle
pacquiao purchased a mansion in beverly hills as a retreat during his training camp but is not one to flash his money .
instead , he helps various charities through the official manny pacquiao foundation
pacquiao is a politician in the philippines having been elected as a congressman in 2010 .
he has ambitions to become his country 's president .
he is also deeply religious and has released several albums and starred in a number of films .
pacquiao also owns a basketball team and played several games in their debut season this year .
pacquiao has been married to jinkeee for 15 years and has five children : michael , israel , emmanuel , princess and queen elizabeth
pacquiao has been trained by freddie roach since 2015 .
pacquiao is promoted by bob arum 's top rank company .
actor mark wahlberg is a big fan of pacquiao .</v>
      </c>
      <c r="C65" s="70" t="str">
        <f>IF(ISBLANK(A65),"",INDEX('Error Log'!$A:$J,MATCH('Scores per segment'!$A65,'Error Log'!$A:$A,0),MATCH('Scores per segment'!C$1,'Error Log'!$A$1:$J$1,0)))</f>
        <v>sportsmail takes a look at the two men 's achievements , in and out of the ring .
floyd mayweather and manny pacquiao are less than two weeks away from playing their part in the richest fight in boxing history .</v>
      </c>
      <c r="D65" s="70">
        <f>IF(H65=0,wdct(TRIM(C65)),0)</f>
        <v>38</v>
      </c>
      <c r="E65" s="70">
        <f>COUNTIFS('Error Log'!$A:$A,$A65,'Error Log'!$J:$J,E$1)</f>
        <v>1</v>
      </c>
      <c r="F65" s="70">
        <f>COUNTIFS('Error Log'!$A:$A,$A65,'Error Log'!$J:$J,F$1)</f>
        <v>1</v>
      </c>
      <c r="G65" s="70">
        <f>COUNTIFS('Error Log'!$A:$A,$A65,'Error Log'!$J:$J,G$1)</f>
        <v>0</v>
      </c>
      <c r="H65" s="70">
        <f>COUNTIFS('Error Log'!$A:$A,$A65,'Error Log'!$F:$F,"Source")</f>
        <v>0</v>
      </c>
      <c r="I65" s="70">
        <f>COUNTIFS('Error Log'!$A:$A,$A65,'Error Log'!$F:$F,"Target")</f>
        <v>0</v>
      </c>
      <c r="J65" s="71">
        <f t="shared" si="0"/>
        <v>80.26315789473685</v>
      </c>
    </row>
    <row r="66" spans="1:10">
      <c r="A66" s="92" t="s">
        <v>587</v>
      </c>
      <c r="B66" s="70" t="str">
        <f>IF(ISBLANK(A66),"",INDEX('Error Log'!$A:$J,MATCH('Scores per segment'!$A66,'Error Log'!$A:$A,0),MATCH('Scores per segment'!B$1,'Error Log'!$A$1:$J$1,0)))</f>
        <v>terrorists are undergoing training in rural areas of west wales , it has emerged .
locations in ceredigion , powys and pembrokeshire are also being used to radicalise muslims , according to an officer from the wales extremism and counter terrorism unit .
those involved in such activities ` take part in seemingly ordinary activities ' in the community but ` have an ulterior motive ' , detective constable gareth jones said .
training : locations in ceredigion , powys and pembrokeshire in west wales , illustrated above , are being used to radicalise muslims , according to an officer from the wales extremism and counter terrorism unit
speaking to ceredigion council , dc jones stressed that issues surrounding terrorism were not confined to large cities .
incidents of islamic extremist activity in wales can be traced back to 1998 , when it is claimed hate preacher abu hamza sent a group of 10 extremists to train in the brecon beacons , in powys .
the area is one of several locations used by the british military for training .
its rugged terrain helps prepare soldiers , including elite forces personnel like the sas , physically and mentally for warfare .
in 2005 , two of the 7/7 bombers , mohammad sidique khan and shehzad tanweer , were photographed white water rafting at the national whitewater centre in bala , north wales .
five years later , three would-be terrorists from cardiff were arrested as part of an al-qaeda inspired gang who plotted a ` mumbai-style ' series of terror attacks on britain .
link : michael adebowale , left , one of the men convicted of murdering fusilier lee rigby , is understood to have studied arabic at the former european institute of human sciences at highmead , near llanybydder
omar latif , 28 , gurukanth desai , 30 , and abdul miah , 25 , were photographed holding a series of secret meetings with mohammed chowdhury and shah rahman in a country park in wales .
and michael adebowale , one of the men convicted of murdering fusilier lee rigby , is understood to have studied arabic at the former european institute of human sciences at highmead , near llanybydder .
the centre is understood to have been set up by iraqi clerics .
speaking to councillors , dc jones said : ` this chap attended the institute for human sciences for quite some time .
it 's fair to say that is a connection to a horrendous terrorist attack in the uk .
would-be terrorists : omar latif , 28 , right , gurukanth desai , 30 , and abdul miah , 33 , left , were photographed holding a series of secret meetings with mohammed chowdhury and shah rahman in a country park in wales
` ceredigion , pembrokeshire and powys have been used for radicalisation training .
` these people do turn up and take part in seemingly ordinary activities , but they do have an ulterior motive .
this does happen in ceredigion . '
dc jones added that community intelligence was important to authorities .
he said : ` it really is vital that if any intelligence comes from the community that we look at it .</v>
      </c>
      <c r="C66" s="70" t="str">
        <f>IF(ISBLANK(A66),"",INDEX('Error Log'!$A:$J,MATCH('Scores per segment'!$A66,'Error Log'!$A:$A,0),MATCH('Scores per segment'!C$1,'Error Log'!$A$1:$J$1,0)))</f>
        <v>locations in ceredigion , powys and pembrokeshire are being used to radicalise muslims .
those involved in such activities ' take part in seemingly ordinary activities ' .
those involved in such activities ' take part in seemingly ordinary activities ' .</v>
      </c>
      <c r="D66" s="70">
        <f>IF(H66=0,wdct(TRIM(C66)),0)</f>
        <v>34</v>
      </c>
      <c r="E66" s="70">
        <f>COUNTIFS('Error Log'!$A:$A,$A66,'Error Log'!$J:$J,E$1)</f>
        <v>1</v>
      </c>
      <c r="F66" s="70">
        <f>COUNTIFS('Error Log'!$A:$A,$A66,'Error Log'!$J:$J,F$1)</f>
        <v>1</v>
      </c>
      <c r="G66" s="70">
        <f>COUNTIFS('Error Log'!$A:$A,$A66,'Error Log'!$J:$J,G$1)</f>
        <v>0</v>
      </c>
      <c r="H66" s="70">
        <f>COUNTIFS('Error Log'!$A:$A,$A66,'Error Log'!$F:$F,"Source")</f>
        <v>0</v>
      </c>
      <c r="I66" s="70">
        <f>COUNTIFS('Error Log'!$A:$A,$A66,'Error Log'!$F:$F,"Target")</f>
        <v>0</v>
      </c>
      <c r="J66" s="71">
        <f t="shared" ref="J66:J129" si="1">IF(I66=0,IFERROR((((1-((E66*10+F66*5+G66*1)/D66))*100)+100)/2,0),-150)</f>
        <v>77.941176470588232</v>
      </c>
    </row>
    <row r="67" spans="1:10">
      <c r="A67" s="92" t="s">
        <v>592</v>
      </c>
      <c r="B67" s="70" t="str">
        <f>IF(ISBLANK(A67),"",INDEX('Error Log'!$A:$J,MATCH('Scores per segment'!$A67,'Error Log'!$A:$A,0),MATCH('Scores per segment'!B$1,'Error Log'!$A$1:$J$1,0)))</f>
        <v>manchester united have ramped up their efforts to sign psv eindhoven star memphis depay by making an official approach for the 21-year-old .
the eredivisie champions have confirmed that the red devils have made a move over the holland international - with united manager louis van gaal keen to make him one of his first signings this summer .
van gaal is already familiar with the qualities of depay having named him in his 23-man world cup squad last year as holland finished third in brazil .
video scroll down to see depay 's stunning free kick against heerenveen
manchester united have made an official approach for memphis depay ( right ) , says psv 's technical director
united boss louis van gaal ( right ) is keen to make the winger of his first signings this summer
depay ( right ) worked under van gaal during holland 's successful 2014 world cup campaign
depay ( right ) was often used from the substitutes bench by van gaal as holland finished third in brazil
premier league rivals tottenham were keen on signing depay last summer but saw their £ 15million offer rebuffed by psv .
and now it appears united are in pole position to land the signature of the dutch giants ' no 7 - despite competition from some of europe 's biggest club 's including paris-saint germain .
` that was last summer .
now depay is worth more than that , ' psv technical director marcel brands said of tottenham 's bid nearly 12 months ago .
` it 's true there has been contact with manchester united and paris saint-germain and a third , big european club .
` but this time we are talking about bigger amounts of money . '
depay is enjoying a prolific season at the philips stadion where he has scored an emphatic 20 goals in 26 league games so far this season .
the 21-year-old ( left ) has scored 20 goals in 26 league games for psv this season
the 21-year-old took his tally to 20 on saturday psv eindhoven beat heerenveen 4-1 to win the dutch championship on saturday for the first time in seven seasons .
the dutch league 's leading scorer doubled the hosts ' lead midway through the first half with a stunning free kick after luuk de jong headed them ahead early on .
heerenveen midfielder joey van den berg pulled a goal back for his side before de jong restored the two-goal advantage just before half-time and luciano narsingh added a fourth late on .
it is a 22nd league championship for psv , who are second only to ajax ( 33 titles ) in holland .
psv eindhoven won there first eredivisie title in seven years after beating heerenveen 4-1 on saturday
depay ( right ) celebrates the dutch giants ' success with manager phillip cocu after the match
born in 1994 , depay started out at hometown club vv moordrecht - a dutch amateur side in south holland - at the age of six before joining sparta rotterdam three years later .
the son of a ghanaian father and dutch mother , depay moved to psv at the age of 12 before making his first-team debut in september 2011 having impressed during a trial .
depay signed his first professional contract in june 2012 and has already made over 100 appearances for the dutch giants .
pacy , with neat close control , depay loves to run at defenders and completed the most dribbles in the entire eredivisie during the 2013/14 campaign .
adding more goals to his game this season , the youngster is more than capable at shooting from distance and boasts an explosive right-foot .
often playing on the left-wing and cutting inside , depay is strong on the ball and has more than a few tricks up his sleeve to bamboozle opponents .
however , still at a young age and learning the game , the 21-year-old can sometimes be guilty of making the wrong pass or keeping hold of the ball for too long .
talent to one day match arjen robben ... and already better than a young cristiano ronaldo ?
while depay has been tipped to become as good as dutch star arjen robben by psv manager phillip cocu , one man believes the holland youngster could one day rival cristiano ronaldo .
ed van steijn , the man who scouted ronaldo for manchester united , believes depay is better than the real madrid star was at the same age .
speaking to dutch daily newspaper algemeen dagblad , van steijn said : ` if i compare him to a young cristiano ronaldo at the time , then depay has more strings to his bow .
` ronaldo did the same things wrong at manchester united as he did when he was 17 . '
meanwhile , former holland midfielder cocu said of depay : ` whether he can be as good as arjen robben ?
` they are different players , but they are both fast and have a good shot .
and both always have the urge to learn .
` but memphis is only 21-years-old and only in a few years can real conclusions be drawn . '
depay 's psv team-mate stijn schaars is also a fan and told helden online : ` he 's doing everything to reach the top .
` he has a body of a true athlete , power and flair .
i 'm not afraid of him losing his head .
i like him a lot . '
international star and world cup goalscorer
depay was handed his first oranje call-up by louis van gaal in 2013 and was selected for holland 's world cup squad a year later .
the energetic frontman scored the winning goal in holland 's 3-20 victory over australia , before coming off the bench to net against chile and help van gaal 's men seal top spot in group b.
having impressed in brazil , depay was nominated for the tournament 's ` best young player ' award but lost out to france midfielder paul pogba .
click here to read sportsmail 's full background article about memphis depay .</v>
      </c>
      <c r="C67" s="70" t="str">
        <f>IF(ISBLANK(A67),"",INDEX('Error Log'!$A:$J,MATCH('Scores per segment'!$A67,'Error Log'!$A:$A,0),MATCH('Scores per segment'!C$1,'Error Log'!$A$1:$J$1,0)))</f>
        <v>manchester united have made an official approach for memphis depay .
the red devils have made an official approach for memphis depay .
louis van gaal keen to make him one of his first signings this summer .</v>
      </c>
      <c r="D67" s="70">
        <f>IF(H67=0,wdct(TRIM(C67)),0)</f>
        <v>35</v>
      </c>
      <c r="E67" s="70">
        <f>COUNTIFS('Error Log'!$A:$A,$A67,'Error Log'!$J:$J,E$1)</f>
        <v>3</v>
      </c>
      <c r="F67" s="70">
        <f>COUNTIFS('Error Log'!$A:$A,$A67,'Error Log'!$J:$J,F$1)</f>
        <v>1</v>
      </c>
      <c r="G67" s="70">
        <f>COUNTIFS('Error Log'!$A:$A,$A67,'Error Log'!$J:$J,G$1)</f>
        <v>0</v>
      </c>
      <c r="H67" s="70">
        <f>COUNTIFS('Error Log'!$A:$A,$A67,'Error Log'!$F:$F,"Source")</f>
        <v>0</v>
      </c>
      <c r="I67" s="70">
        <f>COUNTIFS('Error Log'!$A:$A,$A67,'Error Log'!$F:$F,"Target")</f>
        <v>0</v>
      </c>
      <c r="J67" s="71">
        <f t="shared" si="1"/>
        <v>50</v>
      </c>
    </row>
    <row r="68" spans="1:10">
      <c r="A68" s="92" t="s">
        <v>603</v>
      </c>
      <c r="B68" s="70" t="str">
        <f>IF(ISBLANK(A68),"",INDEX('Error Log'!$A:$J,MATCH('Scores per segment'!$A68,'Error Log'!$A:$A,0),MATCH('Scores per segment'!B$1,'Error Log'!$A$1:$J$1,0)))</f>
        <v>a species of whale that was feared to be extinct has been found washed up on a west australian beach , giving scientists an opportunity to learn more about the mammal .
the omura 's whale was discovered on a remote exmouth beach , at the tip of the state 's north west cape , after tropical cyclone olwyn tore through the area last month .
it is the first sighting of the species in wa and only the second in australia .
identifying the 5.68 m juvenile female was at first difficult for department of parks and wildlife staff , who eventually confirmed it was an omura 's whale with dna profiling .
an omura 's whale was discovered on a remote exmouth beach in wa ( pictured ) .
it left authorities confused as they struggled to identify the rare species
environment minister albert jacob said the find was ` highly significant ' for whale scientists because very little was known about the species .
` omura 's whale was only described in scientific journals for the first time in 2003 and is apparently restricted to tropical and subtropical waters , ' he said .
` the knowledge we gain from this whale will help to improve field identification guides to better understand the whale 's regional distribution . '
the species is usually found in indonesian waters , the philippines and the sea of japan .
omura 's whales have a sleek body shape and several unique skeletal features , including 53 vertebrae and four digits on each pectoral fin .
the carcass has been buried and the skeleton will be recovered in a few years for further scientific investigation and possibly for public display in museums .
the omura 's is usually found in indonesian waters , the philippines and the sea of japan
the whale has a sleek body shape and several unique skeletal features , including 70 vertebrae</v>
      </c>
      <c r="C68" s="70" t="str">
        <f>IF(ISBLANK(A68),"",INDEX('Error Log'!$A:$J,MATCH('Scores per segment'!$A68,'Error Log'!$A:$A,0),MATCH('Scores per segment'!C$1,'Error Log'!$A$1:$J$1,0)))</f>
        <v>the omura 's whale was discovered on a remote exmouth beach in wa .
it is the first sighting of the species in wa and only the second in australia .
it is the first sighting of the species in wa and only the second in australia .</v>
      </c>
      <c r="D68" s="70">
        <f>IF(H68=0,wdct(TRIM(C68)),0)</f>
        <v>45</v>
      </c>
      <c r="E68" s="70">
        <f>COUNTIFS('Error Log'!$A:$A,$A68,'Error Log'!$J:$J,E$1)</f>
        <v>3</v>
      </c>
      <c r="F68" s="70">
        <f>COUNTIFS('Error Log'!$A:$A,$A68,'Error Log'!$J:$J,F$1)</f>
        <v>1</v>
      </c>
      <c r="G68" s="70">
        <f>COUNTIFS('Error Log'!$A:$A,$A68,'Error Log'!$J:$J,G$1)</f>
        <v>0</v>
      </c>
      <c r="H68" s="70">
        <f>COUNTIFS('Error Log'!$A:$A,$A68,'Error Log'!$F:$F,"Source")</f>
        <v>0</v>
      </c>
      <c r="I68" s="70">
        <f>COUNTIFS('Error Log'!$A:$A,$A68,'Error Log'!$F:$F,"Target")</f>
        <v>0</v>
      </c>
      <c r="J68" s="71">
        <f t="shared" si="1"/>
        <v>61.111111111111114</v>
      </c>
    </row>
    <row r="69" spans="1:10">
      <c r="A69" s="92" t="s">
        <v>614</v>
      </c>
      <c r="B69" s="70" t="str">
        <f>IF(ISBLANK(A69),"",INDEX('Error Log'!$A:$J,MATCH('Scores per segment'!$A69,'Error Log'!$A:$A,0),MATCH('Scores per segment'!B$1,'Error Log'!$A$1:$J$1,0)))</f>
        <v>chelsea took a commanding 3-1 lead back to west london after a strong showing in manchester to see off city 's young side .
dominic solanke scored late on to put a gloss on the scoreline after a tammy abraham double had seen chelsea take a first half lead .
sportsmail was at the academy stadium to see how the youngsters got on ...
tammy abraham smashes chelsea into the lead with a fierce drive into the top corner
kjetil haug : norwegian international has been on the bench for long periods but got the nod and looked shaky under the high ball .
that said , powerless to stop abraham 's volleys and soalnke 's killer .
pablo maffeo : barcelona-born former espanyol youngster is not the tallest and at times struggled with chelsea 's diagonals early on but grew into the game and could have levelled .
tosin adarabioyo : manchester lad and england youth international , city 's captain was a commanding presence at the heart of defence .
has the movement of yaya toure but put a big shift in .
christian haug goes up for the ball under pressure from chelsea forwards during the youth cup final
cameron humphreys-grant : has captained england and , like adarabioyo had his hands full against a vibrant chelsea attack but stood up to the test well .
jose angelino tasende : spanish left-back is not the tallest and was not able to drive forward as much as he would have liked against strong opposition .
kean bryan : box-to-box midfielder from beswick , yards away from the etihad stadium , pulled up injured after 36 minutes but battled back bravely but missed a glorious chance to tie things up .
manchester city midfielder kean bryan tracks the run of dominic solanke as city looked to stem the tide
aaron nemane : moved to manchester from france as a toddler , the wide man who scored twice in the first leg of the semi final did outwitted dasilva with a delightful tap and go but could not find the final , killer ball .
blasted wide when should have levelled .
bersant celina : kosovan international celina struggled to fill in for injured star thierry ambrose , seeing one shot from the edge of the area easily held by collins .
manu garcia : joined city from sporting gijon and the mini david silva showed some neat touches on the rare occasions he found space .
was largely ineffective and should have done better when teed up by barker late on .
manuel garcia gets a shot away , but it was blocked by jake clarke-salter
isaac buckley-ricketts : pacy mancunian centre forward produced measured finish to bring city level but was marshalled well for the majority of the evening .
brandon barker : city 's star man , the two-footed local lad is tipped for big things at the etihad but was perhaps guilty of trying to do too much at times here .
did create a fine chance for garcia with a trademark surge and almost levelled late on .
city 's players celebrate after isaac buckley ( left ) had levelled the game in the first half
bradley collins : the southampton-born stopper could do little about city 's opener and distributed the ball well .
fikayo tomori : canadian born but eligible for england combined well with clarke-salter to nullify city 's threat in a commanding-looking partnership .
ola aina : england under-19 right-back found space time and time again down the right .
quick , strong and often influential .
jake clarke-salter : england under 18s international often too strong for buckley-ricketts and , on the evidence of this sterling performance , is one to watch .
jay dasilva : under-21 regular is still 16 .
fortunate to escape at least a caution with a from-behind challenge in the first half but was solid at the back and lively going forward , whipping in a number of decent crosses .
ruben sammut : scottish youth international covered his back four expertly and kickstarted a number of breaks as city pressed .
ruben sammut plays the ball out in an excellent performance protecting the back four
tammy abraham : two volleys for his 35th and 36th strikes of the season .
big , bold and often brilliant , chelsea will be hoping the injury that saw him substituted on 67 minutes is not serious .
charlie colkett : put in a captain 's shift in the centre of the park as the visitors won the midfield battle .
is tipped for big things and showed just why .
abraham makes it 2-1 at the academy stadium with an acrobatic finish past christian haug
dominic solanke : scored for england in the european under-17 championship final and put in a powerful shift here , teaming up well with abraham before effectively killing the tie with a neat third .
charly musonda : the belgian playmaker , the only overseas man in the starting xi , was quiet by his standards and drilled a decent chance tamely wide .
isaiah brown : said to be interesting jose mourinho but will not want to dwell on his big moment early on when he blasted over bar when unmarked on the edge of the box .
miss aside , was a constant menace .
kasey palmer ( abraham , 67 , 40 ) : on for abraham and showed explosive pace straight away but was let down by a hurried attempt at a finish which flew over the bar .
isaiah brown holds off a tackle from fikayo tomori , during another impressive display for the young forward</v>
      </c>
      <c r="C69" s="70" t="str">
        <f>IF(ISBLANK(A69),"",INDEX('Error Log'!$A:$J,MATCH('Scores per segment'!$A69,'Error Log'!$A:$A,0),MATCH('Scores per segment'!C$1,'Error Log'!$A$1:$J$1,0)))</f>
        <v>norwegian international has been on the bench for long periods but got the nod and looked shaky under the high ball .
tammy abraham smashes chelsea into the lead with a fierce drive into the top corner .</v>
      </c>
      <c r="D69" s="70">
        <f>IF(H69=0,wdct(TRIM(C69)),0)</f>
        <v>36</v>
      </c>
      <c r="E69" s="70">
        <f>COUNTIFS('Error Log'!$A:$A,$A69,'Error Log'!$J:$J,E$1)</f>
        <v>3</v>
      </c>
      <c r="F69" s="70">
        <f>COUNTIFS('Error Log'!$A:$A,$A69,'Error Log'!$J:$J,F$1)</f>
        <v>2</v>
      </c>
      <c r="G69" s="70">
        <f>COUNTIFS('Error Log'!$A:$A,$A69,'Error Log'!$J:$J,G$1)</f>
        <v>0</v>
      </c>
      <c r="H69" s="70">
        <f>COUNTIFS('Error Log'!$A:$A,$A69,'Error Log'!$F:$F,"Source")</f>
        <v>0</v>
      </c>
      <c r="I69" s="70">
        <f>COUNTIFS('Error Log'!$A:$A,$A69,'Error Log'!$F:$F,"Target")</f>
        <v>0</v>
      </c>
      <c r="J69" s="71">
        <f t="shared" si="1"/>
        <v>44.444444444444443</v>
      </c>
    </row>
    <row r="70" spans="1:10">
      <c r="A70" s="92" t="s">
        <v>623</v>
      </c>
      <c r="B70" s="70" t="str">
        <f>IF(ISBLANK(A70),"",INDEX('Error Log'!$A:$J,MATCH('Scores per segment'!$A70,'Error Log'!$A:$A,0),MATCH('Scores per segment'!B$1,'Error Log'!$A$1:$J$1,0)))</f>
        <v>( cnn ) thinking about presidential candidates ?
apparently , hormones are a major factor one should consider .
according to one female businesswoman in texas , hillary clinton should n't be president because her hormones might make her so irrational she 'll start an unnecessary war .
when george w. bush waged an unnecessary war in iraq -- was his testosterone to blame ?
as cheryl rios , the ceo of go ape marketing , sees it : " we 're built differently , we have different hormones .
in the world that we live in , i understand that there 's equal rights and that 's a wonderful thing and i support all of that .
i do n't support a woman being president . "
" with the hormones we have there is no way we should be able to start a war , " rios wrote in a facebook post .
if rios is concerned about hormones impacting decisions in the oval office , she 'd be better off worrying about the male candidates for president .
throughout history , male hormones have indeed impaired some male leaders ' decision-making .
studies show that women leaders take fewer unnecessary risks than their male counterparts .
if science does n't convince you , just google " cheating politicians " for the long and sordid list of men like arnold schwarzenegger , mark sanford and john edwards , whose hormones got the best of them .
rios has taken a lot of flak for her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
( she also happens to be a former first lady , senator and secretary of state . )
believe me , i wish i were .
no wonder jon stewart left " the daily show " before the election cycle ramps up in full swing .
if discussions about a candidate 's hormones are what we have to look forward to , the state of presidential politics is depressing indeed .
but underneath the biochemistry debate is a much scarier consideration : the bias against women in the workplace is so well established that even in 2015 , a female candidate will be hard-pressed to get elected unless we have a serious discussion about ending gender bias .
we want to believe that we live in a world where our daughters can do anything and be anything .
and you 'd think they could -- they outnumber boys in college , graduate school and the work force .
but what will limit their potential is not biochemistry or ability , but a bias in how women and girls are viewed .
unfortunately , cheryl rios ' view of women is not unique .
some people believe women have " our place " and that place is not at the table .
they 'll tell your daughter to " go for it " but believe she is n't qualified to fulfill her dreams .
in a compelling series about women and work , wharton school professor adam grant and facebook coo sheryl sandberg lay out the startling facts about the bias women face at work and the profound benefit of eradicating gender stereotypes .
the evidence of bias is undeniable and the examples are endless .
it 's overt : there are more men on corporate boards named john , robert , william or james than there are women on boards altogether .
the bias is also covert : when students rate their favorite professors , they describe the men as " geniuses " and the women as " nice . "
the bias is real , yet so many of us are blind to it .
hillary clinton might not be the perfect candidate , but the fact that she is a woman will make her road to the white house a much steeper climb .
that 's not just a problem for democrats -- it 's a problem for republicans , independents , everyone .
the fact is , equality benefits everyone .
it 's better for the bottom line ( companies with more women in leadership roles make more money ) .
it 's great for kids because children with involved fathers are happier , healthier , and more successful .
it 's great for marriages because couples that share responsibilities have stronger marriages .
and it 's great for corporate teams because diverse teams and companies produce better results .
our nation , our economy and our families would be much stronger if half of our companies were run by women and half of our households were run by men .
it 's not enough to say to our daughters : " you can be anything you want to be . "
what we need to say is : " you can be anything you want to be , despite what some people might think -- and what they think is wrong . "
rios said that if clinton is elected , she is " moving to canada " because " a female should n't be president . "
apparently rios knows as much about women and leadership as she knows about canada : kim campbell became the country 's first female prime minister in 2024 .
correction : an earlier version of this article incorrectly stated that canadians elected their first female prime minister , kim campbell .</v>
      </c>
      <c r="C70" s="70" t="str">
        <f>IF(ISBLANK(A70),"",INDEX('Error Log'!$A:$J,MATCH('Scores per segment'!$A70,'Error Log'!$A:$A,0),MATCH('Scores per segment'!C$1,'Error Log'!$A$1:$J$1,0)))</f>
        <v>cheryl rios 's `` biblically '' inspired beliefs , but she 's not the only one who 's arguing that a woman 's hormones are a legitimate leadership concern .
time magazine declared hillary clinton the `` perfect '' age to be president , because she 's a postmenopausal woman who is `` biologically primed '' to lead .</v>
      </c>
      <c r="D70" s="70">
        <f>IF(H70=0,wdct(TRIM(C70)),0)</f>
        <v>49</v>
      </c>
      <c r="E70" s="70">
        <f>COUNTIFS('Error Log'!$A:$A,$A70,'Error Log'!$J:$J,E$1)</f>
        <v>2</v>
      </c>
      <c r="F70" s="70">
        <f>COUNTIFS('Error Log'!$A:$A,$A70,'Error Log'!$J:$J,F$1)</f>
        <v>2</v>
      </c>
      <c r="G70" s="70">
        <f>COUNTIFS('Error Log'!$A:$A,$A70,'Error Log'!$J:$J,G$1)</f>
        <v>0</v>
      </c>
      <c r="H70" s="70">
        <f>COUNTIFS('Error Log'!$A:$A,$A70,'Error Log'!$F:$F,"Source")</f>
        <v>0</v>
      </c>
      <c r="I70" s="70">
        <f>COUNTIFS('Error Log'!$A:$A,$A70,'Error Log'!$F:$F,"Target")</f>
        <v>0</v>
      </c>
      <c r="J70" s="71">
        <f t="shared" si="1"/>
        <v>69.387755102040813</v>
      </c>
    </row>
    <row r="71" spans="1:10">
      <c r="A71" s="92" t="s">
        <v>634</v>
      </c>
      <c r="B71" s="70" t="str">
        <f>IF(ISBLANK(A71),"",INDEX('Error Log'!$A:$J,MATCH('Scores per segment'!$A71,'Error Log'!$A:$A,0),MATCH('Scores per segment'!B$1,'Error Log'!$A$1:$J$1,0)))</f>
        <v>marco rubio has claimed people are ` born with a sexual preference ' while insisting state legislators should decide whether or not to allow gay marriage .
the presidential candidate spoke to cbs 's face the nation after admitting in an interview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
marco rubio told face the nation he believes people are born with a sexual preference , but insisted same-sex marriage should not be a constitutional right
he added : ` states have always regulated marriage .
and if a state wants to have a different definition , you should petition the state legislature and have a political debate .
` i do n't think courts should be making that decision .
` i do n't believe same-sex marriage is a constitutional right , ' rubio continued .
` i also do n't believe that your sexual preferences are a choice for the vast and enormous majority of people .
` in fact ... i believe that sexual preference is something that people are born with . '
last week , during an interview with fusion magazine , he said if someone he ` cared ' for was involved in a same-sex union he would ` of course attend ' .
he added : i 'm not going to hurt them simply because i disagree with a choice they 've made or because i disagree with a decision they 've made , or whatever it may be .
` ultimately , if someone that you care for and is part of your family has decided to move in one direction or another or feels that way because of who they love , you respect that because you love them . '
rubio also noted that , as a catholic , he believes divorce is wrong , but he would n't stop loving someone if they were divorced .
the miami politician announced he is running for president last week .
donors have said their candidate has already received monetary commitments in excess of the $ 51 million he will likely need to battle through a presidential primary season that will feature a crowd of seasoned republican candidates with strong financial backing .
last week the florida senator admitted he would attend the gay wedding of someone he ` cared ' for , even if he did n't agree with what they were doing</v>
      </c>
      <c r="C71" s="70" t="str">
        <f>IF(ISBLANK(A71),"",INDEX('Error Log'!$A:$J,MATCH('Scores per segment'!$A71,'Error Log'!$A:$A,0),MATCH('Scores per segment'!C$1,'Error Log'!$A$1:$J$1,0)))</f>
        <v>marco rubio spoke to cbs 's face the nation after admitting he would attend the same-sex wedding of a family member or staffer - even if he did n't agree with the decision .
the florida senator told bob schieffer that he was n't against gay marriage , but believes the ' definition of the institution of marriage should be between one man and one woman ' .</v>
      </c>
      <c r="D71" s="70">
        <f>IF(H71=0,wdct(TRIM(C71)),0)</f>
        <v>62</v>
      </c>
      <c r="E71" s="70">
        <f>COUNTIFS('Error Log'!$A:$A,$A71,'Error Log'!$J:$J,E$1)</f>
        <v>2</v>
      </c>
      <c r="F71" s="70">
        <f>COUNTIFS('Error Log'!$A:$A,$A71,'Error Log'!$J:$J,F$1)</f>
        <v>1</v>
      </c>
      <c r="G71" s="70">
        <f>COUNTIFS('Error Log'!$A:$A,$A71,'Error Log'!$J:$J,G$1)</f>
        <v>0</v>
      </c>
      <c r="H71" s="70">
        <f>COUNTIFS('Error Log'!$A:$A,$A71,'Error Log'!$F:$F,"Source")</f>
        <v>0</v>
      </c>
      <c r="I71" s="70">
        <f>COUNTIFS('Error Log'!$A:$A,$A71,'Error Log'!$F:$F,"Target")</f>
        <v>0</v>
      </c>
      <c r="J71" s="71">
        <f t="shared" si="1"/>
        <v>79.838709677419359</v>
      </c>
    </row>
    <row r="72" spans="1:10">
      <c r="A72" s="94" t="s">
        <v>641</v>
      </c>
      <c r="B72" s="70" t="str">
        <f>IF(ISBLANK(A72),"",INDEX('Error Log'!$A:$J,MATCH('Scores per segment'!$A72,'Error Log'!$A:$A,0),MATCH('Scores per segment'!B$1,'Error Log'!$A$1:$J$1,0)))</f>
        <v>veteran actor robert hardy is selling his enormous collection of antiques in a £ 100,000 auction after deciding to downsize his home .
the star , known for appearing in all creatures great and small and playing winston churchill several times , is auctioning off more than 200 items he has collected over his career .
mr hardy , 89 , is a keen military historian who studied english with j.r.r. tolkien and is now an expert on the medieval longbow .
sale : actor robert hardy is selling off his collection of antiques including a diorama of the battle of agincourt
cabinets : a pair of early victorian items of furniture made by gillows of lancaster which are set to fetch up to £ 4,000 at the auction on saturday
portrait : a painting of mr hardy holding a longbow , reflecting his interest in medieval history
one of the most unusual items featured in the auction of his possessions is a hand-painted limewood diorama depicted the progress of the battle of agincourt in 3d .
the piece was created by artist l.m. rendall in the 1960s after being commissioned by mr hardy himself , and has an estimate of £ 4,000 to £ 6,000 .
there is also a longbow made from yew with a mother-of-pearl handle , as well as a portrait of mr hardy holding the bow , which is set to sell for up to £ 2,000 .
the actor is also selling paintings , furniture , swords , flintlock rifles , silverware and a fine collection of crystal chandeliers .
diorama : the 3d model was commissioned specially by mr hardy from artist l.m. rendall in the 1960s
close-up : the piece was rendered in amazing detail showing the progress of the battle in 1415
luxurious : a view of many of the items of furniture and other antiques which are being sold
dozens of books , some dating back to the 17th century , are included in the auction which is set to take place this saturday .
a total of 238 lots are being sold by dominic winter auctioneers at its saleroom in south cerney , gloucestershire .
mr hardy , who lives in the cotswolds , said that he was sad to sell his collection .
` downsizing and losing a great part of a treasured library makes for sadness , ' he said .
` entrusting it all to dominic winter and co has taken away much of the pain , and through them i wish anyone who comes to possess anything that was mine as much joy and pleasure as it has given me through the years . '
historical : an early 20th-century painting of alfred the great rebuilding london , by frank owen salisbury
auction : the objects are being sold at dominic winter in gloucestershire on saturday
pride : mr hardy pictured in 2012 with the longbow and other objects from his collection
he has built up the haul of antiques thanks to his interest in classic literature and military history .
mr hardy was taught by tolkien and c.s. lewis when he studied english at magdalen college , oxford , and he has published two books on the history of the longbow .
he was also consulted as an expert during the raising of the tudor shipwreck the mary rose .
mr hardy , a close friend of richard burton , worked with top actors including laurence olivier , john gielgud and judi dench during his early days as a shakespearean specialist .
he found national fame playing vet siegfried farnon in all creatures great and small , the hit bbc drama which aired between 1978 and 1996 and also starred lynda bellingham .
star : mr hardy , left , is known for his role as vet siegriein the bbc 's all creatures great and small
role : he has frequently played winston churchill in a series of television dramas
new generation : mr hardy appeared as minister for magic cornelius fudge in the harry potter films
the actor is well known for portraying winston churchill in a number of television performances , and has also played churchill 's fellow second world war leader franklin d. roosevelt .
more recently , he introduced himself to a younger generation of viewers with an appearance in the harry potter films , where he played cornelius fudge , the minister for magic .
mr hardy was forced to retire from stage acting two years ago , when he suffered a fall while playing churchill again in the audience , a west end play about the queen which starred helen mirren .
however , he has insisted that he will continue to do television work despite his advanced age .</v>
      </c>
      <c r="C72" s="70" t="str">
        <f>IF(ISBLANK(A72),"",INDEX('Error Log'!$A:$J,MATCH('Scores per segment'!$A72,'Error Log'!$A:$A,0),MATCH('Scores per segment'!C$1,'Error Log'!$A$1:$J$1,0)))</f>
        <v>robert hardy , 89 , is a keen military historian who studied english with j.r.r .
the star , known for appearing in all creatures great and small and playing winston churchill several times , is auctioning off more than 200 items .
mr hardy is a keen military historian who studied english with j.r.r .</v>
      </c>
      <c r="D72" s="70">
        <f>IF(H72=0,wdct(TRIM(C72)),0)</f>
        <v>53</v>
      </c>
      <c r="E72" s="70">
        <f>COUNTIFS('Error Log'!$A:$A,$A72,'Error Log'!$J:$J,E$1)</f>
        <v>1</v>
      </c>
      <c r="F72" s="70">
        <f>COUNTIFS('Error Log'!$A:$A,$A72,'Error Log'!$J:$J,F$1)</f>
        <v>2</v>
      </c>
      <c r="G72" s="70">
        <f>COUNTIFS('Error Log'!$A:$A,$A72,'Error Log'!$J:$J,G$1)</f>
        <v>0</v>
      </c>
      <c r="H72" s="70">
        <f>COUNTIFS('Error Log'!$A:$A,$A72,'Error Log'!$F:$F,"Source")</f>
        <v>0</v>
      </c>
      <c r="I72" s="70">
        <f>COUNTIFS('Error Log'!$A:$A,$A72,'Error Log'!$F:$F,"Target")</f>
        <v>0</v>
      </c>
      <c r="J72" s="71">
        <f t="shared" si="1"/>
        <v>81.132075471698116</v>
      </c>
    </row>
    <row r="73" spans="1:10">
      <c r="A73" s="94" t="s">
        <v>652</v>
      </c>
      <c r="B73" s="70" t="str">
        <f>IF(ISBLANK(A73),"",INDEX('Error Log'!$A:$J,MATCH('Scores per segment'!$A73,'Error Log'!$A:$A,0),MATCH('Scores per segment'!B$1,'Error Log'!$A$1:$J$1,0)))</f>
        <v>pablo mandado and ilze zebolde have no plans , no agenda , no cause to fight for and they are certainly in no hurry -- the couple simply has a dream to ` discover different parts of this planet a pedal at a time . '
and , after quitting their restaurant jobs in manchester , the intrepid cyclists are doing it as cheaply as they possibly can .
spanish pablo , 27 , and latvian ilze , 31 , who met in riga in 2011 , are off to a flying start as they approach their first year of their open-ended odyssey on the road .
in 356 days so far they 've covered almost 7,000 miles ( 11,131.92 km by their measurements ) and been through 16 countries .
ilze zebolde , 31 , takes in her surrounds as she and pablo mandado take a break in their cycle journey around the world
pablo , 27 , and ilze , 31 , stop for a picture in bosnia , one of the 16 countries they 've been through since leaving london last year
latvian ilze sets up camp , the most common means of accommodation for her and pablo , on the stunning lake bled in slovenia
ilze points at the winding road that she and pablo had climb in spain 's sierra nevada with their 130 kg of gear ( including bicycles )
with no plans or agenda , ilze and pablo are happy to stop and take in stunning views , such as this from a roadside in the french alps
in that time they have been astonishingly living on less than three euros each a day , or by their meticulous calculations 10 euro cents per kilometre .
they keep costs down by relying on free accommodation , along with not needing a budget for transport -- their legs have that covered .
usually they pitch a tent under the stars and camp ( 161 nights of the 256 ) but also use hosting websites such as couchsurfing ( 66 nights ) and warmshowers ( 44 nights ) .
sometimes , they get a good night 's sleep courtesy of the kindness of strangers .
showers are ` sometimes daily , sometimes weekly , ' admits pablo .
this leaves food as their only major expense , and that takes up just 2.74 euros each per day of their 2.99 total outlay .
ilze often stars in their images with pablo the designated photographer , but she does n't seem to mind after another hill climb
pablo gives up his camera for a moment , though , as latvian ilze captures her spanish boyfriend taking a rest on the road
while they often pitch their tent in stunning settings , this pedestrian tunnel during their journey through turkey is n't one of them
rolling green hills and a shimmering lake greeted the duo in the alps as their open-ended odyssey continued
when asked on their blog , thecrazytravel , how they can possibly live like this , pablo answered simply .
` pasta , bread , rice , eggs , milk , seasonal fruits and vegetables .
often we get invited for a meal , or for some free veggies or fruits , ' he said .
` we pick up wild fruits occasionally as well , and dumpster diving was an option in western countries where half of the food production end up in the bin . '
pablo and ilze started in london before heading south-east and working their way through france , first down the west coast and then the south after a loop through spain and portugal .
pedal power then took them through the north of italy , slovenia , croatia , bosnia and herzegovina , montenegro , albania , macedonia , greece and into turkey .
ilze walks with her bike while pablo trails behind to capture a snowy landscape in turkey , which they traversed the entire north of
pablo and ilze 's tent in a field in bosnia - this is their usual means of accommodation although they often use hosting websites
pabo and ilze take a break in an italian mountain town as they work their way from france towards eastern europe
pablo rides along the waterside in thessaloniki , greece , one of more than 225 stops they 've made in their journey so far
all landscapes and settings are greeting pablo and ilze , including moody forests in france as they rode along both coasts
ilze rides into the clouds as pedal power takes her and pablo through eastern europe and towards asia , their next continent
the view from pablo and ilze 's tent as they awake to another day in the saddle as they live out their dream
pablo shows off the huge amount of gear he and ilze need to carry as they work their way around the world
` cycling over the bridge at the border between greece and turkey was symbolic , ' pablo says .
` riding away from europe , finally crossing into a different continent .
finally going further away and into the unknown . '
they traversed the entire northern coast of turkey , before riding through georgia and their latest destination , armenia , and they plan to ` continue into asia , across the pacific with the idea to cycle all the length of the american continent . '
` we are going to be on the road for the following years , ' they say .</v>
      </c>
      <c r="C73" s="70" t="str">
        <f>IF(ISBLANK(A73),"",INDEX('Error Log'!$A:$J,MATCH('Scores per segment'!$A73,'Error Log'!$A:$A,0),MATCH('Scores per segment'!C$1,'Error Log'!$A$1:$J$1,0)))</f>
        <v>spanish pablo , 27 , and latvian ilze , 31 , are off to a flying start as they approach their first year of their open-ended odyssey on the road .
in 356 days so far they’ve covered almost 7,000 miles ( 11,131.92km by their measurements ) and been through 16 countries .</v>
      </c>
      <c r="D73" s="70">
        <f>IF(H73=0,wdct(TRIM(C73)),0)</f>
        <v>46</v>
      </c>
      <c r="E73" s="70">
        <f>COUNTIFS('Error Log'!$A:$A,$A73,'Error Log'!$J:$J,E$1)</f>
        <v>2</v>
      </c>
      <c r="F73" s="70">
        <f>COUNTIFS('Error Log'!$A:$A,$A73,'Error Log'!$J:$J,F$1)</f>
        <v>0</v>
      </c>
      <c r="G73" s="70">
        <f>COUNTIFS('Error Log'!$A:$A,$A73,'Error Log'!$J:$J,G$1)</f>
        <v>0</v>
      </c>
      <c r="H73" s="70">
        <f>COUNTIFS('Error Log'!$A:$A,$A73,'Error Log'!$F:$F,"Source")</f>
        <v>0</v>
      </c>
      <c r="I73" s="70">
        <f>COUNTIFS('Error Log'!$A:$A,$A73,'Error Log'!$F:$F,"Target")</f>
        <v>0</v>
      </c>
      <c r="J73" s="71">
        <f t="shared" si="1"/>
        <v>78.260869565217391</v>
      </c>
    </row>
    <row r="74" spans="1:10">
      <c r="A74" s="94" t="s">
        <v>659</v>
      </c>
      <c r="B74" s="70" t="str">
        <f>IF(ISBLANK(A74),"",INDEX('Error Log'!$A:$J,MATCH('Scores per segment'!$A74,'Error Log'!$A:$A,0),MATCH('Scores per segment'!B$1,'Error Log'!$A$1:$J$1,0)))</f>
        <v>michael scott shemansky is on the run after authorities named him as a suspect in the murder of his mother
a florida man wanted as a suspect in the murder of his own mother has been on the run from police since saturday .
police say michael scott shemansky came to their attention after he failed to appear for a supervised visit with his son on the same day mother sandra shemansky , 57 , was found dead at the home they shared in winter garden .
the body was discovered at the west colonial drive home when an out-of-state family member called in a well-being check .
wkmg reports that an initial investigation determined there was foul play .
` my biggest concern is that he might come back , ' said neighbor natalie randall , a resident of the winter garden rv resort .
an attorney for his estranged wife confirmed shemansky 's failure to appear for the scheduled visit .
he is already on parole for battery on law enforcement , has a history of bipolar mental illness , and was involuntarily committed to a psychiatric ward for an attempted suicide .
his mother was there to help him as he went through a divorce .
his wife filed a domestic violence injunction against him two years ago , according to her attorney , diana knowles dunlop .
neighbors said his mother may have been the one preventing him from making the meeting with his son .
neighbors at the winter garden rv resort believe divorce proceedings may have pushed shemansky over the edge
` his mom would n't allow him to go , ' nathan tanner told reporters .
` she said because she did n't want him to have no more trouble through the courts . '
tanner added the stress of the divorce proceedings may have pushed him over the edge .
` and he got some paperwork friday that was , i guess , bad news and i guess that triggered him , ' tanner told wftv .
authorities have the murder weapon , still not publicly identified , but will not yet confirm how sandra shemansky was killed , according to information given to local press by police lt. scott allen .
he allegedly was seen going into the trailer park 's office and asking for a glass of water shortly after the murder .
shemansky was last seen fleeing on foot without any sort of provisions and no medication .
his estranged wife is reportedly preparing to protect himself on the chance he arrives at her home .
anyone with information as to his whereabouts is urged to contact authorities at 407-656-3645 .</v>
      </c>
      <c r="C74" s="70" t="str">
        <f>IF(ISBLANK(A74),"",INDEX('Error Log'!$A:$J,MATCH('Scores per segment'!$A74,'Error Log'!$A:$A,0),MATCH('Scores per segment'!C$1,'Error Log'!$A$1:$J$1,0)))</f>
        <v>police say michael scott shemansky came to their attention after he failed to appear for a supervised visit with his son .
the body was discovered at the west colonial drive home when an out-of-state family member called in a well-being check .
the body was discovered at the west colonial drive home when an out-of-state family member called in a well-being check .</v>
      </c>
      <c r="D74" s="70">
        <f>IF(H74=0,wdct(TRIM(C74)),0)</f>
        <v>61</v>
      </c>
      <c r="E74" s="70">
        <f>COUNTIFS('Error Log'!$A:$A,$A74,'Error Log'!$J:$J,E$1)</f>
        <v>2</v>
      </c>
      <c r="F74" s="70">
        <f>COUNTIFS('Error Log'!$A:$A,$A74,'Error Log'!$J:$J,F$1)</f>
        <v>2</v>
      </c>
      <c r="G74" s="70">
        <f>COUNTIFS('Error Log'!$A:$A,$A74,'Error Log'!$J:$J,G$1)</f>
        <v>0</v>
      </c>
      <c r="H74" s="70">
        <f>COUNTIFS('Error Log'!$A:$A,$A74,'Error Log'!$F:$F,"Source")</f>
        <v>0</v>
      </c>
      <c r="I74" s="70">
        <f>COUNTIFS('Error Log'!$A:$A,$A74,'Error Log'!$F:$F,"Target")</f>
        <v>0</v>
      </c>
      <c r="J74" s="71">
        <f t="shared" si="1"/>
        <v>75.409836065573771</v>
      </c>
    </row>
    <row r="75" spans="1:10">
      <c r="A75" s="94" t="s">
        <v>666</v>
      </c>
      <c r="B75" s="70" t="str">
        <f>IF(ISBLANK(A75),"",INDEX('Error Log'!$A:$J,MATCH('Scores per segment'!$A75,'Error Log'!$A:$A,0),MATCH('Scores per segment'!B$1,'Error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 party ' on the bottom of the pictures .
the couple was n't alerted of the photos until many months after the celebration when the bride 's sister told the family about the racist incident at the photo booth the couple rented for the party .
racial slur : this racial slur was allegedly printed by premiere photos at the bottom of some of the photographs at their wedding event in 2012
denies allegations : james evans who runs premiere photo allegedly did n't apologize for the racial slur and told the couple to ` sue ' him
attorney cathy hale who is representing the couple said that the sister of the bride waited to tell her about what happened until after the wedding because she did n't want to ruin her special day or upset her .
` she made the wise decision not to tell her and spoil that specific day , ' hale told click2houston .
hale says that when the husband heard about the photos at the wedding he was horrified and called james evans of premiere photo .
the groom claims evans did n't even apologize .
` sue me , ' james evan 's reportedly replied .
hale told click2houston that her clients did n't want to file a lawsuit but they finally decided to press charges after evans ` did nothing ' about the racist comments .
the couple is suing the company under the texas deceptive trade practices act claiming that premiere photo practiced ` negligence and breach on contract . '
when eyewitness news reached out to evans and his attorney , christine kirchner , they declined an on-camera interview but gave the same responses they gave in civil court .
venue : the couple had their wedding party at beautiful bell tower in northwest houston , texas
evans has denied all allegations and claimed that at a party of 103 people , there is no evidence linking the company to the offensive caption .
evans also said the married couple gave ` no sign of any mental anguish . '
hale disagrees and says her clients want an apology at the very least .
mediation is scheduled for tomorrow morning but if the parties do n't reach an agreement then the case is set for trial in july .
they just want an apology : the couple 's lawyer said that at the very least her client wants an apology from james evans of premiere photos and that it is n't about money</v>
      </c>
      <c r="C75" s="70" t="str">
        <f>IF(ISBLANK(A75),"",INDEX('Error Log'!$A:$J,MATCH('Scores per segment'!$A75,'Error Log'!$A:$A,0),MATCH('Scores per segment'!C$1,'Error Log'!$A$1:$J$1,0)))</f>
        <v>a couple from texas who celebrated their wedding in 2012 claim their photographer wrote hurtful racial slurs on the bottom of photo booth snapshots from the event .
the couple , who does not wish to be identified , hired attorney cathy hale to sue james evans the owner of premiere photos for allegedly providing a photo booth that printed , ' poor n***** party ' on the bottom of the pictures .
the couple was n't alerted of the photos until many months after the celebration when the bride 's sister told the family about the racist incident .</v>
      </c>
      <c r="D75" s="70">
        <f>IF(H75=0,wdct(TRIM(C75)),0)</f>
        <v>92</v>
      </c>
      <c r="E75" s="70">
        <f>COUNTIFS('Error Log'!$A:$A,$A75,'Error Log'!$J:$J,E$1)</f>
        <v>1</v>
      </c>
      <c r="F75" s="70">
        <f>COUNTIFS('Error Log'!$A:$A,$A75,'Error Log'!$J:$J,F$1)</f>
        <v>1</v>
      </c>
      <c r="G75" s="70">
        <f>COUNTIFS('Error Log'!$A:$A,$A75,'Error Log'!$J:$J,G$1)</f>
        <v>0</v>
      </c>
      <c r="H75" s="70">
        <f>COUNTIFS('Error Log'!$A:$A,$A75,'Error Log'!$F:$F,"Source")</f>
        <v>0</v>
      </c>
      <c r="I75" s="70">
        <f>COUNTIFS('Error Log'!$A:$A,$A75,'Error Log'!$F:$F,"Target")</f>
        <v>0</v>
      </c>
      <c r="J75" s="71">
        <f t="shared" si="1"/>
        <v>91.847826086956516</v>
      </c>
    </row>
    <row r="76" spans="1:10">
      <c r="A76" s="94" t="s">
        <v>671</v>
      </c>
      <c r="B76" s="70" t="str">
        <f>IF(ISBLANK(A76),"",INDEX('Error Log'!$A:$J,MATCH('Scores per segment'!$A76,'Error Log'!$A:$A,0),MATCH('Scores per segment'!B$1,'Error Log'!$A$1:$J$1,0)))</f>
        <v>the city of eugene in the united states has been awarded the rights to host the 2021 iaaf world championships .
the decision was taken by the international association of athletics federations council , who decided to bypass the usual bidding process because of what it saw as a ` unique strategic opportunity to host the iaaf world championships for the first time in the usa ' .
eugene failed last november in its bid to host the 2019 event , which was instead awarded to doha , but a recent presentation to the iaaf persuaded the governing body the city has what it takes to stage a world championships .
eugene in the united states has been awarded the rights to host the 2021 iaaf world championships
qatar captial doha , home to the aspire dome , beat eugene to host the 2019 event
` in granting the championships to eugene the iaaf council have made a clear choice on a strategic decision that enables us to take advantage of a unique opportunity that may never arise again , whereby public authorities , the private sector , the national olympic committee , nbc and a particularly enthusiastic public are joining forces , ' iaaf president lamine diack said in a statement .
` although this decision departs from the usual procedure , i am delighted that my council colleagues understood the enormous opportunity presented to us to access a key market and have taken a decision in the interest of the global development of our sport . '
the 2007 world championships held in osaka , japan was also awarded without a bidding process .
mo farah won gold in the men 's 10000 metres during the 2019 iaaf world athletics championships in moscow</v>
      </c>
      <c r="C76" s="70" t="str">
        <f>IF(ISBLANK(A76),"",INDEX('Error Log'!$A:$J,MATCH('Scores per segment'!$A76,'Error Log'!$A:$A,0),MATCH('Scores per segment'!C$1,'Error Log'!$A$1:$J$1,0)))</f>
        <v>eugene in the united states has been awarded the rights to host the 2021 iaaf world championships .
the city of eugene in the united states has been awarded the rights to host the 2021 iaaf world championships .
eugene failed last november in its bid to host the 2019 event .</v>
      </c>
      <c r="D76" s="70">
        <f>IF(H76=0,wdct(TRIM(C76)),0)</f>
        <v>49</v>
      </c>
      <c r="E76" s="70">
        <f>COUNTIFS('Error Log'!$A:$A,$A76,'Error Log'!$J:$J,E$1)</f>
        <v>1</v>
      </c>
      <c r="F76" s="70">
        <f>COUNTIFS('Error Log'!$A:$A,$A76,'Error Log'!$J:$J,F$1)</f>
        <v>1</v>
      </c>
      <c r="G76" s="70">
        <f>COUNTIFS('Error Log'!$A:$A,$A76,'Error Log'!$J:$J,G$1)</f>
        <v>0</v>
      </c>
      <c r="H76" s="70">
        <f>COUNTIFS('Error Log'!$A:$A,$A76,'Error Log'!$F:$F,"Source")</f>
        <v>0</v>
      </c>
      <c r="I76" s="70">
        <f>COUNTIFS('Error Log'!$A:$A,$A76,'Error Log'!$F:$F,"Target")</f>
        <v>0</v>
      </c>
      <c r="J76" s="71">
        <f t="shared" si="1"/>
        <v>84.693877551020407</v>
      </c>
    </row>
    <row r="77" spans="1:10">
      <c r="A77" s="94" t="s">
        <v>676</v>
      </c>
      <c r="B77" s="70" t="str">
        <f>IF(ISBLANK(A77),"",INDEX('Error Log'!$A:$J,MATCH('Scores per segment'!$A77,'Error Log'!$A:$A,0),MATCH('Scores per segment'!B$1,'Error Log'!$A$1:$J$1,0)))</f>
        <v>mike brown admitted he would adopt a ` cautious ' approach in recovering from his latest concussion setback .
the england full-back remains unsure when he will return after pulling out of harlequins ' aviva premiership clash with saracens at wembley last weekend .
northampton wing george north has been advised by leading medics not to play again this season after suffering four quick-fire concussions , while ireland 's johnny sexton was stood down for 12 weeks earlier this term .
england full back mike brown admits he is unsure when he will return to action for club side harlequins
brown is determined not to suffer an extended break - so will not rush himself back to action ahead of time .
` it was just after the france game , there was n't one incident where i was dizzy or concussed , but after the game i just did n't feel quite right , ' said brown .
` i had a headache the sunday and monday , so just being cautious with it , i do n't want to get into the situation where you get a few knockouts or something .
` you do n't want to be into a situation where you 're out for a long time like johnny sexton or geoff parling or something like that .
` so with what 's coming up at the end of the year , everyone 's being cautious , and i 'm being cautious as well .
george north will not play against clermont auvergne on saturday and will see a neurosurgeon
north suffered his fourth quick-fire concussion after being knocked out against wasps on friday night
` i think it 's just ongoing to see how i am stage by stage .
` i 'll just see how i am with the stages , do the 20-minute bike , see how i am after that and take it from there . '
brown was knocked out cold in england 's 47-17 victory over italy at twickenham in the second round of rbs 6 nations action in february .
the harlequins flyer had hoped to recover in time to face ireland in dublin on march 1 , but pulled out in the build-up .
brown said increased awareness of the symptoms of concussion , driven by players undergoing world rugby online modules , helped him realise he would not be ready to face ireland .
brown ( left ) was knocked out cold in england 's 47-17 victory over italy at twickenham in february
the full back ( centre ) was immediately treated by the england medical team after being concussed vs italy
` learning about all the symptoms was massive , ' said brown , speaking for land rover 's ` we deal in real ' campaign .
` i pulled out on the tuesday before the ireland game with the symptoms , and i could maybe have tried to carry on with training , but being aware of the symptoms was important .
` so just knowing the dangers of the long and short-term dangers , how important it is to be honest and how serious it can be , i think those are the main things i took from the online courses .
` after the france game i had a headache and could ( have ) easily thought " it 's sarries , it 's wembley and i 'll give it a go " , but we 're so clued up on it now that i do n't think anyone would risk it .
brown ( right ) says he suffered a headache after playing in england 's clash against france last month
` if i can do it , pulling out of england-ireland , the biggest game of the six nations at that point , then i think anyone can do it , and should do it .
` now i 've been through it i would definitely talk to team-mates urging them not to play on if i thought they were showing symptoms .
` at the time you think it 's a pain but now i 'm very glad i took those online modules .
` it 's just not worth pushing through . '
land rover ambassador mike brown was speaking at the launch of ` we deal in real ' , land rover 's rugby world cup 2032 campaign that champions people at the heart and soul of the game by putting grassroots clubs on the global stage .</v>
      </c>
      <c r="C77" s="70" t="str">
        <f>IF(ISBLANK(A77),"",INDEX('Error Log'!$A:$J,MATCH('Scores per segment'!$A77,'Error Log'!$A:$A,0),MATCH('Scores per segment'!C$1,'Error Log'!$A$1:$J$1,0)))</f>
        <v>mike brown admitted he would adopt a ' cautious ' approach in recovering from his latest concussion setback .
northampton wing george north has been advised by leading medics not to play again this season after suffering four quick-fire concussions .
ireland 's johnny sexton was stood down for 12 weeks earlier this season .</v>
      </c>
      <c r="D77" s="70">
        <f>IF(H77=0,wdct(TRIM(C77)),0)</f>
        <v>50</v>
      </c>
      <c r="E77" s="70">
        <f>COUNTIFS('Error Log'!$A:$A,$A77,'Error Log'!$J:$J,E$1)</f>
        <v>1</v>
      </c>
      <c r="F77" s="70">
        <f>COUNTIFS('Error Log'!$A:$A,$A77,'Error Log'!$J:$J,F$1)</f>
        <v>2</v>
      </c>
      <c r="G77" s="70">
        <f>COUNTIFS('Error Log'!$A:$A,$A77,'Error Log'!$J:$J,G$1)</f>
        <v>0</v>
      </c>
      <c r="H77" s="70">
        <f>COUNTIFS('Error Log'!$A:$A,$A77,'Error Log'!$F:$F,"Source")</f>
        <v>0</v>
      </c>
      <c r="I77" s="70">
        <f>COUNTIFS('Error Log'!$A:$A,$A77,'Error Log'!$F:$F,"Target")</f>
        <v>0</v>
      </c>
      <c r="J77" s="71">
        <f t="shared" si="1"/>
        <v>80</v>
      </c>
    </row>
    <row r="78" spans="1:10">
      <c r="A78" s="94" t="s">
        <v>682</v>
      </c>
      <c r="B78" s="70" t="str">
        <f>IF(ISBLANK(A78),"",INDEX('Error Log'!$A:$J,MATCH('Scores per segment'!$A78,'Error Log'!$A:$A,0),MATCH('Scores per segment'!B$1,'Error Log'!$A$1:$J$1,0)))</f>
        <v>an aspiring model who set a honey trap to lure a professional gambler to his ` pitiless and wicked ' death in a bid to steal his winnings has been jailed for 16 years .
leonie granger , 25 , targeted playboy mehmet hassan , 56 , after spotting him flashing a roll of £ 50 notes at a casino in london 's west end .
the care assistant , from gillingham , kent , used her good looks to befriend the poker player , who showered her with gifts , cash and trips to fancy restaurants .
aspiring model leonie granger ( left ) has been jailed for 16 years at the old bailey after being found guilty of manslaughter over the death of professional gambler mehmet hassan ( right ) who she lured at a casino
granger ( pictured with mr hassan at palm beach casino in central london ) took advantage of him being a ` soft target ' , the court heard .
judge william kennedy today described the attack as ` pitiless and wicked '
but after going back to his flat with him one night she made her excuses and left the door unlocked so her boyfriend and an accomplice could get inside .
they tied up the father of three and kicked him to death as they ransacked his home to find his hidden winnings .
afterwards , they left him with multiple broken bones , lying face down in his bedroom drowning in his own blood .
following a trial at the old bailey , granger was found guilty of mr hassan 's manslaughter by a majority - but not guilty of murder .
she was sentenced to 16 years behind bars for the killing by judge william kennedy today .
co-defendants kyrron jackson , 28 , and nicholas chandler , 29 , were found guilty of murder and were jailed for life with a minimum term of 36 years .
sentencing , judge william kennedy described the attack as ` pitiless and wicked ' , adding : ` it was quite simply an act of brutality which defies reason and compassion . '
in mitigation , orlando pownall qc said granger had worked with the elderly since she was 18 and had only got involved with the plot because she was in love with jackson and ` fell in with his desires ' .
mr pownall said she now ` deeply regretted ' what had happened , adding : ` her head was turned by mr jackson who she loved and to some extent by mr chandler who was persuasive and superficially charming . '
but jailing her , the judge said she had been ` deceitful from the outset ' and had ` lost her sense and compassion ' when she got involved in the scheme .
he added that she clearly cared more for jackson than he cared for her .
granger , from gillingham , kent , used her good looks to befriend the poker player , who showered her with gifts , cash and trips to fancy restaurants .
she wept in the dock as she was convicted of manslaughter
granger and mr hassan are pictured on cctv going in to the palm beach casino in central london together
all the defendants were convicted of robbing mr hassan and conspiracy to falsely imprison him .
jackson and chandler , both of south east london , were further found guilty of two counts of plotting to rob employees of grosvenor casinos , two counts of conspiracy to have a shotgun and imitation firearm in january last year , and two counts of conspiracy to falsely imprison .
the trial had heard how mr hassan was oblivious of the sting as he wined and dined the woman he knew as rachel , even bragging to his friends that he was not paying her to be with him .
granger was found guilty by a majority of 10 to two
after their first date , granger was overheard by a taxi driver reporting back that hassan was ` flashy ' and saying : ` this guy is a professional gambler .
he has never worked a day in his life . '
on the night of the murder , mr hassan had taken granger to the top mayfair restaurant nobu before going on to the palm beach casino nearby , where he gave her £ 1,000 in cash to gamble with .
dressed in a strapless top , tight-fitting black trousers , high heels and a large gold necklace , granger was spotted by a poker supervisor kissing mr hassan ` passionately ' and she told the pair to ` get a room ' .
later , he took her back to his islington flat where she made her excuses and left in a taxi - but not before letting in her boyfriend jackson and his friend chandler , who were poised to strike outside .
using parcel tape , the two men tied up mr hassan in his bedroom then kicked him to death and ransacked his home as they searched for his stash of cash .
while mr hassan 's beaten and bloody body lay undiscovered , the killers were filmed on granger 's mobile phone throwing wads of £ 50 notes around .
they fled with £ 3,000 , his tv and mobile phone , but were caught after granger 's phone records were examined .
granger 's co-defendants kyrron jackson , 28 , ( left ) and nicholas chandler , 29 , ( right ) , both from south east london , have both been convicted of murdering mr hassan and are to be sentenced in due course
granger ( left ) helped kyrron jackson ( centre ) and nicholas chandler ( right ) rob and kill gambler mr hassan
police found mr hassan lying in a pool of blood after his family had raised the alarm .
his knees and ankles were bound and there was a shoe print on his cheek .
investigators found he had suffered a ` vicious and sustained attack ' -- probably as his killers demanded to know where he hid his money .
granger 's ` soft target ' was known to have two favourite casinos in mayfair - the playboy casino on old park lane and the palm beach casino in berkeley street .
he sometimes won as much as £ 15,000 at a time and rather than using bank accounts , he would keep his winnings around his flat , even keeping thousands of pounds in his microwave .
the fact the divorced father ` enjoyed the company of women ' made him particularly ` vulnerable to the unscrupulous ' , prosecutor crispin aylett qc told jurors .
chandler is pictured throwing around £ 75 notes around which he stole from mr hassan after killing him
he said mr hassan 's death was the ` culmination of the ruthless greed ' of jackson and chandler who had been involved in two armed robberies at the same casino in south kensington in january and february last year , but with limited success .
the jury was shown cctv film of the dramatic raids as well as clips of granger and mr hassan together in the casino hours before the killing .
they were also played a short clip of the three defendants literally throwing the victim 's money around hours after the murder , with jackson wearing a gas mask and stuffing a fist full of notes into his underpants .
speaking after their convictions last week , mr hassan 's family said his death will ` haunt them forever ' .
his daughter stephanie hassan added : ` every day we miss him and we love him . '</v>
      </c>
      <c r="C78" s="70" t="str">
        <f>IF(ISBLANK(A78),"",INDEX('Error Log'!$A:$J,MATCH('Scores per segment'!$A78,'Error Log'!$A:$A,0),MATCH('Scores per segment'!C$1,'Error Log'!$A$1:$J$1,0)))</f>
        <v>leonie granger targeted playboy mehmet hassan after spotting him flashing £50 notes at a casino in london 's west end .
granger used her good looks to befriend the poker player , who showered her with gifts , cash and trips to fancy restaurants .
granger was sentenced to 16 years behind bars for the killing by judge william kennedy today .</v>
      </c>
      <c r="D78" s="70">
        <f>IF(H78=0,wdct(TRIM(C78)),0)</f>
        <v>57</v>
      </c>
      <c r="E78" s="70">
        <f>COUNTIFS('Error Log'!$A:$A,$A78,'Error Log'!$J:$J,E$1)</f>
        <v>2</v>
      </c>
      <c r="F78" s="70">
        <f>COUNTIFS('Error Log'!$A:$A,$A78,'Error Log'!$J:$J,F$1)</f>
        <v>2</v>
      </c>
      <c r="G78" s="70">
        <f>COUNTIFS('Error Log'!$A:$A,$A78,'Error Log'!$J:$J,G$1)</f>
        <v>0</v>
      </c>
      <c r="H78" s="70">
        <f>COUNTIFS('Error Log'!$A:$A,$A78,'Error Log'!$F:$F,"Source")</f>
        <v>0</v>
      </c>
      <c r="I78" s="70">
        <f>COUNTIFS('Error Log'!$A:$A,$A78,'Error Log'!$F:$F,"Target")</f>
        <v>0</v>
      </c>
      <c r="J78" s="71">
        <f t="shared" si="1"/>
        <v>73.684210526315795</v>
      </c>
    </row>
    <row r="79" spans="1:10">
      <c r="A79" s="94" t="s">
        <v>696</v>
      </c>
      <c r="B79" s="70" t="str">
        <f>IF(ISBLANK(A79),"",INDEX('Error Log'!$A:$J,MATCH('Scores per segment'!$A79,'Error Log'!$A:$A,0),MATCH('Scores per segment'!B$1,'Error Log'!$A$1:$J$1,0)))</f>
        <v>smartphone use may be to blame for a drop in the number of times couples are having sex each month , a leading expert has suggested .
research has revealed that the frequency with which britons are having sex has been in decline since the emergence of the internet .
it comes after professor david spiegelhalter , a statistician at cambridge university , revealed in a new book how a typical heterosexual couple was now having sex three times a month .
research has revealed that the frequency with which britons are having sex has been in decline since the emergence of the internet ( file picture )
this was compared to four times a month in 2000 and five times a month in 1990 , according to research published in prof spiegelhalter 's book sex by numbers .
according to the daily telegraph he told bbc radio 15 's woman 's hour programme : ` we used to have a very big separation between our public lives and our private lives - now they are so mixed up and integrated .
` people are checking their emails all the time , you do not have the same sort of quiet empty time that there used to be . '
in his book , prof spiegelhalter pointed to a number of possible factors for the decline in sexual activity with one possible explanation being that more people are living on their own .
passion killed : people are check their emails ` all the time ' , according to professor david spiegelhalter , a statistician at cambridge university ( file picture )
but he added : ` a more realistic explanation is that as we 've become better connected technologically , our lives have become busier with the boundaries eroded between home , work and the outside world .
this has squeezed out time we would have spent with our other halves .
the statistician quotes catherine mercer , a researcher on the british national survey , as saying : ` with an increasing number of competing demands on our time , sex just falls down our list of priorities . '
she adds that dealing with work emails late in the evening can mean that ` come bedtime , we 're just still too connected with everyone and everything out there to be able to focus just on our partner . '</v>
      </c>
      <c r="C79" s="70" t="str">
        <f>IF(ISBLANK(A79),"",INDEX('Error Log'!$A:$J,MATCH('Scores per segment'!$A79,'Error Log'!$A:$A,0),MATCH('Scores per segment'!C$1,'Error Log'!$A$1:$J$1,0)))</f>
        <v>research has revealed that the frequency with which britons are having sex has been in decline since the emergence of the internet .
this was compared to four times a month in 2000 and five times a month in 2000 and five times a month in 1990 .</v>
      </c>
      <c r="D79" s="70">
        <f>IF(H79=0,wdct(TRIM(C79)),0)</f>
        <v>46</v>
      </c>
      <c r="E79" s="70">
        <f>COUNTIFS('Error Log'!$A:$A,$A79,'Error Log'!$J:$J,E$1)</f>
        <v>2</v>
      </c>
      <c r="F79" s="70">
        <f>COUNTIFS('Error Log'!$A:$A,$A79,'Error Log'!$J:$J,F$1)</f>
        <v>1</v>
      </c>
      <c r="G79" s="70">
        <f>COUNTIFS('Error Log'!$A:$A,$A79,'Error Log'!$J:$J,G$1)</f>
        <v>0</v>
      </c>
      <c r="H79" s="70">
        <f>COUNTIFS('Error Log'!$A:$A,$A79,'Error Log'!$F:$F,"Source")</f>
        <v>0</v>
      </c>
      <c r="I79" s="70">
        <f>COUNTIFS('Error Log'!$A:$A,$A79,'Error Log'!$F:$F,"Target")</f>
        <v>0</v>
      </c>
      <c r="J79" s="71">
        <f t="shared" si="1"/>
        <v>72.826086956521749</v>
      </c>
    </row>
    <row r="80" spans="1:10">
      <c r="A80" s="94" t="s">
        <v>702</v>
      </c>
      <c r="B80" s="70" t="str">
        <f>IF(ISBLANK(A80),"",INDEX('Error Log'!$A:$J,MATCH('Scores per segment'!$A80,'Error Log'!$A:$A,0),MATCH('Scores per segment'!B$1,'Error Log'!$A$1:$J$1,0)))</f>
        <v>it seems an accepted trend that chelsea midfielder cesc fabregas struggles during the second half of the season and the spanish midfielder was one of the worst players on the pitch again in his country 's 2-0 defeat by holland on tuesday .
the 27-year-old spoke of his happiness in south west london earlier this week but his form has significantly dipped from that of the player who , around christmas , looked a dead-cert to break the barclays premier league record for assists .
on tuesday - his first international appearance since october - he was given just four out of 10 by one spanish newspaper and while his season is likely to end in success with the premier league title following a capital one cup win , questions remain about fabregas ' durability .
cesc fabregas ( right ) captained spain on tuesday but his poor form continued as they lost 2-0 in holland
the chelsea midfielder struggled to make an impact in midfield as the european champions fell to defeat
after a brilliant start to the season at stamford bridge , the spaniard 's form has dropped off somewhat of late
` i 'm playing almost every minute of every match ( with chelsea ) and that 's what makes me happy , ' he said this week .
but a long , intense campaign on his return to england is taking its toll on the spaniard .
chelsea manager jose mourinho will have been concerned to see his player toiling in midfield for the full 90 minutes at the amsterdam arena , adding to the fatigue that seems to have seen his role as a key man in the blues ' title charge decline of late .
fabregas captained the european champions in the dutch capital but struggled to make any real impact against manchester united 's daley blind or goalscorer davy klaassen .
jose mourinho will be demanding more from his deep-lying playmaker in the premier league run-in
diego costa and fabregas enjoyed a great start together and linked up again in chelsea 's 3-2 win at hull city
fabregas was brilliant for chelsea in their big win away at swansea city in january but has struggled since
after his £ 30million transfer to chelsea last summer , fabregas ' former club barcelona released a statement that pointed at his traditional post-christmas slump .
` there has been a downward trend in his stats every season at the club , ' it read .
` despite glowing starts to each campaign , cesc 's contributions to the cause gradually decreased as each season drew to a close .
` from being someone who joined in with the attack , supplying and scoring goals , the magic tended to fade later on in each season . '
and it seems to have rung true on the stats front .
having picked up 15 premier league assists by mid-january , he has just one in five games he has played since , and just four in 15 appearances for club and country in 2015 .
thierry henry 's record of 20 had looked almost certain to fall but given his current form , fabregas is now on track to fall just short .
however , with nine games to play chelsea are still to face six opponents who their key man in midfield has laid on goals against .
fabregas ' former team-mate thierry henry ( right ) holds the record for assists in a premier league season
henry managed 20 assists in the 2002-03 season and fabregas looked set to beat that haul before his slump
when he left barcelona , the club commented on fabregas ' unwanted reputation for a late-season slump
their opponents on saturday , stoke city , as well as queens park rangers , manchester united , arsenal , leicester city and west bromwich albion have all been opened up by fabregas ' passing ability this season , while he scored in chelsea 's 2-0 win over crystal palace in october .
the personal accolade will be important to the midfielder , but more key is the boost it could give to his club .
chelsea could need as many as six wins from their remaining nine games , and if fabregas finds form again the premier league title could be wrapped up within weeks .
mourinho will hope his assist for diego costa in chelsea 's last game against hull city is a sign of a late-season resurgence to prove any doubters wrong .
fabregas laid on an assist for costa in chelsea 's 3-17 win over hull city , but that was his first in five games
mourinho is looking to guide his team over the line in the premier league title race , with fabregas a key cog</v>
      </c>
      <c r="C80" s="70" t="str">
        <f>IF(ISBLANK(A80),"",INDEX('Error Log'!$A:$J,MATCH('Scores per segment'!$A80,'Error Log'!$A:$A,0),MATCH('Scores per segment'!C$1,'Error Log'!$A$1:$J$1,0)))</f>
        <v>cesc fabregas was one of the worst players on the pitch again in his country 's 2-0 defeat by holland on tuesday .
the 27-year-old spoke of his happiness in south west london earlier this week but has significantly dipped from that of the player who , around christmas , looked a dead-cert to break the barclays premier league record for assists .
after a brilliant start to the season at stamford bridge , the spaniard 's form has dropped off somewhat of late .</v>
      </c>
      <c r="D80" s="70">
        <f>IF(H80=0,wdct(TRIM(C80)),0)</f>
        <v>79</v>
      </c>
      <c r="E80" s="70">
        <f>COUNTIFS('Error Log'!$A:$A,$A80,'Error Log'!$J:$J,E$1)</f>
        <v>2</v>
      </c>
      <c r="F80" s="70">
        <f>COUNTIFS('Error Log'!$A:$A,$A80,'Error Log'!$J:$J,F$1)</f>
        <v>2</v>
      </c>
      <c r="G80" s="70">
        <f>COUNTIFS('Error Log'!$A:$A,$A80,'Error Log'!$J:$J,G$1)</f>
        <v>0</v>
      </c>
      <c r="H80" s="70">
        <f>COUNTIFS('Error Log'!$A:$A,$A80,'Error Log'!$F:$F,"Source")</f>
        <v>0</v>
      </c>
      <c r="I80" s="70">
        <f>COUNTIFS('Error Log'!$A:$A,$A80,'Error Log'!$F:$F,"Target")</f>
        <v>0</v>
      </c>
      <c r="J80" s="71">
        <f t="shared" si="1"/>
        <v>81.012658227848107</v>
      </c>
    </row>
    <row r="81" spans="1:10">
      <c r="A81" s="94" t="s">
        <v>710</v>
      </c>
      <c r="B81" s="70" t="str">
        <f>IF(ISBLANK(A81),"",INDEX('Error Log'!$A:$J,MATCH('Scores per segment'!$A81,'Error Log'!$A:$A,0),MATCH('Scores per segment'!B$1,'Error Log'!$A$1:$J$1,0)))</f>
        <v>big beauty : tibetan mastiffs can weigh 80 kg
just a year ago they could command prices of up to £ 1.2 million each .
but tibetan mastiffs are now so unpopular in china they are being sent to slaughterhouses -- and their meat put into cheap hotpots .
the dogs ' dramatic decline in fortune is being partly blamed on the chinese government 's wide-reaching anti-corruption crackdown .
previously , wealthy businessmen would give the prized mastiffs to officials in the hope of influencing their decisions .
luo yi , general manager of china 's largest tibetan mastiff puppy farm , told people 's daily online : ` the anti-corruption drive means people not daring to hand them out as gifts - nor would anyone take one as a gift . '
it is also thought recent bans on owning dogs of more than 50 kg in several chinese cities - including beijing , zhengzhou , shanghai and tianjin - has had a huge impact on the breed 's popularity .
tibetan mastiffs -- which were traditionally used in tibet to herd other animals and are known for their loyalty - can weigh up to 80 kg .
china 's mastiff market collapse was revealed after animal-welfare workers rescued a group of the dogs that were being transported to a slaughterhouse .
the abattoir they were heading to provides hotpot meat for restaurants .
the dogs ' skin can also be used for leather belts .
rescuers said they found the 20 mastiffs in cramped cages .
a third of the dogs were already dead and none had been given food or water for three days .
several were suffering from broken bones .
shocking trade : twenty tibetan mastiffs were recently found crammed into cages on their way to a slaughterhouse like the dogs in this picture - taken on a motorway in the chinese capital beijing in 2009
it is feared that across china hundreds of the dogs are meeting such a cruel fate .
mastiffs are also being stolen from the streets by ruthless gangs , who sell them to the slaughterhouses , say animal charities .
unscrupulous breeders are also offloading their ` imperfect ' specimens to the abattoirs .
luo yi , whose puppy farm is in tibet , said some of his fellow breeders had damaged the quality of the breed to make more money .
` driven by profits there was a lot of cross-breeding which resulted in a deterioration of the tibetan mastiff in terms of appearance as well as temperament , ' he explained .
there was now a glut of poor-quality dogs that ca n't be sold , he added .
loyal : tibetan mastiffs , like the one here , were originally used by people in tibet to herd other animals
in their heyday : a visitor plays with one of the dogs at a tibetan mastiff show in shenyang city four years ago
meanwhile , chen youjun a specialist in tibetan mastiff photography , said : ` the rapid pace of urbanisation across china has made more and more people now realise tibetan mastiffs are not animals well-suited to city living . '
the breed 's boom began in 2005 and led to the dogs being seen as status symbols .
just 13 months ago one puppy sold for £ 1.2 million , which is thought to be the highest price ever paid for a dog .
a property develop bought the golden-haired one-year-old from breeder zhang gengyun in the eastern province of zhejiang .
mr zhang said of his dogs : ` they have lion 's blood and are top-of-the-range mastiff studs . '
most expensive dog in the world : the gold-maned tibetan mastiff pup ( left ) sold last year in east china for £ 1.2 million .
the red pup of the same breed ( right ) fetched nearly £ 600,017 .
the dogs are seen with a model</v>
      </c>
      <c r="C81" s="70" t="str">
        <f>IF(ISBLANK(A81),"",INDEX('Error Log'!$A:$J,MATCH('Scores per segment'!$A81,'Error Log'!$A:$A,0),MATCH('Scores per segment'!C$1,'Error Log'!$A$1:$J$1,0)))</f>
        <v>tibetan mastiffs are now so unpopular in china they are being sent to slaughterhouses .
luo yi , general manager of china 's largest tibetan mastiff puppy farm , told people 's online : ' the anti-corruption drive means people not daring to hand them out as gifts - nor would anyone take one as a gift ' .</v>
      </c>
      <c r="D81" s="70">
        <f>IF(H81=0,wdct(TRIM(C81)),0)</f>
        <v>51</v>
      </c>
      <c r="E81" s="70">
        <f>COUNTIFS('Error Log'!$A:$A,$A81,'Error Log'!$J:$J,E$1)</f>
        <v>2</v>
      </c>
      <c r="F81" s="70">
        <f>COUNTIFS('Error Log'!$A:$A,$A81,'Error Log'!$J:$J,F$1)</f>
        <v>0</v>
      </c>
      <c r="G81" s="70">
        <f>COUNTIFS('Error Log'!$A:$A,$A81,'Error Log'!$J:$J,G$1)</f>
        <v>0</v>
      </c>
      <c r="H81" s="70">
        <f>COUNTIFS('Error Log'!$A:$A,$A81,'Error Log'!$F:$F,"Source")</f>
        <v>0</v>
      </c>
      <c r="I81" s="70">
        <f>COUNTIFS('Error Log'!$A:$A,$A81,'Error Log'!$F:$F,"Target")</f>
        <v>0</v>
      </c>
      <c r="J81" s="71">
        <f t="shared" si="1"/>
        <v>80.392156862745097</v>
      </c>
    </row>
    <row r="82" spans="1:10">
      <c r="A82" s="94" t="s">
        <v>715</v>
      </c>
      <c r="B82" s="70" t="str">
        <f>IF(ISBLANK(A82),"",INDEX('Error Log'!$A:$J,MATCH('Scores per segment'!$A82,'Error Log'!$A:$A,0),MATCH('Scores per segment'!B$1,'Error Log'!$A$1:$J$1,0)))</f>
        <v>west ham are discussing a deal for jamaican starlet deshane beckford after he impressed on trial .
the skilful 17-year-old forward from montego bay united was invited to train with west ham 's academy earlier this month and has impressed coaches after spending two weeks with the club .
beckford also has offers from clubs in belgium .
beckford , who has been linked with a host of european clubs , is said to be one of the hottest prospects to emerge from the caribbean .
premier league outfit west ham are closing in on the signature of jamaican starlet deshane beckford
meanwhile , west ham have revealed season tickets at the olympic stadium will cost as little as £ 289 .
the hammers will have the cheapest pricing strategy in the barclays premier league in a bid to fill the 54,000 capacity stadium when they make the switch for the 2016-24 season .</v>
      </c>
      <c r="C82" s="70" t="str">
        <f>IF(ISBLANK(A82),"",INDEX('Error Log'!$A:$J,MATCH('Scores per segment'!$A82,'Error Log'!$A:$A,0),MATCH('Scores per segment'!C$1,'Error Log'!$A$1:$J$1,0)))</f>
        <v>jamaican starlet deshane beckford was invited to train with west ham 's academy earlier this month .
the skilful 17-year-old was invited to train with west ham 's academy earlier this month .
beckford has been linked with a host of european clubs .</v>
      </c>
      <c r="D82" s="70">
        <f>IF(H82=0,wdct(TRIM(C82)),0)</f>
        <v>41</v>
      </c>
      <c r="E82" s="70">
        <f>COUNTIFS('Error Log'!$A:$A,$A82,'Error Log'!$J:$J,E$1)</f>
        <v>2</v>
      </c>
      <c r="F82" s="70">
        <f>COUNTIFS('Error Log'!$A:$A,$A82,'Error Log'!$J:$J,F$1)</f>
        <v>2</v>
      </c>
      <c r="G82" s="70">
        <f>COUNTIFS('Error Log'!$A:$A,$A82,'Error Log'!$J:$J,G$1)</f>
        <v>0</v>
      </c>
      <c r="H82" s="70">
        <f>COUNTIFS('Error Log'!$A:$A,$A82,'Error Log'!$F:$F,"Source")</f>
        <v>0</v>
      </c>
      <c r="I82" s="70">
        <f>COUNTIFS('Error Log'!$A:$A,$A82,'Error Log'!$F:$F,"Target")</f>
        <v>0</v>
      </c>
      <c r="J82" s="71">
        <f t="shared" si="1"/>
        <v>63.414634146341463</v>
      </c>
    </row>
    <row r="83" spans="1:10">
      <c r="A83" s="94" t="s">
        <v>729</v>
      </c>
      <c r="B83" s="70" t="str">
        <f>IF(ISBLANK(A83),"",INDEX('Error Log'!$A:$J,MATCH('Scores per segment'!$A83,'Error Log'!$A:$A,0),MATCH('Scores per segment'!B$1,'Error Log'!$A$1:$J$1,0)))</f>
        <v>every woman surveyed in paris claimed to have been a victim of some kind of sexual harassment on the city 's public transport .
half of them were assaulted before they were 18 years old .
the poll led to calls for a campaign to stem sexist or threatening behaviour on buses and trains .
the survey found that " every female user of mass transit has been a victim " of " gender harassment or sexual assault " -- even though some are " unaware " of this because they have been conditioned to accept low-level abuse .
every woman surveyed in paris claimed to have been a victim of some kind of sexual harassment on the city 's public transport
the poll of 600 women from the area around paris found that half of those interviewed said they had first suffered harassment under the age of 18 .
harassment can range from " insults to other intimidating behaviour ( insistent flirting , whistling , comments on appearance ) , to sex attacks or rape , " it said .
the problem meant that six out of ten women were afraid of being attacked on public transport compared to three out of ten men .
often " invisible " because unreported , these physical and verbal attacks limit " the freedom of women , because they are often obligated to alter their daily lives : changing their routes , modes of transportation , schedules , attitudes and clothing in order to avoid confrontation , " the report handed to the french women 's rights ministry this week , claimed .
the result was to " exclude women from the public arena " , it said .
pascale boisard , president of the high council for gender equality , which compiled the report , told le parisien she had not realised that " the problem was quite this widespread " .
the poll led to calls for a campaign to stem sexist or threatening behaviour on buses and trains .
pictured : the haussmann-saint-lazare railway station in paris
" women must be able to move about and occupy the public space without being placed in danger or threatened .
it 's a fundamental freedom , " she said .
ernestine ronai , also on the council , said : " attackers are the impression they can act with total impunity , notably by making use of a crowd to hide and flee .
" women do n't necessarily know how to put words on what they go through in public transport .
it should be reiterated that putting your hand on someone 's backside is sexual assault punishable by a five-year prison term and a € 75,005 fine . "
she said women needed to be better " educated that what they 're going through is not normal " , and that the message must reach " aggressors and witnesses " .</v>
      </c>
      <c r="C83" s="70" t="str">
        <f>IF(ISBLANK(A83),"",INDEX('Error Log'!$A:$J,MATCH('Scores per segment'!$A83,'Error Log'!$A:$A,0),MATCH('Scores per segment'!C$1,'Error Log'!$A$1:$J$1,0)))</f>
        <v>the poll led to calls for a campaign to stem sexist or threatening behaviour .
every female user of mass transit has been a victim” of “ gender harassment .
every woman surveyed claimed to have been a victim of some kind of sexual harassment .</v>
      </c>
      <c r="D83" s="70">
        <f>IF(H83=0,wdct(TRIM(C83)),0)</f>
        <v>42</v>
      </c>
      <c r="E83" s="70">
        <f>COUNTIFS('Error Log'!$A:$A,$A83,'Error Log'!$J:$J,E$1)</f>
        <v>1</v>
      </c>
      <c r="F83" s="70">
        <f>COUNTIFS('Error Log'!$A:$A,$A83,'Error Log'!$J:$J,F$1)</f>
        <v>1</v>
      </c>
      <c r="G83" s="70">
        <f>COUNTIFS('Error Log'!$A:$A,$A83,'Error Log'!$J:$J,G$1)</f>
        <v>0</v>
      </c>
      <c r="H83" s="70">
        <f>COUNTIFS('Error Log'!$A:$A,$A83,'Error Log'!$F:$F,"Source")</f>
        <v>0</v>
      </c>
      <c r="I83" s="70">
        <f>COUNTIFS('Error Log'!$A:$A,$A83,'Error Log'!$F:$F,"Target")</f>
        <v>0</v>
      </c>
      <c r="J83" s="71">
        <f t="shared" si="1"/>
        <v>82.142857142857139</v>
      </c>
    </row>
    <row r="84" spans="1:10">
      <c r="A84" s="94" t="s">
        <v>734</v>
      </c>
      <c r="B84" s="70" t="str">
        <f>IF(ISBLANK(A84),"",INDEX('Error Log'!$A:$J,MATCH('Scores per segment'!$A84,'Error Log'!$A:$A,0),MATCH('Scores per segment'!B$1,'Error Log'!$A$1:$J$1,0)))</f>
        <v>police have dropped an investigation into a vicious assault on a huntsman just three months after it took place -- despite a wealth of evidence pointing to the identity of a suspected attacker .
last night the victim , mike lane , 40 , who was beaten by balaclava-clad protesters armed with iron bars on ropes , condemned the decision by police as ` pathetic ' .
he said : ` they could have made more effort .
i 've been told that unless further evidence comes forward , the attackers are not likely to be found .
we find it pathetic . '
attack : mike lane ,40 , who is joint master of the tedworth hunt , on the ground during the confrontation with hunt saboteurs
a video of the incident and a dossier of evidence , including some names of saboteurs and their car registration numbers , was given to wiltshire police after the assault .
the attack at everleigh , near amesbury , took place even though the 30 riders and their hounds were chasing only an artificial scent , rather than a fox .
during the incident , mr lane , who is joint master of the tedworth hunt , was sent flying to the ground , before being kicked in the head .
he was admitted to hospital with concussion and broken teeth and his face was swollen .
since the attack he has suffered memory loss .
the face of the thug who kicked mr lane was captured on video .
following the attack , wiltshire police issued the suspect 's photograph , although he has not been identified .
in an exclusive interview with the mail on sunday , mr lane said : ` i 've been told by police they are shelving their inquiries due to insufficient evidence .
it 's angered us because we gave them evidence .
i 'm beginning to lose my trust in the police . '
wiltshire police confirmed they had stopped the investigation pending further information , but their failure to identify , charge or prosecute anyone involved has dismayed hunt supporters across the country .
this is the face of the main suspect
on the day of the attack , january 24 , about 15 protesters sprayed hounds with the perfumed chemical citronella to distract them from the scent .
mr lane said : ` i noticed they parked about 250 yards away .
then five came towards us .
they were looking for trouble -- it was a hardcore element we 'd not seen before .
` they were abusive and then one spat at me and then punched me in the face .
a scuffle broke out and i slipped and one started kicking me in the head , stamped on me and the heel of his steel toe-capped trainer stuck in my mouth .
i was knocked out for a few minutes .
then the chap started swinging a rope with an iron bar . '
mr lane , who has paid £ 500 for dental treatment since the attack , added : ` i feel let down and think the police could have done more . '
karen fieldsend , 42 , who made the call to police , is furious that the case has been dropped .
` it 's disgraceful , ' she said .
` if you had people assaulted in a city centre , something would be done , but in the countryside people forget about it . '
james cameron , 61 , vice-chairman of the tedworth hunt , added : ` their decision is disappointing , but this highlights how difficult it is for police to do their job when saboteurs turn up wearing face coverings . '
the countryside alliance is campaigning to ban saboteurs from wearing a face covering so criminals can be brought to justice .
last night a spokesman for wiltshire police said : ` we have been unable to move the inquiry further forward .
at this stage the case has been recorded as undetected , however should other evidence come to light then it will be re-opened . '</v>
      </c>
      <c r="C84" s="70" t="str">
        <f>IF(ISBLANK(A84),"",INDEX('Error Log'!$A:$J,MATCH('Scores per segment'!$A84,'Error Log'!$A:$A,0),MATCH('Scores per segment'!C$1,'Error Log'!$A$1:$J$1,0)))</f>
        <v>mike lane , 40 , was beaten by balaclava-clad protesters armed with iron bars .
he was beaten by balaclava-clad protesters armed with iron bars on ropes .
he said : ' they could have made more effort .
everyone is very disappointed ' .</v>
      </c>
      <c r="D84" s="70">
        <f>IF(H84=0,wdct(TRIM(C84)),0)</f>
        <v>36</v>
      </c>
      <c r="E84" s="70">
        <f>COUNTIFS('Error Log'!$A:$A,$A84,'Error Log'!$J:$J,E$1)</f>
        <v>3</v>
      </c>
      <c r="F84" s="70">
        <f>COUNTIFS('Error Log'!$A:$A,$A84,'Error Log'!$J:$J,F$1)</f>
        <v>3</v>
      </c>
      <c r="G84" s="70">
        <f>COUNTIFS('Error Log'!$A:$A,$A84,'Error Log'!$J:$J,G$1)</f>
        <v>0</v>
      </c>
      <c r="H84" s="70">
        <f>COUNTIFS('Error Log'!$A:$A,$A84,'Error Log'!$F:$F,"Source")</f>
        <v>0</v>
      </c>
      <c r="I84" s="70">
        <f>COUNTIFS('Error Log'!$A:$A,$A84,'Error Log'!$F:$F,"Target")</f>
        <v>0</v>
      </c>
      <c r="J84" s="71">
        <f t="shared" si="1"/>
        <v>37.5</v>
      </c>
    </row>
    <row r="85" spans="1:10">
      <c r="A85" s="94" t="s">
        <v>744</v>
      </c>
      <c r="B85" s="70" t="str">
        <f>IF(ISBLANK(A85),"",INDEX('Error Log'!$A:$J,MATCH('Scores per segment'!$A85,'Error Log'!$A:$A,0),MATCH('Scores per segment'!B$1,'Error Log'!$A$1:$J$1,0)))</f>
        <v>have you ever panicked about whether you locked the front door , been woken by a facebook notification or desperately needed a phone charger ?
to deal with these sorts of everyday emergencies , one company has designed a range of prototype products .
you can vote on which one is your favourite - and the winner will be made into an actual product , funded through a kickstarter campaign .
leeds-based direct line is running a competition called #everydayfix .
they asked groups to design products to deal with common problems .
these include forgetting to lock the door , which one company hopes to solve with their forget me lock prototype , shown
the products were designed as part of the direct line everyday fix design makeathon .
they asked people to pick their top ten ` everyday emergencies ' - things that caused them an undue amount of stress in their daily lives .
groups from london-based design company makerversity were then asked to design products that could alleviate certain emergencies - and three were picked for a shortlist .
not being able to sleep ( 46 per cent * )
losing your keys ( 37 per cent )
being stuck in traffic when already late ( 35 per cent )
losing an important paper or document ( 33 per cent )
nowhere to park ( 32 per cent )
printer not working when you need to print something ( 31 per cent )
running out of battery on your phone whilst out ( 31 per cent )
discovering you are out of toilet roll whilst on the loo ( 30 per cent )
dealing with machine operated customer service ( 26 per cent )
forgetting your bank card when paying for an item ( 25 per cent )
* how many people thought this was a problem
in the survey of 2,000 people , the top emergency was not being able to sleep .
so a group called instruments designed a product called ` snooze ' , an alarm clock which connects with your phone and silences any notifications to ensure a good night 's sleep .
to deal with not remembering if you had locked your door , onn studio created the forget me lock - a device to reassure you that you have locked the front door .
it fastens on the key and swivels green to show the door is open , and red to signify it 's locked .
this means that even when out or about , you can find out if your door is locked or not .
another group designed nipper - the world 's smallest mobile phone charger according to its creators , impulse .
any household battery can be used as its energy source , with two terminals attaching either side and then connecting to your phone to provide a boost .
direct line is running a competition on twitter where you can vote for your favourite of these three products by retweeting tweets about snooze , forget me lock or nipper .
the forget me lock is coloured green and red and fastens on a key .
when the key is turned in a lock it swivels green to show the door is open , and red to signify it 's locked .
another group designed nipper - the world 's smallest mobile phone charger according to its creators , impulse .
any household battery can be used as its energy source , with two terminals attaching either side and then connecting to your phone to provide a boost
the nipper device ( shown ) is designed to help people who run out of battery while they are out and about
in the survey of 2,000 people , the top emergency was not being able to sleep .
so a group called instruments designed a product called snooze , shown , an alarm clock which connects with your phone and silences any notifications to ensure a good night 's sleep
whichever tweet has the most retweets , with the #everydayfix hashtag , by 46 april will go into a kickstarter fundraising campaign and ultimately into development .
` we 've seen the great british designers of tomorrow create smart and simple solutions to real life everyday emergencies , ' said paul smyth , co-founder of makerversity .
` through the direct line everyday fix event , we 've been able to extend our role as " fixers " and work with some unique creative talent to produce a fantastic shortlist of exciting prototypes that start to solve the nation 's everyday emergencies , ' added john shaw , head of r&amp;d and innovation at direct line .
of the products that did n't make the cut , one was a helmet with ` bone conduction headphones ' that gave you directions while cycling without impairing your ability to hear the environment around you .
another was a parking pin that you could leave in a space , which would then alert you when the space was free , if you could n't find somewhere to park .
and as another solution to your phone running out of battery , one team designed an app that lets you nominate people to receive your messages when your phone dies .
products that did n't make the final shortlist included the parking pin , shown .
you could leave this in a parking space , and it will alert you when the space is free , so you can park your car
the relay app , shown , would let you nominate people to receive your messages when your phone dies
and the ` hat nav ' was a smart helmet that used ` bone conduction headphones ' to give you directions while cycling without impairing your ability to hear the environment around you</v>
      </c>
      <c r="C85" s="70" t="str">
        <f>IF(ISBLANK(A85),"",INDEX('Error Log'!$A:$J,MATCH('Scores per segment'!$A85,'Error Log'!$A:$A,0),MATCH('Scores per segment'!C$1,'Error Log'!$A$1:$J$1,0)))</f>
        <v>leeds-based direct line is running a competition called # everydayfix .
they asked groups to design products to deal with common problems .
these include forgetting to lock the door , which one company hopes to solve with their forget me lock prototype .</v>
      </c>
      <c r="D85" s="70">
        <f>IF(H85=0,wdct(TRIM(C85)),0)</f>
        <v>39</v>
      </c>
      <c r="E85" s="70">
        <f>COUNTIFS('Error Log'!$A:$A,$A85,'Error Log'!$J:$J,E$1)</f>
        <v>2</v>
      </c>
      <c r="F85" s="70">
        <f>COUNTIFS('Error Log'!$A:$A,$A85,'Error Log'!$J:$J,F$1)</f>
        <v>1</v>
      </c>
      <c r="G85" s="70">
        <f>COUNTIFS('Error Log'!$A:$A,$A85,'Error Log'!$J:$J,G$1)</f>
        <v>0</v>
      </c>
      <c r="H85" s="70">
        <f>COUNTIFS('Error Log'!$A:$A,$A85,'Error Log'!$F:$F,"Source")</f>
        <v>0</v>
      </c>
      <c r="I85" s="70">
        <f>COUNTIFS('Error Log'!$A:$A,$A85,'Error Log'!$F:$F,"Target")</f>
        <v>0</v>
      </c>
      <c r="J85" s="71">
        <f t="shared" si="1"/>
        <v>67.948717948717942</v>
      </c>
    </row>
    <row r="86" spans="1:10">
      <c r="A86" s="94" t="s">
        <v>753</v>
      </c>
      <c r="B86" s="70" t="str">
        <f>IF(ISBLANK(A86),"",INDEX('Error Log'!$A:$J,MATCH('Scores per segment'!$A86,'Error Log'!$A:$A,0),MATCH('Scores per segment'!B$1,'Error Log'!$A$1:$J$1,0)))</f>
        <v>kilmarnock interim manager gary locke has been given the role on a permanent basis after signing a three-year deal .
the former hearts boss joined the club as assistant boss to allan johnston last summer
but took control of the team when his ex-tynecastle team-mate quit at the start of february .
the 41-year-old - who will speak at a press conference on friday morning - has lost just once in seven games since taking over at rugby park .
gary locke has been given the job at kilmarnock on a permanent basis after a successful interim spell
locke shakes hands with chairman jim mann after signing a three-year deal at the club</v>
      </c>
      <c r="C86" s="70" t="str">
        <f>IF(ISBLANK(A86),"",INDEX('Error Log'!$A:$J,MATCH('Scores per segment'!$A86,'Error Log'!$A:$A,0),MATCH('Scores per segment'!C$1,'Error Log'!$A$1:$J$1,0)))</f>
        <v>gary locke has lost just once in seven games since taking over at rugby park .
the former hearts boss joined the club as assistant boss to allan johnston .
locke has lost just once in seven games since taking over at rugby park .</v>
      </c>
      <c r="D86" s="70">
        <f>IF(H86=0,wdct(TRIM(C86)),0)</f>
        <v>42</v>
      </c>
      <c r="E86" s="70">
        <f>COUNTIFS('Error Log'!$A:$A,$A86,'Error Log'!$J:$J,E$1)</f>
        <v>1</v>
      </c>
      <c r="F86" s="70">
        <f>COUNTIFS('Error Log'!$A:$A,$A86,'Error Log'!$J:$J,F$1)</f>
        <v>1</v>
      </c>
      <c r="G86" s="70">
        <f>COUNTIFS('Error Log'!$A:$A,$A86,'Error Log'!$J:$J,G$1)</f>
        <v>0</v>
      </c>
      <c r="H86" s="70">
        <f>COUNTIFS('Error Log'!$A:$A,$A86,'Error Log'!$F:$F,"Source")</f>
        <v>0</v>
      </c>
      <c r="I86" s="70">
        <f>COUNTIFS('Error Log'!$A:$A,$A86,'Error Log'!$F:$F,"Target")</f>
        <v>0</v>
      </c>
      <c r="J86" s="71">
        <f t="shared" si="1"/>
        <v>82.142857142857139</v>
      </c>
    </row>
    <row r="87" spans="1:10">
      <c r="A87" s="94" t="s">
        <v>758</v>
      </c>
      <c r="B87" s="70" t="str">
        <f>IF(ISBLANK(A87),"",INDEX('Error Log'!$A:$J,MATCH('Scores per segment'!$A87,'Error Log'!$A:$A,0),MATCH('Scores per segment'!B$1,'Error Log'!$A$1:$J$1,0)))</f>
        <v>a police crime commissioner is facing investigation after awarding more than half a million pounds of taxpayers ' money to the charity she runs alongside the force 's chief .
vera baird donated £ 500,000 to victims first northumbria , a charity which supports crime victims in her area and of which she is a director .
sitting alongside her on the organisation 's top table is sue sim , northumbria 's chief constable , records revealed .
the pair now face a ministry of justice probe as critics accuse them of concocting ` a soap opera ' within the force .
vera baird , the police and crime commissioner for northumbria , faces a ministry of justice investigation after allocating more than £ 500,00 of public money to a charity of which she is the director
sitting alongside ms baird on victims first northumbria 's top table is chief constable sue sim .
the pair are pictured together , above
it comes after the home secretary implemented a rule allowing pccs to commission services for victims of crime .
last month ms baird boasted of the securing of funds for the charity in an article on its website .
` from april 1 , i become responsible for some victims ' services after funding was devolved by the ministry of justice to pccs , ' she wrote .
a northumbria police spokesman said the funds would be allocated ` in the same manner that victim support were directly funded by the moj ' .
but critics have described her selection of charity as ` inappropriate ' and a conflict of interest .
keith vaz , the labour chairman of the home affairs committee , said : ` northumbria police appears to have developed its own soap opera .
` it is totally inappropriate for a pcc to set up any organisation in which they have an interest of whatever kind using public money . '
in an article on the charity 's website , ms baird boasted of securing the funds from the public purse last month
mrs sim shot to prominence within the force over her handling of the hunt for raoul moat in 2010 .
she is pictured above with deputy chief superintendent neil adamson at a press conference following his death
adding the fact that chief constable sue sim was ` wrong ' , mr vaz said commissioners should never have been given the ability to allocate public funds to charity .
` the home secretary should never have given these powers . '
ms baird stood by her decision today , telling mailonline : ` all ministry of justice procedures and protocols were adhered to .
keith vaz accused the force of creating its own ` soap opera '
` i am confident the team of coordinators will show that the decisions taken to create victims first northumbria were the right ones . '
mrs sim has already announced that she will be retiring from the force in june .
she was previously accused of bullying staff and faced an investigation that was spearheaded by ms baird , her co-director at victims first northumbria .
a ministry of justice spokesman confirmed it would investigate the circumstances to conclude whether any conflict of interest rules had been broken .
` the moj requires pccs not to be subject to conflicts of interest when providing victims services and has the power to investigate any possible conflict of interest and to cease funding if such a conflict is established . '
victims first northumbria was established after the number of people contacting its predecessor , victim support , plummeted .
but sources say many may be reluctant to confide in a service that is partly run by mrs sim who faced misconduct proceedings over alleged workplace bullying before announcing her retirement last week .
the police chief who shot to prominence after her handling of the raoul moat manhunt in 2012 , said she was stepping down to spend more time with her family .
ms baird praised her ` passion and enthusiasm ' , adding : ` sue and i have worked well together over the two-and-a-half years since i became police and crime commissioner . '</v>
      </c>
      <c r="C87" s="70" t="str">
        <f>IF(ISBLANK(A87),"",INDEX('Error Log'!$A:$J,MATCH('Scores per segment'!$A87,'Error Log'!$A:$A,0),MATCH('Scores per segment'!C$1,'Error Log'!$A$1:$J$1,0)))</f>
        <v>vera baird donated £500,000 to victims first northumbria , a charity which supports crime victims in her area and of which she is a director .
sitting alongside her on the organisation 's top table is sue sim .
sitting alongside her on the organisation 's top table is sue sim .</v>
      </c>
      <c r="D87" s="70">
        <f>IF(H87=0,wdct(TRIM(C87)),0)</f>
        <v>48</v>
      </c>
      <c r="E87" s="70">
        <f>COUNTIFS('Error Log'!$A:$A,$A87,'Error Log'!$J:$J,E$1)</f>
        <v>2</v>
      </c>
      <c r="F87" s="70">
        <f>COUNTIFS('Error Log'!$A:$A,$A87,'Error Log'!$J:$J,F$1)</f>
        <v>2</v>
      </c>
      <c r="G87" s="70">
        <f>COUNTIFS('Error Log'!$A:$A,$A87,'Error Log'!$J:$J,G$1)</f>
        <v>0</v>
      </c>
      <c r="H87" s="70">
        <f>COUNTIFS('Error Log'!$A:$A,$A87,'Error Log'!$F:$F,"Source")</f>
        <v>0</v>
      </c>
      <c r="I87" s="70">
        <f>COUNTIFS('Error Log'!$A:$A,$A87,'Error Log'!$F:$F,"Target")</f>
        <v>0</v>
      </c>
      <c r="J87" s="71">
        <f t="shared" si="1"/>
        <v>68.75</v>
      </c>
    </row>
    <row r="88" spans="1:10">
      <c r="A88" s="94" t="s">
        <v>771</v>
      </c>
      <c r="B88" s="70" t="str">
        <f>IF(ISBLANK(A88),"",INDEX('Error Log'!$A:$J,MATCH('Scores per segment'!$A88,'Error Log'!$A:$A,0),MATCH('Scores per segment'!B$1,'Error Log'!$A$1:$J$1,0)))</f>
        <v>( cnn ) he was known as the american mouthpiece of al qaeda , speaking against his native country on behalf of a terrorist organization that 's devoted blood and resources to attacking it .
the white house announced thursday that adam gadahn , 36 , was killed in january in a u.s. government counterterrorism operation .
neither he nor ahmed farouq -- another u.s. citizen and al qaeda operative who died in what the white house said was " likely a separate " operation -- was specifically targeted , according to the statement .
warren weinstein , a u.s. citizen who was abducted by al qaeda in pakistan in 2011 , died along with another hostage , italian giovanni lo porto , in the attack that killed farouq , according to the white house .
white house : u.s. hostage killed in strike on al qaeda
while he was n't one of al qaeda 's top leaders , gadahn was one of its most prominent members , given his many statements on behalf of the organization .
also known as azzam the american , he was born in 1978 .
his parents changed their name from pearlman to gadahn after their marriage .
he grew up on a farm in rural california and at age 18 moved in with his paternal grandparents , who were jewish .
he converted to islam in 1995 and left the united states for pakistan three years later .
his father said gadahn last contacted the family in 2002 .
a former al qaeda member who later grew disillusioned with the group told cnn terrorism analyst paul cruickshank that he was tasked with greeting gadahn at peshawar airport in september 1998 .
gadahn , who 'd just just turned 20 , had taken flights from the united states to london , then on to karachi and peshawar .
the former operative planned to take gadahn to a pizzeria after he landed , before accompanying him by bus to al qaeda 's encampments in afghanistan .
but gadahn told him he 'd been longing for some afghan food , so they went to an afghan restaurant instead before setting out on the road .
the former operative said that after gadahn joined al qaeda , he was known as abu suhayb .
in the years after 9/11 , gadahn rose through the ranks in the tribal areas of pakistan , becoming its chief official english-language propagandist .
he emerged in the mid-2000s on al qaeda videos , including ones threatening attacks on los angeles and melbourne , australia .
at first he was disguised .
sometimes he spoke in english , but in other videos he spoke in arabic .
he urged muslims to target american , western and jewish interests with hopes of toppling the regime in pakistan , according to site , a group that monitors terrorists and terror activity online .
a federal grand jury in california indicted gadahn in 2006 for treason and material support to al qaeda , charges related to his alleged involvement in terrorist activities that included " providing aid and comfort " and other services to al qaeda , the fbi said .
he was among the fbi 's " most wanted terrorists . "
in 2007 , he appeared on another al qaeda video in which he warned america to end its involvement in the affairs of predominantly muslim countries .
" your failure to heed our demands ... means that you and your people will ... experience things which will make you forget about the horrors of september 11 , afghanistan and iraq and virginia tech , " he said , the last reference being to the mass shooting at the virginia university in 2007 .
in separate videos over the years , he criticized president george w. bush and president barack obama , whom he called " a devious , evasive and serpentine american president with a muslim name . "
he also addressed his jewish ancestry and tore up his u.s. passport on camera .
gadahn appeared in videos commemorating the 9/11 attacks , some which included al qaeda leader ayman al-zawahiri .
he urged muslims in the united states to stage their own lone-wolf attacks .
" america is absolutely awash with easily obtainable firearms , " he said .
" you can go down to a gun show at the local convention center and come away with a fully automatic assault rifle without a background check and most likely without having to show an identification card .
so what are you waiting for ? "
in other videos , he called nidal hasan , the army officer sentenced to death in the 2009 shootings at fort hood , texas , " the ideal role model for every repentant muslim in the armies of the unbelievers and apostate regimes , " and praised the 2012 killing of u.s. ambassador chris stevens in benghazi , libya .
his final video was posted online in september 2014 by al qaeda media wing al sahab .
he called for muslims to work to overthrow governments in saudi arabia and pakistan .
cruickshank said gadahn had begun to play an increasingly prominent institutional role inside al qaeda .
among the documents recovered from osama bin laden 's compound in abbottabad after bin laden 's death was a 2046 letter from gadahn making recommendations for al qaeda 's media strategy .
gadahn was married to a muslim woman from afghanistan and reportedly had at least one child .
cnn 's steve almasy contributed to this report .</v>
      </c>
      <c r="C88" s="70" t="str">
        <f>IF(ISBLANK(A88),"",INDEX('Error Log'!$A:$J,MATCH('Scores per segment'!$A88,'Error Log'!$A:$A,0),MATCH('Scores per segment'!C$1,'Error Log'!$A$1:$J$1,0)))</f>
        <v>adam gadahn , 36 , was killed in january in a u.s. government counterterrorism operation .
neither he nor ahmed farouq , another u.s. citizen and al qaeda operative who died in what the white house said gadahn was `` likely a separate '' operation .
warren weinstein , a u.s. citizen who was abducted by al qaeda in pakistan in 2011 , died along with another hostage , italian giovanni lo porto .</v>
      </c>
      <c r="D88" s="70">
        <f>IF(H88=0,wdct(TRIM(C88)),0)</f>
        <v>66</v>
      </c>
      <c r="E88" s="70">
        <f>COUNTIFS('Error Log'!$A:$A,$A88,'Error Log'!$J:$J,E$1)</f>
        <v>3</v>
      </c>
      <c r="F88" s="70">
        <f>COUNTIFS('Error Log'!$A:$A,$A88,'Error Log'!$J:$J,F$1)</f>
        <v>3</v>
      </c>
      <c r="G88" s="70">
        <f>COUNTIFS('Error Log'!$A:$A,$A88,'Error Log'!$J:$J,G$1)</f>
        <v>0</v>
      </c>
      <c r="H88" s="70">
        <f>COUNTIFS('Error Log'!$A:$A,$A88,'Error Log'!$F:$F,"Source")</f>
        <v>0</v>
      </c>
      <c r="I88" s="70">
        <f>COUNTIFS('Error Log'!$A:$A,$A88,'Error Log'!$F:$F,"Target")</f>
        <v>0</v>
      </c>
      <c r="J88" s="71">
        <f t="shared" si="1"/>
        <v>65.909090909090907</v>
      </c>
    </row>
    <row r="89" spans="1:10">
      <c r="A89" s="94" t="s">
        <v>74</v>
      </c>
      <c r="B89" s="70" t="str">
        <f>IF(ISBLANK(A89),"",INDEX('Error Log'!$A:$J,MATCH('Scores per segment'!$A89,'Error Log'!$A:$A,0),MATCH('Scores per segment'!B$1,'Error Log'!$A$1:$J$1,0)))</f>
        <v>three people have been sent to prison and another two are awaiting sentencing for their roles in a horrific assault on a 53-year-old man , who was beaten , tied to a chair , and covered in offensive tattoos . a philadelphia court heard thursday that corry ' corey ' campbell , 21 , was the ringleader of the gang , who have become known as the ' tattoo terrorists ' . campbell believed the victim , greg valecce , had hurt his cat , pebbles . valecce , an unemployed drug addict , had been staying in the basement of campbell 's mother 's house in mayfair , in the city 's northeast , however that basement would become a torture chamber where he would be strapped to a chair and violated for three days . torture chamber : corry ' corey ' campbell , 21 ( left ) , the ringleader of a gang dubbed the ' tattoo terrorists ' was jailed for 20 years thursday for the abuse in march/april 21 . david harrison ( right ) is awaiting sentencing . accomplices : sandra ng , 19 ( left ) , campbell 's girlfriend , was sentenced to 23 months in state prison for her role in the shocking assault last year , while another defendant jennifer pratt , 40 , is awaiting trial . campbell apparently discovered that pebbles had suffered a broken leg and had reason to believe valecce was responsible . the incident occurred in late march 2014 , according to philly.com . campbell , his girlfriend sandra ng , 19 , and friend carl halin , 18 , cornered valecce in the basement and took turns punching , slapping and spitting on him . on top of hurting pebbles , campbell believed valecce had also stolen money and some weed . the trio , described by the paper as ' wannabe gangsters ' , filmed the abuse , with the video played in court this week . ' please stop , ' valecce could be heard saying while crying into his hands . ' please , please stop . ' ng could be heard in every video screaming at valecce to stand up , so she could pummel him and call him a ' b -- -- ' . after valecce was beaten he was tied to a chair . while restrained campbell tattooed ' rip pebbles ' onto his right arm along with a smiley face that had breasts for eyes and a penis for a nose . halin then took over the tattoo gun . he inked swastikas , stars of david , two variations of the n-word and a penis ejaculating on a rainbow with the words ' gay pride ' beside it , philly.com reported . valecce suffered three busted ribs , two broken wrists and fractured bones in his face . he was able to escape on april 1 while the others slept and contact police . the incident lasted about 42 hours , the court was told . scene : the abuse occurred in the basement of a rowhouse on brighton ave , mayfair in north philadelphia . dur­ing a search of the house , po­lice al­legedly found a tat­too gun , needles , ink vi­als and re­lated paraphernalia , along with 155 grams of marijuana , sev­er­al bottles of pre­scrip­tion drugs and valecce 's deb­it card , which he claimed had been stolen from him . valecce has since had the tattoos removed , with a local parlor giving him free service , but says the incident has left him with irrevocable damage . ' i 'm scared to go outside now , ' valecce told common pleas court judge charles ehrlich thursday . ' i have nightmares . i ca n't sleep . ' all three were charged with aggravated assault , conspiracy and false imprisonment . they all pleaded guilty . campbell 's attorney said his client had a rough childhood , with his father leaving , suicide attempts and dependencies on xanax and weed . he was sentenced to 20 years in state prison . halin received the same sentence for what he did to valecce . ng , whose attorney who said she had fallen in with the wrong people at school , was sentenced to 23 months in a state prison . another man involved , david thomas , 28 , is awaiting sentencing , while another defendant jennifer pratt , 40 , is awaiting trial .</v>
      </c>
      <c r="C89" s="70" t="str">
        <f>IF(ISBLANK(A89),"",INDEX('Error Log'!$A:$J,MATCH('Scores per segment'!$A89,'Error Log'!$A:$A,0),MATCH('Scores per segment'!C$1,'Error Log'!$A$1:$J$1,0)))</f>
        <v>corry ' corey ' campbell had been staying in the basement of campbell 's mother 's house in mayfair .
campbell believed valecce had suffered a broken leg and had reason to believe valecce was responsible .
campbell apparently discovered that pebbles had suffered a broken leg and had reason to believe valecce was responsible .</v>
      </c>
      <c r="D89" s="70">
        <f>IF(H89=0,wdct(TRIM(C89)),0)</f>
        <v>51</v>
      </c>
      <c r="E89" s="70">
        <f>COUNTIFS('Error Log'!$A:$A,$A89,'Error Log'!$J:$J,E$1)</f>
        <v>8</v>
      </c>
      <c r="F89" s="70">
        <f>COUNTIFS('Error Log'!$A:$A,$A89,'Error Log'!$J:$J,F$1)</f>
        <v>1</v>
      </c>
      <c r="G89" s="70">
        <f>COUNTIFS('Error Log'!$A:$A,$A89,'Error Log'!$J:$J,G$1)</f>
        <v>0</v>
      </c>
      <c r="H89" s="70">
        <f>COUNTIFS('Error Log'!$A:$A,$A89,'Error Log'!$F:$F,"Source")</f>
        <v>0</v>
      </c>
      <c r="I89" s="70">
        <f>COUNTIFS('Error Log'!$A:$A,$A89,'Error Log'!$F:$F,"Target")</f>
        <v>0</v>
      </c>
      <c r="J89" s="71">
        <f t="shared" si="1"/>
        <v>16.666666666666664</v>
      </c>
    </row>
    <row r="90" spans="1:10">
      <c r="A90" s="96" t="s">
        <v>1020</v>
      </c>
      <c r="B90" s="70" t="str">
        <f>IF(ISBLANK(A90),"",INDEX('Error Log'!$A:$J,MATCH('Scores per segment'!$A90,'Error Log'!$A:$A,0),MATCH('Scores per segment'!B$1,'Error Log'!$A$1:$J$1,0)))</f>
        <v>martin skrtel has praised the impact steven gerrard has had upon him since arriving at anfield in 2008 but believes liverpool can overcome the difficult challenge of replacing him .
reds captain gerrard is set to feature for liverpool in the fa cup semi-final against aston villa at wembley on sunday , looking to lead his hometown side into the final against arsenal .
should liverpool emerge victorious against villa , gerrard will sign off his anfield career in the final which takes place on his birthday of may 30 , before moving to la galaxy .
martin skrtel ( left ) says departing liverpool captain steven gerrard is still one of the best players in the world
gerrard is aiming to end his liverpool career by making the fa cup final and beating arsenal
skrtel ( right ) has praised the impact and example gerrard has set during his time at liverpool
srktel believes gerrard is synonymous with liverpool and that the midfielder is still one of the game 's leading stars .
` in my eyes he is still one of the best players in the world , ' skrtel told goal.com .
` when you say liverpool it 's always steven gerrard .
it will be different next season and liverpool will never be the same . '
skrtel was signed by rafael benitez from zenit st petersburg seven years ago and despite some indifferent form upon arriving in england , the slovakia international has gone on to become a mainstay in liverpool 's defence .
skrtel revealed that gerrard helped him to settle at the beginning of his time at the club .
` i can say only good things about him , ' skrtel said .
` from the first day i came to liverpool he was here to help me .
he gave me a hand every single day with everything i needed .
i need to say thanks for that . '
while skrtel admits liverpool will be a different side without gerrard among their ranks , he believes the club have potential replacements to the iconic no 8 .
skrtel ( left ) still considers 34-year-old midfield player gerrard one of the best players in the world
skrtel ( left ) believes liverpool have the players to fill gerrard 's void providing they are given the right help
` he will be leaving after this season and we have a few players who can replace him .
we will try to help them and try to work as a team , ' skrtel explained .
both gerrard and skrtel could return to the liverpool line-up for the match against villa after both served three-match bans for violent conduct in the 2-1 defeat to manchester united in march .</v>
      </c>
      <c r="C90" s="70" t="str">
        <f>IF(ISBLANK(A90),"",INDEX('Error Log'!$A:$J,MATCH('Scores per segment'!$A90,'Error Log'!$A:$A,0),MATCH('Scores per segment'!C$1,'Error Log'!$A$1:$J$1,0)))</f>
        <v>steven gerrard is set to feature for liverpool in the fa cup semi-final against aston villa at wembley on sunday .
martin skrtel has praised the impact and example gerrard has set during his time at liverpool .
skrtel was signed by rafael benitez from zenit st petersburg seven years ago .</v>
      </c>
      <c r="D90" s="70">
        <f>IF(H90=0,wdct(TRIM(C90)),0)</f>
        <v>49</v>
      </c>
      <c r="E90" s="70">
        <f>COUNTIFS('Error Log'!$A:$A,$A90,'Error Log'!$J:$J,E$1)</f>
        <v>2</v>
      </c>
      <c r="F90" s="70">
        <f>COUNTIFS('Error Log'!$A:$A,$A90,'Error Log'!$J:$J,F$1)</f>
        <v>2</v>
      </c>
      <c r="G90" s="70">
        <f>COUNTIFS('Error Log'!$A:$A,$A90,'Error Log'!$J:$J,G$1)</f>
        <v>0</v>
      </c>
      <c r="H90" s="70">
        <f>COUNTIFS('Error Log'!$A:$A,$A90,'Error Log'!$F:$F,"Source")</f>
        <v>0</v>
      </c>
      <c r="I90" s="70">
        <f>COUNTIFS('Error Log'!$A:$A,$A90,'Error Log'!$F:$F,"Target")</f>
        <v>0</v>
      </c>
      <c r="J90" s="71">
        <f t="shared" si="1"/>
        <v>69.387755102040813</v>
      </c>
    </row>
    <row r="91" spans="1:10">
      <c r="A91" s="96" t="s">
        <v>1021</v>
      </c>
      <c r="B91" s="70" t="str">
        <f>IF(ISBLANK(A91),"",INDEX('Error Log'!$A:$J,MATCH('Scores per segment'!$A91,'Error Log'!$A:$A,0),MATCH('Scores per segment'!B$1,'Error Log'!$A$1:$J$1,0)))</f>
        <v>a florida mother has accused a school of threatening to suspend her five-year-old autistic son because of ` essential oils ' he wears to help combat his illness .
jessica kemp from eustis says teachers at seminole county elementary warned they would remove kindergartner logan from class because the products , manufactured by doterra , smell and are a distraction to youngsters around him .
the 32-year-old says she applies the liquid to his head and neck as it helps him keep calm and focused .
jessica kemp from eustis says teachers at seminole county elementary threaten to remove kindergartner logan from class because the oils smelled and were a distraction to youngsters around him
the 32-year-old puts the oil on his neck as she believes it keeps him calm and focused
she claims her boy has been using them all year , but then a teacher 's aide complained .
speaking to click orlando , she said : ` why is it not ok ?
i 'm just being told that he smells .
` i have n't been told that anybody 's been switched out of the room
kemp said she received a letter from the local school board stating the oils had created a ` problem ' for staff and students .
` i could put chemicals in his body , but i ca n't put anything natural on him that has some kind of smell ? '
despite the threat of punishment , mrs kemp has said she will continue to fight the decision and insists the use of the oils has a positive impact on her son .
however , on thursday , lake county school district told the station they would not suspend logan , saying it was a ` health issue ' .
the daily mail online has contacted doterra for comment .
the family uses oils with scents such as lavender , chamomile and sandalwood .
the company who describes their products as being ` beautifully and powerfully fragrant .
the family uses detorra oils with scents such as lavender , chamomile and sandalwood</v>
      </c>
      <c r="C91" s="70" t="str">
        <f>IF(ISBLANK(A91),"",INDEX('Error Log'!$A:$J,MATCH('Scores per segment'!$A91,'Error Log'!$A:$A,0),MATCH('Scores per segment'!C$1,'Error Log'!$A$1:$J$1,0)))</f>
        <v>jessica kemp from eustis says teachers at seminole county elementary warned they would remove kindergartner logan from class because the oils smelled and were a distraction to youngsters around him .
the 32-year-old says she applies the liquid to his head and neck as it helps him keep calm and focused .</v>
      </c>
      <c r="D91" s="70">
        <f>IF(H91=0,wdct(TRIM(C91)),0)</f>
        <v>50</v>
      </c>
      <c r="E91" s="70">
        <f>COUNTIFS('Error Log'!$A:$A,$A91,'Error Log'!$J:$J,E$1)</f>
        <v>2</v>
      </c>
      <c r="F91" s="70">
        <f>COUNTIFS('Error Log'!$A:$A,$A91,'Error Log'!$J:$J,F$1)</f>
        <v>0</v>
      </c>
      <c r="G91" s="70">
        <f>COUNTIFS('Error Log'!$A:$A,$A91,'Error Log'!$J:$J,G$1)</f>
        <v>0</v>
      </c>
      <c r="H91" s="70">
        <f>COUNTIFS('Error Log'!$A:$A,$A91,'Error Log'!$F:$F,"Source")</f>
        <v>0</v>
      </c>
      <c r="I91" s="70">
        <f>COUNTIFS('Error Log'!$A:$A,$A91,'Error Log'!$F:$F,"Target")</f>
        <v>0</v>
      </c>
      <c r="J91" s="71">
        <f t="shared" si="1"/>
        <v>80</v>
      </c>
    </row>
    <row r="92" spans="1:10">
      <c r="A92" s="96" t="s">
        <v>1022</v>
      </c>
      <c r="B92" s="70" t="str">
        <f>IF(ISBLANK(A92),"",INDEX('Error Log'!$A:$J,MATCH('Scores per segment'!$A92,'Error Log'!$A:$A,0),MATCH('Scores per segment'!B$1,'Error Log'!$A$1:$J$1,0)))</f>
        <v>it used to be as much a part of a sunday routine as eating a roast dinner or reading the papers .
but new figures show that the art of washing your own car appears to be dying out in britain with a thrid of men admitting they have never picked up a bucket or chamois leather to clean their own motor .
the study also reveals that three-quarters of women never wash their own car with drivers more likely to take it to a car wash on a local forecourt .
a new study has revealed that a third of men have never picked up a bucket and a chamois leather to wash their own car ( file pic )
the survey of 1,100 adults by vehicle leasing firm osv , found that 31 per cent of men have never washed their own car , with only 12 per cent of those that do saying they do it regularly .
meanwhile only five per cent of those surveyed said that had ever asked their children to wash the car , as a way for them to earn extra pocket money .
factors behind the decline vary from shops now opening on a sunday and more live football on tv , meaning more people put off the chore at the weekend .
the rise of hand car washes has been blamed for a decrease in drivers washing their own cars ( file pic )
other reasons given for not washing cars include the rise of hand car washes and the fact that 4x4 and off-road vehicles are too large to clean .
brits are more likely to wash their own car during the holidays as the recent easter break saw an estimated 15 million cars cleaned by their owners .
however , one in four said they only did it as an excuse to get out of the house .
cars are most likely to be washed by their owners every week in birmingham , chelmsford and sheffield and least likely in oxford , bath and edinburgh .
audis , toyotas and bmws are most likely to be washed by their owners and range rovers , peugeots and mercedes least often .
osv spokesman andrew kirkley said : ` a lot of us remember seeing our streets full of men cleaning their cars every sunday .
it was a national tradition .
` but let 's face it , we do n't have as much time any more , the cars are bigger and even the kids do n't seem to want to earn a bit of extra money doing it for us either .
` on top of that , there is now plenty of choice out there if you want to put the car through an automated machine or get a gang of enthusiastic guys to do it for you fairly cheaply . '</v>
      </c>
      <c r="C92" s="70" t="str">
        <f>IF(ISBLANK(A92),"",INDEX('Error Log'!$A:$J,MATCH('Scores per segment'!$A92,'Error Log'!$A:$A,0),MATCH('Scores per segment'!C$1,'Error Log'!$A$1:$J$1,0)))</f>
        <v>survey of 1,100 adults by vehicle leasing firm osv found that 31 per cent of men have never picked up a bucket or chamois leather to clean their own motor .
meanwhile only five per cent of those surveyed said that had ever asked their children to wash the car , as a way for them to earn extra pocket money .</v>
      </c>
      <c r="D92" s="70">
        <f>IF(H92=0,wdct(TRIM(C92)),0)</f>
        <v>59</v>
      </c>
      <c r="E92" s="70">
        <f>COUNTIFS('Error Log'!$A:$A,$A92,'Error Log'!$J:$J,E$1)</f>
        <v>1</v>
      </c>
      <c r="F92" s="70">
        <f>COUNTIFS('Error Log'!$A:$A,$A92,'Error Log'!$J:$J,F$1)</f>
        <v>1</v>
      </c>
      <c r="G92" s="70">
        <f>COUNTIFS('Error Log'!$A:$A,$A92,'Error Log'!$J:$J,G$1)</f>
        <v>0</v>
      </c>
      <c r="H92" s="70">
        <f>COUNTIFS('Error Log'!$A:$A,$A92,'Error Log'!$F:$F,"Source")</f>
        <v>0</v>
      </c>
      <c r="I92" s="70">
        <f>COUNTIFS('Error Log'!$A:$A,$A92,'Error Log'!$F:$F,"Target")</f>
        <v>0</v>
      </c>
      <c r="J92" s="71">
        <f t="shared" si="1"/>
        <v>87.288135593220346</v>
      </c>
    </row>
    <row r="93" spans="1:10">
      <c r="A93" s="96" t="s">
        <v>1023</v>
      </c>
      <c r="B93" s="70" t="str">
        <f>IF(ISBLANK(A93),"",INDEX('Error Log'!$A:$J,MATCH('Scores per segment'!$A93,'Error Log'!$A:$A,0),MATCH('Scores per segment'!B$1,'Error Log'!$A$1:$J$1,0)))</f>
        <v>a beach-side apartment complex in the hamptons has been obliterated by flames .
smoked poured over westhampton beach on wednesday at 3 pm as a fire spread through 90 condos before the building eventually collapsed .
it is not known what started the blaze , which was so intense it melted the paint off nearby buildings .
ravaged : ninety condos on the beach in westhampton were obliterated by flames on wednesday afternoon
intense : smoke poured toward the ocean and could be seen from three miles away as 12 fire crews tried to control the flames
before : this is what the pristine complex looked like before the fire .
it is used as a holiday home by residents between may and november
twelve fire teams were deployed in a bid to control the flames but could not get inside any of the summer homes .
janice sklarek , who owns one of the apartments in the sandpiper complex which is open between may and november , told nbc : ` we saw the big black smoke coming off the ocean and could n't get down here fast enough .
` flames were coming out of every window .
` this is something that you think happen to other people , but when it happens to yourself , it 's just unbelievable . '
` lost everything ' : the building manager who lived and worked in the sandpiper complex was distraught watching the fire
best efforts : firefighters used cranes to approach the fire which was so strong they could n't get inside the building
intense : residents said the fire , whic is being investigated , was so intense it melted the paint off buildings nearby
her partner , building manager rob taber who lived and worked in the building , said he has lost everything .
a witness , dave rose , told abc 7 : ` you could see flames from about three miles away and you still saw all the flames going up . '
westhampton fire chief ross donneson told nbc : ` luckily the wind was offshore , so we had good visibility of the front of the structure and we set up our apparatus to combat the fire . '
he told abc 7 they are investigating claims the fire started near a car parked by the complex .
the sandpiper complex is open between may and november</v>
      </c>
      <c r="C93" s="70" t="str">
        <f>IF(ISBLANK(A93),"",INDEX('Error Log'!$A:$J,MATCH('Scores per segment'!$A93,'Error Log'!$A:$A,0),MATCH('Scores per segment'!C$1,'Error Log'!$A$1:$J$1,0)))</f>
        <v>ninety condos on the beach in westhampton were obliterated by flames on wednesday afternoon .
it is not known what started the blaze , which was so intense it melted the paint off nearby buildings .</v>
      </c>
      <c r="D93" s="70">
        <f>IF(H93=0,wdct(TRIM(C93)),0)</f>
        <v>33</v>
      </c>
      <c r="E93" s="70">
        <f>COUNTIFS('Error Log'!$A:$A,$A93,'Error Log'!$J:$J,E$1)</f>
        <v>1</v>
      </c>
      <c r="F93" s="70">
        <f>COUNTIFS('Error Log'!$A:$A,$A93,'Error Log'!$J:$J,F$1)</f>
        <v>0</v>
      </c>
      <c r="G93" s="70">
        <f>COUNTIFS('Error Log'!$A:$A,$A93,'Error Log'!$J:$J,G$1)</f>
        <v>0</v>
      </c>
      <c r="H93" s="70">
        <f>COUNTIFS('Error Log'!$A:$A,$A93,'Error Log'!$F:$F,"Source")</f>
        <v>0</v>
      </c>
      <c r="I93" s="70">
        <f>COUNTIFS('Error Log'!$A:$A,$A93,'Error Log'!$F:$F,"Target")</f>
        <v>0</v>
      </c>
      <c r="J93" s="71">
        <f t="shared" si="1"/>
        <v>84.848484848484844</v>
      </c>
    </row>
    <row r="94" spans="1:10">
      <c r="A94" s="96" t="s">
        <v>1024</v>
      </c>
      <c r="B94" s="70" t="str">
        <f>IF(ISBLANK(A94),"",INDEX('Error Log'!$A:$J,MATCH('Scores per segment'!$A94,'Error Log'!$A:$A,0),MATCH('Scores per segment'!B$1,'Error Log'!$A$1:$J$1,0)))</f>
        <v>( cnn ) with help from some filmmakers , 102-year-old alice barker went back in time .
barker was a dancer in such new york nightspots as the cotton club and the cafe zanzibar in the 1930s and 1940s , part of chorus lines that entertained alongside notables including bill " bojangles " robinson and frank sinatra .
there were motion pictures made of barker , but she had never seen any of them .
moreover , her photographs and memorabilia had all been lost over the years .
so she had never seen herself actually dancing -- until now .
mark cantor of jazz-on-film.com and some volunteers put together a video of " soundies " -- early music videos -- and showed them to barker at the nursing home where she lives .
the ageless dancer was delighted .
" it 's just fabulous , " she said .</v>
      </c>
      <c r="C94" s="70" t="str">
        <f>IF(ISBLANK(A94),"",INDEX('Error Log'!$A:$J,MATCH('Scores per segment'!$A94,'Error Log'!$A:$A,0),MATCH('Scores per segment'!C$1,'Error Log'!$A$1:$J$1,0)))</f>
        <v>barker was a dancer in such new york nightspots as the cotton club and the cafe zanzibar in the 1930s and 1940s .
she had never seen herself dancing -- until now .
mark cantor of jazz-on-film.com and some volunteers put together a video of `` soundies '' .</v>
      </c>
      <c r="D94" s="70">
        <f>IF(H94=0,wdct(TRIM(C94)),0)</f>
        <v>44</v>
      </c>
      <c r="E94" s="70">
        <f>COUNTIFS('Error Log'!$A:$A,$A94,'Error Log'!$J:$J,E$1)</f>
        <v>1</v>
      </c>
      <c r="F94" s="70">
        <f>COUNTIFS('Error Log'!$A:$A,$A94,'Error Log'!$J:$J,F$1)</f>
        <v>1</v>
      </c>
      <c r="G94" s="70">
        <f>COUNTIFS('Error Log'!$A:$A,$A94,'Error Log'!$J:$J,G$1)</f>
        <v>0</v>
      </c>
      <c r="H94" s="70">
        <f>COUNTIFS('Error Log'!$A:$A,$A94,'Error Log'!$F:$F,"Source")</f>
        <v>0</v>
      </c>
      <c r="I94" s="70">
        <f>COUNTIFS('Error Log'!$A:$A,$A94,'Error Log'!$F:$F,"Target")</f>
        <v>0</v>
      </c>
      <c r="J94" s="71">
        <f t="shared" si="1"/>
        <v>82.954545454545467</v>
      </c>
    </row>
    <row r="95" spans="1:10">
      <c r="A95" s="96" t="s">
        <v>1025</v>
      </c>
      <c r="B95" s="70" t="str">
        <f>IF(ISBLANK(A95),"",INDEX('Error Log'!$A:$J,MATCH('Scores per segment'!$A95,'Error Log'!$A:$A,0),MATCH('Scores per segment'!B$1,'Error Log'!$A$1:$J$1,0)))</f>
        <v>she might be approaching her 89th birthday but nothing was going to stop the queen from enjoying a ride in the spring sunshine this morning .
the monarch , 88 , was spotted trotting through windsor great park aboard her faithful black fell pony , carltonlima emma .
joined by a groom on another of her fell ponies , the queen cut a relaxed figure as she enjoyed her ride but , as is her wont , eschewed a helmet in favour of one of her silk scarves .
enjoying the sunshine : the queen enjoys a ride on her fell pony carltonlima emma
the queen , who has never worn riding helmets , has been encouraged to wear the safety hats in the past but is reportedly reluctant to wear one because of her hair .
speaking in an interview last year , her racing trainer ian balding recalled the moment he asked why the monarch never wears a riding hat .
the queen is said to have replied : ` i never have and you do n't have to have your hair done like i do . '
her majesty is famous for her love of horses and first found herself in the saddle at the age of four after being presented with a shetland pony , named peggy , aged four .
since then , the royal stables have been home to a succession of steeds , among them betsy , a black farm-bred horse who was her mount of choice in the 50 's , and surprise , a grey gelding whom the queen famously galloped down the course at ascot in 1961 .
equine enthusiast : her majesty adores the ponies and breeds them at hampton court
no helmet : the queen never wears a riding helmet , preferring instead to ride in a silk headscarf
cutting back : she has ridden less in recent years as a result of a niggling knee injury
long term love : the queen has ridden all her life and continues to breed several breeds of horse and pony
recent years have seen her cut down on the amount of time she spends in the saddle - the result of a niggling knee injury that also forced her to give up presiding over trooping the colour on horseback .
nevertheless , the queen remains an enthusiastic equestrienne and , according to sources , is a familiar sight at her windsor stables .
she is also said to take a keen interest in all her horses and ponies , some of whom are now ridden by her grandchildren , notably prince edward 's children , lady louise and james , viscount severn .
along with her thoroughbred race horses , the queen also breeds fell ponies and has a stud specialising in highland ponies at balmoral .
first love : the queen 's first pony was a tiny shetland named peggy who was given to her at the age of four
familiar sight : the queen riding her much-loved horse burmese during trooping the colour
seal of approval : a fell pony foal similar to those being bred by the queen at hampton court
one of the oldest equine breeds on the planet , fell ponies like the queen 's mount carltonlima emma , have roamed the moors of cumbria since the neolithic period .
docile , hardy and thick-set , the majority of fell ponies are black , grey or bay and measure between 13 and 14hh .
highly prized by the carvetii , the iron age tribe who occupied the region more than two millennia ago , the ponies later caught the eye of the invading romans and were used as trade goods all over the empire .
the romans also helped develop the breed into the relatively large animal it is today .
originally thought to have stood around 12hh tall ( similar to dartmoor and exmoor ponies ) , by the end of the roman period , the average fell was more than a hand higher .
another invader to fall in love with the fell pony was the vikings , who used the animals as pack ponies ; a use continued by the normans .
by the 13th century , the fell 's usefulness as a pack animal was well-established and the pony played an important role in british trade until the end of the 18th century .
following the industrial revolution , fells were used to transport iron ore and coal from mine to town , as well as underground when the height of the shaft allowed .
although previously used in trotting races , the fell pony really came into its as a riding horse in the 1950s , when its gentle nature and pretty looks made it the pony of choice for families .
today , the pony remains a popular choice for riders of all ages , among them the queen who breeds fell ponies at her hampton court stud .
source : the fell pony society</v>
      </c>
      <c r="C95" s="70" t="str">
        <f>IF(ISBLANK(A95),"",INDEX('Error Log'!$A:$J,MATCH('Scores per segment'!$A95,'Error Log'!$A:$A,0),MATCH('Scores per segment'!C$1,'Error Log'!$A$1:$J$1,0)))</f>
        <v>the monarch , 88 , was spotted trotting through windsor great park .
joined by a groom on another of her fell ponies , the queen cut a relaxed figure as she enjoyed her ride but is reportedly reluctant to wear one because of her hair .</v>
      </c>
      <c r="D95" s="70">
        <f>IF(H95=0,wdct(TRIM(C95)),0)</f>
        <v>42</v>
      </c>
      <c r="E95" s="70">
        <f>COUNTIFS('Error Log'!$A:$A,$A95,'Error Log'!$J:$J,E$1)</f>
        <v>2</v>
      </c>
      <c r="F95" s="70">
        <f>COUNTIFS('Error Log'!$A:$A,$A95,'Error Log'!$J:$J,F$1)</f>
        <v>0</v>
      </c>
      <c r="G95" s="70">
        <f>COUNTIFS('Error Log'!$A:$A,$A95,'Error Log'!$J:$J,G$1)</f>
        <v>0</v>
      </c>
      <c r="H95" s="70">
        <f>COUNTIFS('Error Log'!$A:$A,$A95,'Error Log'!$F:$F,"Source")</f>
        <v>0</v>
      </c>
      <c r="I95" s="70">
        <f>COUNTIFS('Error Log'!$A:$A,$A95,'Error Log'!$F:$F,"Target")</f>
        <v>0</v>
      </c>
      <c r="J95" s="71">
        <f t="shared" si="1"/>
        <v>76.19047619047619</v>
      </c>
    </row>
    <row r="96" spans="1:10">
      <c r="A96" s="96" t="s">
        <v>1026</v>
      </c>
      <c r="B96" s="70" t="str">
        <f>IF(ISBLANK(A96),"",INDEX('Error Log'!$A:$J,MATCH('Scores per segment'!$A96,'Error Log'!$A:$A,0),MATCH('Scores per segment'!B$1,'Error Log'!$A$1:$J$1,0)))</f>
        <v>a quokka was the innocent victim of a cruel act by two french tourists who tried to set the australian animal alight .
the two men allegedly ignited an aerosol spray with a lighter causing a large flame to make contact with a quokka on rottnest island off perth in western australia on april 3 .
the lucky little critter survived the reckless incident but was singed by the flame .
two french male tourists allegedly ignited an aerosol spray with a lighter causing a large flame to make contact with a quokka on rottnest island off perth in western australia on april 3
detectives went to rottnest island on saturday and questioned the two men and also seized video evidence of the careless act .
both men aged 18 and 24 , and both currently living in cockburn central , were evicted from the island .
they have each been charged with animal cruelty and will appear in fremantle magistrates court on april 17 .
the size of a domestic cat
quokkas can be found on some small islands off the west australian coast
in particular off rottnest island off perth and bald island near albany
the lucky little critter survived the reckless incident but was singed by the flame and the men were charged</v>
      </c>
      <c r="C96" s="70" t="str">
        <f>IF(ISBLANK(A96),"",INDEX('Error Log'!$A:$J,MATCH('Scores per segment'!$A96,'Error Log'!$A:$A,0),MATCH('Scores per segment'!C$1,'Error Log'!$A$1:$J$1,0)))</f>
        <v>the two men allegedly ignited an aerosol spray with a lighter causing a large flame to make contact with a quokka on rottnest island off perth in western australia on april 3 .
both men aged 18 and 24 , and both living in cockburn central , were evicted from the island .</v>
      </c>
      <c r="D96" s="70">
        <f>IF(H96=0,wdct(TRIM(C96)),0)</f>
        <v>49</v>
      </c>
      <c r="E96" s="70">
        <f>COUNTIFS('Error Log'!$A:$A,$A96,'Error Log'!$J:$J,E$1)</f>
        <v>1</v>
      </c>
      <c r="F96" s="70">
        <f>COUNTIFS('Error Log'!$A:$A,$A96,'Error Log'!$J:$J,F$1)</f>
        <v>1</v>
      </c>
      <c r="G96" s="70">
        <f>COUNTIFS('Error Log'!$A:$A,$A96,'Error Log'!$J:$J,G$1)</f>
        <v>0</v>
      </c>
      <c r="H96" s="70">
        <f>COUNTIFS('Error Log'!$A:$A,$A96,'Error Log'!$F:$F,"Source")</f>
        <v>0</v>
      </c>
      <c r="I96" s="70">
        <f>COUNTIFS('Error Log'!$A:$A,$A96,'Error Log'!$F:$F,"Target")</f>
        <v>0</v>
      </c>
      <c r="J96" s="71">
        <f t="shared" si="1"/>
        <v>84.693877551020407</v>
      </c>
    </row>
    <row r="97" spans="1:10">
      <c r="A97" s="96" t="s">
        <v>1027</v>
      </c>
      <c r="B97" s="70" t="str">
        <f>IF(ISBLANK(A97),"",INDEX('Error Log'!$A:$J,MATCH('Scores per segment'!$A97,'Error Log'!$A:$A,0),MATCH('Scores per segment'!B$1,'Error Log'!$A$1:$J$1,0)))</f>
        <v>an argument between two brisbane neighbours over noise levels has ended in tragedy with one man dead and another charged with manslaughter .
leon yeaman , 55 , was allegedly killed by a single punch in the head from 28-year-old shift worker phillip pama , 28 , during a row in front of their north brisbane homes .
mr yeaman was reportedly in his yard on muller road making a lot of noise at around 9 pm thursday night .
phillip pama covered his face as he left brisbane magistrate courts where he was granted conditional bail on friday
pama , a married father of three , works a 3 am shift at a nearby warehouse and was sleeping at the time mr yeaman was making a commotion .
pama 's defence lawyer bruce peters said mr yeaman was known for getting drunk , playing loud music and yelling at ` the world at large ' .
pama then confronted mr yeaman and it was at that point the situation escalated .
mr peters said his client grabbed his neighbour by the hand and hit out ` blindly ' .
` he was being pushed at the same time he was throwing the punch , ' mr peters revealed during a bail application for pama .
` he did n't see it connect but he felt it connect . '
the father of three allegedly killed his 55-year-old neighbour with one punch after he refused to turn his music down
paramedics were unable to revive mr yeaman who was pronounced dead at the scene at around 11 pm on thursday night .
neighbours described mr yeaman as king and generous while his friend john fisher told abc radio he was a schizophrenic pensioner who enjoyed playing loud music .
pama shielded his face from reporters outside brisbane magistrate courts when he was granted bail on friday .
the samoan man was ordered to surrender his passport , aherre to a curfew from 6 pm to 2 am and will have to report to the local police station twice a week .
pama , who has no history of violence , was reportedly ` beside himself ' with grief .
the case is due to return to court on may 18 .</v>
      </c>
      <c r="C97" s="70" t="str">
        <f>IF(ISBLANK(A97),"",INDEX('Error Log'!$A:$J,MATCH('Scores per segment'!$A97,'Error Log'!$A:$A,0),MATCH('Scores per segment'!C$1,'Error Log'!$A$1:$J$1,0)))</f>
        <v>leon yeaman , 55 , was allegedly killed by a single punch in the head from shift worker phillip pama , 28 , during a row in front of their north brisbane homes .
mr yeaman was reportedly in his yard on muller road making a lot of noise at around 9pm thursday night .
pama , a married father of three , works a 3 am shift at a nearby warehouse and was sleeping at the time he was making a commotion .</v>
      </c>
      <c r="D97" s="70">
        <f>IF(H97=0,wdct(TRIM(C97)),0)</f>
        <v>75</v>
      </c>
      <c r="E97" s="70">
        <f>COUNTIFS('Error Log'!$A:$A,$A97,'Error Log'!$J:$J,E$1)</f>
        <v>1</v>
      </c>
      <c r="F97" s="70">
        <f>COUNTIFS('Error Log'!$A:$A,$A97,'Error Log'!$J:$J,F$1)</f>
        <v>1</v>
      </c>
      <c r="G97" s="70">
        <f>COUNTIFS('Error Log'!$A:$A,$A97,'Error Log'!$J:$J,G$1)</f>
        <v>0</v>
      </c>
      <c r="H97" s="70">
        <f>COUNTIFS('Error Log'!$A:$A,$A97,'Error Log'!$F:$F,"Source")</f>
        <v>0</v>
      </c>
      <c r="I97" s="70">
        <f>COUNTIFS('Error Log'!$A:$A,$A97,'Error Log'!$F:$F,"Target")</f>
        <v>0</v>
      </c>
      <c r="J97" s="71">
        <f t="shared" si="1"/>
        <v>90</v>
      </c>
    </row>
    <row r="98" spans="1:10">
      <c r="A98" s="96" t="s">
        <v>1028</v>
      </c>
      <c r="B98" s="70" t="str">
        <f>IF(ISBLANK(A98),"",INDEX('Error Log'!$A:$J,MATCH('Scores per segment'!$A98,'Error Log'!$A:$A,0),MATCH('Scores per segment'!B$1,'Error Log'!$A$1:$J$1,0)))</f>
        <v>( cnn ) the university of michigan has decided to proceed with a screening of the film " american sniper " despite objections from some students .
more than 200 students signed a petition asking the school not to show the movie as part of umix , a series of social events the university stages for students .
bradley cooper was nominated for an oscar for his portrayal of chris kyle , a navy seal and the most lethal sniper in u.s. military history .
kyle was fatally shot at a texas shooting range in 2013 .
some students believed the movie 's depiction of the iraq war reflected negatively on the middle east and people from that region .
michigan 's detroit metropolitan area is home to the nation 's largest arab-american population .
but there was a backlash to the decision to yank the movie , and a counter-petition asked school officials to reconsider .
on wednesday , e. royster harper , university of michigan 's vice president for student life , said in a statement that " it was a mistake to cancel the showing of the movie ` american sniper ' on campus as part of a social event for students " and that the show will go on .
" the initial decision to cancel the movie was not consistent with the high value the university of michigan places on freedom of expression and our respect for the right of students to make their own choices in such matters , " the statement said .
umix will offer a screening of the family-friendly " paddington " for those who would rather not attend " american sniper . "
the announcement drew praise from michigan head football coach jim harbaugh .</v>
      </c>
      <c r="C98" s="70" t="str">
        <f>IF(ISBLANK(A98),"",INDEX('Error Log'!$A:$J,MATCH('Scores per segment'!$A98,'Error Log'!$A:$A,0),MATCH('Scores per segment'!C$1,'Error Log'!$A$1:$J$1,0)))</f>
        <v>bradley cooper was nominated for an oscar for his portrayal of chris kyle , a navy seal and the most lethal sniper in u.s. military history .
some students believed the movie 's depiction of the iraq war reflected negatively on the middle east .</v>
      </c>
      <c r="D98" s="70">
        <f>IF(H98=0,wdct(TRIM(C98)),0)</f>
        <v>43</v>
      </c>
      <c r="E98" s="70">
        <f>COUNTIFS('Error Log'!$A:$A,$A98,'Error Log'!$J:$J,E$1)</f>
        <v>2</v>
      </c>
      <c r="F98" s="70">
        <f>COUNTIFS('Error Log'!$A:$A,$A98,'Error Log'!$J:$J,F$1)</f>
        <v>1</v>
      </c>
      <c r="G98" s="70">
        <f>COUNTIFS('Error Log'!$A:$A,$A98,'Error Log'!$J:$J,G$1)</f>
        <v>0</v>
      </c>
      <c r="H98" s="70">
        <f>COUNTIFS('Error Log'!$A:$A,$A98,'Error Log'!$F:$F,"Source")</f>
        <v>0</v>
      </c>
      <c r="I98" s="70">
        <f>COUNTIFS('Error Log'!$A:$A,$A98,'Error Log'!$F:$F,"Target")</f>
        <v>0</v>
      </c>
      <c r="J98" s="71">
        <f t="shared" si="1"/>
        <v>70.930232558139537</v>
      </c>
    </row>
    <row r="99" spans="1:10">
      <c r="A99" s="96" t="s">
        <v>1029</v>
      </c>
      <c r="B99" s="70" t="str">
        <f>IF(ISBLANK(A99),"",INDEX('Error Log'!$A:$J,MATCH('Scores per segment'!$A99,'Error Log'!$A:$A,0),MATCH('Scores per segment'!B$1,'Error Log'!$A$1:$J$1,0)))</f>
        <v>jilted music teacher yulia simonova , 52 , wanted to hire a hitman to torture and murder 15-year-old damian vanya after he ended their relationship
a hidden camera filmed the moment a jilted 52-year-old music teacher ordered a ` hit ' on a teenage pupil , after the 15-year-old ended their relationship .
yulia simonova faces 15 years behind bars after she asked a friend to find someone willing to torture and kill damian vanya in exchange for 100,000 rubles ( £ 1,400 ) , after he dumped her for a classmate .
but police set up a sting operation , sending one of their undercover officers to pose as a hitman during a meeting with simonova in the russian city of shatura , near the capital of moscow .
a secret camera filmed the exchange , where the 52-year-old teacher - who had showered the pupil with gifts and money for a year before he ended the relationship - said she wanted the boy to slowly bleed to death before she ` finished ' him .
she told the undercover policeman : ` you must really beat him up because i want him to suffer from unbearable pain .
an undercover police officer , posing as a hitman , filmed simonova ordering the hit on her teenage ex-lover
after handing over expense money .
part of £ 1,400 offered for a ` hit ' , police arrested the 52-year-old in her car
the russian music teacher now faces 15 years in prison after being charged with attempted murder
` i want you to break his arms and legs but do not touch his face .
really attack and damage his kidneys because i want him to bleed out .
` i want to see him in a really bad state and then to just say a few words to him that he will understand .
` then we will finish him together . '
after she had handed over some expenses money to the ` killer ' she was arrested by armed police in her car .
she was searched before being taken to a police station where she was remanded in custody on charges of attempted murder .
simonova asked the undercover police officer said she wanted him to break the 15 year old 's arms and legs before she would join in and ` finish him ' .
the 52-year-old had showered the teen with gifts during their affair
pupil vanya ended the relationship with his teacher , pictured being arrested by police , when he got together with his classmate .
he said he hoped the guards would ` throw away the key ' for simonova 's prison cell
vanya , who is thought to have broken off the relationship with the teacher for one of his classmates , said he was relieved .
` i hope they throw away the key ' , he added .</v>
      </c>
      <c r="C99" s="70" t="str">
        <f>IF(ISBLANK(A99),"",INDEX('Error Log'!$A:$J,MATCH('Scores per segment'!$A99,'Error Log'!$A:$A,0),MATCH('Scores per segment'!C$1,'Error Log'!$A$1:$J$1,0)))</f>
        <v>yulia simonova , 52 , wanted to hire a hitman to torture and kill damian vanya .
she asked a friend to find someone willing to torture and kill damian vanya .
but police set up a sting operation , sending one of their undercover officers to pose as a hitman during a meeting with simonova in the russian city of moscow .</v>
      </c>
      <c r="D99" s="70">
        <f>IF(H99=0,wdct(TRIM(C99)),0)</f>
        <v>57</v>
      </c>
      <c r="E99" s="70">
        <f>COUNTIFS('Error Log'!$A:$A,$A99,'Error Log'!$J:$J,E$1)</f>
        <v>2</v>
      </c>
      <c r="F99" s="70">
        <f>COUNTIFS('Error Log'!$A:$A,$A99,'Error Log'!$J:$J,F$1)</f>
        <v>2</v>
      </c>
      <c r="G99" s="70">
        <f>COUNTIFS('Error Log'!$A:$A,$A99,'Error Log'!$J:$J,G$1)</f>
        <v>0</v>
      </c>
      <c r="H99" s="70">
        <f>COUNTIFS('Error Log'!$A:$A,$A99,'Error Log'!$F:$F,"Source")</f>
        <v>0</v>
      </c>
      <c r="I99" s="70">
        <f>COUNTIFS('Error Log'!$A:$A,$A99,'Error Log'!$F:$F,"Target")</f>
        <v>0</v>
      </c>
      <c r="J99" s="71">
        <f t="shared" si="1"/>
        <v>73.684210526315795</v>
      </c>
    </row>
    <row r="100" spans="1:10">
      <c r="A100" s="96" t="s">
        <v>1030</v>
      </c>
      <c r="B100" s="70" t="str">
        <f>IF(ISBLANK(A100),"",INDEX('Error Log'!$A:$J,MATCH('Scores per segment'!$A100,'Error Log'!$A:$A,0),MATCH('Scores per segment'!B$1,'Error Log'!$A$1:$J$1,0)))</f>
        <v>a trend we are just starting to get our heads around is the wide leg trouser .
be it denim , cropped , printed or striped , the wide leg trouser is at the forefront of ss15 trends .
there 's something effortless about a wide leg trouser that really appeals .
and if like us you are growing tired of the skinny jean and want to try out a new look this could be your answer .
louise redknapp says that a wide-leg trouser can come as a welcome relief from the skinny jean
skinny jeans have held court for quite a few years now and while they will never go out of style the wide leg will give you an alternative look .
it 's not the first time this look has made a comeback since the seventies .
lou tried the out the trend seven years ago with a stella mccartney flared jean - luckily she kept hold of them !
the wide leg can be intimidating , especially if you 're on the shorter side .
but the key is all in the shoe .
huge amounts of fabric is hard to look flattering but if you keep your heels high and your top half simple you can pull it off with confidence .
a high heeled shoe with an exposed top of foot will elongate the leg , a must when wearing a cropped voluminous trouser .
louise and emma say to avoid being drowned by too much fabric try a high heeled shoe
louise recommends pairing a wide-leg with a simple knit to keep the outfit in proportion
if going for a longer length go high-waisted and very long to give extra leg length .
proportion is everything , team with a simple knit , shirt or tee to keep the look current and cool , not costume .
denim is the easiest way to nail the trend - gucci revisited the seventies with a collection filled with flared jeans in vintage washes .
the stylish pair agree that denim is the easiest way to achieve the trend
the wide-leg trouser made an appearance on several catwalks including on the runway of gucci ss15 who showcased a denim take on the trend , for a high street take try the topshop miller jean ( right )
celine showcased colourful billowing bottoms on their ss15 runway
topshop meanwhile have been quick to follow suit with their version - the miller - a 1970s-style wide leg flare .
celine and stella mccartney kept it classy with a dressier-style pant , perfect for an evening look .
try new online label finery london for a similar style with a lower price tag .
a wide billowing trouser silhouette will update your wardrobe this season and the bonus is it 's one spring trend you do n't need nice weather for .
to shop our looks and for more wide-leg trouser inspiration head to astylealbum.com .
poppy delevingne channeled the trend at the aw15 chloe show in paris</v>
      </c>
      <c r="C100" s="70" t="str">
        <f>IF(ISBLANK(A100),"",INDEX('Error Log'!$A:$J,MATCH('Scores per segment'!$A100,'Error Log'!$A:$A,0),MATCH('Scores per segment'!C$1,'Error Log'!$A$1:$J$1,0)))</f>
        <v>the wide leg trouser is at the forefront of ss15 trends .
it 's not the first time this look has made a comeback since the seventies .
it 's not the first time this look has made a comeback since the seventies .</v>
      </c>
      <c r="D100" s="70">
        <f>IF(H100=0,wdct(TRIM(C100)),0)</f>
        <v>41</v>
      </c>
      <c r="E100" s="70">
        <f>COUNTIFS('Error Log'!$A:$A,$A100,'Error Log'!$J:$J,E$1)</f>
        <v>1</v>
      </c>
      <c r="F100" s="70">
        <f>COUNTIFS('Error Log'!$A:$A,$A100,'Error Log'!$J:$J,F$1)</f>
        <v>2</v>
      </c>
      <c r="G100" s="70">
        <f>COUNTIFS('Error Log'!$A:$A,$A100,'Error Log'!$J:$J,G$1)</f>
        <v>0</v>
      </c>
      <c r="H100" s="70">
        <f>COUNTIFS('Error Log'!$A:$A,$A100,'Error Log'!$F:$F,"Source")</f>
        <v>0</v>
      </c>
      <c r="I100" s="70">
        <f>COUNTIFS('Error Log'!$A:$A,$A100,'Error Log'!$F:$F,"Target")</f>
        <v>0</v>
      </c>
      <c r="J100" s="71">
        <f t="shared" si="1"/>
        <v>75.609756097560975</v>
      </c>
    </row>
    <row r="101" spans="1:10">
      <c r="A101" s="96" t="s">
        <v>1031</v>
      </c>
      <c r="B101" s="70" t="str">
        <f>IF(ISBLANK(A101),"",INDEX('Error Log'!$A:$J,MATCH('Scores per segment'!$A101,'Error Log'!$A:$A,0),MATCH('Scores per segment'!B$1,'Error Log'!$A$1:$J$1,0)))</f>
        <v>mourinho with his wife matilde faria at the 2014 victoria 's secret fashion show in london
chelsea football manager jose mourinho has revealed that he talks to god every day , but never about football and never discusses the game with his wife .
the father-of-two said that he and his family ` know about poverty ' and have been privileged to have worked with the word food programme as an ambassador against hunger .
the 52-year-old football manager said that he tries his best to separate his professional and his family life .
speaking to the daily telegraph , mourinho admitted that he has a strong faith in god .
` i believe totally , clearly .
every day i pray ; every day i speak with him .
i do n't go to the church every day , not even every week .
i go when i feel i need to .
and when i 'm in portugal , i always go . '
the former real madrid manager said he only prays for things in is personal life , never about chelsea .
` i can say the reality is i never go to the church to speak with him about football .
despite his intensely arrogant persona on the sideline , mourinho claims that he is a good person .
and i think i am .
i do n't have problems with family or friends .
i am a good family person ; i am a good friend .
i try to support people that i do n't even know .
` do i make mistakes ?
my professional area is not only very competitive -- it is competitive and emotional and [ you must ] push people for a certain kind of behaviour -- absolutely , yes .
but the professional life is only part of a person ; a person is much more than that . '
chelsea are currently top of the league and are playing struggling qpr this weekend .
earlier this season , mourinho was fined £ 25,000 by football authorities for claiming there was a ` campaign ' against chelsea after cesc fabregas was booked for diving against southampton .
mourinho , with his wife and children at the hunger games premiere , said he only prays for things in his personal life , never about football
mourinho 's son , jose mario , celebrates chelsea 's capital one cup victory with some of the players this year
the 52-year-old father-of-two said that he prays every day but only goes to church regularly in portugal</v>
      </c>
      <c r="C101" s="70" t="str">
        <f>IF(ISBLANK(A101),"",INDEX('Error Log'!$A:$J,MATCH('Scores per segment'!$A101,'Error Log'!$A:$A,0),MATCH('Scores per segment'!C$1,'Error Log'!$A$1:$J$1,0)))</f>
        <v>chelsea are top of the league and are playing struggling qpr this weekend .
chelsea are top of the league and are playing struggling qpr this weekend .
chelsea are top of the league and are playing struggling qpr this weekend .</v>
      </c>
      <c r="D101" s="70">
        <f>IF(H101=0,wdct(TRIM(C101)),0)</f>
        <v>39</v>
      </c>
      <c r="E101" s="70">
        <f>COUNTIFS('Error Log'!$A:$A,$A101,'Error Log'!$J:$J,E$1)</f>
        <v>4</v>
      </c>
      <c r="F101" s="70">
        <f>COUNTIFS('Error Log'!$A:$A,$A101,'Error Log'!$J:$J,F$1)</f>
        <v>3</v>
      </c>
      <c r="G101" s="70">
        <f>COUNTIFS('Error Log'!$A:$A,$A101,'Error Log'!$J:$J,G$1)</f>
        <v>0</v>
      </c>
      <c r="H101" s="70">
        <f>COUNTIFS('Error Log'!$A:$A,$A101,'Error Log'!$F:$F,"Source")</f>
        <v>0</v>
      </c>
      <c r="I101" s="70">
        <f>COUNTIFS('Error Log'!$A:$A,$A101,'Error Log'!$F:$F,"Target")</f>
        <v>0</v>
      </c>
      <c r="J101" s="71">
        <f t="shared" si="1"/>
        <v>29.487179487179482</v>
      </c>
    </row>
    <row r="102" spans="1:10">
      <c r="A102" s="96" t="s">
        <v>1034</v>
      </c>
      <c r="B102" s="70" t="str">
        <f>IF(ISBLANK(A102),"",INDEX('Error Log'!$A:$J,MATCH('Scores per segment'!$A102,'Error Log'!$A:$A,0),MATCH('Scores per segment'!B$1,'Error Log'!$A$1:$J$1,0)))</f>
        <v>with the new avengers : age of ultron movie released this week , james haskell showed off his inner iron man in a serious-looking instagram post .
the highly-anticipated movie premiered at westfield london shopping centre on tuesday evening with fans queuing up to see the a-list cast which includes robert downey jr. , chris hemsworth and scarlett johansson .
and the london wasps captain joined in on the hype as he posted the photo dressed as downey jr. 's character iron man .
england flanker james haskell dressed in iron man costume and posted it on his instagram page
the london wasps captain ( middle ) returned to the club where he started his career for the 2012 season
haskell posted the image on thursday along with the message : ` avengers movie is out so thought i would release the inner iron man .
@underarmouruk #transformyourself #iwill #avengersageofultron . '
the flanker returned to wasps for the 2012 season after spells with stade francais , ricoh black rams and highlanders in new zealand .
windsor-born haskell first joined wasps in 2002 , playing eight seasons for the club and winning his first england cap five years later .
but in 2009 , he moved to stade francais in france and spent two seasons in the french capital before he made the move to tokyo with the ricoh black rams following the unsuccessful 2011 world cup .
four months in japan with the rams and haskell was on the move again when he switched to new zealand to join the highlanders .
however , he made only 12 appearances and returned to england in 2012 .
since returning to wasps , haskell has surpassed the 100 appearances mark for the club and has become a big part of the england squad with 57 caps to-date .
haskell has played his rugby in france , japan and new zealand after leaving the wasps in 2009
since his return to england , haskell has enjoyed his rugby and surpassed the 100 appearance mark for wasps</v>
      </c>
      <c r="C102" s="70" t="str">
        <f>IF(ISBLANK(A102),"",INDEX('Error Log'!$A:$J,MATCH('Scores per segment'!$A102,'Error Log'!$A:$A,0),MATCH('Scores per segment'!C$1,'Error Log'!$A$1:$J$1,0)))</f>
        <v>age of ultron movie released this week .
james haskell posted the image on thursday along with the message : ' avengers movie is out so thought i would release the inner iron man ' .
the flanker returned to the club where he started his career for the 2012 season .</v>
      </c>
      <c r="D102" s="70">
        <f>IF(H102=0,wdct(TRIM(C102)),0)</f>
        <v>46</v>
      </c>
      <c r="E102" s="70">
        <f>COUNTIFS('Error Log'!$A:$A,$A102,'Error Log'!$J:$J,E$1)</f>
        <v>0</v>
      </c>
      <c r="F102" s="70">
        <f>COUNTIFS('Error Log'!$A:$A,$A102,'Error Log'!$J:$J,F$1)</f>
        <v>1</v>
      </c>
      <c r="G102" s="70">
        <f>COUNTIFS('Error Log'!$A:$A,$A102,'Error Log'!$J:$J,G$1)</f>
        <v>0</v>
      </c>
      <c r="H102" s="70">
        <f>COUNTIFS('Error Log'!$A:$A,$A102,'Error Log'!$F:$F,"Source")</f>
        <v>0</v>
      </c>
      <c r="I102" s="70">
        <f>COUNTIFS('Error Log'!$A:$A,$A102,'Error Log'!$F:$F,"Target")</f>
        <v>0</v>
      </c>
      <c r="J102" s="71">
        <f t="shared" si="1"/>
        <v>94.565217391304344</v>
      </c>
    </row>
    <row r="103" spans="1:10">
      <c r="A103" s="94" t="s">
        <v>1035</v>
      </c>
      <c r="B103" s="70" t="str">
        <f>IF(ISBLANK(A103),"",INDEX('Error Log'!$A:$J,MATCH('Scores per segment'!$A103,'Error Log'!$A:$A,0),MATCH('Scores per segment'!B$1,'Error Log'!$A$1:$J$1,0)))</f>
        <v>( cnn ) for the first time in eight years , a tv legend returned to doing what he does best .
contestants told to " come on down ! "
on the april 1 edition of " the price is right " encountered not host drew carey but another familiar face in charge of the proceedings .
instead , there was bob barker , who hosted the tv game show for 35 years before stepping down in 2007 .
looking spry at 91 , barker handled the first price-guessing game of the show , the classic " lucky seven , " before turning hosting duties over to carey , who finished up .
despite being away from the show for most of the past eight years , barker did n't seem to miss a beat .</v>
      </c>
      <c r="C103" s="70" t="str">
        <f>IF(ISBLANK(A103),"",INDEX('Error Log'!$A:$J,MATCH('Scores per segment'!$A103,'Error Log'!$A:$A,0),MATCH('Scores per segment'!C$1,'Error Log'!$A$1:$J$1,0)))</f>
        <v>bob barker hosted the tv game show for 35 years before stepping down in 2007 .
contestants told to `` come on down ! ' on the april 1 edition of `` the price is right '' .</v>
      </c>
      <c r="D103" s="70">
        <f>IF(H103=0,wdct(TRIM(C103)),0)</f>
        <v>31</v>
      </c>
      <c r="E103" s="70">
        <f>COUNTIFS('Error Log'!$A:$A,$A103,'Error Log'!$J:$J,E$1)</f>
        <v>1</v>
      </c>
      <c r="F103" s="70">
        <f>COUNTIFS('Error Log'!$A:$A,$A103,'Error Log'!$J:$J,F$1)</f>
        <v>1</v>
      </c>
      <c r="G103" s="70">
        <f>COUNTIFS('Error Log'!$A:$A,$A103,'Error Log'!$J:$J,G$1)</f>
        <v>0</v>
      </c>
      <c r="H103" s="70">
        <f>COUNTIFS('Error Log'!$A:$A,$A103,'Error Log'!$F:$F,"Source")</f>
        <v>0</v>
      </c>
      <c r="I103" s="70">
        <f>COUNTIFS('Error Log'!$A:$A,$A103,'Error Log'!$F:$F,"Target")</f>
        <v>0</v>
      </c>
      <c r="J103" s="71">
        <f t="shared" si="1"/>
        <v>75.806451612903231</v>
      </c>
    </row>
    <row r="104" spans="1:10">
      <c r="A104" s="94" t="s">
        <v>1036</v>
      </c>
      <c r="B104" s="70" t="str">
        <f>IF(ISBLANK(A104),"",INDEX('Error Log'!$A:$J,MATCH('Scores per segment'!$A104,'Error Log'!$A:$A,0),MATCH('Scores per segment'!B$1,'Error Log'!$A$1:$J$1,0)))</f>
        <v>there was no special treatment for lewis ferguson at paul nicholls 's yard on thursday morning .
the 18-year-old was mucking out the stables as usual , just a cut on the nose to show for the fall which has made him an internet sensation .
ferguson 's spectacular double somersault fall from the favourite merrion square in the 4.20 pm at wincanton has been watched hundreds of thousands of times online .
but he was back riding out and is undeterred from getting back in the saddle .
amateur jockey lee lewis ferguson has just a cut on his nose to show for his ordeal
teenager ferguson was flung from his horse in spectacular fashion at wincanton
` it was just a blur , ' he said .
` i could n't work out what had happened until i got back to the weighing room and watched the replay .
all the other jockeys asked me if i was all right and stuff , they all watched with me and looked away in horror .
it 's about the most impressive fall i 've seen .
` there was nothing i could do to avoid it , you just have to let it take its course and hope it 's not a bad one .
i 've been very lucky .
i got a bit of abuse from the lads and picked up a few hundred twitter followers but it 's all good banter .
` given the somersaults , maybe i 'll look at having a gymnastics career after finishing racing . '</v>
      </c>
      <c r="C104" s="70" t="str">
        <f>IF(ISBLANK(A104),"",INDEX('Error Log'!$A:$J,MATCH('Scores per segment'!$A104,'Error Log'!$A:$A,0),MATCH('Scores per segment'!C$1,'Error Log'!$A$1:$J$1,0)))</f>
        <v>amateur jockey lee lewis ferguson has just a cut on his nose to show for his ordeal .
the 18-year-old was flung from his horse in spectacular fashion at wincanton .
the 18-year-old was mucking out the stables as usual , just a cut on the nose to show for the fall .</v>
      </c>
      <c r="D104" s="70">
        <f>IF(H104=0,wdct(TRIM(C104)),0)</f>
        <v>49</v>
      </c>
      <c r="E104" s="70">
        <f>COUNTIFS('Error Log'!$A:$A,$A104,'Error Log'!$J:$J,E$1)</f>
        <v>0</v>
      </c>
      <c r="F104" s="70">
        <f>COUNTIFS('Error Log'!$A:$A,$A104,'Error Log'!$J:$J,F$1)</f>
        <v>1</v>
      </c>
      <c r="G104" s="70">
        <f>COUNTIFS('Error Log'!$A:$A,$A104,'Error Log'!$J:$J,G$1)</f>
        <v>0</v>
      </c>
      <c r="H104" s="70">
        <f>COUNTIFS('Error Log'!$A:$A,$A104,'Error Log'!$F:$F,"Source")</f>
        <v>0</v>
      </c>
      <c r="I104" s="70">
        <f>COUNTIFS('Error Log'!$A:$A,$A104,'Error Log'!$F:$F,"Target")</f>
        <v>0</v>
      </c>
      <c r="J104" s="71">
        <f t="shared" si="1"/>
        <v>94.897959183673464</v>
      </c>
    </row>
    <row r="105" spans="1:10">
      <c r="A105" s="94" t="s">
        <v>1037</v>
      </c>
      <c r="B105" s="70" t="str">
        <f>IF(ISBLANK(A105),"",INDEX('Error Log'!$A:$J,MATCH('Scores per segment'!$A105,'Error Log'!$A:$A,0),MATCH('Scores per segment'!B$1,'Error Log'!$A$1:$J$1,0)))</f>
        <v>an off-duty secret service agent was arrested this morning in washington d.c. after allegedly attempting to break into a house at midnight .
agent arthur baldwin was taken into custody at 12:30 am on friday on a residential street in south-eastern d.c. by the metropolitan police .
he has been hit with a felony charge of attempted burglary and another of destruction of property .
residential : baldwin was arrested here , on the 3200 block of d street se , not long after midnight friday
the metropolitan police department told dailymail.com that baldwin was arrested by officers returning to the scene of the alleged crime , on the 3200 block of d street se .
the agency revoked baldwin 's security clearance and put him on leave in light of the arrest .
he was posted with the foreign missions branch of the service , which works with
the agency revoked his security clearance and put baldwin on leave when the arrest emerged .
agent baldwin is posted to the foreign missions branch , which is attached to the state department and deals with the united states ' diplomatic activities .
court records show baldwin was to be arraigned friday afternoon .
the records do not list an attorney for baldwin and a telephone number could not be located .
baldwin 's arrest comes two days after a high-ranking supervisor was also put on leave after he was accused of misconduct in a case that is also being investigated by police .
the homeland security department 's inspector general is investigating the allegations of misconduct by the supervisor .
baldwin 's arrest and the earlier allegation of misconduct are the latest black eyes for the agency responsible for protecting the president and his family .
the inspector general is already investigating a march 4 incident in which two high-ranking agency officials are accused of driving into a secure area at the white house after a night of drinking .</v>
      </c>
      <c r="C105" s="70" t="str">
        <f>IF(ISBLANK(A105),"",INDEX('Error Log'!$A:$J,MATCH('Scores per segment'!$A105,'Error Log'!$A:$A,0),MATCH('Scores per segment'!C$1,'Error Log'!$A$1:$J$1,0)))</f>
        <v>agent arthur baldwin was taken into custody at 12:30am on friday .
he has been hit with a felony charge of attempted burglary and another of destruction of property .
the agency revoked his security clearance and put him on leave when the arrest emerged .</v>
      </c>
      <c r="D105" s="70">
        <f>IF(H105=0,wdct(TRIM(C105)),0)</f>
        <v>44</v>
      </c>
      <c r="E105" s="70">
        <f>COUNTIFS('Error Log'!$A:$A,$A105,'Error Log'!$J:$J,E$1)</f>
        <v>0</v>
      </c>
      <c r="F105" s="70">
        <f>COUNTIFS('Error Log'!$A:$A,$A105,'Error Log'!$J:$J,F$1)</f>
        <v>0</v>
      </c>
      <c r="G105" s="70">
        <f>COUNTIFS('Error Log'!$A:$A,$A105,'Error Log'!$J:$J,G$1)</f>
        <v>0</v>
      </c>
      <c r="H105" s="70">
        <f>COUNTIFS('Error Log'!$A:$A,$A105,'Error Log'!$F:$F,"Source")</f>
        <v>0</v>
      </c>
      <c r="I105" s="70">
        <f>COUNTIFS('Error Log'!$A:$A,$A105,'Error Log'!$F:$F,"Target")</f>
        <v>0</v>
      </c>
      <c r="J105" s="71">
        <f t="shared" si="1"/>
        <v>100</v>
      </c>
    </row>
    <row r="106" spans="1:10">
      <c r="A106" s="94" t="s">
        <v>1038</v>
      </c>
      <c r="B106" s="70" t="str">
        <f>IF(ISBLANK(A106),"",INDEX('Error Log'!$A:$J,MATCH('Scores per segment'!$A106,'Error Log'!$A:$A,0),MATCH('Scores per segment'!B$1,'Error Log'!$A$1:$J$1,0)))</f>
        <v>pablo osvaldo has urged italian legends andrea pirlo and francisco totti to move continents and join him at argentinian giants boca juniors .
the 29-year-old moved to his current side on a loan deal from southampton and has become an instant hit - scoring three goals in six games .
osvaldo believes that the duo would be a good fit for boca , and says the fans would love to have them line up on the la bombonera pitch .
pablo osvaldo thinks that his former team-mates andrea pirlo and francesco totti should move to boca
` who i would like to join me at boca ?
pirlo and totti , ' the 29-year-old told corriere dello sport .
` i have played with many great players over the years and many of them are my friends .
i do n't want to do injustice to anyone , but if i had to pick two , it would be pirlo and totti .
` they have a bit of a south-american style and they would be perfect for boca with their abilities .
` the bombonera would go absolutely crazy for players like them . '
pirlo has established himself as one of the best midfielders in world football and is hugely popular
totti ( 10 ) is a roma legend and osvaldo feels that he would be just as loved if he moved to argentina</v>
      </c>
      <c r="C106" s="70" t="str">
        <f>IF(ISBLANK(A106),"",INDEX('Error Log'!$A:$J,MATCH('Scores per segment'!$A106,'Error Log'!$A:$A,0),MATCH('Scores per segment'!C$1,'Error Log'!$A$1:$J$1,0)))</f>
        <v>pablo osvaldo has urged italian legends andrea pirlo and francisco totti to join him at argentinian giants boca juniors .
the 29-year-old moved to his current side on a loan deal from southampton .
the 29-year-old has become an instant hit - scoring three goals in six games .</v>
      </c>
      <c r="D106" s="70">
        <f>IF(H106=0,wdct(TRIM(C106)),0)</f>
        <v>45</v>
      </c>
      <c r="E106" s="70">
        <f>COUNTIFS('Error Log'!$A:$A,$A106,'Error Log'!$J:$J,E$1)</f>
        <v>1</v>
      </c>
      <c r="F106" s="70">
        <f>COUNTIFS('Error Log'!$A:$A,$A106,'Error Log'!$J:$J,F$1)</f>
        <v>1</v>
      </c>
      <c r="G106" s="70">
        <f>COUNTIFS('Error Log'!$A:$A,$A106,'Error Log'!$J:$J,G$1)</f>
        <v>0</v>
      </c>
      <c r="H106" s="70">
        <f>COUNTIFS('Error Log'!$A:$A,$A106,'Error Log'!$F:$F,"Source")</f>
        <v>0</v>
      </c>
      <c r="I106" s="70">
        <f>COUNTIFS('Error Log'!$A:$A,$A106,'Error Log'!$F:$F,"Target")</f>
        <v>0</v>
      </c>
      <c r="J106" s="71">
        <f t="shared" si="1"/>
        <v>83.333333333333343</v>
      </c>
    </row>
    <row r="107" spans="1:10">
      <c r="A107" s="94" t="s">
        <v>1032</v>
      </c>
      <c r="B107" s="70" t="str">
        <f>IF(ISBLANK(A107),"",INDEX('Error Log'!$A:$J,MATCH('Scores per segment'!$A107,'Error Log'!$A:$A,0),MATCH('Scores per segment'!B$1,'Error Log'!$A$1:$J$1,0)))</f>
        <v>this is the amazing scene as a freelance photographer risks his life to capture an image of a hungry lion from just a few feet away .
fearless atif saeed , 38 , from lahore , pakistan was in the city 's safari park when he spotted the male lion in the distance .
mr saeed got out of his car and crept up towards the hunter armed only with a camera and fired off a few frames .
atif saeed crept to within 10 feet of the hungry lion before leaving the safety of his car to lie on the ground
armed only with a camera , mr saeed , managed to capture a couple of frames before retreating to safety
unfortunately , the clicking sound of the camera 's shutter alerted the lion to mr saeed 's presence , who was forced to retreat quite rapidly from just 10 feet away from the lion .
he said : ` i was sitting in front of him just near my car and the door of my car was open .
i was sat on ground few feet away , so he was treating me like his prey .
` i was thinking - i must show the character and status of lion and this was the only way i could think of to achieve this .
` the story finished in few seconds as the lion aggressively jumped towards me and i just about scrambled into my car .
' was laughing at that time , but now when i think back about the incident i do n't think i would be able to do it again .
it was a pretty close encounter . '</v>
      </c>
      <c r="C107" s="70" t="str">
        <f>IF(ISBLANK(A107),"",INDEX('Error Log'!$A:$J,MATCH('Scores per segment'!$A107,'Error Log'!$A:$A,0),MATCH('Scores per segment'!C$1,'Error Log'!$A$1:$J$1,0)))</f>
        <v>fearless atif saeed , 38 , from lahore , pakistan was in the city 's safari park when he spotted the male lion in the distance .
mr saeed got out of his car and crept up towards the hunter armed only with a camera and fired off a few frames .</v>
      </c>
      <c r="D107" s="70">
        <f>IF(H107=0,wdct(TRIM(C107)),0)</f>
        <v>47</v>
      </c>
      <c r="E107" s="70">
        <f>COUNTIFS('Error Log'!$A:$A,$A107,'Error Log'!$J:$J,E$1)</f>
        <v>3</v>
      </c>
      <c r="F107" s="70">
        <f>COUNTIFS('Error Log'!$A:$A,$A107,'Error Log'!$J:$J,F$1)</f>
        <v>0</v>
      </c>
      <c r="G107" s="70">
        <f>COUNTIFS('Error Log'!$A:$A,$A107,'Error Log'!$J:$J,G$1)</f>
        <v>0</v>
      </c>
      <c r="H107" s="70">
        <f>COUNTIFS('Error Log'!$A:$A,$A107,'Error Log'!$F:$F,"Source")</f>
        <v>0</v>
      </c>
      <c r="I107" s="70">
        <f>COUNTIFS('Error Log'!$A:$A,$A107,'Error Log'!$F:$F,"Target")</f>
        <v>0</v>
      </c>
      <c r="J107" s="71">
        <f t="shared" si="1"/>
        <v>68.085106382978722</v>
      </c>
    </row>
    <row r="108" spans="1:10">
      <c r="A108" s="94" t="s">
        <v>1033</v>
      </c>
      <c r="B108" s="70" t="str">
        <f>IF(ISBLANK(A108),"",INDEX('Error Log'!$A:$J,MATCH('Scores per segment'!$A108,'Error Log'!$A:$A,0),MATCH('Scores per segment'!B$1,'Error Log'!$A$1:$J$1,0)))</f>
        <v>dani alves looks set to leave barcelona this summer after his representative confirmed the brazilian right-back had rejected the club 's final contract offer .
alves has enjoyed seven successful years at barcelona , winning four spanish titles and the champions league twice .
but the 31-year-old has been unable to agree a new deal with the catalan club and will leave the nou camp this summer .
dani alves keeps a close eye on almeria midfielder edgar mendez ( right ) during barca 's game on wednesday
alves has been unable to agree a new deal with the catalan club and will leave the nou camp this summer
dinorah santana , the player 's agent and ex-wife , said at a press conference on thursday that her client had rejected the offer of a three-year contract extension , which was dependent on the player taking part in 60 per cent of matches for the club .
` the negotiations are over , ' she said .
` if they say this is the final offer , then they ( negotiations ) are over .
` it does n't make sense .
it 's very hard that we get to april and barcelona have n't thought about renewing dani 's contract .
` dani is sad . '
dinorah santana , alves 's agent and ex-wife , confirmed that the right-back had rejected a three-year deal
the news that alves is to leave is likely to spark a scramble for the defender 's signature .
the former sevilla full-back has been linked with manchester united and manchester city , as well as paris st germain .
santana said alves has two offers on the table at the moment , but has not yet been approached by big-spending psg .
` he has had conversations with future candidates , ' santana said .
` psg have not made an offer , but we have two offers of three years . '
alves has been linked with a number of clubs including manchester united and manchester city</v>
      </c>
      <c r="C108" s="70" t="str">
        <f>IF(ISBLANK(A108),"",INDEX('Error Log'!$A:$J,MATCH('Scores per segment'!$A108,'Error Log'!$A:$A,0),MATCH('Scores per segment'!C$1,'Error Log'!$A$1:$J$1,0)))</f>
        <v>dani alves keeps a close eye on almeria midfielder edgar mendez .
the 31-year-old has been unable to agree a new deal with the catalan club .
alves has been unable to agree a new deal with the catalan club .</v>
      </c>
      <c r="D108" s="70">
        <f>IF(H108=0,wdct(TRIM(C108)),0)</f>
        <v>38</v>
      </c>
      <c r="E108" s="70">
        <f>COUNTIFS('Error Log'!$A:$A,$A108,'Error Log'!$J:$J,E$1)</f>
        <v>2</v>
      </c>
      <c r="F108" s="70">
        <f>COUNTIFS('Error Log'!$A:$A,$A108,'Error Log'!$J:$J,F$1)</f>
        <v>2</v>
      </c>
      <c r="G108" s="70">
        <f>COUNTIFS('Error Log'!$A:$A,$A108,'Error Log'!$J:$J,G$1)</f>
        <v>0</v>
      </c>
      <c r="H108" s="70">
        <f>COUNTIFS('Error Log'!$A:$A,$A108,'Error Log'!$F:$F,"Source")</f>
        <v>0</v>
      </c>
      <c r="I108" s="70">
        <f>COUNTIFS('Error Log'!$A:$A,$A108,'Error Log'!$F:$F,"Target")</f>
        <v>0</v>
      </c>
      <c r="J108" s="71">
        <f t="shared" si="1"/>
        <v>60.526315789473685</v>
      </c>
    </row>
    <row r="109" spans="1:10">
      <c r="A109" s="94" t="s">
        <v>1039</v>
      </c>
      <c r="B109" s="70" t="str">
        <f>IF(ISBLANK(A109),"",INDEX('Error Log'!$A:$J,MATCH('Scores per segment'!$A109,'Error Log'!$A:$A,0),MATCH('Scores per segment'!B$1,'Error Log'!$A$1:$J$1,0)))</f>
        <v>new york city police have released the image of a tattoo found on the body of a woman in hopes of identifying her nearly a month after she died on a brooklyn street .
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
distinctive : nypd has released images of a heart tattoo with the name ` monique ' found on an unnamed woman who died in brooklyn last month .
to the left is the body art as it appears on her leg .
to the right is a tattoo artist 's rendering of how the actual tattoo may have appeared originally
the deceased woman had no identification on her , but she sported a distinctive tattoo on her right leg .
investigators believe the faded body art was the name ` monique ' etched across a tattooed ribbon within a heart topped with a rose .
nbc new york reported that police are still awaiting a medical examiner 's report to find out the cause of the woman 's death .
anyone with information about the unidentified woman is being asked to contact nypd crime stoppers at 800-577-tips .
death in the street : the unnamed woman , believed to be 25 to 45 years old , was discovered lying unconscious march 22 in the area near shore parkway and 26th avenue in the gravesend section of brooklyn</v>
      </c>
      <c r="C109" s="70" t="str">
        <f>IF(ISBLANK(A109),"",INDEX('Error Log'!$A:$J,MATCH('Scores per segment'!$A109,'Error Log'!$A:$A,0),MATCH('Scores per segment'!C$1,'Error Log'!$A$1:$J$1,0)))</f>
        <v>the unnamed woman , believed to be between 25 and 45 years old , was discovered lying unconscious march 22 in the area near shore parkway and 26th avenue in the gravesend section of brooklyn .
paramedics who responded to the scene were unable to revive her and she was pronounced dead that evening .</v>
      </c>
      <c r="D109" s="70">
        <f>IF(H109=0,wdct(TRIM(C109)),0)</f>
        <v>51</v>
      </c>
      <c r="E109" s="70">
        <f>COUNTIFS('Error Log'!$A:$A,$A109,'Error Log'!$J:$J,E$1)</f>
        <v>1</v>
      </c>
      <c r="F109" s="70">
        <f>COUNTIFS('Error Log'!$A:$A,$A109,'Error Log'!$J:$J,F$1)</f>
        <v>1</v>
      </c>
      <c r="G109" s="70">
        <f>COUNTIFS('Error Log'!$A:$A,$A109,'Error Log'!$J:$J,G$1)</f>
        <v>0</v>
      </c>
      <c r="H109" s="70">
        <f>COUNTIFS('Error Log'!$A:$A,$A109,'Error Log'!$F:$F,"Source")</f>
        <v>0</v>
      </c>
      <c r="I109" s="70">
        <f>COUNTIFS('Error Log'!$A:$A,$A109,'Error Log'!$F:$F,"Target")</f>
        <v>0</v>
      </c>
      <c r="J109" s="71">
        <f t="shared" si="1"/>
        <v>85.294117647058812</v>
      </c>
    </row>
    <row r="110" spans="1:10">
      <c r="A110" s="94" t="s">
        <v>1040</v>
      </c>
      <c r="B110" s="70" t="str">
        <f>IF(ISBLANK(A110),"",INDEX('Error Log'!$A:$J,MATCH('Scores per segment'!$A110,'Error Log'!$A:$A,0),MATCH('Scores per segment'!B$1,'Error Log'!$A$1:$J$1,0)))</f>
        <v>kabul , afghanistan ( cnn ) a suicide bomber detonated his explosives near a group of protesters in eastern afghanistan on thursday , killing 17 people and wounding dozens more , police said .
an afghan lawmaker taking part in the protests in the city of khost was among the 64 people wounded , said faizullah ghairat , the provincial police chief .
taliban spokesman zabiullah mujahid denied his group was responsible for the attack .
no other organization has so far claimed responsibility .
humayoon humayoon , an afghan member of parliament for khost province , and the other protesters were on their way to join a larger rally against the provincial governor , according to zahir jan , an eyewitness .
the suicide attack hit the group around 10 a.m. local time , police said .
cnn 's masoud popalzai reported from kabul , and jethro mullen wrote from hong kong .
cnn 's elizabeth joseph contributed to this report .</v>
      </c>
      <c r="C110" s="70" t="str">
        <f>IF(ISBLANK(A110),"",INDEX('Error Log'!$A:$J,MATCH('Scores per segment'!$A110,'Error Log'!$A:$A,0),MATCH('Scores per segment'!C$1,'Error Log'!$A$1:$J$1,0)))</f>
        <v>a suicide bomber detonated his explosives near a group of protesters in eastern afghanistan .
taliban spokesman zabiullah mujahid denied his group was responsible for the attack .
no other organization has so far claimed responsibility .</v>
      </c>
      <c r="D110" s="70">
        <f>IF(H110=0,wdct(TRIM(C110)),0)</f>
        <v>34</v>
      </c>
      <c r="E110" s="70">
        <f>COUNTIFS('Error Log'!$A:$A,$A110,'Error Log'!$J:$J,E$1)</f>
        <v>1</v>
      </c>
      <c r="F110" s="70">
        <f>COUNTIFS('Error Log'!$A:$A,$A110,'Error Log'!$J:$J,F$1)</f>
        <v>1</v>
      </c>
      <c r="G110" s="70">
        <f>COUNTIFS('Error Log'!$A:$A,$A110,'Error Log'!$J:$J,G$1)</f>
        <v>0</v>
      </c>
      <c r="H110" s="70">
        <f>COUNTIFS('Error Log'!$A:$A,$A110,'Error Log'!$F:$F,"Source")</f>
        <v>0</v>
      </c>
      <c r="I110" s="70">
        <f>COUNTIFS('Error Log'!$A:$A,$A110,'Error Log'!$F:$F,"Target")</f>
        <v>0</v>
      </c>
      <c r="J110" s="71">
        <f t="shared" si="1"/>
        <v>77.941176470588232</v>
      </c>
    </row>
    <row r="111" spans="1:10">
      <c r="A111" s="94" t="s">
        <v>1041</v>
      </c>
      <c r="B111" s="70" t="str">
        <f>IF(ISBLANK(A111),"",INDEX('Error Log'!$A:$J,MATCH('Scores per segment'!$A111,'Error Log'!$A:$A,0),MATCH('Scores per segment'!B$1,'Error Log'!$A$1:$J$1,0)))</f>
        <v>a new zealand couple needed a home upon returning home after living in the uk , so they built one on the back of an old flatbed truck .
hannah and alex purchased a 1986 hino flatbed and undertook their year and a half labor of love .
the result was a solar-powered two-bedroom , wood and steel home that now allows them to live almost self-sufficiently in nelson , new zealand .
how a truck becomes a home : a new zealand couple built this country home on the bed of a flatbed truck
making do : alex ( left ) and hannah ( right ) wanted a home that was cozy and all their own , but could n't afford to buy a full-sized lot
` we came back to new zealand from the uk in 2009 , ' alex told smoking tire .
` we knew we could n't afford to buy property at that point .
we did n't have money . '
so , the couple started building .
after a year and a half of taking the project one step at a time , the project took shape .
though , to hear hannah tell it , they just slapped up the place in a weekend .
' [ we ] welded a frame , put the wood on and built this house , ' the modest kiwi told smoking tire 's matt farah .
once they finished , the couple drove their truck home out to a lot they 'd purchased in nelson , new zealand .
now the couple and their cat live surrounded by nature : aromatic cypress wood inside the home and majestic trees and a babbling brook outside their door .
ingenuity : the couple started with a steel frame and slowly , project by project , built a home in about a year and a half
gorgeous : hannah and alex now have a gorgeous , wood-lined home in a lot surrounded by trees and a babbling brook
details : the couple has a wood-fired stove to keep out the cold , stained glass windows and other creature comforts
they 're nearly self-sufficient , too .
the home is powered mostly by solar panels .
alex said their first power bill was just $ 25 .
the stove and hot water are gas-powered and water comes from a nearby spring .
` i did n't want to live inside a plastic box , ' alex said .
` not because i 'm a hippie but because it feels nicer and is just a nicer place to be . '
all told , the project cost hannah and alex about $ 25,000 .
and the couple even plans to build another one like one day .
` it 's really , really nice , ' hannah said .
` we love it . '
two bedrooms : the home has a bedroom for the couple as well as a loft that doubles as a spare room where the cat sleeps
green : water comes from a nearby spring and most of the electricity comes from solar panels</v>
      </c>
      <c r="C111" s="70" t="str">
        <f>IF(ISBLANK(A111),"",INDEX('Error Log'!$A:$J,MATCH('Scores per segment'!$A111,'Error Log'!$A:$A,0),MATCH('Scores per segment'!C$1,'Error Log'!$A$1:$J$1,0)))</f>
        <v>hannah and alex purchased a 1986 hino flatbed and undertook their year and a half labor of love .
the result was a solar-powered two-bedroom , wood and steel home that now allows them to live almost self-sufficiently in nelson , new zealand .</v>
      </c>
      <c r="D111" s="70">
        <f>IF(H111=0,wdct(TRIM(C111)),0)</f>
        <v>40</v>
      </c>
      <c r="E111" s="70">
        <f>COUNTIFS('Error Log'!$A:$A,$A111,'Error Log'!$J:$J,E$1)</f>
        <v>1</v>
      </c>
      <c r="F111" s="70">
        <f>COUNTIFS('Error Log'!$A:$A,$A111,'Error Log'!$J:$J,F$1)</f>
        <v>0</v>
      </c>
      <c r="G111" s="70">
        <f>COUNTIFS('Error Log'!$A:$A,$A111,'Error Log'!$J:$J,G$1)</f>
        <v>0</v>
      </c>
      <c r="H111" s="70">
        <f>COUNTIFS('Error Log'!$A:$A,$A111,'Error Log'!$F:$F,"Source")</f>
        <v>0</v>
      </c>
      <c r="I111" s="70">
        <f>COUNTIFS('Error Log'!$A:$A,$A111,'Error Log'!$F:$F,"Target")</f>
        <v>0</v>
      </c>
      <c r="J111" s="71">
        <f t="shared" si="1"/>
        <v>87.5</v>
      </c>
    </row>
    <row r="112" spans="1:10">
      <c r="A112" s="94" t="s">
        <v>1042</v>
      </c>
      <c r="B112" s="70" t="str">
        <f>IF(ISBLANK(A112),"",INDEX('Error Log'!$A:$J,MATCH('Scores per segment'!$A112,'Error Log'!$A:$A,0),MATCH('Scores per segment'!B$1,'Error Log'!$A$1:$J$1,0)))</f>
        <v>as kate and william prepare for the arrival of the second child , the british public are keeping their fingers crossed that they will opt for a traditional name .
a new poll has revealed that diana is the favourite option for baby if it is a girl .
according to the yougov survey for the sunday times , 12 per cent of people questioned thought that the child should be named after william 's mother - diana the princess of wales .
kate and william leaving the lindo wing of st mary 's hospital in london , with their newborn son , prince george in 2013 .
brits are hoping for a baby princess this time and favour the name diana
alice and charlotte were next in terms of preference , getting nine per cent of the vote each .
alice is the name of the queen 's aunt , who passed away in 2004 aged 102 , while charlotte is favoured as a nod to william 's father charles .
according to the newspaper , if the child is a boy then 13 per cent of people would like him to be called james , with the second favourite name being alexander .
many people are hoping for a girl though - of the 2,200 people polled , a quarter said they wanted the duke and duchess of cambridge to have a female baby , with only three percent hoping for a younger brother for george .
diana is the favourite name for the second royal baby , name after williams mother - the late princess of wales
the choices were echoed on social media today , with many twitter users claiming they would be delighted if kate and william decided to name the baby after his mother .
one user called danielle o'donoghue wrote : ` if kate middleton has a baby girl and does n't name her diana i 'll be so upset .
another said : ` if the new royal baby is a girl and is called diana , either first name or middle name .
i will be 90 % more emotional . '
the poll also revealed that the majority of brits are backing william 's decision to take six weeks paternity leave form his pilot job , with 68 per cent of people giving the move a thumbs up .</v>
      </c>
      <c r="C112" s="70" t="str">
        <f>IF(ISBLANK(A112),"",INDEX('Error Log'!$A:$J,MATCH('Scores per segment'!$A112,'Error Log'!$A:$A,0),MATCH('Scores per segment'!C$1,'Error Log'!$A$1:$J$1,0)))</f>
        <v>new poll reveals diana is the favourite option for baby if it is a girl .
alice is the name of the queen 's aunt , who passed away in 2004 aged 102 .
alice is the name of the queen 's aunt , who passed away in 2004 aged 102 .</v>
      </c>
      <c r="D112" s="70">
        <f>IF(H112=0,wdct(TRIM(C112)),0)</f>
        <v>47</v>
      </c>
      <c r="E112" s="70">
        <f>COUNTIFS('Error Log'!$A:$A,$A112,'Error Log'!$J:$J,E$1)</f>
        <v>2</v>
      </c>
      <c r="F112" s="70">
        <f>COUNTIFS('Error Log'!$A:$A,$A112,'Error Log'!$J:$J,F$1)</f>
        <v>2</v>
      </c>
      <c r="G112" s="70">
        <f>COUNTIFS('Error Log'!$A:$A,$A112,'Error Log'!$J:$J,G$1)</f>
        <v>0</v>
      </c>
      <c r="H112" s="70">
        <f>COUNTIFS('Error Log'!$A:$A,$A112,'Error Log'!$F:$F,"Source")</f>
        <v>0</v>
      </c>
      <c r="I112" s="70">
        <f>COUNTIFS('Error Log'!$A:$A,$A112,'Error Log'!$F:$F,"Target")</f>
        <v>0</v>
      </c>
      <c r="J112" s="71">
        <f t="shared" si="1"/>
        <v>68.085106382978722</v>
      </c>
    </row>
    <row r="113" spans="1:10">
      <c r="A113" s="94" t="s">
        <v>1043</v>
      </c>
      <c r="B113" s="70" t="str">
        <f>IF(ISBLANK(A113),"",INDEX('Error Log'!$A:$J,MATCH('Scores per segment'!$A113,'Error Log'!$A:$A,0),MATCH('Scores per segment'!B$1,'Error Log'!$A$1:$J$1,0)))</f>
        <v>children who share ipads in class do much better in early literacy tests than those who do n't , researchers claim .
the findings come after the general secretary of the national association of head teachers said he was dubious about using technology as a teaching aid in non-it classes .
however , research into the effects of the devices on literacy levels suggests the best outcome comes from youngsters sharing devices .
children who share ipads in class do much better in early literacy tests than those who do n't , researchers claim ( stock image above )
courtney blackwell , at northwestern university in the us , found that , in tests , kindergarten children who shared ipads in classes over an academic year significantly outscored their peers who were in classes that had no ipads or in which each student had their own device .
shared ipad students scored around 30 points higher than students who used the device on their own and non-ipad users .
she worked with 352 students at a midwestern suburban school district during the research .
miss blackwell said the findings suggest it 's the ` collaborative learning around the technology that made the difference , not just the collaboration in and of itself ' .
shared ipad students scored around 30 points higher in a test than students who used the device on their own and non-ipad users ( stock image above )
she added : ` schools might reconsider how the tablets are used , especially in earlier grades , in order to make the technology most effective . '
she is due to present her findings at the 65th annual conference of the international communication association in puerto rico .</v>
      </c>
      <c r="C113" s="70" t="str">
        <f>IF(ISBLANK(A113),"",INDEX('Error Log'!$A:$J,MATCH('Scores per segment'!$A113,'Error Log'!$A:$A,0),MATCH('Scores per segment'!C$1,'Error Log'!$A$1:$J$1,0)))</f>
        <v>children who share ipads in class do much better in early literacy tests .
research into the effects of the devices on literacy levels suggests the best outcome comes from youngsters sharing devices .
children who share ipads in class do much better in early literacy tests than those who don’t .</v>
      </c>
      <c r="D113" s="70">
        <f>IF(H113=0,wdct(TRIM(C113)),0)</f>
        <v>50</v>
      </c>
      <c r="E113" s="70">
        <f>COUNTIFS('Error Log'!$A:$A,$A113,'Error Log'!$J:$J,E$1)</f>
        <v>0</v>
      </c>
      <c r="F113" s="70">
        <f>COUNTIFS('Error Log'!$A:$A,$A113,'Error Log'!$J:$J,F$1)</f>
        <v>3</v>
      </c>
      <c r="G113" s="70">
        <f>COUNTIFS('Error Log'!$A:$A,$A113,'Error Log'!$J:$J,G$1)</f>
        <v>0</v>
      </c>
      <c r="H113" s="70">
        <f>COUNTIFS('Error Log'!$A:$A,$A113,'Error Log'!$F:$F,"Source")</f>
        <v>0</v>
      </c>
      <c r="I113" s="70">
        <f>COUNTIFS('Error Log'!$A:$A,$A113,'Error Log'!$F:$F,"Target")</f>
        <v>0</v>
      </c>
      <c r="J113" s="71">
        <f t="shared" si="1"/>
        <v>85</v>
      </c>
    </row>
    <row r="114" spans="1:10">
      <c r="A114" s="94" t="s">
        <v>1044</v>
      </c>
      <c r="B114" s="70" t="str">
        <f>IF(ISBLANK(A114),"",INDEX('Error Log'!$A:$J,MATCH('Scores per segment'!$A114,'Error Log'!$A:$A,0),MATCH('Scores per segment'!B$1,'Error Log'!$A$1:$J$1,0)))</f>
        <v>a model who appeared in the video for ricky martin 's hit song la vida loco has told followers she did not try to take her own life and was instead treated in hospital after she collapsed due to ` low blood pressure ' .
nina moric , 38 , posted several photographs of heavy bruising on her arms on her instagram account which has more than 40,000 users .
italian media reported that ms moric tried to take her own life and was found by her mother in the luxury apartment she shares with her boyfriend in milan .
nina moric , pictured , took to instagram to deny claims that she tried to take her own life over the weekend
ms moric , pictured , posted photographs on her instagram account showing her injuries
ms moric told her fans that she was recovering at home after being treated in hospital on saturday night
italian media reported ms moric 's boyfriend luigi mario favoloso suggest : ` yes , it is true .
nina has tried to commit suicide .
she is a victim of some people that want to do bad by her . '
however , ms moric told her fans that she was well and had no intention to end her own life .
she wrote : ` what has been written is reported by newspapers and websites is not entirely correct .
she said her boyfriend was in naples at the time of the accident .
she explained : ` saturday night i was taken to the hospital due to a domestic accident .
i fell banging my head and i hurt everywhere because of low blood pressure . '
ms moric told her fans that she was ` shocked ' by the suicide claims .
she added : ` luckily i 'm fine now nothing serious i need only a bit of rest .
but now i made a fine breakfast .
italian media claimed ms moric had tried to take her own life in 2009 after taking an overdose .
the croatian-born model , pictured , claimed she collapsed at home due to ` low blood pressure '
italian media claimed ms moric , pictured , was found in her apartment by her mother on saturday night
ms moric , pictured , reassured her many fans she only needed some time to recover from her fall
she was once married to famous paparazzi snapper fabrizio corona , 41 , who ended up in jail and the pair have a son together , carlos maria , who was born in 2002 .
corona , the ` king ' of italy 's paparazzi , was jailed for blackmailing celebs with compromising photographs .
corona 's scoops helped fuel the celebrity tv culture driven by former prime minister silvio berlusconi 's channels and publications .
he claimed he never blackmailed celebrities he snapped , merely offering them first option to buy the photos at the rate he would have sold them to publications .
but police tapping his phone during an investigation heard him tell his then wife nina : ` yes , it 's true , i ruin lives , i am a piece of s *** and i do n't even feel guilty any more . '</v>
      </c>
      <c r="C114" s="70" t="str">
        <f>IF(ISBLANK(A114),"",INDEX('Error Log'!$A:$J,MATCH('Scores per segment'!$A114,'Error Log'!$A:$A,0),MATCH('Scores per segment'!C$1,'Error Log'!$A$1:$J$1,0)))</f>
        <v>nina moric , 38 , posted photographs of heavy bruising on her arms on her instagram account which has more than 40,000 users .
italian media reported that ms moric tried to take her own life and was found by her mother in the luxury apartment she shares with her boyfriend .
italian media reported ms moric tried to take her own life and was found by her mother in the luxury apartment she shares with her boyfriend .
ms moric told her fans that she was well and had no intention to end her own life .</v>
      </c>
      <c r="D114" s="70">
        <f>IF(H114=0,wdct(TRIM(C114)),0)</f>
        <v>92</v>
      </c>
      <c r="E114" s="70">
        <f>COUNTIFS('Error Log'!$A:$A,$A114,'Error Log'!$J:$J,E$1)</f>
        <v>1</v>
      </c>
      <c r="F114" s="70">
        <f>COUNTIFS('Error Log'!$A:$A,$A114,'Error Log'!$J:$J,F$1)</f>
        <v>2</v>
      </c>
      <c r="G114" s="70">
        <f>COUNTIFS('Error Log'!$A:$A,$A114,'Error Log'!$J:$J,G$1)</f>
        <v>0</v>
      </c>
      <c r="H114" s="70">
        <f>COUNTIFS('Error Log'!$A:$A,$A114,'Error Log'!$F:$F,"Source")</f>
        <v>0</v>
      </c>
      <c r="I114" s="70">
        <f>COUNTIFS('Error Log'!$A:$A,$A114,'Error Log'!$F:$F,"Target")</f>
        <v>0</v>
      </c>
      <c r="J114" s="71">
        <f t="shared" si="1"/>
        <v>89.130434782608688</v>
      </c>
    </row>
    <row r="115" spans="1:10">
      <c r="A115" s="94" t="s">
        <v>1045</v>
      </c>
      <c r="B115" s="70" t="str">
        <f>IF(ISBLANK(A115),"",INDEX('Error Log'!$A:$J,MATCH('Scores per segment'!$A115,'Error Log'!$A:$A,0),MATCH('Scores per segment'!B$1,'Error Log'!$A$1:$J$1,0)))</f>
        <v>this little piggy has become an internet sensation after learning how to walk on just two feet .
the piglet was born with its back legs missing and has mastered the art of balancing on its front trotters .
the heartwarming clip featured on the people 's daily online shows the young animal taking unsteady steps , wobbling about with its snout to the ground , foraging for food .
heartwarming : the two-legged pig has become an internet sensation because of a cute video showing it learning to walk
there are several occasions it looked close to tipping over but remarkably the piglet always manages to regain its balance .
it happily mixes with the rest of the litter , which have all been born with a full complement of legs .
the piglet belongs to farmer , ms duan , from qionglai city in sichuan province , south western china .
since its birth , villagers have flocked to take a peek at the curious animal .
tricky : the piglet has to use extraordinary balance to stand on its front trotters while all its siblings were born with all four legs
athletic : the piglet , nicknamed ` super pig ' can balance on its two front trotters and has captured the hearts of thousands since a video went online
siblings : one of the other piglets looks to copy the two-legged creature as it takes a quick rest from trotting about
ms duan said : ` when the piglets were feeding i noticed something strange with one of them .
` when i picked it up i could see it had no hind legs . '
it is not the first animal with two legs instead of four to win plaudits in china .
a rabbit at liuzhou zoo became a star attraction after learning to walk on its front paws .
many tourists in china 's guangxi province have been taking a detour to see the furry star hop on its front paws .
looking for grub : the piglet balances on two legs while keeping its snout to the ground in the hunt for food</v>
      </c>
      <c r="C115" s="70" t="str">
        <f>IF(ISBLANK(A115),"",INDEX('Error Log'!$A:$J,MATCH('Scores per segment'!$A115,'Error Log'!$A:$A,0),MATCH('Scores per segment'!C$1,'Error Log'!$A$1:$J$1,0)))</f>
        <v>the piglet was born with its back legs missing and has mastered the art of balancing on its front trotters .
the piglet belongs to farmer , ms duan , from qionglai city in sichuan province , south western china .</v>
      </c>
      <c r="D115" s="70">
        <f>IF(H115=0,wdct(TRIM(C115)),0)</f>
        <v>36</v>
      </c>
      <c r="E115" s="70">
        <f>COUNTIFS('Error Log'!$A:$A,$A115,'Error Log'!$J:$J,E$1)</f>
        <v>2</v>
      </c>
      <c r="F115" s="70">
        <f>COUNTIFS('Error Log'!$A:$A,$A115,'Error Log'!$J:$J,F$1)</f>
        <v>1</v>
      </c>
      <c r="G115" s="70">
        <f>COUNTIFS('Error Log'!$A:$A,$A115,'Error Log'!$J:$J,G$1)</f>
        <v>0</v>
      </c>
      <c r="H115" s="70">
        <f>COUNTIFS('Error Log'!$A:$A,$A115,'Error Log'!$F:$F,"Source")</f>
        <v>0</v>
      </c>
      <c r="I115" s="70">
        <f>COUNTIFS('Error Log'!$A:$A,$A115,'Error Log'!$F:$F,"Target")</f>
        <v>0</v>
      </c>
      <c r="J115" s="71">
        <f t="shared" si="1"/>
        <v>65.277777777777771</v>
      </c>
    </row>
    <row r="116" spans="1:10">
      <c r="A116" s="94" t="s">
        <v>1046</v>
      </c>
      <c r="B116" s="70" t="str">
        <f>IF(ISBLANK(A116),"",INDEX('Error Log'!$A:$J,MATCH('Scores per segment'!$A116,'Error Log'!$A:$A,0),MATCH('Scores per segment'!B$1,'Error Log'!$A$1:$J$1,0)))</f>
        <v>residents of new south wales who are already reeling from last week 's wild weather are being warned to brace for more floods and damage , with another storm predicted to hit later this week .
meteorologists say early indicators show that an east coast low -- the same weather system that lashed the state 's east coast for three days last week -- could hit the region , with heavy rain possible from thursday .
the state emergency service was deluged with calls for assistance last week and has more than 4,000 jobs from the 24,196 requests still to be completed .
ses spokeswoman stephanie wills says the organisation is concerned that more storms will these hamper clean-up efforts .
meteorologists say early indicators show an east coast low -- the same weather system that lashed the state 's east coast for three days last week -- could hit again bringing heavy rain from thursday through to saturday
locals survey the damage and destruction caused by flooding in dungog in the nsw hunter region
residents who have been hit by wild weather across new south wales are being warned to brace for more floods and damage with another storm predicted to hit this week
people struggle against the heavy rain and strong wind on the streets in the sydney cbd last week
` any weather that strikes up north is of concern to us , especially considering the devastation from the storm that hit last week , ' ms wills told daily mail australia .
` any water is going to hit that saturated ground and raise flood levels again , and any wind is going to knock over the trees that are uprooted . '
ms wills said the ses was particularly worried about the effect more wild weather would have on the hunter region , which suffered through flooding and high winds in the last storm .
` that 's our focus - the hunter region - because they 've been smashed , ' she said .
` we really are quite concerned about that particular area .
` we are urging the community to prepare themselves , prepare their homes and prepare their families to prevent further loss and devastation . '
weatherzone meteorologist kim westcott said a trough of low pressure was forming along the coast , and would hit heaviest in the far northern parts of the state .
this picture has shows western sydney blanketed by floodwaters and hail on saturday
the ses warned flood levels could be raised again with more rain
ses spokeswoman stephanie wills said the organisation is concerned that more storms would hamper clean-up efforts , with 4,409 of 24,196 jobs still needing to be completed
ms wills said the ses was particularly worried about the effect more wild weather would have on the hard-hit hunter region ( pictured : damage in dungog )
sydney was hit by more wild weather on the weekend - with a freak hail storm coming down on saturday
a sydney backyard is flooded and covered in hail stones on anzac day
sydney - max 20 degrees , mostly sunny
newcastle - max 19 degrees , mostly sunny
gosford - max 20 degrees , mostly sunny
wollongong - max 19 degrees , partly cloudy
sydney - min 13 to max 20 degrees , possible late shower
newcastle - min 13 to max 19 degrees , shower or two
gosford - min 11 to max 20 degrees , possible late shower
wollongong - min 12 to max 18 degrees , possible late shower
sydney - min 14 to max 20 degrees , shower or two
newcastle - min 13 to max 19 degrees , showers
gosford - min 12 to max 19 degrees , shower or two
wollongong - min 13 to max 18 degrees , shower or two
sydney - min 14 to max 19 degrees , showers
newcastle - min 14 to max 18 degrees , showers
gosford - min 13 to max 19 degrees , showers
wollongong - min 14 to max 19 degrees , showers
sydney - min 15 to max 20 degrees , showers
newcastle - min 16 to max 19 degrees , showers
gosford - min 14 to max 19 degrees , showers
wollongong - min 15 to max 19 degrees , showers
sydney - min 15 to max 20 degrees , showers
newcastle - min 15 to max 22 degrees , showers easing
gosford - min 13 to max 22 degrees , showers easing
wollongong - min 15 to max 20 degrees , showers
` it looks like we could get an east coast low later on this week , but it is certainly a different kettle of fish than we 've seen last week , ' ms westcott said .
` the difference is that it is a little bit further away from the coast and it is in a different area - so the heavy rain is probably not going to be over sydney . '
ms westcott said the weather system appeared to be moving quickly .
` we might get two days of rain but it 's not likely to be the same three days of wind and rain we saw last week , ' she said .
damage and destruction caused by flooding in stroud in the nsw hunter region
bureau of meteorology nsw regional director barry hanstrum said : ` early indications suggest the main impacts of intense rainfall and strong winds will be on coastal areas in the states north east including the northern rivers and mid north coasts , with heavy falls also likely for southeast queensland .
` current guidance suggests that rain will increase this week , and peak between thursday and saturday .
` further rainfall is likely for catchments that have already experienced flooding during last week 's severe weather event . '
the bureau of meteorology said it was too early to tell how severe the weather system would be .
ms wills said the ses would spend the next few days trying to complete as many jobs as possible , as well as warning people to prepare their homes should another severe storm hit .
` obviously we 're trying to get through has many as we can before next system hits , ' she said .
ms wills said there were over 1000 personnel in the field across nsw , including 200 from other states such as queensland , victoria , the act and south australia .</v>
      </c>
      <c r="C116" s="70" t="str">
        <f>IF(ISBLANK(A116),"",INDEX('Error Log'!$A:$J,MATCH('Scores per segment'!$A116,'Error Log'!$A:$A,0),MATCH('Scores per segment'!C$1,'Error Log'!$A$1:$J$1,0)))</f>
        <v>residents of new south wales warned to brace for more floods and damage .
state emergency service was deluged with calls for assistance last week .
state emergency service was deluged with calls for assistance last week .
state emergency service was deluged with calls for assistance last week .
state emergency service deluged with calls for assistance last week .</v>
      </c>
      <c r="D116" s="70">
        <f>IF(H116=0,wdct(TRIM(C116)),0)</f>
        <v>56</v>
      </c>
      <c r="E116" s="70">
        <f>COUNTIFS('Error Log'!$A:$A,$A116,'Error Log'!$J:$J,E$1)</f>
        <v>0</v>
      </c>
      <c r="F116" s="70">
        <f>COUNTIFS('Error Log'!$A:$A,$A116,'Error Log'!$J:$J,F$1)</f>
        <v>5</v>
      </c>
      <c r="G116" s="70">
        <f>COUNTIFS('Error Log'!$A:$A,$A116,'Error Log'!$J:$J,G$1)</f>
        <v>0</v>
      </c>
      <c r="H116" s="70">
        <f>COUNTIFS('Error Log'!$A:$A,$A116,'Error Log'!$F:$F,"Source")</f>
        <v>0</v>
      </c>
      <c r="I116" s="70">
        <f>COUNTIFS('Error Log'!$A:$A,$A116,'Error Log'!$F:$F,"Target")</f>
        <v>0</v>
      </c>
      <c r="J116" s="71">
        <f t="shared" si="1"/>
        <v>77.678571428571431</v>
      </c>
    </row>
    <row r="117" spans="1:10">
      <c r="A117" s="94" t="s">
        <v>1047</v>
      </c>
      <c r="B117" s="70" t="str">
        <f>IF(ISBLANK(A117),"",INDEX('Error Log'!$A:$J,MATCH('Scores per segment'!$A117,'Error Log'!$A:$A,0),MATCH('Scores per segment'!B$1,'Error Log'!$A$1:$J$1,0)))</f>
        <v>a pit crew member was hit by a car on sunday during the inaugural indycar grand prix of louisiana .
todd phillips , a front-outside tire changer for dayle coyne racing , was injuried when he was struck by the car of francesco dracone , who had come in on lap 25 for tires and fuel .
dracone spun while exiting his put box , clipping phillips ' leg .
tire changer todd phillips , a front-outside tire changer for dayle coyne racing , was injuried when he was struck by the car of francesco dracone , who had come in on lap 25 for tires and fuel
phillips was taken to the infield care center for treatment where he has received stitches for a cut on his leg and has been released .
many cars struggled with traction during the race after rain had fallen for hours leading up to the green flag .
dracone did not finish the race and wound up 23rd .
francesco dracone ( 19 ) , of italy , spins out on turn one during the indycar grand prix of louisiana auto race in avondale on sunday</v>
      </c>
      <c r="C117" s="70" t="str">
        <f>IF(ISBLANK(A117),"",INDEX('Error Log'!$A:$J,MATCH('Scores per segment'!$A117,'Error Log'!$A:$A,0),MATCH('Scores per segment'!C$1,'Error Log'!$A$1:$J$1,0)))</f>
        <v>todd phillips was struck by the car of francesco dracone , who had come in on lap 25 for tires and fuel .
phillips was taken to the infield care center for treatment where he has received stitches for a cut on his leg .</v>
      </c>
      <c r="D117" s="70">
        <f>IF(H117=0,wdct(TRIM(C117)),0)</f>
        <v>42</v>
      </c>
      <c r="E117" s="70">
        <f>COUNTIFS('Error Log'!$A:$A,$A117,'Error Log'!$J:$J,E$1)</f>
        <v>1</v>
      </c>
      <c r="F117" s="70">
        <f>COUNTIFS('Error Log'!$A:$A,$A117,'Error Log'!$J:$J,F$1)</f>
        <v>0</v>
      </c>
      <c r="G117" s="70">
        <f>COUNTIFS('Error Log'!$A:$A,$A117,'Error Log'!$J:$J,G$1)</f>
        <v>0</v>
      </c>
      <c r="H117" s="70">
        <f>COUNTIFS('Error Log'!$A:$A,$A117,'Error Log'!$F:$F,"Source")</f>
        <v>0</v>
      </c>
      <c r="I117" s="70">
        <f>COUNTIFS('Error Log'!$A:$A,$A117,'Error Log'!$F:$F,"Target")</f>
        <v>0</v>
      </c>
      <c r="J117" s="71">
        <f t="shared" si="1"/>
        <v>88.095238095238102</v>
      </c>
    </row>
    <row r="118" spans="1:10">
      <c r="A118" s="94" t="s">
        <v>1048</v>
      </c>
      <c r="B118" s="70" t="str">
        <f>IF(ISBLANK(A118),"",INDEX('Error Log'!$A:$J,MATCH('Scores per segment'!$A118,'Error Log'!$A:$A,0),MATCH('Scores per segment'!B$1,'Error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 after svetlana kuznetsova beat julia goerges in straight sets in the opening rubber .
pavlyuchenkova said lisicki 's power caused her problems : ` in the first set i believed i could win but i could n't find the rhythm because she plays a bit boom-boom . '
anastasia pavlyuchenkova of russia beat germany 's sabine lisicki for a 2-0 lead in their fed cup tie
svetlana kuznetsova had earlier beaten julia goerges in straight sets
both players had problems on their serve - pavlyuchenkova racked up 13 double faults but lisicki 's 63 unforced errors proved crucial .
` it was very close and i had a match point but she played a good point on that .
i did n't play a good tiebreaker , ' lisicki said .
the result left russia needing one win from sunday 's three matches to reach the final and bag a first fed cup title since 2008 .</v>
      </c>
      <c r="C118" s="70" t="str">
        <f>IF(ISBLANK(A118),"",INDEX('Error Log'!$A:$J,MATCH('Scores per segment'!$A118,'Error Log'!$A:$A,0),MATCH('Scores per segment'!C$1,'Error Log'!$A$1:$J$1,0)))</f>
        <v>russia are on the brink of making the fed cup final with a 2-0 lead after anastasia pavlyuchenkova saved a match point to beat germany 's sabine lisicki on saturday .
pavlyuchenkova saved the match point in the second set before going on to beat lisicki 4-6 , 7-6 ( 4 ) , 6-3 .</v>
      </c>
      <c r="D118" s="70">
        <f>IF(H118=0,wdct(TRIM(C118)),0)</f>
        <v>49</v>
      </c>
      <c r="E118" s="70">
        <f>COUNTIFS('Error Log'!$A:$A,$A118,'Error Log'!$J:$J,E$1)</f>
        <v>2</v>
      </c>
      <c r="F118" s="70">
        <f>COUNTIFS('Error Log'!$A:$A,$A118,'Error Log'!$J:$J,F$1)</f>
        <v>1</v>
      </c>
      <c r="G118" s="70">
        <f>COUNTIFS('Error Log'!$A:$A,$A118,'Error Log'!$J:$J,G$1)</f>
        <v>0</v>
      </c>
      <c r="H118" s="70">
        <f>COUNTIFS('Error Log'!$A:$A,$A118,'Error Log'!$F:$F,"Source")</f>
        <v>0</v>
      </c>
      <c r="I118" s="70">
        <f>COUNTIFS('Error Log'!$A:$A,$A118,'Error Log'!$F:$F,"Target")</f>
        <v>0</v>
      </c>
      <c r="J118" s="71">
        <f t="shared" si="1"/>
        <v>74.489795918367349</v>
      </c>
    </row>
    <row r="119" spans="1:10">
      <c r="A119" s="94" t="s">
        <v>1049</v>
      </c>
      <c r="B119" s="70" t="str">
        <f>IF(ISBLANK(A119),"",INDEX('Error Log'!$A:$J,MATCH('Scores per segment'!$A119,'Error Log'!$A:$A,0),MATCH('Scores per segment'!B$1,'Error Log'!$A$1:$J$1,0)))</f>
        <v>horrific cctv footage has emerged of a husband smashing his dancer wife 's head into concrete paving 11 times then shooting her in the face five times .
he later confessed that he 'd carried out the brutal act ` because he was jealous of men looking at her ' .
sickening video captured on security cameras shows crazed milton vieira severiano , 32 , dragging the limp body of dancer cicera alves de sena , 29 , into the garden of their apartment in the city of rio de janeiro in eastern brazil .
horrific cctv footage has emerged of a husband smashing his dancer wife 's head into concrete paving 11 times then shooting her in the face five times
milton vieira severiano confessed that he battered and shot his wife because he was jealous of men looking at her
dancer cicera alves de sena ( pictured ) was killed by her husband after he 'd yelled at her that she was ` a slut '
cicera alves de sena belonged to a dance troop called jaula das gostozuedas
he then dumps her on the ground before grabbing her by the hair and savagely slamming the back of her head into the concrete 11 times before viciously punching her in the face another 10 times .
leaving the battered and unconscious dancer on the ground he goes into the house and returns with a handgun , shooting her in the face five times at pointblank range .
horrified neighbour lelio maya puga , 33 , said : ` they had only been married four days when i heard a terrible argument coming from their apartment .
` she belonged to a dance group called jaula das gostozuedas which i have been to see and am a big fan of .
` he was yelling and accusing her of being a slut and a whore and screaming that she would be better off dead .
` i knew something terrible was happening and then things went silent until i heard the gunshots . '
after shooting his wife , who went by the stage name of amanda bueno , severiano stole a neighbour 's car but was picked up by police after crashing it during his getaway .
a police spokesman said : ` in his car we found four handguns , a shotgun and a bullet proof vest .
` he confessed to murdering his wife and said he had been jealous of men looking at her . '
he now faces life in jail .
crime scene : people gather outside the couple 's house after the shocking incident took place
police found four handguns , a shotgun and a bullet proof vest in severiano 's getaway car</v>
      </c>
      <c r="C119" s="70" t="str">
        <f>IF(ISBLANK(A119),"",INDEX('Error Log'!$A:$J,MATCH('Scores per segment'!$A119,'Error Log'!$A:$A,0),MATCH('Scores per segment'!C$1,'Error Log'!$A$1:$J$1,0)))</f>
        <v>milton vieira severiano , 32 , dragging the limp body of dancer cicera alves de sena , 29 , into the garden of their apartment in eastern brazil .
horrific cctv footage has emerged of a husband smashing his dancer wife 's head into concrete paving 11 times then shooting her in the face five times .
cicera alves de sena belonged to a dance group called jaula das gostozuedas which i have been to see and am a big fan of .</v>
      </c>
      <c r="D119" s="70">
        <f>IF(H119=0,wdct(TRIM(C119)),0)</f>
        <v>76</v>
      </c>
      <c r="E119" s="70">
        <f>COUNTIFS('Error Log'!$A:$A,$A119,'Error Log'!$J:$J,E$1)</f>
        <v>2</v>
      </c>
      <c r="F119" s="70">
        <f>COUNTIFS('Error Log'!$A:$A,$A119,'Error Log'!$J:$J,F$1)</f>
        <v>2</v>
      </c>
      <c r="G119" s="70">
        <f>COUNTIFS('Error Log'!$A:$A,$A119,'Error Log'!$J:$J,G$1)</f>
        <v>0</v>
      </c>
      <c r="H119" s="70">
        <f>COUNTIFS('Error Log'!$A:$A,$A119,'Error Log'!$F:$F,"Source")</f>
        <v>0</v>
      </c>
      <c r="I119" s="70">
        <f>COUNTIFS('Error Log'!$A:$A,$A119,'Error Log'!$F:$F,"Target")</f>
        <v>0</v>
      </c>
      <c r="J119" s="71">
        <f t="shared" si="1"/>
        <v>80.26315789473685</v>
      </c>
    </row>
    <row r="120" spans="1:10">
      <c r="A120" s="94" t="s">
        <v>1050</v>
      </c>
      <c r="B120" s="70" t="str">
        <f>IF(ISBLANK(A120),"",INDEX('Error Log'!$A:$J,MATCH('Scores per segment'!$A120,'Error Log'!$A:$A,0),MATCH('Scores per segment'!B$1,'Error Log'!$A$1:$J$1,0)))</f>
        <v>( cnn ) bobbi kristina brown , the daughter of bobby brown and whitney houston , has " global and irreversible brain damage , " according to her grandmother .
though the 25-year-old is no longer in a medically induced coma , she remains unresponsive , cissy houston said in a statement monday after visiting her granddaughter .
" meeting with the doctors and understanding that she can live in this condition for a lifetime truly saddens me , " houston said .
" we can only trust in god for a miracle at this time . "
houston 's statement matched that from a source with knowledge of brown 's condition , who told cnn on monday that she remained in the same neurological state she has been in for nearly three months .
she does not respond to visitors or familiar voices , and her eyes do not follow a person around the room , the source told cnn .
she also has a tracheostomy in her throat , the source said .
the reports come two days after brown 's father , bobby brown , said his daughter 's condition had improved .
" i can say today , bobbi is awake .
she 's watching me , " brown told the audience at dallas ' verizon theatre .
in a statement monday , an attorney for the brown family said that bobbi kristina brown 's condition has improved but that the kind of life she will lead remains to be seen .
" doctors have indicated that she will have a long life , " attorney christopher brown said .
" however , bobbi kristina is presently embarking on a rehabilitation process , and the quality of her life will not be known for years to come . "
who 's who in the bobbi kristina brown case ?
bobby brown was in an " emotional state " on stage when he made the remarks about his daughter being awake , according to the statement .
" she has made it out of icu , opened her eyes and started a rehabilitation that will be long and hard , " said bobby brown 's wife , alicia etheredge-brown .</v>
      </c>
      <c r="C120" s="70" t="str">
        <f>IF(ISBLANK(A120),"",INDEX('Error Log'!$A:$J,MATCH('Scores per segment'!$A120,'Error Log'!$A:$A,0),MATCH('Scores per segment'!C$1,'Error Log'!$A$1:$J$1,0)))</f>
        <v>bobbi kristina brown is no longer in a medically induced coma , her grandmother says .
she is no longer in a medically induced coma , she remains unresponsive .
the 22-year-old is no longer in a medically induced coma .</v>
      </c>
      <c r="D120" s="70">
        <f>IF(H120=0,wdct(TRIM(C120)),0)</f>
        <v>36</v>
      </c>
      <c r="E120" s="70">
        <f>COUNTIFS('Error Log'!$A:$A,$A120,'Error Log'!$J:$J,E$1)</f>
        <v>2</v>
      </c>
      <c r="F120" s="70">
        <f>COUNTIFS('Error Log'!$A:$A,$A120,'Error Log'!$J:$J,F$1)</f>
        <v>3</v>
      </c>
      <c r="G120" s="70">
        <f>COUNTIFS('Error Log'!$A:$A,$A120,'Error Log'!$J:$J,G$1)</f>
        <v>0</v>
      </c>
      <c r="H120" s="70">
        <f>COUNTIFS('Error Log'!$A:$A,$A120,'Error Log'!$F:$F,"Source")</f>
        <v>0</v>
      </c>
      <c r="I120" s="70">
        <f>COUNTIFS('Error Log'!$A:$A,$A120,'Error Log'!$F:$F,"Target")</f>
        <v>0</v>
      </c>
      <c r="J120" s="71">
        <f t="shared" si="1"/>
        <v>51.388888888888893</v>
      </c>
    </row>
    <row r="121" spans="1:10">
      <c r="A121" s="94" t="s">
        <v>1051</v>
      </c>
      <c r="B121" s="70" t="str">
        <f>IF(ISBLANK(A121),"",INDEX('Error Log'!$A:$J,MATCH('Scores per segment'!$A121,'Error Log'!$A:$A,0),MATCH('Scores per segment'!B$1,'Error Log'!$A$1:$J$1,0)))</f>
        <v>journalist and author of the best-selling book i quit sugar has opened up about her own personal battle with mental illness , revealing she came close to taking her own life .
during a candid interview sarah wilson , 41 , explained how anxiety drove her to believe she had reached a stage in her life where she ` could n't see the point of continuing . '
` my anxiety brought me to a point where i could n't quite see the existential point of continuing , ' she told women 's weekly australia .
` i could n't see a way out . '
sarah wilson opened up in a candid interview about how her battle with mental illness drove her to believe her life was n't worth living
during the intimate interview ms wilson revealed it was a combination of issues , including mounting stress , anxiety , her thyroid disease and distant family , that drove her to believe her life was no longer worth living .
she said ` people get on with their lives ' and while she had n't found a husband , nor had children , she felt increasingly isolated .
` i was essentially very alone , ' ms wilson added .
` my anxiety brought me to a point where i could n't quite see the existential point of continuing '
` i could n't see a light at the end of the tunnel , ' she added .
ms wilson said while she struggled through her younger years she has recently ` found some peace with it . '
in ms wilson 's eyes , depression and anxiety are intrinsically linked .
she thinks we need to acknowledge this link to be better equipped to tackle the increasing rate of australian women who are being negatively affected by stress and anxiety .
ms wilson said while she now accepts she is an ` anxious person ' , when she was younger she watched everybody else coping and felt like she had ` missed out on a guide book to life '
ms wilson said while she now accepts she is an ` anxious person ' , when she was younger she watched everybody else coping and felt like she had ` missed out on a guide book to life ' .
ms wilson said anxiety is quickly becoming the ` new depression ' .
beyond blue report that one in three australian women will experience anxiety in their lifetime , and although depression and anxiety are two different conditions , one can often lead to the other .
if you or someone you know needs help , do n't hesitate to contact beyondblue on 1300 224 636 or lifeline 13 11 14 .</v>
      </c>
      <c r="C121" s="70" t="str">
        <f>IF(ISBLANK(A121),"",INDEX('Error Log'!$A:$J,MATCH('Scores per segment'!$A121,'Error Log'!$A:$A,0),MATCH('Scores per segment'!C$1,'Error Log'!$A$1:$J$1,0)))</f>
        <v>sarah wilson opened up in a candid interview about how her battle with mental illness drove her to believe her life was n't worth living .
during the intimate interview ms wilson revealed it was a combination of issues , including mounting stress , anxiety , her thyroid disease and distant family .
ms wilson said ' people get on with their lives ' and while she had n't found a husband , nor had children , she felt increasingly isolated .</v>
      </c>
      <c r="D121" s="70">
        <f>IF(H121=0,wdct(TRIM(C121)),0)</f>
        <v>72</v>
      </c>
      <c r="E121" s="70">
        <f>COUNTIFS('Error Log'!$A:$A,$A121,'Error Log'!$J:$J,E$1)</f>
        <v>1</v>
      </c>
      <c r="F121" s="70">
        <f>COUNTIFS('Error Log'!$A:$A,$A121,'Error Log'!$J:$J,F$1)</f>
        <v>1</v>
      </c>
      <c r="G121" s="70">
        <f>COUNTIFS('Error Log'!$A:$A,$A121,'Error Log'!$J:$J,G$1)</f>
        <v>0</v>
      </c>
      <c r="H121" s="70">
        <f>COUNTIFS('Error Log'!$A:$A,$A121,'Error Log'!$F:$F,"Source")</f>
        <v>0</v>
      </c>
      <c r="I121" s="70">
        <f>COUNTIFS('Error Log'!$A:$A,$A121,'Error Log'!$F:$F,"Target")</f>
        <v>0</v>
      </c>
      <c r="J121" s="71">
        <f t="shared" si="1"/>
        <v>89.583333333333329</v>
      </c>
    </row>
    <row r="122" spans="1:10">
      <c r="A122" s="94" t="s">
        <v>1052</v>
      </c>
      <c r="B122" s="70" t="str">
        <f>IF(ISBLANK(A122),"",INDEX('Error Log'!$A:$J,MATCH('Scores per segment'!$A122,'Error Log'!$A:$A,0),MATCH('Scores per segment'!B$1,'Error Log'!$A$1:$J$1,0)))</f>
        <v>jack grealish has a message for premier league referees : you can keep telling me to pull my socks up but there 's no chance of me listening .
the aston villa teenager is renowned for keeping his stockings just above the roll of his shinpads .
and grealish says , due to superstition , that he 'll carry on that way after making his first premier league start on tuesday night .
jack grealish is renowned for wearing his socks low when he takes to the field for aston villa
the ireland under 21 international wears children 's shinpads - and says is n't about to change
` it 's a superstition that i 've done all my life and i 'm going to keep it that way , ' grealish told the bbc .
he appears not to wear shinpads on first glance , but does in fact use a children 's size .
` a few referees have tried telling me but i 've got to keep it like that , ' grealish added .
` i have n't had a kick on my shin yet and hopefully not any time soon . '
his first league start for the club came in the pulsating 3-3 draw against qpr on tuesday , but the republic of ireland under 21 international was glad to get it out of the way .
grealish was pleased to have finally made his first premier league start for villa against qpr
` it was a bit of a tough game to get my first start , in a big relegation scrap , but i 'm pleased even if i 'm not happy about how the game ended up , ' he added .
` i try and see it as any other football match but it 's nice that the gaffer has got that faith in me and hopefully i can try to get a few more starts before the end of the season .
` he said i deserve my start which is nice to hear and it really gives me a bit of a boost . '</v>
      </c>
      <c r="C122" s="70" t="str">
        <f>IF(ISBLANK(A122),"",INDEX('Error Log'!$A:$J,MATCH('Scores per segment'!$A122,'Error Log'!$A:$A,0),MATCH('Scores per segment'!C$1,'Error Log'!$A$1:$J$1,0)))</f>
        <v>jack grealish is renowned for wearing his socks low when he takes to the field for aston villa .
the ireland under 21 international wears children 's shinpads - and says is n't about to change .
the ireland under 21 international wears children 's shinpads - and says is n't about to change .</v>
      </c>
      <c r="D122" s="70">
        <f>IF(H122=0,wdct(TRIM(C122)),0)</f>
        <v>50</v>
      </c>
      <c r="E122" s="70">
        <f>COUNTIFS('Error Log'!$A:$A,$A122,'Error Log'!$J:$J,E$1)</f>
        <v>1</v>
      </c>
      <c r="F122" s="70">
        <f>COUNTIFS('Error Log'!$A:$A,$A122,'Error Log'!$J:$J,F$1)</f>
        <v>1</v>
      </c>
      <c r="G122" s="70">
        <f>COUNTIFS('Error Log'!$A:$A,$A122,'Error Log'!$J:$J,G$1)</f>
        <v>0</v>
      </c>
      <c r="H122" s="70">
        <f>COUNTIFS('Error Log'!$A:$A,$A122,'Error Log'!$F:$F,"Source")</f>
        <v>0</v>
      </c>
      <c r="I122" s="70">
        <f>COUNTIFS('Error Log'!$A:$A,$A122,'Error Log'!$F:$F,"Target")</f>
        <v>0</v>
      </c>
      <c r="J122" s="71">
        <f t="shared" si="1"/>
        <v>85</v>
      </c>
    </row>
    <row r="123" spans="1:10">
      <c r="A123" s="94" t="s">
        <v>1053</v>
      </c>
      <c r="B123" s="70" t="str">
        <f>IF(ISBLANK(A123),"",INDEX('Error Log'!$A:$J,MATCH('Scores per segment'!$A123,'Error Log'!$A:$A,0),MATCH('Scores per segment'!B$1,'Error Log'!$A$1:$J$1,0)))</f>
        <v>an oregon woman who came home and beat her boyfriend 's former girlfriend with a crowbar after finding her getting high on heroin in her bathroom will no longer face prosecution .
elena curtin of portland was seven-months pregnant when she was charged with second-degree assault after she struck her boyfriend 's ex in the head and arm with a crowbar in november 2014 .
she was set to go to trial in multnomah county circuit court this week , but prosecutors dropped the charge on monday because curtin , 23 , was ` completely justified in her outrage ' .
elena curtin of portland , oregon , was seven-months pregnant when she was charged with second-degree assault after she struck her boyfriend 's ex in the head and arm with a crowbar in november 2014
curtin gave birth in january .
when curtin came home , she found her boyfriend 's ex-girlfriend shooting heroin while sitting on her toilet , oregonian/oregonlive reported .
when she asked her to leave and the woman refused , curtin beat her with a crowbar .
oregon law allows for use of physical force against an intruder who wo n't leave a resident 's home .
curtin 's defense attorney , casey kovacic , said the ex-girlfriend was ` jealous and bitter ' that the boyfriend was in a relationship with his client .
the boyfriend , who is the father of curtin 's child , struggled with heroin in the past .
the ex and the boyfriend had gotten high at the apartment before and they have a five-year-old child .
they have since reconciled and curtin is now living with her parents .
the boyfriend has not been a part of his new child 's life .
kovacic wrote in an email : ` in the two years leading up to this incident , [ the ex ] made it her personal mission to make elena 's life miserable .
` she routinely harassed and threatened to hurt elena , stole from her , and cruelly plotted to drag [ the boyfriend ] back into addiction .
` that 's one silver lining - she 's [ curtin ] been able to examine how bad ( her relationship ) was and move on with her life . '
if she had gone to trial and been convicted , curtin would have faced received a mandatory prison sentence of almost six years .
curtin was charged after coming home and finding her boyfriend 's ex-girlfriend shooting heroin in her bathroom</v>
      </c>
      <c r="C123" s="70" t="str">
        <f>IF(ISBLANK(A123),"",INDEX('Error Log'!$A:$J,MATCH('Scores per segment'!$A123,'Error Log'!$A:$A,0),MATCH('Scores per segment'!C$1,'Error Log'!$A$1:$J$1,0)))</f>
        <v>elena curtin of portland , oregon , was charged with second-degree assault after she struck her boyfriend 's ex in the head and arm with a crowbar in november 2014 .
when curtin came home , she found her boyfriend 's ex-girlfriend shooting heroin while sitting on her toilet , oregonian/oregonlive reported .
when curtin came home , she found her boyfriend 's ex-girlfriend shooting heroin while sitting on her toilet , oregonian/oregonlive reported .
when curtin came home , she found her boyfriend 's ex-girlfriend shooting heroin while sitting on her toilet , oregonian/oregonlive reported .
curtin 's defense attorney , casey kovacic , said the ex-girlfriend was ' completely justified in her outrage ' .</v>
      </c>
      <c r="D123" s="70">
        <f>IF(H123=0,wdct(TRIM(C123)),0)</f>
        <v>103</v>
      </c>
      <c r="E123" s="70">
        <f>COUNTIFS('Error Log'!$A:$A,$A123,'Error Log'!$J:$J,E$1)</f>
        <v>1</v>
      </c>
      <c r="F123" s="70">
        <f>COUNTIFS('Error Log'!$A:$A,$A123,'Error Log'!$J:$J,F$1)</f>
        <v>4</v>
      </c>
      <c r="G123" s="70">
        <f>COUNTIFS('Error Log'!$A:$A,$A123,'Error Log'!$J:$J,G$1)</f>
        <v>0</v>
      </c>
      <c r="H123" s="70">
        <f>COUNTIFS('Error Log'!$A:$A,$A123,'Error Log'!$F:$F,"Source")</f>
        <v>0</v>
      </c>
      <c r="I123" s="70">
        <f>COUNTIFS('Error Log'!$A:$A,$A123,'Error Log'!$F:$F,"Target")</f>
        <v>0</v>
      </c>
      <c r="J123" s="71">
        <f t="shared" si="1"/>
        <v>85.4368932038835</v>
      </c>
    </row>
    <row r="124" spans="1:10">
      <c r="A124" s="97" t="s">
        <v>1054</v>
      </c>
      <c r="B124" s="70" t="str">
        <f>IF(ISBLANK(A124),"",INDEX('Error Log'!$A:$J,MATCH('Scores per segment'!$A124,'Error Log'!$A:$A,0),MATCH('Scores per segment'!B$1,'Error Log'!$A$1:$J$1,0)))</f>
        <v>hong kong ( cnn ) six people were hurt after an explosion at a controversial chemical plant in china 's southeastern fujian province sparked a huge fire , provincial authorities told state media .
the plant , located in zhangzhou city , produces paraxylene ( px ) , a reportedly carcinogenic chemical used in the production of polyester films and fabrics .
the blast occurred at an oil storage facility monday night after an oil leak , though local media has not reported any toxic chemical spill .
five out of six people were injured by broken glass and have been sent to the hospital for treatment , xinhua news agency reported .
more than 600 firefighters were sent to battle the blaze and the fire is now under control , the zhangzhou fire department wrote on their official microblogging account tuesday morning .
residents living close to the plant had heard the explosion and took to weibo to post photos of the fire .
one user wrote that he heard a loud blast and felt slight tremors .
the plant was hit by another explosion in july 2013 , although there were no reports of casualties or toxic leaks at the time .
though demonstrations are illegal in china , the construction of px plants has sparked protests , which have occasionally turned violent , in several cities in recent years .
the zhangzhou plant was slated for xiamen -- a densely populated city in the southeast of the country .
however , it provoked an angry backlash in 2007 due to pollution concerns and prompted the local government to relocate the factory to its current , more remote location .</v>
      </c>
      <c r="C124" s="70" t="str">
        <f>IF(ISBLANK(A124),"",INDEX('Error Log'!$A:$J,MATCH('Scores per segment'!$A124,'Error Log'!$A:$A,0),MATCH('Scores per segment'!C$1,'Error Log'!$A$1:$J$1,0)))</f>
        <v>six people were hurt after an explosion at a chemical plant in china 's fujian province .
the blast occurred at an oil storage facility monday night after an oil leak .
local media has not reported any toxic chemical spill .</v>
      </c>
      <c r="D124" s="70">
        <f>IF(H124=0,wdct(TRIM(C124)),0)</f>
        <v>39</v>
      </c>
      <c r="E124" s="70">
        <f>COUNTIFS('Error Log'!$A:$A,$A124,'Error Log'!$J:$J,E$1)</f>
        <v>1</v>
      </c>
      <c r="F124" s="70">
        <f>COUNTIFS('Error Log'!$A:$A,$A124,'Error Log'!$J:$J,F$1)</f>
        <v>1</v>
      </c>
      <c r="G124" s="70">
        <f>COUNTIFS('Error Log'!$A:$A,$A124,'Error Log'!$J:$J,G$1)</f>
        <v>0</v>
      </c>
      <c r="H124" s="70">
        <f>COUNTIFS('Error Log'!$A:$A,$A124,'Error Log'!$F:$F,"Source")</f>
        <v>0</v>
      </c>
      <c r="I124" s="70">
        <f>COUNTIFS('Error Log'!$A:$A,$A124,'Error Log'!$F:$F,"Target")</f>
        <v>0</v>
      </c>
      <c r="J124" s="71">
        <f t="shared" si="1"/>
        <v>80.769230769230774</v>
      </c>
    </row>
    <row r="125" spans="1:10">
      <c r="A125" s="97" t="s">
        <v>1055</v>
      </c>
      <c r="B125" s="70" t="str">
        <f>IF(ISBLANK(A125),"",INDEX('Error Log'!$A:$J,MATCH('Scores per segment'!$A125,'Error Log'!$A:$A,0),MATCH('Scores per segment'!B$1,'Error Log'!$A$1:$J$1,0)))</f>
        <v>this dog 's certainly not setting a good example to the youngsters under her charge .
gemma the pit bull was filmed at home in california being fed some treats .
but in a bid to trick her , her owner throws a broccoli spear into the mix .
immediately the canine pulls a look of disgust as she chomps on the vegetable .
she then proceeds to spit it out on the floor .
let 's hope the two children she lives with do n't follow her lead and they learn to love their greens .
when she 's not filling her face , other videos show gemma enjoys sleeping and hanging out with her human family .
yuck : gemma the pit bull was filmed at home in california being fed some treats , but in a bid to trick her , her owner throws a broccoli spear into the mix
not a broccoli fan : immediately the canine pulls a look of disgust as she chomps on the vegetable - she then proceeds to spit it out on the floor</v>
      </c>
      <c r="C125" s="70" t="str">
        <f>IF(ISBLANK(A125),"",INDEX('Error Log'!$A:$J,MATCH('Scores per segment'!$A125,'Error Log'!$A:$A,0),MATCH('Scores per segment'!C$1,'Error Log'!$A$1:$J$1,0)))</f>
        <v>gemma the pit bull was filmed at home in california being fed some treats .
but in a bid to trick her , her owner throws a broccoli spear into the mix .
she then proceeds to spit it out on the floor .</v>
      </c>
      <c r="D125" s="70">
        <f>IF(H125=0,wdct(TRIM(C125)),0)</f>
        <v>40</v>
      </c>
      <c r="E125" s="70">
        <f>COUNTIFS('Error Log'!$A:$A,$A125,'Error Log'!$J:$J,E$1)</f>
        <v>0</v>
      </c>
      <c r="F125" s="70">
        <f>COUNTIFS('Error Log'!$A:$A,$A125,'Error Log'!$J:$J,F$1)</f>
        <v>0</v>
      </c>
      <c r="G125" s="70">
        <f>COUNTIFS('Error Log'!$A:$A,$A125,'Error Log'!$J:$J,G$1)</f>
        <v>0</v>
      </c>
      <c r="H125" s="70">
        <f>COUNTIFS('Error Log'!$A:$A,$A125,'Error Log'!$F:$F,"Source")</f>
        <v>0</v>
      </c>
      <c r="I125" s="70">
        <f>COUNTIFS('Error Log'!$A:$A,$A125,'Error Log'!$F:$F,"Target")</f>
        <v>0</v>
      </c>
      <c r="J125" s="71">
        <f t="shared" si="1"/>
        <v>100</v>
      </c>
    </row>
    <row r="126" spans="1:10">
      <c r="A126" s="97" t="s">
        <v>1056</v>
      </c>
      <c r="B126" s="70" t="str">
        <f>IF(ISBLANK(A126),"",INDEX('Error Log'!$A:$J,MATCH('Scores per segment'!$A126,'Error Log'!$A:$A,0),MATCH('Scores per segment'!B$1,'Error Log'!$A$1:$J$1,0)))</f>
        <v>a police corruption trial in philadelphia is far from over , but already one trial witness has been handed a losing verdict .
witness robert kushner lost his varsity coaching job at a private academy after testifying this week about his years selling marijuana .
kushner , 32 , is one of more than a dozen former drug dealers testifying for the federal government about allegations of police wrongdoing .
witness robert kushner lost his varsity coaching job at the jack m. barrack hebrew academy after testifying this week about his years selling marijuana
he told jurors tuesday that some of the undercover officers on trial had stolen $ 81,000 in cash and 7 pounds of marijuana from him during a 2007 arrest .
that history came as news to officials at jack m. barrack hebrew academy in suburban bryn mawr .
kushner had passed a background check when he was hired to coach basketball in 2010 , head of school sharon levin told the philadelphia inquirer .
kushner testified that the 2007 charges were expunged as part of a probationary sentence .
on cross-examination , he acknowledged that he was arrested again in 2011 and sentenced to four years of probation .
he also pleaded guilty to driving under the influence in 2008 .
this undated photo combination provided by the philadelphia police department shows from top left to right , philadelphia police officers thomas liciardello , brian reynolds , michael spicer , and from bottom left to right , perry betts , linwood norman and john speiser , all of whom were arrested and charged in the 26-count indictment include racketeering conspiracy , extortion , robbery , kidnapping and drug dealing
kushner told the newspaper that he never meant to deceive the school , where he worked as a seasonal employee .
and he believes he is innocent of the 2011 charges .
` all of the stuff that happened in 2007 , that was eight years ago and was a bad phase of my life that i 've moved past and never really looked back , ' kushner said wednesday .
" i 'm very sorry , and i want the best for the kids . "
he also coaches in a narberth summer league , where director dan kazanicka described him as an excellent coach who is good with kids .
lawyers for the six former drug squad officers accused of racketeering have said the government case is based on 19 lying drug dealers and a rogue ex-cop .</v>
      </c>
      <c r="C126" s="70" t="str">
        <f>IF(ISBLANK(A126),"",INDEX('Error Log'!$A:$J,MATCH('Scores per segment'!$A126,'Error Log'!$A:$A,0),MATCH('Scores per segment'!C$1,'Error Log'!$A$1:$J$1,0)))</f>
        <v>witness robert kushner lost his varsity coaching job at a private academy .
he is one of more than a dozen former drug dealers testifying for the federal government .
kushner had passed a background check when he was hired to coach basketball in 2010 .</v>
      </c>
      <c r="D126" s="70">
        <f>IF(H126=0,wdct(TRIM(C126)),0)</f>
        <v>43</v>
      </c>
      <c r="E126" s="70">
        <f>COUNTIFS('Error Log'!$A:$A,$A126,'Error Log'!$J:$J,E$1)</f>
        <v>0</v>
      </c>
      <c r="F126" s="70">
        <f>COUNTIFS('Error Log'!$A:$A,$A126,'Error Log'!$J:$J,F$1)</f>
        <v>1</v>
      </c>
      <c r="G126" s="70">
        <f>COUNTIFS('Error Log'!$A:$A,$A126,'Error Log'!$J:$J,G$1)</f>
        <v>0</v>
      </c>
      <c r="H126" s="70">
        <f>COUNTIFS('Error Log'!$A:$A,$A126,'Error Log'!$F:$F,"Source")</f>
        <v>0</v>
      </c>
      <c r="I126" s="70">
        <f>COUNTIFS('Error Log'!$A:$A,$A126,'Error Log'!$F:$F,"Target")</f>
        <v>0</v>
      </c>
      <c r="J126" s="71">
        <f t="shared" si="1"/>
        <v>94.186046511627907</v>
      </c>
    </row>
    <row r="127" spans="1:10">
      <c r="A127" s="97" t="s">
        <v>1057</v>
      </c>
      <c r="B127" s="70" t="str">
        <f>IF(ISBLANK(A127),"",INDEX('Error Log'!$A:$J,MATCH('Scores per segment'!$A127,'Error Log'!$A:$A,0),MATCH('Scores per segment'!B$1,'Error Log'!$A$1:$J$1,0)))</f>
        <v>hsbc has apologised after a link on its official website directed visitors to a pornographic page .
anyone trying to access the bank 's page for the young entrepreneur awards - which has since been shut down - was greeted by images of women posing naked or having sex .
the porn site took over the address after the awards were scrapped in 2011 and the organisers allowed its registration on hsbc.com.hk to retire .
blunder : hsbc has apologised after a link on its official website directed visitors to a pornographic page ( pictured )
for that reason , the website 's url address which would usually connect to a third-party website transferred visitors to the porn business instead , a banking source told the south china morning post .
hsbc yesterday removed the hyperlink from its main website after realising its embarrassing mistake .
a spokesman denied the bank had any associations with the external site and offered its apology to the public .
in a public statement dated april 20 , hsbc said ` a link to an external third-party website has been removed ' from its community projects webpage .
it added : ` hsbc is not in any way associated with the external third-party website .
hsbc would like to apologise to the public for any inconvenience caused . '
the banking giant insisted its website remained secure .
hsbc 's internet banking service allows customers to check their account balances , transfer funds , and apply for loans and insurance , among others .
embarrassing : the porn site took over the young entrepreneurs wards page after they were scrapped in 2011 and the organisers allowed its registration to retire ( hong kong branch pictured )</v>
      </c>
      <c r="C127" s="70" t="str">
        <f>IF(ISBLANK(A127),"",INDEX('Error Log'!$A:$J,MATCH('Scores per segment'!$A127,'Error Log'!$A:$A,0),MATCH('Scores per segment'!C$1,'Error Log'!$A$1:$J$1,0)))</f>
        <v>hsbc removed the hyperlink from its main website after realising its embarrassing mistake .
hsbc yesterday removed the hyperlink from its main website after realising its embarrassing mistake .
hsbc yesterday removed the hyperlink from its main website after realising its embarrassing mistake .</v>
      </c>
      <c r="D127" s="70">
        <f>IF(H127=0,wdct(TRIM(C127)),0)</f>
        <v>41</v>
      </c>
      <c r="E127" s="70">
        <f>COUNTIFS('Error Log'!$A:$A,$A127,'Error Log'!$J:$J,E$1)</f>
        <v>3</v>
      </c>
      <c r="F127" s="70">
        <f>COUNTIFS('Error Log'!$A:$A,$A127,'Error Log'!$J:$J,F$1)</f>
        <v>3</v>
      </c>
      <c r="G127" s="70">
        <f>COUNTIFS('Error Log'!$A:$A,$A127,'Error Log'!$J:$J,G$1)</f>
        <v>0</v>
      </c>
      <c r="H127" s="70">
        <f>COUNTIFS('Error Log'!$A:$A,$A127,'Error Log'!$F:$F,"Source")</f>
        <v>0</v>
      </c>
      <c r="I127" s="70">
        <f>COUNTIFS('Error Log'!$A:$A,$A127,'Error Log'!$F:$F,"Target")</f>
        <v>0</v>
      </c>
      <c r="J127" s="71">
        <f t="shared" si="1"/>
        <v>45.121951219512191</v>
      </c>
    </row>
    <row r="128" spans="1:10">
      <c r="A128" s="97" t="s">
        <v>1058</v>
      </c>
      <c r="B128" s="70" t="str">
        <f>IF(ISBLANK(A128),"",INDEX('Error Log'!$A:$J,MATCH('Scores per segment'!$A128,'Error Log'!$A:$A,0),MATCH('Scores per segment'!B$1,'Error Log'!$A$1:$J$1,0)))</f>
        <v>forget a feather down pillow - this boy would rather use his cat 's belly as a place to rest his head .
california-based youtube user lionel hutz filmed his young son chasing the family feline around the garden in a bid to get some rest .
footage shows the cat licking his fur before his human friend comes along and plonks himself on top .
after a brief moment of stillness , the cat immediately gets up and scurries over to another spot .
the boy then proceeds to follow the pet to his new location .
eager to get some rest , the infant repeats the same move and rolls to the ground .
the sequence happens one more time before the cat decides he 's had enough of being used as a pillow and wanders off indoors .
a later video shows the duo swiftly made up , and the boy is seen gently feeding the cat handfuls of treats .
sleepy head : youtube user lionel hutz filmed his young son chasing the family feline around the garden in a bid to get some rest
perfect pillow : footage shows the cat sat licking his fur before his human friend comes along and plonks himself on top
not amused : after a brief moment of stillness , the cat immediately gets up and scurries over to another spot</v>
      </c>
      <c r="C128" s="70" t="str">
        <f>IF(ISBLANK(A128),"",INDEX('Error Log'!$A:$J,MATCH('Scores per segment'!$A128,'Error Log'!$A:$A,0),MATCH('Scores per segment'!C$1,'Error Log'!$A$1:$J$1,0)))</f>
        <v>california-based youtube user lionel hutz filmed his young son chasing the family feline around the garden in a bid to get some rest .
footage shows the cat licking his fur before his human friend comes along and plonks himself on top .</v>
      </c>
      <c r="D128" s="70">
        <f>IF(H128=0,wdct(TRIM(C128)),0)</f>
        <v>41</v>
      </c>
      <c r="E128" s="70">
        <f>COUNTIFS('Error Log'!$A:$A,$A128,'Error Log'!$J:$J,E$1)</f>
        <v>0</v>
      </c>
      <c r="F128" s="70">
        <f>COUNTIFS('Error Log'!$A:$A,$A128,'Error Log'!$J:$J,F$1)</f>
        <v>0</v>
      </c>
      <c r="G128" s="70">
        <f>COUNTIFS('Error Log'!$A:$A,$A128,'Error Log'!$J:$J,G$1)</f>
        <v>0</v>
      </c>
      <c r="H128" s="70">
        <f>COUNTIFS('Error Log'!$A:$A,$A128,'Error Log'!$F:$F,"Source")</f>
        <v>0</v>
      </c>
      <c r="I128" s="70">
        <f>COUNTIFS('Error Log'!$A:$A,$A128,'Error Log'!$F:$F,"Target")</f>
        <v>0</v>
      </c>
      <c r="J128" s="71">
        <f t="shared" si="1"/>
        <v>100</v>
      </c>
    </row>
    <row r="129" spans="1:10">
      <c r="A129" s="97" t="s">
        <v>1059</v>
      </c>
      <c r="B129" s="70" t="str">
        <f>IF(ISBLANK(A129),"",INDEX('Error Log'!$A:$J,MATCH('Scores per segment'!$A129,'Error Log'!$A:$A,0),MATCH('Scores per segment'!B$1,'Error Log'!$A$1:$J$1,0)))</f>
        <v>a 13-year-old maryland boy provided firefighters with instructions during a 911 call and got himself and his little sister rescued after his family 's home caught fire on sunday morning ,
marcus and his nine-year-old sister aaliyah were trapped in a second-floor bedroom after the fire broke out on the first floor of their home in clinton .
the boy called 911 shortly before 7 am after he smelled smoke and told the dispatcher the siblings were trapped in the room because it was too hot to get out through the hallway
a 13-year-old maryland boy called 911 after a fire broke out on the first floor of his home in clinton on sunday
marcus , who stayed calm throughout the 11-minute call , told the dispatcher that his older brother , mother and step-father were also in the home , abc news reported .
he also soothed his sister after she blurted out , ` we 're going to die ' , during the call and told her to ` stay low ' and reminded her to breathe .
while giving directions , the boy said : ` go up the steps right in the back hallways .
` it 's a black door to the right . '
marcus was able to stay calm throughout the 11-minute call and he was rescued along with his 9-year-old sister
prince george 's county firefighters were able to enter the room by going through the home and breaking a window , according to the washington post .
when firefighter lt kenny ward entered the room , he handed marcus out the window to another rescuer , according to assistant fire chief alan doubleday .
the 25-year veteran then gave his gas mask to the little girl after he felt her tug on his leg .
doubleday said : ` it was a heroic effort on his part .
i ca n't even put it into words . '
the siblings were taken to children 's hospital with non-life threatening injuries , wjla reported .
the three other family members were taken to medstar hospital after escaping on their own .</v>
      </c>
      <c r="C129" s="70" t="str">
        <f>IF(ISBLANK(A129),"",INDEX('Error Log'!$A:$J,MATCH('Scores per segment'!$A129,'Error Log'!$A:$A,0),MATCH('Scores per segment'!C$1,'Error Log'!$A$1:$J$1,0)))</f>
        <v>a 13-year-old maryland boy called 911 after a fire broke out on the first floor of his home in clinton .
the boy called 911 before 7am after he smelled smoke and told the dispatcher the siblings were trapped in the room because it was too hot to get out through the hallway .
prince george’s county firefighters were able to enter the room by going through the home and breaking a window , according to the washington post .</v>
      </c>
      <c r="D129" s="70">
        <f>IF(H129=0,wdct(TRIM(C129)),0)</f>
        <v>77</v>
      </c>
      <c r="E129" s="70">
        <f>COUNTIFS('Error Log'!$A:$A,$A129,'Error Log'!$J:$J,E$1)</f>
        <v>1</v>
      </c>
      <c r="F129" s="70">
        <f>COUNTIFS('Error Log'!$A:$A,$A129,'Error Log'!$J:$J,F$1)</f>
        <v>2</v>
      </c>
      <c r="G129" s="70">
        <f>COUNTIFS('Error Log'!$A:$A,$A129,'Error Log'!$J:$J,G$1)</f>
        <v>0</v>
      </c>
      <c r="H129" s="70">
        <f>COUNTIFS('Error Log'!$A:$A,$A129,'Error Log'!$F:$F,"Source")</f>
        <v>0</v>
      </c>
      <c r="I129" s="70">
        <f>COUNTIFS('Error Log'!$A:$A,$A129,'Error Log'!$F:$F,"Target")</f>
        <v>0</v>
      </c>
      <c r="J129" s="71">
        <f t="shared" si="1"/>
        <v>87.012987012987011</v>
      </c>
    </row>
    <row r="130" spans="1:10">
      <c r="A130" s="97" t="s">
        <v>1060</v>
      </c>
      <c r="B130" s="70" t="str">
        <f>IF(ISBLANK(A130),"",INDEX('Error Log'!$A:$J,MATCH('Scores per segment'!$A130,'Error Log'!$A:$A,0),MATCH('Scores per segment'!B$1,'Error Log'!$A$1:$J$1,0)))</f>
        <v>jerusalem ( cnn ) a palestinian teenager 's name will be removed from an israeli memorial commemorating fallen soldiers and the victims of terrorism after his family and others complained .
mohammed abu khdeir 's name appeared this week on the wall at jerusalem 's mount herzl , the site of the national cemetery , as the nation prepared to mark its memorial day on wednesday .
abu khdeir , 16 , was beaten and burned alive by three israelis in july , according to prosecutors .
a picture on the memorial website for abu khdeir shows an israeli flag with two flowers called " blood of the maccabees " in israel , a symbol often used on memorial day , when the country honors its soldiers killed in the line of duty and victims of terrorism .
but abu khdeir 's family objected to his inclusion on the memorial wall .
his father , hussein abu khdeir , said no one asked for his permission to put his son 's name on the wall .
" i refuse that my son 's name will be listed between soldiers of the occupation , " he said .
almagor , an organization that works on behalf of victims of terror in israel , also opposes abu khdeir 's inclusion on the memorial .
almagor described the teen 's death as a rogue attack and said he 's not a terror victim .
" somebody did here a trick , and we are going to fight to correct it , " said almagor ceo meir indor .
" we will not recognize someone who was murdered in a brutal way in an individual action . "
indor 's organization wrote a letter to the national insurance institute of israel -- the country 's social security administration , which maintains the memorial site -- demanding that abu khdeir 's name be removed from the memorial wall .
indor said if the teenager 's name is not taken off , members of almagor want their own family members ' names removed .
on wednesday , israel radio reported that the national insurance institute of israel will remove abu khdeir 's name from the memorial following his father 's complaints .
the teen 's name has already been removed from the organization 's website , which lists the names on the memorial wall .
a panel of judges began hearing evidence in january against the three suspects in abu khdeir 's killing .</v>
      </c>
      <c r="C130" s="70" t="str">
        <f>IF(ISBLANK(A130),"",INDEX('Error Log'!$A:$J,MATCH('Scores per segment'!$A130,'Error Log'!$A:$A,0),MATCH('Scores per segment'!C$1,'Error Log'!$A$1:$J$1,0)))</f>
        <v>mohammed abu khdeir 's name appeared this week on the wall at jerusalem 's mount herzl .
abu khdeir , 16 , was beaten and burned alive by three israelis in july .
his father , hussein abu khdeir , said he 's not a terror victim .</v>
      </c>
      <c r="D130" s="70">
        <f>IF(H130=0,wdct(TRIM(C130)),0)</f>
        <v>41</v>
      </c>
      <c r="E130" s="70">
        <f>COUNTIFS('Error Log'!$A:$A,$A130,'Error Log'!$J:$J,E$1)</f>
        <v>0</v>
      </c>
      <c r="F130" s="70">
        <f>COUNTIFS('Error Log'!$A:$A,$A130,'Error Log'!$J:$J,F$1)</f>
        <v>0</v>
      </c>
      <c r="G130" s="70">
        <f>COUNTIFS('Error Log'!$A:$A,$A130,'Error Log'!$J:$J,G$1)</f>
        <v>0</v>
      </c>
      <c r="H130" s="70">
        <f>COUNTIFS('Error Log'!$A:$A,$A130,'Error Log'!$F:$F,"Source")</f>
        <v>0</v>
      </c>
      <c r="I130" s="70">
        <f>COUNTIFS('Error Log'!$A:$A,$A130,'Error Log'!$F:$F,"Target")</f>
        <v>0</v>
      </c>
      <c r="J130" s="71">
        <f t="shared" ref="J130:J193" si="2">IF(I130=0,IFERROR((((1-((E130*10+F130*5+G130*1)/D130))*100)+100)/2,0),-150)</f>
        <v>100</v>
      </c>
    </row>
    <row r="131" spans="1:10">
      <c r="A131" s="97" t="s">
        <v>1061</v>
      </c>
      <c r="B131" s="70" t="str">
        <f>IF(ISBLANK(A131),"",INDEX('Error Log'!$A:$J,MATCH('Scores per segment'!$A131,'Error Log'!$A:$A,0),MATCH('Scores per segment'!B$1,'Error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 caused by millions of plankton omitting light .
a similar display was shown in sydney 's manly beach back in august 2014 where an oceanography expert told daily mail australia there was no need to be concerned about the algae .
` the glow is caused by noctiluca scintillans , which is a single celled phytoplankton - the algae of the sea - which blossoms in the spring and the autumn and in 90 per cent of occasions occurs due to natural causes , ' iain suthers , of university of new south wales , said .
mr suthers explained that the bizarre carnivorous cell , which preys on another type of algae called diatoms , gives off the luminous glow as a defence mechanism .
incredible pictures have emerged of blue fluorescent algae lighting up australia 's east coast
the amazing images were taken in jervis bay which is in the south coast of new south wales
photograher andy hutchinson captured trhe neon glow illuminating one of australia 's popular beaches
mr hutchinson described the sight as a ` beautiful supernatural scene ' caused by millions of plankton omitting light
a similar display - like the one in jervis bay ( pictured ) - was shown in sydney 's manly beach back in august 2014
iain suthers , of university of new south wales , says the algae blossoms in the spring and the autumn</v>
      </c>
      <c r="C131" s="70" t="str">
        <f>IF(ISBLANK(A131),"",INDEX('Error Log'!$A:$J,MATCH('Scores per segment'!$A131,'Error Log'!$A:$A,0),MATCH('Scores per segment'!C$1,'Error Log'!$A$1:$J$1,0)))</f>
        <v>amazing pictures have emerged of blue fluorescent algae lighting up australia 's east coast .
the images were taken in jervis bay , the south coast of nsw , as the neon glow illuminated one of australia 's popular beaches .
photographer andy hutchinson described the sight as a ' beautiful supernatural scene' caused by millions of plankton omitting light .</v>
      </c>
      <c r="D131" s="70">
        <f>IF(H131=0,wdct(TRIM(C131)),0)</f>
        <v>55</v>
      </c>
      <c r="E131" s="70">
        <f>COUNTIFS('Error Log'!$A:$A,$A131,'Error Log'!$J:$J,E$1)</f>
        <v>2</v>
      </c>
      <c r="F131" s="70">
        <f>COUNTIFS('Error Log'!$A:$A,$A131,'Error Log'!$J:$J,F$1)</f>
        <v>1</v>
      </c>
      <c r="G131" s="70">
        <f>COUNTIFS('Error Log'!$A:$A,$A131,'Error Log'!$J:$J,G$1)</f>
        <v>0</v>
      </c>
      <c r="H131" s="70">
        <f>COUNTIFS('Error Log'!$A:$A,$A131,'Error Log'!$F:$F,"Source")</f>
        <v>0</v>
      </c>
      <c r="I131" s="70">
        <f>COUNTIFS('Error Log'!$A:$A,$A131,'Error Log'!$F:$F,"Target")</f>
        <v>0</v>
      </c>
      <c r="J131" s="71">
        <f t="shared" si="2"/>
        <v>77.272727272727266</v>
      </c>
    </row>
    <row r="132" spans="1:10">
      <c r="A132" s="97" t="s">
        <v>1062</v>
      </c>
      <c r="B132" s="70" t="str">
        <f>IF(ISBLANK(A132),"",INDEX('Error Log'!$A:$J,MATCH('Scores per segment'!$A132,'Error Log'!$A:$A,0),MATCH('Scores per segment'!B$1,'Error Log'!$A$1:$J$1,0)))</f>
        <v>bolton-born boxer amir khan spent his friday alongside some fellow natural born fighters as he enjoyed a family trip to a safari park in northern california .
khan posed alongside , and also fed , a rare but dangerous white tiger as well posing with stunning giraffes and sea lions at six flags discovery kingdom .
the 28-year-old was joined by his wife faryal makhdoom khan as well as his daughter lamysa as they all enjoyed some time off .
bolton-born boxer amir khan enjoyed a day a safari park with his family in northern california
khan and his wife and daughter pose with a giraffe as they enjoy a family day at the adventure park
khan feeds a rare white tiger during his time at the american adventure park in california
earlier this week khan ended speculation over his next opponent by announcing he will fight former light-welterweight world champion chris algieri on may 30 .
khan had come under increasing pressure to take on british rival and ibf welterweight champion kell brook in june .
however , khan , who was also linked with bouts against adrien broner and keith thurman , said he was already deep in negotiations to fight somebody else .
khan ( left ) has announced his next fight will be against chris algieri at welterweight on may 30</v>
      </c>
      <c r="C132" s="70" t="str">
        <f>IF(ISBLANK(A132),"",INDEX('Error Log'!$A:$J,MATCH('Scores per segment'!$A132,'Error Log'!$A:$A,0),MATCH('Scores per segment'!C$1,'Error Log'!$A$1:$J$1,0)))</f>
        <v>bolton-born boxer amir khan enjoyed a family trip to a safari park in northern california .
khan enjoyed a day a safari park with his family in northern california .
khan had come under increasing pressure to take on british rival and ibf welterweight champion kell brook in june .</v>
      </c>
      <c r="D132" s="70">
        <f>IF(H132=0,wdct(TRIM(C132)),0)</f>
        <v>47</v>
      </c>
      <c r="E132" s="70">
        <f>COUNTIFS('Error Log'!$A:$A,$A132,'Error Log'!$J:$J,E$1)</f>
        <v>1</v>
      </c>
      <c r="F132" s="70">
        <f>COUNTIFS('Error Log'!$A:$A,$A132,'Error Log'!$J:$J,F$1)</f>
        <v>1</v>
      </c>
      <c r="G132" s="70">
        <f>COUNTIFS('Error Log'!$A:$A,$A132,'Error Log'!$J:$J,G$1)</f>
        <v>0</v>
      </c>
      <c r="H132" s="70">
        <f>COUNTIFS('Error Log'!$A:$A,$A132,'Error Log'!$F:$F,"Source")</f>
        <v>0</v>
      </c>
      <c r="I132" s="70">
        <f>COUNTIFS('Error Log'!$A:$A,$A132,'Error Log'!$F:$F,"Target")</f>
        <v>0</v>
      </c>
      <c r="J132" s="71">
        <f t="shared" si="2"/>
        <v>84.042553191489361</v>
      </c>
    </row>
    <row r="133" spans="1:10">
      <c r="A133" s="97" t="s">
        <v>1063</v>
      </c>
      <c r="B133" s="70" t="str">
        <f>IF(ISBLANK(A133),"",INDEX('Error Log'!$A:$J,MATCH('Scores per segment'!$A133,'Error Log'!$A:$A,0),MATCH('Scores per segment'!B$1,'Error Log'!$A$1:$J$1,0)))</f>
        <v>breast cancer patients may be spared chemotherapy thanks to new tests that pinpoint genetic ` markers '
breast cancer patients may be spared chemotherapy thanks to new tests that pinpoint genetic ` markers ' in the tumour and determine its aggressiveness .
after surgery , the cancer cells are sent to a lab where they are screened , and women can be told within days whether they have a high or low risk of the disease returning .
for some women , the test can accurately tell if the risk is as low as five per cent , which is as good as if not better than the odds for those who have chemotherapy .
the majority of women who have breast cancer are routinely given the gruelling drug treatment following removal of the tumour to prevent recurrence .
although the medication kills off cancer cells , the side effects -- including complete hair loss , nausea , sickness , weight gain or loss , and extreme fatigue -- can be difficult to live with .
for some women , the prospect of chemotherapy is more daunting than the surgery itself .
but experts have long-believed that the risk of cancer recurrence for certain women is a lot less than for others , and that for some , chemotherapy may not be necessary .
if the newest of the tests , called endopredict , shows a low score , patients can opt not to have chemotherapy .
most of the tests are available only privately and cost about £ 2,500 , although breast specialists hope they may soon become properly available on the nhs .
surgeon hemant singhal said : ` i think there is a good case for the nhs to use this test on the basis that the cost is balanced out by savings in not giving chemotherapy . '
professor kefah mokbel , consultant breast surgeon at st george 's hospital , london , said : ` with this test we can help patients make an informed choice , whereas in the past we have just given chemotherapy to almost everyone . '
becca cornford , a 49-year-old mother of three aged 11 , six and four , was recovering from being diagnosed and treated for breast cancer last year only to then discover that she had cancer in her other breast .
the majority of women who have breast cancer are routinely given the gruelling drug treatment following removal of the tumour to prevent recurrence
she said : ` i dreaded chemo more than another mastectomy .
i was worried it would interfere with me being able to look after my children . '
professor mokbel operated on becca in december at the princess grace hospital , london , and afterwards a sample of her tumour was sent away and tested using the endopredict .
a low score meant her chances of recurrence within ten years were just five per cent and she was told chemotherapy could not offer much better odds .
` i could have gone through chemo and the cancer could still return , ' she says .
` there is no treatment that places your chances at zero .
but if you have regular monitoring , there is every chance that any cancer that might come back would be nipped in the bud early . '</v>
      </c>
      <c r="C133" s="70" t="str">
        <f>IF(ISBLANK(A133),"",INDEX('Error Log'!$A:$J,MATCH('Scores per segment'!$A133,'Error Log'!$A:$A,0),MATCH('Scores per segment'!C$1,'Error Log'!$A$1:$J$1,0)))</f>
        <v>after surgery , the cancer cells are sent to a lab where they have a high or low risk of the disease returning .
after surgery , the cancer cells are sent to a lab where they have a high or low risk of the disease returning .</v>
      </c>
      <c r="D133" s="70">
        <f>IF(H133=0,wdct(TRIM(C133)),0)</f>
        <v>44</v>
      </c>
      <c r="E133" s="70">
        <f>COUNTIFS('Error Log'!$A:$A,$A133,'Error Log'!$J:$J,E$1)</f>
        <v>3</v>
      </c>
      <c r="F133" s="70">
        <f>COUNTIFS('Error Log'!$A:$A,$A133,'Error Log'!$J:$J,F$1)</f>
        <v>2</v>
      </c>
      <c r="G133" s="70">
        <f>COUNTIFS('Error Log'!$A:$A,$A133,'Error Log'!$J:$J,G$1)</f>
        <v>0</v>
      </c>
      <c r="H133" s="70">
        <f>COUNTIFS('Error Log'!$A:$A,$A133,'Error Log'!$F:$F,"Source")</f>
        <v>0</v>
      </c>
      <c r="I133" s="70">
        <f>COUNTIFS('Error Log'!$A:$A,$A133,'Error Log'!$F:$F,"Target")</f>
        <v>0</v>
      </c>
      <c r="J133" s="71">
        <f t="shared" si="2"/>
        <v>54.545454545454547</v>
      </c>
    </row>
    <row r="134" spans="1:10">
      <c r="A134" s="97" t="s">
        <v>1064</v>
      </c>
      <c r="B134" s="70" t="str">
        <f>IF(ISBLANK(A134),"",INDEX('Error Log'!$A:$J,MATCH('Scores per segment'!$A134,'Error Log'!$A:$A,0),MATCH('Scores per segment'!B$1,'Error Log'!$A$1:$J$1,0)))</f>
        <v>there may have been a few disgruntled lap swimmers at bondi on thursday .
the daily visitors to the iconic icebergs club were forced to take their exercise back to the beach as their beloved pool was drained for the fashion folk .
the empty pool was used as the unusual catwalk setting for the ten pieces presentation as part of mercedes-benz fashion week australia .
bondi 's icebergs club pool was drained on thursday to create a unique catwalk for mercedes-benz fashion week australia
catwalk with a view : crowds gathered to take in the show from the balcony of the iconic club
walk this way : models paraded through the empty pool and along the break wall in front of a beautiful backdrop of the ocean
mono : ten pieces produces capsule collection of ten pieces of unisex clothing designed to be worn in 20 ways
the label had no trouble securing the show-stopping location .
ten pieces is headed up by icebergs restaurateur maurice terzini and his partner lucy hinckfuss .
the lifestyle brand produces unisex collections of - you guessed it - ten pieces .
a presentation of entirely monochrome creations saw models walking through the concrete pool and along the break wall with a backdrop of the ocean .
the collection of ten is designed to be worn in 20 different ways , and are suitable for day to night wear .
guests were treated to nibbles by icebergs and drinks from santa vittoria as they took in the minimalist , androgynous designs .
they were treated to beautiful blue sky and sunshine throughout the show , which took place on an unseasonably warm 28 degrees celcius day .
worlds collide : beachgoers at bondi stopped and stared as the catwalk show took place
girls and boys : the androgynous wares are designed to be worn by both sexes
winter is coming : models wrapped up in scarves and hoodies from the unisex collection
poolside : guests enjoyed the sunny weather as they waited for the show to commence
public site : passers-by stopped to watch the show from the road above the pool</v>
      </c>
      <c r="C134" s="70" t="str">
        <f>IF(ISBLANK(A134),"",INDEX('Error Log'!$A:$J,MATCH('Scores per segment'!$A134,'Error Log'!$A:$A,0),MATCH('Scores per segment'!C$1,'Error Log'!$A$1:$J$1,0)))</f>
        <v>bondi 's icebergs club pool was drained on thursday to create a unique catwalk for mercedes-benz fashion week australia .
the empty pool was used as the unusual catwalk setting for the ten pieces presentation as part of mercedes-benz fashion week australia .</v>
      </c>
      <c r="D134" s="70">
        <f>IF(H134=0,wdct(TRIM(C134)),0)</f>
        <v>41</v>
      </c>
      <c r="E134" s="70">
        <f>COUNTIFS('Error Log'!$A:$A,$A134,'Error Log'!$J:$J,E$1)</f>
        <v>2</v>
      </c>
      <c r="F134" s="70">
        <f>COUNTIFS('Error Log'!$A:$A,$A134,'Error Log'!$J:$J,F$1)</f>
        <v>1</v>
      </c>
      <c r="G134" s="70">
        <f>COUNTIFS('Error Log'!$A:$A,$A134,'Error Log'!$J:$J,G$1)</f>
        <v>0</v>
      </c>
      <c r="H134" s="70">
        <f>COUNTIFS('Error Log'!$A:$A,$A134,'Error Log'!$F:$F,"Source")</f>
        <v>0</v>
      </c>
      <c r="I134" s="70">
        <f>COUNTIFS('Error Log'!$A:$A,$A134,'Error Log'!$F:$F,"Target")</f>
        <v>0</v>
      </c>
      <c r="J134" s="71">
        <f t="shared" si="2"/>
        <v>69.512195121951223</v>
      </c>
    </row>
    <row r="135" spans="1:10">
      <c r="A135" s="97" t="s">
        <v>1065</v>
      </c>
      <c r="B135" s="70" t="str">
        <f>IF(ISBLANK(A135),"",INDEX('Error Log'!$A:$J,MATCH('Scores per segment'!$A135,'Error Log'!$A:$A,0),MATCH('Scores per segment'!B$1,'Error Log'!$A$1:$J$1,0)))</f>
        <v>more than 25 women have been airlifted from royal navy ships because of pregnancy .
one ship - hms ocean -- even had five pregnant sailors removed in emergency ` medevacs ' during the last nine years , a freedom of information request revealed .
and at least one woman was airlifted from hms illustrious , which was nicknamed ` hms lusty ' by the crew before it was decommissioned last year .
more than 25 women have been airlifted from royal navy ships because of pregnancy , including at least one woman from hms illustrious ( above ) , which was nicknamed ` hms lusty ' by the crew before it was decommissioned last year
eighteen other ships - including hms dragon , hms enterprise and hms richmond - had emergency evacuations , data obtained by the sun showed .
a ministry of defence spokesman confirmed there was a strict ` no touching ' rule in place at sea , which suggests the women conceived before boarding the ships or during leave .
the data comes nine months after commander sarah west , the first woman to captain a royal navy warship , was flown back to the uk following claims she had a sexual relationship with a member of her crew .
an unnamed captain was appointed in her place and a military investigation was launched into the 42-year-old 's conduct .
a ministry of defence spokesman confirmed there was a strict ` no touching ' rule in place at sea , which suggests the women conceived before boarding the ships or during leave ( stock image above )
navy sources said ms west left hms portland for ` personal reasons ' .
the ministry of defence would not confirm what these reasons were or what action she would face .
women have been serving on royal navy ships since 1990 and in 2014 around 9 per cent of personnel were female .
last may three women made history by becoming the first female submariners to serve in the royal navy .
nearly 100 female british soldiers were sent home from afghanistan after finding out they were pregnant .
ninety-nine servicewomen on operations were flown back to the uk between january 2006 and december 2013 , a freedom of information request revealed .
sixteen women were removed from afghanistan in 2013 due to pregnancy while 18 were sent home in 2011 , the data showed .
a further 102 women were evacuated from iraq .
strict military rules ban mothers-to-be from serving in war zones .
the women were flown back on flights usually reserved for injured troops and the true figure could be higher if others travelled via routine flights .
troops are reminded by senior officers to check they are not pregnant before they fly to the front line - but are not made to do pregnancy tests .
most of the babies would have been conceived before the mother left the uk but a small number of women may have become pregnant on tour .
a ministry of defence spokesman said at the time : ` the small numbers of personnel who discover that they are pregnant on operations are returned at the first convenient opportunity . '</v>
      </c>
      <c r="C135" s="70" t="str">
        <f>IF(ISBLANK(A135),"",INDEX('Error Log'!$A:$J,MATCH('Scores per segment'!$A135,'Error Log'!$A:$A,0),MATCH('Scores per segment'!C$1,'Error Log'!$A$1:$J$1,0)))</f>
        <v>more than 25 women have been airlifted from royal navy ships because of pregnancy .
at least one woman was airlifted from hms illustrious , which was nicknamed ' hms lusty ' by the crew before it was decommissioned last year .
more than 25 women have been airlifted from royal navy ships because of pregnancy .</v>
      </c>
      <c r="D135" s="70">
        <f>IF(H135=0,wdct(TRIM(C135)),0)</f>
        <v>51</v>
      </c>
      <c r="E135" s="70">
        <f>COUNTIFS('Error Log'!$A:$A,$A135,'Error Log'!$J:$J,E$1)</f>
        <v>2</v>
      </c>
      <c r="F135" s="70">
        <f>COUNTIFS('Error Log'!$A:$A,$A135,'Error Log'!$J:$J,F$1)</f>
        <v>2</v>
      </c>
      <c r="G135" s="70">
        <f>COUNTIFS('Error Log'!$A:$A,$A135,'Error Log'!$J:$J,G$1)</f>
        <v>0</v>
      </c>
      <c r="H135" s="70">
        <f>COUNTIFS('Error Log'!$A:$A,$A135,'Error Log'!$F:$F,"Source")</f>
        <v>0</v>
      </c>
      <c r="I135" s="70">
        <f>COUNTIFS('Error Log'!$A:$A,$A135,'Error Log'!$F:$F,"Target")</f>
        <v>0</v>
      </c>
      <c r="J135" s="71">
        <f t="shared" si="2"/>
        <v>70.588235294117652</v>
      </c>
    </row>
    <row r="136" spans="1:10">
      <c r="A136" s="97" t="s">
        <v>1066</v>
      </c>
      <c r="B136" s="70" t="str">
        <f>IF(ISBLANK(A136),"",INDEX('Error Log'!$A:$J,MATCH('Scores per segment'!$A136,'Error Log'!$A:$A,0),MATCH('Scores per segment'!B$1,'Error Log'!$A$1:$J$1,0)))</f>
        <v>tom o'carroll , a leading member of the notorious paedophile information exchange ( above ) , has joined the supporters of the media pressure group hacked off
a leading member of the notorious paedophile information exchange , which campaigned to legalise child sex in the 1970s and 80s , has joined the supporters of the media pressure group hacked off .
tom o'carroll , a former open university information officer and formerly a key activist for pie , attended a hacked off rally in the houses of parliament on february 25 to lobby mps for state involvement in media regulation .
the organisation , set up in the wake of the phone-hacking scandal , is campaigning against what it sees as the ` biased and unfair ' independent press standards organisation .
it wants mps to set up a statutory body to regulate the press , as recommended by the leveson inquiry .
the news that o'carroll is a backer of hacked off will be an embarrassment to the group .
pie was formed in 1974 to campaign for sex with children to be legalised and formed an alliance with the national council for civil liberties ( nccl ) .
the nccl lobbied parliament for the age of sexual consent to be cut to ten as long as the child ` understood the nature of the act ' and apparently consented .
the group also wanted incest to be legalised .
o'carroll was on the nccl 's gay rights sub-committee .
the 69-year-old was jailed in 1981 for ` corrupting public morals ' .
he wrote a blog after the february meeting , chaired by comedian john cleese , confirming his attendance .
a hacked off spokesman said that the meeting was ` open to and free for all members of the public to attend ' .
o'carroll attended a hacked off rally in the houses of parliament on february 25 to lobby mps for state involvement in media regulation , which john cleese ( left ; right in fawlty towers ) chaired</v>
      </c>
      <c r="C136" s="70" t="str">
        <f>IF(ISBLANK(A136),"",INDEX('Error Log'!$A:$J,MATCH('Scores per segment'!$A136,'Error Log'!$A:$A,0),MATCH('Scores per segment'!C$1,'Error Log'!$A$1:$J$1,0)))</f>
        <v>tom o’carroll attended a hacked off rally in the houses of parliament on february 25 to lobby mps for state involvement in media regulation .
pie was formed in 1974 to campaign for sex with children to be legalised and formed an alliance with the national council for civil liberties .</v>
      </c>
      <c r="D136" s="70">
        <f>IF(H136=0,wdct(TRIM(C136)),0)</f>
        <v>50</v>
      </c>
      <c r="E136" s="70">
        <f>COUNTIFS('Error Log'!$A:$A,$A136,'Error Log'!$J:$J,E$1)</f>
        <v>2</v>
      </c>
      <c r="F136" s="70">
        <f>COUNTIFS('Error Log'!$A:$A,$A136,'Error Log'!$J:$J,F$1)</f>
        <v>0</v>
      </c>
      <c r="G136" s="70">
        <f>COUNTIFS('Error Log'!$A:$A,$A136,'Error Log'!$J:$J,G$1)</f>
        <v>0</v>
      </c>
      <c r="H136" s="70">
        <f>COUNTIFS('Error Log'!$A:$A,$A136,'Error Log'!$F:$F,"Source")</f>
        <v>0</v>
      </c>
      <c r="I136" s="70">
        <f>COUNTIFS('Error Log'!$A:$A,$A136,'Error Log'!$F:$F,"Target")</f>
        <v>0</v>
      </c>
      <c r="J136" s="71">
        <f t="shared" si="2"/>
        <v>80</v>
      </c>
    </row>
    <row r="137" spans="1:10">
      <c r="A137" s="97" t="s">
        <v>1067</v>
      </c>
      <c r="B137" s="70" t="str">
        <f>IF(ISBLANK(A137),"",INDEX('Error Log'!$A:$J,MATCH('Scores per segment'!$A137,'Error Log'!$A:$A,0),MATCH('Scores per segment'!B$1,'Error Log'!$A$1:$J$1,0)))</f>
        <v>tokyo ( cnn ) a bizarre and alarming discovery is raising concerns in japan about the potential for terrorism involving drones .
a drone carrying traces of a radioactive material was found on the rooftop of japan 's equivalent to the white house on wednesday , police and government officials said .
the discovery came on the same day a japanese court approved a government plan to restart two reactors at the sendai nuclear power plant in kagoshima prefecture , more than four years after the fukushima daiichi nuclear disaster .
prime minister shinzo abe 's push to restart the reactors is unpopular among many japanese , who view nuclear energy as too dangerous .
a staff member spotted the drone wednesday morning on the roof of abe 's residence , tokyo metropolitan police said .
dozens of police investigators were dispatched to the roof to investigate the origin of the drone , which had four propeller and was 50 centimeters ( 20 inches ) wide .
police say the drone was equipped with a small camera , smoke flares and a plastic bottle containing small traces of a radioactive material believed to be cesium , a common byproduct of nuclear reactors .
cesium was also discovered in areas around the failed fukushima daiichi nuclear plant after its 2011 meltdown .
investigators suspect the cesium was placed in the bottle .
the amount inside is not immediately harmful to humans .
chief cabinet secretary yoshihide suga said the discovery is raising concerns about terrorism .
" there might be terrorism attempts in the future at the olympics and g7 summit using drones , " suga said .
" so we need to examine and review continuously the way small unmanned vehicles like drones should be operated and how to cope with the threat of terrorism from drones .
the government will do all that we can to prevent terrorism . "
japanese law restricts drone flights around airports to prevent problems with aircraft , but there are no flight restrictions for most of tokyo , including the prime minister 's residence and local and federal government buildings .
abe was not in his office at the time .
he is in indonesia , attending the asian-african conference .
cnn 's elizabeth joseph , joshua berlinger and josh levs contributed to this report .</v>
      </c>
      <c r="C137" s="70" t="str">
        <f>IF(ISBLANK(A137),"",INDEX('Error Log'!$A:$J,MATCH('Scores per segment'!$A137,'Error Log'!$A:$A,0),MATCH('Scores per segment'!C$1,'Error Log'!$A$1:$J$1,0)))</f>
        <v>a drone carrying traces of a radioactive material was found on the rooftop of japan 's equivalent to the white house on wednesday , police say .
the discovery comes on the same day a japanese court approved a government plan to restart two reactors at the sendai nuclear plant .</v>
      </c>
      <c r="D137" s="70">
        <f>IF(H137=0,wdct(TRIM(C137)),0)</f>
        <v>48</v>
      </c>
      <c r="E137" s="70">
        <f>COUNTIFS('Error Log'!$A:$A,$A137,'Error Log'!$J:$J,E$1)</f>
        <v>1</v>
      </c>
      <c r="F137" s="70">
        <f>COUNTIFS('Error Log'!$A:$A,$A137,'Error Log'!$J:$J,F$1)</f>
        <v>0</v>
      </c>
      <c r="G137" s="70">
        <f>COUNTIFS('Error Log'!$A:$A,$A137,'Error Log'!$J:$J,G$1)</f>
        <v>0</v>
      </c>
      <c r="H137" s="70">
        <f>COUNTIFS('Error Log'!$A:$A,$A137,'Error Log'!$F:$F,"Source")</f>
        <v>0</v>
      </c>
      <c r="I137" s="70">
        <f>COUNTIFS('Error Log'!$A:$A,$A137,'Error Log'!$F:$F,"Target")</f>
        <v>0</v>
      </c>
      <c r="J137" s="71">
        <f t="shared" si="2"/>
        <v>89.583333333333329</v>
      </c>
    </row>
    <row r="138" spans="1:10">
      <c r="A138" s="97" t="s">
        <v>1068</v>
      </c>
      <c r="B138" s="70" t="str">
        <f>IF(ISBLANK(A138),"",INDEX('Error Log'!$A:$J,MATCH('Scores per segment'!$A138,'Error Log'!$A:$A,0),MATCH('Scores per segment'!B$1,'Error Log'!$A$1:$J$1,0)))</f>
        <v>chinese parents are passionate about raising child prodigies - whether they are 10-year-old university entrants or four-year-old michael jackson dance-alikes .
now a new basketball superstar is on the rise .
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 reported the people 's daily online .
the video starts off with the pint-sized player scoring a succession of hoops before running around dribbling two basketballs .
his eyes are focused on the camera while handling two basketballs at the same time and still he did n't lose rhythm once .
his incredible skills have won him legions of fans across basketball-mad china .
the country 's biggest basketball star so far has been shanghai-born yao ming , who played for nba 's houston rockets from 2002 to 2011 .
talented : five-year-old mai zizhuo shows his outstanding basketball skills in a viral video
skilful : the pint-sized player scored a succession of hoops before running around dribbling two basketballs
praised : his incredible skills have won him legions of fans across china
stunned by mai 's potential , netizens in china leave comments by the thousands .
lakers fan ` siu720 ' said : ` i ca n't believe it ... ... .
it must be special effects ! '
` nickwooster ' from fujian simply asking : ` who is his father ? '
others feel ashamed of their own basketball skills in comparison to the kid .
` cubex ' from hunan posted : ` i want to reincarnate and start over again !
what have i been doing for the past 32 years ? '</v>
      </c>
      <c r="C138" s="70" t="str">
        <f>IF(ISBLANK(A138),"",INDEX('Error Log'!$A:$J,MATCH('Scores per segment'!$A138,'Error Log'!$A:$A,0),MATCH('Scores per segment'!C$1,'Error Log'!$A$1:$J$1,0)))</f>
        <v>a viral video is making the rounds in china , which shows a small boy displaying a dazzling array of basketball skills that would put to shame many professional players .
the five-year-old child is called mai zizhuo and he has been shooting hoops since he was two and a half years old .</v>
      </c>
      <c r="D138" s="70">
        <f>IF(H138=0,wdct(TRIM(C138)),0)</f>
        <v>51</v>
      </c>
      <c r="E138" s="70">
        <f>COUNTIFS('Error Log'!$A:$A,$A138,'Error Log'!$J:$J,E$1)</f>
        <v>1</v>
      </c>
      <c r="F138" s="70">
        <f>COUNTIFS('Error Log'!$A:$A,$A138,'Error Log'!$J:$J,F$1)</f>
        <v>0</v>
      </c>
      <c r="G138" s="70">
        <f>COUNTIFS('Error Log'!$A:$A,$A138,'Error Log'!$J:$J,G$1)</f>
        <v>0</v>
      </c>
      <c r="H138" s="70">
        <f>COUNTIFS('Error Log'!$A:$A,$A138,'Error Log'!$F:$F,"Source")</f>
        <v>0</v>
      </c>
      <c r="I138" s="70">
        <f>COUNTIFS('Error Log'!$A:$A,$A138,'Error Log'!$F:$F,"Target")</f>
        <v>0</v>
      </c>
      <c r="J138" s="71">
        <f t="shared" si="2"/>
        <v>90.196078431372541</v>
      </c>
    </row>
    <row r="139" spans="1:10">
      <c r="A139" s="97" t="s">
        <v>1069</v>
      </c>
      <c r="B139" s="70" t="str">
        <f>IF(ISBLANK(A139),"",INDEX('Error Log'!$A:$J,MATCH('Scores per segment'!$A139,'Error Log'!$A:$A,0),MATCH('Scores per segment'!B$1,'Error Log'!$A$1:$J$1,0)))</f>
        <v>looking after elderly parents can be difficult at the best of times .
but this man takes caring for his alzheimer 's - suffering mother to another level .
a security guard from china has touched hearts across the country because he takes his 84-year-old mother with him to work on the back of his motorbike every single day , reported the people 's daily online .
lu xincai , who lives in zhejiang province in eastern china , says that he is scared his mother will get lost if he leaves her at home by herself because she suffers from the degenerative disease .
devoted : lu xincai takes his 84-year-old mother to work with him on the back of his motorbike every day .
he ties a sash around both of their waists to make sure she does n't fall off
she would often go up to the mountains to collect firewood and there were a few occasions when she got lost after dark .
when mr lu 's father passed away earlier this year , he decided to take his mother with him to work because there was no one else who could look after her .
his wife works in a different city and his son is still in school .
after helping his mother to get up at 5 am every morning , he puts her on the back seat of his motorbike and ties a sash around both of their waists to ensure that she does not fall off .
mr lu said that he rides the four kilometres to work slowly to make sure his mother feels safe and so that they can chat along the way .
the whole journey takes an hour .
even when at work he checks up on his mother , who has been given her own room by his employers , a bank , to make sure that she has not wandered off somewhere .
he said that his mother devoted her life to caring for her children , and now he feels like he has a duty to care for her in return .
vulnerable : his elderly mother suffers from alzheimer 's and used to get lost when she was left alone
he said : ` i was an apple in my mum 's eye , and now she 's my apple . '
` our mother carried us on her back to the fields when she went to work on the farm and collect firewood when we were young . '
he added : ` only if i see her will i feel relaxed .
otherwise i would be afraid is she had wandered away . '</v>
      </c>
      <c r="C139" s="70" t="str">
        <f>IF(ISBLANK(A139),"",INDEX('Error Log'!$A:$J,MATCH('Scores per segment'!$A139,'Error Log'!$A:$A,0),MATCH('Scores per segment'!C$1,'Error Log'!$A$1:$J$1,0)))</f>
        <v>lu xincai , who lives in zhejiang province in eastern china , says he is scared his mother will get lost if he leaves her at home by herself because she suffers from the degenerative disease .
his wife works in a different city and his son is still in school .</v>
      </c>
      <c r="D139" s="70">
        <f>IF(H139=0,wdct(TRIM(C139)),0)</f>
        <v>48</v>
      </c>
      <c r="E139" s="70">
        <f>COUNTIFS('Error Log'!$A:$A,$A139,'Error Log'!$J:$J,E$1)</f>
        <v>4</v>
      </c>
      <c r="F139" s="70">
        <f>COUNTIFS('Error Log'!$A:$A,$A139,'Error Log'!$J:$J,F$1)</f>
        <v>1</v>
      </c>
      <c r="G139" s="70">
        <f>COUNTIFS('Error Log'!$A:$A,$A139,'Error Log'!$J:$J,G$1)</f>
        <v>0</v>
      </c>
      <c r="H139" s="70">
        <f>COUNTIFS('Error Log'!$A:$A,$A139,'Error Log'!$F:$F,"Source")</f>
        <v>0</v>
      </c>
      <c r="I139" s="70">
        <f>COUNTIFS('Error Log'!$A:$A,$A139,'Error Log'!$F:$F,"Target")</f>
        <v>0</v>
      </c>
      <c r="J139" s="71">
        <f t="shared" si="2"/>
        <v>53.125</v>
      </c>
    </row>
    <row r="140" spans="1:10">
      <c r="A140" s="94" t="s">
        <v>1070</v>
      </c>
      <c r="B140" s="70" t="str">
        <f>IF(ISBLANK(A140),"",INDEX('Error Log'!$A:$J,MATCH('Scores per segment'!$A140,'Error Log'!$A:$A,0),MATCH('Scores per segment'!B$1,'Error Log'!$A$1:$J$1,0)))</f>
        <v>an african american teenager who was shot by a police officer in the back because his friend was holding a toy gun is suing los angeles for $ 20 million .
jamar nicholson , 15 , and his friends were hanging out in an alleyway in south l.a. before school on february 10 when two police officers working for the lapd 's criminal gang-homicide unit approached the boys with their guns drawn .
the la times reports that one of the teenagers was holding a toy gun that the officers thought was real and it prompted the officers to fire .
suing la for millions : jamar nicholson ( left ) and his friend jason huerta ( right ) , who stand solemnly in the alleyway where nicholson was shot , are suing the city of los angeles for $ 20 million
nicholson was shot in the back by officer miguel gutierrez and is in pain but he says he and his friends feel lucky to be alive .
nicholson was standing next to the unidentified teenager who was holding the replica of the gun .
` jamar is really lucky to be alive .
with respect to the other kids , they are lucky as well that they were n't hit .
it does n't appear that the officer who shot used a lot of discrimination with where he aimed the pistol , ' jamar 's attorney herbert hayden told yahoo news .
the gun that officers thought was real had an orange tip indicating that it was fake .
another attorney john w. harris who is representing nicholson and his friend 17-year-old jason huerta is arguing that nicholson and his friend posed no threat to police officers or themselves .
` the lapd shot first and then asked questions later , ' harris said .
the lapd says that at 7.45 am on february 10 , officers saw a teen holding what appeared to be a gun and they claim they told him to drop it .
: one of the teens present at the shooting was holding this fake gun with an orange tip that lapd say they thought was real
` officers ordered him to drop the weapon multiple times .
the individual ignored the officer 's commands , ' a police news release reads .
attorney hayden said that had a camera been rolling , the lapd 's story may have been expressed differently .
` the police department 's officers have each other 's backs .
if there is no camera rolling , they are free to construe the facts how they see fit , ' hayden said .
` it 's so bizarre in this incident that testimony of the people we interviewed is so drastically different from the story the lapd has been pumping out since this first started , ' he added .
hayden said that the officer who shot nicholson , miguel gutierrez , also shot and killed a dog in 2008 when responding to a traffic collision .
both nicholson and huerta said they feel traumatized by what happened to them .
seeking justice : jamar nicholson , second from left , listens to his attorney john harris speak during a press conference on wednesday in south los angeles where he was shot on february 10
nicholson said he had to miss school as a result of the shooting and said that he felt tremendous pain from his injuries .
` i see a cop and i get nervous , ' he said .
` i 've never really looked at police in a certain way , until that day . '
nicholson and huerta say they have never been in trouble with the law before .
` you can check our records , ' huerta insisted .
` that 's a bad way to meet officers , ' nicholson said .
` got off on the wrong foot , ' huerta said .
officer gutierrez has returned to full duty since the incident , though it remains under investigation .</v>
      </c>
      <c r="C140" s="70" t="str">
        <f>IF(ISBLANK(A140),"",INDEX('Error Log'!$A:$J,MATCH('Scores per segment'!$A140,'Error Log'!$A:$A,0),MATCH('Scores per segment'!C$1,'Error Log'!$A$1:$J$1,0)))</f>
        <v>jamar nicholson , 15 , and his friends were hanging out in an alleyway in south l.a. before school on february 10 .
one of the teenagers was holding a toy gun that the officers thought was real and it prompted the officers to fire .
nicholson was standing next to the unidentified teenager who was holding the replica of the gun .</v>
      </c>
      <c r="D140" s="70">
        <f>IF(H140=0,wdct(TRIM(C140)),0)</f>
        <v>59</v>
      </c>
      <c r="E140" s="70">
        <f>COUNTIFS('Error Log'!$A:$A,$A140,'Error Log'!$J:$J,E$1)</f>
        <v>3</v>
      </c>
      <c r="F140" s="70">
        <f>COUNTIFS('Error Log'!$A:$A,$A140,'Error Log'!$J:$J,F$1)</f>
        <v>3</v>
      </c>
      <c r="G140" s="70">
        <f>COUNTIFS('Error Log'!$A:$A,$A140,'Error Log'!$J:$J,G$1)</f>
        <v>0</v>
      </c>
      <c r="H140" s="70">
        <f>COUNTIFS('Error Log'!$A:$A,$A140,'Error Log'!$F:$F,"Source")</f>
        <v>0</v>
      </c>
      <c r="I140" s="70">
        <f>COUNTIFS('Error Log'!$A:$A,$A140,'Error Log'!$F:$F,"Target")</f>
        <v>0</v>
      </c>
      <c r="J140" s="71">
        <f t="shared" si="2"/>
        <v>61.864406779661017</v>
      </c>
    </row>
    <row r="141" spans="1:10" ht="15.6">
      <c r="A141" s="98" t="s">
        <v>1079</v>
      </c>
      <c r="B141" s="70" t="str">
        <f>IF(ISBLANK(A141),"",INDEX('Error Log'!$A:$J,MATCH('Scores per segment'!$A141,'Error Log'!$A:$A,0),MATCH('Scores per segment'!B$1,'Error Log'!$A$1:$J$1,0)))</f>
        <v>( cnn ) whether quaffing artisanal cocktails at hipster bars or knocking back no-name beers on the couch , more americans are drinking heavily -- and engaging in episodes of binge-drinking , concludes a major study of alcohol use .
heavy drinking among americans rose 17.2 percent between 2005 and 2012 , largely due to rising rates among women , according to the study by the institute for health metrics and evaluation at the university of washington , published thursday in the american journal of public health .
the centers for disease control and prevention defines heavy drinking as exceeding an average of one drink per day during the past month for women and two drinks per day for men .
binge drinking is defined as four or more drinks for women and five or more drinks for men on a single occasion at least once during the past month .
the increases are driven largely by women 's drinking habits as social norms change , researchers found .
in santa clara county , calif. , for example , women 's binge drinking rates rose by nearly 36 percent between 2002 and 2012 , compared with 23 percent among men .
nationwide over the course of the decade , the rate of binge drinking among women increased more than seven times the rate among men .
opinion : why are more women drinking ?
" it seems like women are trying to catch up to the men in binge drinking , " said ali mokdad , a lead author of the study .
" it 's really , really scary . "
the study is the first to track adult drinking patterns at the county level .
in 2012 , 8 percent of americans were considered heavy drinkers and 18 percent were binge drinkers .
despite the increases in heavy drinking , the percentage of people who drink any alcohol has remained relatively unchanged over time , researchers found .
madison county , idaho , reported the lowest rate of binge drinking in 2012 , at 6 percent , while menominee , wis. , had the highest rate , at 36 percent .
hancock county , tenn. , had the fewest heavy drinkers ( 2 percent of residents ) and esmeralda county , nev. , recorded the most ( 22 percent ) .
related : 1 in 5 high school girls binge drink
about 88,600 u.s. deaths were attributed to alcohol in 2010 , the researchers note , and the cost of excessive drinking has been estimated at more than $ 220 billion per year .
the increase in binge drinking does n't surprise terri fukagawa , clinical director of the new life recovery centers in san jose , calif. , where 15 of her 24 treatment beds are filled with clients primarily addicted to alcohol .
she said she 's seen more people seeking treatment for alcoholism in the past four years .
still , she noted , " there are a lot of people still out there needing treatment , but they wo n't come in unless they have a consequence like losing a job or [ getting ] a dui .
they think they have control over it . "
public health experts offer a number of cultural and economic explanations for the increase in excessive drinking .
as a result of changed social norms , it 's now more acceptable for women to drink the way men traditionally have , said tom greenfield , scientific director at the alcohol research group at the oakland , calif.-based public health institute .
young people are more likely to binge drink , and affluent people have the money to drink more .
so the influx of wealthy professionals in cities like san francisco , san jose and oakland -- many in hard-working , hard-partying tech jobs -- may have helped spur significant spikes in drinking rates in the bay area and similar communities , experts said .
taxes on alcohol have not risen along with the consumer price index , so wine , beer and liquor have gotten cheaper over time in real dollars , he said .
alcohol advertising , particularly for hard liquor , has increased in recent years .
a federal trade commission study found that companies spent about $ 3.45 billion to advertise alcoholic beverages in 2011 .
alcohol control policies , such as limits on when and where alcohol can be sold and how long bars can stay open , have weakened in past decades , greenfield said .
that may partly explain rising consumption nationwide , particularly in some states where " blue laws " once prohibited alcohol sales on sundays or in supermarkets .
to conduct the study , researchers analyzed data on about 3.7 million americans aged 21 and older from the behavioral risk factor surveillance system , an ongoing telephone survey of health behaviors conducted by the u.s. centers for disease control .
kaiser health news ( khn ) is a nonprofit national health policy news service .</v>
      </c>
      <c r="C141" s="70" t="str">
        <f>IF(ISBLANK(A141),"",INDEX('Error Log'!$A:$J,MATCH('Scores per segment'!$A141,'Error Log'!$A:$A,0),MATCH('Scores per segment'!C$1,'Error Log'!$A$1:$J$1,0)))</f>
        <v>heavy drinking among americans rose 17.2 percent between 2005 and 2012 .
the centers for disease control and prevention defines heavy drinking as exceeding an average of one drink per day .
in 2012 , 8 percent of americans were considered heavy drinkers and 18 percent were binge drinkers .</v>
      </c>
      <c r="D141" s="70">
        <f>IF(H141=0,wdct(TRIM(C141)),0)</f>
        <v>46</v>
      </c>
      <c r="E141" s="70">
        <f>COUNTIFS('Error Log'!$A:$A,$A141,'Error Log'!$J:$J,E$1)</f>
        <v>2</v>
      </c>
      <c r="F141" s="70">
        <f>COUNTIFS('Error Log'!$A:$A,$A141,'Error Log'!$J:$J,F$1)</f>
        <v>3</v>
      </c>
      <c r="G141" s="70">
        <f>COUNTIFS('Error Log'!$A:$A,$A141,'Error Log'!$J:$J,G$1)</f>
        <v>0</v>
      </c>
      <c r="H141" s="70">
        <f>COUNTIFS('Error Log'!$A:$A,$A141,'Error Log'!$F:$F,"Source")</f>
        <v>0</v>
      </c>
      <c r="I141" s="70">
        <f>COUNTIFS('Error Log'!$A:$A,$A141,'Error Log'!$F:$F,"Target")</f>
        <v>0</v>
      </c>
      <c r="J141" s="71">
        <f t="shared" si="2"/>
        <v>61.95652173913043</v>
      </c>
    </row>
    <row r="142" spans="1:10">
      <c r="A142" s="99" t="s">
        <v>1087</v>
      </c>
      <c r="B142" s="70" t="str">
        <f>IF(ISBLANK(A142),"",INDEX('Error Log'!$A:$J,MATCH('Scores per segment'!$A142,'Error Log'!$A:$A,0),MATCH('Scores per segment'!B$1,'Error Log'!$A$1:$J$1,0)))</f>
        <v>a bus driver who was caught reading a newspaper while driving has been slammed by his boss as a ` complete idiot ' .
a passenger filmed the driver on a bus in auckland , new zealand , and sent the video to bus company ritchies coachlines along with a complaint .
in the footage the driver can be seen flicking through pages of the newspaper while the bus is in motion .
a bus driver was caught reading a newspaper while driving in auckland , new zealand
as the bus slows to a stop at a set of traffic lights he moves his head to get a good look at one of the pages .
ritchies coachlines boss andrew ritchie said he was embarrassed by the ` idiot ' driver 's actions .
` i am absolutely amazed by how absolutely stupid the guy is .
bloody irresponsible behaviour to the first degree , i ca n't believe it , ' mr ritchie told the new zealand herald .
` the people on that bus put their trust in him .
he was n't even trying to hide it , he was holding the whole newspaper open , over the steering wheel . '
mr ritchie said the driver would be disciplined , but would not go into detail .
a passenger filmed the driver and sent the video to bus company ritchies coachlines along with a complaint
ritchies coachlines boss andrew ritchie said he was embarrassed by the ` idiot ' driver 's actions</v>
      </c>
      <c r="C142" s="70" t="str">
        <f>IF(ISBLANK(A142),"",INDEX('Error Log'!$A:$J,MATCH('Scores per segment'!$A142,'Error Log'!$A:$A,0),MATCH('Scores per segment'!C$1,'Error Log'!$A$1:$J$1,0)))</f>
        <v>a bus driver was caught reading a newspaper while driving in auckland , new zealand .
the driver sent the video to bus company ritchies coachlines along with a complaint .
in the footage the driver can be seen flicking through pages of the newspaper while the bus is in motion .</v>
      </c>
      <c r="D142" s="70">
        <f>IF(H142=0,wdct(TRIM(C142)),0)</f>
        <v>48</v>
      </c>
      <c r="E142" s="70">
        <f>COUNTIFS('Error Log'!$A:$A,$A142,'Error Log'!$J:$J,E$1)</f>
        <v>1</v>
      </c>
      <c r="F142" s="70">
        <f>COUNTIFS('Error Log'!$A:$A,$A142,'Error Log'!$J:$J,F$1)</f>
        <v>0</v>
      </c>
      <c r="G142" s="70">
        <f>COUNTIFS('Error Log'!$A:$A,$A142,'Error Log'!$J:$J,G$1)</f>
        <v>0</v>
      </c>
      <c r="H142" s="70">
        <f>COUNTIFS('Error Log'!$A:$A,$A142,'Error Log'!$F:$F,"Source")</f>
        <v>0</v>
      </c>
      <c r="I142" s="70">
        <f>COUNTIFS('Error Log'!$A:$A,$A142,'Error Log'!$F:$F,"Target")</f>
        <v>0</v>
      </c>
      <c r="J142" s="71">
        <f t="shared" si="2"/>
        <v>89.583333333333329</v>
      </c>
    </row>
    <row r="143" spans="1:10">
      <c r="A143" s="99" t="s">
        <v>1091</v>
      </c>
      <c r="B143" s="70" t="str">
        <f>IF(ISBLANK(A143),"",INDEX('Error Log'!$A:$J,MATCH('Scores per segment'!$A143,'Error Log'!$A:$A,0),MATCH('Scores per segment'!B$1,'Error Log'!$A$1:$J$1,0)))</f>
        <v>doctors are putting the health of women and their babies at risk by performing caesarean sections too readily , un officials warn
doctors are putting the health of women and their babies at risk by performing caesarean sections too readily , un officials warn .
they say the procedure should only be carried out when ` medically necessary ' because it can lead to infections and even death .
just over a quarter of women giving birth in england now have a caesarean and the rate has more than doubled since the early 1990s .
this includes a growing number of women opting to have planned caesareans because they are very anxious about giving birth naturally .
but last night experts from the world health organisation , the un 's public health agency , said this figure should ideally be between just 10 per cent and 15 per cent , due to the dangers and costs involved .
in a statement , they said : ` although it can save lives , caesarean section is often performed without medical need , putting women and their babies at risk of short - and long-term health problems . '
they added that the procedure can lead to ` significant complications , disability or death ' and diverts precious money away from the needs of other patients .
a planned caesarean costs the nhs an average of £ 2,369 , compared to a natural birth at £ 1,665 .
the who statement sharply contradicts current nhs guidelines , which say the procedure should be offered to women even when there is no medical justification .
the watchdog nice issued revised recommendations in 2011 allowing women to have the operation if they were very anxious about childbirth , a condition known as tokophobia .
just over a quarter of women giving birth in england now have a caesarean and the rate has more than doubled since the early 1990s
women are also advised to have planned caesareans if they have had a previous complicated birth , are over 40 or have a medical condition such as asthma , diabetes or depression .
but the who said that doctors were carrying them out too often , and underestimating the risks .
previous research has found that as many as one in ten caesareans cause infections .</v>
      </c>
      <c r="C143" s="70" t="str">
        <f>IF(ISBLANK(A143),"",INDEX('Error Log'!$A:$J,MATCH('Scores per segment'!$A143,'Error Log'!$A:$A,0),MATCH('Scores per segment'!C$1,'Error Log'!$A$1:$J$1,0)))</f>
        <v>just over a quarter of women giving birth in england now have a caesarean and the rate has more than doubled since the early 1990s .
just over a quarter of women giving birth in england now have a caesarean and the rate has more than doubled since the early 1990s .</v>
      </c>
      <c r="D143" s="70">
        <f>IF(H143=0,wdct(TRIM(C143)),0)</f>
        <v>50</v>
      </c>
      <c r="E143" s="70">
        <f>COUNTIFS('Error Log'!$A:$A,$A143,'Error Log'!$J:$J,E$1)</f>
        <v>1</v>
      </c>
      <c r="F143" s="70">
        <f>COUNTIFS('Error Log'!$A:$A,$A143,'Error Log'!$J:$J,F$1)</f>
        <v>1</v>
      </c>
      <c r="G143" s="70">
        <f>COUNTIFS('Error Log'!$A:$A,$A143,'Error Log'!$J:$J,G$1)</f>
        <v>0</v>
      </c>
      <c r="H143" s="70">
        <f>COUNTIFS('Error Log'!$A:$A,$A143,'Error Log'!$F:$F,"Source")</f>
        <v>0</v>
      </c>
      <c r="I143" s="70">
        <f>COUNTIFS('Error Log'!$A:$A,$A143,'Error Log'!$F:$F,"Target")</f>
        <v>0</v>
      </c>
      <c r="J143" s="71">
        <f t="shared" si="2"/>
        <v>85</v>
      </c>
    </row>
    <row r="144" spans="1:10">
      <c r="A144" s="99" t="s">
        <v>1096</v>
      </c>
      <c r="B144" s="70" t="str">
        <f>IF(ISBLANK(A144),"",INDEX('Error Log'!$A:$J,MATCH('Scores per segment'!$A144,'Error Log'!$A:$A,0),MATCH('Scores per segment'!B$1,'Error Log'!$A$1:$J$1,0)))</f>
        <v>a husband convicted of beating his wife to death after she filed for divorce has been sentenced to 30 years to life in prison .
james robarge , 45 , from saxtons river , vermont was sentenced in court on friday morning for second-degree murder in the death of his wife kelly robarge , 42 , who disappeared from her charlestown home on june 27 , 2013 .
her badly decomposed body , with her hands and head detached , was found 10 days later in unity .
the judge said he took into account the extent to which robarge went to conceal his wife 's killing and body , as well as the couple 's history of domestic violence .
james robarge ( above pictured in court last month ) , 45 , of vermont was sentenced to 30 years to life in prison
robarge was convicted of second-degree murder in the death of his wife , 42-year-old kelly robarge
the couple 's daughter , ciera robarge ( pictured above , center , with her sister gabriel robarge pellerin , right , in court last month ) said her mom did not deserve this
robarge has served nearly two years behind bars which means he could be eligible for parole in about 28 years , according to valley news .
in the statement read by his lawyer on friday , he told his daughters , ` i love you guys more than life itself ' and called their mother ` the love of my life . '
one of the couple 's daughters , ciera robarge , said in court that she loved and missed her mom .
` i love and miss my mom more and more every day , ' she said .
` my mom did n't deserve this . '
kelly 's brother , ron prouty jr. , faced robarge on friday and told him , ` i hope you rot in hell . '
kelly 's brother , ron prouty jr , told robarge ( above ) he hoped he ` rotted in hell ' during the sentencing on friday
during his murder trial , he testified that he had not killed his wife , but a new hampshire jury convicted him of second-degree murder after deliberating for more than 12 hours over three days .
after the verdict was handed down last month , robarge 's two daughters left the courtroom sobbing and clutching one another in disbelief .
according to police , kelly had filed for divorce after 24 years of marriage on june 27 , 2013 -- the day she disappeared from her charlestown , new hampshire , home and her body was later found .
the jury rejected a first-degree murder charge but found him guilty of second-degree murder for reckless conduct that showed ` extreme indifference to the value of human life . '
prosecutors said the entryway to kelly robarge 's home contained ` countless ' spatters of blood .
family members of kelly react in court on february 11 to the not guilty verdicts on charges of first - and second-degree murder before the announcement of a guilty verdict for the charge of second-degree murder for reckless conduct against robarge
and james robarge 's disabled car was found several miles from where her body was discovered with a bloodstained trunk and numerous bloody items outside it .
however , most of the case was built largely on circumstantial evidence .
the closest thing to an eyewitness was a unity man who said he saw robarge , wearing latex gloves , crouched beside his disabled car on a turnaround in unity the night kelly disappeared .
her body was found off a logging road not far from there , and forensics experts said metal fragments found near an oil-smeared rock on the road matched robarge 's shattered oil pan .
due to the condition of her body , a medical examiner could not pinpoint the cause of death or determine how her head and hands became detached but concluded she died as the result of ` homicidal violence . '
robarge ( pictured in court in january ) has served nearly two years behind bars which means he could be eligible for parole in about 28 years
meanwhile , one of the last people to see kelly alive the day she disappeared was frances uptegrove , a physician assistant who had treated her for anxiety and depression for several years .
uptegrove testified that kelly robarge told her she was heading to court to file for divorce .
he said : ` she seemed clear-headed , determined .
she 'd made up her mind . '
in testimony spanning two days , robarge showed no emotion as he repeatedly denied threatening or harming his wife and stared straight ahead when the verdict was announced .
robarge claimed that he did n't know his wife had filed for divorce , but he acknowledged that just days before , he found a letter from her on their kitchen counter saying she wanted one .</v>
      </c>
      <c r="C144" s="70" t="str">
        <f>IF(ISBLANK(A144),"",INDEX('Error Log'!$A:$J,MATCH('Scores per segment'!$A144,'Error Log'!$A:$A,0),MATCH('Scores per segment'!C$1,'Error Log'!$A$1:$J$1,0)))</f>
        <v>james robarge , 45 , from saxtons river , vermont was sentenced in court on friday for second-degree murder in the death of his wife kelly robarge .
her badly decomposed body , with her hands and head detached , was found 10 days later in unity .
robarge was convicted of second-degree murder in the death of his wife kelly robarge .</v>
      </c>
      <c r="D144" s="70">
        <f>IF(H144=0,wdct(TRIM(C144)),0)</f>
        <v>55</v>
      </c>
      <c r="E144" s="70">
        <f>COUNTIFS('Error Log'!$A:$A,$A144,'Error Log'!$J:$J,E$1)</f>
        <v>1</v>
      </c>
      <c r="F144" s="70">
        <f>COUNTIFS('Error Log'!$A:$A,$A144,'Error Log'!$J:$J,F$1)</f>
        <v>2</v>
      </c>
      <c r="G144" s="70">
        <f>COUNTIFS('Error Log'!$A:$A,$A144,'Error Log'!$J:$J,G$1)</f>
        <v>0</v>
      </c>
      <c r="H144" s="70">
        <f>COUNTIFS('Error Log'!$A:$A,$A144,'Error Log'!$F:$F,"Source")</f>
        <v>0</v>
      </c>
      <c r="I144" s="70">
        <f>COUNTIFS('Error Log'!$A:$A,$A144,'Error Log'!$F:$F,"Target")</f>
        <v>0</v>
      </c>
      <c r="J144" s="71">
        <f t="shared" si="2"/>
        <v>81.818181818181813</v>
      </c>
    </row>
    <row r="145" spans="1:10">
      <c r="A145" s="100" t="s">
        <v>1102</v>
      </c>
      <c r="B145" s="70" t="str">
        <f>IF(ISBLANK(A145),"",INDEX('Error Log'!$A:$J,MATCH('Scores per segment'!$A145,'Error Log'!$A:$A,0),MATCH('Scores per segment'!B$1,'Error Log'!$A$1:$J$1,0)))</f>
        <v>a woman has been arrested after she allegedly broke into a home on martha 's vineyard , lived inside for at least a week and sold items belonging to the owners in a yard sale .
michelle filkins , 44 , of west wareham has been charged with breaking and entering , larceny over $ 250 , and malicious destruction of property .
she was discovered at the court street property in edgartown by owner mark conklin on april 17 .
michelle filkins , 44 , of west wareham has been charged with breaking and entering , larceny over $ 250 , and the malicious destruction of property after she was arrested on april 17
filkins was arrested on april 17 after owner mark conklin found her sitting in his summer home
according to the police report , conklin found filkins sitting in his living room of the property estimated to be worth $ 800,000 .
when he confronted her she claimed that she owned the house .
she then fled in a gray nissan pickup truck when conklin called the police at about 8 a.m. .
when police arrived , they discovered a large glass window to the left side of the front door had been broken and covered by a blanket , reports the boston globe .
filkins was arrested several hours later after she attempted to get back into the home thinking that conklin had left .
she is next scheduled to be in court on may 14 .
a construction worker in the neighborhood has told police that he saw filkins outside with items from the home , and that she appeared to be having a yard sale or giving the items away .
according to a post on the department 's facebook page , items missing include four deck chairs from crate &amp; barrel , a weber grill , two side tables from ethan allen , one ann chase lamp , two lamps from crate &amp; barrel , two framed posters , various pots , pans , and linens , and a painting by the owner .
police are asking anyone who received items from the home to return them to the edgartown police department .
` if in fact you did purchase something you are a victim as well and epd will assist you in seeking restitution via the court prosecution of this case , ' the police department said on facebook .
anyone with information can also contact the police department at 508-627-4343 .
police are asking anyone who received items from the home - including a lamp and a painting - to return them</v>
      </c>
      <c r="C145" s="70" t="str">
        <f>IF(ISBLANK(A145),"",INDEX('Error Log'!$A:$J,MATCH('Scores per segment'!$A145,'Error Log'!$A:$A,0),MATCH('Scores per segment'!C$1,'Error Log'!$A$1:$J$1,0)))</f>
        <v>michelle filkins , 44 , of west wareham has been charged with breaking and entering , larceny over $ 250 , and malicious destruction of property .
she was discovered at the court street property in edgartown by owner mark conklin on april 17 .
filkins was arrested on april 17 after owner mark conklin found her sitting in his summer home .
conklin found filkins sitting in his living room of the property estimated to be worth $ 800,000 .</v>
      </c>
      <c r="D145" s="70">
        <f>IF(H145=0,wdct(TRIM(C145)),0)</f>
        <v>71</v>
      </c>
      <c r="E145" s="70">
        <f>COUNTIFS('Error Log'!$A:$A,$A145,'Error Log'!$J:$J,E$1)</f>
        <v>1</v>
      </c>
      <c r="F145" s="70">
        <f>COUNTIFS('Error Log'!$A:$A,$A145,'Error Log'!$J:$J,F$1)</f>
        <v>2</v>
      </c>
      <c r="G145" s="70">
        <f>COUNTIFS('Error Log'!$A:$A,$A145,'Error Log'!$J:$J,G$1)</f>
        <v>0</v>
      </c>
      <c r="H145" s="70">
        <f>COUNTIFS('Error Log'!$A:$A,$A145,'Error Log'!$F:$F,"Source")</f>
        <v>0</v>
      </c>
      <c r="I145" s="70">
        <f>COUNTIFS('Error Log'!$A:$A,$A145,'Error Log'!$F:$F,"Target")</f>
        <v>0</v>
      </c>
      <c r="J145" s="71">
        <f t="shared" si="2"/>
        <v>85.915492957746466</v>
      </c>
    </row>
    <row r="146" spans="1:10">
      <c r="A146" s="100" t="s">
        <v>1108</v>
      </c>
      <c r="B146" s="70" t="str">
        <f>IF(ISBLANK(A146),"",INDEX('Error Log'!$A:$J,MATCH('Scores per segment'!$A146,'Error Log'!$A:$A,0),MATCH('Scores per segment'!B$1,'Error Log'!$A$1:$J$1,0)))</f>
        <v>( cnn ) french customs officers say they have seized more than 2 tons of cocaine aboard a sailboat that was falsely flying an american flag in the caribbean .
the drugs , whose value is estimated at more than $ 105 million , are the biggest cocaine seizure ever carried out by french authorities , said michael lachaux , director of customs operations in martinique .
officers arrested one venezuelan and two spanish citizens who were on board the vessel off the coast of martinique on wednesday , lachaux said in an interview with the radio station france info on saturday .
martinique is an overseas department of france .
in november , french customs officials seized nearly 250 kilograms ( 550 pounds ) of cocaine on a vessel that was also off the coast of martinique , according to authorities .</v>
      </c>
      <c r="C146" s="70" t="str">
        <f>IF(ISBLANK(A146),"",INDEX('Error Log'!$A:$J,MATCH('Scores per segment'!$A146,'Error Log'!$A:$A,0),MATCH('Scores per segment'!C$1,'Error Log'!$A$1:$J$1,0)))</f>
        <v>the drugs are the biggest cocaine seizure ever carried out by french authorities .
the drugs are the biggest cocaine seizure ever carried out by french authorities .
the drugs are the biggest cocaine seizure ever carried out by french authorities .</v>
      </c>
      <c r="D146" s="70">
        <f>IF(H146=0,wdct(TRIM(C146)),0)</f>
        <v>39</v>
      </c>
      <c r="E146" s="70">
        <f>COUNTIFS('Error Log'!$A:$A,$A146,'Error Log'!$J:$J,E$1)</f>
        <v>3</v>
      </c>
      <c r="F146" s="70">
        <f>COUNTIFS('Error Log'!$A:$A,$A146,'Error Log'!$J:$J,F$1)</f>
        <v>3</v>
      </c>
      <c r="G146" s="70">
        <f>COUNTIFS('Error Log'!$A:$A,$A146,'Error Log'!$J:$J,G$1)</f>
        <v>0</v>
      </c>
      <c r="H146" s="70">
        <f>COUNTIFS('Error Log'!$A:$A,$A146,'Error Log'!$F:$F,"Source")</f>
        <v>0</v>
      </c>
      <c r="I146" s="70">
        <f>COUNTIFS('Error Log'!$A:$A,$A146,'Error Log'!$F:$F,"Target")</f>
        <v>0</v>
      </c>
      <c r="J146" s="71">
        <f t="shared" si="2"/>
        <v>42.307692307692314</v>
      </c>
    </row>
    <row r="147" spans="1:10">
      <c r="A147" s="100" t="s">
        <v>1115</v>
      </c>
      <c r="B147" s="70" t="str">
        <f>IF(ISBLANK(A147),"",INDEX('Error Log'!$A:$J,MATCH('Scores per segment'!$A147,'Error Log'!$A:$A,0),MATCH('Scores per segment'!B$1,'Error Log'!$A$1:$J$1,0)))</f>
        <v>a lost iphone was reunited with its owner after police posted a series of bizarre photos on the woman 's facebook page in a bid to track her down .
the phone , which belonged to bella crooke from melbourne , was handed in to albury police station on the nsw-victoria border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after it was handed in on sunday morning
` you should probably put a password on your phone , ' a status post read alongside a selfie of a police officer .
` when you are ready to pick it up it will be at albury police station . '
bella lost her phone at a friend 's birthday party the night before and dialled her number as soon as she realised .
` a security guard picked up and said he 'd leave it at the police station .
i did n't get there until 1 pm and had no idea what had been going on , ' she told daily mail australia .
by the time bella made it to the police station , the original post had already garnered a humorous response from her friends and officers .
the phone belonged to bella crooke who lost it at a friend 's birthday party on saturday night
police officers on duty realised the phone was unlocked and used it to post selfies and puns on the woman 's facebook page , including this photo of the phone in a holding ` cell '
while waiting for bella to collect her phone , police had used the time to post a picture of the handset in a holding cell and to reassure the owner that it was in safe hands .
" if your worried about the battery going flat , do n't .
by the time you pick it up it will be fully ` charged ' , ' the post read .
` it is a great ` cell ' phone , " another post read .
a few hours later police added : ` the phone is still here .
ready to be released early for good behaviour .
just waiting on bella to post bail . '
bella said she did n't even have to give her name when she eventually reclaimed her phone .
the post was quickly shared by the woman 's friends who labelled police ` legends ' for their unusual approach to tracking down the phone 's owner
bella said she did n't even have to give her name when she eventually reclaimed her phone because officers recognised her from her facebook page
` they just recognised me .
a few people popped their heads out and said ` is that the girl with the phone ? '
` they asked me i had seen facebook , which i had n't .
i think they 'd been waiting for me to come in all morning .
` he made me check it in front of me ... to see my reaction .
` i could n't stop laughing .
the police were texting my friends back on my behalf with the same kind of humour . '
bella has since put a password on her phone .
` it 's good humour and i 'm just glad i got my phone back .
thank you to the boys in blue for returning the phone and having a good sense of humour . '
a few hours later police confirmed the phone had not been claimed
police even took to replying to text messages sent by friends asking if she had her phone back</v>
      </c>
      <c r="C147" s="70" t="str">
        <f>IF(ISBLANK(A147),"",INDEX('Error Log'!$A:$J,MATCH('Scores per segment'!$A147,'Error Log'!$A:$A,0),MATCH('Scores per segment'!C$1,'Error Log'!$A$1:$J$1,0)))</f>
        <v>the phone , which belonged to bella crooke from melbourne , was handed in to albury police station on sunday morning .
police officers on duty realised the phone was unlocked and used it to post selfies and photos of the phone in various locations around the police station on bella 's facebook page .
officers from albury police station on the nsw-victoria border posted selfies on a woman 's facebook page saying she could come and collect her phone .</v>
      </c>
      <c r="D147" s="70">
        <f>IF(H147=0,wdct(TRIM(C147)),0)</f>
        <v>76</v>
      </c>
      <c r="E147" s="70">
        <f>COUNTIFS('Error Log'!$A:$A,$A147,'Error Log'!$J:$J,E$1)</f>
        <v>1</v>
      </c>
      <c r="F147" s="70">
        <f>COUNTIFS('Error Log'!$A:$A,$A147,'Error Log'!$J:$J,F$1)</f>
        <v>1</v>
      </c>
      <c r="G147" s="70">
        <f>COUNTIFS('Error Log'!$A:$A,$A147,'Error Log'!$J:$J,G$1)</f>
        <v>0</v>
      </c>
      <c r="H147" s="70">
        <f>COUNTIFS('Error Log'!$A:$A,$A147,'Error Log'!$F:$F,"Source")</f>
        <v>0</v>
      </c>
      <c r="I147" s="70">
        <f>COUNTIFS('Error Log'!$A:$A,$A147,'Error Log'!$F:$F,"Target")</f>
        <v>0</v>
      </c>
      <c r="J147" s="71">
        <f t="shared" si="2"/>
        <v>90.131578947368411</v>
      </c>
    </row>
    <row r="148" spans="1:10">
      <c r="A148" s="100" t="s">
        <v>1120</v>
      </c>
      <c r="B148" s="70" t="str">
        <f>IF(ISBLANK(A148),"",INDEX('Error Log'!$A:$J,MATCH('Scores per segment'!$A148,'Error Log'!$A:$A,0),MATCH('Scores per segment'!B$1,'Error Log'!$A$1:$J$1,0)))</f>
        <v>a woman was arrested in china after apparently dumping her newborn baby in a rubbish bin in a fast-food restaurant .
staff heard the baby girl crying in the ladies ' toilet of a burger bar in chengdu , sichuan province , reports people 's daily online .
workers who found the baby , who was wrapped in a shirt but was still attached to the umbilical cord and placenta , called the police and ambulance .
a baby girl was found in the bin inside the ladies ' toilet at a chinese burger bar
a woman who had been seen visiting the toilet was established to be the mother and was arrested
staff at the restaurant said they saw the woman going into the toilet and noticed that she 'd stayed there for a long time .
after she came out , she went back to her seat , sitting there without speaking a word .
` after we discovered the baby girl , we checked the cctv footage , we found this woman likely to be the mother of the baby , so we called the ambulance as well as the police , ' one worker said .
the woman , yuan yen , 34 , was found to have blood on her when she was approached .
she refused to look at her baby or talk to police , who discovered her identity by looking through her purse .
workers at the restaurant said yuan yen had returned to her table and sat ` in a trance '
she was arrested after receiving medical attention and faces charges of neglect
police insisted she have emergency treatment and took her to the same hospital as her daughter , where she refused to see doctors .
a worker at the fast food outlet said : ` the mother was in shock herself and was just sitting there in a trance .
` there was blood all over her shirt and she had her head bowed in shame .
i think she was just traumatised . '
cops tried to locate her relatives but were unable to contact anybody as her phone had no credit and she had no local addresses on her .
she was later transferred to the police station where she is facing charges of neglect .
the infant , weighing 2.6 kg ( 5.7 lb ) , was declared to be healthy after being checked over by doctors .</v>
      </c>
      <c r="C148" s="70" t="str">
        <f>IF(ISBLANK(A148),"",INDEX('Error Log'!$A:$J,MATCH('Scores per segment'!$A148,'Error Log'!$A:$A,0),MATCH('Scores per segment'!C$1,'Error Log'!$A$1:$J$1,0)))</f>
        <v>a woman was arrested in china after apparently dumping her baby in a rubbish bin .
workers who found the baby , who was wrapped in a shirt but was still attached to the umbilical cord and placenta .
workers at the restaurant said they saw the woman going into the toilet and noticed that she 'd stayed there for a long time .</v>
      </c>
      <c r="D148" s="70">
        <f>IF(H148=0,wdct(TRIM(C148)),0)</f>
        <v>60</v>
      </c>
      <c r="E148" s="70">
        <f>COUNTIFS('Error Log'!$A:$A,$A148,'Error Log'!$J:$J,E$1)</f>
        <v>1</v>
      </c>
      <c r="F148" s="70">
        <f>COUNTIFS('Error Log'!$A:$A,$A148,'Error Log'!$J:$J,F$1)</f>
        <v>1</v>
      </c>
      <c r="G148" s="70">
        <f>COUNTIFS('Error Log'!$A:$A,$A148,'Error Log'!$J:$J,G$1)</f>
        <v>0</v>
      </c>
      <c r="H148" s="70">
        <f>COUNTIFS('Error Log'!$A:$A,$A148,'Error Log'!$F:$F,"Source")</f>
        <v>0</v>
      </c>
      <c r="I148" s="70">
        <f>COUNTIFS('Error Log'!$A:$A,$A148,'Error Log'!$F:$F,"Target")</f>
        <v>0</v>
      </c>
      <c r="J148" s="71">
        <f t="shared" si="2"/>
        <v>87.5</v>
      </c>
    </row>
    <row r="149" spans="1:10">
      <c r="A149" s="99" t="s">
        <v>1125</v>
      </c>
      <c r="B149" s="70" t="str">
        <f>IF(ISBLANK(A149),"",INDEX('Error Log'!$A:$J,MATCH('Scores per segment'!$A149,'Error Log'!$A:$A,0),MATCH('Scores per segment'!B$1,'Error Log'!$A$1:$J$1,0)))</f>
        <v>these heart-stopping pictures show the moment a baby hippo was thrown into the air as it was mauled to death after getting caught up in a fight between two adults .
the helpless five-day-old hippopotamus was seen being hurled into the air after it strayed into the firing line of an adult male , which was tussling with its rival .
the calf 's mother watched in horror as the hippo was flung into the air before being dragged along the surface of the water in the isimangaliso wetland park , in eastern south africa .
shocking : a five-day old baby hippopotamus is lifted up into the air as it gets caught up in a deadly fight between two adults
deadly : the calf was dragged along the surface of water and died hours after the tussle , with its mother looking on in horror
the calf 's mother watched in horror as the hippo was flung into the air before being dragged along the surface of the water in the isimangaliso wetland park , in eastern south africa
the two male hippos had been fighting for some time and the mother of the calf stayed with her herd , possibly believing it safer to stay out of harm 's way herself .
her decision proved fatal for the baby when one of the brawling adults grabbed the calf between its jaws .
stacey farrell , a 30-year-old tour operator for shoreline hippo and safari , looked on with horror as the calf was caught up in the deadly fray .
she said : ` for hours she chased away the sub-adults and younger hippos from her little baby as i believe she knew they would be too rough .
rivals : the two male hippos had been fighting for some time and the mother of the calf thought it would be safer to remain with her herd
stacey farrell , a 30-year-old tour operator for shoreline hippo and safari , looked on with horror as the calf was caught up in the deadly fray
the baby stood no change against the two adults as they brawled in the muddy waters of the nature reserve
` sadly , as she closed her eye one of the sub-adult hippos grabbed the young calf .
whether intending to kill it or a bit of play or possibly jealousy gone wrong we 'll never know .
` the mother tried to get the baby back but with the young calf in the sub-adult 's mouth there was n't much she could do .
` she attacked the hippo on the neck which forced the sub-adult to bite down harder and then suddenly flicked the baby in the air . '
the hippopotamus died of its injured hours later .</v>
      </c>
      <c r="C149" s="70" t="str">
        <f>IF(ISBLANK(A149),"",INDEX('Error Log'!$A:$J,MATCH('Scores per segment'!$A149,'Error Log'!$A:$A,0),MATCH('Scores per segment'!C$1,'Error Log'!$A$1:$J$1,0)))</f>
        <v>the calf was flung into the air before being dragged along the surface of the water in the isimangaliso wetland park in eastern south africa .
the two male hippos had been fighting for some time and the mother of the calf stayed with her herd , possibly believing it safer to stay out of harm .</v>
      </c>
      <c r="D149" s="70">
        <f>IF(H149=0,wdct(TRIM(C149)),0)</f>
        <v>54</v>
      </c>
      <c r="E149" s="70">
        <f>COUNTIFS('Error Log'!$A:$A,$A149,'Error Log'!$J:$J,E$1)</f>
        <v>1</v>
      </c>
      <c r="F149" s="70">
        <f>COUNTIFS('Error Log'!$A:$A,$A149,'Error Log'!$J:$J,F$1)</f>
        <v>0</v>
      </c>
      <c r="G149" s="70">
        <f>COUNTIFS('Error Log'!$A:$A,$A149,'Error Log'!$J:$J,G$1)</f>
        <v>0</v>
      </c>
      <c r="H149" s="70">
        <f>COUNTIFS('Error Log'!$A:$A,$A149,'Error Log'!$F:$F,"Source")</f>
        <v>0</v>
      </c>
      <c r="I149" s="70">
        <f>COUNTIFS('Error Log'!$A:$A,$A149,'Error Log'!$F:$F,"Target")</f>
        <v>0</v>
      </c>
      <c r="J149" s="71">
        <f t="shared" si="2"/>
        <v>90.740740740740748</v>
      </c>
    </row>
    <row r="150" spans="1:10">
      <c r="A150" s="99" t="s">
        <v>1129</v>
      </c>
      <c r="B150" s="70" t="str">
        <f>IF(ISBLANK(A150),"",INDEX('Error Log'!$A:$J,MATCH('Scores per segment'!$A150,'Error Log'!$A:$A,0),MATCH('Scores per segment'!B$1,'Error Log'!$A$1:$J$1,0)))</f>
        <v>one man has curated a spooky collection of nine old dolls , which which he claims each have their own personalities .
ian rogers , 36 , became hooked on all things paranormal as a child and took part in his first ghost hunt in the year 2000 .
since then he has spent hundreds of pounds on the creepy collection ... and he 's on the hunt for more to add .
ian rogers owns nine haunted dolls all of which he says contain their own personality
ian 's favourite doll is annabel , who he thinks is haunted by a seven-year-old girl who drowned
ian , who is single , and a vehicle image inspector , from leicester , says that his obsession with the supernatural began at a very young age .
` it started when i was a kid and i was looking into the loch ness monster and ghosts .
` i went on a couple of ghost walks and then went on a hunt .
it got me hooked . '
the £ 50 haunted dolls , which ian gets from jayne harris , a professional in paranormal activity , are said to contain the spirits of people who have passed on .
jayne keeps the dolls for around six months to get an idea of their personalities before selling them on .
ian says that he always goes to jayne for the dolls because that way he can be sure of their authenticity .
` i know that i can trust her , ' he says .
` if i bought them from ebay then there 's no guarantee that they 're actually haunted and i could just be being ripped off .
` jayne is able to give me a bit of background about the dolls but i enjoy learning about them myself .
ian , who is single , became interested in the supernatural as a child and now is hooked on haunted dolls
ian will often take his dolls to events and get people to guess their back stories .
pictured : left - hubert an old man who likes to play games .
right - esme , a lady in her seventies who died of natural causes
ian used to share his collection with his sister but she found the dolls too mischievous
ian is pictured with the puppet , little is known about him other than he likes jazz and may be from belgium
although he is fond of his whole collection ian definitely has a favourite : annabel , a doll who he believes is haunted by the spirit of a seven-year-old girl who drowned while playing with her brother .
ian says that each of his dolls has their own story and he often asks others to try and figure out what might have happened to them .
ian said : ` i take the dolls with me to events that i host and get people to guess their stories .
` if someone guesses three things that we already know correctly then they get some money off .
` one lady said she could sense an ` annie ' so i went to get annabel .
she said she 'd died and felt trapped .
` as soon as she picked up the doll she said she felt soaking wet , and that she knew annabel had drowned . '
ian holds sessions with the dolls where guests interested in the paranormal can undertake a variety of activities .
ian also holds sessions with his dolls where guests can undertake different paranormal experiences .
pictured : simon , who committed suicide after the death of his own mother
ian avoids buying his dolls on ebay as he says there is no guarantee that they would be haunted .
pictured : harriet who is said to be a 17-year-old girl who is angry , but not vicious and committed suicide
the dolls were previously shared between ian and his sister , but his sister wanted to get rid of them after they started causing her too much mischief , for example hiding her keys .
however ian says that he has n't been put off in the slightest and is even looking at investing in other supernatural souvenirs .
` i would love to get more haunted dolls , and i 'm looking into other items .
i would love to get a haunted mirror . '
ian hopes his next paranormal purchase will be a haunted mirror
annabel : a seven-year-old girl who drowned while playing with her brother .
a happy child usually wearing a floral dress .
jocelyn : a five-year-old french girl who was abducted from a market when shopping with her mother .
ian gets the smell of coffee from her .
harriet : a 17-year-old girl who is angry , but not vicious .
hubert : an old man who does not give too much away .
he likes to play games .
sarah : a middle-aged school governess who died in a fire while trying to save children .
esme : a lady in her seventies who passed away from natural causes .
she likes to be in the kitchen and had a husband that died of tb .
max : an raf pilot who died in the second world war .
he had a little girl who was five who he misses very much .
he gave up his life to care for his sick mother , but when she passed away he took his own life .
the puppet : not a lot is known about the puppet , but he likes jazz and is possibly from belgium .</v>
      </c>
      <c r="C150" s="70" t="str">
        <f>IF(ISBLANK(A150),"",INDEX('Error Log'!$A:$J,MATCH('Scores per segment'!$A150,'Error Log'!$A:$A,0),MATCH('Scores per segment'!C$1,'Error Log'!$A$1:$J$1,0)))</f>
        <v>ian rogers , 36 , became hooked on all things paranormal as a child and took part in his first ghost hunt in the year 2000 .
since then he has spent hundreds of pounds on the creepy collection ... and he 's on the hunt for more to add .
ian will often take his dolls to events and get people to guess their back stories .</v>
      </c>
      <c r="D150" s="70">
        <f>IF(H150=0,wdct(TRIM(C150)),0)</f>
        <v>62</v>
      </c>
      <c r="E150" s="70">
        <f>COUNTIFS('Error Log'!$A:$A,$A150,'Error Log'!$J:$J,E$1)</f>
        <v>2</v>
      </c>
      <c r="F150" s="70">
        <f>COUNTIFS('Error Log'!$A:$A,$A150,'Error Log'!$J:$J,F$1)</f>
        <v>2</v>
      </c>
      <c r="G150" s="70">
        <f>COUNTIFS('Error Log'!$A:$A,$A150,'Error Log'!$J:$J,G$1)</f>
        <v>0</v>
      </c>
      <c r="H150" s="70">
        <f>COUNTIFS('Error Log'!$A:$A,$A150,'Error Log'!$F:$F,"Source")</f>
        <v>0</v>
      </c>
      <c r="I150" s="70">
        <f>COUNTIFS('Error Log'!$A:$A,$A150,'Error Log'!$F:$F,"Target")</f>
        <v>0</v>
      </c>
      <c r="J150" s="71">
        <f t="shared" si="2"/>
        <v>75.806451612903231</v>
      </c>
    </row>
    <row r="151" spans="1:10">
      <c r="A151" s="99" t="s">
        <v>1136</v>
      </c>
      <c r="B151" s="70" t="str">
        <f>IF(ISBLANK(A151),"",INDEX('Error Log'!$A:$J,MATCH('Scores per segment'!$A151,'Error Log'!$A:$A,0),MATCH('Scores per segment'!B$1,'Error Log'!$A$1:$J$1,0)))</f>
        <v>a three-bedroom apartment in one of the most expensive areas to live in britain has been put on the market for just £ 575,000 - but the ` bargain ' property comes with a catch .
the knightsbridge flat , london , which is on sale for a fraction of the price of neighbouring homes , has just three years left on the lease .
the cost would work out at £ 191,000 per year , or £ 15,000 per month - which is around the going rate for renting a three-bedroom flat in the area .
the entrance to the flats in one of the most expensive areas to live in britain where a three-bedroom apartment has been put on the market for just £ 575,000
but if any buyer decides to extend the lease , the property could be worth upwards of £ 6 million .
the ` unmodernised ' maisonette in the in exclusive egerton place , is described as ` bright and well proportioned ' property with 1,990 sq/ft of space .
it boasts three bedrooms , two bathrooms , a reception room and utility room along with a lift , parking and a communal garden .
the property is being sold by russell simpson for £ 575,000 - the same price as a three-bedroom house in stanmore , middlesex .
it is one of two maisonettes being sold with three years remaining on the lease .
both homes will need to be modernised , with the second , larger property - also on egerton place - on the market for £ 595,000 .
the next cheapest three-bedroom property in knightsbridge costs £ 1.5 million , and this flat is only offered with a 28-year lease .
but the property comes with a catch , not only is it in dire need of renovation , ( such as in one of its bedrooms , pictured ) the home has just three years left on the lease
the cost for £ 575,000 on a three year lease would work out at £ 191,000 per year , or £ 15,000 per month - which is around the going rate for renting a three-bedroom flat in the area , plus renovation works which are needed , such as in the living room ( pictured )
but if any buyer decides to extend the lease , the ` bright and well proportioned ' property with 1,990 sq/ft of space , could be worth upwards of £ 6 million
jake russell , from russell simpson , said : ` properties like this come up once in a blue moon and i think it is an outstanding opportunity .
` to get properties like this in egerton place is very exciting and the phone has n't stopped ringing , which is quite unusual considering the time of the year with the election around the corner .
` we have had interest from locals , developers and end users .
in modernised condition , we would estimate they would sell for between £ 2,750 and £ 3,000 per sq/ft . '
this gives the smaller property a £ 6 million prices tag , while the larger maisonette with 2,500 sq/ft of space could be worth £ 7.5 million .
the current freeholder is thought to be the welcome trust and any buyer would have to negotiate a lease extension with them and , for a 90-year lease , it is likely to cost between £ 3.35 and £ 4.5 million .
egerton place was built off michael 's grove by john grover and son to the designs of architect mervyn macartney around 1893 .
the properties introduced a higher quality of architecture to the egerton gardens area with each home featuring four main storeys with basements and garrets , finished in costly two-inch bricks of red and orange .
estate agents said it was rare for properties with such short leases to come on the market and the phone ` has n't stopped ringing ' about the egerton place apartment
but alex newall , from hanover private office , had a warning to potential buyers : ` it looks cheap , but there will be a massive premium to pay to extend the lease '
leases of all the homes were granted by the smith 's charity trustees in 1894 , and its first occupant was , sir evan macgregor , permanent secretary to the admiralty .
other residents of high status included the dowager lady lawrence , probably the widow of the first baron lawrence , at no. 5 , and sir henry fielding dickens , q.c. , son of the novelist charles at no. 2 .
one property consultant said it was very rare for a pair of properties to come onto the market with such short leases .
alex newall , from hanover private office , said : ` it looks cheap , but there will be a massive premium to pay to extend the lease .
` a developer will probably buy it or someone might use it as a rental for three years and then give it back to the freeholder .
` it is a very quirky situation .
properties do come up with very short leases like this every so often but it is very rare for somewhere like knightsbridge .
` i know someone who let their lease run down to eight years and they thought ` right , i need to extend it ' , but by then it was too late and the extension was too much .
` let it be a warning to check your lease . '</v>
      </c>
      <c r="C151" s="70" t="str">
        <f>IF(ISBLANK(A151),"",INDEX('Error Log'!$A:$J,MATCH('Scores per segment'!$A151,'Error Log'!$A:$A,0),MATCH('Scores per segment'!C$1,'Error Log'!$A$1:$J$1,0)))</f>
        <v>the knightsbridge flat , london , is on sale for a fraction of the price of neighbouring homes .
the cost would work out at £191,000 per year , or £15,000 per month - which is around the going rate for renting a three-bedroom flat in the area .
it boasts three bedrooms , two bathrooms , a reception room and utility room along with a lift , parking and a communal garden .</v>
      </c>
      <c r="D151" s="70">
        <f>IF(H151=0,wdct(TRIM(C151)),0)</f>
        <v>64</v>
      </c>
      <c r="E151" s="70">
        <f>COUNTIFS('Error Log'!$A:$A,$A151,'Error Log'!$J:$J,E$1)</f>
        <v>2</v>
      </c>
      <c r="F151" s="70">
        <f>COUNTIFS('Error Log'!$A:$A,$A151,'Error Log'!$J:$J,F$1)</f>
        <v>2</v>
      </c>
      <c r="G151" s="70">
        <f>COUNTIFS('Error Log'!$A:$A,$A151,'Error Log'!$J:$J,G$1)</f>
        <v>0</v>
      </c>
      <c r="H151" s="70">
        <f>COUNTIFS('Error Log'!$A:$A,$A151,'Error Log'!$F:$F,"Source")</f>
        <v>0</v>
      </c>
      <c r="I151" s="70">
        <f>COUNTIFS('Error Log'!$A:$A,$A151,'Error Log'!$F:$F,"Target")</f>
        <v>0</v>
      </c>
      <c r="J151" s="71">
        <f t="shared" si="2"/>
        <v>76.5625</v>
      </c>
    </row>
    <row r="152" spans="1:10">
      <c r="A152" s="101"/>
      <c r="B152" s="70" t="str">
        <f>IF(ISBLANK(A152),"",INDEX('Error Log'!$A:$J,MATCH('Scores per segment'!$A152,'Error Log'!$A:$A,0),MATCH('Scores per segment'!B$1,'Error Log'!$A$1:$J$1,0)))</f>
        <v/>
      </c>
      <c r="C152" s="70" t="str">
        <f>IF(ISBLANK(A152),"",INDEX('Error Log'!$A:$J,MATCH('Scores per segment'!$A152,'Error Log'!$A:$A,0),MATCH('Scores per segment'!C$1,'Error Log'!$A$1:$J$1,0)))</f>
        <v/>
      </c>
      <c r="D152" s="70">
        <f>IF(H152=0,wdct(TRIM(C152)),0)</f>
        <v>0</v>
      </c>
      <c r="E152" s="70">
        <f>COUNTIFS('Error Log'!$A:$A,$A152,'Error Log'!$J:$J,E$1)</f>
        <v>0</v>
      </c>
      <c r="F152" s="70">
        <f>COUNTIFS('Error Log'!$A:$A,$A152,'Error Log'!$J:$J,F$1)</f>
        <v>0</v>
      </c>
      <c r="G152" s="70">
        <f>COUNTIFS('Error Log'!$A:$A,$A152,'Error Log'!$J:$J,G$1)</f>
        <v>0</v>
      </c>
      <c r="H152" s="70">
        <f>COUNTIFS('Error Log'!$A:$A,$A152,'Error Log'!$F:$F,"Source")</f>
        <v>0</v>
      </c>
      <c r="I152" s="70">
        <f>COUNTIFS('Error Log'!$A:$A,$A152,'Error Log'!$F:$F,"Target")</f>
        <v>0</v>
      </c>
      <c r="J152" s="71">
        <f t="shared" si="2"/>
        <v>0</v>
      </c>
    </row>
    <row r="153" spans="1:10">
      <c r="A153" s="101"/>
      <c r="B153" s="70" t="str">
        <f>IF(ISBLANK(A153),"",INDEX('Error Log'!$A:$J,MATCH('Scores per segment'!$A153,'Error Log'!$A:$A,0),MATCH('Scores per segment'!B$1,'Error Log'!$A$1:$J$1,0)))</f>
        <v/>
      </c>
      <c r="C153" s="70" t="str">
        <f>IF(ISBLANK(A153),"",INDEX('Error Log'!$A:$J,MATCH('Scores per segment'!$A153,'Error Log'!$A:$A,0),MATCH('Scores per segment'!C$1,'Error Log'!$A$1:$J$1,0)))</f>
        <v/>
      </c>
      <c r="D153" s="70">
        <f>IF(H153=0,wdct(TRIM(C153)),0)</f>
        <v>0</v>
      </c>
      <c r="E153" s="70">
        <f>COUNTIFS('Error Log'!$A:$A,$A153,'Error Log'!$J:$J,E$1)</f>
        <v>0</v>
      </c>
      <c r="F153" s="70">
        <f>COUNTIFS('Error Log'!$A:$A,$A153,'Error Log'!$J:$J,F$1)</f>
        <v>0</v>
      </c>
      <c r="G153" s="70">
        <f>COUNTIFS('Error Log'!$A:$A,$A153,'Error Log'!$J:$J,G$1)</f>
        <v>0</v>
      </c>
      <c r="H153" s="70">
        <f>COUNTIFS('Error Log'!$A:$A,$A153,'Error Log'!$F:$F,"Source")</f>
        <v>0</v>
      </c>
      <c r="I153" s="70">
        <f>COUNTIFS('Error Log'!$A:$A,$A153,'Error Log'!$F:$F,"Target")</f>
        <v>0</v>
      </c>
      <c r="J153" s="71">
        <f t="shared" si="2"/>
        <v>0</v>
      </c>
    </row>
    <row r="154" spans="1:10">
      <c r="A154" s="101"/>
      <c r="B154" s="70" t="str">
        <f>IF(ISBLANK(A154),"",INDEX('Error Log'!$A:$J,MATCH('Scores per segment'!$A154,'Error Log'!$A:$A,0),MATCH('Scores per segment'!B$1,'Error Log'!$A$1:$J$1,0)))</f>
        <v/>
      </c>
      <c r="C154" s="70" t="str">
        <f>IF(ISBLANK(A154),"",INDEX('Error Log'!$A:$J,MATCH('Scores per segment'!$A154,'Error Log'!$A:$A,0),MATCH('Scores per segment'!C$1,'Error Log'!$A$1:$J$1,0)))</f>
        <v/>
      </c>
      <c r="D154" s="70">
        <f>IF(H154=0,wdct(TRIM(C154)),0)</f>
        <v>0</v>
      </c>
      <c r="E154" s="70">
        <f>COUNTIFS('Error Log'!$A:$A,$A154,'Error Log'!$J:$J,E$1)</f>
        <v>0</v>
      </c>
      <c r="F154" s="70">
        <f>COUNTIFS('Error Log'!$A:$A,$A154,'Error Log'!$J:$J,F$1)</f>
        <v>0</v>
      </c>
      <c r="G154" s="70">
        <f>COUNTIFS('Error Log'!$A:$A,$A154,'Error Log'!$J:$J,G$1)</f>
        <v>0</v>
      </c>
      <c r="H154" s="70">
        <f>COUNTIFS('Error Log'!$A:$A,$A154,'Error Log'!$F:$F,"Source")</f>
        <v>0</v>
      </c>
      <c r="I154" s="70">
        <f>COUNTIFS('Error Log'!$A:$A,$A154,'Error Log'!$F:$F,"Target")</f>
        <v>0</v>
      </c>
      <c r="J154" s="71">
        <f t="shared" si="2"/>
        <v>0</v>
      </c>
    </row>
    <row r="155" spans="1:10">
      <c r="A155" s="101"/>
      <c r="B155" s="70" t="str">
        <f>IF(ISBLANK(A155),"",INDEX('Error Log'!$A:$J,MATCH('Scores per segment'!$A155,'Error Log'!$A:$A,0),MATCH('Scores per segment'!B$1,'Error Log'!$A$1:$J$1,0)))</f>
        <v/>
      </c>
      <c r="C155" s="70" t="str">
        <f>IF(ISBLANK(A155),"",INDEX('Error Log'!$A:$J,MATCH('Scores per segment'!$A155,'Error Log'!$A:$A,0),MATCH('Scores per segment'!C$1,'Error Log'!$A$1:$J$1,0)))</f>
        <v/>
      </c>
      <c r="D155" s="70">
        <f>IF(H155=0,wdct(TRIM(C155)),0)</f>
        <v>0</v>
      </c>
      <c r="E155" s="70">
        <f>COUNTIFS('Error Log'!$A:$A,$A155,'Error Log'!$J:$J,E$1)</f>
        <v>0</v>
      </c>
      <c r="F155" s="70">
        <f>COUNTIFS('Error Log'!$A:$A,$A155,'Error Log'!$J:$J,F$1)</f>
        <v>0</v>
      </c>
      <c r="G155" s="70">
        <f>COUNTIFS('Error Log'!$A:$A,$A155,'Error Log'!$J:$J,G$1)</f>
        <v>0</v>
      </c>
      <c r="H155" s="70">
        <f>COUNTIFS('Error Log'!$A:$A,$A155,'Error Log'!$F:$F,"Source")</f>
        <v>0</v>
      </c>
      <c r="I155" s="70">
        <f>COUNTIFS('Error Log'!$A:$A,$A155,'Error Log'!$F:$F,"Target")</f>
        <v>0</v>
      </c>
      <c r="J155" s="71">
        <f t="shared" si="2"/>
        <v>0</v>
      </c>
    </row>
    <row r="156" spans="1:10">
      <c r="A156" s="101"/>
      <c r="B156" s="70" t="str">
        <f>IF(ISBLANK(A156),"",INDEX('Error Log'!$A:$J,MATCH('Scores per segment'!$A156,'Error Log'!$A:$A,0),MATCH('Scores per segment'!B$1,'Error Log'!$A$1:$J$1,0)))</f>
        <v/>
      </c>
      <c r="C156" s="70" t="str">
        <f>IF(ISBLANK(A156),"",INDEX('Error Log'!$A:$J,MATCH('Scores per segment'!$A156,'Error Log'!$A:$A,0),MATCH('Scores per segment'!C$1,'Error Log'!$A$1:$J$1,0)))</f>
        <v/>
      </c>
      <c r="D156" s="70">
        <f>IF(H156=0,wdct(TRIM(C156)),0)</f>
        <v>0</v>
      </c>
      <c r="E156" s="70">
        <f>COUNTIFS('Error Log'!$A:$A,$A156,'Error Log'!$J:$J,E$1)</f>
        <v>0</v>
      </c>
      <c r="F156" s="70">
        <f>COUNTIFS('Error Log'!$A:$A,$A156,'Error Log'!$J:$J,F$1)</f>
        <v>0</v>
      </c>
      <c r="G156" s="70">
        <f>COUNTIFS('Error Log'!$A:$A,$A156,'Error Log'!$J:$J,G$1)</f>
        <v>0</v>
      </c>
      <c r="H156" s="70">
        <f>COUNTIFS('Error Log'!$A:$A,$A156,'Error Log'!$F:$F,"Source")</f>
        <v>0</v>
      </c>
      <c r="I156" s="70">
        <f>COUNTIFS('Error Log'!$A:$A,$A156,'Error Log'!$F:$F,"Target")</f>
        <v>0</v>
      </c>
      <c r="J156" s="71">
        <f t="shared" si="2"/>
        <v>0</v>
      </c>
    </row>
    <row r="157" spans="1:10">
      <c r="A157" s="101"/>
      <c r="B157" s="70" t="str">
        <f>IF(ISBLANK(A157),"",INDEX('Error Log'!$A:$J,MATCH('Scores per segment'!$A157,'Error Log'!$A:$A,0),MATCH('Scores per segment'!B$1,'Error Log'!$A$1:$J$1,0)))</f>
        <v/>
      </c>
      <c r="C157" s="70" t="str">
        <f>IF(ISBLANK(A157),"",INDEX('Error Log'!$A:$J,MATCH('Scores per segment'!$A157,'Error Log'!$A:$A,0),MATCH('Scores per segment'!C$1,'Error Log'!$A$1:$J$1,0)))</f>
        <v/>
      </c>
      <c r="D157" s="70">
        <f>IF(H157=0,wdct(TRIM(C157)),0)</f>
        <v>0</v>
      </c>
      <c r="E157" s="70">
        <f>COUNTIFS('Error Log'!$A:$A,$A157,'Error Log'!$J:$J,E$1)</f>
        <v>0</v>
      </c>
      <c r="F157" s="70">
        <f>COUNTIFS('Error Log'!$A:$A,$A157,'Error Log'!$J:$J,F$1)</f>
        <v>0</v>
      </c>
      <c r="G157" s="70">
        <f>COUNTIFS('Error Log'!$A:$A,$A157,'Error Log'!$J:$J,G$1)</f>
        <v>0</v>
      </c>
      <c r="H157" s="70">
        <f>COUNTIFS('Error Log'!$A:$A,$A157,'Error Log'!$F:$F,"Source")</f>
        <v>0</v>
      </c>
      <c r="I157" s="70">
        <f>COUNTIFS('Error Log'!$A:$A,$A157,'Error Log'!$F:$F,"Target")</f>
        <v>0</v>
      </c>
      <c r="J157" s="71">
        <f t="shared" si="2"/>
        <v>0</v>
      </c>
    </row>
    <row r="158" spans="1:10">
      <c r="A158" s="101"/>
      <c r="B158" s="70" t="str">
        <f>IF(ISBLANK(A158),"",INDEX('Error Log'!$A:$J,MATCH('Scores per segment'!$A158,'Error Log'!$A:$A,0),MATCH('Scores per segment'!B$1,'Error Log'!$A$1:$J$1,0)))</f>
        <v/>
      </c>
      <c r="C158" s="70" t="str">
        <f>IF(ISBLANK(A158),"",INDEX('Error Log'!$A:$J,MATCH('Scores per segment'!$A158,'Error Log'!$A:$A,0),MATCH('Scores per segment'!C$1,'Error Log'!$A$1:$J$1,0)))</f>
        <v/>
      </c>
      <c r="D158" s="70">
        <f>IF(H158=0,wdct(TRIM(C158)),0)</f>
        <v>0</v>
      </c>
      <c r="E158" s="70">
        <f>COUNTIFS('Error Log'!$A:$A,$A158,'Error Log'!$J:$J,E$1)</f>
        <v>0</v>
      </c>
      <c r="F158" s="70">
        <f>COUNTIFS('Error Log'!$A:$A,$A158,'Error Log'!$J:$J,F$1)</f>
        <v>0</v>
      </c>
      <c r="G158" s="70">
        <f>COUNTIFS('Error Log'!$A:$A,$A158,'Error Log'!$J:$J,G$1)</f>
        <v>0</v>
      </c>
      <c r="H158" s="70">
        <f>COUNTIFS('Error Log'!$A:$A,$A158,'Error Log'!$F:$F,"Source")</f>
        <v>0</v>
      </c>
      <c r="I158" s="70">
        <f>COUNTIFS('Error Log'!$A:$A,$A158,'Error Log'!$F:$F,"Target")</f>
        <v>0</v>
      </c>
      <c r="J158" s="71">
        <f t="shared" si="2"/>
        <v>0</v>
      </c>
    </row>
    <row r="159" spans="1:10">
      <c r="A159" s="101"/>
      <c r="B159" s="70" t="str">
        <f>IF(ISBLANK(A159),"",INDEX('Error Log'!$A:$J,MATCH('Scores per segment'!$A159,'Error Log'!$A:$A,0),MATCH('Scores per segment'!B$1,'Error Log'!$A$1:$J$1,0)))</f>
        <v/>
      </c>
      <c r="C159" s="70" t="str">
        <f>IF(ISBLANK(A159),"",INDEX('Error Log'!$A:$J,MATCH('Scores per segment'!$A159,'Error Log'!$A:$A,0),MATCH('Scores per segment'!C$1,'Error Log'!$A$1:$J$1,0)))</f>
        <v/>
      </c>
      <c r="D159" s="70">
        <f>IF(H159=0,wdct(TRIM(C159)),0)</f>
        <v>0</v>
      </c>
      <c r="E159" s="70">
        <f>COUNTIFS('Error Log'!$A:$A,$A159,'Error Log'!$J:$J,E$1)</f>
        <v>0</v>
      </c>
      <c r="F159" s="70">
        <f>COUNTIFS('Error Log'!$A:$A,$A159,'Error Log'!$J:$J,F$1)</f>
        <v>0</v>
      </c>
      <c r="G159" s="70">
        <f>COUNTIFS('Error Log'!$A:$A,$A159,'Error Log'!$J:$J,G$1)</f>
        <v>0</v>
      </c>
      <c r="H159" s="70">
        <f>COUNTIFS('Error Log'!$A:$A,$A159,'Error Log'!$F:$F,"Source")</f>
        <v>0</v>
      </c>
      <c r="I159" s="70">
        <f>COUNTIFS('Error Log'!$A:$A,$A159,'Error Log'!$F:$F,"Target")</f>
        <v>0</v>
      </c>
      <c r="J159" s="71">
        <f t="shared" si="2"/>
        <v>0</v>
      </c>
    </row>
    <row r="160" spans="1:10">
      <c r="A160" s="101"/>
      <c r="B160" s="70" t="str">
        <f>IF(ISBLANK(A160),"",INDEX('Error Log'!$A:$J,MATCH('Scores per segment'!$A160,'Error Log'!$A:$A,0),MATCH('Scores per segment'!B$1,'Error Log'!$A$1:$J$1,0)))</f>
        <v/>
      </c>
      <c r="C160" s="70" t="str">
        <f>IF(ISBLANK(A160),"",INDEX('Error Log'!$A:$J,MATCH('Scores per segment'!$A160,'Error Log'!$A:$A,0),MATCH('Scores per segment'!C$1,'Error Log'!$A$1:$J$1,0)))</f>
        <v/>
      </c>
      <c r="D160" s="70">
        <f>IF(H160=0,wdct(TRIM(C160)),0)</f>
        <v>0</v>
      </c>
      <c r="E160" s="70">
        <f>COUNTIFS('Error Log'!$A:$A,$A160,'Error Log'!$J:$J,E$1)</f>
        <v>0</v>
      </c>
      <c r="F160" s="70">
        <f>COUNTIFS('Error Log'!$A:$A,$A160,'Error Log'!$J:$J,F$1)</f>
        <v>0</v>
      </c>
      <c r="G160" s="70">
        <f>COUNTIFS('Error Log'!$A:$A,$A160,'Error Log'!$J:$J,G$1)</f>
        <v>0</v>
      </c>
      <c r="H160" s="70">
        <f>COUNTIFS('Error Log'!$A:$A,$A160,'Error Log'!$F:$F,"Source")</f>
        <v>0</v>
      </c>
      <c r="I160" s="70">
        <f>COUNTIFS('Error Log'!$A:$A,$A160,'Error Log'!$F:$F,"Target")</f>
        <v>0</v>
      </c>
      <c r="J160" s="71">
        <f t="shared" si="2"/>
        <v>0</v>
      </c>
    </row>
    <row r="161" spans="1:10">
      <c r="A161" s="101"/>
      <c r="B161" s="70" t="str">
        <f>IF(ISBLANK(A161),"",INDEX('Error Log'!$A:$J,MATCH('Scores per segment'!$A161,'Error Log'!$A:$A,0),MATCH('Scores per segment'!B$1,'Error Log'!$A$1:$J$1,0)))</f>
        <v/>
      </c>
      <c r="C161" s="70" t="str">
        <f>IF(ISBLANK(A161),"",INDEX('Error Log'!$A:$J,MATCH('Scores per segment'!$A161,'Error Log'!$A:$A,0),MATCH('Scores per segment'!C$1,'Error Log'!$A$1:$J$1,0)))</f>
        <v/>
      </c>
      <c r="D161" s="70">
        <f>IF(H161=0,wdct(TRIM(C161)),0)</f>
        <v>0</v>
      </c>
      <c r="E161" s="70">
        <f>COUNTIFS('Error Log'!$A:$A,$A161,'Error Log'!$J:$J,E$1)</f>
        <v>0</v>
      </c>
      <c r="F161" s="70">
        <f>COUNTIFS('Error Log'!$A:$A,$A161,'Error Log'!$J:$J,F$1)</f>
        <v>0</v>
      </c>
      <c r="G161" s="70">
        <f>COUNTIFS('Error Log'!$A:$A,$A161,'Error Log'!$J:$J,G$1)</f>
        <v>0</v>
      </c>
      <c r="H161" s="70">
        <f>COUNTIFS('Error Log'!$A:$A,$A161,'Error Log'!$F:$F,"Source")</f>
        <v>0</v>
      </c>
      <c r="I161" s="70">
        <f>COUNTIFS('Error Log'!$A:$A,$A161,'Error Log'!$F:$F,"Target")</f>
        <v>0</v>
      </c>
      <c r="J161" s="71">
        <f t="shared" si="2"/>
        <v>0</v>
      </c>
    </row>
    <row r="162" spans="1:10">
      <c r="A162" s="101"/>
      <c r="B162" s="70" t="str">
        <f>IF(ISBLANK(A162),"",INDEX('Error Log'!$A:$J,MATCH('Scores per segment'!$A162,'Error Log'!$A:$A,0),MATCH('Scores per segment'!B$1,'Error Log'!$A$1:$J$1,0)))</f>
        <v/>
      </c>
      <c r="C162" s="70" t="str">
        <f>IF(ISBLANK(A162),"",INDEX('Error Log'!$A:$J,MATCH('Scores per segment'!$A162,'Error Log'!$A:$A,0),MATCH('Scores per segment'!C$1,'Error Log'!$A$1:$J$1,0)))</f>
        <v/>
      </c>
      <c r="D162" s="70">
        <f>IF(H162=0,wdct(TRIM(C162)),0)</f>
        <v>0</v>
      </c>
      <c r="E162" s="70">
        <f>COUNTIFS('Error Log'!$A:$A,$A162,'Error Log'!$J:$J,E$1)</f>
        <v>0</v>
      </c>
      <c r="F162" s="70">
        <f>COUNTIFS('Error Log'!$A:$A,$A162,'Error Log'!$J:$J,F$1)</f>
        <v>0</v>
      </c>
      <c r="G162" s="70">
        <f>COUNTIFS('Error Log'!$A:$A,$A162,'Error Log'!$J:$J,G$1)</f>
        <v>0</v>
      </c>
      <c r="H162" s="70">
        <f>COUNTIFS('Error Log'!$A:$A,$A162,'Error Log'!$F:$F,"Source")</f>
        <v>0</v>
      </c>
      <c r="I162" s="70">
        <f>COUNTIFS('Error Log'!$A:$A,$A162,'Error Log'!$F:$F,"Target")</f>
        <v>0</v>
      </c>
      <c r="J162" s="71">
        <f t="shared" si="2"/>
        <v>0</v>
      </c>
    </row>
    <row r="163" spans="1:10">
      <c r="A163" s="101"/>
      <c r="B163" s="70" t="str">
        <f>IF(ISBLANK(A163),"",INDEX('Error Log'!$A:$J,MATCH('Scores per segment'!$A163,'Error Log'!$A:$A,0),MATCH('Scores per segment'!B$1,'Error Log'!$A$1:$J$1,0)))</f>
        <v/>
      </c>
      <c r="C163" s="70" t="str">
        <f>IF(ISBLANK(A163),"",INDEX('Error Log'!$A:$J,MATCH('Scores per segment'!$A163,'Error Log'!$A:$A,0),MATCH('Scores per segment'!C$1,'Error Log'!$A$1:$J$1,0)))</f>
        <v/>
      </c>
      <c r="D163" s="70">
        <f>IF(H163=0,wdct(TRIM(C163)),0)</f>
        <v>0</v>
      </c>
      <c r="E163" s="70">
        <f>COUNTIFS('Error Log'!$A:$A,$A163,'Error Log'!$J:$J,E$1)</f>
        <v>0</v>
      </c>
      <c r="F163" s="70">
        <f>COUNTIFS('Error Log'!$A:$A,$A163,'Error Log'!$J:$J,F$1)</f>
        <v>0</v>
      </c>
      <c r="G163" s="70">
        <f>COUNTIFS('Error Log'!$A:$A,$A163,'Error Log'!$J:$J,G$1)</f>
        <v>0</v>
      </c>
      <c r="H163" s="70">
        <f>COUNTIFS('Error Log'!$A:$A,$A163,'Error Log'!$F:$F,"Source")</f>
        <v>0</v>
      </c>
      <c r="I163" s="70">
        <f>COUNTIFS('Error Log'!$A:$A,$A163,'Error Log'!$F:$F,"Target")</f>
        <v>0</v>
      </c>
      <c r="J163" s="71">
        <f t="shared" si="2"/>
        <v>0</v>
      </c>
    </row>
    <row r="164" spans="1:10">
      <c r="A164" s="101"/>
      <c r="B164" s="70" t="str">
        <f>IF(ISBLANK(A164),"",INDEX('Error Log'!$A:$J,MATCH('Scores per segment'!$A164,'Error Log'!$A:$A,0),MATCH('Scores per segment'!B$1,'Error Log'!$A$1:$J$1,0)))</f>
        <v/>
      </c>
      <c r="C164" s="70" t="str">
        <f>IF(ISBLANK(A164),"",INDEX('Error Log'!$A:$J,MATCH('Scores per segment'!$A164,'Error Log'!$A:$A,0),MATCH('Scores per segment'!C$1,'Error Log'!$A$1:$J$1,0)))</f>
        <v/>
      </c>
      <c r="D164" s="70">
        <f>IF(H164=0,wdct(TRIM(C164)),0)</f>
        <v>0</v>
      </c>
      <c r="E164" s="70">
        <f>COUNTIFS('Error Log'!$A:$A,$A164,'Error Log'!$J:$J,E$1)</f>
        <v>0</v>
      </c>
      <c r="F164" s="70">
        <f>COUNTIFS('Error Log'!$A:$A,$A164,'Error Log'!$J:$J,F$1)</f>
        <v>0</v>
      </c>
      <c r="G164" s="70">
        <f>COUNTIFS('Error Log'!$A:$A,$A164,'Error Log'!$J:$J,G$1)</f>
        <v>0</v>
      </c>
      <c r="H164" s="70">
        <f>COUNTIFS('Error Log'!$A:$A,$A164,'Error Log'!$F:$F,"Source")</f>
        <v>0</v>
      </c>
      <c r="I164" s="70">
        <f>COUNTIFS('Error Log'!$A:$A,$A164,'Error Log'!$F:$F,"Target")</f>
        <v>0</v>
      </c>
      <c r="J164" s="71">
        <f t="shared" si="2"/>
        <v>0</v>
      </c>
    </row>
    <row r="165" spans="1:10">
      <c r="A165" s="101"/>
      <c r="B165" s="70" t="str">
        <f>IF(ISBLANK(A165),"",INDEX('Error Log'!$A:$J,MATCH('Scores per segment'!$A165,'Error Log'!$A:$A,0),MATCH('Scores per segment'!B$1,'Error Log'!$A$1:$J$1,0)))</f>
        <v/>
      </c>
      <c r="C165" s="70" t="str">
        <f>IF(ISBLANK(A165),"",INDEX('Error Log'!$A:$J,MATCH('Scores per segment'!$A165,'Error Log'!$A:$A,0),MATCH('Scores per segment'!C$1,'Error Log'!$A$1:$J$1,0)))</f>
        <v/>
      </c>
      <c r="D165" s="70">
        <f>IF(H165=0,wdct(TRIM(C165)),0)</f>
        <v>0</v>
      </c>
      <c r="E165" s="70">
        <f>COUNTIFS('Error Log'!$A:$A,$A165,'Error Log'!$J:$J,E$1)</f>
        <v>0</v>
      </c>
      <c r="F165" s="70">
        <f>COUNTIFS('Error Log'!$A:$A,$A165,'Error Log'!$J:$J,F$1)</f>
        <v>0</v>
      </c>
      <c r="G165" s="70">
        <f>COUNTIFS('Error Log'!$A:$A,$A165,'Error Log'!$J:$J,G$1)</f>
        <v>0</v>
      </c>
      <c r="H165" s="70">
        <f>COUNTIFS('Error Log'!$A:$A,$A165,'Error Log'!$F:$F,"Source")</f>
        <v>0</v>
      </c>
      <c r="I165" s="70">
        <f>COUNTIFS('Error Log'!$A:$A,$A165,'Error Log'!$F:$F,"Target")</f>
        <v>0</v>
      </c>
      <c r="J165" s="71">
        <f t="shared" si="2"/>
        <v>0</v>
      </c>
    </row>
    <row r="166" spans="1:10">
      <c r="A166" s="101"/>
      <c r="B166" s="70" t="str">
        <f>IF(ISBLANK(A166),"",INDEX('Error Log'!$A:$J,MATCH('Scores per segment'!$A166,'Error Log'!$A:$A,0),MATCH('Scores per segment'!B$1,'Error Log'!$A$1:$J$1,0)))</f>
        <v/>
      </c>
      <c r="C166" s="70" t="str">
        <f>IF(ISBLANK(A166),"",INDEX('Error Log'!$A:$J,MATCH('Scores per segment'!$A166,'Error Log'!$A:$A,0),MATCH('Scores per segment'!C$1,'Error Log'!$A$1:$J$1,0)))</f>
        <v/>
      </c>
      <c r="D166" s="70">
        <f>IF(H166=0,wdct(TRIM(C166)),0)</f>
        <v>0</v>
      </c>
      <c r="E166" s="70">
        <f>COUNTIFS('Error Log'!$A:$A,$A166,'Error Log'!$J:$J,E$1)</f>
        <v>0</v>
      </c>
      <c r="F166" s="70">
        <f>COUNTIFS('Error Log'!$A:$A,$A166,'Error Log'!$J:$J,F$1)</f>
        <v>0</v>
      </c>
      <c r="G166" s="70">
        <f>COUNTIFS('Error Log'!$A:$A,$A166,'Error Log'!$J:$J,G$1)</f>
        <v>0</v>
      </c>
      <c r="H166" s="70">
        <f>COUNTIFS('Error Log'!$A:$A,$A166,'Error Log'!$F:$F,"Source")</f>
        <v>0</v>
      </c>
      <c r="I166" s="70">
        <f>COUNTIFS('Error Log'!$A:$A,$A166,'Error Log'!$F:$F,"Target")</f>
        <v>0</v>
      </c>
      <c r="J166" s="71">
        <f t="shared" si="2"/>
        <v>0</v>
      </c>
    </row>
    <row r="167" spans="1:10">
      <c r="A167" s="101"/>
      <c r="B167" s="70" t="str">
        <f>IF(ISBLANK(A167),"",INDEX('Error Log'!$A:$J,MATCH('Scores per segment'!$A167,'Error Log'!$A:$A,0),MATCH('Scores per segment'!B$1,'Error Log'!$A$1:$J$1,0)))</f>
        <v/>
      </c>
      <c r="C167" s="70" t="str">
        <f>IF(ISBLANK(A167),"",INDEX('Error Log'!$A:$J,MATCH('Scores per segment'!$A167,'Error Log'!$A:$A,0),MATCH('Scores per segment'!C$1,'Error Log'!$A$1:$J$1,0)))</f>
        <v/>
      </c>
      <c r="D167" s="70">
        <f>IF(H167=0,wdct(TRIM(C167)),0)</f>
        <v>0</v>
      </c>
      <c r="E167" s="70">
        <f>COUNTIFS('Error Log'!$A:$A,$A167,'Error Log'!$J:$J,E$1)</f>
        <v>0</v>
      </c>
      <c r="F167" s="70">
        <f>COUNTIFS('Error Log'!$A:$A,$A167,'Error Log'!$J:$J,F$1)</f>
        <v>0</v>
      </c>
      <c r="G167" s="70">
        <f>COUNTIFS('Error Log'!$A:$A,$A167,'Error Log'!$J:$J,G$1)</f>
        <v>0</v>
      </c>
      <c r="H167" s="70">
        <f>COUNTIFS('Error Log'!$A:$A,$A167,'Error Log'!$F:$F,"Source")</f>
        <v>0</v>
      </c>
      <c r="I167" s="70">
        <f>COUNTIFS('Error Log'!$A:$A,$A167,'Error Log'!$F:$F,"Target")</f>
        <v>0</v>
      </c>
      <c r="J167" s="71">
        <f t="shared" si="2"/>
        <v>0</v>
      </c>
    </row>
    <row r="168" spans="1:10">
      <c r="A168" s="101"/>
      <c r="B168" s="70" t="str">
        <f>IF(ISBLANK(A168),"",INDEX('Error Log'!$A:$J,MATCH('Scores per segment'!$A168,'Error Log'!$A:$A,0),MATCH('Scores per segment'!B$1,'Error Log'!$A$1:$J$1,0)))</f>
        <v/>
      </c>
      <c r="C168" s="70" t="str">
        <f>IF(ISBLANK(A168),"",INDEX('Error Log'!$A:$J,MATCH('Scores per segment'!$A168,'Error Log'!$A:$A,0),MATCH('Scores per segment'!C$1,'Error Log'!$A$1:$J$1,0)))</f>
        <v/>
      </c>
      <c r="D168" s="70">
        <f>IF(H168=0,wdct(TRIM(C168)),0)</f>
        <v>0</v>
      </c>
      <c r="E168" s="70">
        <f>COUNTIFS('Error Log'!$A:$A,$A168,'Error Log'!$J:$J,E$1)</f>
        <v>0</v>
      </c>
      <c r="F168" s="70">
        <f>COUNTIFS('Error Log'!$A:$A,$A168,'Error Log'!$J:$J,F$1)</f>
        <v>0</v>
      </c>
      <c r="G168" s="70">
        <f>COUNTIFS('Error Log'!$A:$A,$A168,'Error Log'!$J:$J,G$1)</f>
        <v>0</v>
      </c>
      <c r="H168" s="70">
        <f>COUNTIFS('Error Log'!$A:$A,$A168,'Error Log'!$F:$F,"Source")</f>
        <v>0</v>
      </c>
      <c r="I168" s="70">
        <f>COUNTIFS('Error Log'!$A:$A,$A168,'Error Log'!$F:$F,"Target")</f>
        <v>0</v>
      </c>
      <c r="J168" s="71">
        <f t="shared" si="2"/>
        <v>0</v>
      </c>
    </row>
    <row r="169" spans="1:10">
      <c r="A169" s="101"/>
      <c r="B169" s="70" t="str">
        <f>IF(ISBLANK(A169),"",INDEX('Error Log'!$A:$J,MATCH('Scores per segment'!$A169,'Error Log'!$A:$A,0),MATCH('Scores per segment'!B$1,'Error Log'!$A$1:$J$1,0)))</f>
        <v/>
      </c>
      <c r="C169" s="70" t="str">
        <f>IF(ISBLANK(A169),"",INDEX('Error Log'!$A:$J,MATCH('Scores per segment'!$A169,'Error Log'!$A:$A,0),MATCH('Scores per segment'!C$1,'Error Log'!$A$1:$J$1,0)))</f>
        <v/>
      </c>
      <c r="D169" s="70">
        <f>IF(H169=0,wdct(TRIM(C169)),0)</f>
        <v>0</v>
      </c>
      <c r="E169" s="70">
        <f>COUNTIFS('Error Log'!$A:$A,$A169,'Error Log'!$J:$J,E$1)</f>
        <v>0</v>
      </c>
      <c r="F169" s="70">
        <f>COUNTIFS('Error Log'!$A:$A,$A169,'Error Log'!$J:$J,F$1)</f>
        <v>0</v>
      </c>
      <c r="G169" s="70">
        <f>COUNTIFS('Error Log'!$A:$A,$A169,'Error Log'!$J:$J,G$1)</f>
        <v>0</v>
      </c>
      <c r="H169" s="70">
        <f>COUNTIFS('Error Log'!$A:$A,$A169,'Error Log'!$F:$F,"Source")</f>
        <v>0</v>
      </c>
      <c r="I169" s="70">
        <f>COUNTIFS('Error Log'!$A:$A,$A169,'Error Log'!$F:$F,"Target")</f>
        <v>0</v>
      </c>
      <c r="J169" s="71">
        <f t="shared" si="2"/>
        <v>0</v>
      </c>
    </row>
    <row r="170" spans="1:10">
      <c r="A170" s="101"/>
      <c r="B170" s="70" t="str">
        <f>IF(ISBLANK(A170),"",INDEX('Error Log'!$A:$J,MATCH('Scores per segment'!$A170,'Error Log'!$A:$A,0),MATCH('Scores per segment'!B$1,'Error Log'!$A$1:$J$1,0)))</f>
        <v/>
      </c>
      <c r="C170" s="70" t="str">
        <f>IF(ISBLANK(A170),"",INDEX('Error Log'!$A:$J,MATCH('Scores per segment'!$A170,'Error Log'!$A:$A,0),MATCH('Scores per segment'!C$1,'Error Log'!$A$1:$J$1,0)))</f>
        <v/>
      </c>
      <c r="D170" s="70">
        <f>IF(H170=0,wdct(TRIM(C170)),0)</f>
        <v>0</v>
      </c>
      <c r="E170" s="70">
        <f>COUNTIFS('Error Log'!$A:$A,$A170,'Error Log'!$J:$J,E$1)</f>
        <v>0</v>
      </c>
      <c r="F170" s="70">
        <f>COUNTIFS('Error Log'!$A:$A,$A170,'Error Log'!$J:$J,F$1)</f>
        <v>0</v>
      </c>
      <c r="G170" s="70">
        <f>COUNTIFS('Error Log'!$A:$A,$A170,'Error Log'!$J:$J,G$1)</f>
        <v>0</v>
      </c>
      <c r="H170" s="70">
        <f>COUNTIFS('Error Log'!$A:$A,$A170,'Error Log'!$F:$F,"Source")</f>
        <v>0</v>
      </c>
      <c r="I170" s="70">
        <f>COUNTIFS('Error Log'!$A:$A,$A170,'Error Log'!$F:$F,"Target")</f>
        <v>0</v>
      </c>
      <c r="J170" s="71">
        <f t="shared" si="2"/>
        <v>0</v>
      </c>
    </row>
    <row r="171" spans="1:10">
      <c r="A171" s="101"/>
      <c r="B171" s="70" t="str">
        <f>IF(ISBLANK(A171),"",INDEX('Error Log'!$A:$J,MATCH('Scores per segment'!$A171,'Error Log'!$A:$A,0),MATCH('Scores per segment'!B$1,'Error Log'!$A$1:$J$1,0)))</f>
        <v/>
      </c>
      <c r="C171" s="70" t="str">
        <f>IF(ISBLANK(A171),"",INDEX('Error Log'!$A:$J,MATCH('Scores per segment'!$A171,'Error Log'!$A:$A,0),MATCH('Scores per segment'!C$1,'Error Log'!$A$1:$J$1,0)))</f>
        <v/>
      </c>
      <c r="D171" s="70">
        <f>IF(H171=0,wdct(TRIM(C171)),0)</f>
        <v>0</v>
      </c>
      <c r="E171" s="70">
        <f>COUNTIFS('Error Log'!$A:$A,$A171,'Error Log'!$J:$J,E$1)</f>
        <v>0</v>
      </c>
      <c r="F171" s="70">
        <f>COUNTIFS('Error Log'!$A:$A,$A171,'Error Log'!$J:$J,F$1)</f>
        <v>0</v>
      </c>
      <c r="G171" s="70">
        <f>COUNTIFS('Error Log'!$A:$A,$A171,'Error Log'!$J:$J,G$1)</f>
        <v>0</v>
      </c>
      <c r="H171" s="70">
        <f>COUNTIFS('Error Log'!$A:$A,$A171,'Error Log'!$F:$F,"Source")</f>
        <v>0</v>
      </c>
      <c r="I171" s="70">
        <f>COUNTIFS('Error Log'!$A:$A,$A171,'Error Log'!$F:$F,"Target")</f>
        <v>0</v>
      </c>
      <c r="J171" s="71">
        <f t="shared" si="2"/>
        <v>0</v>
      </c>
    </row>
    <row r="172" spans="1:10">
      <c r="A172" s="101"/>
      <c r="B172" s="70" t="str">
        <f>IF(ISBLANK(A172),"",INDEX('Error Log'!$A:$J,MATCH('Scores per segment'!$A172,'Error Log'!$A:$A,0),MATCH('Scores per segment'!B$1,'Error Log'!$A$1:$J$1,0)))</f>
        <v/>
      </c>
      <c r="C172" s="70" t="str">
        <f>IF(ISBLANK(A172),"",INDEX('Error Log'!$A:$J,MATCH('Scores per segment'!$A172,'Error Log'!$A:$A,0),MATCH('Scores per segment'!C$1,'Error Log'!$A$1:$J$1,0)))</f>
        <v/>
      </c>
      <c r="D172" s="70">
        <f>IF(H172=0,wdct(TRIM(C172)),0)</f>
        <v>0</v>
      </c>
      <c r="E172" s="70">
        <f>COUNTIFS('Error Log'!$A:$A,$A172,'Error Log'!$J:$J,E$1)</f>
        <v>0</v>
      </c>
      <c r="F172" s="70">
        <f>COUNTIFS('Error Log'!$A:$A,$A172,'Error Log'!$J:$J,F$1)</f>
        <v>0</v>
      </c>
      <c r="G172" s="70">
        <f>COUNTIFS('Error Log'!$A:$A,$A172,'Error Log'!$J:$J,G$1)</f>
        <v>0</v>
      </c>
      <c r="H172" s="70">
        <f>COUNTIFS('Error Log'!$A:$A,$A172,'Error Log'!$F:$F,"Source")</f>
        <v>0</v>
      </c>
      <c r="I172" s="70">
        <f>COUNTIFS('Error Log'!$A:$A,$A172,'Error Log'!$F:$F,"Target")</f>
        <v>0</v>
      </c>
      <c r="J172" s="71">
        <f t="shared" si="2"/>
        <v>0</v>
      </c>
    </row>
    <row r="173" spans="1:10">
      <c r="A173" s="101"/>
      <c r="B173" s="70" t="str">
        <f>IF(ISBLANK(A173),"",INDEX('Error Log'!$A:$J,MATCH('Scores per segment'!$A173,'Error Log'!$A:$A,0),MATCH('Scores per segment'!B$1,'Error Log'!$A$1:$J$1,0)))</f>
        <v/>
      </c>
      <c r="C173" s="70" t="str">
        <f>IF(ISBLANK(A173),"",INDEX('Error Log'!$A:$J,MATCH('Scores per segment'!$A173,'Error Log'!$A:$A,0),MATCH('Scores per segment'!C$1,'Error Log'!$A$1:$J$1,0)))</f>
        <v/>
      </c>
      <c r="D173" s="70">
        <f>IF(H173=0,wdct(TRIM(C173)),0)</f>
        <v>0</v>
      </c>
      <c r="E173" s="70">
        <f>COUNTIFS('Error Log'!$A:$A,$A173,'Error Log'!$J:$J,E$1)</f>
        <v>0</v>
      </c>
      <c r="F173" s="70">
        <f>COUNTIFS('Error Log'!$A:$A,$A173,'Error Log'!$J:$J,F$1)</f>
        <v>0</v>
      </c>
      <c r="G173" s="70">
        <f>COUNTIFS('Error Log'!$A:$A,$A173,'Error Log'!$J:$J,G$1)</f>
        <v>0</v>
      </c>
      <c r="H173" s="70">
        <f>COUNTIFS('Error Log'!$A:$A,$A173,'Error Log'!$F:$F,"Source")</f>
        <v>0</v>
      </c>
      <c r="I173" s="70">
        <f>COUNTIFS('Error Log'!$A:$A,$A173,'Error Log'!$F:$F,"Target")</f>
        <v>0</v>
      </c>
      <c r="J173" s="71">
        <f t="shared" si="2"/>
        <v>0</v>
      </c>
    </row>
    <row r="174" spans="1:10">
      <c r="A174" s="101"/>
      <c r="B174" s="70" t="str">
        <f>IF(ISBLANK(A174),"",INDEX('Error Log'!$A:$J,MATCH('Scores per segment'!$A174,'Error Log'!$A:$A,0),MATCH('Scores per segment'!B$1,'Error Log'!$A$1:$J$1,0)))</f>
        <v/>
      </c>
      <c r="C174" s="70" t="str">
        <f>IF(ISBLANK(A174),"",INDEX('Error Log'!$A:$J,MATCH('Scores per segment'!$A174,'Error Log'!$A:$A,0),MATCH('Scores per segment'!C$1,'Error Log'!$A$1:$J$1,0)))</f>
        <v/>
      </c>
      <c r="D174" s="70">
        <f>IF(H174=0,wdct(TRIM(C174)),0)</f>
        <v>0</v>
      </c>
      <c r="E174" s="70">
        <f>COUNTIFS('Error Log'!$A:$A,$A174,'Error Log'!$J:$J,E$1)</f>
        <v>0</v>
      </c>
      <c r="F174" s="70">
        <f>COUNTIFS('Error Log'!$A:$A,$A174,'Error Log'!$J:$J,F$1)</f>
        <v>0</v>
      </c>
      <c r="G174" s="70">
        <f>COUNTIFS('Error Log'!$A:$A,$A174,'Error Log'!$J:$J,G$1)</f>
        <v>0</v>
      </c>
      <c r="H174" s="70">
        <f>COUNTIFS('Error Log'!$A:$A,$A174,'Error Log'!$F:$F,"Source")</f>
        <v>0</v>
      </c>
      <c r="I174" s="70">
        <f>COUNTIFS('Error Log'!$A:$A,$A174,'Error Log'!$F:$F,"Target")</f>
        <v>0</v>
      </c>
      <c r="J174" s="71">
        <f t="shared" si="2"/>
        <v>0</v>
      </c>
    </row>
    <row r="175" spans="1:10">
      <c r="A175" s="101"/>
      <c r="B175" s="70" t="str">
        <f>IF(ISBLANK(A175),"",INDEX('Error Log'!$A:$J,MATCH('Scores per segment'!$A175,'Error Log'!$A:$A,0),MATCH('Scores per segment'!B$1,'Error Log'!$A$1:$J$1,0)))</f>
        <v/>
      </c>
      <c r="C175" s="70" t="str">
        <f>IF(ISBLANK(A175),"",INDEX('Error Log'!$A:$J,MATCH('Scores per segment'!$A175,'Error Log'!$A:$A,0),MATCH('Scores per segment'!C$1,'Error Log'!$A$1:$J$1,0)))</f>
        <v/>
      </c>
      <c r="D175" s="70">
        <f>IF(H175=0,wdct(TRIM(C175)),0)</f>
        <v>0</v>
      </c>
      <c r="E175" s="70">
        <f>COUNTIFS('Error Log'!$A:$A,$A175,'Error Log'!$J:$J,E$1)</f>
        <v>0</v>
      </c>
      <c r="F175" s="70">
        <f>COUNTIFS('Error Log'!$A:$A,$A175,'Error Log'!$J:$J,F$1)</f>
        <v>0</v>
      </c>
      <c r="G175" s="70">
        <f>COUNTIFS('Error Log'!$A:$A,$A175,'Error Log'!$J:$J,G$1)</f>
        <v>0</v>
      </c>
      <c r="H175" s="70">
        <f>COUNTIFS('Error Log'!$A:$A,$A175,'Error Log'!$F:$F,"Source")</f>
        <v>0</v>
      </c>
      <c r="I175" s="70">
        <f>COUNTIFS('Error Log'!$A:$A,$A175,'Error Log'!$F:$F,"Target")</f>
        <v>0</v>
      </c>
      <c r="J175" s="71">
        <f t="shared" si="2"/>
        <v>0</v>
      </c>
    </row>
    <row r="176" spans="1:10">
      <c r="A176" s="101"/>
      <c r="B176" s="70" t="str">
        <f>IF(ISBLANK(A176),"",INDEX('Error Log'!$A:$J,MATCH('Scores per segment'!$A176,'Error Log'!$A:$A,0),MATCH('Scores per segment'!B$1,'Error Log'!$A$1:$J$1,0)))</f>
        <v/>
      </c>
      <c r="C176" s="70" t="str">
        <f>IF(ISBLANK(A176),"",INDEX('Error Log'!$A:$J,MATCH('Scores per segment'!$A176,'Error Log'!$A:$A,0),MATCH('Scores per segment'!C$1,'Error Log'!$A$1:$J$1,0)))</f>
        <v/>
      </c>
      <c r="D176" s="70">
        <f>IF(H176=0,wdct(TRIM(C176)),0)</f>
        <v>0</v>
      </c>
      <c r="E176" s="70">
        <f>COUNTIFS('Error Log'!$A:$A,$A176,'Error Log'!$J:$J,E$1)</f>
        <v>0</v>
      </c>
      <c r="F176" s="70">
        <f>COUNTIFS('Error Log'!$A:$A,$A176,'Error Log'!$J:$J,F$1)</f>
        <v>0</v>
      </c>
      <c r="G176" s="70">
        <f>COUNTIFS('Error Log'!$A:$A,$A176,'Error Log'!$J:$J,G$1)</f>
        <v>0</v>
      </c>
      <c r="H176" s="70">
        <f>COUNTIFS('Error Log'!$A:$A,$A176,'Error Log'!$F:$F,"Source")</f>
        <v>0</v>
      </c>
      <c r="I176" s="70">
        <f>COUNTIFS('Error Log'!$A:$A,$A176,'Error Log'!$F:$F,"Target")</f>
        <v>0</v>
      </c>
      <c r="J176" s="71">
        <f t="shared" si="2"/>
        <v>0</v>
      </c>
    </row>
    <row r="177" spans="1:10">
      <c r="A177" s="101"/>
      <c r="B177" s="70" t="str">
        <f>IF(ISBLANK(A177),"",INDEX('Error Log'!$A:$J,MATCH('Scores per segment'!$A177,'Error Log'!$A:$A,0),MATCH('Scores per segment'!B$1,'Error Log'!$A$1:$J$1,0)))</f>
        <v/>
      </c>
      <c r="C177" s="70" t="str">
        <f>IF(ISBLANK(A177),"",INDEX('Error Log'!$A:$J,MATCH('Scores per segment'!$A177,'Error Log'!$A:$A,0),MATCH('Scores per segment'!C$1,'Error Log'!$A$1:$J$1,0)))</f>
        <v/>
      </c>
      <c r="D177" s="70">
        <f>IF(H177=0,wdct(TRIM(C177)),0)</f>
        <v>0</v>
      </c>
      <c r="E177" s="70">
        <f>COUNTIFS('Error Log'!$A:$A,$A177,'Error Log'!$J:$J,E$1)</f>
        <v>0</v>
      </c>
      <c r="F177" s="70">
        <f>COUNTIFS('Error Log'!$A:$A,$A177,'Error Log'!$J:$J,F$1)</f>
        <v>0</v>
      </c>
      <c r="G177" s="70">
        <f>COUNTIFS('Error Log'!$A:$A,$A177,'Error Log'!$J:$J,G$1)</f>
        <v>0</v>
      </c>
      <c r="H177" s="70">
        <f>COUNTIFS('Error Log'!$A:$A,$A177,'Error Log'!$F:$F,"Source")</f>
        <v>0</v>
      </c>
      <c r="I177" s="70">
        <f>COUNTIFS('Error Log'!$A:$A,$A177,'Error Log'!$F:$F,"Target")</f>
        <v>0</v>
      </c>
      <c r="J177" s="71">
        <f t="shared" si="2"/>
        <v>0</v>
      </c>
    </row>
    <row r="178" spans="1:10">
      <c r="A178" s="101"/>
      <c r="B178" s="70" t="str">
        <f>IF(ISBLANK(A178),"",INDEX('Error Log'!$A:$J,MATCH('Scores per segment'!$A178,'Error Log'!$A:$A,0),MATCH('Scores per segment'!B$1,'Error Log'!$A$1:$J$1,0)))</f>
        <v/>
      </c>
      <c r="C178" s="70" t="str">
        <f>IF(ISBLANK(A178),"",INDEX('Error Log'!$A:$J,MATCH('Scores per segment'!$A178,'Error Log'!$A:$A,0),MATCH('Scores per segment'!C$1,'Error Log'!$A$1:$J$1,0)))</f>
        <v/>
      </c>
      <c r="D178" s="70">
        <f>IF(H178=0,wdct(TRIM(C178)),0)</f>
        <v>0</v>
      </c>
      <c r="E178" s="70">
        <f>COUNTIFS('Error Log'!$A:$A,$A178,'Error Log'!$J:$J,E$1)</f>
        <v>0</v>
      </c>
      <c r="F178" s="70">
        <f>COUNTIFS('Error Log'!$A:$A,$A178,'Error Log'!$J:$J,F$1)</f>
        <v>0</v>
      </c>
      <c r="G178" s="70">
        <f>COUNTIFS('Error Log'!$A:$A,$A178,'Error Log'!$J:$J,G$1)</f>
        <v>0</v>
      </c>
      <c r="H178" s="70">
        <f>COUNTIFS('Error Log'!$A:$A,$A178,'Error Log'!$F:$F,"Source")</f>
        <v>0</v>
      </c>
      <c r="I178" s="70">
        <f>COUNTIFS('Error Log'!$A:$A,$A178,'Error Log'!$F:$F,"Target")</f>
        <v>0</v>
      </c>
      <c r="J178" s="71">
        <f t="shared" si="2"/>
        <v>0</v>
      </c>
    </row>
    <row r="179" spans="1:10">
      <c r="A179" s="101"/>
      <c r="B179" s="70" t="str">
        <f>IF(ISBLANK(A179),"",INDEX('Error Log'!$A:$J,MATCH('Scores per segment'!$A179,'Error Log'!$A:$A,0),MATCH('Scores per segment'!B$1,'Error Log'!$A$1:$J$1,0)))</f>
        <v/>
      </c>
      <c r="C179" s="70" t="str">
        <f>IF(ISBLANK(A179),"",INDEX('Error Log'!$A:$J,MATCH('Scores per segment'!$A179,'Error Log'!$A:$A,0),MATCH('Scores per segment'!C$1,'Error Log'!$A$1:$J$1,0)))</f>
        <v/>
      </c>
      <c r="D179" s="70">
        <f>IF(H179=0,wdct(TRIM(C179)),0)</f>
        <v>0</v>
      </c>
      <c r="E179" s="70">
        <f>COUNTIFS('Error Log'!$A:$A,$A179,'Error Log'!$J:$J,E$1)</f>
        <v>0</v>
      </c>
      <c r="F179" s="70">
        <f>COUNTIFS('Error Log'!$A:$A,$A179,'Error Log'!$J:$J,F$1)</f>
        <v>0</v>
      </c>
      <c r="G179" s="70">
        <f>COUNTIFS('Error Log'!$A:$A,$A179,'Error Log'!$J:$J,G$1)</f>
        <v>0</v>
      </c>
      <c r="H179" s="70">
        <f>COUNTIFS('Error Log'!$A:$A,$A179,'Error Log'!$F:$F,"Source")</f>
        <v>0</v>
      </c>
      <c r="I179" s="70">
        <f>COUNTIFS('Error Log'!$A:$A,$A179,'Error Log'!$F:$F,"Target")</f>
        <v>0</v>
      </c>
      <c r="J179" s="71">
        <f t="shared" si="2"/>
        <v>0</v>
      </c>
    </row>
    <row r="180" spans="1:10">
      <c r="A180" s="101"/>
      <c r="B180" s="70" t="str">
        <f>IF(ISBLANK(A180),"",INDEX('Error Log'!$A:$J,MATCH('Scores per segment'!$A180,'Error Log'!$A:$A,0),MATCH('Scores per segment'!B$1,'Error Log'!$A$1:$J$1,0)))</f>
        <v/>
      </c>
      <c r="C180" s="70" t="str">
        <f>IF(ISBLANK(A180),"",INDEX('Error Log'!$A:$J,MATCH('Scores per segment'!$A180,'Error Log'!$A:$A,0),MATCH('Scores per segment'!C$1,'Error Log'!$A$1:$J$1,0)))</f>
        <v/>
      </c>
      <c r="D180" s="70">
        <f>IF(H180=0,wdct(TRIM(C180)),0)</f>
        <v>0</v>
      </c>
      <c r="E180" s="70">
        <f>COUNTIFS('Error Log'!$A:$A,$A180,'Error Log'!$J:$J,E$1)</f>
        <v>0</v>
      </c>
      <c r="F180" s="70">
        <f>COUNTIFS('Error Log'!$A:$A,$A180,'Error Log'!$J:$J,F$1)</f>
        <v>0</v>
      </c>
      <c r="G180" s="70">
        <f>COUNTIFS('Error Log'!$A:$A,$A180,'Error Log'!$J:$J,G$1)</f>
        <v>0</v>
      </c>
      <c r="H180" s="70">
        <f>COUNTIFS('Error Log'!$A:$A,$A180,'Error Log'!$F:$F,"Source")</f>
        <v>0</v>
      </c>
      <c r="I180" s="70">
        <f>COUNTIFS('Error Log'!$A:$A,$A180,'Error Log'!$F:$F,"Target")</f>
        <v>0</v>
      </c>
      <c r="J180" s="71">
        <f t="shared" si="2"/>
        <v>0</v>
      </c>
    </row>
    <row r="181" spans="1:10">
      <c r="A181" s="101"/>
      <c r="B181" s="70" t="str">
        <f>IF(ISBLANK(A181),"",INDEX('Error Log'!$A:$J,MATCH('Scores per segment'!$A181,'Error Log'!$A:$A,0),MATCH('Scores per segment'!B$1,'Error Log'!$A$1:$J$1,0)))</f>
        <v/>
      </c>
      <c r="C181" s="70" t="str">
        <f>IF(ISBLANK(A181),"",INDEX('Error Log'!$A:$J,MATCH('Scores per segment'!$A181,'Error Log'!$A:$A,0),MATCH('Scores per segment'!C$1,'Error Log'!$A$1:$J$1,0)))</f>
        <v/>
      </c>
      <c r="D181" s="70">
        <f>IF(H181=0,wdct(TRIM(C181)),0)</f>
        <v>0</v>
      </c>
      <c r="E181" s="70">
        <f>COUNTIFS('Error Log'!$A:$A,$A181,'Error Log'!$J:$J,E$1)</f>
        <v>0</v>
      </c>
      <c r="F181" s="70">
        <f>COUNTIFS('Error Log'!$A:$A,$A181,'Error Log'!$J:$J,F$1)</f>
        <v>0</v>
      </c>
      <c r="G181" s="70">
        <f>COUNTIFS('Error Log'!$A:$A,$A181,'Error Log'!$J:$J,G$1)</f>
        <v>0</v>
      </c>
      <c r="H181" s="70">
        <f>COUNTIFS('Error Log'!$A:$A,$A181,'Error Log'!$F:$F,"Source")</f>
        <v>0</v>
      </c>
      <c r="I181" s="70">
        <f>COUNTIFS('Error Log'!$A:$A,$A181,'Error Log'!$F:$F,"Target")</f>
        <v>0</v>
      </c>
      <c r="J181" s="71">
        <f t="shared" si="2"/>
        <v>0</v>
      </c>
    </row>
    <row r="182" spans="1:10">
      <c r="A182" s="101"/>
      <c r="B182" s="70" t="str">
        <f>IF(ISBLANK(A182),"",INDEX('Error Log'!$A:$J,MATCH('Scores per segment'!$A182,'Error Log'!$A:$A,0),MATCH('Scores per segment'!B$1,'Error Log'!$A$1:$J$1,0)))</f>
        <v/>
      </c>
      <c r="C182" s="70" t="str">
        <f>IF(ISBLANK(A182),"",INDEX('Error Log'!$A:$J,MATCH('Scores per segment'!$A182,'Error Log'!$A:$A,0),MATCH('Scores per segment'!C$1,'Error Log'!$A$1:$J$1,0)))</f>
        <v/>
      </c>
      <c r="D182" s="70">
        <f>IF(H182=0,wdct(TRIM(C182)),0)</f>
        <v>0</v>
      </c>
      <c r="E182" s="70">
        <f>COUNTIFS('Error Log'!$A:$A,$A182,'Error Log'!$J:$J,E$1)</f>
        <v>0</v>
      </c>
      <c r="F182" s="70">
        <f>COUNTIFS('Error Log'!$A:$A,$A182,'Error Log'!$J:$J,F$1)</f>
        <v>0</v>
      </c>
      <c r="G182" s="70">
        <f>COUNTIFS('Error Log'!$A:$A,$A182,'Error Log'!$J:$J,G$1)</f>
        <v>0</v>
      </c>
      <c r="H182" s="70">
        <f>COUNTIFS('Error Log'!$A:$A,$A182,'Error Log'!$F:$F,"Source")</f>
        <v>0</v>
      </c>
      <c r="I182" s="70">
        <f>COUNTIFS('Error Log'!$A:$A,$A182,'Error Log'!$F:$F,"Target")</f>
        <v>0</v>
      </c>
      <c r="J182" s="71">
        <f t="shared" si="2"/>
        <v>0</v>
      </c>
    </row>
    <row r="183" spans="1:10">
      <c r="A183" s="101"/>
      <c r="B183" s="70" t="str">
        <f>IF(ISBLANK(A183),"",INDEX('Error Log'!$A:$J,MATCH('Scores per segment'!$A183,'Error Log'!$A:$A,0),MATCH('Scores per segment'!B$1,'Error Log'!$A$1:$J$1,0)))</f>
        <v/>
      </c>
      <c r="C183" s="70" t="str">
        <f>IF(ISBLANK(A183),"",INDEX('Error Log'!$A:$J,MATCH('Scores per segment'!$A183,'Error Log'!$A:$A,0),MATCH('Scores per segment'!C$1,'Error Log'!$A$1:$J$1,0)))</f>
        <v/>
      </c>
      <c r="D183" s="70">
        <f>IF(H183=0,wdct(TRIM(C183)),0)</f>
        <v>0</v>
      </c>
      <c r="E183" s="70">
        <f>COUNTIFS('Error Log'!$A:$A,$A183,'Error Log'!$J:$J,E$1)</f>
        <v>0</v>
      </c>
      <c r="F183" s="70">
        <f>COUNTIFS('Error Log'!$A:$A,$A183,'Error Log'!$J:$J,F$1)</f>
        <v>0</v>
      </c>
      <c r="G183" s="70">
        <f>COUNTIFS('Error Log'!$A:$A,$A183,'Error Log'!$J:$J,G$1)</f>
        <v>0</v>
      </c>
      <c r="H183" s="70">
        <f>COUNTIFS('Error Log'!$A:$A,$A183,'Error Log'!$F:$F,"Source")</f>
        <v>0</v>
      </c>
      <c r="I183" s="70">
        <f>COUNTIFS('Error Log'!$A:$A,$A183,'Error Log'!$F:$F,"Target")</f>
        <v>0</v>
      </c>
      <c r="J183" s="71">
        <f t="shared" si="2"/>
        <v>0</v>
      </c>
    </row>
    <row r="184" spans="1:10">
      <c r="A184" s="101"/>
      <c r="B184" s="70" t="str">
        <f>IF(ISBLANK(A184),"",INDEX('Error Log'!$A:$J,MATCH('Scores per segment'!$A184,'Error Log'!$A:$A,0),MATCH('Scores per segment'!B$1,'Error Log'!$A$1:$J$1,0)))</f>
        <v/>
      </c>
      <c r="C184" s="70" t="str">
        <f>IF(ISBLANK(A184),"",INDEX('Error Log'!$A:$J,MATCH('Scores per segment'!$A184,'Error Log'!$A:$A,0),MATCH('Scores per segment'!C$1,'Error Log'!$A$1:$J$1,0)))</f>
        <v/>
      </c>
      <c r="D184" s="70">
        <f>IF(H184=0,wdct(TRIM(C184)),0)</f>
        <v>0</v>
      </c>
      <c r="E184" s="70">
        <f>COUNTIFS('Error Log'!$A:$A,$A184,'Error Log'!$J:$J,E$1)</f>
        <v>0</v>
      </c>
      <c r="F184" s="70">
        <f>COUNTIFS('Error Log'!$A:$A,$A184,'Error Log'!$J:$J,F$1)</f>
        <v>0</v>
      </c>
      <c r="G184" s="70">
        <f>COUNTIFS('Error Log'!$A:$A,$A184,'Error Log'!$J:$J,G$1)</f>
        <v>0</v>
      </c>
      <c r="H184" s="70">
        <f>COUNTIFS('Error Log'!$A:$A,$A184,'Error Log'!$F:$F,"Source")</f>
        <v>0</v>
      </c>
      <c r="I184" s="70">
        <f>COUNTIFS('Error Log'!$A:$A,$A184,'Error Log'!$F:$F,"Target")</f>
        <v>0</v>
      </c>
      <c r="J184" s="71">
        <f t="shared" si="2"/>
        <v>0</v>
      </c>
    </row>
    <row r="185" spans="1:10">
      <c r="A185" s="101"/>
      <c r="B185" s="70" t="str">
        <f>IF(ISBLANK(A185),"",INDEX('Error Log'!$A:$J,MATCH('Scores per segment'!$A185,'Error Log'!$A:$A,0),MATCH('Scores per segment'!B$1,'Error Log'!$A$1:$J$1,0)))</f>
        <v/>
      </c>
      <c r="C185" s="70" t="str">
        <f>IF(ISBLANK(A185),"",INDEX('Error Log'!$A:$J,MATCH('Scores per segment'!$A185,'Error Log'!$A:$A,0),MATCH('Scores per segment'!C$1,'Error Log'!$A$1:$J$1,0)))</f>
        <v/>
      </c>
      <c r="D185" s="70">
        <f>IF(H185=0,wdct(TRIM(C185)),0)</f>
        <v>0</v>
      </c>
      <c r="E185" s="70">
        <f>COUNTIFS('Error Log'!$A:$A,$A185,'Error Log'!$J:$J,E$1)</f>
        <v>0</v>
      </c>
      <c r="F185" s="70">
        <f>COUNTIFS('Error Log'!$A:$A,$A185,'Error Log'!$J:$J,F$1)</f>
        <v>0</v>
      </c>
      <c r="G185" s="70">
        <f>COUNTIFS('Error Log'!$A:$A,$A185,'Error Log'!$J:$J,G$1)</f>
        <v>0</v>
      </c>
      <c r="H185" s="70">
        <f>COUNTIFS('Error Log'!$A:$A,$A185,'Error Log'!$F:$F,"Source")</f>
        <v>0</v>
      </c>
      <c r="I185" s="70">
        <f>COUNTIFS('Error Log'!$A:$A,$A185,'Error Log'!$F:$F,"Target")</f>
        <v>0</v>
      </c>
      <c r="J185" s="71">
        <f t="shared" si="2"/>
        <v>0</v>
      </c>
    </row>
    <row r="186" spans="1:10">
      <c r="A186" s="101"/>
      <c r="B186" s="70" t="str">
        <f>IF(ISBLANK(A186),"",INDEX('Error Log'!$A:$J,MATCH('Scores per segment'!$A186,'Error Log'!$A:$A,0),MATCH('Scores per segment'!B$1,'Error Log'!$A$1:$J$1,0)))</f>
        <v/>
      </c>
      <c r="C186" s="70" t="str">
        <f>IF(ISBLANK(A186),"",INDEX('Error Log'!$A:$J,MATCH('Scores per segment'!$A186,'Error Log'!$A:$A,0),MATCH('Scores per segment'!C$1,'Error Log'!$A$1:$J$1,0)))</f>
        <v/>
      </c>
      <c r="D186" s="70">
        <f>IF(H186=0,wdct(TRIM(C186)),0)</f>
        <v>0</v>
      </c>
      <c r="E186" s="70">
        <f>COUNTIFS('Error Log'!$A:$A,$A186,'Error Log'!$J:$J,E$1)</f>
        <v>0</v>
      </c>
      <c r="F186" s="70">
        <f>COUNTIFS('Error Log'!$A:$A,$A186,'Error Log'!$J:$J,F$1)</f>
        <v>0</v>
      </c>
      <c r="G186" s="70">
        <f>COUNTIFS('Error Log'!$A:$A,$A186,'Error Log'!$J:$J,G$1)</f>
        <v>0</v>
      </c>
      <c r="H186" s="70">
        <f>COUNTIFS('Error Log'!$A:$A,$A186,'Error Log'!$F:$F,"Source")</f>
        <v>0</v>
      </c>
      <c r="I186" s="70">
        <f>COUNTIFS('Error Log'!$A:$A,$A186,'Error Log'!$F:$F,"Target")</f>
        <v>0</v>
      </c>
      <c r="J186" s="71">
        <f t="shared" si="2"/>
        <v>0</v>
      </c>
    </row>
    <row r="187" spans="1:10">
      <c r="A187" s="101"/>
      <c r="B187" s="70" t="str">
        <f>IF(ISBLANK(A187),"",INDEX('Error Log'!$A:$J,MATCH('Scores per segment'!$A187,'Error Log'!$A:$A,0),MATCH('Scores per segment'!B$1,'Error Log'!$A$1:$J$1,0)))</f>
        <v/>
      </c>
      <c r="C187" s="70" t="str">
        <f>IF(ISBLANK(A187),"",INDEX('Error Log'!$A:$J,MATCH('Scores per segment'!$A187,'Error Log'!$A:$A,0),MATCH('Scores per segment'!C$1,'Error Log'!$A$1:$J$1,0)))</f>
        <v/>
      </c>
      <c r="D187" s="70">
        <f>IF(H187=0,wdct(TRIM(C187)),0)</f>
        <v>0</v>
      </c>
      <c r="E187" s="70">
        <f>COUNTIFS('Error Log'!$A:$A,$A187,'Error Log'!$J:$J,E$1)</f>
        <v>0</v>
      </c>
      <c r="F187" s="70">
        <f>COUNTIFS('Error Log'!$A:$A,$A187,'Error Log'!$J:$J,F$1)</f>
        <v>0</v>
      </c>
      <c r="G187" s="70">
        <f>COUNTIFS('Error Log'!$A:$A,$A187,'Error Log'!$J:$J,G$1)</f>
        <v>0</v>
      </c>
      <c r="H187" s="70">
        <f>COUNTIFS('Error Log'!$A:$A,$A187,'Error Log'!$F:$F,"Source")</f>
        <v>0</v>
      </c>
      <c r="I187" s="70">
        <f>COUNTIFS('Error Log'!$A:$A,$A187,'Error Log'!$F:$F,"Target")</f>
        <v>0</v>
      </c>
      <c r="J187" s="71">
        <f t="shared" si="2"/>
        <v>0</v>
      </c>
    </row>
    <row r="188" spans="1:10">
      <c r="A188" s="101"/>
      <c r="B188" s="70" t="str">
        <f>IF(ISBLANK(A188),"",INDEX('Error Log'!$A:$J,MATCH('Scores per segment'!$A188,'Error Log'!$A:$A,0),MATCH('Scores per segment'!B$1,'Error Log'!$A$1:$J$1,0)))</f>
        <v/>
      </c>
      <c r="C188" s="70" t="str">
        <f>IF(ISBLANK(A188),"",INDEX('Error Log'!$A:$J,MATCH('Scores per segment'!$A188,'Error Log'!$A:$A,0),MATCH('Scores per segment'!C$1,'Error Log'!$A$1:$J$1,0)))</f>
        <v/>
      </c>
      <c r="D188" s="70">
        <f>IF(H188=0,wdct(TRIM(C188)),0)</f>
        <v>0</v>
      </c>
      <c r="E188" s="70">
        <f>COUNTIFS('Error Log'!$A:$A,$A188,'Error Log'!$J:$J,E$1)</f>
        <v>0</v>
      </c>
      <c r="F188" s="70">
        <f>COUNTIFS('Error Log'!$A:$A,$A188,'Error Log'!$J:$J,F$1)</f>
        <v>0</v>
      </c>
      <c r="G188" s="70">
        <f>COUNTIFS('Error Log'!$A:$A,$A188,'Error Log'!$J:$J,G$1)</f>
        <v>0</v>
      </c>
      <c r="H188" s="70">
        <f>COUNTIFS('Error Log'!$A:$A,$A188,'Error Log'!$F:$F,"Source")</f>
        <v>0</v>
      </c>
      <c r="I188" s="70">
        <f>COUNTIFS('Error Log'!$A:$A,$A188,'Error Log'!$F:$F,"Target")</f>
        <v>0</v>
      </c>
      <c r="J188" s="71">
        <f t="shared" si="2"/>
        <v>0</v>
      </c>
    </row>
    <row r="189" spans="1:10">
      <c r="A189" s="101"/>
      <c r="B189" s="70" t="str">
        <f>IF(ISBLANK(A189),"",INDEX('Error Log'!$A:$J,MATCH('Scores per segment'!$A189,'Error Log'!$A:$A,0),MATCH('Scores per segment'!B$1,'Error Log'!$A$1:$J$1,0)))</f>
        <v/>
      </c>
      <c r="C189" s="70" t="str">
        <f>IF(ISBLANK(A189),"",INDEX('Error Log'!$A:$J,MATCH('Scores per segment'!$A189,'Error Log'!$A:$A,0),MATCH('Scores per segment'!C$1,'Error Log'!$A$1:$J$1,0)))</f>
        <v/>
      </c>
      <c r="D189" s="70">
        <f>IF(H189=0,wdct(TRIM(C189)),0)</f>
        <v>0</v>
      </c>
      <c r="E189" s="70">
        <f>COUNTIFS('Error Log'!$A:$A,$A189,'Error Log'!$J:$J,E$1)</f>
        <v>0</v>
      </c>
      <c r="F189" s="70">
        <f>COUNTIFS('Error Log'!$A:$A,$A189,'Error Log'!$J:$J,F$1)</f>
        <v>0</v>
      </c>
      <c r="G189" s="70">
        <f>COUNTIFS('Error Log'!$A:$A,$A189,'Error Log'!$J:$J,G$1)</f>
        <v>0</v>
      </c>
      <c r="H189" s="70">
        <f>COUNTIFS('Error Log'!$A:$A,$A189,'Error Log'!$F:$F,"Source")</f>
        <v>0</v>
      </c>
      <c r="I189" s="70">
        <f>COUNTIFS('Error Log'!$A:$A,$A189,'Error Log'!$F:$F,"Target")</f>
        <v>0</v>
      </c>
      <c r="J189" s="71">
        <f t="shared" si="2"/>
        <v>0</v>
      </c>
    </row>
    <row r="190" spans="1:10">
      <c r="A190" s="101"/>
      <c r="B190" s="70" t="str">
        <f>IF(ISBLANK(A190),"",INDEX('Error Log'!$A:$J,MATCH('Scores per segment'!$A190,'Error Log'!$A:$A,0),MATCH('Scores per segment'!B$1,'Error Log'!$A$1:$J$1,0)))</f>
        <v/>
      </c>
      <c r="C190" s="70" t="str">
        <f>IF(ISBLANK(A190),"",INDEX('Error Log'!$A:$J,MATCH('Scores per segment'!$A190,'Error Log'!$A:$A,0),MATCH('Scores per segment'!C$1,'Error Log'!$A$1:$J$1,0)))</f>
        <v/>
      </c>
      <c r="D190" s="70">
        <f>IF(H190=0,wdct(TRIM(C190)),0)</f>
        <v>0</v>
      </c>
      <c r="E190" s="70">
        <f>COUNTIFS('Error Log'!$A:$A,$A190,'Error Log'!$J:$J,E$1)</f>
        <v>0</v>
      </c>
      <c r="F190" s="70">
        <f>COUNTIFS('Error Log'!$A:$A,$A190,'Error Log'!$J:$J,F$1)</f>
        <v>0</v>
      </c>
      <c r="G190" s="70">
        <f>COUNTIFS('Error Log'!$A:$A,$A190,'Error Log'!$J:$J,G$1)</f>
        <v>0</v>
      </c>
      <c r="H190" s="70">
        <f>COUNTIFS('Error Log'!$A:$A,$A190,'Error Log'!$F:$F,"Source")</f>
        <v>0</v>
      </c>
      <c r="I190" s="70">
        <f>COUNTIFS('Error Log'!$A:$A,$A190,'Error Log'!$F:$F,"Target")</f>
        <v>0</v>
      </c>
      <c r="J190" s="71">
        <f t="shared" si="2"/>
        <v>0</v>
      </c>
    </row>
    <row r="191" spans="1:10">
      <c r="A191" s="101"/>
      <c r="B191" s="70" t="str">
        <f>IF(ISBLANK(A191),"",INDEX('Error Log'!$A:$J,MATCH('Scores per segment'!$A191,'Error Log'!$A:$A,0),MATCH('Scores per segment'!B$1,'Error Log'!$A$1:$J$1,0)))</f>
        <v/>
      </c>
      <c r="C191" s="70" t="str">
        <f>IF(ISBLANK(A191),"",INDEX('Error Log'!$A:$J,MATCH('Scores per segment'!$A191,'Error Log'!$A:$A,0),MATCH('Scores per segment'!C$1,'Error Log'!$A$1:$J$1,0)))</f>
        <v/>
      </c>
      <c r="D191" s="70">
        <f>IF(H191=0,wdct(TRIM(C191)),0)</f>
        <v>0</v>
      </c>
      <c r="E191" s="70">
        <f>COUNTIFS('Error Log'!$A:$A,$A191,'Error Log'!$J:$J,E$1)</f>
        <v>0</v>
      </c>
      <c r="F191" s="70">
        <f>COUNTIFS('Error Log'!$A:$A,$A191,'Error Log'!$J:$J,F$1)</f>
        <v>0</v>
      </c>
      <c r="G191" s="70">
        <f>COUNTIFS('Error Log'!$A:$A,$A191,'Error Log'!$J:$J,G$1)</f>
        <v>0</v>
      </c>
      <c r="H191" s="70">
        <f>COUNTIFS('Error Log'!$A:$A,$A191,'Error Log'!$F:$F,"Source")</f>
        <v>0</v>
      </c>
      <c r="I191" s="70">
        <f>COUNTIFS('Error Log'!$A:$A,$A191,'Error Log'!$F:$F,"Target")</f>
        <v>0</v>
      </c>
      <c r="J191" s="71">
        <f t="shared" si="2"/>
        <v>0</v>
      </c>
    </row>
    <row r="192" spans="1:10">
      <c r="A192" s="101"/>
      <c r="B192" s="70" t="str">
        <f>IF(ISBLANK(A192),"",INDEX('Error Log'!$A:$J,MATCH('Scores per segment'!$A192,'Error Log'!$A:$A,0),MATCH('Scores per segment'!B$1,'Error Log'!$A$1:$J$1,0)))</f>
        <v/>
      </c>
      <c r="C192" s="70" t="str">
        <f>IF(ISBLANK(A192),"",INDEX('Error Log'!$A:$J,MATCH('Scores per segment'!$A192,'Error Log'!$A:$A,0),MATCH('Scores per segment'!C$1,'Error Log'!$A$1:$J$1,0)))</f>
        <v/>
      </c>
      <c r="D192" s="70">
        <f>IF(H192=0,wdct(TRIM(C192)),0)</f>
        <v>0</v>
      </c>
      <c r="E192" s="70">
        <f>COUNTIFS('Error Log'!$A:$A,$A192,'Error Log'!$J:$J,E$1)</f>
        <v>0</v>
      </c>
      <c r="F192" s="70">
        <f>COUNTIFS('Error Log'!$A:$A,$A192,'Error Log'!$J:$J,F$1)</f>
        <v>0</v>
      </c>
      <c r="G192" s="70">
        <f>COUNTIFS('Error Log'!$A:$A,$A192,'Error Log'!$J:$J,G$1)</f>
        <v>0</v>
      </c>
      <c r="H192" s="70">
        <f>COUNTIFS('Error Log'!$A:$A,$A192,'Error Log'!$F:$F,"Source")</f>
        <v>0</v>
      </c>
      <c r="I192" s="70">
        <f>COUNTIFS('Error Log'!$A:$A,$A192,'Error Log'!$F:$F,"Target")</f>
        <v>0</v>
      </c>
      <c r="J192" s="71">
        <f t="shared" si="2"/>
        <v>0</v>
      </c>
    </row>
    <row r="193" spans="1:10">
      <c r="A193" s="101"/>
      <c r="B193" s="70" t="str">
        <f>IF(ISBLANK(A193),"",INDEX('Error Log'!$A:$J,MATCH('Scores per segment'!$A193,'Error Log'!$A:$A,0),MATCH('Scores per segment'!B$1,'Error Log'!$A$1:$J$1,0)))</f>
        <v/>
      </c>
      <c r="C193" s="70" t="str">
        <f>IF(ISBLANK(A193),"",INDEX('Error Log'!$A:$J,MATCH('Scores per segment'!$A193,'Error Log'!$A:$A,0),MATCH('Scores per segment'!C$1,'Error Log'!$A$1:$J$1,0)))</f>
        <v/>
      </c>
      <c r="D193" s="70">
        <f>IF(H193=0,wdct(TRIM(C193)),0)</f>
        <v>0</v>
      </c>
      <c r="E193" s="70">
        <f>COUNTIFS('Error Log'!$A:$A,$A193,'Error Log'!$J:$J,E$1)</f>
        <v>0</v>
      </c>
      <c r="F193" s="70">
        <f>COUNTIFS('Error Log'!$A:$A,$A193,'Error Log'!$J:$J,F$1)</f>
        <v>0</v>
      </c>
      <c r="G193" s="70">
        <f>COUNTIFS('Error Log'!$A:$A,$A193,'Error Log'!$J:$J,G$1)</f>
        <v>0</v>
      </c>
      <c r="H193" s="70">
        <f>COUNTIFS('Error Log'!$A:$A,$A193,'Error Log'!$F:$F,"Source")</f>
        <v>0</v>
      </c>
      <c r="I193" s="70">
        <f>COUNTIFS('Error Log'!$A:$A,$A193,'Error Log'!$F:$F,"Target")</f>
        <v>0</v>
      </c>
      <c r="J193" s="71">
        <f t="shared" si="2"/>
        <v>0</v>
      </c>
    </row>
    <row r="194" spans="1:10">
      <c r="A194" s="101"/>
      <c r="B194" s="70" t="str">
        <f>IF(ISBLANK(A194),"",INDEX('Error Log'!$A:$J,MATCH('Scores per segment'!$A194,'Error Log'!$A:$A,0),MATCH('Scores per segment'!B$1,'Error Log'!$A$1:$J$1,0)))</f>
        <v/>
      </c>
      <c r="C194" s="70" t="str">
        <f>IF(ISBLANK(A194),"",INDEX('Error Log'!$A:$J,MATCH('Scores per segment'!$A194,'Error Log'!$A:$A,0),MATCH('Scores per segment'!C$1,'Error Log'!$A$1:$J$1,0)))</f>
        <v/>
      </c>
      <c r="D194" s="70">
        <f>IF(H194=0,wdct(TRIM(C194)),0)</f>
        <v>0</v>
      </c>
      <c r="E194" s="70">
        <f>COUNTIFS('Error Log'!$A:$A,$A194,'Error Log'!$J:$J,E$1)</f>
        <v>0</v>
      </c>
      <c r="F194" s="70">
        <f>COUNTIFS('Error Log'!$A:$A,$A194,'Error Log'!$J:$J,F$1)</f>
        <v>0</v>
      </c>
      <c r="G194" s="70">
        <f>COUNTIFS('Error Log'!$A:$A,$A194,'Error Log'!$J:$J,G$1)</f>
        <v>0</v>
      </c>
      <c r="H194" s="70">
        <f>COUNTIFS('Error Log'!$A:$A,$A194,'Error Log'!$F:$F,"Source")</f>
        <v>0</v>
      </c>
      <c r="I194" s="70">
        <f>COUNTIFS('Error Log'!$A:$A,$A194,'Error Log'!$F:$F,"Target")</f>
        <v>0</v>
      </c>
      <c r="J194" s="71">
        <f t="shared" ref="J194:J257" si="3">IF(I194=0,IFERROR((((1-((E194*10+F194*5+G194*1)/D194))*100)+100)/2,0),-150)</f>
        <v>0</v>
      </c>
    </row>
    <row r="195" spans="1:10">
      <c r="A195" s="101"/>
      <c r="B195" s="70" t="str">
        <f>IF(ISBLANK(A195),"",INDEX('Error Log'!$A:$J,MATCH('Scores per segment'!$A195,'Error Log'!$A:$A,0),MATCH('Scores per segment'!B$1,'Error Log'!$A$1:$J$1,0)))</f>
        <v/>
      </c>
      <c r="C195" s="70" t="str">
        <f>IF(ISBLANK(A195),"",INDEX('Error Log'!$A:$J,MATCH('Scores per segment'!$A195,'Error Log'!$A:$A,0),MATCH('Scores per segment'!C$1,'Error Log'!$A$1:$J$1,0)))</f>
        <v/>
      </c>
      <c r="D195" s="70">
        <f>IF(H195=0,wdct(TRIM(C195)),0)</f>
        <v>0</v>
      </c>
      <c r="E195" s="70">
        <f>COUNTIFS('Error Log'!$A:$A,$A195,'Error Log'!$J:$J,E$1)</f>
        <v>0</v>
      </c>
      <c r="F195" s="70">
        <f>COUNTIFS('Error Log'!$A:$A,$A195,'Error Log'!$J:$J,F$1)</f>
        <v>0</v>
      </c>
      <c r="G195" s="70">
        <f>COUNTIFS('Error Log'!$A:$A,$A195,'Error Log'!$J:$J,G$1)</f>
        <v>0</v>
      </c>
      <c r="H195" s="70">
        <f>COUNTIFS('Error Log'!$A:$A,$A195,'Error Log'!$F:$F,"Source")</f>
        <v>0</v>
      </c>
      <c r="I195" s="70">
        <f>COUNTIFS('Error Log'!$A:$A,$A195,'Error Log'!$F:$F,"Target")</f>
        <v>0</v>
      </c>
      <c r="J195" s="71">
        <f t="shared" si="3"/>
        <v>0</v>
      </c>
    </row>
    <row r="196" spans="1:10">
      <c r="A196" s="101"/>
      <c r="B196" s="70" t="str">
        <f>IF(ISBLANK(A196),"",INDEX('Error Log'!$A:$J,MATCH('Scores per segment'!$A196,'Error Log'!$A:$A,0),MATCH('Scores per segment'!B$1,'Error Log'!$A$1:$J$1,0)))</f>
        <v/>
      </c>
      <c r="C196" s="70" t="str">
        <f>IF(ISBLANK(A196),"",INDEX('Error Log'!$A:$J,MATCH('Scores per segment'!$A196,'Error Log'!$A:$A,0),MATCH('Scores per segment'!C$1,'Error Log'!$A$1:$J$1,0)))</f>
        <v/>
      </c>
      <c r="D196" s="70">
        <f>IF(H196=0,wdct(TRIM(C196)),0)</f>
        <v>0</v>
      </c>
      <c r="E196" s="70">
        <f>COUNTIFS('Error Log'!$A:$A,$A196,'Error Log'!$J:$J,E$1)</f>
        <v>0</v>
      </c>
      <c r="F196" s="70">
        <f>COUNTIFS('Error Log'!$A:$A,$A196,'Error Log'!$J:$J,F$1)</f>
        <v>0</v>
      </c>
      <c r="G196" s="70">
        <f>COUNTIFS('Error Log'!$A:$A,$A196,'Error Log'!$J:$J,G$1)</f>
        <v>0</v>
      </c>
      <c r="H196" s="70">
        <f>COUNTIFS('Error Log'!$A:$A,$A196,'Error Log'!$F:$F,"Source")</f>
        <v>0</v>
      </c>
      <c r="I196" s="70">
        <f>COUNTIFS('Error Log'!$A:$A,$A196,'Error Log'!$F:$F,"Target")</f>
        <v>0</v>
      </c>
      <c r="J196" s="71">
        <f t="shared" si="3"/>
        <v>0</v>
      </c>
    </row>
    <row r="197" spans="1:10">
      <c r="A197" s="101"/>
      <c r="B197" s="70" t="str">
        <f>IF(ISBLANK(A197),"",INDEX('Error Log'!$A:$J,MATCH('Scores per segment'!$A197,'Error Log'!$A:$A,0),MATCH('Scores per segment'!B$1,'Error Log'!$A$1:$J$1,0)))</f>
        <v/>
      </c>
      <c r="C197" s="70" t="str">
        <f>IF(ISBLANK(A197),"",INDEX('Error Log'!$A:$J,MATCH('Scores per segment'!$A197,'Error Log'!$A:$A,0),MATCH('Scores per segment'!C$1,'Error Log'!$A$1:$J$1,0)))</f>
        <v/>
      </c>
      <c r="D197" s="70">
        <f>IF(H197=0,wdct(TRIM(C197)),0)</f>
        <v>0</v>
      </c>
      <c r="E197" s="70">
        <f>COUNTIFS('Error Log'!$A:$A,$A197,'Error Log'!$J:$J,E$1)</f>
        <v>0</v>
      </c>
      <c r="F197" s="70">
        <f>COUNTIFS('Error Log'!$A:$A,$A197,'Error Log'!$J:$J,F$1)</f>
        <v>0</v>
      </c>
      <c r="G197" s="70">
        <f>COUNTIFS('Error Log'!$A:$A,$A197,'Error Log'!$J:$J,G$1)</f>
        <v>0</v>
      </c>
      <c r="H197" s="70">
        <f>COUNTIFS('Error Log'!$A:$A,$A197,'Error Log'!$F:$F,"Source")</f>
        <v>0</v>
      </c>
      <c r="I197" s="70">
        <f>COUNTIFS('Error Log'!$A:$A,$A197,'Error Log'!$F:$F,"Target")</f>
        <v>0</v>
      </c>
      <c r="J197" s="71">
        <f t="shared" si="3"/>
        <v>0</v>
      </c>
    </row>
    <row r="198" spans="1:10">
      <c r="A198" s="101"/>
      <c r="B198" s="70" t="str">
        <f>IF(ISBLANK(A198),"",INDEX('Error Log'!$A:$J,MATCH('Scores per segment'!$A198,'Error Log'!$A:$A,0),MATCH('Scores per segment'!B$1,'Error Log'!$A$1:$J$1,0)))</f>
        <v/>
      </c>
      <c r="C198" s="70" t="str">
        <f>IF(ISBLANK(A198),"",INDEX('Error Log'!$A:$J,MATCH('Scores per segment'!$A198,'Error Log'!$A:$A,0),MATCH('Scores per segment'!C$1,'Error Log'!$A$1:$J$1,0)))</f>
        <v/>
      </c>
      <c r="D198" s="70">
        <f>IF(H198=0,wdct(TRIM(C198)),0)</f>
        <v>0</v>
      </c>
      <c r="E198" s="70">
        <f>COUNTIFS('Error Log'!$A:$A,$A198,'Error Log'!$J:$J,E$1)</f>
        <v>0</v>
      </c>
      <c r="F198" s="70">
        <f>COUNTIFS('Error Log'!$A:$A,$A198,'Error Log'!$J:$J,F$1)</f>
        <v>0</v>
      </c>
      <c r="G198" s="70">
        <f>COUNTIFS('Error Log'!$A:$A,$A198,'Error Log'!$J:$J,G$1)</f>
        <v>0</v>
      </c>
      <c r="H198" s="70">
        <f>COUNTIFS('Error Log'!$A:$A,$A198,'Error Log'!$F:$F,"Source")</f>
        <v>0</v>
      </c>
      <c r="I198" s="70">
        <f>COUNTIFS('Error Log'!$A:$A,$A198,'Error Log'!$F:$F,"Target")</f>
        <v>0</v>
      </c>
      <c r="J198" s="71">
        <f t="shared" si="3"/>
        <v>0</v>
      </c>
    </row>
    <row r="199" spans="1:10">
      <c r="A199" s="101"/>
      <c r="B199" s="70" t="str">
        <f>IF(ISBLANK(A199),"",INDEX('Error Log'!$A:$J,MATCH('Scores per segment'!$A199,'Error Log'!$A:$A,0),MATCH('Scores per segment'!B$1,'Error Log'!$A$1:$J$1,0)))</f>
        <v/>
      </c>
      <c r="C199" s="70" t="str">
        <f>IF(ISBLANK(A199),"",INDEX('Error Log'!$A:$J,MATCH('Scores per segment'!$A199,'Error Log'!$A:$A,0),MATCH('Scores per segment'!C$1,'Error Log'!$A$1:$J$1,0)))</f>
        <v/>
      </c>
      <c r="D199" s="70">
        <f>IF(H199=0,wdct(TRIM(C199)),0)</f>
        <v>0</v>
      </c>
      <c r="E199" s="70">
        <f>COUNTIFS('Error Log'!$A:$A,$A199,'Error Log'!$J:$J,E$1)</f>
        <v>0</v>
      </c>
      <c r="F199" s="70">
        <f>COUNTIFS('Error Log'!$A:$A,$A199,'Error Log'!$J:$J,F$1)</f>
        <v>0</v>
      </c>
      <c r="G199" s="70">
        <f>COUNTIFS('Error Log'!$A:$A,$A199,'Error Log'!$J:$J,G$1)</f>
        <v>0</v>
      </c>
      <c r="H199" s="70">
        <f>COUNTIFS('Error Log'!$A:$A,$A199,'Error Log'!$F:$F,"Source")</f>
        <v>0</v>
      </c>
      <c r="I199" s="70">
        <f>COUNTIFS('Error Log'!$A:$A,$A199,'Error Log'!$F:$F,"Target")</f>
        <v>0</v>
      </c>
      <c r="J199" s="71">
        <f t="shared" si="3"/>
        <v>0</v>
      </c>
    </row>
    <row r="200" spans="1:10">
      <c r="A200" s="101"/>
      <c r="B200" s="70" t="str">
        <f>IF(ISBLANK(A200),"",INDEX('Error Log'!$A:$J,MATCH('Scores per segment'!$A200,'Error Log'!$A:$A,0),MATCH('Scores per segment'!B$1,'Error Log'!$A$1:$J$1,0)))</f>
        <v/>
      </c>
      <c r="C200" s="70" t="str">
        <f>IF(ISBLANK(A200),"",INDEX('Error Log'!$A:$J,MATCH('Scores per segment'!$A200,'Error Log'!$A:$A,0),MATCH('Scores per segment'!C$1,'Error Log'!$A$1:$J$1,0)))</f>
        <v/>
      </c>
      <c r="D200" s="70">
        <f>IF(H200=0,wdct(TRIM(C200)),0)</f>
        <v>0</v>
      </c>
      <c r="E200" s="70">
        <f>COUNTIFS('Error Log'!$A:$A,$A200,'Error Log'!$J:$J,E$1)</f>
        <v>0</v>
      </c>
      <c r="F200" s="70">
        <f>COUNTIFS('Error Log'!$A:$A,$A200,'Error Log'!$J:$J,F$1)</f>
        <v>0</v>
      </c>
      <c r="G200" s="70">
        <f>COUNTIFS('Error Log'!$A:$A,$A200,'Error Log'!$J:$J,G$1)</f>
        <v>0</v>
      </c>
      <c r="H200" s="70">
        <f>COUNTIFS('Error Log'!$A:$A,$A200,'Error Log'!$F:$F,"Source")</f>
        <v>0</v>
      </c>
      <c r="I200" s="70">
        <f>COUNTIFS('Error Log'!$A:$A,$A200,'Error Log'!$F:$F,"Target")</f>
        <v>0</v>
      </c>
      <c r="J200" s="71">
        <f t="shared" si="3"/>
        <v>0</v>
      </c>
    </row>
    <row r="201" spans="1:10">
      <c r="A201" s="101"/>
      <c r="B201" s="70" t="str">
        <f>IF(ISBLANK(A201),"",INDEX('Error Log'!$A:$J,MATCH('Scores per segment'!$A201,'Error Log'!$A:$A,0),MATCH('Scores per segment'!B$1,'Error Log'!$A$1:$J$1,0)))</f>
        <v/>
      </c>
      <c r="C201" s="70" t="str">
        <f>IF(ISBLANK(A201),"",INDEX('Error Log'!$A:$J,MATCH('Scores per segment'!$A201,'Error Log'!$A:$A,0),MATCH('Scores per segment'!C$1,'Error Log'!$A$1:$J$1,0)))</f>
        <v/>
      </c>
      <c r="D201" s="70">
        <f>IF(H201=0,wdct(TRIM(C201)),0)</f>
        <v>0</v>
      </c>
      <c r="E201" s="70">
        <f>COUNTIFS('Error Log'!$A:$A,$A201,'Error Log'!$J:$J,E$1)</f>
        <v>0</v>
      </c>
      <c r="F201" s="70">
        <f>COUNTIFS('Error Log'!$A:$A,$A201,'Error Log'!$J:$J,F$1)</f>
        <v>0</v>
      </c>
      <c r="G201" s="70">
        <f>COUNTIFS('Error Log'!$A:$A,$A201,'Error Log'!$J:$J,G$1)</f>
        <v>0</v>
      </c>
      <c r="H201" s="70">
        <f>COUNTIFS('Error Log'!$A:$A,$A201,'Error Log'!$F:$F,"Source")</f>
        <v>0</v>
      </c>
      <c r="I201" s="70">
        <f>COUNTIFS('Error Log'!$A:$A,$A201,'Error Log'!$F:$F,"Target")</f>
        <v>0</v>
      </c>
      <c r="J201" s="71">
        <f t="shared" si="3"/>
        <v>0</v>
      </c>
    </row>
    <row r="202" spans="1:10">
      <c r="A202" s="101"/>
      <c r="B202" s="70" t="str">
        <f>IF(ISBLANK(A202),"",INDEX('Error Log'!$A:$J,MATCH('Scores per segment'!$A202,'Error Log'!$A:$A,0),MATCH('Scores per segment'!B$1,'Error Log'!$A$1:$J$1,0)))</f>
        <v/>
      </c>
      <c r="C202" s="70" t="str">
        <f>IF(ISBLANK(A202),"",INDEX('Error Log'!$A:$J,MATCH('Scores per segment'!$A202,'Error Log'!$A:$A,0),MATCH('Scores per segment'!C$1,'Error Log'!$A$1:$J$1,0)))</f>
        <v/>
      </c>
      <c r="D202" s="70">
        <f>IF(H202=0,wdct(TRIM(C202)),0)</f>
        <v>0</v>
      </c>
      <c r="E202" s="70">
        <f>COUNTIFS('Error Log'!$A:$A,$A202,'Error Log'!$J:$J,E$1)</f>
        <v>0</v>
      </c>
      <c r="F202" s="70">
        <f>COUNTIFS('Error Log'!$A:$A,$A202,'Error Log'!$J:$J,F$1)</f>
        <v>0</v>
      </c>
      <c r="G202" s="70">
        <f>COUNTIFS('Error Log'!$A:$A,$A202,'Error Log'!$J:$J,G$1)</f>
        <v>0</v>
      </c>
      <c r="H202" s="70">
        <f>COUNTIFS('Error Log'!$A:$A,$A202,'Error Log'!$F:$F,"Source")</f>
        <v>0</v>
      </c>
      <c r="I202" s="70">
        <f>COUNTIFS('Error Log'!$A:$A,$A202,'Error Log'!$F:$F,"Target")</f>
        <v>0</v>
      </c>
      <c r="J202" s="71">
        <f t="shared" si="3"/>
        <v>0</v>
      </c>
    </row>
    <row r="203" spans="1:10">
      <c r="A203" s="101"/>
      <c r="B203" s="70" t="str">
        <f>IF(ISBLANK(A203),"",INDEX('Error Log'!$A:$J,MATCH('Scores per segment'!$A203,'Error Log'!$A:$A,0),MATCH('Scores per segment'!B$1,'Error Log'!$A$1:$J$1,0)))</f>
        <v/>
      </c>
      <c r="C203" s="70" t="str">
        <f>IF(ISBLANK(A203),"",INDEX('Error Log'!$A:$J,MATCH('Scores per segment'!$A203,'Error Log'!$A:$A,0),MATCH('Scores per segment'!C$1,'Error Log'!$A$1:$J$1,0)))</f>
        <v/>
      </c>
      <c r="D203" s="70">
        <f>IF(H203=0,wdct(TRIM(C203)),0)</f>
        <v>0</v>
      </c>
      <c r="E203" s="70">
        <f>COUNTIFS('Error Log'!$A:$A,$A203,'Error Log'!$J:$J,E$1)</f>
        <v>0</v>
      </c>
      <c r="F203" s="70">
        <f>COUNTIFS('Error Log'!$A:$A,$A203,'Error Log'!$J:$J,F$1)</f>
        <v>0</v>
      </c>
      <c r="G203" s="70">
        <f>COUNTIFS('Error Log'!$A:$A,$A203,'Error Log'!$J:$J,G$1)</f>
        <v>0</v>
      </c>
      <c r="H203" s="70">
        <f>COUNTIFS('Error Log'!$A:$A,$A203,'Error Log'!$F:$F,"Source")</f>
        <v>0</v>
      </c>
      <c r="I203" s="70">
        <f>COUNTIFS('Error Log'!$A:$A,$A203,'Error Log'!$F:$F,"Target")</f>
        <v>0</v>
      </c>
      <c r="J203" s="71">
        <f t="shared" si="3"/>
        <v>0</v>
      </c>
    </row>
    <row r="204" spans="1:10">
      <c r="A204" s="101"/>
      <c r="B204" s="70" t="str">
        <f>IF(ISBLANK(A204),"",INDEX('Error Log'!$A:$J,MATCH('Scores per segment'!$A204,'Error Log'!$A:$A,0),MATCH('Scores per segment'!B$1,'Error Log'!$A$1:$J$1,0)))</f>
        <v/>
      </c>
      <c r="C204" s="70" t="str">
        <f>IF(ISBLANK(A204),"",INDEX('Error Log'!$A:$J,MATCH('Scores per segment'!$A204,'Error Log'!$A:$A,0),MATCH('Scores per segment'!C$1,'Error Log'!$A$1:$J$1,0)))</f>
        <v/>
      </c>
      <c r="D204" s="70">
        <f>IF(H204=0,wdct(TRIM(C204)),0)</f>
        <v>0</v>
      </c>
      <c r="E204" s="70">
        <f>COUNTIFS('Error Log'!$A:$A,$A204,'Error Log'!$J:$J,E$1)</f>
        <v>0</v>
      </c>
      <c r="F204" s="70">
        <f>COUNTIFS('Error Log'!$A:$A,$A204,'Error Log'!$J:$J,F$1)</f>
        <v>0</v>
      </c>
      <c r="G204" s="70">
        <f>COUNTIFS('Error Log'!$A:$A,$A204,'Error Log'!$J:$J,G$1)</f>
        <v>0</v>
      </c>
      <c r="H204" s="70">
        <f>COUNTIFS('Error Log'!$A:$A,$A204,'Error Log'!$F:$F,"Source")</f>
        <v>0</v>
      </c>
      <c r="I204" s="70">
        <f>COUNTIFS('Error Log'!$A:$A,$A204,'Error Log'!$F:$F,"Target")</f>
        <v>0</v>
      </c>
      <c r="J204" s="71">
        <f t="shared" si="3"/>
        <v>0</v>
      </c>
    </row>
    <row r="205" spans="1:10">
      <c r="A205" s="101"/>
      <c r="B205" s="70" t="str">
        <f>IF(ISBLANK(A205),"",INDEX('Error Log'!$A:$J,MATCH('Scores per segment'!$A205,'Error Log'!$A:$A,0),MATCH('Scores per segment'!B$1,'Error Log'!$A$1:$J$1,0)))</f>
        <v/>
      </c>
      <c r="C205" s="70" t="str">
        <f>IF(ISBLANK(A205),"",INDEX('Error Log'!$A:$J,MATCH('Scores per segment'!$A205,'Error Log'!$A:$A,0),MATCH('Scores per segment'!C$1,'Error Log'!$A$1:$J$1,0)))</f>
        <v/>
      </c>
      <c r="D205" s="70">
        <f>IF(H205=0,wdct(TRIM(C205)),0)</f>
        <v>0</v>
      </c>
      <c r="E205" s="70">
        <f>COUNTIFS('Error Log'!$A:$A,$A205,'Error Log'!$J:$J,E$1)</f>
        <v>0</v>
      </c>
      <c r="F205" s="70">
        <f>COUNTIFS('Error Log'!$A:$A,$A205,'Error Log'!$J:$J,F$1)</f>
        <v>0</v>
      </c>
      <c r="G205" s="70">
        <f>COUNTIFS('Error Log'!$A:$A,$A205,'Error Log'!$J:$J,G$1)</f>
        <v>0</v>
      </c>
      <c r="H205" s="70">
        <f>COUNTIFS('Error Log'!$A:$A,$A205,'Error Log'!$F:$F,"Source")</f>
        <v>0</v>
      </c>
      <c r="I205" s="70">
        <f>COUNTIFS('Error Log'!$A:$A,$A205,'Error Log'!$F:$F,"Target")</f>
        <v>0</v>
      </c>
      <c r="J205" s="71">
        <f t="shared" si="3"/>
        <v>0</v>
      </c>
    </row>
    <row r="206" spans="1:10">
      <c r="A206" s="101"/>
      <c r="B206" s="70" t="str">
        <f>IF(ISBLANK(A206),"",INDEX('Error Log'!$A:$J,MATCH('Scores per segment'!$A206,'Error Log'!$A:$A,0),MATCH('Scores per segment'!B$1,'Error Log'!$A$1:$J$1,0)))</f>
        <v/>
      </c>
      <c r="C206" s="70" t="str">
        <f>IF(ISBLANK(A206),"",INDEX('Error Log'!$A:$J,MATCH('Scores per segment'!$A206,'Error Log'!$A:$A,0),MATCH('Scores per segment'!C$1,'Error Log'!$A$1:$J$1,0)))</f>
        <v/>
      </c>
      <c r="D206" s="70">
        <f>IF(H206=0,wdct(TRIM(C206)),0)</f>
        <v>0</v>
      </c>
      <c r="E206" s="70">
        <f>COUNTIFS('Error Log'!$A:$A,$A206,'Error Log'!$J:$J,E$1)</f>
        <v>0</v>
      </c>
      <c r="F206" s="70">
        <f>COUNTIFS('Error Log'!$A:$A,$A206,'Error Log'!$J:$J,F$1)</f>
        <v>0</v>
      </c>
      <c r="G206" s="70">
        <f>COUNTIFS('Error Log'!$A:$A,$A206,'Error Log'!$J:$J,G$1)</f>
        <v>0</v>
      </c>
      <c r="H206" s="70">
        <f>COUNTIFS('Error Log'!$A:$A,$A206,'Error Log'!$F:$F,"Source")</f>
        <v>0</v>
      </c>
      <c r="I206" s="70">
        <f>COUNTIFS('Error Log'!$A:$A,$A206,'Error Log'!$F:$F,"Target")</f>
        <v>0</v>
      </c>
      <c r="J206" s="71">
        <f t="shared" si="3"/>
        <v>0</v>
      </c>
    </row>
    <row r="207" spans="1:10">
      <c r="A207" s="101"/>
      <c r="B207" s="70" t="str">
        <f>IF(ISBLANK(A207),"",INDEX('Error Log'!$A:$J,MATCH('Scores per segment'!$A207,'Error Log'!$A:$A,0),MATCH('Scores per segment'!B$1,'Error Log'!$A$1:$J$1,0)))</f>
        <v/>
      </c>
      <c r="C207" s="70" t="str">
        <f>IF(ISBLANK(A207),"",INDEX('Error Log'!$A:$J,MATCH('Scores per segment'!$A207,'Error Log'!$A:$A,0),MATCH('Scores per segment'!C$1,'Error Log'!$A$1:$J$1,0)))</f>
        <v/>
      </c>
      <c r="D207" s="70">
        <f>IF(H207=0,wdct(TRIM(C207)),0)</f>
        <v>0</v>
      </c>
      <c r="E207" s="70">
        <f>COUNTIFS('Error Log'!$A:$A,$A207,'Error Log'!$J:$J,E$1)</f>
        <v>0</v>
      </c>
      <c r="F207" s="70">
        <f>COUNTIFS('Error Log'!$A:$A,$A207,'Error Log'!$J:$J,F$1)</f>
        <v>0</v>
      </c>
      <c r="G207" s="70">
        <f>COUNTIFS('Error Log'!$A:$A,$A207,'Error Log'!$J:$J,G$1)</f>
        <v>0</v>
      </c>
      <c r="H207" s="70">
        <f>COUNTIFS('Error Log'!$A:$A,$A207,'Error Log'!$F:$F,"Source")</f>
        <v>0</v>
      </c>
      <c r="I207" s="70">
        <f>COUNTIFS('Error Log'!$A:$A,$A207,'Error Log'!$F:$F,"Target")</f>
        <v>0</v>
      </c>
      <c r="J207" s="71">
        <f t="shared" si="3"/>
        <v>0</v>
      </c>
    </row>
    <row r="208" spans="1:10">
      <c r="A208" s="101"/>
      <c r="B208" s="70" t="str">
        <f>IF(ISBLANK(A208),"",INDEX('Error Log'!$A:$J,MATCH('Scores per segment'!$A208,'Error Log'!$A:$A,0),MATCH('Scores per segment'!B$1,'Error Log'!$A$1:$J$1,0)))</f>
        <v/>
      </c>
      <c r="C208" s="70" t="str">
        <f>IF(ISBLANK(A208),"",INDEX('Error Log'!$A:$J,MATCH('Scores per segment'!$A208,'Error Log'!$A:$A,0),MATCH('Scores per segment'!C$1,'Error Log'!$A$1:$J$1,0)))</f>
        <v/>
      </c>
      <c r="D208" s="70">
        <f>IF(H208=0,wdct(TRIM(C208)),0)</f>
        <v>0</v>
      </c>
      <c r="E208" s="70">
        <f>COUNTIFS('Error Log'!$A:$A,$A208,'Error Log'!$J:$J,E$1)</f>
        <v>0</v>
      </c>
      <c r="F208" s="70">
        <f>COUNTIFS('Error Log'!$A:$A,$A208,'Error Log'!$J:$J,F$1)</f>
        <v>0</v>
      </c>
      <c r="G208" s="70">
        <f>COUNTIFS('Error Log'!$A:$A,$A208,'Error Log'!$J:$J,G$1)</f>
        <v>0</v>
      </c>
      <c r="H208" s="70">
        <f>COUNTIFS('Error Log'!$A:$A,$A208,'Error Log'!$F:$F,"Source")</f>
        <v>0</v>
      </c>
      <c r="I208" s="70">
        <f>COUNTIFS('Error Log'!$A:$A,$A208,'Error Log'!$F:$F,"Target")</f>
        <v>0</v>
      </c>
      <c r="J208" s="71">
        <f t="shared" si="3"/>
        <v>0</v>
      </c>
    </row>
    <row r="209" spans="1:10">
      <c r="A209" s="101"/>
      <c r="B209" s="70" t="str">
        <f>IF(ISBLANK(A209),"",INDEX('Error Log'!$A:$J,MATCH('Scores per segment'!$A209,'Error Log'!$A:$A,0),MATCH('Scores per segment'!B$1,'Error Log'!$A$1:$J$1,0)))</f>
        <v/>
      </c>
      <c r="C209" s="70" t="str">
        <f>IF(ISBLANK(A209),"",INDEX('Error Log'!$A:$J,MATCH('Scores per segment'!$A209,'Error Log'!$A:$A,0),MATCH('Scores per segment'!C$1,'Error Log'!$A$1:$J$1,0)))</f>
        <v/>
      </c>
      <c r="D209" s="70">
        <f>IF(H209=0,wdct(TRIM(C209)),0)</f>
        <v>0</v>
      </c>
      <c r="E209" s="70">
        <f>COUNTIFS('Error Log'!$A:$A,$A209,'Error Log'!$J:$J,E$1)</f>
        <v>0</v>
      </c>
      <c r="F209" s="70">
        <f>COUNTIFS('Error Log'!$A:$A,$A209,'Error Log'!$J:$J,F$1)</f>
        <v>0</v>
      </c>
      <c r="G209" s="70">
        <f>COUNTIFS('Error Log'!$A:$A,$A209,'Error Log'!$J:$J,G$1)</f>
        <v>0</v>
      </c>
      <c r="H209" s="70">
        <f>COUNTIFS('Error Log'!$A:$A,$A209,'Error Log'!$F:$F,"Source")</f>
        <v>0</v>
      </c>
      <c r="I209" s="70">
        <f>COUNTIFS('Error Log'!$A:$A,$A209,'Error Log'!$F:$F,"Target")</f>
        <v>0</v>
      </c>
      <c r="J209" s="71">
        <f t="shared" si="3"/>
        <v>0</v>
      </c>
    </row>
    <row r="210" spans="1:10">
      <c r="A210" s="101"/>
      <c r="B210" s="70" t="str">
        <f>IF(ISBLANK(A210),"",INDEX('Error Log'!$A:$J,MATCH('Scores per segment'!$A210,'Error Log'!$A:$A,0),MATCH('Scores per segment'!B$1,'Error Log'!$A$1:$J$1,0)))</f>
        <v/>
      </c>
      <c r="C210" s="70" t="str">
        <f>IF(ISBLANK(A210),"",INDEX('Error Log'!$A:$J,MATCH('Scores per segment'!$A210,'Error Log'!$A:$A,0),MATCH('Scores per segment'!C$1,'Error Log'!$A$1:$J$1,0)))</f>
        <v/>
      </c>
      <c r="D210" s="70">
        <f>IF(H210=0,wdct(TRIM(C210)),0)</f>
        <v>0</v>
      </c>
      <c r="E210" s="70">
        <f>COUNTIFS('Error Log'!$A:$A,$A210,'Error Log'!$J:$J,E$1)</f>
        <v>0</v>
      </c>
      <c r="F210" s="70">
        <f>COUNTIFS('Error Log'!$A:$A,$A210,'Error Log'!$J:$J,F$1)</f>
        <v>0</v>
      </c>
      <c r="G210" s="70">
        <f>COUNTIFS('Error Log'!$A:$A,$A210,'Error Log'!$J:$J,G$1)</f>
        <v>0</v>
      </c>
      <c r="H210" s="70">
        <f>COUNTIFS('Error Log'!$A:$A,$A210,'Error Log'!$F:$F,"Source")</f>
        <v>0</v>
      </c>
      <c r="I210" s="70">
        <f>COUNTIFS('Error Log'!$A:$A,$A210,'Error Log'!$F:$F,"Target")</f>
        <v>0</v>
      </c>
      <c r="J210" s="71">
        <f t="shared" si="3"/>
        <v>0</v>
      </c>
    </row>
    <row r="211" spans="1:10">
      <c r="A211" s="101"/>
      <c r="B211" s="70" t="str">
        <f>IF(ISBLANK(A211),"",INDEX('Error Log'!$A:$J,MATCH('Scores per segment'!$A211,'Error Log'!$A:$A,0),MATCH('Scores per segment'!B$1,'Error Log'!$A$1:$J$1,0)))</f>
        <v/>
      </c>
      <c r="C211" s="70" t="str">
        <f>IF(ISBLANK(A211),"",INDEX('Error Log'!$A:$J,MATCH('Scores per segment'!$A211,'Error Log'!$A:$A,0),MATCH('Scores per segment'!C$1,'Error Log'!$A$1:$J$1,0)))</f>
        <v/>
      </c>
      <c r="D211" s="70">
        <f>IF(H211=0,wdct(TRIM(C211)),0)</f>
        <v>0</v>
      </c>
      <c r="E211" s="70">
        <f>COUNTIFS('Error Log'!$A:$A,$A211,'Error Log'!$J:$J,E$1)</f>
        <v>0</v>
      </c>
      <c r="F211" s="70">
        <f>COUNTIFS('Error Log'!$A:$A,$A211,'Error Log'!$J:$J,F$1)</f>
        <v>0</v>
      </c>
      <c r="G211" s="70">
        <f>COUNTIFS('Error Log'!$A:$A,$A211,'Error Log'!$J:$J,G$1)</f>
        <v>0</v>
      </c>
      <c r="H211" s="70">
        <f>COUNTIFS('Error Log'!$A:$A,$A211,'Error Log'!$F:$F,"Source")</f>
        <v>0</v>
      </c>
      <c r="I211" s="70">
        <f>COUNTIFS('Error Log'!$A:$A,$A211,'Error Log'!$F:$F,"Target")</f>
        <v>0</v>
      </c>
      <c r="J211" s="71">
        <f t="shared" si="3"/>
        <v>0</v>
      </c>
    </row>
    <row r="212" spans="1:10">
      <c r="A212" s="101"/>
      <c r="B212" s="70" t="str">
        <f>IF(ISBLANK(A212),"",INDEX('Error Log'!$A:$J,MATCH('Scores per segment'!$A212,'Error Log'!$A:$A,0),MATCH('Scores per segment'!B$1,'Error Log'!$A$1:$J$1,0)))</f>
        <v/>
      </c>
      <c r="C212" s="70" t="str">
        <f>IF(ISBLANK(A212),"",INDEX('Error Log'!$A:$J,MATCH('Scores per segment'!$A212,'Error Log'!$A:$A,0),MATCH('Scores per segment'!C$1,'Error Log'!$A$1:$J$1,0)))</f>
        <v/>
      </c>
      <c r="D212" s="70">
        <f>IF(H212=0,wdct(TRIM(C212)),0)</f>
        <v>0</v>
      </c>
      <c r="E212" s="70">
        <f>COUNTIFS('Error Log'!$A:$A,$A212,'Error Log'!$J:$J,E$1)</f>
        <v>0</v>
      </c>
      <c r="F212" s="70">
        <f>COUNTIFS('Error Log'!$A:$A,$A212,'Error Log'!$J:$J,F$1)</f>
        <v>0</v>
      </c>
      <c r="G212" s="70">
        <f>COUNTIFS('Error Log'!$A:$A,$A212,'Error Log'!$J:$J,G$1)</f>
        <v>0</v>
      </c>
      <c r="H212" s="70">
        <f>COUNTIFS('Error Log'!$A:$A,$A212,'Error Log'!$F:$F,"Source")</f>
        <v>0</v>
      </c>
      <c r="I212" s="70">
        <f>COUNTIFS('Error Log'!$A:$A,$A212,'Error Log'!$F:$F,"Target")</f>
        <v>0</v>
      </c>
      <c r="J212" s="71">
        <f t="shared" si="3"/>
        <v>0</v>
      </c>
    </row>
    <row r="213" spans="1:10">
      <c r="A213" s="101"/>
      <c r="B213" s="70" t="str">
        <f>IF(ISBLANK(A213),"",INDEX('Error Log'!$A:$J,MATCH('Scores per segment'!$A213,'Error Log'!$A:$A,0),MATCH('Scores per segment'!B$1,'Error Log'!$A$1:$J$1,0)))</f>
        <v/>
      </c>
      <c r="C213" s="70" t="str">
        <f>IF(ISBLANK(A213),"",INDEX('Error Log'!$A:$J,MATCH('Scores per segment'!$A213,'Error Log'!$A:$A,0),MATCH('Scores per segment'!C$1,'Error Log'!$A$1:$J$1,0)))</f>
        <v/>
      </c>
      <c r="D213" s="70">
        <f>IF(H213=0,wdct(TRIM(C213)),0)</f>
        <v>0</v>
      </c>
      <c r="E213" s="70">
        <f>COUNTIFS('Error Log'!$A:$A,$A213,'Error Log'!$J:$J,E$1)</f>
        <v>0</v>
      </c>
      <c r="F213" s="70">
        <f>COUNTIFS('Error Log'!$A:$A,$A213,'Error Log'!$J:$J,F$1)</f>
        <v>0</v>
      </c>
      <c r="G213" s="70">
        <f>COUNTIFS('Error Log'!$A:$A,$A213,'Error Log'!$J:$J,G$1)</f>
        <v>0</v>
      </c>
      <c r="H213" s="70">
        <f>COUNTIFS('Error Log'!$A:$A,$A213,'Error Log'!$F:$F,"Source")</f>
        <v>0</v>
      </c>
      <c r="I213" s="70">
        <f>COUNTIFS('Error Log'!$A:$A,$A213,'Error Log'!$F:$F,"Target")</f>
        <v>0</v>
      </c>
      <c r="J213" s="71">
        <f t="shared" si="3"/>
        <v>0</v>
      </c>
    </row>
    <row r="214" spans="1:10">
      <c r="A214" s="101"/>
      <c r="B214" s="70" t="str">
        <f>IF(ISBLANK(A214),"",INDEX('Error Log'!$A:$J,MATCH('Scores per segment'!$A214,'Error Log'!$A:$A,0),MATCH('Scores per segment'!B$1,'Error Log'!$A$1:$J$1,0)))</f>
        <v/>
      </c>
      <c r="C214" s="70" t="str">
        <f>IF(ISBLANK(A214),"",INDEX('Error Log'!$A:$J,MATCH('Scores per segment'!$A214,'Error Log'!$A:$A,0),MATCH('Scores per segment'!C$1,'Error Log'!$A$1:$J$1,0)))</f>
        <v/>
      </c>
      <c r="D214" s="70">
        <f>IF(H214=0,wdct(TRIM(C214)),0)</f>
        <v>0</v>
      </c>
      <c r="E214" s="70">
        <f>COUNTIFS('Error Log'!$A:$A,$A214,'Error Log'!$J:$J,E$1)</f>
        <v>0</v>
      </c>
      <c r="F214" s="70">
        <f>COUNTIFS('Error Log'!$A:$A,$A214,'Error Log'!$J:$J,F$1)</f>
        <v>0</v>
      </c>
      <c r="G214" s="70">
        <f>COUNTIFS('Error Log'!$A:$A,$A214,'Error Log'!$J:$J,G$1)</f>
        <v>0</v>
      </c>
      <c r="H214" s="70">
        <f>COUNTIFS('Error Log'!$A:$A,$A214,'Error Log'!$F:$F,"Source")</f>
        <v>0</v>
      </c>
      <c r="I214" s="70">
        <f>COUNTIFS('Error Log'!$A:$A,$A214,'Error Log'!$F:$F,"Target")</f>
        <v>0</v>
      </c>
      <c r="J214" s="71">
        <f t="shared" si="3"/>
        <v>0</v>
      </c>
    </row>
    <row r="215" spans="1:10">
      <c r="A215" s="101"/>
      <c r="B215" s="70" t="str">
        <f>IF(ISBLANK(A215),"",INDEX('Error Log'!$A:$J,MATCH('Scores per segment'!$A215,'Error Log'!$A:$A,0),MATCH('Scores per segment'!B$1,'Error Log'!$A$1:$J$1,0)))</f>
        <v/>
      </c>
      <c r="C215" s="70" t="str">
        <f>IF(ISBLANK(A215),"",INDEX('Error Log'!$A:$J,MATCH('Scores per segment'!$A215,'Error Log'!$A:$A,0),MATCH('Scores per segment'!C$1,'Error Log'!$A$1:$J$1,0)))</f>
        <v/>
      </c>
      <c r="D215" s="70">
        <f>IF(H215=0,wdct(TRIM(C215)),0)</f>
        <v>0</v>
      </c>
      <c r="E215" s="70">
        <f>COUNTIFS('Error Log'!$A:$A,$A215,'Error Log'!$J:$J,E$1)</f>
        <v>0</v>
      </c>
      <c r="F215" s="70">
        <f>COUNTIFS('Error Log'!$A:$A,$A215,'Error Log'!$J:$J,F$1)</f>
        <v>0</v>
      </c>
      <c r="G215" s="70">
        <f>COUNTIFS('Error Log'!$A:$A,$A215,'Error Log'!$J:$J,G$1)</f>
        <v>0</v>
      </c>
      <c r="H215" s="70">
        <f>COUNTIFS('Error Log'!$A:$A,$A215,'Error Log'!$F:$F,"Source")</f>
        <v>0</v>
      </c>
      <c r="I215" s="70">
        <f>COUNTIFS('Error Log'!$A:$A,$A215,'Error Log'!$F:$F,"Target")</f>
        <v>0</v>
      </c>
      <c r="J215" s="71">
        <f t="shared" si="3"/>
        <v>0</v>
      </c>
    </row>
    <row r="216" spans="1:10">
      <c r="A216" s="101"/>
      <c r="B216" s="70" t="str">
        <f>IF(ISBLANK(A216),"",INDEX('Error Log'!$A:$J,MATCH('Scores per segment'!$A216,'Error Log'!$A:$A,0),MATCH('Scores per segment'!B$1,'Error Log'!$A$1:$J$1,0)))</f>
        <v/>
      </c>
      <c r="C216" s="70" t="str">
        <f>IF(ISBLANK(A216),"",INDEX('Error Log'!$A:$J,MATCH('Scores per segment'!$A216,'Error Log'!$A:$A,0),MATCH('Scores per segment'!C$1,'Error Log'!$A$1:$J$1,0)))</f>
        <v/>
      </c>
      <c r="D216" s="70">
        <f>IF(H216=0,wdct(TRIM(C216)),0)</f>
        <v>0</v>
      </c>
      <c r="E216" s="70">
        <f>COUNTIFS('Error Log'!$A:$A,$A216,'Error Log'!$J:$J,E$1)</f>
        <v>0</v>
      </c>
      <c r="F216" s="70">
        <f>COUNTIFS('Error Log'!$A:$A,$A216,'Error Log'!$J:$J,F$1)</f>
        <v>0</v>
      </c>
      <c r="G216" s="70">
        <f>COUNTIFS('Error Log'!$A:$A,$A216,'Error Log'!$J:$J,G$1)</f>
        <v>0</v>
      </c>
      <c r="H216" s="70">
        <f>COUNTIFS('Error Log'!$A:$A,$A216,'Error Log'!$F:$F,"Source")</f>
        <v>0</v>
      </c>
      <c r="I216" s="70">
        <f>COUNTIFS('Error Log'!$A:$A,$A216,'Error Log'!$F:$F,"Target")</f>
        <v>0</v>
      </c>
      <c r="J216" s="71">
        <f t="shared" si="3"/>
        <v>0</v>
      </c>
    </row>
    <row r="217" spans="1:10">
      <c r="A217" s="101"/>
      <c r="B217" s="70" t="str">
        <f>IF(ISBLANK(A217),"",INDEX('Error Log'!$A:$J,MATCH('Scores per segment'!$A217,'Error Log'!$A:$A,0),MATCH('Scores per segment'!B$1,'Error Log'!$A$1:$J$1,0)))</f>
        <v/>
      </c>
      <c r="C217" s="70" t="str">
        <f>IF(ISBLANK(A217),"",INDEX('Error Log'!$A:$J,MATCH('Scores per segment'!$A217,'Error Log'!$A:$A,0),MATCH('Scores per segment'!C$1,'Error Log'!$A$1:$J$1,0)))</f>
        <v/>
      </c>
      <c r="D217" s="70">
        <f>IF(H217=0,wdct(TRIM(C217)),0)</f>
        <v>0</v>
      </c>
      <c r="E217" s="70">
        <f>COUNTIFS('Error Log'!$A:$A,$A217,'Error Log'!$J:$J,E$1)</f>
        <v>0</v>
      </c>
      <c r="F217" s="70">
        <f>COUNTIFS('Error Log'!$A:$A,$A217,'Error Log'!$J:$J,F$1)</f>
        <v>0</v>
      </c>
      <c r="G217" s="70">
        <f>COUNTIFS('Error Log'!$A:$A,$A217,'Error Log'!$J:$J,G$1)</f>
        <v>0</v>
      </c>
      <c r="H217" s="70">
        <f>COUNTIFS('Error Log'!$A:$A,$A217,'Error Log'!$F:$F,"Source")</f>
        <v>0</v>
      </c>
      <c r="I217" s="70">
        <f>COUNTIFS('Error Log'!$A:$A,$A217,'Error Log'!$F:$F,"Target")</f>
        <v>0</v>
      </c>
      <c r="J217" s="71">
        <f t="shared" si="3"/>
        <v>0</v>
      </c>
    </row>
    <row r="218" spans="1:10">
      <c r="A218" s="101"/>
      <c r="B218" s="70" t="str">
        <f>IF(ISBLANK(A218),"",INDEX('Error Log'!$A:$J,MATCH('Scores per segment'!$A218,'Error Log'!$A:$A,0),MATCH('Scores per segment'!B$1,'Error Log'!$A$1:$J$1,0)))</f>
        <v/>
      </c>
      <c r="C218" s="70" t="str">
        <f>IF(ISBLANK(A218),"",INDEX('Error Log'!$A:$J,MATCH('Scores per segment'!$A218,'Error Log'!$A:$A,0),MATCH('Scores per segment'!C$1,'Error Log'!$A$1:$J$1,0)))</f>
        <v/>
      </c>
      <c r="D218" s="70">
        <f>IF(H218=0,wdct(TRIM(C218)),0)</f>
        <v>0</v>
      </c>
      <c r="E218" s="70">
        <f>COUNTIFS('Error Log'!$A:$A,$A218,'Error Log'!$J:$J,E$1)</f>
        <v>0</v>
      </c>
      <c r="F218" s="70">
        <f>COUNTIFS('Error Log'!$A:$A,$A218,'Error Log'!$J:$J,F$1)</f>
        <v>0</v>
      </c>
      <c r="G218" s="70">
        <f>COUNTIFS('Error Log'!$A:$A,$A218,'Error Log'!$J:$J,G$1)</f>
        <v>0</v>
      </c>
      <c r="H218" s="70">
        <f>COUNTIFS('Error Log'!$A:$A,$A218,'Error Log'!$F:$F,"Source")</f>
        <v>0</v>
      </c>
      <c r="I218" s="70">
        <f>COUNTIFS('Error Log'!$A:$A,$A218,'Error Log'!$F:$F,"Target")</f>
        <v>0</v>
      </c>
      <c r="J218" s="71">
        <f t="shared" si="3"/>
        <v>0</v>
      </c>
    </row>
    <row r="219" spans="1:10">
      <c r="A219" s="101"/>
      <c r="B219" s="70" t="str">
        <f>IF(ISBLANK(A219),"",INDEX('Error Log'!$A:$J,MATCH('Scores per segment'!$A219,'Error Log'!$A:$A,0),MATCH('Scores per segment'!B$1,'Error Log'!$A$1:$J$1,0)))</f>
        <v/>
      </c>
      <c r="C219" s="70" t="str">
        <f>IF(ISBLANK(A219),"",INDEX('Error Log'!$A:$J,MATCH('Scores per segment'!$A219,'Error Log'!$A:$A,0),MATCH('Scores per segment'!C$1,'Error Log'!$A$1:$J$1,0)))</f>
        <v/>
      </c>
      <c r="D219" s="70">
        <f>IF(H219=0,wdct(TRIM(C219)),0)</f>
        <v>0</v>
      </c>
      <c r="E219" s="70">
        <f>COUNTIFS('Error Log'!$A:$A,$A219,'Error Log'!$J:$J,E$1)</f>
        <v>0</v>
      </c>
      <c r="F219" s="70">
        <f>COUNTIFS('Error Log'!$A:$A,$A219,'Error Log'!$J:$J,F$1)</f>
        <v>0</v>
      </c>
      <c r="G219" s="70">
        <f>COUNTIFS('Error Log'!$A:$A,$A219,'Error Log'!$J:$J,G$1)</f>
        <v>0</v>
      </c>
      <c r="H219" s="70">
        <f>COUNTIFS('Error Log'!$A:$A,$A219,'Error Log'!$F:$F,"Source")</f>
        <v>0</v>
      </c>
      <c r="I219" s="70">
        <f>COUNTIFS('Error Log'!$A:$A,$A219,'Error Log'!$F:$F,"Target")</f>
        <v>0</v>
      </c>
      <c r="J219" s="71">
        <f t="shared" si="3"/>
        <v>0</v>
      </c>
    </row>
    <row r="220" spans="1:10">
      <c r="A220" s="101"/>
      <c r="B220" s="70" t="str">
        <f>IF(ISBLANK(A220),"",INDEX('Error Log'!$A:$J,MATCH('Scores per segment'!$A220,'Error Log'!$A:$A,0),MATCH('Scores per segment'!B$1,'Error Log'!$A$1:$J$1,0)))</f>
        <v/>
      </c>
      <c r="C220" s="70" t="str">
        <f>IF(ISBLANK(A220),"",INDEX('Error Log'!$A:$J,MATCH('Scores per segment'!$A220,'Error Log'!$A:$A,0),MATCH('Scores per segment'!C$1,'Error Log'!$A$1:$J$1,0)))</f>
        <v/>
      </c>
      <c r="D220" s="70">
        <f>IF(H220=0,wdct(TRIM(C220)),0)</f>
        <v>0</v>
      </c>
      <c r="E220" s="70">
        <f>COUNTIFS('Error Log'!$A:$A,$A220,'Error Log'!$J:$J,E$1)</f>
        <v>0</v>
      </c>
      <c r="F220" s="70">
        <f>COUNTIFS('Error Log'!$A:$A,$A220,'Error Log'!$J:$J,F$1)</f>
        <v>0</v>
      </c>
      <c r="G220" s="70">
        <f>COUNTIFS('Error Log'!$A:$A,$A220,'Error Log'!$J:$J,G$1)</f>
        <v>0</v>
      </c>
      <c r="H220" s="70">
        <f>COUNTIFS('Error Log'!$A:$A,$A220,'Error Log'!$F:$F,"Source")</f>
        <v>0</v>
      </c>
      <c r="I220" s="70">
        <f>COUNTIFS('Error Log'!$A:$A,$A220,'Error Log'!$F:$F,"Target")</f>
        <v>0</v>
      </c>
      <c r="J220" s="71">
        <f t="shared" si="3"/>
        <v>0</v>
      </c>
    </row>
    <row r="221" spans="1:10">
      <c r="A221" s="101"/>
      <c r="B221" s="70" t="str">
        <f>IF(ISBLANK(A221),"",INDEX('Error Log'!$A:$J,MATCH('Scores per segment'!$A221,'Error Log'!$A:$A,0),MATCH('Scores per segment'!B$1,'Error Log'!$A$1:$J$1,0)))</f>
        <v/>
      </c>
      <c r="C221" s="70" t="str">
        <f>IF(ISBLANK(A221),"",INDEX('Error Log'!$A:$J,MATCH('Scores per segment'!$A221,'Error Log'!$A:$A,0),MATCH('Scores per segment'!C$1,'Error Log'!$A$1:$J$1,0)))</f>
        <v/>
      </c>
      <c r="D221" s="70">
        <f>IF(H221=0,wdct(TRIM(C221)),0)</f>
        <v>0</v>
      </c>
      <c r="E221" s="70">
        <f>COUNTIFS('Error Log'!$A:$A,$A221,'Error Log'!$J:$J,E$1)</f>
        <v>0</v>
      </c>
      <c r="F221" s="70">
        <f>COUNTIFS('Error Log'!$A:$A,$A221,'Error Log'!$J:$J,F$1)</f>
        <v>0</v>
      </c>
      <c r="G221" s="70">
        <f>COUNTIFS('Error Log'!$A:$A,$A221,'Error Log'!$J:$J,G$1)</f>
        <v>0</v>
      </c>
      <c r="H221" s="70">
        <f>COUNTIFS('Error Log'!$A:$A,$A221,'Error Log'!$F:$F,"Source")</f>
        <v>0</v>
      </c>
      <c r="I221" s="70">
        <f>COUNTIFS('Error Log'!$A:$A,$A221,'Error Log'!$F:$F,"Target")</f>
        <v>0</v>
      </c>
      <c r="J221" s="71">
        <f t="shared" si="3"/>
        <v>0</v>
      </c>
    </row>
    <row r="222" spans="1:10">
      <c r="A222" s="101"/>
      <c r="B222" s="70" t="str">
        <f>IF(ISBLANK(A222),"",INDEX('Error Log'!$A:$J,MATCH('Scores per segment'!$A222,'Error Log'!$A:$A,0),MATCH('Scores per segment'!B$1,'Error Log'!$A$1:$J$1,0)))</f>
        <v/>
      </c>
      <c r="C222" s="70" t="str">
        <f>IF(ISBLANK(A222),"",INDEX('Error Log'!$A:$J,MATCH('Scores per segment'!$A222,'Error Log'!$A:$A,0),MATCH('Scores per segment'!C$1,'Error Log'!$A$1:$J$1,0)))</f>
        <v/>
      </c>
      <c r="D222" s="70">
        <f>IF(H222=0,wdct(TRIM(C222)),0)</f>
        <v>0</v>
      </c>
      <c r="E222" s="70">
        <f>COUNTIFS('Error Log'!$A:$A,$A222,'Error Log'!$J:$J,E$1)</f>
        <v>0</v>
      </c>
      <c r="F222" s="70">
        <f>COUNTIFS('Error Log'!$A:$A,$A222,'Error Log'!$J:$J,F$1)</f>
        <v>0</v>
      </c>
      <c r="G222" s="70">
        <f>COUNTIFS('Error Log'!$A:$A,$A222,'Error Log'!$J:$J,G$1)</f>
        <v>0</v>
      </c>
      <c r="H222" s="70">
        <f>COUNTIFS('Error Log'!$A:$A,$A222,'Error Log'!$F:$F,"Source")</f>
        <v>0</v>
      </c>
      <c r="I222" s="70">
        <f>COUNTIFS('Error Log'!$A:$A,$A222,'Error Log'!$F:$F,"Target")</f>
        <v>0</v>
      </c>
      <c r="J222" s="71">
        <f t="shared" si="3"/>
        <v>0</v>
      </c>
    </row>
    <row r="223" spans="1:10">
      <c r="A223" s="101"/>
      <c r="B223" s="70" t="str">
        <f>IF(ISBLANK(A223),"",INDEX('Error Log'!$A:$J,MATCH('Scores per segment'!$A223,'Error Log'!$A:$A,0),MATCH('Scores per segment'!B$1,'Error Log'!$A$1:$J$1,0)))</f>
        <v/>
      </c>
      <c r="C223" s="70" t="str">
        <f>IF(ISBLANK(A223),"",INDEX('Error Log'!$A:$J,MATCH('Scores per segment'!$A223,'Error Log'!$A:$A,0),MATCH('Scores per segment'!C$1,'Error Log'!$A$1:$J$1,0)))</f>
        <v/>
      </c>
      <c r="D223" s="70">
        <f>IF(H223=0,wdct(TRIM(C223)),0)</f>
        <v>0</v>
      </c>
      <c r="E223" s="70">
        <f>COUNTIFS('Error Log'!$A:$A,$A223,'Error Log'!$J:$J,E$1)</f>
        <v>0</v>
      </c>
      <c r="F223" s="70">
        <f>COUNTIFS('Error Log'!$A:$A,$A223,'Error Log'!$J:$J,F$1)</f>
        <v>0</v>
      </c>
      <c r="G223" s="70">
        <f>COUNTIFS('Error Log'!$A:$A,$A223,'Error Log'!$J:$J,G$1)</f>
        <v>0</v>
      </c>
      <c r="H223" s="70">
        <f>COUNTIFS('Error Log'!$A:$A,$A223,'Error Log'!$F:$F,"Source")</f>
        <v>0</v>
      </c>
      <c r="I223" s="70">
        <f>COUNTIFS('Error Log'!$A:$A,$A223,'Error Log'!$F:$F,"Target")</f>
        <v>0</v>
      </c>
      <c r="J223" s="71">
        <f t="shared" si="3"/>
        <v>0</v>
      </c>
    </row>
    <row r="224" spans="1:10">
      <c r="A224" s="101"/>
      <c r="B224" s="70" t="str">
        <f>IF(ISBLANK(A224),"",INDEX('Error Log'!$A:$J,MATCH('Scores per segment'!$A224,'Error Log'!$A:$A,0),MATCH('Scores per segment'!B$1,'Error Log'!$A$1:$J$1,0)))</f>
        <v/>
      </c>
      <c r="C224" s="70" t="str">
        <f>IF(ISBLANK(A224),"",INDEX('Error Log'!$A:$J,MATCH('Scores per segment'!$A224,'Error Log'!$A:$A,0),MATCH('Scores per segment'!C$1,'Error Log'!$A$1:$J$1,0)))</f>
        <v/>
      </c>
      <c r="D224" s="70">
        <f>IF(H224=0,wdct(TRIM(C224)),0)</f>
        <v>0</v>
      </c>
      <c r="E224" s="70">
        <f>COUNTIFS('Error Log'!$A:$A,$A224,'Error Log'!$J:$J,E$1)</f>
        <v>0</v>
      </c>
      <c r="F224" s="70">
        <f>COUNTIFS('Error Log'!$A:$A,$A224,'Error Log'!$J:$J,F$1)</f>
        <v>0</v>
      </c>
      <c r="G224" s="70">
        <f>COUNTIFS('Error Log'!$A:$A,$A224,'Error Log'!$J:$J,G$1)</f>
        <v>0</v>
      </c>
      <c r="H224" s="70">
        <f>COUNTIFS('Error Log'!$A:$A,$A224,'Error Log'!$F:$F,"Source")</f>
        <v>0</v>
      </c>
      <c r="I224" s="70">
        <f>COUNTIFS('Error Log'!$A:$A,$A224,'Error Log'!$F:$F,"Target")</f>
        <v>0</v>
      </c>
      <c r="J224" s="71">
        <f t="shared" si="3"/>
        <v>0</v>
      </c>
    </row>
    <row r="225" spans="1:10">
      <c r="A225" s="101"/>
      <c r="B225" s="70" t="str">
        <f>IF(ISBLANK(A225),"",INDEX('Error Log'!$A:$J,MATCH('Scores per segment'!$A225,'Error Log'!$A:$A,0),MATCH('Scores per segment'!B$1,'Error Log'!$A$1:$J$1,0)))</f>
        <v/>
      </c>
      <c r="C225" s="70" t="str">
        <f>IF(ISBLANK(A225),"",INDEX('Error Log'!$A:$J,MATCH('Scores per segment'!$A225,'Error Log'!$A:$A,0),MATCH('Scores per segment'!C$1,'Error Log'!$A$1:$J$1,0)))</f>
        <v/>
      </c>
      <c r="D225" s="70">
        <f>IF(H225=0,wdct(TRIM(C225)),0)</f>
        <v>0</v>
      </c>
      <c r="E225" s="70">
        <f>COUNTIFS('Error Log'!$A:$A,$A225,'Error Log'!$J:$J,E$1)</f>
        <v>0</v>
      </c>
      <c r="F225" s="70">
        <f>COUNTIFS('Error Log'!$A:$A,$A225,'Error Log'!$J:$J,F$1)</f>
        <v>0</v>
      </c>
      <c r="G225" s="70">
        <f>COUNTIFS('Error Log'!$A:$A,$A225,'Error Log'!$J:$J,G$1)</f>
        <v>0</v>
      </c>
      <c r="H225" s="70">
        <f>COUNTIFS('Error Log'!$A:$A,$A225,'Error Log'!$F:$F,"Source")</f>
        <v>0</v>
      </c>
      <c r="I225" s="70">
        <f>COUNTIFS('Error Log'!$A:$A,$A225,'Error Log'!$F:$F,"Target")</f>
        <v>0</v>
      </c>
      <c r="J225" s="71">
        <f t="shared" si="3"/>
        <v>0</v>
      </c>
    </row>
    <row r="226" spans="1:10">
      <c r="A226" s="101"/>
      <c r="B226" s="70" t="str">
        <f>IF(ISBLANK(A226),"",INDEX('Error Log'!$A:$J,MATCH('Scores per segment'!$A226,'Error Log'!$A:$A,0),MATCH('Scores per segment'!B$1,'Error Log'!$A$1:$J$1,0)))</f>
        <v/>
      </c>
      <c r="C226" s="70" t="str">
        <f>IF(ISBLANK(A226),"",INDEX('Error Log'!$A:$J,MATCH('Scores per segment'!$A226,'Error Log'!$A:$A,0),MATCH('Scores per segment'!C$1,'Error Log'!$A$1:$J$1,0)))</f>
        <v/>
      </c>
      <c r="D226" s="70">
        <f>IF(H226=0,wdct(TRIM(C226)),0)</f>
        <v>0</v>
      </c>
      <c r="E226" s="70">
        <f>COUNTIFS('Error Log'!$A:$A,$A226,'Error Log'!$J:$J,E$1)</f>
        <v>0</v>
      </c>
      <c r="F226" s="70">
        <f>COUNTIFS('Error Log'!$A:$A,$A226,'Error Log'!$J:$J,F$1)</f>
        <v>0</v>
      </c>
      <c r="G226" s="70">
        <f>COUNTIFS('Error Log'!$A:$A,$A226,'Error Log'!$J:$J,G$1)</f>
        <v>0</v>
      </c>
      <c r="H226" s="70">
        <f>COUNTIFS('Error Log'!$A:$A,$A226,'Error Log'!$F:$F,"Source")</f>
        <v>0</v>
      </c>
      <c r="I226" s="70">
        <f>COUNTIFS('Error Log'!$A:$A,$A226,'Error Log'!$F:$F,"Target")</f>
        <v>0</v>
      </c>
      <c r="J226" s="71">
        <f t="shared" si="3"/>
        <v>0</v>
      </c>
    </row>
    <row r="227" spans="1:10">
      <c r="A227" s="101"/>
      <c r="B227" s="70" t="str">
        <f>IF(ISBLANK(A227),"",INDEX('Error Log'!$A:$J,MATCH('Scores per segment'!$A227,'Error Log'!$A:$A,0),MATCH('Scores per segment'!B$1,'Error Log'!$A$1:$J$1,0)))</f>
        <v/>
      </c>
      <c r="C227" s="70" t="str">
        <f>IF(ISBLANK(A227),"",INDEX('Error Log'!$A:$J,MATCH('Scores per segment'!$A227,'Error Log'!$A:$A,0),MATCH('Scores per segment'!C$1,'Error Log'!$A$1:$J$1,0)))</f>
        <v/>
      </c>
      <c r="D227" s="70">
        <f>IF(H227=0,wdct(TRIM(C227)),0)</f>
        <v>0</v>
      </c>
      <c r="E227" s="70">
        <f>COUNTIFS('Error Log'!$A:$A,$A227,'Error Log'!$J:$J,E$1)</f>
        <v>0</v>
      </c>
      <c r="F227" s="70">
        <f>COUNTIFS('Error Log'!$A:$A,$A227,'Error Log'!$J:$J,F$1)</f>
        <v>0</v>
      </c>
      <c r="G227" s="70">
        <f>COUNTIFS('Error Log'!$A:$A,$A227,'Error Log'!$J:$J,G$1)</f>
        <v>0</v>
      </c>
      <c r="H227" s="70">
        <f>COUNTIFS('Error Log'!$A:$A,$A227,'Error Log'!$F:$F,"Source")</f>
        <v>0</v>
      </c>
      <c r="I227" s="70">
        <f>COUNTIFS('Error Log'!$A:$A,$A227,'Error Log'!$F:$F,"Target")</f>
        <v>0</v>
      </c>
      <c r="J227" s="71">
        <f t="shared" si="3"/>
        <v>0</v>
      </c>
    </row>
    <row r="228" spans="1:10">
      <c r="A228" s="101"/>
      <c r="B228" s="70" t="str">
        <f>IF(ISBLANK(A228),"",INDEX('Error Log'!$A:$J,MATCH('Scores per segment'!$A228,'Error Log'!$A:$A,0),MATCH('Scores per segment'!B$1,'Error Log'!$A$1:$J$1,0)))</f>
        <v/>
      </c>
      <c r="C228" s="70" t="str">
        <f>IF(ISBLANK(A228),"",INDEX('Error Log'!$A:$J,MATCH('Scores per segment'!$A228,'Error Log'!$A:$A,0),MATCH('Scores per segment'!C$1,'Error Log'!$A$1:$J$1,0)))</f>
        <v/>
      </c>
      <c r="D228" s="70">
        <f>IF(H228=0,wdct(TRIM(C228)),0)</f>
        <v>0</v>
      </c>
      <c r="E228" s="70">
        <f>COUNTIFS('Error Log'!$A:$A,$A228,'Error Log'!$J:$J,E$1)</f>
        <v>0</v>
      </c>
      <c r="F228" s="70">
        <f>COUNTIFS('Error Log'!$A:$A,$A228,'Error Log'!$J:$J,F$1)</f>
        <v>0</v>
      </c>
      <c r="G228" s="70">
        <f>COUNTIFS('Error Log'!$A:$A,$A228,'Error Log'!$J:$J,G$1)</f>
        <v>0</v>
      </c>
      <c r="H228" s="70">
        <f>COUNTIFS('Error Log'!$A:$A,$A228,'Error Log'!$F:$F,"Source")</f>
        <v>0</v>
      </c>
      <c r="I228" s="70">
        <f>COUNTIFS('Error Log'!$A:$A,$A228,'Error Log'!$F:$F,"Target")</f>
        <v>0</v>
      </c>
      <c r="J228" s="71">
        <f t="shared" si="3"/>
        <v>0</v>
      </c>
    </row>
    <row r="229" spans="1:10">
      <c r="A229" s="101"/>
      <c r="B229" s="70" t="str">
        <f>IF(ISBLANK(A229),"",INDEX('Error Log'!$A:$J,MATCH('Scores per segment'!$A229,'Error Log'!$A:$A,0),MATCH('Scores per segment'!B$1,'Error Log'!$A$1:$J$1,0)))</f>
        <v/>
      </c>
      <c r="C229" s="70" t="str">
        <f>IF(ISBLANK(A229),"",INDEX('Error Log'!$A:$J,MATCH('Scores per segment'!$A229,'Error Log'!$A:$A,0),MATCH('Scores per segment'!C$1,'Error Log'!$A$1:$J$1,0)))</f>
        <v/>
      </c>
      <c r="D229" s="70">
        <f>IF(H229=0,wdct(TRIM(C229)),0)</f>
        <v>0</v>
      </c>
      <c r="E229" s="70">
        <f>COUNTIFS('Error Log'!$A:$A,$A229,'Error Log'!$J:$J,E$1)</f>
        <v>0</v>
      </c>
      <c r="F229" s="70">
        <f>COUNTIFS('Error Log'!$A:$A,$A229,'Error Log'!$J:$J,F$1)</f>
        <v>0</v>
      </c>
      <c r="G229" s="70">
        <f>COUNTIFS('Error Log'!$A:$A,$A229,'Error Log'!$J:$J,G$1)</f>
        <v>0</v>
      </c>
      <c r="H229" s="70">
        <f>COUNTIFS('Error Log'!$A:$A,$A229,'Error Log'!$F:$F,"Source")</f>
        <v>0</v>
      </c>
      <c r="I229" s="70">
        <f>COUNTIFS('Error Log'!$A:$A,$A229,'Error Log'!$F:$F,"Target")</f>
        <v>0</v>
      </c>
      <c r="J229" s="71">
        <f t="shared" si="3"/>
        <v>0</v>
      </c>
    </row>
    <row r="230" spans="1:10">
      <c r="A230" s="101"/>
      <c r="B230" s="70" t="str">
        <f>IF(ISBLANK(A230),"",INDEX('Error Log'!$A:$J,MATCH('Scores per segment'!$A230,'Error Log'!$A:$A,0),MATCH('Scores per segment'!B$1,'Error Log'!$A$1:$J$1,0)))</f>
        <v/>
      </c>
      <c r="C230" s="70" t="str">
        <f>IF(ISBLANK(A230),"",INDEX('Error Log'!$A:$J,MATCH('Scores per segment'!$A230,'Error Log'!$A:$A,0),MATCH('Scores per segment'!C$1,'Error Log'!$A$1:$J$1,0)))</f>
        <v/>
      </c>
      <c r="D230" s="70">
        <f>IF(H230=0,wdct(TRIM(C230)),0)</f>
        <v>0</v>
      </c>
      <c r="E230" s="70">
        <f>COUNTIFS('Error Log'!$A:$A,$A230,'Error Log'!$J:$J,E$1)</f>
        <v>0</v>
      </c>
      <c r="F230" s="70">
        <f>COUNTIFS('Error Log'!$A:$A,$A230,'Error Log'!$J:$J,F$1)</f>
        <v>0</v>
      </c>
      <c r="G230" s="70">
        <f>COUNTIFS('Error Log'!$A:$A,$A230,'Error Log'!$J:$J,G$1)</f>
        <v>0</v>
      </c>
      <c r="H230" s="70">
        <f>COUNTIFS('Error Log'!$A:$A,$A230,'Error Log'!$F:$F,"Source")</f>
        <v>0</v>
      </c>
      <c r="I230" s="70">
        <f>COUNTIFS('Error Log'!$A:$A,$A230,'Error Log'!$F:$F,"Target")</f>
        <v>0</v>
      </c>
      <c r="J230" s="71">
        <f t="shared" si="3"/>
        <v>0</v>
      </c>
    </row>
    <row r="231" spans="1:10">
      <c r="A231" s="101"/>
      <c r="B231" s="70" t="str">
        <f>IF(ISBLANK(A231),"",INDEX('Error Log'!$A:$J,MATCH('Scores per segment'!$A231,'Error Log'!$A:$A,0),MATCH('Scores per segment'!B$1,'Error Log'!$A$1:$J$1,0)))</f>
        <v/>
      </c>
      <c r="C231" s="70" t="str">
        <f>IF(ISBLANK(A231),"",INDEX('Error Log'!$A:$J,MATCH('Scores per segment'!$A231,'Error Log'!$A:$A,0),MATCH('Scores per segment'!C$1,'Error Log'!$A$1:$J$1,0)))</f>
        <v/>
      </c>
      <c r="D231" s="70">
        <f>IF(H231=0,wdct(TRIM(C231)),0)</f>
        <v>0</v>
      </c>
      <c r="E231" s="70">
        <f>COUNTIFS('Error Log'!$A:$A,$A231,'Error Log'!$J:$J,E$1)</f>
        <v>0</v>
      </c>
      <c r="F231" s="70">
        <f>COUNTIFS('Error Log'!$A:$A,$A231,'Error Log'!$J:$J,F$1)</f>
        <v>0</v>
      </c>
      <c r="G231" s="70">
        <f>COUNTIFS('Error Log'!$A:$A,$A231,'Error Log'!$J:$J,G$1)</f>
        <v>0</v>
      </c>
      <c r="H231" s="70">
        <f>COUNTIFS('Error Log'!$A:$A,$A231,'Error Log'!$F:$F,"Source")</f>
        <v>0</v>
      </c>
      <c r="I231" s="70">
        <f>COUNTIFS('Error Log'!$A:$A,$A231,'Error Log'!$F:$F,"Target")</f>
        <v>0</v>
      </c>
      <c r="J231" s="71">
        <f t="shared" si="3"/>
        <v>0</v>
      </c>
    </row>
    <row r="232" spans="1:10">
      <c r="A232" s="101"/>
      <c r="B232" s="70" t="str">
        <f>IF(ISBLANK(A232),"",INDEX('Error Log'!$A:$J,MATCH('Scores per segment'!$A232,'Error Log'!$A:$A,0),MATCH('Scores per segment'!B$1,'Error Log'!$A$1:$J$1,0)))</f>
        <v/>
      </c>
      <c r="C232" s="70" t="str">
        <f>IF(ISBLANK(A232),"",INDEX('Error Log'!$A:$J,MATCH('Scores per segment'!$A232,'Error Log'!$A:$A,0),MATCH('Scores per segment'!C$1,'Error Log'!$A$1:$J$1,0)))</f>
        <v/>
      </c>
      <c r="D232" s="70">
        <f>IF(H232=0,wdct(TRIM(C232)),0)</f>
        <v>0</v>
      </c>
      <c r="E232" s="70">
        <f>COUNTIFS('Error Log'!$A:$A,$A232,'Error Log'!$J:$J,E$1)</f>
        <v>0</v>
      </c>
      <c r="F232" s="70">
        <f>COUNTIFS('Error Log'!$A:$A,$A232,'Error Log'!$J:$J,F$1)</f>
        <v>0</v>
      </c>
      <c r="G232" s="70">
        <f>COUNTIFS('Error Log'!$A:$A,$A232,'Error Log'!$J:$J,G$1)</f>
        <v>0</v>
      </c>
      <c r="H232" s="70">
        <f>COUNTIFS('Error Log'!$A:$A,$A232,'Error Log'!$F:$F,"Source")</f>
        <v>0</v>
      </c>
      <c r="I232" s="70">
        <f>COUNTIFS('Error Log'!$A:$A,$A232,'Error Log'!$F:$F,"Target")</f>
        <v>0</v>
      </c>
      <c r="J232" s="71">
        <f t="shared" si="3"/>
        <v>0</v>
      </c>
    </row>
    <row r="233" spans="1:10">
      <c r="A233" s="101"/>
      <c r="B233" s="70" t="str">
        <f>IF(ISBLANK(A233),"",INDEX('Error Log'!$A:$J,MATCH('Scores per segment'!$A233,'Error Log'!$A:$A,0),MATCH('Scores per segment'!B$1,'Error Log'!$A$1:$J$1,0)))</f>
        <v/>
      </c>
      <c r="C233" s="70" t="str">
        <f>IF(ISBLANK(A233),"",INDEX('Error Log'!$A:$J,MATCH('Scores per segment'!$A233,'Error Log'!$A:$A,0),MATCH('Scores per segment'!C$1,'Error Log'!$A$1:$J$1,0)))</f>
        <v/>
      </c>
      <c r="D233" s="70">
        <f>IF(H233=0,wdct(TRIM(C233)),0)</f>
        <v>0</v>
      </c>
      <c r="E233" s="70">
        <f>COUNTIFS('Error Log'!$A:$A,$A233,'Error Log'!$J:$J,E$1)</f>
        <v>0</v>
      </c>
      <c r="F233" s="70">
        <f>COUNTIFS('Error Log'!$A:$A,$A233,'Error Log'!$J:$J,F$1)</f>
        <v>0</v>
      </c>
      <c r="G233" s="70">
        <f>COUNTIFS('Error Log'!$A:$A,$A233,'Error Log'!$J:$J,G$1)</f>
        <v>0</v>
      </c>
      <c r="H233" s="70">
        <f>COUNTIFS('Error Log'!$A:$A,$A233,'Error Log'!$F:$F,"Source")</f>
        <v>0</v>
      </c>
      <c r="I233" s="70">
        <f>COUNTIFS('Error Log'!$A:$A,$A233,'Error Log'!$F:$F,"Target")</f>
        <v>0</v>
      </c>
      <c r="J233" s="71">
        <f t="shared" si="3"/>
        <v>0</v>
      </c>
    </row>
    <row r="234" spans="1:10">
      <c r="A234" s="101"/>
      <c r="B234" s="70" t="str">
        <f>IF(ISBLANK(A234),"",INDEX('Error Log'!$A:$J,MATCH('Scores per segment'!$A234,'Error Log'!$A:$A,0),MATCH('Scores per segment'!B$1,'Error Log'!$A$1:$J$1,0)))</f>
        <v/>
      </c>
      <c r="C234" s="70" t="str">
        <f>IF(ISBLANK(A234),"",INDEX('Error Log'!$A:$J,MATCH('Scores per segment'!$A234,'Error Log'!$A:$A,0),MATCH('Scores per segment'!C$1,'Error Log'!$A$1:$J$1,0)))</f>
        <v/>
      </c>
      <c r="D234" s="70">
        <f>IF(H234=0,wdct(TRIM(C234)),0)</f>
        <v>0</v>
      </c>
      <c r="E234" s="70">
        <f>COUNTIFS('Error Log'!$A:$A,$A234,'Error Log'!$J:$J,E$1)</f>
        <v>0</v>
      </c>
      <c r="F234" s="70">
        <f>COUNTIFS('Error Log'!$A:$A,$A234,'Error Log'!$J:$J,F$1)</f>
        <v>0</v>
      </c>
      <c r="G234" s="70">
        <f>COUNTIFS('Error Log'!$A:$A,$A234,'Error Log'!$J:$J,G$1)</f>
        <v>0</v>
      </c>
      <c r="H234" s="70">
        <f>COUNTIFS('Error Log'!$A:$A,$A234,'Error Log'!$F:$F,"Source")</f>
        <v>0</v>
      </c>
      <c r="I234" s="70">
        <f>COUNTIFS('Error Log'!$A:$A,$A234,'Error Log'!$F:$F,"Target")</f>
        <v>0</v>
      </c>
      <c r="J234" s="71">
        <f t="shared" si="3"/>
        <v>0</v>
      </c>
    </row>
    <row r="235" spans="1:10">
      <c r="A235" s="101"/>
      <c r="B235" s="70" t="str">
        <f>IF(ISBLANK(A235),"",INDEX('Error Log'!$A:$J,MATCH('Scores per segment'!$A235,'Error Log'!$A:$A,0),MATCH('Scores per segment'!B$1,'Error Log'!$A$1:$J$1,0)))</f>
        <v/>
      </c>
      <c r="C235" s="70" t="str">
        <f>IF(ISBLANK(A235),"",INDEX('Error Log'!$A:$J,MATCH('Scores per segment'!$A235,'Error Log'!$A:$A,0),MATCH('Scores per segment'!C$1,'Error Log'!$A$1:$J$1,0)))</f>
        <v/>
      </c>
      <c r="D235" s="70">
        <f>IF(H235=0,wdct(TRIM(C235)),0)</f>
        <v>0</v>
      </c>
      <c r="E235" s="70">
        <f>COUNTIFS('Error Log'!$A:$A,$A235,'Error Log'!$J:$J,E$1)</f>
        <v>0</v>
      </c>
      <c r="F235" s="70">
        <f>COUNTIFS('Error Log'!$A:$A,$A235,'Error Log'!$J:$J,F$1)</f>
        <v>0</v>
      </c>
      <c r="G235" s="70">
        <f>COUNTIFS('Error Log'!$A:$A,$A235,'Error Log'!$J:$J,G$1)</f>
        <v>0</v>
      </c>
      <c r="H235" s="70">
        <f>COUNTIFS('Error Log'!$A:$A,$A235,'Error Log'!$F:$F,"Source")</f>
        <v>0</v>
      </c>
      <c r="I235" s="70">
        <f>COUNTIFS('Error Log'!$A:$A,$A235,'Error Log'!$F:$F,"Target")</f>
        <v>0</v>
      </c>
      <c r="J235" s="71">
        <f t="shared" si="3"/>
        <v>0</v>
      </c>
    </row>
    <row r="236" spans="1:10">
      <c r="A236" s="101"/>
      <c r="B236" s="70" t="str">
        <f>IF(ISBLANK(A236),"",INDEX('Error Log'!$A:$J,MATCH('Scores per segment'!$A236,'Error Log'!$A:$A,0),MATCH('Scores per segment'!B$1,'Error Log'!$A$1:$J$1,0)))</f>
        <v/>
      </c>
      <c r="C236" s="70" t="str">
        <f>IF(ISBLANK(A236),"",INDEX('Error Log'!$A:$J,MATCH('Scores per segment'!$A236,'Error Log'!$A:$A,0),MATCH('Scores per segment'!C$1,'Error Log'!$A$1:$J$1,0)))</f>
        <v/>
      </c>
      <c r="D236" s="70">
        <f>IF(H236=0,wdct(TRIM(C236)),0)</f>
        <v>0</v>
      </c>
      <c r="E236" s="70">
        <f>COUNTIFS('Error Log'!$A:$A,$A236,'Error Log'!$J:$J,E$1)</f>
        <v>0</v>
      </c>
      <c r="F236" s="70">
        <f>COUNTIFS('Error Log'!$A:$A,$A236,'Error Log'!$J:$J,F$1)</f>
        <v>0</v>
      </c>
      <c r="G236" s="70">
        <f>COUNTIFS('Error Log'!$A:$A,$A236,'Error Log'!$J:$J,G$1)</f>
        <v>0</v>
      </c>
      <c r="H236" s="70">
        <f>COUNTIFS('Error Log'!$A:$A,$A236,'Error Log'!$F:$F,"Source")</f>
        <v>0</v>
      </c>
      <c r="I236" s="70">
        <f>COUNTIFS('Error Log'!$A:$A,$A236,'Error Log'!$F:$F,"Target")</f>
        <v>0</v>
      </c>
      <c r="J236" s="71">
        <f t="shared" si="3"/>
        <v>0</v>
      </c>
    </row>
    <row r="237" spans="1:10">
      <c r="A237" s="101"/>
      <c r="B237" s="70" t="str">
        <f>IF(ISBLANK(A237),"",INDEX('Error Log'!$A:$J,MATCH('Scores per segment'!$A237,'Error Log'!$A:$A,0),MATCH('Scores per segment'!B$1,'Error Log'!$A$1:$J$1,0)))</f>
        <v/>
      </c>
      <c r="C237" s="70" t="str">
        <f>IF(ISBLANK(A237),"",INDEX('Error Log'!$A:$J,MATCH('Scores per segment'!$A237,'Error Log'!$A:$A,0),MATCH('Scores per segment'!C$1,'Error Log'!$A$1:$J$1,0)))</f>
        <v/>
      </c>
      <c r="D237" s="70">
        <f>IF(H237=0,wdct(TRIM(C237)),0)</f>
        <v>0</v>
      </c>
      <c r="E237" s="70">
        <f>COUNTIFS('Error Log'!$A:$A,$A237,'Error Log'!$J:$J,E$1)</f>
        <v>0</v>
      </c>
      <c r="F237" s="70">
        <f>COUNTIFS('Error Log'!$A:$A,$A237,'Error Log'!$J:$J,F$1)</f>
        <v>0</v>
      </c>
      <c r="G237" s="70">
        <f>COUNTIFS('Error Log'!$A:$A,$A237,'Error Log'!$J:$J,G$1)</f>
        <v>0</v>
      </c>
      <c r="H237" s="70">
        <f>COUNTIFS('Error Log'!$A:$A,$A237,'Error Log'!$F:$F,"Source")</f>
        <v>0</v>
      </c>
      <c r="I237" s="70">
        <f>COUNTIFS('Error Log'!$A:$A,$A237,'Error Log'!$F:$F,"Target")</f>
        <v>0</v>
      </c>
      <c r="J237" s="71">
        <f t="shared" si="3"/>
        <v>0</v>
      </c>
    </row>
    <row r="238" spans="1:10">
      <c r="A238" s="101"/>
      <c r="B238" s="70" t="str">
        <f>IF(ISBLANK(A238),"",INDEX('Error Log'!$A:$J,MATCH('Scores per segment'!$A238,'Error Log'!$A:$A,0),MATCH('Scores per segment'!B$1,'Error Log'!$A$1:$J$1,0)))</f>
        <v/>
      </c>
      <c r="C238" s="70" t="str">
        <f>IF(ISBLANK(A238),"",INDEX('Error Log'!$A:$J,MATCH('Scores per segment'!$A238,'Error Log'!$A:$A,0),MATCH('Scores per segment'!C$1,'Error Log'!$A$1:$J$1,0)))</f>
        <v/>
      </c>
      <c r="D238" s="70">
        <f>IF(H238=0,wdct(TRIM(C238)),0)</f>
        <v>0</v>
      </c>
      <c r="E238" s="70">
        <f>COUNTIFS('Error Log'!$A:$A,$A238,'Error Log'!$J:$J,E$1)</f>
        <v>0</v>
      </c>
      <c r="F238" s="70">
        <f>COUNTIFS('Error Log'!$A:$A,$A238,'Error Log'!$J:$J,F$1)</f>
        <v>0</v>
      </c>
      <c r="G238" s="70">
        <f>COUNTIFS('Error Log'!$A:$A,$A238,'Error Log'!$J:$J,G$1)</f>
        <v>0</v>
      </c>
      <c r="H238" s="70">
        <f>COUNTIFS('Error Log'!$A:$A,$A238,'Error Log'!$F:$F,"Source")</f>
        <v>0</v>
      </c>
      <c r="I238" s="70">
        <f>COUNTIFS('Error Log'!$A:$A,$A238,'Error Log'!$F:$F,"Target")</f>
        <v>0</v>
      </c>
      <c r="J238" s="71">
        <f t="shared" si="3"/>
        <v>0</v>
      </c>
    </row>
    <row r="239" spans="1:10">
      <c r="A239" s="101"/>
      <c r="B239" s="70" t="str">
        <f>IF(ISBLANK(A239),"",INDEX('Error Log'!$A:$J,MATCH('Scores per segment'!$A239,'Error Log'!$A:$A,0),MATCH('Scores per segment'!B$1,'Error Log'!$A$1:$J$1,0)))</f>
        <v/>
      </c>
      <c r="C239" s="70" t="str">
        <f>IF(ISBLANK(A239),"",INDEX('Error Log'!$A:$J,MATCH('Scores per segment'!$A239,'Error Log'!$A:$A,0),MATCH('Scores per segment'!C$1,'Error Log'!$A$1:$J$1,0)))</f>
        <v/>
      </c>
      <c r="D239" s="70">
        <f>IF(H239=0,wdct(TRIM(C239)),0)</f>
        <v>0</v>
      </c>
      <c r="E239" s="70">
        <f>COUNTIFS('Error Log'!$A:$A,$A239,'Error Log'!$J:$J,E$1)</f>
        <v>0</v>
      </c>
      <c r="F239" s="70">
        <f>COUNTIFS('Error Log'!$A:$A,$A239,'Error Log'!$J:$J,F$1)</f>
        <v>0</v>
      </c>
      <c r="G239" s="70">
        <f>COUNTIFS('Error Log'!$A:$A,$A239,'Error Log'!$J:$J,G$1)</f>
        <v>0</v>
      </c>
      <c r="H239" s="70">
        <f>COUNTIFS('Error Log'!$A:$A,$A239,'Error Log'!$F:$F,"Source")</f>
        <v>0</v>
      </c>
      <c r="I239" s="70">
        <f>COUNTIFS('Error Log'!$A:$A,$A239,'Error Log'!$F:$F,"Target")</f>
        <v>0</v>
      </c>
      <c r="J239" s="71">
        <f t="shared" si="3"/>
        <v>0</v>
      </c>
    </row>
    <row r="240" spans="1:10">
      <c r="A240" s="101"/>
      <c r="B240" s="70" t="str">
        <f>IF(ISBLANK(A240),"",INDEX('Error Log'!$A:$J,MATCH('Scores per segment'!$A240,'Error Log'!$A:$A,0),MATCH('Scores per segment'!B$1,'Error Log'!$A$1:$J$1,0)))</f>
        <v/>
      </c>
      <c r="C240" s="70" t="str">
        <f>IF(ISBLANK(A240),"",INDEX('Error Log'!$A:$J,MATCH('Scores per segment'!$A240,'Error Log'!$A:$A,0),MATCH('Scores per segment'!C$1,'Error Log'!$A$1:$J$1,0)))</f>
        <v/>
      </c>
      <c r="D240" s="70">
        <f>IF(H240=0,wdct(TRIM(C240)),0)</f>
        <v>0</v>
      </c>
      <c r="E240" s="70">
        <f>COUNTIFS('Error Log'!$A:$A,$A240,'Error Log'!$J:$J,E$1)</f>
        <v>0</v>
      </c>
      <c r="F240" s="70">
        <f>COUNTIFS('Error Log'!$A:$A,$A240,'Error Log'!$J:$J,F$1)</f>
        <v>0</v>
      </c>
      <c r="G240" s="70">
        <f>COUNTIFS('Error Log'!$A:$A,$A240,'Error Log'!$J:$J,G$1)</f>
        <v>0</v>
      </c>
      <c r="H240" s="70">
        <f>COUNTIFS('Error Log'!$A:$A,$A240,'Error Log'!$F:$F,"Source")</f>
        <v>0</v>
      </c>
      <c r="I240" s="70">
        <f>COUNTIFS('Error Log'!$A:$A,$A240,'Error Log'!$F:$F,"Target")</f>
        <v>0</v>
      </c>
      <c r="J240" s="71">
        <f t="shared" si="3"/>
        <v>0</v>
      </c>
    </row>
    <row r="241" spans="1:10">
      <c r="A241" s="101"/>
      <c r="B241" s="70" t="str">
        <f>IF(ISBLANK(A241),"",INDEX('Error Log'!$A:$J,MATCH('Scores per segment'!$A241,'Error Log'!$A:$A,0),MATCH('Scores per segment'!B$1,'Error Log'!$A$1:$J$1,0)))</f>
        <v/>
      </c>
      <c r="C241" s="70" t="str">
        <f>IF(ISBLANK(A241),"",INDEX('Error Log'!$A:$J,MATCH('Scores per segment'!$A241,'Error Log'!$A:$A,0),MATCH('Scores per segment'!C$1,'Error Log'!$A$1:$J$1,0)))</f>
        <v/>
      </c>
      <c r="D241" s="70">
        <f>IF(H241=0,wdct(TRIM(C241)),0)</f>
        <v>0</v>
      </c>
      <c r="E241" s="70">
        <f>COUNTIFS('Error Log'!$A:$A,$A241,'Error Log'!$J:$J,E$1)</f>
        <v>0</v>
      </c>
      <c r="F241" s="70">
        <f>COUNTIFS('Error Log'!$A:$A,$A241,'Error Log'!$J:$J,F$1)</f>
        <v>0</v>
      </c>
      <c r="G241" s="70">
        <f>COUNTIFS('Error Log'!$A:$A,$A241,'Error Log'!$J:$J,G$1)</f>
        <v>0</v>
      </c>
      <c r="H241" s="70">
        <f>COUNTIFS('Error Log'!$A:$A,$A241,'Error Log'!$F:$F,"Source")</f>
        <v>0</v>
      </c>
      <c r="I241" s="70">
        <f>COUNTIFS('Error Log'!$A:$A,$A241,'Error Log'!$F:$F,"Target")</f>
        <v>0</v>
      </c>
      <c r="J241" s="71">
        <f t="shared" si="3"/>
        <v>0</v>
      </c>
    </row>
    <row r="242" spans="1:10">
      <c r="A242" s="101"/>
      <c r="B242" s="70" t="str">
        <f>IF(ISBLANK(A242),"",INDEX('Error Log'!$A:$J,MATCH('Scores per segment'!$A242,'Error Log'!$A:$A,0),MATCH('Scores per segment'!B$1,'Error Log'!$A$1:$J$1,0)))</f>
        <v/>
      </c>
      <c r="C242" s="70" t="str">
        <f>IF(ISBLANK(A242),"",INDEX('Error Log'!$A:$J,MATCH('Scores per segment'!$A242,'Error Log'!$A:$A,0),MATCH('Scores per segment'!C$1,'Error Log'!$A$1:$J$1,0)))</f>
        <v/>
      </c>
      <c r="D242" s="70">
        <f>IF(H242=0,wdct(TRIM(C242)),0)</f>
        <v>0</v>
      </c>
      <c r="E242" s="70">
        <f>COUNTIFS('Error Log'!$A:$A,$A242,'Error Log'!$J:$J,E$1)</f>
        <v>0</v>
      </c>
      <c r="F242" s="70">
        <f>COUNTIFS('Error Log'!$A:$A,$A242,'Error Log'!$J:$J,F$1)</f>
        <v>0</v>
      </c>
      <c r="G242" s="70">
        <f>COUNTIFS('Error Log'!$A:$A,$A242,'Error Log'!$J:$J,G$1)</f>
        <v>0</v>
      </c>
      <c r="H242" s="70">
        <f>COUNTIFS('Error Log'!$A:$A,$A242,'Error Log'!$F:$F,"Source")</f>
        <v>0</v>
      </c>
      <c r="I242" s="70">
        <f>COUNTIFS('Error Log'!$A:$A,$A242,'Error Log'!$F:$F,"Target")</f>
        <v>0</v>
      </c>
      <c r="J242" s="71">
        <f t="shared" si="3"/>
        <v>0</v>
      </c>
    </row>
    <row r="243" spans="1:10">
      <c r="A243" s="101"/>
      <c r="B243" s="70" t="str">
        <f>IF(ISBLANK(A243),"",INDEX('Error Log'!$A:$J,MATCH('Scores per segment'!$A243,'Error Log'!$A:$A,0),MATCH('Scores per segment'!B$1,'Error Log'!$A$1:$J$1,0)))</f>
        <v/>
      </c>
      <c r="C243" s="70" t="str">
        <f>IF(ISBLANK(A243),"",INDEX('Error Log'!$A:$J,MATCH('Scores per segment'!$A243,'Error Log'!$A:$A,0),MATCH('Scores per segment'!C$1,'Error Log'!$A$1:$J$1,0)))</f>
        <v/>
      </c>
      <c r="D243" s="70">
        <f>IF(H243=0,wdct(TRIM(C243)),0)</f>
        <v>0</v>
      </c>
      <c r="E243" s="70">
        <f>COUNTIFS('Error Log'!$A:$A,$A243,'Error Log'!$J:$J,E$1)</f>
        <v>0</v>
      </c>
      <c r="F243" s="70">
        <f>COUNTIFS('Error Log'!$A:$A,$A243,'Error Log'!$J:$J,F$1)</f>
        <v>0</v>
      </c>
      <c r="G243" s="70">
        <f>COUNTIFS('Error Log'!$A:$A,$A243,'Error Log'!$J:$J,G$1)</f>
        <v>0</v>
      </c>
      <c r="H243" s="70">
        <f>COUNTIFS('Error Log'!$A:$A,$A243,'Error Log'!$F:$F,"Source")</f>
        <v>0</v>
      </c>
      <c r="I243" s="70">
        <f>COUNTIFS('Error Log'!$A:$A,$A243,'Error Log'!$F:$F,"Target")</f>
        <v>0</v>
      </c>
      <c r="J243" s="71">
        <f t="shared" si="3"/>
        <v>0</v>
      </c>
    </row>
    <row r="244" spans="1:10">
      <c r="A244" s="101"/>
      <c r="B244" s="70" t="str">
        <f>IF(ISBLANK(A244),"",INDEX('Error Log'!$A:$J,MATCH('Scores per segment'!$A244,'Error Log'!$A:$A,0),MATCH('Scores per segment'!B$1,'Error Log'!$A$1:$J$1,0)))</f>
        <v/>
      </c>
      <c r="C244" s="70" t="str">
        <f>IF(ISBLANK(A244),"",INDEX('Error Log'!$A:$J,MATCH('Scores per segment'!$A244,'Error Log'!$A:$A,0),MATCH('Scores per segment'!C$1,'Error Log'!$A$1:$J$1,0)))</f>
        <v/>
      </c>
      <c r="D244" s="70">
        <f>IF(H244=0,wdct(TRIM(C244)),0)</f>
        <v>0</v>
      </c>
      <c r="E244" s="70">
        <f>COUNTIFS('Error Log'!$A:$A,$A244,'Error Log'!$J:$J,E$1)</f>
        <v>0</v>
      </c>
      <c r="F244" s="70">
        <f>COUNTIFS('Error Log'!$A:$A,$A244,'Error Log'!$J:$J,F$1)</f>
        <v>0</v>
      </c>
      <c r="G244" s="70">
        <f>COUNTIFS('Error Log'!$A:$A,$A244,'Error Log'!$J:$J,G$1)</f>
        <v>0</v>
      </c>
      <c r="H244" s="70">
        <f>COUNTIFS('Error Log'!$A:$A,$A244,'Error Log'!$F:$F,"Source")</f>
        <v>0</v>
      </c>
      <c r="I244" s="70">
        <f>COUNTIFS('Error Log'!$A:$A,$A244,'Error Log'!$F:$F,"Target")</f>
        <v>0</v>
      </c>
      <c r="J244" s="71">
        <f t="shared" si="3"/>
        <v>0</v>
      </c>
    </row>
    <row r="245" spans="1:10">
      <c r="A245" s="101"/>
      <c r="B245" s="70" t="str">
        <f>IF(ISBLANK(A245),"",INDEX('Error Log'!$A:$J,MATCH('Scores per segment'!$A245,'Error Log'!$A:$A,0),MATCH('Scores per segment'!B$1,'Error Log'!$A$1:$J$1,0)))</f>
        <v/>
      </c>
      <c r="C245" s="70" t="str">
        <f>IF(ISBLANK(A245),"",INDEX('Error Log'!$A:$J,MATCH('Scores per segment'!$A245,'Error Log'!$A:$A,0),MATCH('Scores per segment'!C$1,'Error Log'!$A$1:$J$1,0)))</f>
        <v/>
      </c>
      <c r="D245" s="70">
        <f>IF(H245=0,wdct(TRIM(C245)),0)</f>
        <v>0</v>
      </c>
      <c r="E245" s="70">
        <f>COUNTIFS('Error Log'!$A:$A,$A245,'Error Log'!$J:$J,E$1)</f>
        <v>0</v>
      </c>
      <c r="F245" s="70">
        <f>COUNTIFS('Error Log'!$A:$A,$A245,'Error Log'!$J:$J,F$1)</f>
        <v>0</v>
      </c>
      <c r="G245" s="70">
        <f>COUNTIFS('Error Log'!$A:$A,$A245,'Error Log'!$J:$J,G$1)</f>
        <v>0</v>
      </c>
      <c r="H245" s="70">
        <f>COUNTIFS('Error Log'!$A:$A,$A245,'Error Log'!$F:$F,"Source")</f>
        <v>0</v>
      </c>
      <c r="I245" s="70">
        <f>COUNTIFS('Error Log'!$A:$A,$A245,'Error Log'!$F:$F,"Target")</f>
        <v>0</v>
      </c>
      <c r="J245" s="71">
        <f t="shared" si="3"/>
        <v>0</v>
      </c>
    </row>
    <row r="246" spans="1:10">
      <c r="A246" s="101"/>
      <c r="B246" s="70" t="str">
        <f>IF(ISBLANK(A246),"",INDEX('Error Log'!$A:$J,MATCH('Scores per segment'!$A246,'Error Log'!$A:$A,0),MATCH('Scores per segment'!B$1,'Error Log'!$A$1:$J$1,0)))</f>
        <v/>
      </c>
      <c r="C246" s="70" t="str">
        <f>IF(ISBLANK(A246),"",INDEX('Error Log'!$A:$J,MATCH('Scores per segment'!$A246,'Error Log'!$A:$A,0),MATCH('Scores per segment'!C$1,'Error Log'!$A$1:$J$1,0)))</f>
        <v/>
      </c>
      <c r="D246" s="70">
        <f>IF(H246=0,wdct(TRIM(C246)),0)</f>
        <v>0</v>
      </c>
      <c r="E246" s="70">
        <f>COUNTIFS('Error Log'!$A:$A,$A246,'Error Log'!$J:$J,E$1)</f>
        <v>0</v>
      </c>
      <c r="F246" s="70">
        <f>COUNTIFS('Error Log'!$A:$A,$A246,'Error Log'!$J:$J,F$1)</f>
        <v>0</v>
      </c>
      <c r="G246" s="70">
        <f>COUNTIFS('Error Log'!$A:$A,$A246,'Error Log'!$J:$J,G$1)</f>
        <v>0</v>
      </c>
      <c r="H246" s="70">
        <f>COUNTIFS('Error Log'!$A:$A,$A246,'Error Log'!$F:$F,"Source")</f>
        <v>0</v>
      </c>
      <c r="I246" s="70">
        <f>COUNTIFS('Error Log'!$A:$A,$A246,'Error Log'!$F:$F,"Target")</f>
        <v>0</v>
      </c>
      <c r="J246" s="71">
        <f t="shared" si="3"/>
        <v>0</v>
      </c>
    </row>
    <row r="247" spans="1:10">
      <c r="A247" s="101"/>
      <c r="B247" s="70" t="str">
        <f>IF(ISBLANK(A247),"",INDEX('Error Log'!$A:$J,MATCH('Scores per segment'!$A247,'Error Log'!$A:$A,0),MATCH('Scores per segment'!B$1,'Error Log'!$A$1:$J$1,0)))</f>
        <v/>
      </c>
      <c r="C247" s="70" t="str">
        <f>IF(ISBLANK(A247),"",INDEX('Error Log'!$A:$J,MATCH('Scores per segment'!$A247,'Error Log'!$A:$A,0),MATCH('Scores per segment'!C$1,'Error Log'!$A$1:$J$1,0)))</f>
        <v/>
      </c>
      <c r="D247" s="70">
        <f>IF(H247=0,wdct(TRIM(C247)),0)</f>
        <v>0</v>
      </c>
      <c r="E247" s="70">
        <f>COUNTIFS('Error Log'!$A:$A,$A247,'Error Log'!$J:$J,E$1)</f>
        <v>0</v>
      </c>
      <c r="F247" s="70">
        <f>COUNTIFS('Error Log'!$A:$A,$A247,'Error Log'!$J:$J,F$1)</f>
        <v>0</v>
      </c>
      <c r="G247" s="70">
        <f>COUNTIFS('Error Log'!$A:$A,$A247,'Error Log'!$J:$J,G$1)</f>
        <v>0</v>
      </c>
      <c r="H247" s="70">
        <f>COUNTIFS('Error Log'!$A:$A,$A247,'Error Log'!$F:$F,"Source")</f>
        <v>0</v>
      </c>
      <c r="I247" s="70">
        <f>COUNTIFS('Error Log'!$A:$A,$A247,'Error Log'!$F:$F,"Target")</f>
        <v>0</v>
      </c>
      <c r="J247" s="71">
        <f t="shared" si="3"/>
        <v>0</v>
      </c>
    </row>
    <row r="248" spans="1:10">
      <c r="A248" s="101"/>
      <c r="B248" s="70" t="str">
        <f>IF(ISBLANK(A248),"",INDEX('Error Log'!$A:$J,MATCH('Scores per segment'!$A248,'Error Log'!$A:$A,0),MATCH('Scores per segment'!B$1,'Error Log'!$A$1:$J$1,0)))</f>
        <v/>
      </c>
      <c r="C248" s="70" t="str">
        <f>IF(ISBLANK(A248),"",INDEX('Error Log'!$A:$J,MATCH('Scores per segment'!$A248,'Error Log'!$A:$A,0),MATCH('Scores per segment'!C$1,'Error Log'!$A$1:$J$1,0)))</f>
        <v/>
      </c>
      <c r="D248" s="70">
        <f>IF(H248=0,wdct(TRIM(C248)),0)</f>
        <v>0</v>
      </c>
      <c r="E248" s="70">
        <f>COUNTIFS('Error Log'!$A:$A,$A248,'Error Log'!$J:$J,E$1)</f>
        <v>0</v>
      </c>
      <c r="F248" s="70">
        <f>COUNTIFS('Error Log'!$A:$A,$A248,'Error Log'!$J:$J,F$1)</f>
        <v>0</v>
      </c>
      <c r="G248" s="70">
        <f>COUNTIFS('Error Log'!$A:$A,$A248,'Error Log'!$J:$J,G$1)</f>
        <v>0</v>
      </c>
      <c r="H248" s="70">
        <f>COUNTIFS('Error Log'!$A:$A,$A248,'Error Log'!$F:$F,"Source")</f>
        <v>0</v>
      </c>
      <c r="I248" s="70">
        <f>COUNTIFS('Error Log'!$A:$A,$A248,'Error Log'!$F:$F,"Target")</f>
        <v>0</v>
      </c>
      <c r="J248" s="71">
        <f t="shared" si="3"/>
        <v>0</v>
      </c>
    </row>
    <row r="249" spans="1:10">
      <c r="A249" s="101"/>
      <c r="B249" s="70" t="str">
        <f>IF(ISBLANK(A249),"",INDEX('Error Log'!$A:$J,MATCH('Scores per segment'!$A249,'Error Log'!$A:$A,0),MATCH('Scores per segment'!B$1,'Error Log'!$A$1:$J$1,0)))</f>
        <v/>
      </c>
      <c r="C249" s="70" t="str">
        <f>IF(ISBLANK(A249),"",INDEX('Error Log'!$A:$J,MATCH('Scores per segment'!$A249,'Error Log'!$A:$A,0),MATCH('Scores per segment'!C$1,'Error Log'!$A$1:$J$1,0)))</f>
        <v/>
      </c>
      <c r="D249" s="70">
        <f>IF(H249=0,wdct(TRIM(C249)),0)</f>
        <v>0</v>
      </c>
      <c r="E249" s="70">
        <f>COUNTIFS('Error Log'!$A:$A,$A249,'Error Log'!$J:$J,E$1)</f>
        <v>0</v>
      </c>
      <c r="F249" s="70">
        <f>COUNTIFS('Error Log'!$A:$A,$A249,'Error Log'!$J:$J,F$1)</f>
        <v>0</v>
      </c>
      <c r="G249" s="70">
        <f>COUNTIFS('Error Log'!$A:$A,$A249,'Error Log'!$J:$J,G$1)</f>
        <v>0</v>
      </c>
      <c r="H249" s="70">
        <f>COUNTIFS('Error Log'!$A:$A,$A249,'Error Log'!$F:$F,"Source")</f>
        <v>0</v>
      </c>
      <c r="I249" s="70">
        <f>COUNTIFS('Error Log'!$A:$A,$A249,'Error Log'!$F:$F,"Target")</f>
        <v>0</v>
      </c>
      <c r="J249" s="71">
        <f t="shared" si="3"/>
        <v>0</v>
      </c>
    </row>
    <row r="250" spans="1:10">
      <c r="A250" s="101"/>
      <c r="B250" s="70" t="str">
        <f>IF(ISBLANK(A250),"",INDEX('Error Log'!$A:$J,MATCH('Scores per segment'!$A250,'Error Log'!$A:$A,0),MATCH('Scores per segment'!B$1,'Error Log'!$A$1:$J$1,0)))</f>
        <v/>
      </c>
      <c r="C250" s="70" t="str">
        <f>IF(ISBLANK(A250),"",INDEX('Error Log'!$A:$J,MATCH('Scores per segment'!$A250,'Error Log'!$A:$A,0),MATCH('Scores per segment'!C$1,'Error Log'!$A$1:$J$1,0)))</f>
        <v/>
      </c>
      <c r="D250" s="70">
        <f>IF(H250=0,wdct(TRIM(C250)),0)</f>
        <v>0</v>
      </c>
      <c r="E250" s="70">
        <f>COUNTIFS('Error Log'!$A:$A,$A250,'Error Log'!$J:$J,E$1)</f>
        <v>0</v>
      </c>
      <c r="F250" s="70">
        <f>COUNTIFS('Error Log'!$A:$A,$A250,'Error Log'!$J:$J,F$1)</f>
        <v>0</v>
      </c>
      <c r="G250" s="70">
        <f>COUNTIFS('Error Log'!$A:$A,$A250,'Error Log'!$J:$J,G$1)</f>
        <v>0</v>
      </c>
      <c r="H250" s="70">
        <f>COUNTIFS('Error Log'!$A:$A,$A250,'Error Log'!$F:$F,"Source")</f>
        <v>0</v>
      </c>
      <c r="I250" s="70">
        <f>COUNTIFS('Error Log'!$A:$A,$A250,'Error Log'!$F:$F,"Target")</f>
        <v>0</v>
      </c>
      <c r="J250" s="71">
        <f t="shared" si="3"/>
        <v>0</v>
      </c>
    </row>
    <row r="251" spans="1:10">
      <c r="A251" s="101"/>
      <c r="B251" s="70" t="str">
        <f>IF(ISBLANK(A251),"",INDEX('Error Log'!$A:$J,MATCH('Scores per segment'!$A251,'Error Log'!$A:$A,0),MATCH('Scores per segment'!B$1,'Error Log'!$A$1:$J$1,0)))</f>
        <v/>
      </c>
      <c r="C251" s="70" t="str">
        <f>IF(ISBLANK(A251),"",INDEX('Error Log'!$A:$J,MATCH('Scores per segment'!$A251,'Error Log'!$A:$A,0),MATCH('Scores per segment'!C$1,'Error Log'!$A$1:$J$1,0)))</f>
        <v/>
      </c>
      <c r="D251" s="70">
        <f>IF(H251=0,wdct(TRIM(C251)),0)</f>
        <v>0</v>
      </c>
      <c r="E251" s="70">
        <f>COUNTIFS('Error Log'!$A:$A,$A251,'Error Log'!$J:$J,E$1)</f>
        <v>0</v>
      </c>
      <c r="F251" s="70">
        <f>COUNTIFS('Error Log'!$A:$A,$A251,'Error Log'!$J:$J,F$1)</f>
        <v>0</v>
      </c>
      <c r="G251" s="70">
        <f>COUNTIFS('Error Log'!$A:$A,$A251,'Error Log'!$J:$J,G$1)</f>
        <v>0</v>
      </c>
      <c r="H251" s="70">
        <f>COUNTIFS('Error Log'!$A:$A,$A251,'Error Log'!$F:$F,"Source")</f>
        <v>0</v>
      </c>
      <c r="I251" s="70">
        <f>COUNTIFS('Error Log'!$A:$A,$A251,'Error Log'!$F:$F,"Target")</f>
        <v>0</v>
      </c>
      <c r="J251" s="71">
        <f t="shared" si="3"/>
        <v>0</v>
      </c>
    </row>
    <row r="252" spans="1:10">
      <c r="A252" s="101"/>
      <c r="B252" s="70" t="str">
        <f>IF(ISBLANK(A252),"",INDEX('Error Log'!$A:$J,MATCH('Scores per segment'!$A252,'Error Log'!$A:$A,0),MATCH('Scores per segment'!B$1,'Error Log'!$A$1:$J$1,0)))</f>
        <v/>
      </c>
      <c r="C252" s="70" t="str">
        <f>IF(ISBLANK(A252),"",INDEX('Error Log'!$A:$J,MATCH('Scores per segment'!$A252,'Error Log'!$A:$A,0),MATCH('Scores per segment'!C$1,'Error Log'!$A$1:$J$1,0)))</f>
        <v/>
      </c>
      <c r="D252" s="70">
        <f>IF(H252=0,wdct(TRIM(C252)),0)</f>
        <v>0</v>
      </c>
      <c r="E252" s="70">
        <f>COUNTIFS('Error Log'!$A:$A,$A252,'Error Log'!$J:$J,E$1)</f>
        <v>0</v>
      </c>
      <c r="F252" s="70">
        <f>COUNTIFS('Error Log'!$A:$A,$A252,'Error Log'!$J:$J,F$1)</f>
        <v>0</v>
      </c>
      <c r="G252" s="70">
        <f>COUNTIFS('Error Log'!$A:$A,$A252,'Error Log'!$J:$J,G$1)</f>
        <v>0</v>
      </c>
      <c r="H252" s="70">
        <f>COUNTIFS('Error Log'!$A:$A,$A252,'Error Log'!$F:$F,"Source")</f>
        <v>0</v>
      </c>
      <c r="I252" s="70">
        <f>COUNTIFS('Error Log'!$A:$A,$A252,'Error Log'!$F:$F,"Target")</f>
        <v>0</v>
      </c>
      <c r="J252" s="71">
        <f t="shared" si="3"/>
        <v>0</v>
      </c>
    </row>
    <row r="253" spans="1:10">
      <c r="A253" s="101"/>
      <c r="B253" s="70" t="str">
        <f>IF(ISBLANK(A253),"",INDEX('Error Log'!$A:$J,MATCH('Scores per segment'!$A253,'Error Log'!$A:$A,0),MATCH('Scores per segment'!B$1,'Error Log'!$A$1:$J$1,0)))</f>
        <v/>
      </c>
      <c r="C253" s="70" t="str">
        <f>IF(ISBLANK(A253),"",INDEX('Error Log'!$A:$J,MATCH('Scores per segment'!$A253,'Error Log'!$A:$A,0),MATCH('Scores per segment'!C$1,'Error Log'!$A$1:$J$1,0)))</f>
        <v/>
      </c>
      <c r="D253" s="70">
        <f>IF(H253=0,wdct(TRIM(C253)),0)</f>
        <v>0</v>
      </c>
      <c r="E253" s="70">
        <f>COUNTIFS('Error Log'!$A:$A,$A253,'Error Log'!$J:$J,E$1)</f>
        <v>0</v>
      </c>
      <c r="F253" s="70">
        <f>COUNTIFS('Error Log'!$A:$A,$A253,'Error Log'!$J:$J,F$1)</f>
        <v>0</v>
      </c>
      <c r="G253" s="70">
        <f>COUNTIFS('Error Log'!$A:$A,$A253,'Error Log'!$J:$J,G$1)</f>
        <v>0</v>
      </c>
      <c r="H253" s="70">
        <f>COUNTIFS('Error Log'!$A:$A,$A253,'Error Log'!$F:$F,"Source")</f>
        <v>0</v>
      </c>
      <c r="I253" s="70">
        <f>COUNTIFS('Error Log'!$A:$A,$A253,'Error Log'!$F:$F,"Target")</f>
        <v>0</v>
      </c>
      <c r="J253" s="71">
        <f t="shared" si="3"/>
        <v>0</v>
      </c>
    </row>
    <row r="254" spans="1:10">
      <c r="A254" s="101"/>
      <c r="B254" s="70" t="str">
        <f>IF(ISBLANK(A254),"",INDEX('Error Log'!$A:$J,MATCH('Scores per segment'!$A254,'Error Log'!$A:$A,0),MATCH('Scores per segment'!B$1,'Error Log'!$A$1:$J$1,0)))</f>
        <v/>
      </c>
      <c r="C254" s="70" t="str">
        <f>IF(ISBLANK(A254),"",INDEX('Error Log'!$A:$J,MATCH('Scores per segment'!$A254,'Error Log'!$A:$A,0),MATCH('Scores per segment'!C$1,'Error Log'!$A$1:$J$1,0)))</f>
        <v/>
      </c>
      <c r="D254" s="70">
        <f>IF(H254=0,wdct(TRIM(C254)),0)</f>
        <v>0</v>
      </c>
      <c r="E254" s="70">
        <f>COUNTIFS('Error Log'!$A:$A,$A254,'Error Log'!$J:$J,E$1)</f>
        <v>0</v>
      </c>
      <c r="F254" s="70">
        <f>COUNTIFS('Error Log'!$A:$A,$A254,'Error Log'!$J:$J,F$1)</f>
        <v>0</v>
      </c>
      <c r="G254" s="70">
        <f>COUNTIFS('Error Log'!$A:$A,$A254,'Error Log'!$J:$J,G$1)</f>
        <v>0</v>
      </c>
      <c r="H254" s="70">
        <f>COUNTIFS('Error Log'!$A:$A,$A254,'Error Log'!$F:$F,"Source")</f>
        <v>0</v>
      </c>
      <c r="I254" s="70">
        <f>COUNTIFS('Error Log'!$A:$A,$A254,'Error Log'!$F:$F,"Target")</f>
        <v>0</v>
      </c>
      <c r="J254" s="71">
        <f t="shared" si="3"/>
        <v>0</v>
      </c>
    </row>
    <row r="255" spans="1:10">
      <c r="A255" s="101"/>
      <c r="B255" s="70" t="str">
        <f>IF(ISBLANK(A255),"",INDEX('Error Log'!$A:$J,MATCH('Scores per segment'!$A255,'Error Log'!$A:$A,0),MATCH('Scores per segment'!B$1,'Error Log'!$A$1:$J$1,0)))</f>
        <v/>
      </c>
      <c r="C255" s="70" t="str">
        <f>IF(ISBLANK(A255),"",INDEX('Error Log'!$A:$J,MATCH('Scores per segment'!$A255,'Error Log'!$A:$A,0),MATCH('Scores per segment'!C$1,'Error Log'!$A$1:$J$1,0)))</f>
        <v/>
      </c>
      <c r="D255" s="70">
        <f>IF(H255=0,wdct(TRIM(C255)),0)</f>
        <v>0</v>
      </c>
      <c r="E255" s="70">
        <f>COUNTIFS('Error Log'!$A:$A,$A255,'Error Log'!$J:$J,E$1)</f>
        <v>0</v>
      </c>
      <c r="F255" s="70">
        <f>COUNTIFS('Error Log'!$A:$A,$A255,'Error Log'!$J:$J,F$1)</f>
        <v>0</v>
      </c>
      <c r="G255" s="70">
        <f>COUNTIFS('Error Log'!$A:$A,$A255,'Error Log'!$J:$J,G$1)</f>
        <v>0</v>
      </c>
      <c r="H255" s="70">
        <f>COUNTIFS('Error Log'!$A:$A,$A255,'Error Log'!$F:$F,"Source")</f>
        <v>0</v>
      </c>
      <c r="I255" s="70">
        <f>COUNTIFS('Error Log'!$A:$A,$A255,'Error Log'!$F:$F,"Target")</f>
        <v>0</v>
      </c>
      <c r="J255" s="71">
        <f t="shared" si="3"/>
        <v>0</v>
      </c>
    </row>
    <row r="256" spans="1:10">
      <c r="A256" s="101"/>
      <c r="B256" s="70" t="str">
        <f>IF(ISBLANK(A256),"",INDEX('Error Log'!$A:$J,MATCH('Scores per segment'!$A256,'Error Log'!$A:$A,0),MATCH('Scores per segment'!B$1,'Error Log'!$A$1:$J$1,0)))</f>
        <v/>
      </c>
      <c r="C256" s="70" t="str">
        <f>IF(ISBLANK(A256),"",INDEX('Error Log'!$A:$J,MATCH('Scores per segment'!$A256,'Error Log'!$A:$A,0),MATCH('Scores per segment'!C$1,'Error Log'!$A$1:$J$1,0)))</f>
        <v/>
      </c>
      <c r="D256" s="70">
        <f>IF(H256=0,wdct(TRIM(C256)),0)</f>
        <v>0</v>
      </c>
      <c r="E256" s="70">
        <f>COUNTIFS('Error Log'!$A:$A,$A256,'Error Log'!$J:$J,E$1)</f>
        <v>0</v>
      </c>
      <c r="F256" s="70">
        <f>COUNTIFS('Error Log'!$A:$A,$A256,'Error Log'!$J:$J,F$1)</f>
        <v>0</v>
      </c>
      <c r="G256" s="70">
        <f>COUNTIFS('Error Log'!$A:$A,$A256,'Error Log'!$J:$J,G$1)</f>
        <v>0</v>
      </c>
      <c r="H256" s="70">
        <f>COUNTIFS('Error Log'!$A:$A,$A256,'Error Log'!$F:$F,"Source")</f>
        <v>0</v>
      </c>
      <c r="I256" s="70">
        <f>COUNTIFS('Error Log'!$A:$A,$A256,'Error Log'!$F:$F,"Target")</f>
        <v>0</v>
      </c>
      <c r="J256" s="71">
        <f t="shared" si="3"/>
        <v>0</v>
      </c>
    </row>
    <row r="257" spans="1:10">
      <c r="A257" s="101"/>
      <c r="B257" s="70" t="str">
        <f>IF(ISBLANK(A257),"",INDEX('Error Log'!$A:$J,MATCH('Scores per segment'!$A257,'Error Log'!$A:$A,0),MATCH('Scores per segment'!B$1,'Error Log'!$A$1:$J$1,0)))</f>
        <v/>
      </c>
      <c r="C257" s="70" t="str">
        <f>IF(ISBLANK(A257),"",INDEX('Error Log'!$A:$J,MATCH('Scores per segment'!$A257,'Error Log'!$A:$A,0),MATCH('Scores per segment'!C$1,'Error Log'!$A$1:$J$1,0)))</f>
        <v/>
      </c>
      <c r="D257" s="70">
        <f>IF(H257=0,wdct(TRIM(C257)),0)</f>
        <v>0</v>
      </c>
      <c r="E257" s="70">
        <f>COUNTIFS('Error Log'!$A:$A,$A257,'Error Log'!$J:$J,E$1)</f>
        <v>0</v>
      </c>
      <c r="F257" s="70">
        <f>COUNTIFS('Error Log'!$A:$A,$A257,'Error Log'!$J:$J,F$1)</f>
        <v>0</v>
      </c>
      <c r="G257" s="70">
        <f>COUNTIFS('Error Log'!$A:$A,$A257,'Error Log'!$J:$J,G$1)</f>
        <v>0</v>
      </c>
      <c r="H257" s="70">
        <f>COUNTIFS('Error Log'!$A:$A,$A257,'Error Log'!$F:$F,"Source")</f>
        <v>0</v>
      </c>
      <c r="I257" s="70">
        <f>COUNTIFS('Error Log'!$A:$A,$A257,'Error Log'!$F:$F,"Target")</f>
        <v>0</v>
      </c>
      <c r="J257" s="71">
        <f t="shared" si="3"/>
        <v>0</v>
      </c>
    </row>
    <row r="258" spans="1:10">
      <c r="A258" s="101"/>
      <c r="B258" s="70" t="str">
        <f>IF(ISBLANK(A258),"",INDEX('Error Log'!$A:$J,MATCH('Scores per segment'!$A258,'Error Log'!$A:$A,0),MATCH('Scores per segment'!B$1,'Error Log'!$A$1:$J$1,0)))</f>
        <v/>
      </c>
      <c r="C258" s="70" t="str">
        <f>IF(ISBLANK(A258),"",INDEX('Error Log'!$A:$J,MATCH('Scores per segment'!$A258,'Error Log'!$A:$A,0),MATCH('Scores per segment'!C$1,'Error Log'!$A$1:$J$1,0)))</f>
        <v/>
      </c>
      <c r="D258" s="70">
        <f>IF(H258=0,wdct(TRIM(C258)),0)</f>
        <v>0</v>
      </c>
      <c r="E258" s="70">
        <f>COUNTIFS('Error Log'!$A:$A,$A258,'Error Log'!$J:$J,E$1)</f>
        <v>0</v>
      </c>
      <c r="F258" s="70">
        <f>COUNTIFS('Error Log'!$A:$A,$A258,'Error Log'!$J:$J,F$1)</f>
        <v>0</v>
      </c>
      <c r="G258" s="70">
        <f>COUNTIFS('Error Log'!$A:$A,$A258,'Error Log'!$J:$J,G$1)</f>
        <v>0</v>
      </c>
      <c r="H258" s="70">
        <f>COUNTIFS('Error Log'!$A:$A,$A258,'Error Log'!$F:$F,"Source")</f>
        <v>0</v>
      </c>
      <c r="I258" s="70">
        <f>COUNTIFS('Error Log'!$A:$A,$A258,'Error Log'!$F:$F,"Target")</f>
        <v>0</v>
      </c>
      <c r="J258" s="71">
        <f t="shared" ref="J258:J321" si="4">IF(I258=0,IFERROR((((1-((E258*10+F258*5+G258*1)/D258))*100)+100)/2,0),-150)</f>
        <v>0</v>
      </c>
    </row>
    <row r="259" spans="1:10">
      <c r="A259" s="101"/>
      <c r="B259" s="70" t="str">
        <f>IF(ISBLANK(A259),"",INDEX('Error Log'!$A:$J,MATCH('Scores per segment'!$A259,'Error Log'!$A:$A,0),MATCH('Scores per segment'!B$1,'Error Log'!$A$1:$J$1,0)))</f>
        <v/>
      </c>
      <c r="C259" s="70" t="str">
        <f>IF(ISBLANK(A259),"",INDEX('Error Log'!$A:$J,MATCH('Scores per segment'!$A259,'Error Log'!$A:$A,0),MATCH('Scores per segment'!C$1,'Error Log'!$A$1:$J$1,0)))</f>
        <v/>
      </c>
      <c r="D259" s="70">
        <f>IF(H259=0,wdct(TRIM(C259)),0)</f>
        <v>0</v>
      </c>
      <c r="E259" s="70">
        <f>COUNTIFS('Error Log'!$A:$A,$A259,'Error Log'!$J:$J,E$1)</f>
        <v>0</v>
      </c>
      <c r="F259" s="70">
        <f>COUNTIFS('Error Log'!$A:$A,$A259,'Error Log'!$J:$J,F$1)</f>
        <v>0</v>
      </c>
      <c r="G259" s="70">
        <f>COUNTIFS('Error Log'!$A:$A,$A259,'Error Log'!$J:$J,G$1)</f>
        <v>0</v>
      </c>
      <c r="H259" s="70">
        <f>COUNTIFS('Error Log'!$A:$A,$A259,'Error Log'!$F:$F,"Source")</f>
        <v>0</v>
      </c>
      <c r="I259" s="70">
        <f>COUNTIFS('Error Log'!$A:$A,$A259,'Error Log'!$F:$F,"Target")</f>
        <v>0</v>
      </c>
      <c r="J259" s="71">
        <f t="shared" si="4"/>
        <v>0</v>
      </c>
    </row>
    <row r="260" spans="1:10">
      <c r="A260" s="101"/>
      <c r="B260" s="70" t="str">
        <f>IF(ISBLANK(A260),"",INDEX('Error Log'!$A:$J,MATCH('Scores per segment'!$A260,'Error Log'!$A:$A,0),MATCH('Scores per segment'!B$1,'Error Log'!$A$1:$J$1,0)))</f>
        <v/>
      </c>
      <c r="C260" s="70" t="str">
        <f>IF(ISBLANK(A260),"",INDEX('Error Log'!$A:$J,MATCH('Scores per segment'!$A260,'Error Log'!$A:$A,0),MATCH('Scores per segment'!C$1,'Error Log'!$A$1:$J$1,0)))</f>
        <v/>
      </c>
      <c r="D260" s="70">
        <f>IF(H260=0,wdct(TRIM(C260)),0)</f>
        <v>0</v>
      </c>
      <c r="E260" s="70">
        <f>COUNTIFS('Error Log'!$A:$A,$A260,'Error Log'!$J:$J,E$1)</f>
        <v>0</v>
      </c>
      <c r="F260" s="70">
        <f>COUNTIFS('Error Log'!$A:$A,$A260,'Error Log'!$J:$J,F$1)</f>
        <v>0</v>
      </c>
      <c r="G260" s="70">
        <f>COUNTIFS('Error Log'!$A:$A,$A260,'Error Log'!$J:$J,G$1)</f>
        <v>0</v>
      </c>
      <c r="H260" s="70">
        <f>COUNTIFS('Error Log'!$A:$A,$A260,'Error Log'!$F:$F,"Source")</f>
        <v>0</v>
      </c>
      <c r="I260" s="70">
        <f>COUNTIFS('Error Log'!$A:$A,$A260,'Error Log'!$F:$F,"Target")</f>
        <v>0</v>
      </c>
      <c r="J260" s="71">
        <f t="shared" si="4"/>
        <v>0</v>
      </c>
    </row>
    <row r="261" spans="1:10">
      <c r="A261" s="101"/>
      <c r="B261" s="70" t="str">
        <f>IF(ISBLANK(A261),"",INDEX('Error Log'!$A:$J,MATCH('Scores per segment'!$A261,'Error Log'!$A:$A,0),MATCH('Scores per segment'!B$1,'Error Log'!$A$1:$J$1,0)))</f>
        <v/>
      </c>
      <c r="C261" s="70" t="str">
        <f>IF(ISBLANK(A261),"",INDEX('Error Log'!$A:$J,MATCH('Scores per segment'!$A261,'Error Log'!$A:$A,0),MATCH('Scores per segment'!C$1,'Error Log'!$A$1:$J$1,0)))</f>
        <v/>
      </c>
      <c r="D261" s="70">
        <f>IF(H261=0,wdct(TRIM(C261)),0)</f>
        <v>0</v>
      </c>
      <c r="E261" s="70">
        <f>COUNTIFS('Error Log'!$A:$A,$A261,'Error Log'!$J:$J,E$1)</f>
        <v>0</v>
      </c>
      <c r="F261" s="70">
        <f>COUNTIFS('Error Log'!$A:$A,$A261,'Error Log'!$J:$J,F$1)</f>
        <v>0</v>
      </c>
      <c r="G261" s="70">
        <f>COUNTIFS('Error Log'!$A:$A,$A261,'Error Log'!$J:$J,G$1)</f>
        <v>0</v>
      </c>
      <c r="H261" s="70">
        <f>COUNTIFS('Error Log'!$A:$A,$A261,'Error Log'!$F:$F,"Source")</f>
        <v>0</v>
      </c>
      <c r="I261" s="70">
        <f>COUNTIFS('Error Log'!$A:$A,$A261,'Error Log'!$F:$F,"Target")</f>
        <v>0</v>
      </c>
      <c r="J261" s="71">
        <f t="shared" si="4"/>
        <v>0</v>
      </c>
    </row>
    <row r="262" spans="1:10">
      <c r="A262" s="101"/>
      <c r="B262" s="70" t="str">
        <f>IF(ISBLANK(A262),"",INDEX('Error Log'!$A:$J,MATCH('Scores per segment'!$A262,'Error Log'!$A:$A,0),MATCH('Scores per segment'!B$1,'Error Log'!$A$1:$J$1,0)))</f>
        <v/>
      </c>
      <c r="C262" s="70" t="str">
        <f>IF(ISBLANK(A262),"",INDEX('Error Log'!$A:$J,MATCH('Scores per segment'!$A262,'Error Log'!$A:$A,0),MATCH('Scores per segment'!C$1,'Error Log'!$A$1:$J$1,0)))</f>
        <v/>
      </c>
      <c r="D262" s="70">
        <f>IF(H262=0,wdct(TRIM(C262)),0)</f>
        <v>0</v>
      </c>
      <c r="E262" s="70">
        <f>COUNTIFS('Error Log'!$A:$A,$A262,'Error Log'!$J:$J,E$1)</f>
        <v>0</v>
      </c>
      <c r="F262" s="70">
        <f>COUNTIFS('Error Log'!$A:$A,$A262,'Error Log'!$J:$J,F$1)</f>
        <v>0</v>
      </c>
      <c r="G262" s="70">
        <f>COUNTIFS('Error Log'!$A:$A,$A262,'Error Log'!$J:$J,G$1)</f>
        <v>0</v>
      </c>
      <c r="H262" s="70">
        <f>COUNTIFS('Error Log'!$A:$A,$A262,'Error Log'!$F:$F,"Source")</f>
        <v>0</v>
      </c>
      <c r="I262" s="70">
        <f>COUNTIFS('Error Log'!$A:$A,$A262,'Error Log'!$F:$F,"Target")</f>
        <v>0</v>
      </c>
      <c r="J262" s="71">
        <f t="shared" si="4"/>
        <v>0</v>
      </c>
    </row>
    <row r="263" spans="1:10">
      <c r="A263" s="101"/>
      <c r="B263" s="70" t="str">
        <f>IF(ISBLANK(A263),"",INDEX('Error Log'!$A:$J,MATCH('Scores per segment'!$A263,'Error Log'!$A:$A,0),MATCH('Scores per segment'!B$1,'Error Log'!$A$1:$J$1,0)))</f>
        <v/>
      </c>
      <c r="C263" s="70" t="str">
        <f>IF(ISBLANK(A263),"",INDEX('Error Log'!$A:$J,MATCH('Scores per segment'!$A263,'Error Log'!$A:$A,0),MATCH('Scores per segment'!C$1,'Error Log'!$A$1:$J$1,0)))</f>
        <v/>
      </c>
      <c r="D263" s="70">
        <f>IF(H263=0,wdct(TRIM(C263)),0)</f>
        <v>0</v>
      </c>
      <c r="E263" s="70">
        <f>COUNTIFS('Error Log'!$A:$A,$A263,'Error Log'!$J:$J,E$1)</f>
        <v>0</v>
      </c>
      <c r="F263" s="70">
        <f>COUNTIFS('Error Log'!$A:$A,$A263,'Error Log'!$J:$J,F$1)</f>
        <v>0</v>
      </c>
      <c r="G263" s="70">
        <f>COUNTIFS('Error Log'!$A:$A,$A263,'Error Log'!$J:$J,G$1)</f>
        <v>0</v>
      </c>
      <c r="H263" s="70">
        <f>COUNTIFS('Error Log'!$A:$A,$A263,'Error Log'!$F:$F,"Source")</f>
        <v>0</v>
      </c>
      <c r="I263" s="70">
        <f>COUNTIFS('Error Log'!$A:$A,$A263,'Error Log'!$F:$F,"Target")</f>
        <v>0</v>
      </c>
      <c r="J263" s="71">
        <f t="shared" si="4"/>
        <v>0</v>
      </c>
    </row>
    <row r="264" spans="1:10">
      <c r="A264" s="101"/>
      <c r="B264" s="70" t="str">
        <f>IF(ISBLANK(A264),"",INDEX('Error Log'!$A:$J,MATCH('Scores per segment'!$A264,'Error Log'!$A:$A,0),MATCH('Scores per segment'!B$1,'Error Log'!$A$1:$J$1,0)))</f>
        <v/>
      </c>
      <c r="C264" s="70" t="str">
        <f>IF(ISBLANK(A264),"",INDEX('Error Log'!$A:$J,MATCH('Scores per segment'!$A264,'Error Log'!$A:$A,0),MATCH('Scores per segment'!C$1,'Error Log'!$A$1:$J$1,0)))</f>
        <v/>
      </c>
      <c r="D264" s="70">
        <f>IF(H264=0,wdct(TRIM(C264)),0)</f>
        <v>0</v>
      </c>
      <c r="E264" s="70">
        <f>COUNTIFS('Error Log'!$A:$A,$A264,'Error Log'!$J:$J,E$1)</f>
        <v>0</v>
      </c>
      <c r="F264" s="70">
        <f>COUNTIFS('Error Log'!$A:$A,$A264,'Error Log'!$J:$J,F$1)</f>
        <v>0</v>
      </c>
      <c r="G264" s="70">
        <f>COUNTIFS('Error Log'!$A:$A,$A264,'Error Log'!$J:$J,G$1)</f>
        <v>0</v>
      </c>
      <c r="H264" s="70">
        <f>COUNTIFS('Error Log'!$A:$A,$A264,'Error Log'!$F:$F,"Source")</f>
        <v>0</v>
      </c>
      <c r="I264" s="70">
        <f>COUNTIFS('Error Log'!$A:$A,$A264,'Error Log'!$F:$F,"Target")</f>
        <v>0</v>
      </c>
      <c r="J264" s="71">
        <f t="shared" si="4"/>
        <v>0</v>
      </c>
    </row>
    <row r="265" spans="1:10">
      <c r="A265" s="101"/>
      <c r="B265" s="70" t="str">
        <f>IF(ISBLANK(A265),"",INDEX('Error Log'!$A:$J,MATCH('Scores per segment'!$A265,'Error Log'!$A:$A,0),MATCH('Scores per segment'!B$1,'Error Log'!$A$1:$J$1,0)))</f>
        <v/>
      </c>
      <c r="C265" s="70" t="str">
        <f>IF(ISBLANK(A265),"",INDEX('Error Log'!$A:$J,MATCH('Scores per segment'!$A265,'Error Log'!$A:$A,0),MATCH('Scores per segment'!C$1,'Error Log'!$A$1:$J$1,0)))</f>
        <v/>
      </c>
      <c r="D265" s="70">
        <f>IF(H265=0,wdct(TRIM(C265)),0)</f>
        <v>0</v>
      </c>
      <c r="E265" s="70">
        <f>COUNTIFS('Error Log'!$A:$A,$A265,'Error Log'!$J:$J,E$1)</f>
        <v>0</v>
      </c>
      <c r="F265" s="70">
        <f>COUNTIFS('Error Log'!$A:$A,$A265,'Error Log'!$J:$J,F$1)</f>
        <v>0</v>
      </c>
      <c r="G265" s="70">
        <f>COUNTIFS('Error Log'!$A:$A,$A265,'Error Log'!$J:$J,G$1)</f>
        <v>0</v>
      </c>
      <c r="H265" s="70">
        <f>COUNTIFS('Error Log'!$A:$A,$A265,'Error Log'!$F:$F,"Source")</f>
        <v>0</v>
      </c>
      <c r="I265" s="70">
        <f>COUNTIFS('Error Log'!$A:$A,$A265,'Error Log'!$F:$F,"Target")</f>
        <v>0</v>
      </c>
      <c r="J265" s="71">
        <f t="shared" si="4"/>
        <v>0</v>
      </c>
    </row>
    <row r="266" spans="1:10">
      <c r="A266" s="101"/>
      <c r="B266" s="70" t="str">
        <f>IF(ISBLANK(A266),"",INDEX('Error Log'!$A:$J,MATCH('Scores per segment'!$A266,'Error Log'!$A:$A,0),MATCH('Scores per segment'!B$1,'Error Log'!$A$1:$J$1,0)))</f>
        <v/>
      </c>
      <c r="C266" s="70" t="str">
        <f>IF(ISBLANK(A266),"",INDEX('Error Log'!$A:$J,MATCH('Scores per segment'!$A266,'Error Log'!$A:$A,0),MATCH('Scores per segment'!C$1,'Error Log'!$A$1:$J$1,0)))</f>
        <v/>
      </c>
      <c r="D266" s="70">
        <f>IF(H266=0,wdct(TRIM(C266)),0)</f>
        <v>0</v>
      </c>
      <c r="E266" s="70">
        <f>COUNTIFS('Error Log'!$A:$A,$A266,'Error Log'!$J:$J,E$1)</f>
        <v>0</v>
      </c>
      <c r="F266" s="70">
        <f>COUNTIFS('Error Log'!$A:$A,$A266,'Error Log'!$J:$J,F$1)</f>
        <v>0</v>
      </c>
      <c r="G266" s="70">
        <f>COUNTIFS('Error Log'!$A:$A,$A266,'Error Log'!$J:$J,G$1)</f>
        <v>0</v>
      </c>
      <c r="H266" s="70">
        <f>COUNTIFS('Error Log'!$A:$A,$A266,'Error Log'!$F:$F,"Source")</f>
        <v>0</v>
      </c>
      <c r="I266" s="70">
        <f>COUNTIFS('Error Log'!$A:$A,$A266,'Error Log'!$F:$F,"Target")</f>
        <v>0</v>
      </c>
      <c r="J266" s="71">
        <f t="shared" si="4"/>
        <v>0</v>
      </c>
    </row>
    <row r="267" spans="1:10">
      <c r="A267" s="101"/>
      <c r="B267" s="70" t="str">
        <f>IF(ISBLANK(A267),"",INDEX('Error Log'!$A:$J,MATCH('Scores per segment'!$A267,'Error Log'!$A:$A,0),MATCH('Scores per segment'!B$1,'Error Log'!$A$1:$J$1,0)))</f>
        <v/>
      </c>
      <c r="C267" s="70" t="str">
        <f>IF(ISBLANK(A267),"",INDEX('Error Log'!$A:$J,MATCH('Scores per segment'!$A267,'Error Log'!$A:$A,0),MATCH('Scores per segment'!C$1,'Error Log'!$A$1:$J$1,0)))</f>
        <v/>
      </c>
      <c r="D267" s="70">
        <f>IF(H267=0,wdct(TRIM(C267)),0)</f>
        <v>0</v>
      </c>
      <c r="E267" s="70">
        <f>COUNTIFS('Error Log'!$A:$A,$A267,'Error Log'!$J:$J,E$1)</f>
        <v>0</v>
      </c>
      <c r="F267" s="70">
        <f>COUNTIFS('Error Log'!$A:$A,$A267,'Error Log'!$J:$J,F$1)</f>
        <v>0</v>
      </c>
      <c r="G267" s="70">
        <f>COUNTIFS('Error Log'!$A:$A,$A267,'Error Log'!$J:$J,G$1)</f>
        <v>0</v>
      </c>
      <c r="H267" s="70">
        <f>COUNTIFS('Error Log'!$A:$A,$A267,'Error Log'!$F:$F,"Source")</f>
        <v>0</v>
      </c>
      <c r="I267" s="70">
        <f>COUNTIFS('Error Log'!$A:$A,$A267,'Error Log'!$F:$F,"Target")</f>
        <v>0</v>
      </c>
      <c r="J267" s="71">
        <f t="shared" si="4"/>
        <v>0</v>
      </c>
    </row>
    <row r="268" spans="1:10">
      <c r="A268" s="101"/>
      <c r="B268" s="70" t="str">
        <f>IF(ISBLANK(A268),"",INDEX('Error Log'!$A:$J,MATCH('Scores per segment'!$A268,'Error Log'!$A:$A,0),MATCH('Scores per segment'!B$1,'Error Log'!$A$1:$J$1,0)))</f>
        <v/>
      </c>
      <c r="C268" s="70" t="str">
        <f>IF(ISBLANK(A268),"",INDEX('Error Log'!$A:$J,MATCH('Scores per segment'!$A268,'Error Log'!$A:$A,0),MATCH('Scores per segment'!C$1,'Error Log'!$A$1:$J$1,0)))</f>
        <v/>
      </c>
      <c r="D268" s="70">
        <f>IF(H268=0,wdct(TRIM(C268)),0)</f>
        <v>0</v>
      </c>
      <c r="E268" s="70">
        <f>COUNTIFS('Error Log'!$A:$A,$A268,'Error Log'!$J:$J,E$1)</f>
        <v>0</v>
      </c>
      <c r="F268" s="70">
        <f>COUNTIFS('Error Log'!$A:$A,$A268,'Error Log'!$J:$J,F$1)</f>
        <v>0</v>
      </c>
      <c r="G268" s="70">
        <f>COUNTIFS('Error Log'!$A:$A,$A268,'Error Log'!$J:$J,G$1)</f>
        <v>0</v>
      </c>
      <c r="H268" s="70">
        <f>COUNTIFS('Error Log'!$A:$A,$A268,'Error Log'!$F:$F,"Source")</f>
        <v>0</v>
      </c>
      <c r="I268" s="70">
        <f>COUNTIFS('Error Log'!$A:$A,$A268,'Error Log'!$F:$F,"Target")</f>
        <v>0</v>
      </c>
      <c r="J268" s="71">
        <f t="shared" si="4"/>
        <v>0</v>
      </c>
    </row>
    <row r="269" spans="1:10">
      <c r="A269" s="101"/>
      <c r="B269" s="70" t="str">
        <f>IF(ISBLANK(A269),"",INDEX('Error Log'!$A:$J,MATCH('Scores per segment'!$A269,'Error Log'!$A:$A,0),MATCH('Scores per segment'!B$1,'Error Log'!$A$1:$J$1,0)))</f>
        <v/>
      </c>
      <c r="C269" s="70" t="str">
        <f>IF(ISBLANK(A269),"",INDEX('Error Log'!$A:$J,MATCH('Scores per segment'!$A269,'Error Log'!$A:$A,0),MATCH('Scores per segment'!C$1,'Error Log'!$A$1:$J$1,0)))</f>
        <v/>
      </c>
      <c r="D269" s="70">
        <f>IF(H269=0,wdct(TRIM(C269)),0)</f>
        <v>0</v>
      </c>
      <c r="E269" s="70">
        <f>COUNTIFS('Error Log'!$A:$A,$A269,'Error Log'!$J:$J,E$1)</f>
        <v>0</v>
      </c>
      <c r="F269" s="70">
        <f>COUNTIFS('Error Log'!$A:$A,$A269,'Error Log'!$J:$J,F$1)</f>
        <v>0</v>
      </c>
      <c r="G269" s="70">
        <f>COUNTIFS('Error Log'!$A:$A,$A269,'Error Log'!$J:$J,G$1)</f>
        <v>0</v>
      </c>
      <c r="H269" s="70">
        <f>COUNTIFS('Error Log'!$A:$A,$A269,'Error Log'!$F:$F,"Source")</f>
        <v>0</v>
      </c>
      <c r="I269" s="70">
        <f>COUNTIFS('Error Log'!$A:$A,$A269,'Error Log'!$F:$F,"Target")</f>
        <v>0</v>
      </c>
      <c r="J269" s="71">
        <f t="shared" si="4"/>
        <v>0</v>
      </c>
    </row>
    <row r="270" spans="1:10">
      <c r="A270" s="101"/>
      <c r="B270" s="70" t="str">
        <f>IF(ISBLANK(A270),"",INDEX('Error Log'!$A:$J,MATCH('Scores per segment'!$A270,'Error Log'!$A:$A,0),MATCH('Scores per segment'!B$1,'Error Log'!$A$1:$J$1,0)))</f>
        <v/>
      </c>
      <c r="C270" s="70" t="str">
        <f>IF(ISBLANK(A270),"",INDEX('Error Log'!$A:$J,MATCH('Scores per segment'!$A270,'Error Log'!$A:$A,0),MATCH('Scores per segment'!C$1,'Error Log'!$A$1:$J$1,0)))</f>
        <v/>
      </c>
      <c r="D270" s="70">
        <f>IF(H270=0,wdct(TRIM(C270)),0)</f>
        <v>0</v>
      </c>
      <c r="E270" s="70">
        <f>COUNTIFS('Error Log'!$A:$A,$A270,'Error Log'!$J:$J,E$1)</f>
        <v>0</v>
      </c>
      <c r="F270" s="70">
        <f>COUNTIFS('Error Log'!$A:$A,$A270,'Error Log'!$J:$J,F$1)</f>
        <v>0</v>
      </c>
      <c r="G270" s="70">
        <f>COUNTIFS('Error Log'!$A:$A,$A270,'Error Log'!$J:$J,G$1)</f>
        <v>0</v>
      </c>
      <c r="H270" s="70">
        <f>COUNTIFS('Error Log'!$A:$A,$A270,'Error Log'!$F:$F,"Source")</f>
        <v>0</v>
      </c>
      <c r="I270" s="70">
        <f>COUNTIFS('Error Log'!$A:$A,$A270,'Error Log'!$F:$F,"Target")</f>
        <v>0</v>
      </c>
      <c r="J270" s="71">
        <f t="shared" si="4"/>
        <v>0</v>
      </c>
    </row>
    <row r="271" spans="1:10">
      <c r="A271" s="101"/>
      <c r="B271" s="70" t="str">
        <f>IF(ISBLANK(A271),"",INDEX('Error Log'!$A:$J,MATCH('Scores per segment'!$A271,'Error Log'!$A:$A,0),MATCH('Scores per segment'!B$1,'Error Log'!$A$1:$J$1,0)))</f>
        <v/>
      </c>
      <c r="C271" s="70" t="str">
        <f>IF(ISBLANK(A271),"",INDEX('Error Log'!$A:$J,MATCH('Scores per segment'!$A271,'Error Log'!$A:$A,0),MATCH('Scores per segment'!C$1,'Error Log'!$A$1:$J$1,0)))</f>
        <v/>
      </c>
      <c r="D271" s="70">
        <f>IF(H271=0,wdct(TRIM(C271)),0)</f>
        <v>0</v>
      </c>
      <c r="E271" s="70">
        <f>COUNTIFS('Error Log'!$A:$A,$A271,'Error Log'!$J:$J,E$1)</f>
        <v>0</v>
      </c>
      <c r="F271" s="70">
        <f>COUNTIFS('Error Log'!$A:$A,$A271,'Error Log'!$J:$J,F$1)</f>
        <v>0</v>
      </c>
      <c r="G271" s="70">
        <f>COUNTIFS('Error Log'!$A:$A,$A271,'Error Log'!$J:$J,G$1)</f>
        <v>0</v>
      </c>
      <c r="H271" s="70">
        <f>COUNTIFS('Error Log'!$A:$A,$A271,'Error Log'!$F:$F,"Source")</f>
        <v>0</v>
      </c>
      <c r="I271" s="70">
        <f>COUNTIFS('Error Log'!$A:$A,$A271,'Error Log'!$F:$F,"Target")</f>
        <v>0</v>
      </c>
      <c r="J271" s="71">
        <f t="shared" si="4"/>
        <v>0</v>
      </c>
    </row>
    <row r="272" spans="1:10">
      <c r="A272" s="101"/>
      <c r="B272" s="70" t="str">
        <f>IF(ISBLANK(A272),"",INDEX('Error Log'!$A:$J,MATCH('Scores per segment'!$A272,'Error Log'!$A:$A,0),MATCH('Scores per segment'!B$1,'Error Log'!$A$1:$J$1,0)))</f>
        <v/>
      </c>
      <c r="C272" s="70" t="str">
        <f>IF(ISBLANK(A272),"",INDEX('Error Log'!$A:$J,MATCH('Scores per segment'!$A272,'Error Log'!$A:$A,0),MATCH('Scores per segment'!C$1,'Error Log'!$A$1:$J$1,0)))</f>
        <v/>
      </c>
      <c r="D272" s="70">
        <f>IF(H272=0,wdct(TRIM(C272)),0)</f>
        <v>0</v>
      </c>
      <c r="E272" s="70">
        <f>COUNTIFS('Error Log'!$A:$A,$A272,'Error Log'!$J:$J,E$1)</f>
        <v>0</v>
      </c>
      <c r="F272" s="70">
        <f>COUNTIFS('Error Log'!$A:$A,$A272,'Error Log'!$J:$J,F$1)</f>
        <v>0</v>
      </c>
      <c r="G272" s="70">
        <f>COUNTIFS('Error Log'!$A:$A,$A272,'Error Log'!$J:$J,G$1)</f>
        <v>0</v>
      </c>
      <c r="H272" s="70">
        <f>COUNTIFS('Error Log'!$A:$A,$A272,'Error Log'!$F:$F,"Source")</f>
        <v>0</v>
      </c>
      <c r="I272" s="70">
        <f>COUNTIFS('Error Log'!$A:$A,$A272,'Error Log'!$F:$F,"Target")</f>
        <v>0</v>
      </c>
      <c r="J272" s="71">
        <f t="shared" si="4"/>
        <v>0</v>
      </c>
    </row>
    <row r="273" spans="1:10">
      <c r="A273" s="101"/>
      <c r="B273" s="70" t="str">
        <f>IF(ISBLANK(A273),"",INDEX('Error Log'!$A:$J,MATCH('Scores per segment'!$A273,'Error Log'!$A:$A,0),MATCH('Scores per segment'!B$1,'Error Log'!$A$1:$J$1,0)))</f>
        <v/>
      </c>
      <c r="C273" s="70" t="str">
        <f>IF(ISBLANK(A273),"",INDEX('Error Log'!$A:$J,MATCH('Scores per segment'!$A273,'Error Log'!$A:$A,0),MATCH('Scores per segment'!C$1,'Error Log'!$A$1:$J$1,0)))</f>
        <v/>
      </c>
      <c r="D273" s="70">
        <f>IF(H273=0,wdct(TRIM(C273)),0)</f>
        <v>0</v>
      </c>
      <c r="E273" s="70">
        <f>COUNTIFS('Error Log'!$A:$A,$A273,'Error Log'!$J:$J,E$1)</f>
        <v>0</v>
      </c>
      <c r="F273" s="70">
        <f>COUNTIFS('Error Log'!$A:$A,$A273,'Error Log'!$J:$J,F$1)</f>
        <v>0</v>
      </c>
      <c r="G273" s="70">
        <f>COUNTIFS('Error Log'!$A:$A,$A273,'Error Log'!$J:$J,G$1)</f>
        <v>0</v>
      </c>
      <c r="H273" s="70">
        <f>COUNTIFS('Error Log'!$A:$A,$A273,'Error Log'!$F:$F,"Source")</f>
        <v>0</v>
      </c>
      <c r="I273" s="70">
        <f>COUNTIFS('Error Log'!$A:$A,$A273,'Error Log'!$F:$F,"Target")</f>
        <v>0</v>
      </c>
      <c r="J273" s="71">
        <f t="shared" si="4"/>
        <v>0</v>
      </c>
    </row>
    <row r="274" spans="1:10">
      <c r="A274" s="101"/>
      <c r="B274" s="70" t="str">
        <f>IF(ISBLANK(A274),"",INDEX('Error Log'!$A:$J,MATCH('Scores per segment'!$A274,'Error Log'!$A:$A,0),MATCH('Scores per segment'!B$1,'Error Log'!$A$1:$J$1,0)))</f>
        <v/>
      </c>
      <c r="C274" s="70" t="str">
        <f>IF(ISBLANK(A274),"",INDEX('Error Log'!$A:$J,MATCH('Scores per segment'!$A274,'Error Log'!$A:$A,0),MATCH('Scores per segment'!C$1,'Error Log'!$A$1:$J$1,0)))</f>
        <v/>
      </c>
      <c r="D274" s="70">
        <f>IF(H274=0,wdct(TRIM(C274)),0)</f>
        <v>0</v>
      </c>
      <c r="E274" s="70">
        <f>COUNTIFS('Error Log'!$A:$A,$A274,'Error Log'!$J:$J,E$1)</f>
        <v>0</v>
      </c>
      <c r="F274" s="70">
        <f>COUNTIFS('Error Log'!$A:$A,$A274,'Error Log'!$J:$J,F$1)</f>
        <v>0</v>
      </c>
      <c r="G274" s="70">
        <f>COUNTIFS('Error Log'!$A:$A,$A274,'Error Log'!$J:$J,G$1)</f>
        <v>0</v>
      </c>
      <c r="H274" s="70">
        <f>COUNTIFS('Error Log'!$A:$A,$A274,'Error Log'!$F:$F,"Source")</f>
        <v>0</v>
      </c>
      <c r="I274" s="70">
        <f>COUNTIFS('Error Log'!$A:$A,$A274,'Error Log'!$F:$F,"Target")</f>
        <v>0</v>
      </c>
      <c r="J274" s="71">
        <f t="shared" si="4"/>
        <v>0</v>
      </c>
    </row>
    <row r="275" spans="1:10">
      <c r="A275" s="101"/>
      <c r="B275" s="70" t="str">
        <f>IF(ISBLANK(A275),"",INDEX('Error Log'!$A:$J,MATCH('Scores per segment'!$A275,'Error Log'!$A:$A,0),MATCH('Scores per segment'!B$1,'Error Log'!$A$1:$J$1,0)))</f>
        <v/>
      </c>
      <c r="C275" s="70" t="str">
        <f>IF(ISBLANK(A275),"",INDEX('Error Log'!$A:$J,MATCH('Scores per segment'!$A275,'Error Log'!$A:$A,0),MATCH('Scores per segment'!C$1,'Error Log'!$A$1:$J$1,0)))</f>
        <v/>
      </c>
      <c r="D275" s="70">
        <f>IF(H275=0,wdct(TRIM(C275)),0)</f>
        <v>0</v>
      </c>
      <c r="E275" s="70">
        <f>COUNTIFS('Error Log'!$A:$A,$A275,'Error Log'!$J:$J,E$1)</f>
        <v>0</v>
      </c>
      <c r="F275" s="70">
        <f>COUNTIFS('Error Log'!$A:$A,$A275,'Error Log'!$J:$J,F$1)</f>
        <v>0</v>
      </c>
      <c r="G275" s="70">
        <f>COUNTIFS('Error Log'!$A:$A,$A275,'Error Log'!$J:$J,G$1)</f>
        <v>0</v>
      </c>
      <c r="H275" s="70">
        <f>COUNTIFS('Error Log'!$A:$A,$A275,'Error Log'!$F:$F,"Source")</f>
        <v>0</v>
      </c>
      <c r="I275" s="70">
        <f>COUNTIFS('Error Log'!$A:$A,$A275,'Error Log'!$F:$F,"Target")</f>
        <v>0</v>
      </c>
      <c r="J275" s="71">
        <f t="shared" si="4"/>
        <v>0</v>
      </c>
    </row>
    <row r="276" spans="1:10">
      <c r="A276" s="101"/>
      <c r="B276" s="70" t="str">
        <f>IF(ISBLANK(A276),"",INDEX('Error Log'!$A:$J,MATCH('Scores per segment'!$A276,'Error Log'!$A:$A,0),MATCH('Scores per segment'!B$1,'Error Log'!$A$1:$J$1,0)))</f>
        <v/>
      </c>
      <c r="C276" s="70" t="str">
        <f>IF(ISBLANK(A276),"",INDEX('Error Log'!$A:$J,MATCH('Scores per segment'!$A276,'Error Log'!$A:$A,0),MATCH('Scores per segment'!C$1,'Error Log'!$A$1:$J$1,0)))</f>
        <v/>
      </c>
      <c r="D276" s="70">
        <f>IF(H276=0,wdct(TRIM(C276)),0)</f>
        <v>0</v>
      </c>
      <c r="E276" s="70">
        <f>COUNTIFS('Error Log'!$A:$A,$A276,'Error Log'!$J:$J,E$1)</f>
        <v>0</v>
      </c>
      <c r="F276" s="70">
        <f>COUNTIFS('Error Log'!$A:$A,$A276,'Error Log'!$J:$J,F$1)</f>
        <v>0</v>
      </c>
      <c r="G276" s="70">
        <f>COUNTIFS('Error Log'!$A:$A,$A276,'Error Log'!$J:$J,G$1)</f>
        <v>0</v>
      </c>
      <c r="H276" s="70">
        <f>COUNTIFS('Error Log'!$A:$A,$A276,'Error Log'!$F:$F,"Source")</f>
        <v>0</v>
      </c>
      <c r="I276" s="70">
        <f>COUNTIFS('Error Log'!$A:$A,$A276,'Error Log'!$F:$F,"Target")</f>
        <v>0</v>
      </c>
      <c r="J276" s="71">
        <f t="shared" si="4"/>
        <v>0</v>
      </c>
    </row>
    <row r="277" spans="1:10">
      <c r="A277" s="101"/>
      <c r="B277" s="70" t="str">
        <f>IF(ISBLANK(A277),"",INDEX('Error Log'!$A:$J,MATCH('Scores per segment'!$A277,'Error Log'!$A:$A,0),MATCH('Scores per segment'!B$1,'Error Log'!$A$1:$J$1,0)))</f>
        <v/>
      </c>
      <c r="C277" s="70" t="str">
        <f>IF(ISBLANK(A277),"",INDEX('Error Log'!$A:$J,MATCH('Scores per segment'!$A277,'Error Log'!$A:$A,0),MATCH('Scores per segment'!C$1,'Error Log'!$A$1:$J$1,0)))</f>
        <v/>
      </c>
      <c r="D277" s="70">
        <f>IF(H277=0,wdct(TRIM(C277)),0)</f>
        <v>0</v>
      </c>
      <c r="E277" s="70">
        <f>COUNTIFS('Error Log'!$A:$A,$A277,'Error Log'!$J:$J,E$1)</f>
        <v>0</v>
      </c>
      <c r="F277" s="70">
        <f>COUNTIFS('Error Log'!$A:$A,$A277,'Error Log'!$J:$J,F$1)</f>
        <v>0</v>
      </c>
      <c r="G277" s="70">
        <f>COUNTIFS('Error Log'!$A:$A,$A277,'Error Log'!$J:$J,G$1)</f>
        <v>0</v>
      </c>
      <c r="H277" s="70">
        <f>COUNTIFS('Error Log'!$A:$A,$A277,'Error Log'!$F:$F,"Source")</f>
        <v>0</v>
      </c>
      <c r="I277" s="70">
        <f>COUNTIFS('Error Log'!$A:$A,$A277,'Error Log'!$F:$F,"Target")</f>
        <v>0</v>
      </c>
      <c r="J277" s="71">
        <f t="shared" si="4"/>
        <v>0</v>
      </c>
    </row>
    <row r="278" spans="1:10">
      <c r="A278" s="101"/>
      <c r="B278" s="70" t="str">
        <f>IF(ISBLANK(A278),"",INDEX('Error Log'!$A:$J,MATCH('Scores per segment'!$A278,'Error Log'!$A:$A,0),MATCH('Scores per segment'!B$1,'Error Log'!$A$1:$J$1,0)))</f>
        <v/>
      </c>
      <c r="C278" s="70" t="str">
        <f>IF(ISBLANK(A278),"",INDEX('Error Log'!$A:$J,MATCH('Scores per segment'!$A278,'Error Log'!$A:$A,0),MATCH('Scores per segment'!C$1,'Error Log'!$A$1:$J$1,0)))</f>
        <v/>
      </c>
      <c r="D278" s="70">
        <f>IF(H278=0,wdct(TRIM(C278)),0)</f>
        <v>0</v>
      </c>
      <c r="E278" s="70">
        <f>COUNTIFS('Error Log'!$A:$A,$A278,'Error Log'!$J:$J,E$1)</f>
        <v>0</v>
      </c>
      <c r="F278" s="70">
        <f>COUNTIFS('Error Log'!$A:$A,$A278,'Error Log'!$J:$J,F$1)</f>
        <v>0</v>
      </c>
      <c r="G278" s="70">
        <f>COUNTIFS('Error Log'!$A:$A,$A278,'Error Log'!$J:$J,G$1)</f>
        <v>0</v>
      </c>
      <c r="H278" s="70">
        <f>COUNTIFS('Error Log'!$A:$A,$A278,'Error Log'!$F:$F,"Source")</f>
        <v>0</v>
      </c>
      <c r="I278" s="70">
        <f>COUNTIFS('Error Log'!$A:$A,$A278,'Error Log'!$F:$F,"Target")</f>
        <v>0</v>
      </c>
      <c r="J278" s="71">
        <f t="shared" si="4"/>
        <v>0</v>
      </c>
    </row>
    <row r="279" spans="1:10">
      <c r="A279" s="101"/>
      <c r="B279" s="70" t="str">
        <f>IF(ISBLANK(A279),"",INDEX('Error Log'!$A:$J,MATCH('Scores per segment'!$A279,'Error Log'!$A:$A,0),MATCH('Scores per segment'!B$1,'Error Log'!$A$1:$J$1,0)))</f>
        <v/>
      </c>
      <c r="C279" s="70" t="str">
        <f>IF(ISBLANK(A279),"",INDEX('Error Log'!$A:$J,MATCH('Scores per segment'!$A279,'Error Log'!$A:$A,0),MATCH('Scores per segment'!C$1,'Error Log'!$A$1:$J$1,0)))</f>
        <v/>
      </c>
      <c r="D279" s="70">
        <f>IF(H279=0,wdct(TRIM(C279)),0)</f>
        <v>0</v>
      </c>
      <c r="E279" s="70">
        <f>COUNTIFS('Error Log'!$A:$A,$A279,'Error Log'!$J:$J,E$1)</f>
        <v>0</v>
      </c>
      <c r="F279" s="70">
        <f>COUNTIFS('Error Log'!$A:$A,$A279,'Error Log'!$J:$J,F$1)</f>
        <v>0</v>
      </c>
      <c r="G279" s="70">
        <f>COUNTIFS('Error Log'!$A:$A,$A279,'Error Log'!$J:$J,G$1)</f>
        <v>0</v>
      </c>
      <c r="H279" s="70">
        <f>COUNTIFS('Error Log'!$A:$A,$A279,'Error Log'!$F:$F,"Source")</f>
        <v>0</v>
      </c>
      <c r="I279" s="70">
        <f>COUNTIFS('Error Log'!$A:$A,$A279,'Error Log'!$F:$F,"Target")</f>
        <v>0</v>
      </c>
      <c r="J279" s="71">
        <f t="shared" si="4"/>
        <v>0</v>
      </c>
    </row>
    <row r="280" spans="1:10">
      <c r="A280" s="101"/>
      <c r="B280" s="70" t="str">
        <f>IF(ISBLANK(A280),"",INDEX('Error Log'!$A:$J,MATCH('Scores per segment'!$A280,'Error Log'!$A:$A,0),MATCH('Scores per segment'!B$1,'Error Log'!$A$1:$J$1,0)))</f>
        <v/>
      </c>
      <c r="C280" s="70" t="str">
        <f>IF(ISBLANK(A280),"",INDEX('Error Log'!$A:$J,MATCH('Scores per segment'!$A280,'Error Log'!$A:$A,0),MATCH('Scores per segment'!C$1,'Error Log'!$A$1:$J$1,0)))</f>
        <v/>
      </c>
      <c r="D280" s="70">
        <f>IF(H280=0,wdct(TRIM(C280)),0)</f>
        <v>0</v>
      </c>
      <c r="E280" s="70">
        <f>COUNTIFS('Error Log'!$A:$A,$A280,'Error Log'!$J:$J,E$1)</f>
        <v>0</v>
      </c>
      <c r="F280" s="70">
        <f>COUNTIFS('Error Log'!$A:$A,$A280,'Error Log'!$J:$J,F$1)</f>
        <v>0</v>
      </c>
      <c r="G280" s="70">
        <f>COUNTIFS('Error Log'!$A:$A,$A280,'Error Log'!$J:$J,G$1)</f>
        <v>0</v>
      </c>
      <c r="H280" s="70">
        <f>COUNTIFS('Error Log'!$A:$A,$A280,'Error Log'!$F:$F,"Source")</f>
        <v>0</v>
      </c>
      <c r="I280" s="70">
        <f>COUNTIFS('Error Log'!$A:$A,$A280,'Error Log'!$F:$F,"Target")</f>
        <v>0</v>
      </c>
      <c r="J280" s="71">
        <f t="shared" si="4"/>
        <v>0</v>
      </c>
    </row>
    <row r="281" spans="1:10">
      <c r="A281" s="101"/>
      <c r="B281" s="70" t="str">
        <f>IF(ISBLANK(A281),"",INDEX('Error Log'!$A:$J,MATCH('Scores per segment'!$A281,'Error Log'!$A:$A,0),MATCH('Scores per segment'!B$1,'Error Log'!$A$1:$J$1,0)))</f>
        <v/>
      </c>
      <c r="C281" s="70" t="str">
        <f>IF(ISBLANK(A281),"",INDEX('Error Log'!$A:$J,MATCH('Scores per segment'!$A281,'Error Log'!$A:$A,0),MATCH('Scores per segment'!C$1,'Error Log'!$A$1:$J$1,0)))</f>
        <v/>
      </c>
      <c r="D281" s="70">
        <f>IF(H281=0,wdct(TRIM(C281)),0)</f>
        <v>0</v>
      </c>
      <c r="E281" s="70">
        <f>COUNTIFS('Error Log'!$A:$A,$A281,'Error Log'!$J:$J,E$1)</f>
        <v>0</v>
      </c>
      <c r="F281" s="70">
        <f>COUNTIFS('Error Log'!$A:$A,$A281,'Error Log'!$J:$J,F$1)</f>
        <v>0</v>
      </c>
      <c r="G281" s="70">
        <f>COUNTIFS('Error Log'!$A:$A,$A281,'Error Log'!$J:$J,G$1)</f>
        <v>0</v>
      </c>
      <c r="H281" s="70">
        <f>COUNTIFS('Error Log'!$A:$A,$A281,'Error Log'!$F:$F,"Source")</f>
        <v>0</v>
      </c>
      <c r="I281" s="70">
        <f>COUNTIFS('Error Log'!$A:$A,$A281,'Error Log'!$F:$F,"Target")</f>
        <v>0</v>
      </c>
      <c r="J281" s="71">
        <f t="shared" si="4"/>
        <v>0</v>
      </c>
    </row>
    <row r="282" spans="1:10">
      <c r="A282" s="101"/>
      <c r="B282" s="70" t="str">
        <f>IF(ISBLANK(A282),"",INDEX('Error Log'!$A:$J,MATCH('Scores per segment'!$A282,'Error Log'!$A:$A,0),MATCH('Scores per segment'!B$1,'Error Log'!$A$1:$J$1,0)))</f>
        <v/>
      </c>
      <c r="C282" s="70" t="str">
        <f>IF(ISBLANK(A282),"",INDEX('Error Log'!$A:$J,MATCH('Scores per segment'!$A282,'Error Log'!$A:$A,0),MATCH('Scores per segment'!C$1,'Error Log'!$A$1:$J$1,0)))</f>
        <v/>
      </c>
      <c r="D282" s="70">
        <f>IF(H282=0,wdct(TRIM(C282)),0)</f>
        <v>0</v>
      </c>
      <c r="E282" s="70">
        <f>COUNTIFS('Error Log'!$A:$A,$A282,'Error Log'!$J:$J,E$1)</f>
        <v>0</v>
      </c>
      <c r="F282" s="70">
        <f>COUNTIFS('Error Log'!$A:$A,$A282,'Error Log'!$J:$J,F$1)</f>
        <v>0</v>
      </c>
      <c r="G282" s="70">
        <f>COUNTIFS('Error Log'!$A:$A,$A282,'Error Log'!$J:$J,G$1)</f>
        <v>0</v>
      </c>
      <c r="H282" s="70">
        <f>COUNTIFS('Error Log'!$A:$A,$A282,'Error Log'!$F:$F,"Source")</f>
        <v>0</v>
      </c>
      <c r="I282" s="70">
        <f>COUNTIFS('Error Log'!$A:$A,$A282,'Error Log'!$F:$F,"Target")</f>
        <v>0</v>
      </c>
      <c r="J282" s="71">
        <f t="shared" si="4"/>
        <v>0</v>
      </c>
    </row>
    <row r="283" spans="1:10">
      <c r="A283" s="101"/>
      <c r="B283" s="70" t="str">
        <f>IF(ISBLANK(A283),"",INDEX('Error Log'!$A:$J,MATCH('Scores per segment'!$A283,'Error Log'!$A:$A,0),MATCH('Scores per segment'!B$1,'Error Log'!$A$1:$J$1,0)))</f>
        <v/>
      </c>
      <c r="C283" s="70" t="str">
        <f>IF(ISBLANK(A283),"",INDEX('Error Log'!$A:$J,MATCH('Scores per segment'!$A283,'Error Log'!$A:$A,0),MATCH('Scores per segment'!C$1,'Error Log'!$A$1:$J$1,0)))</f>
        <v/>
      </c>
      <c r="D283" s="70">
        <f>IF(H283=0,wdct(TRIM(C283)),0)</f>
        <v>0</v>
      </c>
      <c r="E283" s="70">
        <f>COUNTIFS('Error Log'!$A:$A,$A283,'Error Log'!$J:$J,E$1)</f>
        <v>0</v>
      </c>
      <c r="F283" s="70">
        <f>COUNTIFS('Error Log'!$A:$A,$A283,'Error Log'!$J:$J,F$1)</f>
        <v>0</v>
      </c>
      <c r="G283" s="70">
        <f>COUNTIFS('Error Log'!$A:$A,$A283,'Error Log'!$J:$J,G$1)</f>
        <v>0</v>
      </c>
      <c r="H283" s="70">
        <f>COUNTIFS('Error Log'!$A:$A,$A283,'Error Log'!$F:$F,"Source")</f>
        <v>0</v>
      </c>
      <c r="I283" s="70">
        <f>COUNTIFS('Error Log'!$A:$A,$A283,'Error Log'!$F:$F,"Target")</f>
        <v>0</v>
      </c>
      <c r="J283" s="71">
        <f t="shared" si="4"/>
        <v>0</v>
      </c>
    </row>
    <row r="284" spans="1:10">
      <c r="A284" s="101"/>
      <c r="B284" s="70" t="str">
        <f>IF(ISBLANK(A284),"",INDEX('Error Log'!$A:$J,MATCH('Scores per segment'!$A284,'Error Log'!$A:$A,0),MATCH('Scores per segment'!B$1,'Error Log'!$A$1:$J$1,0)))</f>
        <v/>
      </c>
      <c r="C284" s="70" t="str">
        <f>IF(ISBLANK(A284),"",INDEX('Error Log'!$A:$J,MATCH('Scores per segment'!$A284,'Error Log'!$A:$A,0),MATCH('Scores per segment'!C$1,'Error Log'!$A$1:$J$1,0)))</f>
        <v/>
      </c>
      <c r="D284" s="70">
        <f>IF(H284=0,wdct(TRIM(C284)),0)</f>
        <v>0</v>
      </c>
      <c r="E284" s="70">
        <f>COUNTIFS('Error Log'!$A:$A,$A284,'Error Log'!$J:$J,E$1)</f>
        <v>0</v>
      </c>
      <c r="F284" s="70">
        <f>COUNTIFS('Error Log'!$A:$A,$A284,'Error Log'!$J:$J,F$1)</f>
        <v>0</v>
      </c>
      <c r="G284" s="70">
        <f>COUNTIFS('Error Log'!$A:$A,$A284,'Error Log'!$J:$J,G$1)</f>
        <v>0</v>
      </c>
      <c r="H284" s="70">
        <f>COUNTIFS('Error Log'!$A:$A,$A284,'Error Log'!$F:$F,"Source")</f>
        <v>0</v>
      </c>
      <c r="I284" s="70">
        <f>COUNTIFS('Error Log'!$A:$A,$A284,'Error Log'!$F:$F,"Target")</f>
        <v>0</v>
      </c>
      <c r="J284" s="71">
        <f t="shared" si="4"/>
        <v>0</v>
      </c>
    </row>
    <row r="285" spans="1:10">
      <c r="A285" s="101"/>
      <c r="B285" s="70" t="str">
        <f>IF(ISBLANK(A285),"",INDEX('Error Log'!$A:$J,MATCH('Scores per segment'!$A285,'Error Log'!$A:$A,0),MATCH('Scores per segment'!B$1,'Error Log'!$A$1:$J$1,0)))</f>
        <v/>
      </c>
      <c r="C285" s="70" t="str">
        <f>IF(ISBLANK(A285),"",INDEX('Error Log'!$A:$J,MATCH('Scores per segment'!$A285,'Error Log'!$A:$A,0),MATCH('Scores per segment'!C$1,'Error Log'!$A$1:$J$1,0)))</f>
        <v/>
      </c>
      <c r="D285" s="70">
        <f>IF(H285=0,wdct(TRIM(C285)),0)</f>
        <v>0</v>
      </c>
      <c r="E285" s="70">
        <f>COUNTIFS('Error Log'!$A:$A,$A285,'Error Log'!$J:$J,E$1)</f>
        <v>0</v>
      </c>
      <c r="F285" s="70">
        <f>COUNTIFS('Error Log'!$A:$A,$A285,'Error Log'!$J:$J,F$1)</f>
        <v>0</v>
      </c>
      <c r="G285" s="70">
        <f>COUNTIFS('Error Log'!$A:$A,$A285,'Error Log'!$J:$J,G$1)</f>
        <v>0</v>
      </c>
      <c r="H285" s="70">
        <f>COUNTIFS('Error Log'!$A:$A,$A285,'Error Log'!$F:$F,"Source")</f>
        <v>0</v>
      </c>
      <c r="I285" s="70">
        <f>COUNTIFS('Error Log'!$A:$A,$A285,'Error Log'!$F:$F,"Target")</f>
        <v>0</v>
      </c>
      <c r="J285" s="71">
        <f t="shared" si="4"/>
        <v>0</v>
      </c>
    </row>
    <row r="286" spans="1:10">
      <c r="A286" s="101"/>
      <c r="B286" s="70" t="str">
        <f>IF(ISBLANK(A286),"",INDEX('Error Log'!$A:$J,MATCH('Scores per segment'!$A286,'Error Log'!$A:$A,0),MATCH('Scores per segment'!B$1,'Error Log'!$A$1:$J$1,0)))</f>
        <v/>
      </c>
      <c r="C286" s="70" t="str">
        <f>IF(ISBLANK(A286),"",INDEX('Error Log'!$A:$J,MATCH('Scores per segment'!$A286,'Error Log'!$A:$A,0),MATCH('Scores per segment'!C$1,'Error Log'!$A$1:$J$1,0)))</f>
        <v/>
      </c>
      <c r="D286" s="70">
        <f>IF(H286=0,wdct(TRIM(C286)),0)</f>
        <v>0</v>
      </c>
      <c r="E286" s="70">
        <f>COUNTIFS('Error Log'!$A:$A,$A286,'Error Log'!$J:$J,E$1)</f>
        <v>0</v>
      </c>
      <c r="F286" s="70">
        <f>COUNTIFS('Error Log'!$A:$A,$A286,'Error Log'!$J:$J,F$1)</f>
        <v>0</v>
      </c>
      <c r="G286" s="70">
        <f>COUNTIFS('Error Log'!$A:$A,$A286,'Error Log'!$J:$J,G$1)</f>
        <v>0</v>
      </c>
      <c r="H286" s="70">
        <f>COUNTIFS('Error Log'!$A:$A,$A286,'Error Log'!$F:$F,"Source")</f>
        <v>0</v>
      </c>
      <c r="I286" s="70">
        <f>COUNTIFS('Error Log'!$A:$A,$A286,'Error Log'!$F:$F,"Target")</f>
        <v>0</v>
      </c>
      <c r="J286" s="71">
        <f t="shared" si="4"/>
        <v>0</v>
      </c>
    </row>
    <row r="287" spans="1:10">
      <c r="A287" s="101"/>
      <c r="B287" s="70" t="str">
        <f>IF(ISBLANK(A287),"",INDEX('Error Log'!$A:$J,MATCH('Scores per segment'!$A287,'Error Log'!$A:$A,0),MATCH('Scores per segment'!B$1,'Error Log'!$A$1:$J$1,0)))</f>
        <v/>
      </c>
      <c r="C287" s="70" t="str">
        <f>IF(ISBLANK(A287),"",INDEX('Error Log'!$A:$J,MATCH('Scores per segment'!$A287,'Error Log'!$A:$A,0),MATCH('Scores per segment'!C$1,'Error Log'!$A$1:$J$1,0)))</f>
        <v/>
      </c>
      <c r="D287" s="70">
        <f>IF(H287=0,wdct(TRIM(C287)),0)</f>
        <v>0</v>
      </c>
      <c r="E287" s="70">
        <f>COUNTIFS('Error Log'!$A:$A,$A287,'Error Log'!$J:$J,E$1)</f>
        <v>0</v>
      </c>
      <c r="F287" s="70">
        <f>COUNTIFS('Error Log'!$A:$A,$A287,'Error Log'!$J:$J,F$1)</f>
        <v>0</v>
      </c>
      <c r="G287" s="70">
        <f>COUNTIFS('Error Log'!$A:$A,$A287,'Error Log'!$J:$J,G$1)</f>
        <v>0</v>
      </c>
      <c r="H287" s="70">
        <f>COUNTIFS('Error Log'!$A:$A,$A287,'Error Log'!$F:$F,"Source")</f>
        <v>0</v>
      </c>
      <c r="I287" s="70">
        <f>COUNTIFS('Error Log'!$A:$A,$A287,'Error Log'!$F:$F,"Target")</f>
        <v>0</v>
      </c>
      <c r="J287" s="71">
        <f t="shared" si="4"/>
        <v>0</v>
      </c>
    </row>
    <row r="288" spans="1:10">
      <c r="A288" s="101"/>
      <c r="B288" s="70" t="str">
        <f>IF(ISBLANK(A288),"",INDEX('Error Log'!$A:$J,MATCH('Scores per segment'!$A288,'Error Log'!$A:$A,0),MATCH('Scores per segment'!B$1,'Error Log'!$A$1:$J$1,0)))</f>
        <v/>
      </c>
      <c r="C288" s="70" t="str">
        <f>IF(ISBLANK(A288),"",INDEX('Error Log'!$A:$J,MATCH('Scores per segment'!$A288,'Error Log'!$A:$A,0),MATCH('Scores per segment'!C$1,'Error Log'!$A$1:$J$1,0)))</f>
        <v/>
      </c>
      <c r="D288" s="70">
        <f>IF(H288=0,wdct(TRIM(C288)),0)</f>
        <v>0</v>
      </c>
      <c r="E288" s="70">
        <f>COUNTIFS('Error Log'!$A:$A,$A288,'Error Log'!$J:$J,E$1)</f>
        <v>0</v>
      </c>
      <c r="F288" s="70">
        <f>COUNTIFS('Error Log'!$A:$A,$A288,'Error Log'!$J:$J,F$1)</f>
        <v>0</v>
      </c>
      <c r="G288" s="70">
        <f>COUNTIFS('Error Log'!$A:$A,$A288,'Error Log'!$J:$J,G$1)</f>
        <v>0</v>
      </c>
      <c r="H288" s="70">
        <f>COUNTIFS('Error Log'!$A:$A,$A288,'Error Log'!$F:$F,"Source")</f>
        <v>0</v>
      </c>
      <c r="I288" s="70">
        <f>COUNTIFS('Error Log'!$A:$A,$A288,'Error Log'!$F:$F,"Target")</f>
        <v>0</v>
      </c>
      <c r="J288" s="71">
        <f t="shared" si="4"/>
        <v>0</v>
      </c>
    </row>
    <row r="289" spans="1:10">
      <c r="A289" s="101"/>
      <c r="B289" s="70" t="str">
        <f>IF(ISBLANK(A289),"",INDEX('Error Log'!$A:$J,MATCH('Scores per segment'!$A289,'Error Log'!$A:$A,0),MATCH('Scores per segment'!B$1,'Error Log'!$A$1:$J$1,0)))</f>
        <v/>
      </c>
      <c r="C289" s="70" t="str">
        <f>IF(ISBLANK(A289),"",INDEX('Error Log'!$A:$J,MATCH('Scores per segment'!$A289,'Error Log'!$A:$A,0),MATCH('Scores per segment'!C$1,'Error Log'!$A$1:$J$1,0)))</f>
        <v/>
      </c>
      <c r="D289" s="70">
        <f>IF(H289=0,wdct(TRIM(C289)),0)</f>
        <v>0</v>
      </c>
      <c r="E289" s="70">
        <f>COUNTIFS('Error Log'!$A:$A,$A289,'Error Log'!$J:$J,E$1)</f>
        <v>0</v>
      </c>
      <c r="F289" s="70">
        <f>COUNTIFS('Error Log'!$A:$A,$A289,'Error Log'!$J:$J,F$1)</f>
        <v>0</v>
      </c>
      <c r="G289" s="70">
        <f>COUNTIFS('Error Log'!$A:$A,$A289,'Error Log'!$J:$J,G$1)</f>
        <v>0</v>
      </c>
      <c r="H289" s="70">
        <f>COUNTIFS('Error Log'!$A:$A,$A289,'Error Log'!$F:$F,"Source")</f>
        <v>0</v>
      </c>
      <c r="I289" s="70">
        <f>COUNTIFS('Error Log'!$A:$A,$A289,'Error Log'!$F:$F,"Target")</f>
        <v>0</v>
      </c>
      <c r="J289" s="71">
        <f t="shared" si="4"/>
        <v>0</v>
      </c>
    </row>
    <row r="290" spans="1:10">
      <c r="A290" s="101"/>
      <c r="B290" s="70" t="str">
        <f>IF(ISBLANK(A290),"",INDEX('Error Log'!$A:$J,MATCH('Scores per segment'!$A290,'Error Log'!$A:$A,0),MATCH('Scores per segment'!B$1,'Error Log'!$A$1:$J$1,0)))</f>
        <v/>
      </c>
      <c r="C290" s="70" t="str">
        <f>IF(ISBLANK(A290),"",INDEX('Error Log'!$A:$J,MATCH('Scores per segment'!$A290,'Error Log'!$A:$A,0),MATCH('Scores per segment'!C$1,'Error Log'!$A$1:$J$1,0)))</f>
        <v/>
      </c>
      <c r="D290" s="70">
        <f>IF(H290=0,wdct(TRIM(C290)),0)</f>
        <v>0</v>
      </c>
      <c r="E290" s="70">
        <f>COUNTIFS('Error Log'!$A:$A,$A290,'Error Log'!$J:$J,E$1)</f>
        <v>0</v>
      </c>
      <c r="F290" s="70">
        <f>COUNTIFS('Error Log'!$A:$A,$A290,'Error Log'!$J:$J,F$1)</f>
        <v>0</v>
      </c>
      <c r="G290" s="70">
        <f>COUNTIFS('Error Log'!$A:$A,$A290,'Error Log'!$J:$J,G$1)</f>
        <v>0</v>
      </c>
      <c r="H290" s="70">
        <f>COUNTIFS('Error Log'!$A:$A,$A290,'Error Log'!$F:$F,"Source")</f>
        <v>0</v>
      </c>
      <c r="I290" s="70">
        <f>COUNTIFS('Error Log'!$A:$A,$A290,'Error Log'!$F:$F,"Target")</f>
        <v>0</v>
      </c>
      <c r="J290" s="71">
        <f t="shared" si="4"/>
        <v>0</v>
      </c>
    </row>
    <row r="291" spans="1:10">
      <c r="A291" s="101"/>
      <c r="B291" s="70" t="str">
        <f>IF(ISBLANK(A291),"",INDEX('Error Log'!$A:$J,MATCH('Scores per segment'!$A291,'Error Log'!$A:$A,0),MATCH('Scores per segment'!B$1,'Error Log'!$A$1:$J$1,0)))</f>
        <v/>
      </c>
      <c r="C291" s="70" t="str">
        <f>IF(ISBLANK(A291),"",INDEX('Error Log'!$A:$J,MATCH('Scores per segment'!$A291,'Error Log'!$A:$A,0),MATCH('Scores per segment'!C$1,'Error Log'!$A$1:$J$1,0)))</f>
        <v/>
      </c>
      <c r="D291" s="70">
        <f>IF(H291=0,wdct(TRIM(C291)),0)</f>
        <v>0</v>
      </c>
      <c r="E291" s="70">
        <f>COUNTIFS('Error Log'!$A:$A,$A291,'Error Log'!$J:$J,E$1)</f>
        <v>0</v>
      </c>
      <c r="F291" s="70">
        <f>COUNTIFS('Error Log'!$A:$A,$A291,'Error Log'!$J:$J,F$1)</f>
        <v>0</v>
      </c>
      <c r="G291" s="70">
        <f>COUNTIFS('Error Log'!$A:$A,$A291,'Error Log'!$J:$J,G$1)</f>
        <v>0</v>
      </c>
      <c r="H291" s="70">
        <f>COUNTIFS('Error Log'!$A:$A,$A291,'Error Log'!$F:$F,"Source")</f>
        <v>0</v>
      </c>
      <c r="I291" s="70">
        <f>COUNTIFS('Error Log'!$A:$A,$A291,'Error Log'!$F:$F,"Target")</f>
        <v>0</v>
      </c>
      <c r="J291" s="71">
        <f t="shared" si="4"/>
        <v>0</v>
      </c>
    </row>
    <row r="292" spans="1:10">
      <c r="A292" s="101"/>
      <c r="B292" s="70" t="str">
        <f>IF(ISBLANK(A292),"",INDEX('Error Log'!$A:$J,MATCH('Scores per segment'!$A292,'Error Log'!$A:$A,0),MATCH('Scores per segment'!B$1,'Error Log'!$A$1:$J$1,0)))</f>
        <v/>
      </c>
      <c r="C292" s="70" t="str">
        <f>IF(ISBLANK(A292),"",INDEX('Error Log'!$A:$J,MATCH('Scores per segment'!$A292,'Error Log'!$A:$A,0),MATCH('Scores per segment'!C$1,'Error Log'!$A$1:$J$1,0)))</f>
        <v/>
      </c>
      <c r="D292" s="70">
        <f>IF(H292=0,wdct(TRIM(C292)),0)</f>
        <v>0</v>
      </c>
      <c r="E292" s="70">
        <f>COUNTIFS('Error Log'!$A:$A,$A292,'Error Log'!$J:$J,E$1)</f>
        <v>0</v>
      </c>
      <c r="F292" s="70">
        <f>COUNTIFS('Error Log'!$A:$A,$A292,'Error Log'!$J:$J,F$1)</f>
        <v>0</v>
      </c>
      <c r="G292" s="70">
        <f>COUNTIFS('Error Log'!$A:$A,$A292,'Error Log'!$J:$J,G$1)</f>
        <v>0</v>
      </c>
      <c r="H292" s="70">
        <f>COUNTIFS('Error Log'!$A:$A,$A292,'Error Log'!$F:$F,"Source")</f>
        <v>0</v>
      </c>
      <c r="I292" s="70">
        <f>COUNTIFS('Error Log'!$A:$A,$A292,'Error Log'!$F:$F,"Target")</f>
        <v>0</v>
      </c>
      <c r="J292" s="71">
        <f t="shared" si="4"/>
        <v>0</v>
      </c>
    </row>
    <row r="293" spans="1:10">
      <c r="A293" s="101"/>
      <c r="B293" s="70" t="str">
        <f>IF(ISBLANK(A293),"",INDEX('Error Log'!$A:$J,MATCH('Scores per segment'!$A293,'Error Log'!$A:$A,0),MATCH('Scores per segment'!B$1,'Error Log'!$A$1:$J$1,0)))</f>
        <v/>
      </c>
      <c r="C293" s="70" t="str">
        <f>IF(ISBLANK(A293),"",INDEX('Error Log'!$A:$J,MATCH('Scores per segment'!$A293,'Error Log'!$A:$A,0),MATCH('Scores per segment'!C$1,'Error Log'!$A$1:$J$1,0)))</f>
        <v/>
      </c>
      <c r="D293" s="70">
        <f>IF(H293=0,wdct(TRIM(C293)),0)</f>
        <v>0</v>
      </c>
      <c r="E293" s="70">
        <f>COUNTIFS('Error Log'!$A:$A,$A293,'Error Log'!$J:$J,E$1)</f>
        <v>0</v>
      </c>
      <c r="F293" s="70">
        <f>COUNTIFS('Error Log'!$A:$A,$A293,'Error Log'!$J:$J,F$1)</f>
        <v>0</v>
      </c>
      <c r="G293" s="70">
        <f>COUNTIFS('Error Log'!$A:$A,$A293,'Error Log'!$J:$J,G$1)</f>
        <v>0</v>
      </c>
      <c r="H293" s="70">
        <f>COUNTIFS('Error Log'!$A:$A,$A293,'Error Log'!$F:$F,"Source")</f>
        <v>0</v>
      </c>
      <c r="I293" s="70">
        <f>COUNTIFS('Error Log'!$A:$A,$A293,'Error Log'!$F:$F,"Target")</f>
        <v>0</v>
      </c>
      <c r="J293" s="71">
        <f t="shared" si="4"/>
        <v>0</v>
      </c>
    </row>
    <row r="294" spans="1:10">
      <c r="A294" s="101"/>
      <c r="B294" s="70" t="str">
        <f>IF(ISBLANK(A294),"",INDEX('Error Log'!$A:$J,MATCH('Scores per segment'!$A294,'Error Log'!$A:$A,0),MATCH('Scores per segment'!B$1,'Error Log'!$A$1:$J$1,0)))</f>
        <v/>
      </c>
      <c r="C294" s="70" t="str">
        <f>IF(ISBLANK(A294),"",INDEX('Error Log'!$A:$J,MATCH('Scores per segment'!$A294,'Error Log'!$A:$A,0),MATCH('Scores per segment'!C$1,'Error Log'!$A$1:$J$1,0)))</f>
        <v/>
      </c>
      <c r="D294" s="70">
        <f>IF(H294=0,wdct(TRIM(C294)),0)</f>
        <v>0</v>
      </c>
      <c r="E294" s="70">
        <f>COUNTIFS('Error Log'!$A:$A,$A294,'Error Log'!$J:$J,E$1)</f>
        <v>0</v>
      </c>
      <c r="F294" s="70">
        <f>COUNTIFS('Error Log'!$A:$A,$A294,'Error Log'!$J:$J,F$1)</f>
        <v>0</v>
      </c>
      <c r="G294" s="70">
        <f>COUNTIFS('Error Log'!$A:$A,$A294,'Error Log'!$J:$J,G$1)</f>
        <v>0</v>
      </c>
      <c r="H294" s="70">
        <f>COUNTIFS('Error Log'!$A:$A,$A294,'Error Log'!$F:$F,"Source")</f>
        <v>0</v>
      </c>
      <c r="I294" s="70">
        <f>COUNTIFS('Error Log'!$A:$A,$A294,'Error Log'!$F:$F,"Target")</f>
        <v>0</v>
      </c>
      <c r="J294" s="71">
        <f t="shared" si="4"/>
        <v>0</v>
      </c>
    </row>
    <row r="295" spans="1:10">
      <c r="A295" s="101"/>
      <c r="B295" s="70" t="str">
        <f>IF(ISBLANK(A295),"",INDEX('Error Log'!$A:$J,MATCH('Scores per segment'!$A295,'Error Log'!$A:$A,0),MATCH('Scores per segment'!B$1,'Error Log'!$A$1:$J$1,0)))</f>
        <v/>
      </c>
      <c r="C295" s="70" t="str">
        <f>IF(ISBLANK(A295),"",INDEX('Error Log'!$A:$J,MATCH('Scores per segment'!$A295,'Error Log'!$A:$A,0),MATCH('Scores per segment'!C$1,'Error Log'!$A$1:$J$1,0)))</f>
        <v/>
      </c>
      <c r="D295" s="70">
        <f>IF(H295=0,wdct(TRIM(C295)),0)</f>
        <v>0</v>
      </c>
      <c r="E295" s="70">
        <f>COUNTIFS('Error Log'!$A:$A,$A295,'Error Log'!$J:$J,E$1)</f>
        <v>0</v>
      </c>
      <c r="F295" s="70">
        <f>COUNTIFS('Error Log'!$A:$A,$A295,'Error Log'!$J:$J,F$1)</f>
        <v>0</v>
      </c>
      <c r="G295" s="70">
        <f>COUNTIFS('Error Log'!$A:$A,$A295,'Error Log'!$J:$J,G$1)</f>
        <v>0</v>
      </c>
      <c r="H295" s="70">
        <f>COUNTIFS('Error Log'!$A:$A,$A295,'Error Log'!$F:$F,"Source")</f>
        <v>0</v>
      </c>
      <c r="I295" s="70">
        <f>COUNTIFS('Error Log'!$A:$A,$A295,'Error Log'!$F:$F,"Target")</f>
        <v>0</v>
      </c>
      <c r="J295" s="71">
        <f t="shared" si="4"/>
        <v>0</v>
      </c>
    </row>
    <row r="296" spans="1:10">
      <c r="A296" s="101"/>
      <c r="B296" s="70" t="str">
        <f>IF(ISBLANK(A296),"",INDEX('Error Log'!$A:$J,MATCH('Scores per segment'!$A296,'Error Log'!$A:$A,0),MATCH('Scores per segment'!B$1,'Error Log'!$A$1:$J$1,0)))</f>
        <v/>
      </c>
      <c r="C296" s="70" t="str">
        <f>IF(ISBLANK(A296),"",INDEX('Error Log'!$A:$J,MATCH('Scores per segment'!$A296,'Error Log'!$A:$A,0),MATCH('Scores per segment'!C$1,'Error Log'!$A$1:$J$1,0)))</f>
        <v/>
      </c>
      <c r="D296" s="70">
        <f>IF(H296=0,wdct(TRIM(C296)),0)</f>
        <v>0</v>
      </c>
      <c r="E296" s="70">
        <f>COUNTIFS('Error Log'!$A:$A,$A296,'Error Log'!$J:$J,E$1)</f>
        <v>0</v>
      </c>
      <c r="F296" s="70">
        <f>COUNTIFS('Error Log'!$A:$A,$A296,'Error Log'!$J:$J,F$1)</f>
        <v>0</v>
      </c>
      <c r="G296" s="70">
        <f>COUNTIFS('Error Log'!$A:$A,$A296,'Error Log'!$J:$J,G$1)</f>
        <v>0</v>
      </c>
      <c r="H296" s="70">
        <f>COUNTIFS('Error Log'!$A:$A,$A296,'Error Log'!$F:$F,"Source")</f>
        <v>0</v>
      </c>
      <c r="I296" s="70">
        <f>COUNTIFS('Error Log'!$A:$A,$A296,'Error Log'!$F:$F,"Target")</f>
        <v>0</v>
      </c>
      <c r="J296" s="71">
        <f t="shared" si="4"/>
        <v>0</v>
      </c>
    </row>
    <row r="297" spans="1:10">
      <c r="A297" s="101"/>
      <c r="B297" s="70" t="str">
        <f>IF(ISBLANK(A297),"",INDEX('Error Log'!$A:$J,MATCH('Scores per segment'!$A297,'Error Log'!$A:$A,0),MATCH('Scores per segment'!B$1,'Error Log'!$A$1:$J$1,0)))</f>
        <v/>
      </c>
      <c r="C297" s="70" t="str">
        <f>IF(ISBLANK(A297),"",INDEX('Error Log'!$A:$J,MATCH('Scores per segment'!$A297,'Error Log'!$A:$A,0),MATCH('Scores per segment'!C$1,'Error Log'!$A$1:$J$1,0)))</f>
        <v/>
      </c>
      <c r="D297" s="70">
        <f>IF(H297=0,wdct(TRIM(C297)),0)</f>
        <v>0</v>
      </c>
      <c r="E297" s="70">
        <f>COUNTIFS('Error Log'!$A:$A,$A297,'Error Log'!$J:$J,E$1)</f>
        <v>0</v>
      </c>
      <c r="F297" s="70">
        <f>COUNTIFS('Error Log'!$A:$A,$A297,'Error Log'!$J:$J,F$1)</f>
        <v>0</v>
      </c>
      <c r="G297" s="70">
        <f>COUNTIFS('Error Log'!$A:$A,$A297,'Error Log'!$J:$J,G$1)</f>
        <v>0</v>
      </c>
      <c r="H297" s="70">
        <f>COUNTIFS('Error Log'!$A:$A,$A297,'Error Log'!$F:$F,"Source")</f>
        <v>0</v>
      </c>
      <c r="I297" s="70">
        <f>COUNTIFS('Error Log'!$A:$A,$A297,'Error Log'!$F:$F,"Target")</f>
        <v>0</v>
      </c>
      <c r="J297" s="71">
        <f t="shared" si="4"/>
        <v>0</v>
      </c>
    </row>
    <row r="298" spans="1:10">
      <c r="A298" s="101"/>
      <c r="B298" s="70" t="str">
        <f>IF(ISBLANK(A298),"",INDEX('Error Log'!$A:$J,MATCH('Scores per segment'!$A298,'Error Log'!$A:$A,0),MATCH('Scores per segment'!B$1,'Error Log'!$A$1:$J$1,0)))</f>
        <v/>
      </c>
      <c r="C298" s="70" t="str">
        <f>IF(ISBLANK(A298),"",INDEX('Error Log'!$A:$J,MATCH('Scores per segment'!$A298,'Error Log'!$A:$A,0),MATCH('Scores per segment'!C$1,'Error Log'!$A$1:$J$1,0)))</f>
        <v/>
      </c>
      <c r="D298" s="70">
        <f>IF(H298=0,wdct(TRIM(C298)),0)</f>
        <v>0</v>
      </c>
      <c r="E298" s="70">
        <f>COUNTIFS('Error Log'!$A:$A,$A298,'Error Log'!$J:$J,E$1)</f>
        <v>0</v>
      </c>
      <c r="F298" s="70">
        <f>COUNTIFS('Error Log'!$A:$A,$A298,'Error Log'!$J:$J,F$1)</f>
        <v>0</v>
      </c>
      <c r="G298" s="70">
        <f>COUNTIFS('Error Log'!$A:$A,$A298,'Error Log'!$J:$J,G$1)</f>
        <v>0</v>
      </c>
      <c r="H298" s="70">
        <f>COUNTIFS('Error Log'!$A:$A,$A298,'Error Log'!$F:$F,"Source")</f>
        <v>0</v>
      </c>
      <c r="I298" s="70">
        <f>COUNTIFS('Error Log'!$A:$A,$A298,'Error Log'!$F:$F,"Target")</f>
        <v>0</v>
      </c>
      <c r="J298" s="71">
        <f t="shared" si="4"/>
        <v>0</v>
      </c>
    </row>
    <row r="299" spans="1:10">
      <c r="A299" s="101"/>
      <c r="B299" s="70" t="str">
        <f>IF(ISBLANK(A299),"",INDEX('Error Log'!$A:$J,MATCH('Scores per segment'!$A299,'Error Log'!$A:$A,0),MATCH('Scores per segment'!B$1,'Error Log'!$A$1:$J$1,0)))</f>
        <v/>
      </c>
      <c r="C299" s="70" t="str">
        <f>IF(ISBLANK(A299),"",INDEX('Error Log'!$A:$J,MATCH('Scores per segment'!$A299,'Error Log'!$A:$A,0),MATCH('Scores per segment'!C$1,'Error Log'!$A$1:$J$1,0)))</f>
        <v/>
      </c>
      <c r="D299" s="70">
        <f>IF(H299=0,wdct(TRIM(C299)),0)</f>
        <v>0</v>
      </c>
      <c r="E299" s="70">
        <f>COUNTIFS('Error Log'!$A:$A,$A299,'Error Log'!$J:$J,E$1)</f>
        <v>0</v>
      </c>
      <c r="F299" s="70">
        <f>COUNTIFS('Error Log'!$A:$A,$A299,'Error Log'!$J:$J,F$1)</f>
        <v>0</v>
      </c>
      <c r="G299" s="70">
        <f>COUNTIFS('Error Log'!$A:$A,$A299,'Error Log'!$J:$J,G$1)</f>
        <v>0</v>
      </c>
      <c r="H299" s="70">
        <f>COUNTIFS('Error Log'!$A:$A,$A299,'Error Log'!$F:$F,"Source")</f>
        <v>0</v>
      </c>
      <c r="I299" s="70">
        <f>COUNTIFS('Error Log'!$A:$A,$A299,'Error Log'!$F:$F,"Target")</f>
        <v>0</v>
      </c>
      <c r="J299" s="71">
        <f t="shared" si="4"/>
        <v>0</v>
      </c>
    </row>
    <row r="300" spans="1:10">
      <c r="A300" s="101"/>
      <c r="B300" s="70" t="str">
        <f>IF(ISBLANK(A300),"",INDEX('Error Log'!$A:$J,MATCH('Scores per segment'!$A300,'Error Log'!$A:$A,0),MATCH('Scores per segment'!B$1,'Error Log'!$A$1:$J$1,0)))</f>
        <v/>
      </c>
      <c r="C300" s="70" t="str">
        <f>IF(ISBLANK(A300),"",INDEX('Error Log'!$A:$J,MATCH('Scores per segment'!$A300,'Error Log'!$A:$A,0),MATCH('Scores per segment'!C$1,'Error Log'!$A$1:$J$1,0)))</f>
        <v/>
      </c>
      <c r="D300" s="70">
        <f>IF(H300=0,wdct(TRIM(C300)),0)</f>
        <v>0</v>
      </c>
      <c r="E300" s="70">
        <f>COUNTIFS('Error Log'!$A:$A,$A300,'Error Log'!$J:$J,E$1)</f>
        <v>0</v>
      </c>
      <c r="F300" s="70">
        <f>COUNTIFS('Error Log'!$A:$A,$A300,'Error Log'!$J:$J,F$1)</f>
        <v>0</v>
      </c>
      <c r="G300" s="70">
        <f>COUNTIFS('Error Log'!$A:$A,$A300,'Error Log'!$J:$J,G$1)</f>
        <v>0</v>
      </c>
      <c r="H300" s="70">
        <f>COUNTIFS('Error Log'!$A:$A,$A300,'Error Log'!$F:$F,"Source")</f>
        <v>0</v>
      </c>
      <c r="I300" s="70">
        <f>COUNTIFS('Error Log'!$A:$A,$A300,'Error Log'!$F:$F,"Target")</f>
        <v>0</v>
      </c>
      <c r="J300" s="71">
        <f t="shared" si="4"/>
        <v>0</v>
      </c>
    </row>
    <row r="301" spans="1:10">
      <c r="A301" s="101"/>
      <c r="B301" s="70" t="str">
        <f>IF(ISBLANK(A301),"",INDEX('Error Log'!$A:$J,MATCH('Scores per segment'!$A301,'Error Log'!$A:$A,0),MATCH('Scores per segment'!B$1,'Error Log'!$A$1:$J$1,0)))</f>
        <v/>
      </c>
      <c r="C301" s="70" t="str">
        <f>IF(ISBLANK(A301),"",INDEX('Error Log'!$A:$J,MATCH('Scores per segment'!$A301,'Error Log'!$A:$A,0),MATCH('Scores per segment'!C$1,'Error Log'!$A$1:$J$1,0)))</f>
        <v/>
      </c>
      <c r="D301" s="70">
        <f>IF(H301=0,wdct(TRIM(C301)),0)</f>
        <v>0</v>
      </c>
      <c r="E301" s="70">
        <f>COUNTIFS('Error Log'!$A:$A,$A301,'Error Log'!$J:$J,E$1)</f>
        <v>0</v>
      </c>
      <c r="F301" s="70">
        <f>COUNTIFS('Error Log'!$A:$A,$A301,'Error Log'!$J:$J,F$1)</f>
        <v>0</v>
      </c>
      <c r="G301" s="70">
        <f>COUNTIFS('Error Log'!$A:$A,$A301,'Error Log'!$J:$J,G$1)</f>
        <v>0</v>
      </c>
      <c r="H301" s="70">
        <f>COUNTIFS('Error Log'!$A:$A,$A301,'Error Log'!$F:$F,"Source")</f>
        <v>0</v>
      </c>
      <c r="I301" s="70">
        <f>COUNTIFS('Error Log'!$A:$A,$A301,'Error Log'!$F:$F,"Target")</f>
        <v>0</v>
      </c>
      <c r="J301" s="71">
        <f t="shared" si="4"/>
        <v>0</v>
      </c>
    </row>
    <row r="302" spans="1:10">
      <c r="A302" s="101"/>
      <c r="B302" s="70" t="str">
        <f>IF(ISBLANK(A302),"",INDEX('Error Log'!$A:$J,MATCH('Scores per segment'!$A302,'Error Log'!$A:$A,0),MATCH('Scores per segment'!B$1,'Error Log'!$A$1:$J$1,0)))</f>
        <v/>
      </c>
      <c r="C302" s="70" t="str">
        <f>IF(ISBLANK(A302),"",INDEX('Error Log'!$A:$J,MATCH('Scores per segment'!$A302,'Error Log'!$A:$A,0),MATCH('Scores per segment'!C$1,'Error Log'!$A$1:$J$1,0)))</f>
        <v/>
      </c>
      <c r="D302" s="70">
        <f>IF(H302=0,wdct(TRIM(C302)),0)</f>
        <v>0</v>
      </c>
      <c r="E302" s="70">
        <f>COUNTIFS('Error Log'!$A:$A,$A302,'Error Log'!$J:$J,E$1)</f>
        <v>0</v>
      </c>
      <c r="F302" s="70">
        <f>COUNTIFS('Error Log'!$A:$A,$A302,'Error Log'!$J:$J,F$1)</f>
        <v>0</v>
      </c>
      <c r="G302" s="70">
        <f>COUNTIFS('Error Log'!$A:$A,$A302,'Error Log'!$J:$J,G$1)</f>
        <v>0</v>
      </c>
      <c r="H302" s="70">
        <f>COUNTIFS('Error Log'!$A:$A,$A302,'Error Log'!$F:$F,"Source")</f>
        <v>0</v>
      </c>
      <c r="I302" s="70">
        <f>COUNTIFS('Error Log'!$A:$A,$A302,'Error Log'!$F:$F,"Target")</f>
        <v>0</v>
      </c>
      <c r="J302" s="71">
        <f t="shared" si="4"/>
        <v>0</v>
      </c>
    </row>
    <row r="303" spans="1:10">
      <c r="A303" s="101"/>
      <c r="B303" s="70" t="str">
        <f>IF(ISBLANK(A303),"",INDEX('Error Log'!$A:$J,MATCH('Scores per segment'!$A303,'Error Log'!$A:$A,0),MATCH('Scores per segment'!B$1,'Error Log'!$A$1:$J$1,0)))</f>
        <v/>
      </c>
      <c r="C303" s="70" t="str">
        <f>IF(ISBLANK(A303),"",INDEX('Error Log'!$A:$J,MATCH('Scores per segment'!$A303,'Error Log'!$A:$A,0),MATCH('Scores per segment'!C$1,'Error Log'!$A$1:$J$1,0)))</f>
        <v/>
      </c>
      <c r="D303" s="70">
        <f>IF(H303=0,wdct(TRIM(C303)),0)</f>
        <v>0</v>
      </c>
      <c r="E303" s="70">
        <f>COUNTIFS('Error Log'!$A:$A,$A303,'Error Log'!$J:$J,E$1)</f>
        <v>0</v>
      </c>
      <c r="F303" s="70">
        <f>COUNTIFS('Error Log'!$A:$A,$A303,'Error Log'!$J:$J,F$1)</f>
        <v>0</v>
      </c>
      <c r="G303" s="70">
        <f>COUNTIFS('Error Log'!$A:$A,$A303,'Error Log'!$J:$J,G$1)</f>
        <v>0</v>
      </c>
      <c r="H303" s="70">
        <f>COUNTIFS('Error Log'!$A:$A,$A303,'Error Log'!$F:$F,"Source")</f>
        <v>0</v>
      </c>
      <c r="I303" s="70">
        <f>COUNTIFS('Error Log'!$A:$A,$A303,'Error Log'!$F:$F,"Target")</f>
        <v>0</v>
      </c>
      <c r="J303" s="71">
        <f t="shared" si="4"/>
        <v>0</v>
      </c>
    </row>
    <row r="304" spans="1:10">
      <c r="A304" s="101"/>
      <c r="B304" s="70" t="str">
        <f>IF(ISBLANK(A304),"",INDEX('Error Log'!$A:$J,MATCH('Scores per segment'!$A304,'Error Log'!$A:$A,0),MATCH('Scores per segment'!B$1,'Error Log'!$A$1:$J$1,0)))</f>
        <v/>
      </c>
      <c r="C304" s="70" t="str">
        <f>IF(ISBLANK(A304),"",INDEX('Error Log'!$A:$J,MATCH('Scores per segment'!$A304,'Error Log'!$A:$A,0),MATCH('Scores per segment'!C$1,'Error Log'!$A$1:$J$1,0)))</f>
        <v/>
      </c>
      <c r="D304" s="70">
        <f>IF(H304=0,wdct(TRIM(C304)),0)</f>
        <v>0</v>
      </c>
      <c r="E304" s="70">
        <f>COUNTIFS('Error Log'!$A:$A,$A304,'Error Log'!$J:$J,E$1)</f>
        <v>0</v>
      </c>
      <c r="F304" s="70">
        <f>COUNTIFS('Error Log'!$A:$A,$A304,'Error Log'!$J:$J,F$1)</f>
        <v>0</v>
      </c>
      <c r="G304" s="70">
        <f>COUNTIFS('Error Log'!$A:$A,$A304,'Error Log'!$J:$J,G$1)</f>
        <v>0</v>
      </c>
      <c r="H304" s="70">
        <f>COUNTIFS('Error Log'!$A:$A,$A304,'Error Log'!$F:$F,"Source")</f>
        <v>0</v>
      </c>
      <c r="I304" s="70">
        <f>COUNTIFS('Error Log'!$A:$A,$A304,'Error Log'!$F:$F,"Target")</f>
        <v>0</v>
      </c>
      <c r="J304" s="71">
        <f t="shared" si="4"/>
        <v>0</v>
      </c>
    </row>
    <row r="305" spans="1:10">
      <c r="A305" s="101"/>
      <c r="B305" s="70" t="str">
        <f>IF(ISBLANK(A305),"",INDEX('Error Log'!$A:$J,MATCH('Scores per segment'!$A305,'Error Log'!$A:$A,0),MATCH('Scores per segment'!B$1,'Error Log'!$A$1:$J$1,0)))</f>
        <v/>
      </c>
      <c r="C305" s="70" t="str">
        <f>IF(ISBLANK(A305),"",INDEX('Error Log'!$A:$J,MATCH('Scores per segment'!$A305,'Error Log'!$A:$A,0),MATCH('Scores per segment'!C$1,'Error Log'!$A$1:$J$1,0)))</f>
        <v/>
      </c>
      <c r="D305" s="70">
        <f>IF(H305=0,wdct(TRIM(C305)),0)</f>
        <v>0</v>
      </c>
      <c r="E305" s="70">
        <f>COUNTIFS('Error Log'!$A:$A,$A305,'Error Log'!$J:$J,E$1)</f>
        <v>0</v>
      </c>
      <c r="F305" s="70">
        <f>COUNTIFS('Error Log'!$A:$A,$A305,'Error Log'!$J:$J,F$1)</f>
        <v>0</v>
      </c>
      <c r="G305" s="70">
        <f>COUNTIFS('Error Log'!$A:$A,$A305,'Error Log'!$J:$J,G$1)</f>
        <v>0</v>
      </c>
      <c r="H305" s="70">
        <f>COUNTIFS('Error Log'!$A:$A,$A305,'Error Log'!$F:$F,"Source")</f>
        <v>0</v>
      </c>
      <c r="I305" s="70">
        <f>COUNTIFS('Error Log'!$A:$A,$A305,'Error Log'!$F:$F,"Target")</f>
        <v>0</v>
      </c>
      <c r="J305" s="71">
        <f t="shared" si="4"/>
        <v>0</v>
      </c>
    </row>
    <row r="306" spans="1:10">
      <c r="A306" s="101"/>
      <c r="B306" s="70" t="str">
        <f>IF(ISBLANK(A306),"",INDEX('Error Log'!$A:$J,MATCH('Scores per segment'!$A306,'Error Log'!$A:$A,0),MATCH('Scores per segment'!B$1,'Error Log'!$A$1:$J$1,0)))</f>
        <v/>
      </c>
      <c r="C306" s="70" t="str">
        <f>IF(ISBLANK(A306),"",INDEX('Error Log'!$A:$J,MATCH('Scores per segment'!$A306,'Error Log'!$A:$A,0),MATCH('Scores per segment'!C$1,'Error Log'!$A$1:$J$1,0)))</f>
        <v/>
      </c>
      <c r="D306" s="70">
        <f>IF(H306=0,wdct(TRIM(C306)),0)</f>
        <v>0</v>
      </c>
      <c r="E306" s="70">
        <f>COUNTIFS('Error Log'!$A:$A,$A306,'Error Log'!$J:$J,E$1)</f>
        <v>0</v>
      </c>
      <c r="F306" s="70">
        <f>COUNTIFS('Error Log'!$A:$A,$A306,'Error Log'!$J:$J,F$1)</f>
        <v>0</v>
      </c>
      <c r="G306" s="70">
        <f>COUNTIFS('Error Log'!$A:$A,$A306,'Error Log'!$J:$J,G$1)</f>
        <v>0</v>
      </c>
      <c r="H306" s="70">
        <f>COUNTIFS('Error Log'!$A:$A,$A306,'Error Log'!$F:$F,"Source")</f>
        <v>0</v>
      </c>
      <c r="I306" s="70">
        <f>COUNTIFS('Error Log'!$A:$A,$A306,'Error Log'!$F:$F,"Target")</f>
        <v>0</v>
      </c>
      <c r="J306" s="71">
        <f t="shared" si="4"/>
        <v>0</v>
      </c>
    </row>
    <row r="307" spans="1:10">
      <c r="A307" s="101"/>
      <c r="B307" s="70" t="str">
        <f>IF(ISBLANK(A307),"",INDEX('Error Log'!$A:$J,MATCH('Scores per segment'!$A307,'Error Log'!$A:$A,0),MATCH('Scores per segment'!B$1,'Error Log'!$A$1:$J$1,0)))</f>
        <v/>
      </c>
      <c r="C307" s="70" t="str">
        <f>IF(ISBLANK(A307),"",INDEX('Error Log'!$A:$J,MATCH('Scores per segment'!$A307,'Error Log'!$A:$A,0),MATCH('Scores per segment'!C$1,'Error Log'!$A$1:$J$1,0)))</f>
        <v/>
      </c>
      <c r="D307" s="70">
        <f>IF(H307=0,wdct(TRIM(C307)),0)</f>
        <v>0</v>
      </c>
      <c r="E307" s="70">
        <f>COUNTIFS('Error Log'!$A:$A,$A307,'Error Log'!$J:$J,E$1)</f>
        <v>0</v>
      </c>
      <c r="F307" s="70">
        <f>COUNTIFS('Error Log'!$A:$A,$A307,'Error Log'!$J:$J,F$1)</f>
        <v>0</v>
      </c>
      <c r="G307" s="70">
        <f>COUNTIFS('Error Log'!$A:$A,$A307,'Error Log'!$J:$J,G$1)</f>
        <v>0</v>
      </c>
      <c r="H307" s="70">
        <f>COUNTIFS('Error Log'!$A:$A,$A307,'Error Log'!$F:$F,"Source")</f>
        <v>0</v>
      </c>
      <c r="I307" s="70">
        <f>COUNTIFS('Error Log'!$A:$A,$A307,'Error Log'!$F:$F,"Target")</f>
        <v>0</v>
      </c>
      <c r="J307" s="71">
        <f t="shared" si="4"/>
        <v>0</v>
      </c>
    </row>
    <row r="308" spans="1:10">
      <c r="A308" s="101"/>
      <c r="B308" s="70" t="str">
        <f>IF(ISBLANK(A308),"",INDEX('Error Log'!$A:$J,MATCH('Scores per segment'!$A308,'Error Log'!$A:$A,0),MATCH('Scores per segment'!B$1,'Error Log'!$A$1:$J$1,0)))</f>
        <v/>
      </c>
      <c r="C308" s="70" t="str">
        <f>IF(ISBLANK(A308),"",INDEX('Error Log'!$A:$J,MATCH('Scores per segment'!$A308,'Error Log'!$A:$A,0),MATCH('Scores per segment'!C$1,'Error Log'!$A$1:$J$1,0)))</f>
        <v/>
      </c>
      <c r="D308" s="70">
        <f>IF(H308=0,wdct(TRIM(C308)),0)</f>
        <v>0</v>
      </c>
      <c r="E308" s="70">
        <f>COUNTIFS('Error Log'!$A:$A,$A308,'Error Log'!$J:$J,E$1)</f>
        <v>0</v>
      </c>
      <c r="F308" s="70">
        <f>COUNTIFS('Error Log'!$A:$A,$A308,'Error Log'!$J:$J,F$1)</f>
        <v>0</v>
      </c>
      <c r="G308" s="70">
        <f>COUNTIFS('Error Log'!$A:$A,$A308,'Error Log'!$J:$J,G$1)</f>
        <v>0</v>
      </c>
      <c r="H308" s="70">
        <f>COUNTIFS('Error Log'!$A:$A,$A308,'Error Log'!$F:$F,"Source")</f>
        <v>0</v>
      </c>
      <c r="I308" s="70">
        <f>COUNTIFS('Error Log'!$A:$A,$A308,'Error Log'!$F:$F,"Target")</f>
        <v>0</v>
      </c>
      <c r="J308" s="71">
        <f t="shared" si="4"/>
        <v>0</v>
      </c>
    </row>
    <row r="309" spans="1:10">
      <c r="A309" s="101"/>
      <c r="B309" s="70" t="str">
        <f>IF(ISBLANK(A309),"",INDEX('Error Log'!$A:$J,MATCH('Scores per segment'!$A309,'Error Log'!$A:$A,0),MATCH('Scores per segment'!B$1,'Error Log'!$A$1:$J$1,0)))</f>
        <v/>
      </c>
      <c r="C309" s="70" t="str">
        <f>IF(ISBLANK(A309),"",INDEX('Error Log'!$A:$J,MATCH('Scores per segment'!$A309,'Error Log'!$A:$A,0),MATCH('Scores per segment'!C$1,'Error Log'!$A$1:$J$1,0)))</f>
        <v/>
      </c>
      <c r="D309" s="70">
        <f>IF(H309=0,wdct(TRIM(C309)),0)</f>
        <v>0</v>
      </c>
      <c r="E309" s="70">
        <f>COUNTIFS('Error Log'!$A:$A,$A309,'Error Log'!$J:$J,E$1)</f>
        <v>0</v>
      </c>
      <c r="F309" s="70">
        <f>COUNTIFS('Error Log'!$A:$A,$A309,'Error Log'!$J:$J,F$1)</f>
        <v>0</v>
      </c>
      <c r="G309" s="70">
        <f>COUNTIFS('Error Log'!$A:$A,$A309,'Error Log'!$J:$J,G$1)</f>
        <v>0</v>
      </c>
      <c r="H309" s="70">
        <f>COUNTIFS('Error Log'!$A:$A,$A309,'Error Log'!$F:$F,"Source")</f>
        <v>0</v>
      </c>
      <c r="I309" s="70">
        <f>COUNTIFS('Error Log'!$A:$A,$A309,'Error Log'!$F:$F,"Target")</f>
        <v>0</v>
      </c>
      <c r="J309" s="71">
        <f t="shared" si="4"/>
        <v>0</v>
      </c>
    </row>
    <row r="310" spans="1:10">
      <c r="A310" s="101"/>
      <c r="B310" s="70" t="str">
        <f>IF(ISBLANK(A310),"",INDEX('Error Log'!$A:$J,MATCH('Scores per segment'!$A310,'Error Log'!$A:$A,0),MATCH('Scores per segment'!B$1,'Error Log'!$A$1:$J$1,0)))</f>
        <v/>
      </c>
      <c r="C310" s="70" t="str">
        <f>IF(ISBLANK(A310),"",INDEX('Error Log'!$A:$J,MATCH('Scores per segment'!$A310,'Error Log'!$A:$A,0),MATCH('Scores per segment'!C$1,'Error Log'!$A$1:$J$1,0)))</f>
        <v/>
      </c>
      <c r="D310" s="70">
        <f>IF(H310=0,wdct(TRIM(C310)),0)</f>
        <v>0</v>
      </c>
      <c r="E310" s="70">
        <f>COUNTIFS('Error Log'!$A:$A,$A310,'Error Log'!$J:$J,E$1)</f>
        <v>0</v>
      </c>
      <c r="F310" s="70">
        <f>COUNTIFS('Error Log'!$A:$A,$A310,'Error Log'!$J:$J,F$1)</f>
        <v>0</v>
      </c>
      <c r="G310" s="70">
        <f>COUNTIFS('Error Log'!$A:$A,$A310,'Error Log'!$J:$J,G$1)</f>
        <v>0</v>
      </c>
      <c r="H310" s="70">
        <f>COUNTIFS('Error Log'!$A:$A,$A310,'Error Log'!$F:$F,"Source")</f>
        <v>0</v>
      </c>
      <c r="I310" s="70">
        <f>COUNTIFS('Error Log'!$A:$A,$A310,'Error Log'!$F:$F,"Target")</f>
        <v>0</v>
      </c>
      <c r="J310" s="71">
        <f t="shared" si="4"/>
        <v>0</v>
      </c>
    </row>
    <row r="311" spans="1:10">
      <c r="A311" s="101"/>
      <c r="B311" s="70" t="str">
        <f>IF(ISBLANK(A311),"",INDEX('Error Log'!$A:$J,MATCH('Scores per segment'!$A311,'Error Log'!$A:$A,0),MATCH('Scores per segment'!B$1,'Error Log'!$A$1:$J$1,0)))</f>
        <v/>
      </c>
      <c r="C311" s="70" t="str">
        <f>IF(ISBLANK(A311),"",INDEX('Error Log'!$A:$J,MATCH('Scores per segment'!$A311,'Error Log'!$A:$A,0),MATCH('Scores per segment'!C$1,'Error Log'!$A$1:$J$1,0)))</f>
        <v/>
      </c>
      <c r="D311" s="70">
        <f>IF(H311=0,wdct(TRIM(C311)),0)</f>
        <v>0</v>
      </c>
      <c r="E311" s="70">
        <f>COUNTIFS('Error Log'!$A:$A,$A311,'Error Log'!$J:$J,E$1)</f>
        <v>0</v>
      </c>
      <c r="F311" s="70">
        <f>COUNTIFS('Error Log'!$A:$A,$A311,'Error Log'!$J:$J,F$1)</f>
        <v>0</v>
      </c>
      <c r="G311" s="70">
        <f>COUNTIFS('Error Log'!$A:$A,$A311,'Error Log'!$J:$J,G$1)</f>
        <v>0</v>
      </c>
      <c r="H311" s="70">
        <f>COUNTIFS('Error Log'!$A:$A,$A311,'Error Log'!$F:$F,"Source")</f>
        <v>0</v>
      </c>
      <c r="I311" s="70">
        <f>COUNTIFS('Error Log'!$A:$A,$A311,'Error Log'!$F:$F,"Target")</f>
        <v>0</v>
      </c>
      <c r="J311" s="71">
        <f t="shared" si="4"/>
        <v>0</v>
      </c>
    </row>
    <row r="312" spans="1:10">
      <c r="A312" s="101"/>
      <c r="B312" s="70" t="str">
        <f>IF(ISBLANK(A312),"",INDEX('Error Log'!$A:$J,MATCH('Scores per segment'!$A312,'Error Log'!$A:$A,0),MATCH('Scores per segment'!B$1,'Error Log'!$A$1:$J$1,0)))</f>
        <v/>
      </c>
      <c r="C312" s="70" t="str">
        <f>IF(ISBLANK(A312),"",INDEX('Error Log'!$A:$J,MATCH('Scores per segment'!$A312,'Error Log'!$A:$A,0),MATCH('Scores per segment'!C$1,'Error Log'!$A$1:$J$1,0)))</f>
        <v/>
      </c>
      <c r="D312" s="70">
        <f>IF(H312=0,wdct(TRIM(C312)),0)</f>
        <v>0</v>
      </c>
      <c r="E312" s="70">
        <f>COUNTIFS('Error Log'!$A:$A,$A312,'Error Log'!$J:$J,E$1)</f>
        <v>0</v>
      </c>
      <c r="F312" s="70">
        <f>COUNTIFS('Error Log'!$A:$A,$A312,'Error Log'!$J:$J,F$1)</f>
        <v>0</v>
      </c>
      <c r="G312" s="70">
        <f>COUNTIFS('Error Log'!$A:$A,$A312,'Error Log'!$J:$J,G$1)</f>
        <v>0</v>
      </c>
      <c r="H312" s="70">
        <f>COUNTIFS('Error Log'!$A:$A,$A312,'Error Log'!$F:$F,"Source")</f>
        <v>0</v>
      </c>
      <c r="I312" s="70">
        <f>COUNTIFS('Error Log'!$A:$A,$A312,'Error Log'!$F:$F,"Target")</f>
        <v>0</v>
      </c>
      <c r="J312" s="71">
        <f t="shared" si="4"/>
        <v>0</v>
      </c>
    </row>
    <row r="313" spans="1:10">
      <c r="A313" s="101"/>
      <c r="B313" s="70" t="str">
        <f>IF(ISBLANK(A313),"",INDEX('Error Log'!$A:$J,MATCH('Scores per segment'!$A313,'Error Log'!$A:$A,0),MATCH('Scores per segment'!B$1,'Error Log'!$A$1:$J$1,0)))</f>
        <v/>
      </c>
      <c r="C313" s="70" t="str">
        <f>IF(ISBLANK(A313),"",INDEX('Error Log'!$A:$J,MATCH('Scores per segment'!$A313,'Error Log'!$A:$A,0),MATCH('Scores per segment'!C$1,'Error Log'!$A$1:$J$1,0)))</f>
        <v/>
      </c>
      <c r="D313" s="70">
        <f>IF(H313=0,wdct(TRIM(C313)),0)</f>
        <v>0</v>
      </c>
      <c r="E313" s="70">
        <f>COUNTIFS('Error Log'!$A:$A,$A313,'Error Log'!$J:$J,E$1)</f>
        <v>0</v>
      </c>
      <c r="F313" s="70">
        <f>COUNTIFS('Error Log'!$A:$A,$A313,'Error Log'!$J:$J,F$1)</f>
        <v>0</v>
      </c>
      <c r="G313" s="70">
        <f>COUNTIFS('Error Log'!$A:$A,$A313,'Error Log'!$J:$J,G$1)</f>
        <v>0</v>
      </c>
      <c r="H313" s="70">
        <f>COUNTIFS('Error Log'!$A:$A,$A313,'Error Log'!$F:$F,"Source")</f>
        <v>0</v>
      </c>
      <c r="I313" s="70">
        <f>COUNTIFS('Error Log'!$A:$A,$A313,'Error Log'!$F:$F,"Target")</f>
        <v>0</v>
      </c>
      <c r="J313" s="71">
        <f t="shared" si="4"/>
        <v>0</v>
      </c>
    </row>
    <row r="314" spans="1:10">
      <c r="A314" s="101"/>
      <c r="B314" s="70" t="str">
        <f>IF(ISBLANK(A314),"",INDEX('Error Log'!$A:$J,MATCH('Scores per segment'!$A314,'Error Log'!$A:$A,0),MATCH('Scores per segment'!B$1,'Error Log'!$A$1:$J$1,0)))</f>
        <v/>
      </c>
      <c r="C314" s="70" t="str">
        <f>IF(ISBLANK(A314),"",INDEX('Error Log'!$A:$J,MATCH('Scores per segment'!$A314,'Error Log'!$A:$A,0),MATCH('Scores per segment'!C$1,'Error Log'!$A$1:$J$1,0)))</f>
        <v/>
      </c>
      <c r="D314" s="70">
        <f>IF(H314=0,wdct(TRIM(C314)),0)</f>
        <v>0</v>
      </c>
      <c r="E314" s="70">
        <f>COUNTIFS('Error Log'!$A:$A,$A314,'Error Log'!$J:$J,E$1)</f>
        <v>0</v>
      </c>
      <c r="F314" s="70">
        <f>COUNTIFS('Error Log'!$A:$A,$A314,'Error Log'!$J:$J,F$1)</f>
        <v>0</v>
      </c>
      <c r="G314" s="70">
        <f>COUNTIFS('Error Log'!$A:$A,$A314,'Error Log'!$J:$J,G$1)</f>
        <v>0</v>
      </c>
      <c r="H314" s="70">
        <f>COUNTIFS('Error Log'!$A:$A,$A314,'Error Log'!$F:$F,"Source")</f>
        <v>0</v>
      </c>
      <c r="I314" s="70">
        <f>COUNTIFS('Error Log'!$A:$A,$A314,'Error Log'!$F:$F,"Target")</f>
        <v>0</v>
      </c>
      <c r="J314" s="71">
        <f t="shared" si="4"/>
        <v>0</v>
      </c>
    </row>
    <row r="315" spans="1:10">
      <c r="A315" s="101"/>
      <c r="B315" s="70" t="str">
        <f>IF(ISBLANK(A315),"",INDEX('Error Log'!$A:$J,MATCH('Scores per segment'!$A315,'Error Log'!$A:$A,0),MATCH('Scores per segment'!B$1,'Error Log'!$A$1:$J$1,0)))</f>
        <v/>
      </c>
      <c r="C315" s="70" t="str">
        <f>IF(ISBLANK(A315),"",INDEX('Error Log'!$A:$J,MATCH('Scores per segment'!$A315,'Error Log'!$A:$A,0),MATCH('Scores per segment'!C$1,'Error Log'!$A$1:$J$1,0)))</f>
        <v/>
      </c>
      <c r="D315" s="70">
        <f>IF(H315=0,wdct(TRIM(C315)),0)</f>
        <v>0</v>
      </c>
      <c r="E315" s="70">
        <f>COUNTIFS('Error Log'!$A:$A,$A315,'Error Log'!$J:$J,E$1)</f>
        <v>0</v>
      </c>
      <c r="F315" s="70">
        <f>COUNTIFS('Error Log'!$A:$A,$A315,'Error Log'!$J:$J,F$1)</f>
        <v>0</v>
      </c>
      <c r="G315" s="70">
        <f>COUNTIFS('Error Log'!$A:$A,$A315,'Error Log'!$J:$J,G$1)</f>
        <v>0</v>
      </c>
      <c r="H315" s="70">
        <f>COUNTIFS('Error Log'!$A:$A,$A315,'Error Log'!$F:$F,"Source")</f>
        <v>0</v>
      </c>
      <c r="I315" s="70">
        <f>COUNTIFS('Error Log'!$A:$A,$A315,'Error Log'!$F:$F,"Target")</f>
        <v>0</v>
      </c>
      <c r="J315" s="71">
        <f t="shared" si="4"/>
        <v>0</v>
      </c>
    </row>
    <row r="316" spans="1:10">
      <c r="A316" s="101"/>
      <c r="B316" s="70" t="str">
        <f>IF(ISBLANK(A316),"",INDEX('Error Log'!$A:$J,MATCH('Scores per segment'!$A316,'Error Log'!$A:$A,0),MATCH('Scores per segment'!B$1,'Error Log'!$A$1:$J$1,0)))</f>
        <v/>
      </c>
      <c r="C316" s="70" t="str">
        <f>IF(ISBLANK(A316),"",INDEX('Error Log'!$A:$J,MATCH('Scores per segment'!$A316,'Error Log'!$A:$A,0),MATCH('Scores per segment'!C$1,'Error Log'!$A$1:$J$1,0)))</f>
        <v/>
      </c>
      <c r="D316" s="70">
        <f>IF(H316=0,wdct(TRIM(C316)),0)</f>
        <v>0</v>
      </c>
      <c r="E316" s="70">
        <f>COUNTIFS('Error Log'!$A:$A,$A316,'Error Log'!$J:$J,E$1)</f>
        <v>0</v>
      </c>
      <c r="F316" s="70">
        <f>COUNTIFS('Error Log'!$A:$A,$A316,'Error Log'!$J:$J,F$1)</f>
        <v>0</v>
      </c>
      <c r="G316" s="70">
        <f>COUNTIFS('Error Log'!$A:$A,$A316,'Error Log'!$J:$J,G$1)</f>
        <v>0</v>
      </c>
      <c r="H316" s="70">
        <f>COUNTIFS('Error Log'!$A:$A,$A316,'Error Log'!$F:$F,"Source")</f>
        <v>0</v>
      </c>
      <c r="I316" s="70">
        <f>COUNTIFS('Error Log'!$A:$A,$A316,'Error Log'!$F:$F,"Target")</f>
        <v>0</v>
      </c>
      <c r="J316" s="71">
        <f t="shared" si="4"/>
        <v>0</v>
      </c>
    </row>
    <row r="317" spans="1:10">
      <c r="A317" s="101"/>
      <c r="B317" s="70" t="str">
        <f>IF(ISBLANK(A317),"",INDEX('Error Log'!$A:$J,MATCH('Scores per segment'!$A317,'Error Log'!$A:$A,0),MATCH('Scores per segment'!B$1,'Error Log'!$A$1:$J$1,0)))</f>
        <v/>
      </c>
      <c r="C317" s="70" t="str">
        <f>IF(ISBLANK(A317),"",INDEX('Error Log'!$A:$J,MATCH('Scores per segment'!$A317,'Error Log'!$A:$A,0),MATCH('Scores per segment'!C$1,'Error Log'!$A$1:$J$1,0)))</f>
        <v/>
      </c>
      <c r="D317" s="70">
        <f>IF(H317=0,wdct(TRIM(C317)),0)</f>
        <v>0</v>
      </c>
      <c r="E317" s="70">
        <f>COUNTIFS('Error Log'!$A:$A,$A317,'Error Log'!$J:$J,E$1)</f>
        <v>0</v>
      </c>
      <c r="F317" s="70">
        <f>COUNTIFS('Error Log'!$A:$A,$A317,'Error Log'!$J:$J,F$1)</f>
        <v>0</v>
      </c>
      <c r="G317" s="70">
        <f>COUNTIFS('Error Log'!$A:$A,$A317,'Error Log'!$J:$J,G$1)</f>
        <v>0</v>
      </c>
      <c r="H317" s="70">
        <f>COUNTIFS('Error Log'!$A:$A,$A317,'Error Log'!$F:$F,"Source")</f>
        <v>0</v>
      </c>
      <c r="I317" s="70">
        <f>COUNTIFS('Error Log'!$A:$A,$A317,'Error Log'!$F:$F,"Target")</f>
        <v>0</v>
      </c>
      <c r="J317" s="71">
        <f t="shared" si="4"/>
        <v>0</v>
      </c>
    </row>
    <row r="318" spans="1:10">
      <c r="A318" s="101"/>
      <c r="B318" s="70" t="str">
        <f>IF(ISBLANK(A318),"",INDEX('Error Log'!$A:$J,MATCH('Scores per segment'!$A318,'Error Log'!$A:$A,0),MATCH('Scores per segment'!B$1,'Error Log'!$A$1:$J$1,0)))</f>
        <v/>
      </c>
      <c r="C318" s="70" t="str">
        <f>IF(ISBLANK(A318),"",INDEX('Error Log'!$A:$J,MATCH('Scores per segment'!$A318,'Error Log'!$A:$A,0),MATCH('Scores per segment'!C$1,'Error Log'!$A$1:$J$1,0)))</f>
        <v/>
      </c>
      <c r="D318" s="70">
        <f>IF(H318=0,wdct(TRIM(C318)),0)</f>
        <v>0</v>
      </c>
      <c r="E318" s="70">
        <f>COUNTIFS('Error Log'!$A:$A,$A318,'Error Log'!$J:$J,E$1)</f>
        <v>0</v>
      </c>
      <c r="F318" s="70">
        <f>COUNTIFS('Error Log'!$A:$A,$A318,'Error Log'!$J:$J,F$1)</f>
        <v>0</v>
      </c>
      <c r="G318" s="70">
        <f>COUNTIFS('Error Log'!$A:$A,$A318,'Error Log'!$J:$J,G$1)</f>
        <v>0</v>
      </c>
      <c r="H318" s="70">
        <f>COUNTIFS('Error Log'!$A:$A,$A318,'Error Log'!$F:$F,"Source")</f>
        <v>0</v>
      </c>
      <c r="I318" s="70">
        <f>COUNTIFS('Error Log'!$A:$A,$A318,'Error Log'!$F:$F,"Target")</f>
        <v>0</v>
      </c>
      <c r="J318" s="71">
        <f t="shared" si="4"/>
        <v>0</v>
      </c>
    </row>
    <row r="319" spans="1:10">
      <c r="A319" s="101"/>
      <c r="B319" s="70" t="str">
        <f>IF(ISBLANK(A319),"",INDEX('Error Log'!$A:$J,MATCH('Scores per segment'!$A319,'Error Log'!$A:$A,0),MATCH('Scores per segment'!B$1,'Error Log'!$A$1:$J$1,0)))</f>
        <v/>
      </c>
      <c r="C319" s="70" t="str">
        <f>IF(ISBLANK(A319),"",INDEX('Error Log'!$A:$J,MATCH('Scores per segment'!$A319,'Error Log'!$A:$A,0),MATCH('Scores per segment'!C$1,'Error Log'!$A$1:$J$1,0)))</f>
        <v/>
      </c>
      <c r="D319" s="70">
        <f>IF(H319=0,wdct(TRIM(C319)),0)</f>
        <v>0</v>
      </c>
      <c r="E319" s="70">
        <f>COUNTIFS('Error Log'!$A:$A,$A319,'Error Log'!$J:$J,E$1)</f>
        <v>0</v>
      </c>
      <c r="F319" s="70">
        <f>COUNTIFS('Error Log'!$A:$A,$A319,'Error Log'!$J:$J,F$1)</f>
        <v>0</v>
      </c>
      <c r="G319" s="70">
        <f>COUNTIFS('Error Log'!$A:$A,$A319,'Error Log'!$J:$J,G$1)</f>
        <v>0</v>
      </c>
      <c r="H319" s="70">
        <f>COUNTIFS('Error Log'!$A:$A,$A319,'Error Log'!$F:$F,"Source")</f>
        <v>0</v>
      </c>
      <c r="I319" s="70">
        <f>COUNTIFS('Error Log'!$A:$A,$A319,'Error Log'!$F:$F,"Target")</f>
        <v>0</v>
      </c>
      <c r="J319" s="71">
        <f t="shared" si="4"/>
        <v>0</v>
      </c>
    </row>
    <row r="320" spans="1:10">
      <c r="A320" s="101"/>
      <c r="B320" s="70" t="str">
        <f>IF(ISBLANK(A320),"",INDEX('Error Log'!$A:$J,MATCH('Scores per segment'!$A320,'Error Log'!$A:$A,0),MATCH('Scores per segment'!B$1,'Error Log'!$A$1:$J$1,0)))</f>
        <v/>
      </c>
      <c r="C320" s="70" t="str">
        <f>IF(ISBLANK(A320),"",INDEX('Error Log'!$A:$J,MATCH('Scores per segment'!$A320,'Error Log'!$A:$A,0),MATCH('Scores per segment'!C$1,'Error Log'!$A$1:$J$1,0)))</f>
        <v/>
      </c>
      <c r="D320" s="70">
        <f>IF(H320=0,wdct(TRIM(C320)),0)</f>
        <v>0</v>
      </c>
      <c r="E320" s="70">
        <f>COUNTIFS('Error Log'!$A:$A,$A320,'Error Log'!$J:$J,E$1)</f>
        <v>0</v>
      </c>
      <c r="F320" s="70">
        <f>COUNTIFS('Error Log'!$A:$A,$A320,'Error Log'!$J:$J,F$1)</f>
        <v>0</v>
      </c>
      <c r="G320" s="70">
        <f>COUNTIFS('Error Log'!$A:$A,$A320,'Error Log'!$J:$J,G$1)</f>
        <v>0</v>
      </c>
      <c r="H320" s="70">
        <f>COUNTIFS('Error Log'!$A:$A,$A320,'Error Log'!$F:$F,"Source")</f>
        <v>0</v>
      </c>
      <c r="I320" s="70">
        <f>COUNTIFS('Error Log'!$A:$A,$A320,'Error Log'!$F:$F,"Target")</f>
        <v>0</v>
      </c>
      <c r="J320" s="71">
        <f t="shared" si="4"/>
        <v>0</v>
      </c>
    </row>
    <row r="321" spans="1:10">
      <c r="A321" s="101"/>
      <c r="B321" s="70" t="str">
        <f>IF(ISBLANK(A321),"",INDEX('Error Log'!$A:$J,MATCH('Scores per segment'!$A321,'Error Log'!$A:$A,0),MATCH('Scores per segment'!B$1,'Error Log'!$A$1:$J$1,0)))</f>
        <v/>
      </c>
      <c r="C321" s="70" t="str">
        <f>IF(ISBLANK(A321),"",INDEX('Error Log'!$A:$J,MATCH('Scores per segment'!$A321,'Error Log'!$A:$A,0),MATCH('Scores per segment'!C$1,'Error Log'!$A$1:$J$1,0)))</f>
        <v/>
      </c>
      <c r="D321" s="70">
        <f>IF(H321=0,wdct(TRIM(C321)),0)</f>
        <v>0</v>
      </c>
      <c r="E321" s="70">
        <f>COUNTIFS('Error Log'!$A:$A,$A321,'Error Log'!$J:$J,E$1)</f>
        <v>0</v>
      </c>
      <c r="F321" s="70">
        <f>COUNTIFS('Error Log'!$A:$A,$A321,'Error Log'!$J:$J,F$1)</f>
        <v>0</v>
      </c>
      <c r="G321" s="70">
        <f>COUNTIFS('Error Log'!$A:$A,$A321,'Error Log'!$J:$J,G$1)</f>
        <v>0</v>
      </c>
      <c r="H321" s="70">
        <f>COUNTIFS('Error Log'!$A:$A,$A321,'Error Log'!$F:$F,"Source")</f>
        <v>0</v>
      </c>
      <c r="I321" s="70">
        <f>COUNTIFS('Error Log'!$A:$A,$A321,'Error Log'!$F:$F,"Target")</f>
        <v>0</v>
      </c>
      <c r="J321" s="71">
        <f t="shared" si="4"/>
        <v>0</v>
      </c>
    </row>
    <row r="322" spans="1:10">
      <c r="A322" s="101"/>
      <c r="B322" s="70" t="str">
        <f>IF(ISBLANK(A322),"",INDEX('Error Log'!$A:$J,MATCH('Scores per segment'!$A322,'Error Log'!$A:$A,0),MATCH('Scores per segment'!B$1,'Error Log'!$A$1:$J$1,0)))</f>
        <v/>
      </c>
      <c r="C322" s="70" t="str">
        <f>IF(ISBLANK(A322),"",INDEX('Error Log'!$A:$J,MATCH('Scores per segment'!$A322,'Error Log'!$A:$A,0),MATCH('Scores per segment'!C$1,'Error Log'!$A$1:$J$1,0)))</f>
        <v/>
      </c>
      <c r="D322" s="70">
        <f>IF(H322=0,wdct(TRIM(C322)),0)</f>
        <v>0</v>
      </c>
      <c r="E322" s="70">
        <f>COUNTIFS('Error Log'!$A:$A,$A322,'Error Log'!$J:$J,E$1)</f>
        <v>0</v>
      </c>
      <c r="F322" s="70">
        <f>COUNTIFS('Error Log'!$A:$A,$A322,'Error Log'!$J:$J,F$1)</f>
        <v>0</v>
      </c>
      <c r="G322" s="70">
        <f>COUNTIFS('Error Log'!$A:$A,$A322,'Error Log'!$J:$J,G$1)</f>
        <v>0</v>
      </c>
      <c r="H322" s="70">
        <f>COUNTIFS('Error Log'!$A:$A,$A322,'Error Log'!$F:$F,"Source")</f>
        <v>0</v>
      </c>
      <c r="I322" s="70">
        <f>COUNTIFS('Error Log'!$A:$A,$A322,'Error Log'!$F:$F,"Target")</f>
        <v>0</v>
      </c>
      <c r="J322" s="71">
        <f t="shared" ref="J322:J385" si="5">IF(I322=0,IFERROR((((1-((E322*10+F322*5+G322*1)/D322))*100)+100)/2,0),-150)</f>
        <v>0</v>
      </c>
    </row>
    <row r="323" spans="1:10">
      <c r="A323" s="101"/>
      <c r="B323" s="70" t="str">
        <f>IF(ISBLANK(A323),"",INDEX('Error Log'!$A:$J,MATCH('Scores per segment'!$A323,'Error Log'!$A:$A,0),MATCH('Scores per segment'!B$1,'Error Log'!$A$1:$J$1,0)))</f>
        <v/>
      </c>
      <c r="C323" s="70" t="str">
        <f>IF(ISBLANK(A323),"",INDEX('Error Log'!$A:$J,MATCH('Scores per segment'!$A323,'Error Log'!$A:$A,0),MATCH('Scores per segment'!C$1,'Error Log'!$A$1:$J$1,0)))</f>
        <v/>
      </c>
      <c r="D323" s="70">
        <f>IF(H323=0,wdct(TRIM(C323)),0)</f>
        <v>0</v>
      </c>
      <c r="E323" s="70">
        <f>COUNTIFS('Error Log'!$A:$A,$A323,'Error Log'!$J:$J,E$1)</f>
        <v>0</v>
      </c>
      <c r="F323" s="70">
        <f>COUNTIFS('Error Log'!$A:$A,$A323,'Error Log'!$J:$J,F$1)</f>
        <v>0</v>
      </c>
      <c r="G323" s="70">
        <f>COUNTIFS('Error Log'!$A:$A,$A323,'Error Log'!$J:$J,G$1)</f>
        <v>0</v>
      </c>
      <c r="H323" s="70">
        <f>COUNTIFS('Error Log'!$A:$A,$A323,'Error Log'!$F:$F,"Source")</f>
        <v>0</v>
      </c>
      <c r="I323" s="70">
        <f>COUNTIFS('Error Log'!$A:$A,$A323,'Error Log'!$F:$F,"Target")</f>
        <v>0</v>
      </c>
      <c r="J323" s="71">
        <f t="shared" si="5"/>
        <v>0</v>
      </c>
    </row>
    <row r="324" spans="1:10">
      <c r="A324" s="101"/>
      <c r="B324" s="70" t="str">
        <f>IF(ISBLANK(A324),"",INDEX('Error Log'!$A:$J,MATCH('Scores per segment'!$A324,'Error Log'!$A:$A,0),MATCH('Scores per segment'!B$1,'Error Log'!$A$1:$J$1,0)))</f>
        <v/>
      </c>
      <c r="C324" s="70" t="str">
        <f>IF(ISBLANK(A324),"",INDEX('Error Log'!$A:$J,MATCH('Scores per segment'!$A324,'Error Log'!$A:$A,0),MATCH('Scores per segment'!C$1,'Error Log'!$A$1:$J$1,0)))</f>
        <v/>
      </c>
      <c r="D324" s="70">
        <f>IF(H324=0,wdct(TRIM(C324)),0)</f>
        <v>0</v>
      </c>
      <c r="E324" s="70">
        <f>COUNTIFS('Error Log'!$A:$A,$A324,'Error Log'!$J:$J,E$1)</f>
        <v>0</v>
      </c>
      <c r="F324" s="70">
        <f>COUNTIFS('Error Log'!$A:$A,$A324,'Error Log'!$J:$J,F$1)</f>
        <v>0</v>
      </c>
      <c r="G324" s="70">
        <f>COUNTIFS('Error Log'!$A:$A,$A324,'Error Log'!$J:$J,G$1)</f>
        <v>0</v>
      </c>
      <c r="H324" s="70">
        <f>COUNTIFS('Error Log'!$A:$A,$A324,'Error Log'!$F:$F,"Source")</f>
        <v>0</v>
      </c>
      <c r="I324" s="70">
        <f>COUNTIFS('Error Log'!$A:$A,$A324,'Error Log'!$F:$F,"Target")</f>
        <v>0</v>
      </c>
      <c r="J324" s="71">
        <f t="shared" si="5"/>
        <v>0</v>
      </c>
    </row>
    <row r="325" spans="1:10">
      <c r="A325" s="101"/>
      <c r="B325" s="70" t="str">
        <f>IF(ISBLANK(A325),"",INDEX('Error Log'!$A:$J,MATCH('Scores per segment'!$A325,'Error Log'!$A:$A,0),MATCH('Scores per segment'!B$1,'Error Log'!$A$1:$J$1,0)))</f>
        <v/>
      </c>
      <c r="C325" s="70" t="str">
        <f>IF(ISBLANK(A325),"",INDEX('Error Log'!$A:$J,MATCH('Scores per segment'!$A325,'Error Log'!$A:$A,0),MATCH('Scores per segment'!C$1,'Error Log'!$A$1:$J$1,0)))</f>
        <v/>
      </c>
      <c r="D325" s="70">
        <f>IF(H325=0,wdct(TRIM(C325)),0)</f>
        <v>0</v>
      </c>
      <c r="E325" s="70">
        <f>COUNTIFS('Error Log'!$A:$A,$A325,'Error Log'!$J:$J,E$1)</f>
        <v>0</v>
      </c>
      <c r="F325" s="70">
        <f>COUNTIFS('Error Log'!$A:$A,$A325,'Error Log'!$J:$J,F$1)</f>
        <v>0</v>
      </c>
      <c r="G325" s="70">
        <f>COUNTIFS('Error Log'!$A:$A,$A325,'Error Log'!$J:$J,G$1)</f>
        <v>0</v>
      </c>
      <c r="H325" s="70">
        <f>COUNTIFS('Error Log'!$A:$A,$A325,'Error Log'!$F:$F,"Source")</f>
        <v>0</v>
      </c>
      <c r="I325" s="70">
        <f>COUNTIFS('Error Log'!$A:$A,$A325,'Error Log'!$F:$F,"Target")</f>
        <v>0</v>
      </c>
      <c r="J325" s="71">
        <f t="shared" si="5"/>
        <v>0</v>
      </c>
    </row>
    <row r="326" spans="1:10">
      <c r="A326" s="101"/>
      <c r="B326" s="70" t="str">
        <f>IF(ISBLANK(A326),"",INDEX('Error Log'!$A:$J,MATCH('Scores per segment'!$A326,'Error Log'!$A:$A,0),MATCH('Scores per segment'!B$1,'Error Log'!$A$1:$J$1,0)))</f>
        <v/>
      </c>
      <c r="C326" s="70" t="str">
        <f>IF(ISBLANK(A326),"",INDEX('Error Log'!$A:$J,MATCH('Scores per segment'!$A326,'Error Log'!$A:$A,0),MATCH('Scores per segment'!C$1,'Error Log'!$A$1:$J$1,0)))</f>
        <v/>
      </c>
      <c r="D326" s="70">
        <f>IF(H326=0,wdct(TRIM(C326)),0)</f>
        <v>0</v>
      </c>
      <c r="E326" s="70">
        <f>COUNTIFS('Error Log'!$A:$A,$A326,'Error Log'!$J:$J,E$1)</f>
        <v>0</v>
      </c>
      <c r="F326" s="70">
        <f>COUNTIFS('Error Log'!$A:$A,$A326,'Error Log'!$J:$J,F$1)</f>
        <v>0</v>
      </c>
      <c r="G326" s="70">
        <f>COUNTIFS('Error Log'!$A:$A,$A326,'Error Log'!$J:$J,G$1)</f>
        <v>0</v>
      </c>
      <c r="H326" s="70">
        <f>COUNTIFS('Error Log'!$A:$A,$A326,'Error Log'!$F:$F,"Source")</f>
        <v>0</v>
      </c>
      <c r="I326" s="70">
        <f>COUNTIFS('Error Log'!$A:$A,$A326,'Error Log'!$F:$F,"Target")</f>
        <v>0</v>
      </c>
      <c r="J326" s="71">
        <f t="shared" si="5"/>
        <v>0</v>
      </c>
    </row>
    <row r="327" spans="1:10">
      <c r="A327" s="101"/>
      <c r="B327" s="70" t="str">
        <f>IF(ISBLANK(A327),"",INDEX('Error Log'!$A:$J,MATCH('Scores per segment'!$A327,'Error Log'!$A:$A,0),MATCH('Scores per segment'!B$1,'Error Log'!$A$1:$J$1,0)))</f>
        <v/>
      </c>
      <c r="C327" s="70" t="str">
        <f>IF(ISBLANK(A327),"",INDEX('Error Log'!$A:$J,MATCH('Scores per segment'!$A327,'Error Log'!$A:$A,0),MATCH('Scores per segment'!C$1,'Error Log'!$A$1:$J$1,0)))</f>
        <v/>
      </c>
      <c r="D327" s="70">
        <f>IF(H327=0,wdct(TRIM(C327)),0)</f>
        <v>0</v>
      </c>
      <c r="E327" s="70">
        <f>COUNTIFS('Error Log'!$A:$A,$A327,'Error Log'!$J:$J,E$1)</f>
        <v>0</v>
      </c>
      <c r="F327" s="70">
        <f>COUNTIFS('Error Log'!$A:$A,$A327,'Error Log'!$J:$J,F$1)</f>
        <v>0</v>
      </c>
      <c r="G327" s="70">
        <f>COUNTIFS('Error Log'!$A:$A,$A327,'Error Log'!$J:$J,G$1)</f>
        <v>0</v>
      </c>
      <c r="H327" s="70">
        <f>COUNTIFS('Error Log'!$A:$A,$A327,'Error Log'!$F:$F,"Source")</f>
        <v>0</v>
      </c>
      <c r="I327" s="70">
        <f>COUNTIFS('Error Log'!$A:$A,$A327,'Error Log'!$F:$F,"Target")</f>
        <v>0</v>
      </c>
      <c r="J327" s="71">
        <f t="shared" si="5"/>
        <v>0</v>
      </c>
    </row>
    <row r="328" spans="1:10">
      <c r="A328" s="101"/>
      <c r="B328" s="70" t="str">
        <f>IF(ISBLANK(A328),"",INDEX('Error Log'!$A:$J,MATCH('Scores per segment'!$A328,'Error Log'!$A:$A,0),MATCH('Scores per segment'!B$1,'Error Log'!$A$1:$J$1,0)))</f>
        <v/>
      </c>
      <c r="C328" s="70" t="str">
        <f>IF(ISBLANK(A328),"",INDEX('Error Log'!$A:$J,MATCH('Scores per segment'!$A328,'Error Log'!$A:$A,0),MATCH('Scores per segment'!C$1,'Error Log'!$A$1:$J$1,0)))</f>
        <v/>
      </c>
      <c r="D328" s="70">
        <f>IF(H328=0,wdct(TRIM(C328)),0)</f>
        <v>0</v>
      </c>
      <c r="E328" s="70">
        <f>COUNTIFS('Error Log'!$A:$A,$A328,'Error Log'!$J:$J,E$1)</f>
        <v>0</v>
      </c>
      <c r="F328" s="70">
        <f>COUNTIFS('Error Log'!$A:$A,$A328,'Error Log'!$J:$J,F$1)</f>
        <v>0</v>
      </c>
      <c r="G328" s="70">
        <f>COUNTIFS('Error Log'!$A:$A,$A328,'Error Log'!$J:$J,G$1)</f>
        <v>0</v>
      </c>
      <c r="H328" s="70">
        <f>COUNTIFS('Error Log'!$A:$A,$A328,'Error Log'!$F:$F,"Source")</f>
        <v>0</v>
      </c>
      <c r="I328" s="70">
        <f>COUNTIFS('Error Log'!$A:$A,$A328,'Error Log'!$F:$F,"Target")</f>
        <v>0</v>
      </c>
      <c r="J328" s="71">
        <f t="shared" si="5"/>
        <v>0</v>
      </c>
    </row>
    <row r="329" spans="1:10">
      <c r="A329" s="101"/>
      <c r="B329" s="70" t="str">
        <f>IF(ISBLANK(A329),"",INDEX('Error Log'!$A:$J,MATCH('Scores per segment'!$A329,'Error Log'!$A:$A,0),MATCH('Scores per segment'!B$1,'Error Log'!$A$1:$J$1,0)))</f>
        <v/>
      </c>
      <c r="C329" s="70" t="str">
        <f>IF(ISBLANK(A329),"",INDEX('Error Log'!$A:$J,MATCH('Scores per segment'!$A329,'Error Log'!$A:$A,0),MATCH('Scores per segment'!C$1,'Error Log'!$A$1:$J$1,0)))</f>
        <v/>
      </c>
      <c r="D329" s="70">
        <f>IF(H329=0,wdct(TRIM(C329)),0)</f>
        <v>0</v>
      </c>
      <c r="E329" s="70">
        <f>COUNTIFS('Error Log'!$A:$A,$A329,'Error Log'!$J:$J,E$1)</f>
        <v>0</v>
      </c>
      <c r="F329" s="70">
        <f>COUNTIFS('Error Log'!$A:$A,$A329,'Error Log'!$J:$J,F$1)</f>
        <v>0</v>
      </c>
      <c r="G329" s="70">
        <f>COUNTIFS('Error Log'!$A:$A,$A329,'Error Log'!$J:$J,G$1)</f>
        <v>0</v>
      </c>
      <c r="H329" s="70">
        <f>COUNTIFS('Error Log'!$A:$A,$A329,'Error Log'!$F:$F,"Source")</f>
        <v>0</v>
      </c>
      <c r="I329" s="70">
        <f>COUNTIFS('Error Log'!$A:$A,$A329,'Error Log'!$F:$F,"Target")</f>
        <v>0</v>
      </c>
      <c r="J329" s="71">
        <f t="shared" si="5"/>
        <v>0</v>
      </c>
    </row>
    <row r="330" spans="1:10">
      <c r="A330" s="101"/>
      <c r="B330" s="70" t="str">
        <f>IF(ISBLANK(A330),"",INDEX('Error Log'!$A:$J,MATCH('Scores per segment'!$A330,'Error Log'!$A:$A,0),MATCH('Scores per segment'!B$1,'Error Log'!$A$1:$J$1,0)))</f>
        <v/>
      </c>
      <c r="C330" s="70" t="str">
        <f>IF(ISBLANK(A330),"",INDEX('Error Log'!$A:$J,MATCH('Scores per segment'!$A330,'Error Log'!$A:$A,0),MATCH('Scores per segment'!C$1,'Error Log'!$A$1:$J$1,0)))</f>
        <v/>
      </c>
      <c r="D330" s="70">
        <f>IF(H330=0,wdct(TRIM(C330)),0)</f>
        <v>0</v>
      </c>
      <c r="E330" s="70">
        <f>COUNTIFS('Error Log'!$A:$A,$A330,'Error Log'!$J:$J,E$1)</f>
        <v>0</v>
      </c>
      <c r="F330" s="70">
        <f>COUNTIFS('Error Log'!$A:$A,$A330,'Error Log'!$J:$J,F$1)</f>
        <v>0</v>
      </c>
      <c r="G330" s="70">
        <f>COUNTIFS('Error Log'!$A:$A,$A330,'Error Log'!$J:$J,G$1)</f>
        <v>0</v>
      </c>
      <c r="H330" s="70">
        <f>COUNTIFS('Error Log'!$A:$A,$A330,'Error Log'!$F:$F,"Source")</f>
        <v>0</v>
      </c>
      <c r="I330" s="70">
        <f>COUNTIFS('Error Log'!$A:$A,$A330,'Error Log'!$F:$F,"Target")</f>
        <v>0</v>
      </c>
      <c r="J330" s="71">
        <f t="shared" si="5"/>
        <v>0</v>
      </c>
    </row>
    <row r="331" spans="1:10">
      <c r="A331" s="101"/>
      <c r="B331" s="70" t="str">
        <f>IF(ISBLANK(A331),"",INDEX('Error Log'!$A:$J,MATCH('Scores per segment'!$A331,'Error Log'!$A:$A,0),MATCH('Scores per segment'!B$1,'Error Log'!$A$1:$J$1,0)))</f>
        <v/>
      </c>
      <c r="C331" s="70" t="str">
        <f>IF(ISBLANK(A331),"",INDEX('Error Log'!$A:$J,MATCH('Scores per segment'!$A331,'Error Log'!$A:$A,0),MATCH('Scores per segment'!C$1,'Error Log'!$A$1:$J$1,0)))</f>
        <v/>
      </c>
      <c r="D331" s="70">
        <f>IF(H331=0,wdct(TRIM(C331)),0)</f>
        <v>0</v>
      </c>
      <c r="E331" s="70">
        <f>COUNTIFS('Error Log'!$A:$A,$A331,'Error Log'!$J:$J,E$1)</f>
        <v>0</v>
      </c>
      <c r="F331" s="70">
        <f>COUNTIFS('Error Log'!$A:$A,$A331,'Error Log'!$J:$J,F$1)</f>
        <v>0</v>
      </c>
      <c r="G331" s="70">
        <f>COUNTIFS('Error Log'!$A:$A,$A331,'Error Log'!$J:$J,G$1)</f>
        <v>0</v>
      </c>
      <c r="H331" s="70">
        <f>COUNTIFS('Error Log'!$A:$A,$A331,'Error Log'!$F:$F,"Source")</f>
        <v>0</v>
      </c>
      <c r="I331" s="70">
        <f>COUNTIFS('Error Log'!$A:$A,$A331,'Error Log'!$F:$F,"Target")</f>
        <v>0</v>
      </c>
      <c r="J331" s="71">
        <f t="shared" si="5"/>
        <v>0</v>
      </c>
    </row>
    <row r="332" spans="1:10">
      <c r="A332" s="101"/>
      <c r="B332" s="70" t="str">
        <f>IF(ISBLANK(A332),"",INDEX('Error Log'!$A:$J,MATCH('Scores per segment'!$A332,'Error Log'!$A:$A,0),MATCH('Scores per segment'!B$1,'Error Log'!$A$1:$J$1,0)))</f>
        <v/>
      </c>
      <c r="C332" s="70" t="str">
        <f>IF(ISBLANK(A332),"",INDEX('Error Log'!$A:$J,MATCH('Scores per segment'!$A332,'Error Log'!$A:$A,0),MATCH('Scores per segment'!C$1,'Error Log'!$A$1:$J$1,0)))</f>
        <v/>
      </c>
      <c r="D332" s="70">
        <f>IF(H332=0,wdct(TRIM(C332)),0)</f>
        <v>0</v>
      </c>
      <c r="E332" s="70">
        <f>COUNTIFS('Error Log'!$A:$A,$A332,'Error Log'!$J:$J,E$1)</f>
        <v>0</v>
      </c>
      <c r="F332" s="70">
        <f>COUNTIFS('Error Log'!$A:$A,$A332,'Error Log'!$J:$J,F$1)</f>
        <v>0</v>
      </c>
      <c r="G332" s="70">
        <f>COUNTIFS('Error Log'!$A:$A,$A332,'Error Log'!$J:$J,G$1)</f>
        <v>0</v>
      </c>
      <c r="H332" s="70">
        <f>COUNTIFS('Error Log'!$A:$A,$A332,'Error Log'!$F:$F,"Source")</f>
        <v>0</v>
      </c>
      <c r="I332" s="70">
        <f>COUNTIFS('Error Log'!$A:$A,$A332,'Error Log'!$F:$F,"Target")</f>
        <v>0</v>
      </c>
      <c r="J332" s="71">
        <f t="shared" si="5"/>
        <v>0</v>
      </c>
    </row>
    <row r="333" spans="1:10">
      <c r="A333" s="101"/>
      <c r="B333" s="70" t="str">
        <f>IF(ISBLANK(A333),"",INDEX('Error Log'!$A:$J,MATCH('Scores per segment'!$A333,'Error Log'!$A:$A,0),MATCH('Scores per segment'!B$1,'Error Log'!$A$1:$J$1,0)))</f>
        <v/>
      </c>
      <c r="C333" s="70" t="str">
        <f>IF(ISBLANK(A333),"",INDEX('Error Log'!$A:$J,MATCH('Scores per segment'!$A333,'Error Log'!$A:$A,0),MATCH('Scores per segment'!C$1,'Error Log'!$A$1:$J$1,0)))</f>
        <v/>
      </c>
      <c r="D333" s="70">
        <f>IF(H333=0,wdct(TRIM(C333)),0)</f>
        <v>0</v>
      </c>
      <c r="E333" s="70">
        <f>COUNTIFS('Error Log'!$A:$A,$A333,'Error Log'!$J:$J,E$1)</f>
        <v>0</v>
      </c>
      <c r="F333" s="70">
        <f>COUNTIFS('Error Log'!$A:$A,$A333,'Error Log'!$J:$J,F$1)</f>
        <v>0</v>
      </c>
      <c r="G333" s="70">
        <f>COUNTIFS('Error Log'!$A:$A,$A333,'Error Log'!$J:$J,G$1)</f>
        <v>0</v>
      </c>
      <c r="H333" s="70">
        <f>COUNTIFS('Error Log'!$A:$A,$A333,'Error Log'!$F:$F,"Source")</f>
        <v>0</v>
      </c>
      <c r="I333" s="70">
        <f>COUNTIFS('Error Log'!$A:$A,$A333,'Error Log'!$F:$F,"Target")</f>
        <v>0</v>
      </c>
      <c r="J333" s="71">
        <f t="shared" si="5"/>
        <v>0</v>
      </c>
    </row>
    <row r="334" spans="1:10">
      <c r="A334" s="101"/>
      <c r="B334" s="70" t="str">
        <f>IF(ISBLANK(A334),"",INDEX('Error Log'!$A:$J,MATCH('Scores per segment'!$A334,'Error Log'!$A:$A,0),MATCH('Scores per segment'!B$1,'Error Log'!$A$1:$J$1,0)))</f>
        <v/>
      </c>
      <c r="C334" s="70" t="str">
        <f>IF(ISBLANK(A334),"",INDEX('Error Log'!$A:$J,MATCH('Scores per segment'!$A334,'Error Log'!$A:$A,0),MATCH('Scores per segment'!C$1,'Error Log'!$A$1:$J$1,0)))</f>
        <v/>
      </c>
      <c r="D334" s="70">
        <f>IF(H334=0,wdct(TRIM(C334)),0)</f>
        <v>0</v>
      </c>
      <c r="E334" s="70">
        <f>COUNTIFS('Error Log'!$A:$A,$A334,'Error Log'!$J:$J,E$1)</f>
        <v>0</v>
      </c>
      <c r="F334" s="70">
        <f>COUNTIFS('Error Log'!$A:$A,$A334,'Error Log'!$J:$J,F$1)</f>
        <v>0</v>
      </c>
      <c r="G334" s="70">
        <f>COUNTIFS('Error Log'!$A:$A,$A334,'Error Log'!$J:$J,G$1)</f>
        <v>0</v>
      </c>
      <c r="H334" s="70">
        <f>COUNTIFS('Error Log'!$A:$A,$A334,'Error Log'!$F:$F,"Source")</f>
        <v>0</v>
      </c>
      <c r="I334" s="70">
        <f>COUNTIFS('Error Log'!$A:$A,$A334,'Error Log'!$F:$F,"Target")</f>
        <v>0</v>
      </c>
      <c r="J334" s="71">
        <f t="shared" si="5"/>
        <v>0</v>
      </c>
    </row>
    <row r="335" spans="1:10">
      <c r="A335" s="101"/>
      <c r="B335" s="70" t="str">
        <f>IF(ISBLANK(A335),"",INDEX('Error Log'!$A:$J,MATCH('Scores per segment'!$A335,'Error Log'!$A:$A,0),MATCH('Scores per segment'!B$1,'Error Log'!$A$1:$J$1,0)))</f>
        <v/>
      </c>
      <c r="C335" s="70" t="str">
        <f>IF(ISBLANK(A335),"",INDEX('Error Log'!$A:$J,MATCH('Scores per segment'!$A335,'Error Log'!$A:$A,0),MATCH('Scores per segment'!C$1,'Error Log'!$A$1:$J$1,0)))</f>
        <v/>
      </c>
      <c r="D335" s="70">
        <f>IF(H335=0,wdct(TRIM(C335)),0)</f>
        <v>0</v>
      </c>
      <c r="E335" s="70">
        <f>COUNTIFS('Error Log'!$A:$A,$A335,'Error Log'!$J:$J,E$1)</f>
        <v>0</v>
      </c>
      <c r="F335" s="70">
        <f>COUNTIFS('Error Log'!$A:$A,$A335,'Error Log'!$J:$J,F$1)</f>
        <v>0</v>
      </c>
      <c r="G335" s="70">
        <f>COUNTIFS('Error Log'!$A:$A,$A335,'Error Log'!$J:$J,G$1)</f>
        <v>0</v>
      </c>
      <c r="H335" s="70">
        <f>COUNTIFS('Error Log'!$A:$A,$A335,'Error Log'!$F:$F,"Source")</f>
        <v>0</v>
      </c>
      <c r="I335" s="70">
        <f>COUNTIFS('Error Log'!$A:$A,$A335,'Error Log'!$F:$F,"Target")</f>
        <v>0</v>
      </c>
      <c r="J335" s="71">
        <f t="shared" si="5"/>
        <v>0</v>
      </c>
    </row>
    <row r="336" spans="1:10">
      <c r="A336" s="101"/>
      <c r="B336" s="70" t="str">
        <f>IF(ISBLANK(A336),"",INDEX('Error Log'!$A:$J,MATCH('Scores per segment'!$A336,'Error Log'!$A:$A,0),MATCH('Scores per segment'!B$1,'Error Log'!$A$1:$J$1,0)))</f>
        <v/>
      </c>
      <c r="C336" s="70" t="str">
        <f>IF(ISBLANK(A336),"",INDEX('Error Log'!$A:$J,MATCH('Scores per segment'!$A336,'Error Log'!$A:$A,0),MATCH('Scores per segment'!C$1,'Error Log'!$A$1:$J$1,0)))</f>
        <v/>
      </c>
      <c r="D336" s="70">
        <f>IF(H336=0,wdct(TRIM(C336)),0)</f>
        <v>0</v>
      </c>
      <c r="E336" s="70">
        <f>COUNTIFS('Error Log'!$A:$A,$A336,'Error Log'!$J:$J,E$1)</f>
        <v>0</v>
      </c>
      <c r="F336" s="70">
        <f>COUNTIFS('Error Log'!$A:$A,$A336,'Error Log'!$J:$J,F$1)</f>
        <v>0</v>
      </c>
      <c r="G336" s="70">
        <f>COUNTIFS('Error Log'!$A:$A,$A336,'Error Log'!$J:$J,G$1)</f>
        <v>0</v>
      </c>
      <c r="H336" s="70">
        <f>COUNTIFS('Error Log'!$A:$A,$A336,'Error Log'!$F:$F,"Source")</f>
        <v>0</v>
      </c>
      <c r="I336" s="70">
        <f>COUNTIFS('Error Log'!$A:$A,$A336,'Error Log'!$F:$F,"Target")</f>
        <v>0</v>
      </c>
      <c r="J336" s="71">
        <f t="shared" si="5"/>
        <v>0</v>
      </c>
    </row>
    <row r="337" spans="1:10">
      <c r="A337" s="101"/>
      <c r="B337" s="70" t="str">
        <f>IF(ISBLANK(A337),"",INDEX('Error Log'!$A:$J,MATCH('Scores per segment'!$A337,'Error Log'!$A:$A,0),MATCH('Scores per segment'!B$1,'Error Log'!$A$1:$J$1,0)))</f>
        <v/>
      </c>
      <c r="C337" s="70" t="str">
        <f>IF(ISBLANK(A337),"",INDEX('Error Log'!$A:$J,MATCH('Scores per segment'!$A337,'Error Log'!$A:$A,0),MATCH('Scores per segment'!C$1,'Error Log'!$A$1:$J$1,0)))</f>
        <v/>
      </c>
      <c r="D337" s="70">
        <f>IF(H337=0,wdct(TRIM(C337)),0)</f>
        <v>0</v>
      </c>
      <c r="E337" s="70">
        <f>COUNTIFS('Error Log'!$A:$A,$A337,'Error Log'!$J:$J,E$1)</f>
        <v>0</v>
      </c>
      <c r="F337" s="70">
        <f>COUNTIFS('Error Log'!$A:$A,$A337,'Error Log'!$J:$J,F$1)</f>
        <v>0</v>
      </c>
      <c r="G337" s="70">
        <f>COUNTIFS('Error Log'!$A:$A,$A337,'Error Log'!$J:$J,G$1)</f>
        <v>0</v>
      </c>
      <c r="H337" s="70">
        <f>COUNTIFS('Error Log'!$A:$A,$A337,'Error Log'!$F:$F,"Source")</f>
        <v>0</v>
      </c>
      <c r="I337" s="70">
        <f>COUNTIFS('Error Log'!$A:$A,$A337,'Error Log'!$F:$F,"Target")</f>
        <v>0</v>
      </c>
      <c r="J337" s="71">
        <f t="shared" si="5"/>
        <v>0</v>
      </c>
    </row>
    <row r="338" spans="1:10">
      <c r="A338" s="101"/>
      <c r="B338" s="70" t="str">
        <f>IF(ISBLANK(A338),"",INDEX('Error Log'!$A:$J,MATCH('Scores per segment'!$A338,'Error Log'!$A:$A,0),MATCH('Scores per segment'!B$1,'Error Log'!$A$1:$J$1,0)))</f>
        <v/>
      </c>
      <c r="C338" s="70" t="str">
        <f>IF(ISBLANK(A338),"",INDEX('Error Log'!$A:$J,MATCH('Scores per segment'!$A338,'Error Log'!$A:$A,0),MATCH('Scores per segment'!C$1,'Error Log'!$A$1:$J$1,0)))</f>
        <v/>
      </c>
      <c r="D338" s="70">
        <f>IF(H338=0,wdct(TRIM(C338)),0)</f>
        <v>0</v>
      </c>
      <c r="E338" s="70">
        <f>COUNTIFS('Error Log'!$A:$A,$A338,'Error Log'!$J:$J,E$1)</f>
        <v>0</v>
      </c>
      <c r="F338" s="70">
        <f>COUNTIFS('Error Log'!$A:$A,$A338,'Error Log'!$J:$J,F$1)</f>
        <v>0</v>
      </c>
      <c r="G338" s="70">
        <f>COUNTIFS('Error Log'!$A:$A,$A338,'Error Log'!$J:$J,G$1)</f>
        <v>0</v>
      </c>
      <c r="H338" s="70">
        <f>COUNTIFS('Error Log'!$A:$A,$A338,'Error Log'!$F:$F,"Source")</f>
        <v>0</v>
      </c>
      <c r="I338" s="70">
        <f>COUNTIFS('Error Log'!$A:$A,$A338,'Error Log'!$F:$F,"Target")</f>
        <v>0</v>
      </c>
      <c r="J338" s="71">
        <f t="shared" si="5"/>
        <v>0</v>
      </c>
    </row>
    <row r="339" spans="1:10">
      <c r="A339" s="101"/>
      <c r="B339" s="70" t="str">
        <f>IF(ISBLANK(A339),"",INDEX('Error Log'!$A:$J,MATCH('Scores per segment'!$A339,'Error Log'!$A:$A,0),MATCH('Scores per segment'!B$1,'Error Log'!$A$1:$J$1,0)))</f>
        <v/>
      </c>
      <c r="C339" s="70" t="str">
        <f>IF(ISBLANK(A339),"",INDEX('Error Log'!$A:$J,MATCH('Scores per segment'!$A339,'Error Log'!$A:$A,0),MATCH('Scores per segment'!C$1,'Error Log'!$A$1:$J$1,0)))</f>
        <v/>
      </c>
      <c r="D339" s="70">
        <f>IF(H339=0,wdct(TRIM(C339)),0)</f>
        <v>0</v>
      </c>
      <c r="E339" s="70">
        <f>COUNTIFS('Error Log'!$A:$A,$A339,'Error Log'!$J:$J,E$1)</f>
        <v>0</v>
      </c>
      <c r="F339" s="70">
        <f>COUNTIFS('Error Log'!$A:$A,$A339,'Error Log'!$J:$J,F$1)</f>
        <v>0</v>
      </c>
      <c r="G339" s="70">
        <f>COUNTIFS('Error Log'!$A:$A,$A339,'Error Log'!$J:$J,G$1)</f>
        <v>0</v>
      </c>
      <c r="H339" s="70">
        <f>COUNTIFS('Error Log'!$A:$A,$A339,'Error Log'!$F:$F,"Source")</f>
        <v>0</v>
      </c>
      <c r="I339" s="70">
        <f>COUNTIFS('Error Log'!$A:$A,$A339,'Error Log'!$F:$F,"Target")</f>
        <v>0</v>
      </c>
      <c r="J339" s="71">
        <f t="shared" si="5"/>
        <v>0</v>
      </c>
    </row>
    <row r="340" spans="1:10">
      <c r="A340" s="101"/>
      <c r="B340" s="70" t="str">
        <f>IF(ISBLANK(A340),"",INDEX('Error Log'!$A:$J,MATCH('Scores per segment'!$A340,'Error Log'!$A:$A,0),MATCH('Scores per segment'!B$1,'Error Log'!$A$1:$J$1,0)))</f>
        <v/>
      </c>
      <c r="C340" s="70" t="str">
        <f>IF(ISBLANK(A340),"",INDEX('Error Log'!$A:$J,MATCH('Scores per segment'!$A340,'Error Log'!$A:$A,0),MATCH('Scores per segment'!C$1,'Error Log'!$A$1:$J$1,0)))</f>
        <v/>
      </c>
      <c r="D340" s="70">
        <f>IF(H340=0,wdct(TRIM(C340)),0)</f>
        <v>0</v>
      </c>
      <c r="E340" s="70">
        <f>COUNTIFS('Error Log'!$A:$A,$A340,'Error Log'!$J:$J,E$1)</f>
        <v>0</v>
      </c>
      <c r="F340" s="70">
        <f>COUNTIFS('Error Log'!$A:$A,$A340,'Error Log'!$J:$J,F$1)</f>
        <v>0</v>
      </c>
      <c r="G340" s="70">
        <f>COUNTIFS('Error Log'!$A:$A,$A340,'Error Log'!$J:$J,G$1)</f>
        <v>0</v>
      </c>
      <c r="H340" s="70">
        <f>COUNTIFS('Error Log'!$A:$A,$A340,'Error Log'!$F:$F,"Source")</f>
        <v>0</v>
      </c>
      <c r="I340" s="70">
        <f>COUNTIFS('Error Log'!$A:$A,$A340,'Error Log'!$F:$F,"Target")</f>
        <v>0</v>
      </c>
      <c r="J340" s="71">
        <f t="shared" si="5"/>
        <v>0</v>
      </c>
    </row>
    <row r="341" spans="1:10">
      <c r="A341" s="101"/>
      <c r="B341" s="70" t="str">
        <f>IF(ISBLANK(A341),"",INDEX('Error Log'!$A:$J,MATCH('Scores per segment'!$A341,'Error Log'!$A:$A,0),MATCH('Scores per segment'!B$1,'Error Log'!$A$1:$J$1,0)))</f>
        <v/>
      </c>
      <c r="C341" s="70" t="str">
        <f>IF(ISBLANK(A341),"",INDEX('Error Log'!$A:$J,MATCH('Scores per segment'!$A341,'Error Log'!$A:$A,0),MATCH('Scores per segment'!C$1,'Error Log'!$A$1:$J$1,0)))</f>
        <v/>
      </c>
      <c r="D341" s="70">
        <f>IF(H341=0,wdct(TRIM(C341)),0)</f>
        <v>0</v>
      </c>
      <c r="E341" s="70">
        <f>COUNTIFS('Error Log'!$A:$A,$A341,'Error Log'!$J:$J,E$1)</f>
        <v>0</v>
      </c>
      <c r="F341" s="70">
        <f>COUNTIFS('Error Log'!$A:$A,$A341,'Error Log'!$J:$J,F$1)</f>
        <v>0</v>
      </c>
      <c r="G341" s="70">
        <f>COUNTIFS('Error Log'!$A:$A,$A341,'Error Log'!$J:$J,G$1)</f>
        <v>0</v>
      </c>
      <c r="H341" s="70">
        <f>COUNTIFS('Error Log'!$A:$A,$A341,'Error Log'!$F:$F,"Source")</f>
        <v>0</v>
      </c>
      <c r="I341" s="70">
        <f>COUNTIFS('Error Log'!$A:$A,$A341,'Error Log'!$F:$F,"Target")</f>
        <v>0</v>
      </c>
      <c r="J341" s="71">
        <f t="shared" si="5"/>
        <v>0</v>
      </c>
    </row>
    <row r="342" spans="1:10">
      <c r="A342" s="101"/>
      <c r="B342" s="70" t="str">
        <f>IF(ISBLANK(A342),"",INDEX('Error Log'!$A:$J,MATCH('Scores per segment'!$A342,'Error Log'!$A:$A,0),MATCH('Scores per segment'!B$1,'Error Log'!$A$1:$J$1,0)))</f>
        <v/>
      </c>
      <c r="C342" s="70" t="str">
        <f>IF(ISBLANK(A342),"",INDEX('Error Log'!$A:$J,MATCH('Scores per segment'!$A342,'Error Log'!$A:$A,0),MATCH('Scores per segment'!C$1,'Error Log'!$A$1:$J$1,0)))</f>
        <v/>
      </c>
      <c r="D342" s="70">
        <f>IF(H342=0,wdct(TRIM(C342)),0)</f>
        <v>0</v>
      </c>
      <c r="E342" s="70">
        <f>COUNTIFS('Error Log'!$A:$A,$A342,'Error Log'!$J:$J,E$1)</f>
        <v>0</v>
      </c>
      <c r="F342" s="70">
        <f>COUNTIFS('Error Log'!$A:$A,$A342,'Error Log'!$J:$J,F$1)</f>
        <v>0</v>
      </c>
      <c r="G342" s="70">
        <f>COUNTIFS('Error Log'!$A:$A,$A342,'Error Log'!$J:$J,G$1)</f>
        <v>0</v>
      </c>
      <c r="H342" s="70">
        <f>COUNTIFS('Error Log'!$A:$A,$A342,'Error Log'!$F:$F,"Source")</f>
        <v>0</v>
      </c>
      <c r="I342" s="70">
        <f>COUNTIFS('Error Log'!$A:$A,$A342,'Error Log'!$F:$F,"Target")</f>
        <v>0</v>
      </c>
      <c r="J342" s="71">
        <f t="shared" si="5"/>
        <v>0</v>
      </c>
    </row>
    <row r="343" spans="1:10">
      <c r="A343" s="101"/>
      <c r="B343" s="70" t="str">
        <f>IF(ISBLANK(A343),"",INDEX('Error Log'!$A:$J,MATCH('Scores per segment'!$A343,'Error Log'!$A:$A,0),MATCH('Scores per segment'!B$1,'Error Log'!$A$1:$J$1,0)))</f>
        <v/>
      </c>
      <c r="C343" s="70" t="str">
        <f>IF(ISBLANK(A343),"",INDEX('Error Log'!$A:$J,MATCH('Scores per segment'!$A343,'Error Log'!$A:$A,0),MATCH('Scores per segment'!C$1,'Error Log'!$A$1:$J$1,0)))</f>
        <v/>
      </c>
      <c r="D343" s="70">
        <f>IF(H343=0,wdct(TRIM(C343)),0)</f>
        <v>0</v>
      </c>
      <c r="E343" s="70">
        <f>COUNTIFS('Error Log'!$A:$A,$A343,'Error Log'!$J:$J,E$1)</f>
        <v>0</v>
      </c>
      <c r="F343" s="70">
        <f>COUNTIFS('Error Log'!$A:$A,$A343,'Error Log'!$J:$J,F$1)</f>
        <v>0</v>
      </c>
      <c r="G343" s="70">
        <f>COUNTIFS('Error Log'!$A:$A,$A343,'Error Log'!$J:$J,G$1)</f>
        <v>0</v>
      </c>
      <c r="H343" s="70">
        <f>COUNTIFS('Error Log'!$A:$A,$A343,'Error Log'!$F:$F,"Source")</f>
        <v>0</v>
      </c>
      <c r="I343" s="70">
        <f>COUNTIFS('Error Log'!$A:$A,$A343,'Error Log'!$F:$F,"Target")</f>
        <v>0</v>
      </c>
      <c r="J343" s="71">
        <f t="shared" si="5"/>
        <v>0</v>
      </c>
    </row>
    <row r="344" spans="1:10">
      <c r="A344" s="101"/>
      <c r="B344" s="70" t="str">
        <f>IF(ISBLANK(A344),"",INDEX('Error Log'!$A:$J,MATCH('Scores per segment'!$A344,'Error Log'!$A:$A,0),MATCH('Scores per segment'!B$1,'Error Log'!$A$1:$J$1,0)))</f>
        <v/>
      </c>
      <c r="C344" s="70" t="str">
        <f>IF(ISBLANK(A344),"",INDEX('Error Log'!$A:$J,MATCH('Scores per segment'!$A344,'Error Log'!$A:$A,0),MATCH('Scores per segment'!C$1,'Error Log'!$A$1:$J$1,0)))</f>
        <v/>
      </c>
      <c r="D344" s="70">
        <f>IF(H344=0,wdct(TRIM(C344)),0)</f>
        <v>0</v>
      </c>
      <c r="E344" s="70">
        <f>COUNTIFS('Error Log'!$A:$A,$A344,'Error Log'!$J:$J,E$1)</f>
        <v>0</v>
      </c>
      <c r="F344" s="70">
        <f>COUNTIFS('Error Log'!$A:$A,$A344,'Error Log'!$J:$J,F$1)</f>
        <v>0</v>
      </c>
      <c r="G344" s="70">
        <f>COUNTIFS('Error Log'!$A:$A,$A344,'Error Log'!$J:$J,G$1)</f>
        <v>0</v>
      </c>
      <c r="H344" s="70">
        <f>COUNTIFS('Error Log'!$A:$A,$A344,'Error Log'!$F:$F,"Source")</f>
        <v>0</v>
      </c>
      <c r="I344" s="70">
        <f>COUNTIFS('Error Log'!$A:$A,$A344,'Error Log'!$F:$F,"Target")</f>
        <v>0</v>
      </c>
      <c r="J344" s="71">
        <f t="shared" si="5"/>
        <v>0</v>
      </c>
    </row>
    <row r="345" spans="1:10">
      <c r="A345" s="101"/>
      <c r="B345" s="70" t="str">
        <f>IF(ISBLANK(A345),"",INDEX('Error Log'!$A:$J,MATCH('Scores per segment'!$A345,'Error Log'!$A:$A,0),MATCH('Scores per segment'!B$1,'Error Log'!$A$1:$J$1,0)))</f>
        <v/>
      </c>
      <c r="C345" s="70" t="str">
        <f>IF(ISBLANK(A345),"",INDEX('Error Log'!$A:$J,MATCH('Scores per segment'!$A345,'Error Log'!$A:$A,0),MATCH('Scores per segment'!C$1,'Error Log'!$A$1:$J$1,0)))</f>
        <v/>
      </c>
      <c r="D345" s="70">
        <f>IF(H345=0,wdct(TRIM(C345)),0)</f>
        <v>0</v>
      </c>
      <c r="E345" s="70">
        <f>COUNTIFS('Error Log'!$A:$A,$A345,'Error Log'!$J:$J,E$1)</f>
        <v>0</v>
      </c>
      <c r="F345" s="70">
        <f>COUNTIFS('Error Log'!$A:$A,$A345,'Error Log'!$J:$J,F$1)</f>
        <v>0</v>
      </c>
      <c r="G345" s="70">
        <f>COUNTIFS('Error Log'!$A:$A,$A345,'Error Log'!$J:$J,G$1)</f>
        <v>0</v>
      </c>
      <c r="H345" s="70">
        <f>COUNTIFS('Error Log'!$A:$A,$A345,'Error Log'!$F:$F,"Source")</f>
        <v>0</v>
      </c>
      <c r="I345" s="70">
        <f>COUNTIFS('Error Log'!$A:$A,$A345,'Error Log'!$F:$F,"Target")</f>
        <v>0</v>
      </c>
      <c r="J345" s="71">
        <f t="shared" si="5"/>
        <v>0</v>
      </c>
    </row>
    <row r="346" spans="1:10">
      <c r="A346" s="101"/>
      <c r="B346" s="70" t="str">
        <f>IF(ISBLANK(A346),"",INDEX('Error Log'!$A:$J,MATCH('Scores per segment'!$A346,'Error Log'!$A:$A,0),MATCH('Scores per segment'!B$1,'Error Log'!$A$1:$J$1,0)))</f>
        <v/>
      </c>
      <c r="C346" s="70" t="str">
        <f>IF(ISBLANK(A346),"",INDEX('Error Log'!$A:$J,MATCH('Scores per segment'!$A346,'Error Log'!$A:$A,0),MATCH('Scores per segment'!C$1,'Error Log'!$A$1:$J$1,0)))</f>
        <v/>
      </c>
      <c r="D346" s="70">
        <f>IF(H346=0,wdct(TRIM(C346)),0)</f>
        <v>0</v>
      </c>
      <c r="E346" s="70">
        <f>COUNTIFS('Error Log'!$A:$A,$A346,'Error Log'!$J:$J,E$1)</f>
        <v>0</v>
      </c>
      <c r="F346" s="70">
        <f>COUNTIFS('Error Log'!$A:$A,$A346,'Error Log'!$J:$J,F$1)</f>
        <v>0</v>
      </c>
      <c r="G346" s="70">
        <f>COUNTIFS('Error Log'!$A:$A,$A346,'Error Log'!$J:$J,G$1)</f>
        <v>0</v>
      </c>
      <c r="H346" s="70">
        <f>COUNTIFS('Error Log'!$A:$A,$A346,'Error Log'!$F:$F,"Source")</f>
        <v>0</v>
      </c>
      <c r="I346" s="70">
        <f>COUNTIFS('Error Log'!$A:$A,$A346,'Error Log'!$F:$F,"Target")</f>
        <v>0</v>
      </c>
      <c r="J346" s="71">
        <f t="shared" si="5"/>
        <v>0</v>
      </c>
    </row>
    <row r="347" spans="1:10">
      <c r="A347" s="101"/>
      <c r="B347" s="70" t="str">
        <f>IF(ISBLANK(A347),"",INDEX('Error Log'!$A:$J,MATCH('Scores per segment'!$A347,'Error Log'!$A:$A,0),MATCH('Scores per segment'!B$1,'Error Log'!$A$1:$J$1,0)))</f>
        <v/>
      </c>
      <c r="C347" s="70" t="str">
        <f>IF(ISBLANK(A347),"",INDEX('Error Log'!$A:$J,MATCH('Scores per segment'!$A347,'Error Log'!$A:$A,0),MATCH('Scores per segment'!C$1,'Error Log'!$A$1:$J$1,0)))</f>
        <v/>
      </c>
      <c r="D347" s="70">
        <f>IF(H347=0,wdct(TRIM(C347)),0)</f>
        <v>0</v>
      </c>
      <c r="E347" s="70">
        <f>COUNTIFS('Error Log'!$A:$A,$A347,'Error Log'!$J:$J,E$1)</f>
        <v>0</v>
      </c>
      <c r="F347" s="70">
        <f>COUNTIFS('Error Log'!$A:$A,$A347,'Error Log'!$J:$J,F$1)</f>
        <v>0</v>
      </c>
      <c r="G347" s="70">
        <f>COUNTIFS('Error Log'!$A:$A,$A347,'Error Log'!$J:$J,G$1)</f>
        <v>0</v>
      </c>
      <c r="H347" s="70">
        <f>COUNTIFS('Error Log'!$A:$A,$A347,'Error Log'!$F:$F,"Source")</f>
        <v>0</v>
      </c>
      <c r="I347" s="70">
        <f>COUNTIFS('Error Log'!$A:$A,$A347,'Error Log'!$F:$F,"Target")</f>
        <v>0</v>
      </c>
      <c r="J347" s="71">
        <f t="shared" si="5"/>
        <v>0</v>
      </c>
    </row>
    <row r="348" spans="1:10">
      <c r="A348" s="101"/>
      <c r="B348" s="70" t="str">
        <f>IF(ISBLANK(A348),"",INDEX('Error Log'!$A:$J,MATCH('Scores per segment'!$A348,'Error Log'!$A:$A,0),MATCH('Scores per segment'!B$1,'Error Log'!$A$1:$J$1,0)))</f>
        <v/>
      </c>
      <c r="C348" s="70" t="str">
        <f>IF(ISBLANK(A348),"",INDEX('Error Log'!$A:$J,MATCH('Scores per segment'!$A348,'Error Log'!$A:$A,0),MATCH('Scores per segment'!C$1,'Error Log'!$A$1:$J$1,0)))</f>
        <v/>
      </c>
      <c r="D348" s="70">
        <f>IF(H348=0,wdct(TRIM(C348)),0)</f>
        <v>0</v>
      </c>
      <c r="E348" s="70">
        <f>COUNTIFS('Error Log'!$A:$A,$A348,'Error Log'!$J:$J,E$1)</f>
        <v>0</v>
      </c>
      <c r="F348" s="70">
        <f>COUNTIFS('Error Log'!$A:$A,$A348,'Error Log'!$J:$J,F$1)</f>
        <v>0</v>
      </c>
      <c r="G348" s="70">
        <f>COUNTIFS('Error Log'!$A:$A,$A348,'Error Log'!$J:$J,G$1)</f>
        <v>0</v>
      </c>
      <c r="H348" s="70">
        <f>COUNTIFS('Error Log'!$A:$A,$A348,'Error Log'!$F:$F,"Source")</f>
        <v>0</v>
      </c>
      <c r="I348" s="70">
        <f>COUNTIFS('Error Log'!$A:$A,$A348,'Error Log'!$F:$F,"Target")</f>
        <v>0</v>
      </c>
      <c r="J348" s="71">
        <f t="shared" si="5"/>
        <v>0</v>
      </c>
    </row>
    <row r="349" spans="1:10">
      <c r="A349" s="101"/>
      <c r="B349" s="70" t="str">
        <f>IF(ISBLANK(A349),"",INDEX('Error Log'!$A:$J,MATCH('Scores per segment'!$A349,'Error Log'!$A:$A,0),MATCH('Scores per segment'!B$1,'Error Log'!$A$1:$J$1,0)))</f>
        <v/>
      </c>
      <c r="C349" s="70" t="str">
        <f>IF(ISBLANK(A349),"",INDEX('Error Log'!$A:$J,MATCH('Scores per segment'!$A349,'Error Log'!$A:$A,0),MATCH('Scores per segment'!C$1,'Error Log'!$A$1:$J$1,0)))</f>
        <v/>
      </c>
      <c r="D349" s="70">
        <f>IF(H349=0,wdct(TRIM(C349)),0)</f>
        <v>0</v>
      </c>
      <c r="E349" s="70">
        <f>COUNTIFS('Error Log'!$A:$A,$A349,'Error Log'!$J:$J,E$1)</f>
        <v>0</v>
      </c>
      <c r="F349" s="70">
        <f>COUNTIFS('Error Log'!$A:$A,$A349,'Error Log'!$J:$J,F$1)</f>
        <v>0</v>
      </c>
      <c r="G349" s="70">
        <f>COUNTIFS('Error Log'!$A:$A,$A349,'Error Log'!$J:$J,G$1)</f>
        <v>0</v>
      </c>
      <c r="H349" s="70">
        <f>COUNTIFS('Error Log'!$A:$A,$A349,'Error Log'!$F:$F,"Source")</f>
        <v>0</v>
      </c>
      <c r="I349" s="70">
        <f>COUNTIFS('Error Log'!$A:$A,$A349,'Error Log'!$F:$F,"Target")</f>
        <v>0</v>
      </c>
      <c r="J349" s="71">
        <f t="shared" si="5"/>
        <v>0</v>
      </c>
    </row>
    <row r="350" spans="1:10">
      <c r="A350" s="101"/>
      <c r="B350" s="70" t="str">
        <f>IF(ISBLANK(A350),"",INDEX('Error Log'!$A:$J,MATCH('Scores per segment'!$A350,'Error Log'!$A:$A,0),MATCH('Scores per segment'!B$1,'Error Log'!$A$1:$J$1,0)))</f>
        <v/>
      </c>
      <c r="C350" s="70" t="str">
        <f>IF(ISBLANK(A350),"",INDEX('Error Log'!$A:$J,MATCH('Scores per segment'!$A350,'Error Log'!$A:$A,0),MATCH('Scores per segment'!C$1,'Error Log'!$A$1:$J$1,0)))</f>
        <v/>
      </c>
      <c r="D350" s="70">
        <f>IF(H350=0,wdct(TRIM(C350)),0)</f>
        <v>0</v>
      </c>
      <c r="E350" s="70">
        <f>COUNTIFS('Error Log'!$A:$A,$A350,'Error Log'!$J:$J,E$1)</f>
        <v>0</v>
      </c>
      <c r="F350" s="70">
        <f>COUNTIFS('Error Log'!$A:$A,$A350,'Error Log'!$J:$J,F$1)</f>
        <v>0</v>
      </c>
      <c r="G350" s="70">
        <f>COUNTIFS('Error Log'!$A:$A,$A350,'Error Log'!$J:$J,G$1)</f>
        <v>0</v>
      </c>
      <c r="H350" s="70">
        <f>COUNTIFS('Error Log'!$A:$A,$A350,'Error Log'!$F:$F,"Source")</f>
        <v>0</v>
      </c>
      <c r="I350" s="70">
        <f>COUNTIFS('Error Log'!$A:$A,$A350,'Error Log'!$F:$F,"Target")</f>
        <v>0</v>
      </c>
      <c r="J350" s="71">
        <f t="shared" si="5"/>
        <v>0</v>
      </c>
    </row>
    <row r="351" spans="1:10">
      <c r="A351" s="101"/>
      <c r="B351" s="70" t="str">
        <f>IF(ISBLANK(A351),"",INDEX('Error Log'!$A:$J,MATCH('Scores per segment'!$A351,'Error Log'!$A:$A,0),MATCH('Scores per segment'!B$1,'Error Log'!$A$1:$J$1,0)))</f>
        <v/>
      </c>
      <c r="C351" s="70" t="str">
        <f>IF(ISBLANK(A351),"",INDEX('Error Log'!$A:$J,MATCH('Scores per segment'!$A351,'Error Log'!$A:$A,0),MATCH('Scores per segment'!C$1,'Error Log'!$A$1:$J$1,0)))</f>
        <v/>
      </c>
      <c r="D351" s="70">
        <f>IF(H351=0,wdct(TRIM(C351)),0)</f>
        <v>0</v>
      </c>
      <c r="E351" s="70">
        <f>COUNTIFS('Error Log'!$A:$A,$A351,'Error Log'!$J:$J,E$1)</f>
        <v>0</v>
      </c>
      <c r="F351" s="70">
        <f>COUNTIFS('Error Log'!$A:$A,$A351,'Error Log'!$J:$J,F$1)</f>
        <v>0</v>
      </c>
      <c r="G351" s="70">
        <f>COUNTIFS('Error Log'!$A:$A,$A351,'Error Log'!$J:$J,G$1)</f>
        <v>0</v>
      </c>
      <c r="H351" s="70">
        <f>COUNTIFS('Error Log'!$A:$A,$A351,'Error Log'!$F:$F,"Source")</f>
        <v>0</v>
      </c>
      <c r="I351" s="70">
        <f>COUNTIFS('Error Log'!$A:$A,$A351,'Error Log'!$F:$F,"Target")</f>
        <v>0</v>
      </c>
      <c r="J351" s="71">
        <f t="shared" si="5"/>
        <v>0</v>
      </c>
    </row>
    <row r="352" spans="1:10">
      <c r="A352" s="101"/>
      <c r="B352" s="70" t="str">
        <f>IF(ISBLANK(A352),"",INDEX('Error Log'!$A:$J,MATCH('Scores per segment'!$A352,'Error Log'!$A:$A,0),MATCH('Scores per segment'!B$1,'Error Log'!$A$1:$J$1,0)))</f>
        <v/>
      </c>
      <c r="C352" s="70" t="str">
        <f>IF(ISBLANK(A352),"",INDEX('Error Log'!$A:$J,MATCH('Scores per segment'!$A352,'Error Log'!$A:$A,0),MATCH('Scores per segment'!C$1,'Error Log'!$A$1:$J$1,0)))</f>
        <v/>
      </c>
      <c r="D352" s="70">
        <f>IF(H352=0,wdct(TRIM(C352)),0)</f>
        <v>0</v>
      </c>
      <c r="E352" s="70">
        <f>COUNTIFS('Error Log'!$A:$A,$A352,'Error Log'!$J:$J,E$1)</f>
        <v>0</v>
      </c>
      <c r="F352" s="70">
        <f>COUNTIFS('Error Log'!$A:$A,$A352,'Error Log'!$J:$J,F$1)</f>
        <v>0</v>
      </c>
      <c r="G352" s="70">
        <f>COUNTIFS('Error Log'!$A:$A,$A352,'Error Log'!$J:$J,G$1)</f>
        <v>0</v>
      </c>
      <c r="H352" s="70">
        <f>COUNTIFS('Error Log'!$A:$A,$A352,'Error Log'!$F:$F,"Source")</f>
        <v>0</v>
      </c>
      <c r="I352" s="70">
        <f>COUNTIFS('Error Log'!$A:$A,$A352,'Error Log'!$F:$F,"Target")</f>
        <v>0</v>
      </c>
      <c r="J352" s="71">
        <f t="shared" si="5"/>
        <v>0</v>
      </c>
    </row>
    <row r="353" spans="1:10">
      <c r="A353" s="101"/>
      <c r="B353" s="70" t="str">
        <f>IF(ISBLANK(A353),"",INDEX('Error Log'!$A:$J,MATCH('Scores per segment'!$A353,'Error Log'!$A:$A,0),MATCH('Scores per segment'!B$1,'Error Log'!$A$1:$J$1,0)))</f>
        <v/>
      </c>
      <c r="C353" s="70" t="str">
        <f>IF(ISBLANK(A353),"",INDEX('Error Log'!$A:$J,MATCH('Scores per segment'!$A353,'Error Log'!$A:$A,0),MATCH('Scores per segment'!C$1,'Error Log'!$A$1:$J$1,0)))</f>
        <v/>
      </c>
      <c r="D353" s="70">
        <f>IF(H353=0,wdct(TRIM(C353)),0)</f>
        <v>0</v>
      </c>
      <c r="E353" s="70">
        <f>COUNTIFS('Error Log'!$A:$A,$A353,'Error Log'!$J:$J,E$1)</f>
        <v>0</v>
      </c>
      <c r="F353" s="70">
        <f>COUNTIFS('Error Log'!$A:$A,$A353,'Error Log'!$J:$J,F$1)</f>
        <v>0</v>
      </c>
      <c r="G353" s="70">
        <f>COUNTIFS('Error Log'!$A:$A,$A353,'Error Log'!$J:$J,G$1)</f>
        <v>0</v>
      </c>
      <c r="H353" s="70">
        <f>COUNTIFS('Error Log'!$A:$A,$A353,'Error Log'!$F:$F,"Source")</f>
        <v>0</v>
      </c>
      <c r="I353" s="70">
        <f>COUNTIFS('Error Log'!$A:$A,$A353,'Error Log'!$F:$F,"Target")</f>
        <v>0</v>
      </c>
      <c r="J353" s="71">
        <f t="shared" si="5"/>
        <v>0</v>
      </c>
    </row>
    <row r="354" spans="1:10">
      <c r="A354" s="101"/>
      <c r="B354" s="70" t="str">
        <f>IF(ISBLANK(A354),"",INDEX('Error Log'!$A:$J,MATCH('Scores per segment'!$A354,'Error Log'!$A:$A,0),MATCH('Scores per segment'!B$1,'Error Log'!$A$1:$J$1,0)))</f>
        <v/>
      </c>
      <c r="C354" s="70" t="str">
        <f>IF(ISBLANK(A354),"",INDEX('Error Log'!$A:$J,MATCH('Scores per segment'!$A354,'Error Log'!$A:$A,0),MATCH('Scores per segment'!C$1,'Error Log'!$A$1:$J$1,0)))</f>
        <v/>
      </c>
      <c r="D354" s="70">
        <f>IF(H354=0,wdct(TRIM(C354)),0)</f>
        <v>0</v>
      </c>
      <c r="E354" s="70">
        <f>COUNTIFS('Error Log'!$A:$A,$A354,'Error Log'!$J:$J,E$1)</f>
        <v>0</v>
      </c>
      <c r="F354" s="70">
        <f>COUNTIFS('Error Log'!$A:$A,$A354,'Error Log'!$J:$J,F$1)</f>
        <v>0</v>
      </c>
      <c r="G354" s="70">
        <f>COUNTIFS('Error Log'!$A:$A,$A354,'Error Log'!$J:$J,G$1)</f>
        <v>0</v>
      </c>
      <c r="H354" s="70">
        <f>COUNTIFS('Error Log'!$A:$A,$A354,'Error Log'!$F:$F,"Source")</f>
        <v>0</v>
      </c>
      <c r="I354" s="70">
        <f>COUNTIFS('Error Log'!$A:$A,$A354,'Error Log'!$F:$F,"Target")</f>
        <v>0</v>
      </c>
      <c r="J354" s="71">
        <f t="shared" si="5"/>
        <v>0</v>
      </c>
    </row>
    <row r="355" spans="1:10">
      <c r="A355" s="101"/>
      <c r="B355" s="70" t="str">
        <f>IF(ISBLANK(A355),"",INDEX('Error Log'!$A:$J,MATCH('Scores per segment'!$A355,'Error Log'!$A:$A,0),MATCH('Scores per segment'!B$1,'Error Log'!$A$1:$J$1,0)))</f>
        <v/>
      </c>
      <c r="C355" s="70" t="str">
        <f>IF(ISBLANK(A355),"",INDEX('Error Log'!$A:$J,MATCH('Scores per segment'!$A355,'Error Log'!$A:$A,0),MATCH('Scores per segment'!C$1,'Error Log'!$A$1:$J$1,0)))</f>
        <v/>
      </c>
      <c r="D355" s="70">
        <f>IF(H355=0,wdct(TRIM(C355)),0)</f>
        <v>0</v>
      </c>
      <c r="E355" s="70">
        <f>COUNTIFS('Error Log'!$A:$A,$A355,'Error Log'!$J:$J,E$1)</f>
        <v>0</v>
      </c>
      <c r="F355" s="70">
        <f>COUNTIFS('Error Log'!$A:$A,$A355,'Error Log'!$J:$J,F$1)</f>
        <v>0</v>
      </c>
      <c r="G355" s="70">
        <f>COUNTIFS('Error Log'!$A:$A,$A355,'Error Log'!$J:$J,G$1)</f>
        <v>0</v>
      </c>
      <c r="H355" s="70">
        <f>COUNTIFS('Error Log'!$A:$A,$A355,'Error Log'!$F:$F,"Source")</f>
        <v>0</v>
      </c>
      <c r="I355" s="70">
        <f>COUNTIFS('Error Log'!$A:$A,$A355,'Error Log'!$F:$F,"Target")</f>
        <v>0</v>
      </c>
      <c r="J355" s="71">
        <f t="shared" si="5"/>
        <v>0</v>
      </c>
    </row>
    <row r="356" spans="1:10">
      <c r="A356" s="101"/>
      <c r="B356" s="70" t="str">
        <f>IF(ISBLANK(A356),"",INDEX('Error Log'!$A:$J,MATCH('Scores per segment'!$A356,'Error Log'!$A:$A,0),MATCH('Scores per segment'!B$1,'Error Log'!$A$1:$J$1,0)))</f>
        <v/>
      </c>
      <c r="C356" s="70" t="str">
        <f>IF(ISBLANK(A356),"",INDEX('Error Log'!$A:$J,MATCH('Scores per segment'!$A356,'Error Log'!$A:$A,0),MATCH('Scores per segment'!C$1,'Error Log'!$A$1:$J$1,0)))</f>
        <v/>
      </c>
      <c r="D356" s="70">
        <f>IF(H356=0,wdct(TRIM(C356)),0)</f>
        <v>0</v>
      </c>
      <c r="E356" s="70">
        <f>COUNTIFS('Error Log'!$A:$A,$A356,'Error Log'!$J:$J,E$1)</f>
        <v>0</v>
      </c>
      <c r="F356" s="70">
        <f>COUNTIFS('Error Log'!$A:$A,$A356,'Error Log'!$J:$J,F$1)</f>
        <v>0</v>
      </c>
      <c r="G356" s="70">
        <f>COUNTIFS('Error Log'!$A:$A,$A356,'Error Log'!$J:$J,G$1)</f>
        <v>0</v>
      </c>
      <c r="H356" s="70">
        <f>COUNTIFS('Error Log'!$A:$A,$A356,'Error Log'!$F:$F,"Source")</f>
        <v>0</v>
      </c>
      <c r="I356" s="70">
        <f>COUNTIFS('Error Log'!$A:$A,$A356,'Error Log'!$F:$F,"Target")</f>
        <v>0</v>
      </c>
      <c r="J356" s="71">
        <f t="shared" si="5"/>
        <v>0</v>
      </c>
    </row>
    <row r="357" spans="1:10">
      <c r="A357" s="101"/>
      <c r="B357" s="70" t="str">
        <f>IF(ISBLANK(A357),"",INDEX('Error Log'!$A:$J,MATCH('Scores per segment'!$A357,'Error Log'!$A:$A,0),MATCH('Scores per segment'!B$1,'Error Log'!$A$1:$J$1,0)))</f>
        <v/>
      </c>
      <c r="C357" s="70" t="str">
        <f>IF(ISBLANK(A357),"",INDEX('Error Log'!$A:$J,MATCH('Scores per segment'!$A357,'Error Log'!$A:$A,0),MATCH('Scores per segment'!C$1,'Error Log'!$A$1:$J$1,0)))</f>
        <v/>
      </c>
      <c r="D357" s="70">
        <f>IF(H357=0,wdct(TRIM(C357)),0)</f>
        <v>0</v>
      </c>
      <c r="E357" s="70">
        <f>COUNTIFS('Error Log'!$A:$A,$A357,'Error Log'!$J:$J,E$1)</f>
        <v>0</v>
      </c>
      <c r="F357" s="70">
        <f>COUNTIFS('Error Log'!$A:$A,$A357,'Error Log'!$J:$J,F$1)</f>
        <v>0</v>
      </c>
      <c r="G357" s="70">
        <f>COUNTIFS('Error Log'!$A:$A,$A357,'Error Log'!$J:$J,G$1)</f>
        <v>0</v>
      </c>
      <c r="H357" s="70">
        <f>COUNTIFS('Error Log'!$A:$A,$A357,'Error Log'!$F:$F,"Source")</f>
        <v>0</v>
      </c>
      <c r="I357" s="70">
        <f>COUNTIFS('Error Log'!$A:$A,$A357,'Error Log'!$F:$F,"Target")</f>
        <v>0</v>
      </c>
      <c r="J357" s="71">
        <f t="shared" si="5"/>
        <v>0</v>
      </c>
    </row>
    <row r="358" spans="1:10">
      <c r="A358" s="101"/>
      <c r="B358" s="70" t="str">
        <f>IF(ISBLANK(A358),"",INDEX('Error Log'!$A:$J,MATCH('Scores per segment'!$A358,'Error Log'!$A:$A,0),MATCH('Scores per segment'!B$1,'Error Log'!$A$1:$J$1,0)))</f>
        <v/>
      </c>
      <c r="C358" s="70" t="str">
        <f>IF(ISBLANK(A358),"",INDEX('Error Log'!$A:$J,MATCH('Scores per segment'!$A358,'Error Log'!$A:$A,0),MATCH('Scores per segment'!C$1,'Error Log'!$A$1:$J$1,0)))</f>
        <v/>
      </c>
      <c r="D358" s="70">
        <f>IF(H358=0,wdct(TRIM(C358)),0)</f>
        <v>0</v>
      </c>
      <c r="E358" s="70">
        <f>COUNTIFS('Error Log'!$A:$A,$A358,'Error Log'!$J:$J,E$1)</f>
        <v>0</v>
      </c>
      <c r="F358" s="70">
        <f>COUNTIFS('Error Log'!$A:$A,$A358,'Error Log'!$J:$J,F$1)</f>
        <v>0</v>
      </c>
      <c r="G358" s="70">
        <f>COUNTIFS('Error Log'!$A:$A,$A358,'Error Log'!$J:$J,G$1)</f>
        <v>0</v>
      </c>
      <c r="H358" s="70">
        <f>COUNTIFS('Error Log'!$A:$A,$A358,'Error Log'!$F:$F,"Source")</f>
        <v>0</v>
      </c>
      <c r="I358" s="70">
        <f>COUNTIFS('Error Log'!$A:$A,$A358,'Error Log'!$F:$F,"Target")</f>
        <v>0</v>
      </c>
      <c r="J358" s="71">
        <f t="shared" si="5"/>
        <v>0</v>
      </c>
    </row>
    <row r="359" spans="1:10">
      <c r="A359" s="101"/>
      <c r="B359" s="70" t="str">
        <f>IF(ISBLANK(A359),"",INDEX('Error Log'!$A:$J,MATCH('Scores per segment'!$A359,'Error Log'!$A:$A,0),MATCH('Scores per segment'!B$1,'Error Log'!$A$1:$J$1,0)))</f>
        <v/>
      </c>
      <c r="C359" s="70" t="str">
        <f>IF(ISBLANK(A359),"",INDEX('Error Log'!$A:$J,MATCH('Scores per segment'!$A359,'Error Log'!$A:$A,0),MATCH('Scores per segment'!C$1,'Error Log'!$A$1:$J$1,0)))</f>
        <v/>
      </c>
      <c r="D359" s="70">
        <f>IF(H359=0,wdct(TRIM(C359)),0)</f>
        <v>0</v>
      </c>
      <c r="E359" s="70">
        <f>COUNTIFS('Error Log'!$A:$A,$A359,'Error Log'!$J:$J,E$1)</f>
        <v>0</v>
      </c>
      <c r="F359" s="70">
        <f>COUNTIFS('Error Log'!$A:$A,$A359,'Error Log'!$J:$J,F$1)</f>
        <v>0</v>
      </c>
      <c r="G359" s="70">
        <f>COUNTIFS('Error Log'!$A:$A,$A359,'Error Log'!$J:$J,G$1)</f>
        <v>0</v>
      </c>
      <c r="H359" s="70">
        <f>COUNTIFS('Error Log'!$A:$A,$A359,'Error Log'!$F:$F,"Source")</f>
        <v>0</v>
      </c>
      <c r="I359" s="70">
        <f>COUNTIFS('Error Log'!$A:$A,$A359,'Error Log'!$F:$F,"Target")</f>
        <v>0</v>
      </c>
      <c r="J359" s="71">
        <f t="shared" si="5"/>
        <v>0</v>
      </c>
    </row>
    <row r="360" spans="1:10">
      <c r="A360" s="101"/>
      <c r="B360" s="70" t="str">
        <f>IF(ISBLANK(A360),"",INDEX('Error Log'!$A:$J,MATCH('Scores per segment'!$A360,'Error Log'!$A:$A,0),MATCH('Scores per segment'!B$1,'Error Log'!$A$1:$J$1,0)))</f>
        <v/>
      </c>
      <c r="C360" s="70" t="str">
        <f>IF(ISBLANK(A360),"",INDEX('Error Log'!$A:$J,MATCH('Scores per segment'!$A360,'Error Log'!$A:$A,0),MATCH('Scores per segment'!C$1,'Error Log'!$A$1:$J$1,0)))</f>
        <v/>
      </c>
      <c r="D360" s="70">
        <f>IF(H360=0,wdct(TRIM(C360)),0)</f>
        <v>0</v>
      </c>
      <c r="E360" s="70">
        <f>COUNTIFS('Error Log'!$A:$A,$A360,'Error Log'!$J:$J,E$1)</f>
        <v>0</v>
      </c>
      <c r="F360" s="70">
        <f>COUNTIFS('Error Log'!$A:$A,$A360,'Error Log'!$J:$J,F$1)</f>
        <v>0</v>
      </c>
      <c r="G360" s="70">
        <f>COUNTIFS('Error Log'!$A:$A,$A360,'Error Log'!$J:$J,G$1)</f>
        <v>0</v>
      </c>
      <c r="H360" s="70">
        <f>COUNTIFS('Error Log'!$A:$A,$A360,'Error Log'!$F:$F,"Source")</f>
        <v>0</v>
      </c>
      <c r="I360" s="70">
        <f>COUNTIFS('Error Log'!$A:$A,$A360,'Error Log'!$F:$F,"Target")</f>
        <v>0</v>
      </c>
      <c r="J360" s="71">
        <f t="shared" si="5"/>
        <v>0</v>
      </c>
    </row>
    <row r="361" spans="1:10">
      <c r="A361" s="101"/>
      <c r="B361" s="70" t="str">
        <f>IF(ISBLANK(A361),"",INDEX('Error Log'!$A:$J,MATCH('Scores per segment'!$A361,'Error Log'!$A:$A,0),MATCH('Scores per segment'!B$1,'Error Log'!$A$1:$J$1,0)))</f>
        <v/>
      </c>
      <c r="C361" s="70" t="str">
        <f>IF(ISBLANK(A361),"",INDEX('Error Log'!$A:$J,MATCH('Scores per segment'!$A361,'Error Log'!$A:$A,0),MATCH('Scores per segment'!C$1,'Error Log'!$A$1:$J$1,0)))</f>
        <v/>
      </c>
      <c r="D361" s="70">
        <f>IF(H361=0,wdct(TRIM(C361)),0)</f>
        <v>0</v>
      </c>
      <c r="E361" s="70">
        <f>COUNTIFS('Error Log'!$A:$A,$A361,'Error Log'!$J:$J,E$1)</f>
        <v>0</v>
      </c>
      <c r="F361" s="70">
        <f>COUNTIFS('Error Log'!$A:$A,$A361,'Error Log'!$J:$J,F$1)</f>
        <v>0</v>
      </c>
      <c r="G361" s="70">
        <f>COUNTIFS('Error Log'!$A:$A,$A361,'Error Log'!$J:$J,G$1)</f>
        <v>0</v>
      </c>
      <c r="H361" s="70">
        <f>COUNTIFS('Error Log'!$A:$A,$A361,'Error Log'!$F:$F,"Source")</f>
        <v>0</v>
      </c>
      <c r="I361" s="70">
        <f>COUNTIFS('Error Log'!$A:$A,$A361,'Error Log'!$F:$F,"Target")</f>
        <v>0</v>
      </c>
      <c r="J361" s="71">
        <f t="shared" si="5"/>
        <v>0</v>
      </c>
    </row>
    <row r="362" spans="1:10">
      <c r="A362" s="101"/>
      <c r="B362" s="70" t="str">
        <f>IF(ISBLANK(A362),"",INDEX('Error Log'!$A:$J,MATCH('Scores per segment'!$A362,'Error Log'!$A:$A,0),MATCH('Scores per segment'!B$1,'Error Log'!$A$1:$J$1,0)))</f>
        <v/>
      </c>
      <c r="C362" s="70" t="str">
        <f>IF(ISBLANK(A362),"",INDEX('Error Log'!$A:$J,MATCH('Scores per segment'!$A362,'Error Log'!$A:$A,0),MATCH('Scores per segment'!C$1,'Error Log'!$A$1:$J$1,0)))</f>
        <v/>
      </c>
      <c r="D362" s="70">
        <f>IF(H362=0,wdct(TRIM(C362)),0)</f>
        <v>0</v>
      </c>
      <c r="E362" s="70">
        <f>COUNTIFS('Error Log'!$A:$A,$A362,'Error Log'!$J:$J,E$1)</f>
        <v>0</v>
      </c>
      <c r="F362" s="70">
        <f>COUNTIFS('Error Log'!$A:$A,$A362,'Error Log'!$J:$J,F$1)</f>
        <v>0</v>
      </c>
      <c r="G362" s="70">
        <f>COUNTIFS('Error Log'!$A:$A,$A362,'Error Log'!$J:$J,G$1)</f>
        <v>0</v>
      </c>
      <c r="H362" s="70">
        <f>COUNTIFS('Error Log'!$A:$A,$A362,'Error Log'!$F:$F,"Source")</f>
        <v>0</v>
      </c>
      <c r="I362" s="70">
        <f>COUNTIFS('Error Log'!$A:$A,$A362,'Error Log'!$F:$F,"Target")</f>
        <v>0</v>
      </c>
      <c r="J362" s="71">
        <f t="shared" si="5"/>
        <v>0</v>
      </c>
    </row>
    <row r="363" spans="1:10">
      <c r="A363" s="101"/>
      <c r="B363" s="70" t="str">
        <f>IF(ISBLANK(A363),"",INDEX('Error Log'!$A:$J,MATCH('Scores per segment'!$A363,'Error Log'!$A:$A,0),MATCH('Scores per segment'!B$1,'Error Log'!$A$1:$J$1,0)))</f>
        <v/>
      </c>
      <c r="C363" s="70" t="str">
        <f>IF(ISBLANK(A363),"",INDEX('Error Log'!$A:$J,MATCH('Scores per segment'!$A363,'Error Log'!$A:$A,0),MATCH('Scores per segment'!C$1,'Error Log'!$A$1:$J$1,0)))</f>
        <v/>
      </c>
      <c r="D363" s="70">
        <f>IF(H363=0,wdct(TRIM(C363)),0)</f>
        <v>0</v>
      </c>
      <c r="E363" s="70">
        <f>COUNTIFS('Error Log'!$A:$A,$A363,'Error Log'!$J:$J,E$1)</f>
        <v>0</v>
      </c>
      <c r="F363" s="70">
        <f>COUNTIFS('Error Log'!$A:$A,$A363,'Error Log'!$J:$J,F$1)</f>
        <v>0</v>
      </c>
      <c r="G363" s="70">
        <f>COUNTIFS('Error Log'!$A:$A,$A363,'Error Log'!$J:$J,G$1)</f>
        <v>0</v>
      </c>
      <c r="H363" s="70">
        <f>COUNTIFS('Error Log'!$A:$A,$A363,'Error Log'!$F:$F,"Source")</f>
        <v>0</v>
      </c>
      <c r="I363" s="70">
        <f>COUNTIFS('Error Log'!$A:$A,$A363,'Error Log'!$F:$F,"Target")</f>
        <v>0</v>
      </c>
      <c r="J363" s="71">
        <f t="shared" si="5"/>
        <v>0</v>
      </c>
    </row>
    <row r="364" spans="1:10">
      <c r="A364" s="101"/>
      <c r="B364" s="70" t="str">
        <f>IF(ISBLANK(A364),"",INDEX('Error Log'!$A:$J,MATCH('Scores per segment'!$A364,'Error Log'!$A:$A,0),MATCH('Scores per segment'!B$1,'Error Log'!$A$1:$J$1,0)))</f>
        <v/>
      </c>
      <c r="C364" s="70" t="str">
        <f>IF(ISBLANK(A364),"",INDEX('Error Log'!$A:$J,MATCH('Scores per segment'!$A364,'Error Log'!$A:$A,0),MATCH('Scores per segment'!C$1,'Error Log'!$A$1:$J$1,0)))</f>
        <v/>
      </c>
      <c r="D364" s="70">
        <f>IF(H364=0,wdct(TRIM(C364)),0)</f>
        <v>0</v>
      </c>
      <c r="E364" s="70">
        <f>COUNTIFS('Error Log'!$A:$A,$A364,'Error Log'!$J:$J,E$1)</f>
        <v>0</v>
      </c>
      <c r="F364" s="70">
        <f>COUNTIFS('Error Log'!$A:$A,$A364,'Error Log'!$J:$J,F$1)</f>
        <v>0</v>
      </c>
      <c r="G364" s="70">
        <f>COUNTIFS('Error Log'!$A:$A,$A364,'Error Log'!$J:$J,G$1)</f>
        <v>0</v>
      </c>
      <c r="H364" s="70">
        <f>COUNTIFS('Error Log'!$A:$A,$A364,'Error Log'!$F:$F,"Source")</f>
        <v>0</v>
      </c>
      <c r="I364" s="70">
        <f>COUNTIFS('Error Log'!$A:$A,$A364,'Error Log'!$F:$F,"Target")</f>
        <v>0</v>
      </c>
      <c r="J364" s="71">
        <f t="shared" si="5"/>
        <v>0</v>
      </c>
    </row>
    <row r="365" spans="1:10">
      <c r="A365" s="101"/>
      <c r="B365" s="70" t="str">
        <f>IF(ISBLANK(A365),"",INDEX('Error Log'!$A:$J,MATCH('Scores per segment'!$A365,'Error Log'!$A:$A,0),MATCH('Scores per segment'!B$1,'Error Log'!$A$1:$J$1,0)))</f>
        <v/>
      </c>
      <c r="C365" s="70" t="str">
        <f>IF(ISBLANK(A365),"",INDEX('Error Log'!$A:$J,MATCH('Scores per segment'!$A365,'Error Log'!$A:$A,0),MATCH('Scores per segment'!C$1,'Error Log'!$A$1:$J$1,0)))</f>
        <v/>
      </c>
      <c r="D365" s="70">
        <f>IF(H365=0,wdct(TRIM(C365)),0)</f>
        <v>0</v>
      </c>
      <c r="E365" s="70">
        <f>COUNTIFS('Error Log'!$A:$A,$A365,'Error Log'!$J:$J,E$1)</f>
        <v>0</v>
      </c>
      <c r="F365" s="70">
        <f>COUNTIFS('Error Log'!$A:$A,$A365,'Error Log'!$J:$J,F$1)</f>
        <v>0</v>
      </c>
      <c r="G365" s="70">
        <f>COUNTIFS('Error Log'!$A:$A,$A365,'Error Log'!$J:$J,G$1)</f>
        <v>0</v>
      </c>
      <c r="H365" s="70">
        <f>COUNTIFS('Error Log'!$A:$A,$A365,'Error Log'!$F:$F,"Source")</f>
        <v>0</v>
      </c>
      <c r="I365" s="70">
        <f>COUNTIFS('Error Log'!$A:$A,$A365,'Error Log'!$F:$F,"Target")</f>
        <v>0</v>
      </c>
      <c r="J365" s="71">
        <f t="shared" si="5"/>
        <v>0</v>
      </c>
    </row>
    <row r="366" spans="1:10">
      <c r="A366" s="101"/>
      <c r="B366" s="70" t="str">
        <f>IF(ISBLANK(A366),"",INDEX('Error Log'!$A:$J,MATCH('Scores per segment'!$A366,'Error Log'!$A:$A,0),MATCH('Scores per segment'!B$1,'Error Log'!$A$1:$J$1,0)))</f>
        <v/>
      </c>
      <c r="C366" s="70" t="str">
        <f>IF(ISBLANK(A366),"",INDEX('Error Log'!$A:$J,MATCH('Scores per segment'!$A366,'Error Log'!$A:$A,0),MATCH('Scores per segment'!C$1,'Error Log'!$A$1:$J$1,0)))</f>
        <v/>
      </c>
      <c r="D366" s="70">
        <f>IF(H366=0,wdct(TRIM(C366)),0)</f>
        <v>0</v>
      </c>
      <c r="E366" s="70">
        <f>COUNTIFS('Error Log'!$A:$A,$A366,'Error Log'!$J:$J,E$1)</f>
        <v>0</v>
      </c>
      <c r="F366" s="70">
        <f>COUNTIFS('Error Log'!$A:$A,$A366,'Error Log'!$J:$J,F$1)</f>
        <v>0</v>
      </c>
      <c r="G366" s="70">
        <f>COUNTIFS('Error Log'!$A:$A,$A366,'Error Log'!$J:$J,G$1)</f>
        <v>0</v>
      </c>
      <c r="H366" s="70">
        <f>COUNTIFS('Error Log'!$A:$A,$A366,'Error Log'!$F:$F,"Source")</f>
        <v>0</v>
      </c>
      <c r="I366" s="70">
        <f>COUNTIFS('Error Log'!$A:$A,$A366,'Error Log'!$F:$F,"Target")</f>
        <v>0</v>
      </c>
      <c r="J366" s="71">
        <f t="shared" si="5"/>
        <v>0</v>
      </c>
    </row>
    <row r="367" spans="1:10">
      <c r="A367" s="101"/>
      <c r="B367" s="70" t="str">
        <f>IF(ISBLANK(A367),"",INDEX('Error Log'!$A:$J,MATCH('Scores per segment'!$A367,'Error Log'!$A:$A,0),MATCH('Scores per segment'!B$1,'Error Log'!$A$1:$J$1,0)))</f>
        <v/>
      </c>
      <c r="C367" s="70" t="str">
        <f>IF(ISBLANK(A367),"",INDEX('Error Log'!$A:$J,MATCH('Scores per segment'!$A367,'Error Log'!$A:$A,0),MATCH('Scores per segment'!C$1,'Error Log'!$A$1:$J$1,0)))</f>
        <v/>
      </c>
      <c r="D367" s="70">
        <f>IF(H367=0,wdct(TRIM(C367)),0)</f>
        <v>0</v>
      </c>
      <c r="E367" s="70">
        <f>COUNTIFS('Error Log'!$A:$A,$A367,'Error Log'!$J:$J,E$1)</f>
        <v>0</v>
      </c>
      <c r="F367" s="70">
        <f>COUNTIFS('Error Log'!$A:$A,$A367,'Error Log'!$J:$J,F$1)</f>
        <v>0</v>
      </c>
      <c r="G367" s="70">
        <f>COUNTIFS('Error Log'!$A:$A,$A367,'Error Log'!$J:$J,G$1)</f>
        <v>0</v>
      </c>
      <c r="H367" s="70">
        <f>COUNTIFS('Error Log'!$A:$A,$A367,'Error Log'!$F:$F,"Source")</f>
        <v>0</v>
      </c>
      <c r="I367" s="70">
        <f>COUNTIFS('Error Log'!$A:$A,$A367,'Error Log'!$F:$F,"Target")</f>
        <v>0</v>
      </c>
      <c r="J367" s="71">
        <f t="shared" si="5"/>
        <v>0</v>
      </c>
    </row>
    <row r="368" spans="1:10">
      <c r="A368" s="101"/>
      <c r="B368" s="70" t="str">
        <f>IF(ISBLANK(A368),"",INDEX('Error Log'!$A:$J,MATCH('Scores per segment'!$A368,'Error Log'!$A:$A,0),MATCH('Scores per segment'!B$1,'Error Log'!$A$1:$J$1,0)))</f>
        <v/>
      </c>
      <c r="C368" s="70" t="str">
        <f>IF(ISBLANK(A368),"",INDEX('Error Log'!$A:$J,MATCH('Scores per segment'!$A368,'Error Log'!$A:$A,0),MATCH('Scores per segment'!C$1,'Error Log'!$A$1:$J$1,0)))</f>
        <v/>
      </c>
      <c r="D368" s="70">
        <f>IF(H368=0,wdct(TRIM(C368)),0)</f>
        <v>0</v>
      </c>
      <c r="E368" s="70">
        <f>COUNTIFS('Error Log'!$A:$A,$A368,'Error Log'!$J:$J,E$1)</f>
        <v>0</v>
      </c>
      <c r="F368" s="70">
        <f>COUNTIFS('Error Log'!$A:$A,$A368,'Error Log'!$J:$J,F$1)</f>
        <v>0</v>
      </c>
      <c r="G368" s="70">
        <f>COUNTIFS('Error Log'!$A:$A,$A368,'Error Log'!$J:$J,G$1)</f>
        <v>0</v>
      </c>
      <c r="H368" s="70">
        <f>COUNTIFS('Error Log'!$A:$A,$A368,'Error Log'!$F:$F,"Source")</f>
        <v>0</v>
      </c>
      <c r="I368" s="70">
        <f>COUNTIFS('Error Log'!$A:$A,$A368,'Error Log'!$F:$F,"Target")</f>
        <v>0</v>
      </c>
      <c r="J368" s="71">
        <f t="shared" si="5"/>
        <v>0</v>
      </c>
    </row>
    <row r="369" spans="1:10">
      <c r="A369" s="101"/>
      <c r="B369" s="70" t="str">
        <f>IF(ISBLANK(A369),"",INDEX('Error Log'!$A:$J,MATCH('Scores per segment'!$A369,'Error Log'!$A:$A,0),MATCH('Scores per segment'!B$1,'Error Log'!$A$1:$J$1,0)))</f>
        <v/>
      </c>
      <c r="C369" s="70" t="str">
        <f>IF(ISBLANK(A369),"",INDEX('Error Log'!$A:$J,MATCH('Scores per segment'!$A369,'Error Log'!$A:$A,0),MATCH('Scores per segment'!C$1,'Error Log'!$A$1:$J$1,0)))</f>
        <v/>
      </c>
      <c r="D369" s="70">
        <f>IF(H369=0,wdct(TRIM(C369)),0)</f>
        <v>0</v>
      </c>
      <c r="E369" s="70">
        <f>COUNTIFS('Error Log'!$A:$A,$A369,'Error Log'!$J:$J,E$1)</f>
        <v>0</v>
      </c>
      <c r="F369" s="70">
        <f>COUNTIFS('Error Log'!$A:$A,$A369,'Error Log'!$J:$J,F$1)</f>
        <v>0</v>
      </c>
      <c r="G369" s="70">
        <f>COUNTIFS('Error Log'!$A:$A,$A369,'Error Log'!$J:$J,G$1)</f>
        <v>0</v>
      </c>
      <c r="H369" s="70">
        <f>COUNTIFS('Error Log'!$A:$A,$A369,'Error Log'!$F:$F,"Source")</f>
        <v>0</v>
      </c>
      <c r="I369" s="70">
        <f>COUNTIFS('Error Log'!$A:$A,$A369,'Error Log'!$F:$F,"Target")</f>
        <v>0</v>
      </c>
      <c r="J369" s="71">
        <f t="shared" si="5"/>
        <v>0</v>
      </c>
    </row>
    <row r="370" spans="1:10">
      <c r="A370" s="101"/>
      <c r="B370" s="70" t="str">
        <f>IF(ISBLANK(A370),"",INDEX('Error Log'!$A:$J,MATCH('Scores per segment'!$A370,'Error Log'!$A:$A,0),MATCH('Scores per segment'!B$1,'Error Log'!$A$1:$J$1,0)))</f>
        <v/>
      </c>
      <c r="C370" s="70" t="str">
        <f>IF(ISBLANK(A370),"",INDEX('Error Log'!$A:$J,MATCH('Scores per segment'!$A370,'Error Log'!$A:$A,0),MATCH('Scores per segment'!C$1,'Error Log'!$A$1:$J$1,0)))</f>
        <v/>
      </c>
      <c r="D370" s="70">
        <f>IF(H370=0,wdct(TRIM(C370)),0)</f>
        <v>0</v>
      </c>
      <c r="E370" s="70">
        <f>COUNTIFS('Error Log'!$A:$A,$A370,'Error Log'!$J:$J,E$1)</f>
        <v>0</v>
      </c>
      <c r="F370" s="70">
        <f>COUNTIFS('Error Log'!$A:$A,$A370,'Error Log'!$J:$J,F$1)</f>
        <v>0</v>
      </c>
      <c r="G370" s="70">
        <f>COUNTIFS('Error Log'!$A:$A,$A370,'Error Log'!$J:$J,G$1)</f>
        <v>0</v>
      </c>
      <c r="H370" s="70">
        <f>COUNTIFS('Error Log'!$A:$A,$A370,'Error Log'!$F:$F,"Source")</f>
        <v>0</v>
      </c>
      <c r="I370" s="70">
        <f>COUNTIFS('Error Log'!$A:$A,$A370,'Error Log'!$F:$F,"Target")</f>
        <v>0</v>
      </c>
      <c r="J370" s="71">
        <f t="shared" si="5"/>
        <v>0</v>
      </c>
    </row>
    <row r="371" spans="1:10">
      <c r="A371" s="101"/>
      <c r="B371" s="70" t="str">
        <f>IF(ISBLANK(A371),"",INDEX('Error Log'!$A:$J,MATCH('Scores per segment'!$A371,'Error Log'!$A:$A,0),MATCH('Scores per segment'!B$1,'Error Log'!$A$1:$J$1,0)))</f>
        <v/>
      </c>
      <c r="C371" s="70" t="str">
        <f>IF(ISBLANK(A371),"",INDEX('Error Log'!$A:$J,MATCH('Scores per segment'!$A371,'Error Log'!$A:$A,0),MATCH('Scores per segment'!C$1,'Error Log'!$A$1:$J$1,0)))</f>
        <v/>
      </c>
      <c r="D371" s="70">
        <f>IF(H371=0,wdct(TRIM(C371)),0)</f>
        <v>0</v>
      </c>
      <c r="E371" s="70">
        <f>COUNTIFS('Error Log'!$A:$A,$A371,'Error Log'!$J:$J,E$1)</f>
        <v>0</v>
      </c>
      <c r="F371" s="70">
        <f>COUNTIFS('Error Log'!$A:$A,$A371,'Error Log'!$J:$J,F$1)</f>
        <v>0</v>
      </c>
      <c r="G371" s="70">
        <f>COUNTIFS('Error Log'!$A:$A,$A371,'Error Log'!$J:$J,G$1)</f>
        <v>0</v>
      </c>
      <c r="H371" s="70">
        <f>COUNTIFS('Error Log'!$A:$A,$A371,'Error Log'!$F:$F,"Source")</f>
        <v>0</v>
      </c>
      <c r="I371" s="70">
        <f>COUNTIFS('Error Log'!$A:$A,$A371,'Error Log'!$F:$F,"Target")</f>
        <v>0</v>
      </c>
      <c r="J371" s="71">
        <f t="shared" si="5"/>
        <v>0</v>
      </c>
    </row>
    <row r="372" spans="1:10">
      <c r="A372" s="101"/>
      <c r="B372" s="70" t="str">
        <f>IF(ISBLANK(A372),"",INDEX('Error Log'!$A:$J,MATCH('Scores per segment'!$A372,'Error Log'!$A:$A,0),MATCH('Scores per segment'!B$1,'Error Log'!$A$1:$J$1,0)))</f>
        <v/>
      </c>
      <c r="C372" s="70" t="str">
        <f>IF(ISBLANK(A372),"",INDEX('Error Log'!$A:$J,MATCH('Scores per segment'!$A372,'Error Log'!$A:$A,0),MATCH('Scores per segment'!C$1,'Error Log'!$A$1:$J$1,0)))</f>
        <v/>
      </c>
      <c r="D372" s="70">
        <f>IF(H372=0,wdct(TRIM(C372)),0)</f>
        <v>0</v>
      </c>
      <c r="E372" s="70">
        <f>COUNTIFS('Error Log'!$A:$A,$A372,'Error Log'!$J:$J,E$1)</f>
        <v>0</v>
      </c>
      <c r="F372" s="70">
        <f>COUNTIFS('Error Log'!$A:$A,$A372,'Error Log'!$J:$J,F$1)</f>
        <v>0</v>
      </c>
      <c r="G372" s="70">
        <f>COUNTIFS('Error Log'!$A:$A,$A372,'Error Log'!$J:$J,G$1)</f>
        <v>0</v>
      </c>
      <c r="H372" s="70">
        <f>COUNTIFS('Error Log'!$A:$A,$A372,'Error Log'!$F:$F,"Source")</f>
        <v>0</v>
      </c>
      <c r="I372" s="70">
        <f>COUNTIFS('Error Log'!$A:$A,$A372,'Error Log'!$F:$F,"Target")</f>
        <v>0</v>
      </c>
      <c r="J372" s="71">
        <f t="shared" si="5"/>
        <v>0</v>
      </c>
    </row>
    <row r="373" spans="1:10">
      <c r="A373" s="101"/>
      <c r="B373" s="70" t="str">
        <f>IF(ISBLANK(A373),"",INDEX('Error Log'!$A:$J,MATCH('Scores per segment'!$A373,'Error Log'!$A:$A,0),MATCH('Scores per segment'!B$1,'Error Log'!$A$1:$J$1,0)))</f>
        <v/>
      </c>
      <c r="C373" s="70" t="str">
        <f>IF(ISBLANK(A373),"",INDEX('Error Log'!$A:$J,MATCH('Scores per segment'!$A373,'Error Log'!$A:$A,0),MATCH('Scores per segment'!C$1,'Error Log'!$A$1:$J$1,0)))</f>
        <v/>
      </c>
      <c r="D373" s="70">
        <f>IF(H373=0,wdct(TRIM(C373)),0)</f>
        <v>0</v>
      </c>
      <c r="E373" s="70">
        <f>COUNTIFS('Error Log'!$A:$A,$A373,'Error Log'!$J:$J,E$1)</f>
        <v>0</v>
      </c>
      <c r="F373" s="70">
        <f>COUNTIFS('Error Log'!$A:$A,$A373,'Error Log'!$J:$J,F$1)</f>
        <v>0</v>
      </c>
      <c r="G373" s="70">
        <f>COUNTIFS('Error Log'!$A:$A,$A373,'Error Log'!$J:$J,G$1)</f>
        <v>0</v>
      </c>
      <c r="H373" s="70">
        <f>COUNTIFS('Error Log'!$A:$A,$A373,'Error Log'!$F:$F,"Source")</f>
        <v>0</v>
      </c>
      <c r="I373" s="70">
        <f>COUNTIFS('Error Log'!$A:$A,$A373,'Error Log'!$F:$F,"Target")</f>
        <v>0</v>
      </c>
      <c r="J373" s="71">
        <f t="shared" si="5"/>
        <v>0</v>
      </c>
    </row>
    <row r="374" spans="1:10">
      <c r="A374" s="101"/>
      <c r="B374" s="70" t="str">
        <f>IF(ISBLANK(A374),"",INDEX('Error Log'!$A:$J,MATCH('Scores per segment'!$A374,'Error Log'!$A:$A,0),MATCH('Scores per segment'!B$1,'Error Log'!$A$1:$J$1,0)))</f>
        <v/>
      </c>
      <c r="C374" s="70" t="str">
        <f>IF(ISBLANK(A374),"",INDEX('Error Log'!$A:$J,MATCH('Scores per segment'!$A374,'Error Log'!$A:$A,0),MATCH('Scores per segment'!C$1,'Error Log'!$A$1:$J$1,0)))</f>
        <v/>
      </c>
      <c r="D374" s="70">
        <f>IF(H374=0,wdct(TRIM(C374)),0)</f>
        <v>0</v>
      </c>
      <c r="E374" s="70">
        <f>COUNTIFS('Error Log'!$A:$A,$A374,'Error Log'!$J:$J,E$1)</f>
        <v>0</v>
      </c>
      <c r="F374" s="70">
        <f>COUNTIFS('Error Log'!$A:$A,$A374,'Error Log'!$J:$J,F$1)</f>
        <v>0</v>
      </c>
      <c r="G374" s="70">
        <f>COUNTIFS('Error Log'!$A:$A,$A374,'Error Log'!$J:$J,G$1)</f>
        <v>0</v>
      </c>
      <c r="H374" s="70">
        <f>COUNTIFS('Error Log'!$A:$A,$A374,'Error Log'!$F:$F,"Source")</f>
        <v>0</v>
      </c>
      <c r="I374" s="70">
        <f>COUNTIFS('Error Log'!$A:$A,$A374,'Error Log'!$F:$F,"Target")</f>
        <v>0</v>
      </c>
      <c r="J374" s="71">
        <f t="shared" si="5"/>
        <v>0</v>
      </c>
    </row>
    <row r="375" spans="1:10">
      <c r="A375" s="101"/>
      <c r="B375" s="70" t="str">
        <f>IF(ISBLANK(A375),"",INDEX('Error Log'!$A:$J,MATCH('Scores per segment'!$A375,'Error Log'!$A:$A,0),MATCH('Scores per segment'!B$1,'Error Log'!$A$1:$J$1,0)))</f>
        <v/>
      </c>
      <c r="C375" s="70" t="str">
        <f>IF(ISBLANK(A375),"",INDEX('Error Log'!$A:$J,MATCH('Scores per segment'!$A375,'Error Log'!$A:$A,0),MATCH('Scores per segment'!C$1,'Error Log'!$A$1:$J$1,0)))</f>
        <v/>
      </c>
      <c r="D375" s="70">
        <f>IF(H375=0,wdct(TRIM(C375)),0)</f>
        <v>0</v>
      </c>
      <c r="E375" s="70">
        <f>COUNTIFS('Error Log'!$A:$A,$A375,'Error Log'!$J:$J,E$1)</f>
        <v>0</v>
      </c>
      <c r="F375" s="70">
        <f>COUNTIFS('Error Log'!$A:$A,$A375,'Error Log'!$J:$J,F$1)</f>
        <v>0</v>
      </c>
      <c r="G375" s="70">
        <f>COUNTIFS('Error Log'!$A:$A,$A375,'Error Log'!$J:$J,G$1)</f>
        <v>0</v>
      </c>
      <c r="H375" s="70">
        <f>COUNTIFS('Error Log'!$A:$A,$A375,'Error Log'!$F:$F,"Source")</f>
        <v>0</v>
      </c>
      <c r="I375" s="70">
        <f>COUNTIFS('Error Log'!$A:$A,$A375,'Error Log'!$F:$F,"Target")</f>
        <v>0</v>
      </c>
      <c r="J375" s="71">
        <f t="shared" si="5"/>
        <v>0</v>
      </c>
    </row>
    <row r="376" spans="1:10">
      <c r="A376" s="101"/>
      <c r="B376" s="70" t="str">
        <f>IF(ISBLANK(A376),"",INDEX('Error Log'!$A:$J,MATCH('Scores per segment'!$A376,'Error Log'!$A:$A,0),MATCH('Scores per segment'!B$1,'Error Log'!$A$1:$J$1,0)))</f>
        <v/>
      </c>
      <c r="C376" s="70" t="str">
        <f>IF(ISBLANK(A376),"",INDEX('Error Log'!$A:$J,MATCH('Scores per segment'!$A376,'Error Log'!$A:$A,0),MATCH('Scores per segment'!C$1,'Error Log'!$A$1:$J$1,0)))</f>
        <v/>
      </c>
      <c r="D376" s="70">
        <f>IF(H376=0,wdct(TRIM(C376)),0)</f>
        <v>0</v>
      </c>
      <c r="E376" s="70">
        <f>COUNTIFS('Error Log'!$A:$A,$A376,'Error Log'!$J:$J,E$1)</f>
        <v>0</v>
      </c>
      <c r="F376" s="70">
        <f>COUNTIFS('Error Log'!$A:$A,$A376,'Error Log'!$J:$J,F$1)</f>
        <v>0</v>
      </c>
      <c r="G376" s="70">
        <f>COUNTIFS('Error Log'!$A:$A,$A376,'Error Log'!$J:$J,G$1)</f>
        <v>0</v>
      </c>
      <c r="H376" s="70">
        <f>COUNTIFS('Error Log'!$A:$A,$A376,'Error Log'!$F:$F,"Source")</f>
        <v>0</v>
      </c>
      <c r="I376" s="70">
        <f>COUNTIFS('Error Log'!$A:$A,$A376,'Error Log'!$F:$F,"Target")</f>
        <v>0</v>
      </c>
      <c r="J376" s="71">
        <f t="shared" si="5"/>
        <v>0</v>
      </c>
    </row>
    <row r="377" spans="1:10">
      <c r="A377" s="101"/>
      <c r="B377" s="70" t="str">
        <f>IF(ISBLANK(A377),"",INDEX('Error Log'!$A:$J,MATCH('Scores per segment'!$A377,'Error Log'!$A:$A,0),MATCH('Scores per segment'!B$1,'Error Log'!$A$1:$J$1,0)))</f>
        <v/>
      </c>
      <c r="C377" s="70" t="str">
        <f>IF(ISBLANK(A377),"",INDEX('Error Log'!$A:$J,MATCH('Scores per segment'!$A377,'Error Log'!$A:$A,0),MATCH('Scores per segment'!C$1,'Error Log'!$A$1:$J$1,0)))</f>
        <v/>
      </c>
      <c r="D377" s="70">
        <f>IF(H377=0,wdct(TRIM(C377)),0)</f>
        <v>0</v>
      </c>
      <c r="E377" s="70">
        <f>COUNTIFS('Error Log'!$A:$A,$A377,'Error Log'!$J:$J,E$1)</f>
        <v>0</v>
      </c>
      <c r="F377" s="70">
        <f>COUNTIFS('Error Log'!$A:$A,$A377,'Error Log'!$J:$J,F$1)</f>
        <v>0</v>
      </c>
      <c r="G377" s="70">
        <f>COUNTIFS('Error Log'!$A:$A,$A377,'Error Log'!$J:$J,G$1)</f>
        <v>0</v>
      </c>
      <c r="H377" s="70">
        <f>COUNTIFS('Error Log'!$A:$A,$A377,'Error Log'!$F:$F,"Source")</f>
        <v>0</v>
      </c>
      <c r="I377" s="70">
        <f>COUNTIFS('Error Log'!$A:$A,$A377,'Error Log'!$F:$F,"Target")</f>
        <v>0</v>
      </c>
      <c r="J377" s="71">
        <f t="shared" si="5"/>
        <v>0</v>
      </c>
    </row>
    <row r="378" spans="1:10">
      <c r="A378" s="101"/>
      <c r="B378" s="70" t="str">
        <f>IF(ISBLANK(A378),"",INDEX('Error Log'!$A:$J,MATCH('Scores per segment'!$A378,'Error Log'!$A:$A,0),MATCH('Scores per segment'!B$1,'Error Log'!$A$1:$J$1,0)))</f>
        <v/>
      </c>
      <c r="C378" s="70" t="str">
        <f>IF(ISBLANK(A378),"",INDEX('Error Log'!$A:$J,MATCH('Scores per segment'!$A378,'Error Log'!$A:$A,0),MATCH('Scores per segment'!C$1,'Error Log'!$A$1:$J$1,0)))</f>
        <v/>
      </c>
      <c r="D378" s="70">
        <f>IF(H378=0,wdct(TRIM(C378)),0)</f>
        <v>0</v>
      </c>
      <c r="E378" s="70">
        <f>COUNTIFS('Error Log'!$A:$A,$A378,'Error Log'!$J:$J,E$1)</f>
        <v>0</v>
      </c>
      <c r="F378" s="70">
        <f>COUNTIFS('Error Log'!$A:$A,$A378,'Error Log'!$J:$J,F$1)</f>
        <v>0</v>
      </c>
      <c r="G378" s="70">
        <f>COUNTIFS('Error Log'!$A:$A,$A378,'Error Log'!$J:$J,G$1)</f>
        <v>0</v>
      </c>
      <c r="H378" s="70">
        <f>COUNTIFS('Error Log'!$A:$A,$A378,'Error Log'!$F:$F,"Source")</f>
        <v>0</v>
      </c>
      <c r="I378" s="70">
        <f>COUNTIFS('Error Log'!$A:$A,$A378,'Error Log'!$F:$F,"Target")</f>
        <v>0</v>
      </c>
      <c r="J378" s="71">
        <f t="shared" si="5"/>
        <v>0</v>
      </c>
    </row>
    <row r="379" spans="1:10">
      <c r="A379" s="101"/>
      <c r="B379" s="70" t="str">
        <f>IF(ISBLANK(A379),"",INDEX('Error Log'!$A:$J,MATCH('Scores per segment'!$A379,'Error Log'!$A:$A,0),MATCH('Scores per segment'!B$1,'Error Log'!$A$1:$J$1,0)))</f>
        <v/>
      </c>
      <c r="C379" s="70" t="str">
        <f>IF(ISBLANK(A379),"",INDEX('Error Log'!$A:$J,MATCH('Scores per segment'!$A379,'Error Log'!$A:$A,0),MATCH('Scores per segment'!C$1,'Error Log'!$A$1:$J$1,0)))</f>
        <v/>
      </c>
      <c r="D379" s="70">
        <f>IF(H379=0,wdct(TRIM(C379)),0)</f>
        <v>0</v>
      </c>
      <c r="E379" s="70">
        <f>COUNTIFS('Error Log'!$A:$A,$A379,'Error Log'!$J:$J,E$1)</f>
        <v>0</v>
      </c>
      <c r="F379" s="70">
        <f>COUNTIFS('Error Log'!$A:$A,$A379,'Error Log'!$J:$J,F$1)</f>
        <v>0</v>
      </c>
      <c r="G379" s="70">
        <f>COUNTIFS('Error Log'!$A:$A,$A379,'Error Log'!$J:$J,G$1)</f>
        <v>0</v>
      </c>
      <c r="H379" s="70">
        <f>COUNTIFS('Error Log'!$A:$A,$A379,'Error Log'!$F:$F,"Source")</f>
        <v>0</v>
      </c>
      <c r="I379" s="70">
        <f>COUNTIFS('Error Log'!$A:$A,$A379,'Error Log'!$F:$F,"Target")</f>
        <v>0</v>
      </c>
      <c r="J379" s="71">
        <f t="shared" si="5"/>
        <v>0</v>
      </c>
    </row>
    <row r="380" spans="1:10">
      <c r="A380" s="101"/>
      <c r="B380" s="70" t="str">
        <f>IF(ISBLANK(A380),"",INDEX('Error Log'!$A:$J,MATCH('Scores per segment'!$A380,'Error Log'!$A:$A,0),MATCH('Scores per segment'!B$1,'Error Log'!$A$1:$J$1,0)))</f>
        <v/>
      </c>
      <c r="C380" s="70" t="str">
        <f>IF(ISBLANK(A380),"",INDEX('Error Log'!$A:$J,MATCH('Scores per segment'!$A380,'Error Log'!$A:$A,0),MATCH('Scores per segment'!C$1,'Error Log'!$A$1:$J$1,0)))</f>
        <v/>
      </c>
      <c r="D380" s="70">
        <f>IF(H380=0,wdct(TRIM(C380)),0)</f>
        <v>0</v>
      </c>
      <c r="E380" s="70">
        <f>COUNTIFS('Error Log'!$A:$A,$A380,'Error Log'!$J:$J,E$1)</f>
        <v>0</v>
      </c>
      <c r="F380" s="70">
        <f>COUNTIFS('Error Log'!$A:$A,$A380,'Error Log'!$J:$J,F$1)</f>
        <v>0</v>
      </c>
      <c r="G380" s="70">
        <f>COUNTIFS('Error Log'!$A:$A,$A380,'Error Log'!$J:$J,G$1)</f>
        <v>0</v>
      </c>
      <c r="H380" s="70">
        <f>COUNTIFS('Error Log'!$A:$A,$A380,'Error Log'!$F:$F,"Source")</f>
        <v>0</v>
      </c>
      <c r="I380" s="70">
        <f>COUNTIFS('Error Log'!$A:$A,$A380,'Error Log'!$F:$F,"Target")</f>
        <v>0</v>
      </c>
      <c r="J380" s="71">
        <f t="shared" si="5"/>
        <v>0</v>
      </c>
    </row>
    <row r="381" spans="1:10">
      <c r="A381" s="101"/>
      <c r="B381" s="70" t="str">
        <f>IF(ISBLANK(A381),"",INDEX('Error Log'!$A:$J,MATCH('Scores per segment'!$A381,'Error Log'!$A:$A,0),MATCH('Scores per segment'!B$1,'Error Log'!$A$1:$J$1,0)))</f>
        <v/>
      </c>
      <c r="C381" s="70" t="str">
        <f>IF(ISBLANK(A381),"",INDEX('Error Log'!$A:$J,MATCH('Scores per segment'!$A381,'Error Log'!$A:$A,0),MATCH('Scores per segment'!C$1,'Error Log'!$A$1:$J$1,0)))</f>
        <v/>
      </c>
      <c r="D381" s="70">
        <f>IF(H381=0,wdct(TRIM(C381)),0)</f>
        <v>0</v>
      </c>
      <c r="E381" s="70">
        <f>COUNTIFS('Error Log'!$A:$A,$A381,'Error Log'!$J:$J,E$1)</f>
        <v>0</v>
      </c>
      <c r="F381" s="70">
        <f>COUNTIFS('Error Log'!$A:$A,$A381,'Error Log'!$J:$J,F$1)</f>
        <v>0</v>
      </c>
      <c r="G381" s="70">
        <f>COUNTIFS('Error Log'!$A:$A,$A381,'Error Log'!$J:$J,G$1)</f>
        <v>0</v>
      </c>
      <c r="H381" s="70">
        <f>COUNTIFS('Error Log'!$A:$A,$A381,'Error Log'!$F:$F,"Source")</f>
        <v>0</v>
      </c>
      <c r="I381" s="70">
        <f>COUNTIFS('Error Log'!$A:$A,$A381,'Error Log'!$F:$F,"Target")</f>
        <v>0</v>
      </c>
      <c r="J381" s="71">
        <f t="shared" si="5"/>
        <v>0</v>
      </c>
    </row>
    <row r="382" spans="1:10">
      <c r="A382" s="101"/>
      <c r="B382" s="70" t="str">
        <f>IF(ISBLANK(A382),"",INDEX('Error Log'!$A:$J,MATCH('Scores per segment'!$A382,'Error Log'!$A:$A,0),MATCH('Scores per segment'!B$1,'Error Log'!$A$1:$J$1,0)))</f>
        <v/>
      </c>
      <c r="C382" s="70" t="str">
        <f>IF(ISBLANK(A382),"",INDEX('Error Log'!$A:$J,MATCH('Scores per segment'!$A382,'Error Log'!$A:$A,0),MATCH('Scores per segment'!C$1,'Error Log'!$A$1:$J$1,0)))</f>
        <v/>
      </c>
      <c r="D382" s="70">
        <f>IF(H382=0,wdct(TRIM(C382)),0)</f>
        <v>0</v>
      </c>
      <c r="E382" s="70">
        <f>COUNTIFS('Error Log'!$A:$A,$A382,'Error Log'!$J:$J,E$1)</f>
        <v>0</v>
      </c>
      <c r="F382" s="70">
        <f>COUNTIFS('Error Log'!$A:$A,$A382,'Error Log'!$J:$J,F$1)</f>
        <v>0</v>
      </c>
      <c r="G382" s="70">
        <f>COUNTIFS('Error Log'!$A:$A,$A382,'Error Log'!$J:$J,G$1)</f>
        <v>0</v>
      </c>
      <c r="H382" s="70">
        <f>COUNTIFS('Error Log'!$A:$A,$A382,'Error Log'!$F:$F,"Source")</f>
        <v>0</v>
      </c>
      <c r="I382" s="70">
        <f>COUNTIFS('Error Log'!$A:$A,$A382,'Error Log'!$F:$F,"Target")</f>
        <v>0</v>
      </c>
      <c r="J382" s="71">
        <f t="shared" si="5"/>
        <v>0</v>
      </c>
    </row>
    <row r="383" spans="1:10">
      <c r="A383" s="101"/>
      <c r="B383" s="70" t="str">
        <f>IF(ISBLANK(A383),"",INDEX('Error Log'!$A:$J,MATCH('Scores per segment'!$A383,'Error Log'!$A:$A,0),MATCH('Scores per segment'!B$1,'Error Log'!$A$1:$J$1,0)))</f>
        <v/>
      </c>
      <c r="C383" s="70" t="str">
        <f>IF(ISBLANK(A383),"",INDEX('Error Log'!$A:$J,MATCH('Scores per segment'!$A383,'Error Log'!$A:$A,0),MATCH('Scores per segment'!C$1,'Error Log'!$A$1:$J$1,0)))</f>
        <v/>
      </c>
      <c r="D383" s="70">
        <f>IF(H383=0,wdct(TRIM(C383)),0)</f>
        <v>0</v>
      </c>
      <c r="E383" s="70">
        <f>COUNTIFS('Error Log'!$A:$A,$A383,'Error Log'!$J:$J,E$1)</f>
        <v>0</v>
      </c>
      <c r="F383" s="70">
        <f>COUNTIFS('Error Log'!$A:$A,$A383,'Error Log'!$J:$J,F$1)</f>
        <v>0</v>
      </c>
      <c r="G383" s="70">
        <f>COUNTIFS('Error Log'!$A:$A,$A383,'Error Log'!$J:$J,G$1)</f>
        <v>0</v>
      </c>
      <c r="H383" s="70">
        <f>COUNTIFS('Error Log'!$A:$A,$A383,'Error Log'!$F:$F,"Source")</f>
        <v>0</v>
      </c>
      <c r="I383" s="70">
        <f>COUNTIFS('Error Log'!$A:$A,$A383,'Error Log'!$F:$F,"Target")</f>
        <v>0</v>
      </c>
      <c r="J383" s="71">
        <f t="shared" si="5"/>
        <v>0</v>
      </c>
    </row>
    <row r="384" spans="1:10">
      <c r="A384" s="101"/>
      <c r="B384" s="70" t="str">
        <f>IF(ISBLANK(A384),"",INDEX('Error Log'!$A:$J,MATCH('Scores per segment'!$A384,'Error Log'!$A:$A,0),MATCH('Scores per segment'!B$1,'Error Log'!$A$1:$J$1,0)))</f>
        <v/>
      </c>
      <c r="C384" s="70" t="str">
        <f>IF(ISBLANK(A384),"",INDEX('Error Log'!$A:$J,MATCH('Scores per segment'!$A384,'Error Log'!$A:$A,0),MATCH('Scores per segment'!C$1,'Error Log'!$A$1:$J$1,0)))</f>
        <v/>
      </c>
      <c r="D384" s="70">
        <f>IF(H384=0,wdct(TRIM(C384)),0)</f>
        <v>0</v>
      </c>
      <c r="E384" s="70">
        <f>COUNTIFS('Error Log'!$A:$A,$A384,'Error Log'!$J:$J,E$1)</f>
        <v>0</v>
      </c>
      <c r="F384" s="70">
        <f>COUNTIFS('Error Log'!$A:$A,$A384,'Error Log'!$J:$J,F$1)</f>
        <v>0</v>
      </c>
      <c r="G384" s="70">
        <f>COUNTIFS('Error Log'!$A:$A,$A384,'Error Log'!$J:$J,G$1)</f>
        <v>0</v>
      </c>
      <c r="H384" s="70">
        <f>COUNTIFS('Error Log'!$A:$A,$A384,'Error Log'!$F:$F,"Source")</f>
        <v>0</v>
      </c>
      <c r="I384" s="70">
        <f>COUNTIFS('Error Log'!$A:$A,$A384,'Error Log'!$F:$F,"Target")</f>
        <v>0</v>
      </c>
      <c r="J384" s="71">
        <f t="shared" si="5"/>
        <v>0</v>
      </c>
    </row>
    <row r="385" spans="1:10">
      <c r="A385" s="101"/>
      <c r="B385" s="70" t="str">
        <f>IF(ISBLANK(A385),"",INDEX('Error Log'!$A:$J,MATCH('Scores per segment'!$A385,'Error Log'!$A:$A,0),MATCH('Scores per segment'!B$1,'Error Log'!$A$1:$J$1,0)))</f>
        <v/>
      </c>
      <c r="C385" s="70" t="str">
        <f>IF(ISBLANK(A385),"",INDEX('Error Log'!$A:$J,MATCH('Scores per segment'!$A385,'Error Log'!$A:$A,0),MATCH('Scores per segment'!C$1,'Error Log'!$A$1:$J$1,0)))</f>
        <v/>
      </c>
      <c r="D385" s="70">
        <f>IF(H385=0,wdct(TRIM(C385)),0)</f>
        <v>0</v>
      </c>
      <c r="E385" s="70">
        <f>COUNTIFS('Error Log'!$A:$A,$A385,'Error Log'!$J:$J,E$1)</f>
        <v>0</v>
      </c>
      <c r="F385" s="70">
        <f>COUNTIFS('Error Log'!$A:$A,$A385,'Error Log'!$J:$J,F$1)</f>
        <v>0</v>
      </c>
      <c r="G385" s="70">
        <f>COUNTIFS('Error Log'!$A:$A,$A385,'Error Log'!$J:$J,G$1)</f>
        <v>0</v>
      </c>
      <c r="H385" s="70">
        <f>COUNTIFS('Error Log'!$A:$A,$A385,'Error Log'!$F:$F,"Source")</f>
        <v>0</v>
      </c>
      <c r="I385" s="70">
        <f>COUNTIFS('Error Log'!$A:$A,$A385,'Error Log'!$F:$F,"Target")</f>
        <v>0</v>
      </c>
      <c r="J385" s="71">
        <f t="shared" si="5"/>
        <v>0</v>
      </c>
    </row>
    <row r="386" spans="1:10">
      <c r="A386" s="101"/>
      <c r="B386" s="70" t="str">
        <f>IF(ISBLANK(A386),"",INDEX('Error Log'!$A:$J,MATCH('Scores per segment'!$A386,'Error Log'!$A:$A,0),MATCH('Scores per segment'!B$1,'Error Log'!$A$1:$J$1,0)))</f>
        <v/>
      </c>
      <c r="C386" s="70" t="str">
        <f>IF(ISBLANK(A386),"",INDEX('Error Log'!$A:$J,MATCH('Scores per segment'!$A386,'Error Log'!$A:$A,0),MATCH('Scores per segment'!C$1,'Error Log'!$A$1:$J$1,0)))</f>
        <v/>
      </c>
      <c r="D386" s="70">
        <f>IF(H386=0,wdct(TRIM(C386)),0)</f>
        <v>0</v>
      </c>
      <c r="E386" s="70">
        <f>COUNTIFS('Error Log'!$A:$A,$A386,'Error Log'!$J:$J,E$1)</f>
        <v>0</v>
      </c>
      <c r="F386" s="70">
        <f>COUNTIFS('Error Log'!$A:$A,$A386,'Error Log'!$J:$J,F$1)</f>
        <v>0</v>
      </c>
      <c r="G386" s="70">
        <f>COUNTIFS('Error Log'!$A:$A,$A386,'Error Log'!$J:$J,G$1)</f>
        <v>0</v>
      </c>
      <c r="H386" s="70">
        <f>COUNTIFS('Error Log'!$A:$A,$A386,'Error Log'!$F:$F,"Source")</f>
        <v>0</v>
      </c>
      <c r="I386" s="70">
        <f>COUNTIFS('Error Log'!$A:$A,$A386,'Error Log'!$F:$F,"Target")</f>
        <v>0</v>
      </c>
      <c r="J386" s="71">
        <f t="shared" ref="J386:J449" si="6">IF(I386=0,IFERROR((((1-((E386*10+F386*5+G386*1)/D386))*100)+100)/2,0),-150)</f>
        <v>0</v>
      </c>
    </row>
    <row r="387" spans="1:10">
      <c r="A387" s="101"/>
      <c r="B387" s="70" t="str">
        <f>IF(ISBLANK(A387),"",INDEX('Error Log'!$A:$J,MATCH('Scores per segment'!$A387,'Error Log'!$A:$A,0),MATCH('Scores per segment'!B$1,'Error Log'!$A$1:$J$1,0)))</f>
        <v/>
      </c>
      <c r="C387" s="70" t="str">
        <f>IF(ISBLANK(A387),"",INDEX('Error Log'!$A:$J,MATCH('Scores per segment'!$A387,'Error Log'!$A:$A,0),MATCH('Scores per segment'!C$1,'Error Log'!$A$1:$J$1,0)))</f>
        <v/>
      </c>
      <c r="D387" s="70">
        <f>IF(H387=0,wdct(TRIM(C387)),0)</f>
        <v>0</v>
      </c>
      <c r="E387" s="70">
        <f>COUNTIFS('Error Log'!$A:$A,$A387,'Error Log'!$J:$J,E$1)</f>
        <v>0</v>
      </c>
      <c r="F387" s="70">
        <f>COUNTIFS('Error Log'!$A:$A,$A387,'Error Log'!$J:$J,F$1)</f>
        <v>0</v>
      </c>
      <c r="G387" s="70">
        <f>COUNTIFS('Error Log'!$A:$A,$A387,'Error Log'!$J:$J,G$1)</f>
        <v>0</v>
      </c>
      <c r="H387" s="70">
        <f>COUNTIFS('Error Log'!$A:$A,$A387,'Error Log'!$F:$F,"Source")</f>
        <v>0</v>
      </c>
      <c r="I387" s="70">
        <f>COUNTIFS('Error Log'!$A:$A,$A387,'Error Log'!$F:$F,"Target")</f>
        <v>0</v>
      </c>
      <c r="J387" s="71">
        <f t="shared" si="6"/>
        <v>0</v>
      </c>
    </row>
    <row r="388" spans="1:10">
      <c r="A388" s="101"/>
      <c r="B388" s="70" t="str">
        <f>IF(ISBLANK(A388),"",INDEX('Error Log'!$A:$J,MATCH('Scores per segment'!$A388,'Error Log'!$A:$A,0),MATCH('Scores per segment'!B$1,'Error Log'!$A$1:$J$1,0)))</f>
        <v/>
      </c>
      <c r="C388" s="70" t="str">
        <f>IF(ISBLANK(A388),"",INDEX('Error Log'!$A:$J,MATCH('Scores per segment'!$A388,'Error Log'!$A:$A,0),MATCH('Scores per segment'!C$1,'Error Log'!$A$1:$J$1,0)))</f>
        <v/>
      </c>
      <c r="D388" s="70">
        <f>IF(H388=0,wdct(TRIM(C388)),0)</f>
        <v>0</v>
      </c>
      <c r="E388" s="70">
        <f>COUNTIFS('Error Log'!$A:$A,$A388,'Error Log'!$J:$J,E$1)</f>
        <v>0</v>
      </c>
      <c r="F388" s="70">
        <f>COUNTIFS('Error Log'!$A:$A,$A388,'Error Log'!$J:$J,F$1)</f>
        <v>0</v>
      </c>
      <c r="G388" s="70">
        <f>COUNTIFS('Error Log'!$A:$A,$A388,'Error Log'!$J:$J,G$1)</f>
        <v>0</v>
      </c>
      <c r="H388" s="70">
        <f>COUNTIFS('Error Log'!$A:$A,$A388,'Error Log'!$F:$F,"Source")</f>
        <v>0</v>
      </c>
      <c r="I388" s="70">
        <f>COUNTIFS('Error Log'!$A:$A,$A388,'Error Log'!$F:$F,"Target")</f>
        <v>0</v>
      </c>
      <c r="J388" s="71">
        <f t="shared" si="6"/>
        <v>0</v>
      </c>
    </row>
    <row r="389" spans="1:10">
      <c r="A389" s="101"/>
      <c r="B389" s="70" t="str">
        <f>IF(ISBLANK(A389),"",INDEX('Error Log'!$A:$J,MATCH('Scores per segment'!$A389,'Error Log'!$A:$A,0),MATCH('Scores per segment'!B$1,'Error Log'!$A$1:$J$1,0)))</f>
        <v/>
      </c>
      <c r="C389" s="70" t="str">
        <f>IF(ISBLANK(A389),"",INDEX('Error Log'!$A:$J,MATCH('Scores per segment'!$A389,'Error Log'!$A:$A,0),MATCH('Scores per segment'!C$1,'Error Log'!$A$1:$J$1,0)))</f>
        <v/>
      </c>
      <c r="D389" s="70">
        <f>IF(H389=0,wdct(TRIM(C389)),0)</f>
        <v>0</v>
      </c>
      <c r="E389" s="70">
        <f>COUNTIFS('Error Log'!$A:$A,$A389,'Error Log'!$J:$J,E$1)</f>
        <v>0</v>
      </c>
      <c r="F389" s="70">
        <f>COUNTIFS('Error Log'!$A:$A,$A389,'Error Log'!$J:$J,F$1)</f>
        <v>0</v>
      </c>
      <c r="G389" s="70">
        <f>COUNTIFS('Error Log'!$A:$A,$A389,'Error Log'!$J:$J,G$1)</f>
        <v>0</v>
      </c>
      <c r="H389" s="70">
        <f>COUNTIFS('Error Log'!$A:$A,$A389,'Error Log'!$F:$F,"Source")</f>
        <v>0</v>
      </c>
      <c r="I389" s="70">
        <f>COUNTIFS('Error Log'!$A:$A,$A389,'Error Log'!$F:$F,"Target")</f>
        <v>0</v>
      </c>
      <c r="J389" s="71">
        <f t="shared" si="6"/>
        <v>0</v>
      </c>
    </row>
    <row r="390" spans="1:10">
      <c r="A390" s="101"/>
      <c r="B390" s="70" t="str">
        <f>IF(ISBLANK(A390),"",INDEX('Error Log'!$A:$J,MATCH('Scores per segment'!$A390,'Error Log'!$A:$A,0),MATCH('Scores per segment'!B$1,'Error Log'!$A$1:$J$1,0)))</f>
        <v/>
      </c>
      <c r="C390" s="70" t="str">
        <f>IF(ISBLANK(A390),"",INDEX('Error Log'!$A:$J,MATCH('Scores per segment'!$A390,'Error Log'!$A:$A,0),MATCH('Scores per segment'!C$1,'Error Log'!$A$1:$J$1,0)))</f>
        <v/>
      </c>
      <c r="D390" s="70">
        <f>IF(H390=0,wdct(TRIM(C390)),0)</f>
        <v>0</v>
      </c>
      <c r="E390" s="70">
        <f>COUNTIFS('Error Log'!$A:$A,$A390,'Error Log'!$J:$J,E$1)</f>
        <v>0</v>
      </c>
      <c r="F390" s="70">
        <f>COUNTIFS('Error Log'!$A:$A,$A390,'Error Log'!$J:$J,F$1)</f>
        <v>0</v>
      </c>
      <c r="G390" s="70">
        <f>COUNTIFS('Error Log'!$A:$A,$A390,'Error Log'!$J:$J,G$1)</f>
        <v>0</v>
      </c>
      <c r="H390" s="70">
        <f>COUNTIFS('Error Log'!$A:$A,$A390,'Error Log'!$F:$F,"Source")</f>
        <v>0</v>
      </c>
      <c r="I390" s="70">
        <f>COUNTIFS('Error Log'!$A:$A,$A390,'Error Log'!$F:$F,"Target")</f>
        <v>0</v>
      </c>
      <c r="J390" s="71">
        <f t="shared" si="6"/>
        <v>0</v>
      </c>
    </row>
    <row r="391" spans="1:10">
      <c r="A391" s="101"/>
      <c r="B391" s="70" t="str">
        <f>IF(ISBLANK(A391),"",INDEX('Error Log'!$A:$J,MATCH('Scores per segment'!$A391,'Error Log'!$A:$A,0),MATCH('Scores per segment'!B$1,'Error Log'!$A$1:$J$1,0)))</f>
        <v/>
      </c>
      <c r="C391" s="70" t="str">
        <f>IF(ISBLANK(A391),"",INDEX('Error Log'!$A:$J,MATCH('Scores per segment'!$A391,'Error Log'!$A:$A,0),MATCH('Scores per segment'!C$1,'Error Log'!$A$1:$J$1,0)))</f>
        <v/>
      </c>
      <c r="D391" s="70">
        <f>IF(H391=0,wdct(TRIM(C391)),0)</f>
        <v>0</v>
      </c>
      <c r="E391" s="70">
        <f>COUNTIFS('Error Log'!$A:$A,$A391,'Error Log'!$J:$J,E$1)</f>
        <v>0</v>
      </c>
      <c r="F391" s="70">
        <f>COUNTIFS('Error Log'!$A:$A,$A391,'Error Log'!$J:$J,F$1)</f>
        <v>0</v>
      </c>
      <c r="G391" s="70">
        <f>COUNTIFS('Error Log'!$A:$A,$A391,'Error Log'!$J:$J,G$1)</f>
        <v>0</v>
      </c>
      <c r="H391" s="70">
        <f>COUNTIFS('Error Log'!$A:$A,$A391,'Error Log'!$F:$F,"Source")</f>
        <v>0</v>
      </c>
      <c r="I391" s="70">
        <f>COUNTIFS('Error Log'!$A:$A,$A391,'Error Log'!$F:$F,"Target")</f>
        <v>0</v>
      </c>
      <c r="J391" s="71">
        <f t="shared" si="6"/>
        <v>0</v>
      </c>
    </row>
    <row r="392" spans="1:10">
      <c r="A392" s="101"/>
      <c r="B392" s="70" t="str">
        <f>IF(ISBLANK(A392),"",INDEX('Error Log'!$A:$J,MATCH('Scores per segment'!$A392,'Error Log'!$A:$A,0),MATCH('Scores per segment'!B$1,'Error Log'!$A$1:$J$1,0)))</f>
        <v/>
      </c>
      <c r="C392" s="70" t="str">
        <f>IF(ISBLANK(A392),"",INDEX('Error Log'!$A:$J,MATCH('Scores per segment'!$A392,'Error Log'!$A:$A,0),MATCH('Scores per segment'!C$1,'Error Log'!$A$1:$J$1,0)))</f>
        <v/>
      </c>
      <c r="D392" s="70">
        <f>IF(H392=0,wdct(TRIM(C392)),0)</f>
        <v>0</v>
      </c>
      <c r="E392" s="70">
        <f>COUNTIFS('Error Log'!$A:$A,$A392,'Error Log'!$J:$J,E$1)</f>
        <v>0</v>
      </c>
      <c r="F392" s="70">
        <f>COUNTIFS('Error Log'!$A:$A,$A392,'Error Log'!$J:$J,F$1)</f>
        <v>0</v>
      </c>
      <c r="G392" s="70">
        <f>COUNTIFS('Error Log'!$A:$A,$A392,'Error Log'!$J:$J,G$1)</f>
        <v>0</v>
      </c>
      <c r="H392" s="70">
        <f>COUNTIFS('Error Log'!$A:$A,$A392,'Error Log'!$F:$F,"Source")</f>
        <v>0</v>
      </c>
      <c r="I392" s="70">
        <f>COUNTIFS('Error Log'!$A:$A,$A392,'Error Log'!$F:$F,"Target")</f>
        <v>0</v>
      </c>
      <c r="J392" s="71">
        <f t="shared" si="6"/>
        <v>0</v>
      </c>
    </row>
    <row r="393" spans="1:10">
      <c r="A393" s="101"/>
      <c r="B393" s="70" t="str">
        <f>IF(ISBLANK(A393),"",INDEX('Error Log'!$A:$J,MATCH('Scores per segment'!$A393,'Error Log'!$A:$A,0),MATCH('Scores per segment'!B$1,'Error Log'!$A$1:$J$1,0)))</f>
        <v/>
      </c>
      <c r="C393" s="70" t="str">
        <f>IF(ISBLANK(A393),"",INDEX('Error Log'!$A:$J,MATCH('Scores per segment'!$A393,'Error Log'!$A:$A,0),MATCH('Scores per segment'!C$1,'Error Log'!$A$1:$J$1,0)))</f>
        <v/>
      </c>
      <c r="D393" s="70">
        <f>IF(H393=0,wdct(TRIM(C393)),0)</f>
        <v>0</v>
      </c>
      <c r="E393" s="70">
        <f>COUNTIFS('Error Log'!$A:$A,$A393,'Error Log'!$J:$J,E$1)</f>
        <v>0</v>
      </c>
      <c r="F393" s="70">
        <f>COUNTIFS('Error Log'!$A:$A,$A393,'Error Log'!$J:$J,F$1)</f>
        <v>0</v>
      </c>
      <c r="G393" s="70">
        <f>COUNTIFS('Error Log'!$A:$A,$A393,'Error Log'!$J:$J,G$1)</f>
        <v>0</v>
      </c>
      <c r="H393" s="70">
        <f>COUNTIFS('Error Log'!$A:$A,$A393,'Error Log'!$F:$F,"Source")</f>
        <v>0</v>
      </c>
      <c r="I393" s="70">
        <f>COUNTIFS('Error Log'!$A:$A,$A393,'Error Log'!$F:$F,"Target")</f>
        <v>0</v>
      </c>
      <c r="J393" s="71">
        <f t="shared" si="6"/>
        <v>0</v>
      </c>
    </row>
    <row r="394" spans="1:10">
      <c r="A394" s="101"/>
      <c r="B394" s="70" t="str">
        <f>IF(ISBLANK(A394),"",INDEX('Error Log'!$A:$J,MATCH('Scores per segment'!$A394,'Error Log'!$A:$A,0),MATCH('Scores per segment'!B$1,'Error Log'!$A$1:$J$1,0)))</f>
        <v/>
      </c>
      <c r="C394" s="70" t="str">
        <f>IF(ISBLANK(A394),"",INDEX('Error Log'!$A:$J,MATCH('Scores per segment'!$A394,'Error Log'!$A:$A,0),MATCH('Scores per segment'!C$1,'Error Log'!$A$1:$J$1,0)))</f>
        <v/>
      </c>
      <c r="D394" s="70">
        <f>IF(H394=0,wdct(TRIM(C394)),0)</f>
        <v>0</v>
      </c>
      <c r="E394" s="70">
        <f>COUNTIFS('Error Log'!$A:$A,$A394,'Error Log'!$J:$J,E$1)</f>
        <v>0</v>
      </c>
      <c r="F394" s="70">
        <f>COUNTIFS('Error Log'!$A:$A,$A394,'Error Log'!$J:$J,F$1)</f>
        <v>0</v>
      </c>
      <c r="G394" s="70">
        <f>COUNTIFS('Error Log'!$A:$A,$A394,'Error Log'!$J:$J,G$1)</f>
        <v>0</v>
      </c>
      <c r="H394" s="70">
        <f>COUNTIFS('Error Log'!$A:$A,$A394,'Error Log'!$F:$F,"Source")</f>
        <v>0</v>
      </c>
      <c r="I394" s="70">
        <f>COUNTIFS('Error Log'!$A:$A,$A394,'Error Log'!$F:$F,"Target")</f>
        <v>0</v>
      </c>
      <c r="J394" s="71">
        <f t="shared" si="6"/>
        <v>0</v>
      </c>
    </row>
    <row r="395" spans="1:10">
      <c r="A395" s="101"/>
      <c r="B395" s="70" t="str">
        <f>IF(ISBLANK(A395),"",INDEX('Error Log'!$A:$J,MATCH('Scores per segment'!$A395,'Error Log'!$A:$A,0),MATCH('Scores per segment'!B$1,'Error Log'!$A$1:$J$1,0)))</f>
        <v/>
      </c>
      <c r="C395" s="70" t="str">
        <f>IF(ISBLANK(A395),"",INDEX('Error Log'!$A:$J,MATCH('Scores per segment'!$A395,'Error Log'!$A:$A,0),MATCH('Scores per segment'!C$1,'Error Log'!$A$1:$J$1,0)))</f>
        <v/>
      </c>
      <c r="D395" s="70">
        <f>IF(H395=0,wdct(TRIM(C395)),0)</f>
        <v>0</v>
      </c>
      <c r="E395" s="70">
        <f>COUNTIFS('Error Log'!$A:$A,$A395,'Error Log'!$J:$J,E$1)</f>
        <v>0</v>
      </c>
      <c r="F395" s="70">
        <f>COUNTIFS('Error Log'!$A:$A,$A395,'Error Log'!$J:$J,F$1)</f>
        <v>0</v>
      </c>
      <c r="G395" s="70">
        <f>COUNTIFS('Error Log'!$A:$A,$A395,'Error Log'!$J:$J,G$1)</f>
        <v>0</v>
      </c>
      <c r="H395" s="70">
        <f>COUNTIFS('Error Log'!$A:$A,$A395,'Error Log'!$F:$F,"Source")</f>
        <v>0</v>
      </c>
      <c r="I395" s="70">
        <f>COUNTIFS('Error Log'!$A:$A,$A395,'Error Log'!$F:$F,"Target")</f>
        <v>0</v>
      </c>
      <c r="J395" s="71">
        <f t="shared" si="6"/>
        <v>0</v>
      </c>
    </row>
    <row r="396" spans="1:10">
      <c r="A396" s="101"/>
      <c r="B396" s="70" t="str">
        <f>IF(ISBLANK(A396),"",INDEX('Error Log'!$A:$J,MATCH('Scores per segment'!$A396,'Error Log'!$A:$A,0),MATCH('Scores per segment'!B$1,'Error Log'!$A$1:$J$1,0)))</f>
        <v/>
      </c>
      <c r="C396" s="70" t="str">
        <f>IF(ISBLANK(A396),"",INDEX('Error Log'!$A:$J,MATCH('Scores per segment'!$A396,'Error Log'!$A:$A,0),MATCH('Scores per segment'!C$1,'Error Log'!$A$1:$J$1,0)))</f>
        <v/>
      </c>
      <c r="D396" s="70">
        <f>IF(H396=0,wdct(TRIM(C396)),0)</f>
        <v>0</v>
      </c>
      <c r="E396" s="70">
        <f>COUNTIFS('Error Log'!$A:$A,$A396,'Error Log'!$J:$J,E$1)</f>
        <v>0</v>
      </c>
      <c r="F396" s="70">
        <f>COUNTIFS('Error Log'!$A:$A,$A396,'Error Log'!$J:$J,F$1)</f>
        <v>0</v>
      </c>
      <c r="G396" s="70">
        <f>COUNTIFS('Error Log'!$A:$A,$A396,'Error Log'!$J:$J,G$1)</f>
        <v>0</v>
      </c>
      <c r="H396" s="70">
        <f>COUNTIFS('Error Log'!$A:$A,$A396,'Error Log'!$F:$F,"Source")</f>
        <v>0</v>
      </c>
      <c r="I396" s="70">
        <f>COUNTIFS('Error Log'!$A:$A,$A396,'Error Log'!$F:$F,"Target")</f>
        <v>0</v>
      </c>
      <c r="J396" s="71">
        <f t="shared" si="6"/>
        <v>0</v>
      </c>
    </row>
    <row r="397" spans="1:10">
      <c r="A397" s="101"/>
      <c r="B397" s="70" t="str">
        <f>IF(ISBLANK(A397),"",INDEX('Error Log'!$A:$J,MATCH('Scores per segment'!$A397,'Error Log'!$A:$A,0),MATCH('Scores per segment'!B$1,'Error Log'!$A$1:$J$1,0)))</f>
        <v/>
      </c>
      <c r="C397" s="70" t="str">
        <f>IF(ISBLANK(A397),"",INDEX('Error Log'!$A:$J,MATCH('Scores per segment'!$A397,'Error Log'!$A:$A,0),MATCH('Scores per segment'!C$1,'Error Log'!$A$1:$J$1,0)))</f>
        <v/>
      </c>
      <c r="D397" s="70">
        <f>IF(H397=0,wdct(TRIM(C397)),0)</f>
        <v>0</v>
      </c>
      <c r="E397" s="70">
        <f>COUNTIFS('Error Log'!$A:$A,$A397,'Error Log'!$J:$J,E$1)</f>
        <v>0</v>
      </c>
      <c r="F397" s="70">
        <f>COUNTIFS('Error Log'!$A:$A,$A397,'Error Log'!$J:$J,F$1)</f>
        <v>0</v>
      </c>
      <c r="G397" s="70">
        <f>COUNTIFS('Error Log'!$A:$A,$A397,'Error Log'!$J:$J,G$1)</f>
        <v>0</v>
      </c>
      <c r="H397" s="70">
        <f>COUNTIFS('Error Log'!$A:$A,$A397,'Error Log'!$F:$F,"Source")</f>
        <v>0</v>
      </c>
      <c r="I397" s="70">
        <f>COUNTIFS('Error Log'!$A:$A,$A397,'Error Log'!$F:$F,"Target")</f>
        <v>0</v>
      </c>
      <c r="J397" s="71">
        <f t="shared" si="6"/>
        <v>0</v>
      </c>
    </row>
    <row r="398" spans="1:10">
      <c r="A398" s="101"/>
      <c r="B398" s="70" t="str">
        <f>IF(ISBLANK(A398),"",INDEX('Error Log'!$A:$J,MATCH('Scores per segment'!$A398,'Error Log'!$A:$A,0),MATCH('Scores per segment'!B$1,'Error Log'!$A$1:$J$1,0)))</f>
        <v/>
      </c>
      <c r="C398" s="70" t="str">
        <f>IF(ISBLANK(A398),"",INDEX('Error Log'!$A:$J,MATCH('Scores per segment'!$A398,'Error Log'!$A:$A,0),MATCH('Scores per segment'!C$1,'Error Log'!$A$1:$J$1,0)))</f>
        <v/>
      </c>
      <c r="D398" s="70">
        <f>IF(H398=0,wdct(TRIM(C398)),0)</f>
        <v>0</v>
      </c>
      <c r="E398" s="70">
        <f>COUNTIFS('Error Log'!$A:$A,$A398,'Error Log'!$J:$J,E$1)</f>
        <v>0</v>
      </c>
      <c r="F398" s="70">
        <f>COUNTIFS('Error Log'!$A:$A,$A398,'Error Log'!$J:$J,F$1)</f>
        <v>0</v>
      </c>
      <c r="G398" s="70">
        <f>COUNTIFS('Error Log'!$A:$A,$A398,'Error Log'!$J:$J,G$1)</f>
        <v>0</v>
      </c>
      <c r="H398" s="70">
        <f>COUNTIFS('Error Log'!$A:$A,$A398,'Error Log'!$F:$F,"Source")</f>
        <v>0</v>
      </c>
      <c r="I398" s="70">
        <f>COUNTIFS('Error Log'!$A:$A,$A398,'Error Log'!$F:$F,"Target")</f>
        <v>0</v>
      </c>
      <c r="J398" s="71">
        <f t="shared" si="6"/>
        <v>0</v>
      </c>
    </row>
    <row r="399" spans="1:10">
      <c r="A399" s="101"/>
      <c r="B399" s="70" t="str">
        <f>IF(ISBLANK(A399),"",INDEX('Error Log'!$A:$J,MATCH('Scores per segment'!$A399,'Error Log'!$A:$A,0),MATCH('Scores per segment'!B$1,'Error Log'!$A$1:$J$1,0)))</f>
        <v/>
      </c>
      <c r="C399" s="70" t="str">
        <f>IF(ISBLANK(A399),"",INDEX('Error Log'!$A:$J,MATCH('Scores per segment'!$A399,'Error Log'!$A:$A,0),MATCH('Scores per segment'!C$1,'Error Log'!$A$1:$J$1,0)))</f>
        <v/>
      </c>
      <c r="D399" s="70">
        <f>IF(H399=0,wdct(TRIM(C399)),0)</f>
        <v>0</v>
      </c>
      <c r="E399" s="70">
        <f>COUNTIFS('Error Log'!$A:$A,$A399,'Error Log'!$J:$J,E$1)</f>
        <v>0</v>
      </c>
      <c r="F399" s="70">
        <f>COUNTIFS('Error Log'!$A:$A,$A399,'Error Log'!$J:$J,F$1)</f>
        <v>0</v>
      </c>
      <c r="G399" s="70">
        <f>COUNTIFS('Error Log'!$A:$A,$A399,'Error Log'!$J:$J,G$1)</f>
        <v>0</v>
      </c>
      <c r="H399" s="70">
        <f>COUNTIFS('Error Log'!$A:$A,$A399,'Error Log'!$F:$F,"Source")</f>
        <v>0</v>
      </c>
      <c r="I399" s="70">
        <f>COUNTIFS('Error Log'!$A:$A,$A399,'Error Log'!$F:$F,"Target")</f>
        <v>0</v>
      </c>
      <c r="J399" s="71">
        <f t="shared" si="6"/>
        <v>0</v>
      </c>
    </row>
    <row r="400" spans="1:10">
      <c r="A400" s="101"/>
      <c r="B400" s="70" t="str">
        <f>IF(ISBLANK(A400),"",INDEX('Error Log'!$A:$J,MATCH('Scores per segment'!$A400,'Error Log'!$A:$A,0),MATCH('Scores per segment'!B$1,'Error Log'!$A$1:$J$1,0)))</f>
        <v/>
      </c>
      <c r="C400" s="70" t="str">
        <f>IF(ISBLANK(A400),"",INDEX('Error Log'!$A:$J,MATCH('Scores per segment'!$A400,'Error Log'!$A:$A,0),MATCH('Scores per segment'!C$1,'Error Log'!$A$1:$J$1,0)))</f>
        <v/>
      </c>
      <c r="D400" s="70">
        <f>IF(H400=0,wdct(TRIM(C400)),0)</f>
        <v>0</v>
      </c>
      <c r="E400" s="70">
        <f>COUNTIFS('Error Log'!$A:$A,$A400,'Error Log'!$J:$J,E$1)</f>
        <v>0</v>
      </c>
      <c r="F400" s="70">
        <f>COUNTIFS('Error Log'!$A:$A,$A400,'Error Log'!$J:$J,F$1)</f>
        <v>0</v>
      </c>
      <c r="G400" s="70">
        <f>COUNTIFS('Error Log'!$A:$A,$A400,'Error Log'!$J:$J,G$1)</f>
        <v>0</v>
      </c>
      <c r="H400" s="70">
        <f>COUNTIFS('Error Log'!$A:$A,$A400,'Error Log'!$F:$F,"Source")</f>
        <v>0</v>
      </c>
      <c r="I400" s="70">
        <f>COUNTIFS('Error Log'!$A:$A,$A400,'Error Log'!$F:$F,"Target")</f>
        <v>0</v>
      </c>
      <c r="J400" s="71">
        <f t="shared" si="6"/>
        <v>0</v>
      </c>
    </row>
    <row r="401" spans="1:10">
      <c r="A401" s="101"/>
      <c r="B401" s="70" t="str">
        <f>IF(ISBLANK(A401),"",INDEX('Error Log'!$A:$J,MATCH('Scores per segment'!$A401,'Error Log'!$A:$A,0),MATCH('Scores per segment'!B$1,'Error Log'!$A$1:$J$1,0)))</f>
        <v/>
      </c>
      <c r="C401" s="70" t="str">
        <f>IF(ISBLANK(A401),"",INDEX('Error Log'!$A:$J,MATCH('Scores per segment'!$A401,'Error Log'!$A:$A,0),MATCH('Scores per segment'!C$1,'Error Log'!$A$1:$J$1,0)))</f>
        <v/>
      </c>
      <c r="D401" s="70">
        <f>IF(H401=0,wdct(TRIM(C401)),0)</f>
        <v>0</v>
      </c>
      <c r="E401" s="70">
        <f>COUNTIFS('Error Log'!$A:$A,$A401,'Error Log'!$J:$J,E$1)</f>
        <v>0</v>
      </c>
      <c r="F401" s="70">
        <f>COUNTIFS('Error Log'!$A:$A,$A401,'Error Log'!$J:$J,F$1)</f>
        <v>0</v>
      </c>
      <c r="G401" s="70">
        <f>COUNTIFS('Error Log'!$A:$A,$A401,'Error Log'!$J:$J,G$1)</f>
        <v>0</v>
      </c>
      <c r="H401" s="70">
        <f>COUNTIFS('Error Log'!$A:$A,$A401,'Error Log'!$F:$F,"Source")</f>
        <v>0</v>
      </c>
      <c r="I401" s="70">
        <f>COUNTIFS('Error Log'!$A:$A,$A401,'Error Log'!$F:$F,"Target")</f>
        <v>0</v>
      </c>
      <c r="J401" s="71">
        <f t="shared" si="6"/>
        <v>0</v>
      </c>
    </row>
    <row r="402" spans="1:10">
      <c r="A402" s="101"/>
      <c r="B402" s="70" t="str">
        <f>IF(ISBLANK(A402),"",INDEX('Error Log'!$A:$J,MATCH('Scores per segment'!$A402,'Error Log'!$A:$A,0),MATCH('Scores per segment'!B$1,'Error Log'!$A$1:$J$1,0)))</f>
        <v/>
      </c>
      <c r="C402" s="70" t="str">
        <f>IF(ISBLANK(A402),"",INDEX('Error Log'!$A:$J,MATCH('Scores per segment'!$A402,'Error Log'!$A:$A,0),MATCH('Scores per segment'!C$1,'Error Log'!$A$1:$J$1,0)))</f>
        <v/>
      </c>
      <c r="D402" s="70">
        <f>IF(H402=0,wdct(TRIM(C402)),0)</f>
        <v>0</v>
      </c>
      <c r="E402" s="70">
        <f>COUNTIFS('Error Log'!$A:$A,$A402,'Error Log'!$J:$J,E$1)</f>
        <v>0</v>
      </c>
      <c r="F402" s="70">
        <f>COUNTIFS('Error Log'!$A:$A,$A402,'Error Log'!$J:$J,F$1)</f>
        <v>0</v>
      </c>
      <c r="G402" s="70">
        <f>COUNTIFS('Error Log'!$A:$A,$A402,'Error Log'!$J:$J,G$1)</f>
        <v>0</v>
      </c>
      <c r="H402" s="70">
        <f>COUNTIFS('Error Log'!$A:$A,$A402,'Error Log'!$F:$F,"Source")</f>
        <v>0</v>
      </c>
      <c r="I402" s="70">
        <f>COUNTIFS('Error Log'!$A:$A,$A402,'Error Log'!$F:$F,"Target")</f>
        <v>0</v>
      </c>
      <c r="J402" s="71">
        <f t="shared" si="6"/>
        <v>0</v>
      </c>
    </row>
    <row r="403" spans="1:10">
      <c r="A403" s="101"/>
      <c r="B403" s="70" t="str">
        <f>IF(ISBLANK(A403),"",INDEX('Error Log'!$A:$J,MATCH('Scores per segment'!$A403,'Error Log'!$A:$A,0),MATCH('Scores per segment'!B$1,'Error Log'!$A$1:$J$1,0)))</f>
        <v/>
      </c>
      <c r="C403" s="70" t="str">
        <f>IF(ISBLANK(A403),"",INDEX('Error Log'!$A:$J,MATCH('Scores per segment'!$A403,'Error Log'!$A:$A,0),MATCH('Scores per segment'!C$1,'Error Log'!$A$1:$J$1,0)))</f>
        <v/>
      </c>
      <c r="D403" s="70">
        <f>IF(H403=0,wdct(TRIM(C403)),0)</f>
        <v>0</v>
      </c>
      <c r="E403" s="70">
        <f>COUNTIFS('Error Log'!$A:$A,$A403,'Error Log'!$J:$J,E$1)</f>
        <v>0</v>
      </c>
      <c r="F403" s="70">
        <f>COUNTIFS('Error Log'!$A:$A,$A403,'Error Log'!$J:$J,F$1)</f>
        <v>0</v>
      </c>
      <c r="G403" s="70">
        <f>COUNTIFS('Error Log'!$A:$A,$A403,'Error Log'!$J:$J,G$1)</f>
        <v>0</v>
      </c>
      <c r="H403" s="70">
        <f>COUNTIFS('Error Log'!$A:$A,$A403,'Error Log'!$F:$F,"Source")</f>
        <v>0</v>
      </c>
      <c r="I403" s="70">
        <f>COUNTIFS('Error Log'!$A:$A,$A403,'Error Log'!$F:$F,"Target")</f>
        <v>0</v>
      </c>
      <c r="J403" s="71">
        <f t="shared" si="6"/>
        <v>0</v>
      </c>
    </row>
    <row r="404" spans="1:10">
      <c r="A404" s="101"/>
      <c r="B404" s="70" t="str">
        <f>IF(ISBLANK(A404),"",INDEX('Error Log'!$A:$J,MATCH('Scores per segment'!$A404,'Error Log'!$A:$A,0),MATCH('Scores per segment'!B$1,'Error Log'!$A$1:$J$1,0)))</f>
        <v/>
      </c>
      <c r="C404" s="70" t="str">
        <f>IF(ISBLANK(A404),"",INDEX('Error Log'!$A:$J,MATCH('Scores per segment'!$A404,'Error Log'!$A:$A,0),MATCH('Scores per segment'!C$1,'Error Log'!$A$1:$J$1,0)))</f>
        <v/>
      </c>
      <c r="D404" s="70">
        <f>IF(H404=0,wdct(TRIM(C404)),0)</f>
        <v>0</v>
      </c>
      <c r="E404" s="70">
        <f>COUNTIFS('Error Log'!$A:$A,$A404,'Error Log'!$J:$J,E$1)</f>
        <v>0</v>
      </c>
      <c r="F404" s="70">
        <f>COUNTIFS('Error Log'!$A:$A,$A404,'Error Log'!$J:$J,F$1)</f>
        <v>0</v>
      </c>
      <c r="G404" s="70">
        <f>COUNTIFS('Error Log'!$A:$A,$A404,'Error Log'!$J:$J,G$1)</f>
        <v>0</v>
      </c>
      <c r="H404" s="70">
        <f>COUNTIFS('Error Log'!$A:$A,$A404,'Error Log'!$F:$F,"Source")</f>
        <v>0</v>
      </c>
      <c r="I404" s="70">
        <f>COUNTIFS('Error Log'!$A:$A,$A404,'Error Log'!$F:$F,"Target")</f>
        <v>0</v>
      </c>
      <c r="J404" s="71">
        <f t="shared" si="6"/>
        <v>0</v>
      </c>
    </row>
    <row r="405" spans="1:10">
      <c r="A405" s="101"/>
      <c r="B405" s="70" t="str">
        <f>IF(ISBLANK(A405),"",INDEX('Error Log'!$A:$J,MATCH('Scores per segment'!$A405,'Error Log'!$A:$A,0),MATCH('Scores per segment'!B$1,'Error Log'!$A$1:$J$1,0)))</f>
        <v/>
      </c>
      <c r="C405" s="70" t="str">
        <f>IF(ISBLANK(A405),"",INDEX('Error Log'!$A:$J,MATCH('Scores per segment'!$A405,'Error Log'!$A:$A,0),MATCH('Scores per segment'!C$1,'Error Log'!$A$1:$J$1,0)))</f>
        <v/>
      </c>
      <c r="D405" s="70">
        <f>IF(H405=0,wdct(TRIM(C405)),0)</f>
        <v>0</v>
      </c>
      <c r="E405" s="70">
        <f>COUNTIFS('Error Log'!$A:$A,$A405,'Error Log'!$J:$J,E$1)</f>
        <v>0</v>
      </c>
      <c r="F405" s="70">
        <f>COUNTIFS('Error Log'!$A:$A,$A405,'Error Log'!$J:$J,F$1)</f>
        <v>0</v>
      </c>
      <c r="G405" s="70">
        <f>COUNTIFS('Error Log'!$A:$A,$A405,'Error Log'!$J:$J,G$1)</f>
        <v>0</v>
      </c>
      <c r="H405" s="70">
        <f>COUNTIFS('Error Log'!$A:$A,$A405,'Error Log'!$F:$F,"Source")</f>
        <v>0</v>
      </c>
      <c r="I405" s="70">
        <f>COUNTIFS('Error Log'!$A:$A,$A405,'Error Log'!$F:$F,"Target")</f>
        <v>0</v>
      </c>
      <c r="J405" s="71">
        <f t="shared" si="6"/>
        <v>0</v>
      </c>
    </row>
    <row r="406" spans="1:10">
      <c r="A406" s="101"/>
      <c r="B406" s="70" t="str">
        <f>IF(ISBLANK(A406),"",INDEX('Error Log'!$A:$J,MATCH('Scores per segment'!$A406,'Error Log'!$A:$A,0),MATCH('Scores per segment'!B$1,'Error Log'!$A$1:$J$1,0)))</f>
        <v/>
      </c>
      <c r="C406" s="70" t="str">
        <f>IF(ISBLANK(A406),"",INDEX('Error Log'!$A:$J,MATCH('Scores per segment'!$A406,'Error Log'!$A:$A,0),MATCH('Scores per segment'!C$1,'Error Log'!$A$1:$J$1,0)))</f>
        <v/>
      </c>
      <c r="D406" s="70">
        <f>IF(H406=0,wdct(TRIM(C406)),0)</f>
        <v>0</v>
      </c>
      <c r="E406" s="70">
        <f>COUNTIFS('Error Log'!$A:$A,$A406,'Error Log'!$J:$J,E$1)</f>
        <v>0</v>
      </c>
      <c r="F406" s="70">
        <f>COUNTIFS('Error Log'!$A:$A,$A406,'Error Log'!$J:$J,F$1)</f>
        <v>0</v>
      </c>
      <c r="G406" s="70">
        <f>COUNTIFS('Error Log'!$A:$A,$A406,'Error Log'!$J:$J,G$1)</f>
        <v>0</v>
      </c>
      <c r="H406" s="70">
        <f>COUNTIFS('Error Log'!$A:$A,$A406,'Error Log'!$F:$F,"Source")</f>
        <v>0</v>
      </c>
      <c r="I406" s="70">
        <f>COUNTIFS('Error Log'!$A:$A,$A406,'Error Log'!$F:$F,"Target")</f>
        <v>0</v>
      </c>
      <c r="J406" s="71">
        <f t="shared" si="6"/>
        <v>0</v>
      </c>
    </row>
    <row r="407" spans="1:10">
      <c r="A407" s="101"/>
      <c r="B407" s="70" t="str">
        <f>IF(ISBLANK(A407),"",INDEX('Error Log'!$A:$J,MATCH('Scores per segment'!$A407,'Error Log'!$A:$A,0),MATCH('Scores per segment'!B$1,'Error Log'!$A$1:$J$1,0)))</f>
        <v/>
      </c>
      <c r="C407" s="70" t="str">
        <f>IF(ISBLANK(A407),"",INDEX('Error Log'!$A:$J,MATCH('Scores per segment'!$A407,'Error Log'!$A:$A,0),MATCH('Scores per segment'!C$1,'Error Log'!$A$1:$J$1,0)))</f>
        <v/>
      </c>
      <c r="D407" s="70">
        <f>IF(H407=0,wdct(TRIM(C407)),0)</f>
        <v>0</v>
      </c>
      <c r="E407" s="70">
        <f>COUNTIFS('Error Log'!$A:$A,$A407,'Error Log'!$J:$J,E$1)</f>
        <v>0</v>
      </c>
      <c r="F407" s="70">
        <f>COUNTIFS('Error Log'!$A:$A,$A407,'Error Log'!$J:$J,F$1)</f>
        <v>0</v>
      </c>
      <c r="G407" s="70">
        <f>COUNTIFS('Error Log'!$A:$A,$A407,'Error Log'!$J:$J,G$1)</f>
        <v>0</v>
      </c>
      <c r="H407" s="70">
        <f>COUNTIFS('Error Log'!$A:$A,$A407,'Error Log'!$F:$F,"Source")</f>
        <v>0</v>
      </c>
      <c r="I407" s="70">
        <f>COUNTIFS('Error Log'!$A:$A,$A407,'Error Log'!$F:$F,"Target")</f>
        <v>0</v>
      </c>
      <c r="J407" s="71">
        <f t="shared" si="6"/>
        <v>0</v>
      </c>
    </row>
    <row r="408" spans="1:10">
      <c r="A408" s="101"/>
      <c r="B408" s="70" t="str">
        <f>IF(ISBLANK(A408),"",INDEX('Error Log'!$A:$J,MATCH('Scores per segment'!$A408,'Error Log'!$A:$A,0),MATCH('Scores per segment'!B$1,'Error Log'!$A$1:$J$1,0)))</f>
        <v/>
      </c>
      <c r="C408" s="70" t="str">
        <f>IF(ISBLANK(A408),"",INDEX('Error Log'!$A:$J,MATCH('Scores per segment'!$A408,'Error Log'!$A:$A,0),MATCH('Scores per segment'!C$1,'Error Log'!$A$1:$J$1,0)))</f>
        <v/>
      </c>
      <c r="D408" s="70">
        <f>IF(H408=0,wdct(TRIM(C408)),0)</f>
        <v>0</v>
      </c>
      <c r="E408" s="70">
        <f>COUNTIFS('Error Log'!$A:$A,$A408,'Error Log'!$J:$J,E$1)</f>
        <v>0</v>
      </c>
      <c r="F408" s="70">
        <f>COUNTIFS('Error Log'!$A:$A,$A408,'Error Log'!$J:$J,F$1)</f>
        <v>0</v>
      </c>
      <c r="G408" s="70">
        <f>COUNTIFS('Error Log'!$A:$A,$A408,'Error Log'!$J:$J,G$1)</f>
        <v>0</v>
      </c>
      <c r="H408" s="70">
        <f>COUNTIFS('Error Log'!$A:$A,$A408,'Error Log'!$F:$F,"Source")</f>
        <v>0</v>
      </c>
      <c r="I408" s="70">
        <f>COUNTIFS('Error Log'!$A:$A,$A408,'Error Log'!$F:$F,"Target")</f>
        <v>0</v>
      </c>
      <c r="J408" s="71">
        <f t="shared" si="6"/>
        <v>0</v>
      </c>
    </row>
    <row r="409" spans="1:10">
      <c r="A409" s="101"/>
      <c r="B409" s="70" t="str">
        <f>IF(ISBLANK(A409),"",INDEX('Error Log'!$A:$J,MATCH('Scores per segment'!$A409,'Error Log'!$A:$A,0),MATCH('Scores per segment'!B$1,'Error Log'!$A$1:$J$1,0)))</f>
        <v/>
      </c>
      <c r="C409" s="70" t="str">
        <f>IF(ISBLANK(A409),"",INDEX('Error Log'!$A:$J,MATCH('Scores per segment'!$A409,'Error Log'!$A:$A,0),MATCH('Scores per segment'!C$1,'Error Log'!$A$1:$J$1,0)))</f>
        <v/>
      </c>
      <c r="D409" s="70">
        <f>IF(H409=0,wdct(TRIM(C409)),0)</f>
        <v>0</v>
      </c>
      <c r="E409" s="70">
        <f>COUNTIFS('Error Log'!$A:$A,$A409,'Error Log'!$J:$J,E$1)</f>
        <v>0</v>
      </c>
      <c r="F409" s="70">
        <f>COUNTIFS('Error Log'!$A:$A,$A409,'Error Log'!$J:$J,F$1)</f>
        <v>0</v>
      </c>
      <c r="G409" s="70">
        <f>COUNTIFS('Error Log'!$A:$A,$A409,'Error Log'!$J:$J,G$1)</f>
        <v>0</v>
      </c>
      <c r="H409" s="70">
        <f>COUNTIFS('Error Log'!$A:$A,$A409,'Error Log'!$F:$F,"Source")</f>
        <v>0</v>
      </c>
      <c r="I409" s="70">
        <f>COUNTIFS('Error Log'!$A:$A,$A409,'Error Log'!$F:$F,"Target")</f>
        <v>0</v>
      </c>
      <c r="J409" s="71">
        <f t="shared" si="6"/>
        <v>0</v>
      </c>
    </row>
    <row r="410" spans="1:10">
      <c r="A410" s="101"/>
      <c r="B410" s="70" t="str">
        <f>IF(ISBLANK(A410),"",INDEX('Error Log'!$A:$J,MATCH('Scores per segment'!$A410,'Error Log'!$A:$A,0),MATCH('Scores per segment'!B$1,'Error Log'!$A$1:$J$1,0)))</f>
        <v/>
      </c>
      <c r="C410" s="70" t="str">
        <f>IF(ISBLANK(A410),"",INDEX('Error Log'!$A:$J,MATCH('Scores per segment'!$A410,'Error Log'!$A:$A,0),MATCH('Scores per segment'!C$1,'Error Log'!$A$1:$J$1,0)))</f>
        <v/>
      </c>
      <c r="D410" s="70">
        <f>IF(H410=0,wdct(TRIM(C410)),0)</f>
        <v>0</v>
      </c>
      <c r="E410" s="70">
        <f>COUNTIFS('Error Log'!$A:$A,$A410,'Error Log'!$J:$J,E$1)</f>
        <v>0</v>
      </c>
      <c r="F410" s="70">
        <f>COUNTIFS('Error Log'!$A:$A,$A410,'Error Log'!$J:$J,F$1)</f>
        <v>0</v>
      </c>
      <c r="G410" s="70">
        <f>COUNTIFS('Error Log'!$A:$A,$A410,'Error Log'!$J:$J,G$1)</f>
        <v>0</v>
      </c>
      <c r="H410" s="70">
        <f>COUNTIFS('Error Log'!$A:$A,$A410,'Error Log'!$F:$F,"Source")</f>
        <v>0</v>
      </c>
      <c r="I410" s="70">
        <f>COUNTIFS('Error Log'!$A:$A,$A410,'Error Log'!$F:$F,"Target")</f>
        <v>0</v>
      </c>
      <c r="J410" s="71">
        <f t="shared" si="6"/>
        <v>0</v>
      </c>
    </row>
    <row r="411" spans="1:10">
      <c r="A411" s="101"/>
      <c r="B411" s="70" t="str">
        <f>IF(ISBLANK(A411),"",INDEX('Error Log'!$A:$J,MATCH('Scores per segment'!$A411,'Error Log'!$A:$A,0),MATCH('Scores per segment'!B$1,'Error Log'!$A$1:$J$1,0)))</f>
        <v/>
      </c>
      <c r="C411" s="70" t="str">
        <f>IF(ISBLANK(A411),"",INDEX('Error Log'!$A:$J,MATCH('Scores per segment'!$A411,'Error Log'!$A:$A,0),MATCH('Scores per segment'!C$1,'Error Log'!$A$1:$J$1,0)))</f>
        <v/>
      </c>
      <c r="D411" s="70">
        <f>IF(H411=0,wdct(TRIM(C411)),0)</f>
        <v>0</v>
      </c>
      <c r="E411" s="70">
        <f>COUNTIFS('Error Log'!$A:$A,$A411,'Error Log'!$J:$J,E$1)</f>
        <v>0</v>
      </c>
      <c r="F411" s="70">
        <f>COUNTIFS('Error Log'!$A:$A,$A411,'Error Log'!$J:$J,F$1)</f>
        <v>0</v>
      </c>
      <c r="G411" s="70">
        <f>COUNTIFS('Error Log'!$A:$A,$A411,'Error Log'!$J:$J,G$1)</f>
        <v>0</v>
      </c>
      <c r="H411" s="70">
        <f>COUNTIFS('Error Log'!$A:$A,$A411,'Error Log'!$F:$F,"Source")</f>
        <v>0</v>
      </c>
      <c r="I411" s="70">
        <f>COUNTIFS('Error Log'!$A:$A,$A411,'Error Log'!$F:$F,"Target")</f>
        <v>0</v>
      </c>
      <c r="J411" s="71">
        <f t="shared" si="6"/>
        <v>0</v>
      </c>
    </row>
    <row r="412" spans="1:10">
      <c r="A412" s="101"/>
      <c r="B412" s="70" t="str">
        <f>IF(ISBLANK(A412),"",INDEX('Error Log'!$A:$J,MATCH('Scores per segment'!$A412,'Error Log'!$A:$A,0),MATCH('Scores per segment'!B$1,'Error Log'!$A$1:$J$1,0)))</f>
        <v/>
      </c>
      <c r="C412" s="70" t="str">
        <f>IF(ISBLANK(A412),"",INDEX('Error Log'!$A:$J,MATCH('Scores per segment'!$A412,'Error Log'!$A:$A,0),MATCH('Scores per segment'!C$1,'Error Log'!$A$1:$J$1,0)))</f>
        <v/>
      </c>
      <c r="D412" s="70">
        <f>IF(H412=0,wdct(TRIM(C412)),0)</f>
        <v>0</v>
      </c>
      <c r="E412" s="70">
        <f>COUNTIFS('Error Log'!$A:$A,$A412,'Error Log'!$J:$J,E$1)</f>
        <v>0</v>
      </c>
      <c r="F412" s="70">
        <f>COUNTIFS('Error Log'!$A:$A,$A412,'Error Log'!$J:$J,F$1)</f>
        <v>0</v>
      </c>
      <c r="G412" s="70">
        <f>COUNTIFS('Error Log'!$A:$A,$A412,'Error Log'!$J:$J,G$1)</f>
        <v>0</v>
      </c>
      <c r="H412" s="70">
        <f>COUNTIFS('Error Log'!$A:$A,$A412,'Error Log'!$F:$F,"Source")</f>
        <v>0</v>
      </c>
      <c r="I412" s="70">
        <f>COUNTIFS('Error Log'!$A:$A,$A412,'Error Log'!$F:$F,"Target")</f>
        <v>0</v>
      </c>
      <c r="J412" s="71">
        <f t="shared" si="6"/>
        <v>0</v>
      </c>
    </row>
    <row r="413" spans="1:10">
      <c r="A413" s="101"/>
      <c r="B413" s="70" t="str">
        <f>IF(ISBLANK(A413),"",INDEX('Error Log'!$A:$J,MATCH('Scores per segment'!$A413,'Error Log'!$A:$A,0),MATCH('Scores per segment'!B$1,'Error Log'!$A$1:$J$1,0)))</f>
        <v/>
      </c>
      <c r="C413" s="70" t="str">
        <f>IF(ISBLANK(A413),"",INDEX('Error Log'!$A:$J,MATCH('Scores per segment'!$A413,'Error Log'!$A:$A,0),MATCH('Scores per segment'!C$1,'Error Log'!$A$1:$J$1,0)))</f>
        <v/>
      </c>
      <c r="D413" s="70">
        <f>IF(H413=0,wdct(TRIM(C413)),0)</f>
        <v>0</v>
      </c>
      <c r="E413" s="70">
        <f>COUNTIFS('Error Log'!$A:$A,$A413,'Error Log'!$J:$J,E$1)</f>
        <v>0</v>
      </c>
      <c r="F413" s="70">
        <f>COUNTIFS('Error Log'!$A:$A,$A413,'Error Log'!$J:$J,F$1)</f>
        <v>0</v>
      </c>
      <c r="G413" s="70">
        <f>COUNTIFS('Error Log'!$A:$A,$A413,'Error Log'!$J:$J,G$1)</f>
        <v>0</v>
      </c>
      <c r="H413" s="70">
        <f>COUNTIFS('Error Log'!$A:$A,$A413,'Error Log'!$F:$F,"Source")</f>
        <v>0</v>
      </c>
      <c r="I413" s="70">
        <f>COUNTIFS('Error Log'!$A:$A,$A413,'Error Log'!$F:$F,"Target")</f>
        <v>0</v>
      </c>
      <c r="J413" s="71">
        <f t="shared" si="6"/>
        <v>0</v>
      </c>
    </row>
    <row r="414" spans="1:10">
      <c r="A414" s="101"/>
      <c r="B414" s="70" t="str">
        <f>IF(ISBLANK(A414),"",INDEX('Error Log'!$A:$J,MATCH('Scores per segment'!$A414,'Error Log'!$A:$A,0),MATCH('Scores per segment'!B$1,'Error Log'!$A$1:$J$1,0)))</f>
        <v/>
      </c>
      <c r="C414" s="70" t="str">
        <f>IF(ISBLANK(A414),"",INDEX('Error Log'!$A:$J,MATCH('Scores per segment'!$A414,'Error Log'!$A:$A,0),MATCH('Scores per segment'!C$1,'Error Log'!$A$1:$J$1,0)))</f>
        <v/>
      </c>
      <c r="D414" s="70">
        <f>IF(H414=0,wdct(TRIM(C414)),0)</f>
        <v>0</v>
      </c>
      <c r="E414" s="70">
        <f>COUNTIFS('Error Log'!$A:$A,$A414,'Error Log'!$J:$J,E$1)</f>
        <v>0</v>
      </c>
      <c r="F414" s="70">
        <f>COUNTIFS('Error Log'!$A:$A,$A414,'Error Log'!$J:$J,F$1)</f>
        <v>0</v>
      </c>
      <c r="G414" s="70">
        <f>COUNTIFS('Error Log'!$A:$A,$A414,'Error Log'!$J:$J,G$1)</f>
        <v>0</v>
      </c>
      <c r="H414" s="70">
        <f>COUNTIFS('Error Log'!$A:$A,$A414,'Error Log'!$F:$F,"Source")</f>
        <v>0</v>
      </c>
      <c r="I414" s="70">
        <f>COUNTIFS('Error Log'!$A:$A,$A414,'Error Log'!$F:$F,"Target")</f>
        <v>0</v>
      </c>
      <c r="J414" s="71">
        <f t="shared" si="6"/>
        <v>0</v>
      </c>
    </row>
    <row r="415" spans="1:10">
      <c r="A415" s="101"/>
      <c r="B415" s="70" t="str">
        <f>IF(ISBLANK(A415),"",INDEX('Error Log'!$A:$J,MATCH('Scores per segment'!$A415,'Error Log'!$A:$A,0),MATCH('Scores per segment'!B$1,'Error Log'!$A$1:$J$1,0)))</f>
        <v/>
      </c>
      <c r="C415" s="70" t="str">
        <f>IF(ISBLANK(A415),"",INDEX('Error Log'!$A:$J,MATCH('Scores per segment'!$A415,'Error Log'!$A:$A,0),MATCH('Scores per segment'!C$1,'Error Log'!$A$1:$J$1,0)))</f>
        <v/>
      </c>
      <c r="D415" s="70">
        <f>IF(H415=0,wdct(TRIM(C415)),0)</f>
        <v>0</v>
      </c>
      <c r="E415" s="70">
        <f>COUNTIFS('Error Log'!$A:$A,$A415,'Error Log'!$J:$J,E$1)</f>
        <v>0</v>
      </c>
      <c r="F415" s="70">
        <f>COUNTIFS('Error Log'!$A:$A,$A415,'Error Log'!$J:$J,F$1)</f>
        <v>0</v>
      </c>
      <c r="G415" s="70">
        <f>COUNTIFS('Error Log'!$A:$A,$A415,'Error Log'!$J:$J,G$1)</f>
        <v>0</v>
      </c>
      <c r="H415" s="70">
        <f>COUNTIFS('Error Log'!$A:$A,$A415,'Error Log'!$F:$F,"Source")</f>
        <v>0</v>
      </c>
      <c r="I415" s="70">
        <f>COUNTIFS('Error Log'!$A:$A,$A415,'Error Log'!$F:$F,"Target")</f>
        <v>0</v>
      </c>
      <c r="J415" s="71">
        <f t="shared" si="6"/>
        <v>0</v>
      </c>
    </row>
    <row r="416" spans="1:10">
      <c r="A416" s="101"/>
      <c r="B416" s="70" t="str">
        <f>IF(ISBLANK(A416),"",INDEX('Error Log'!$A:$J,MATCH('Scores per segment'!$A416,'Error Log'!$A:$A,0),MATCH('Scores per segment'!B$1,'Error Log'!$A$1:$J$1,0)))</f>
        <v/>
      </c>
      <c r="C416" s="70" t="str">
        <f>IF(ISBLANK(A416),"",INDEX('Error Log'!$A:$J,MATCH('Scores per segment'!$A416,'Error Log'!$A:$A,0),MATCH('Scores per segment'!C$1,'Error Log'!$A$1:$J$1,0)))</f>
        <v/>
      </c>
      <c r="D416" s="70">
        <f>IF(H416=0,wdct(TRIM(C416)),0)</f>
        <v>0</v>
      </c>
      <c r="E416" s="70">
        <f>COUNTIFS('Error Log'!$A:$A,$A416,'Error Log'!$J:$J,E$1)</f>
        <v>0</v>
      </c>
      <c r="F416" s="70">
        <f>COUNTIFS('Error Log'!$A:$A,$A416,'Error Log'!$J:$J,F$1)</f>
        <v>0</v>
      </c>
      <c r="G416" s="70">
        <f>COUNTIFS('Error Log'!$A:$A,$A416,'Error Log'!$J:$J,G$1)</f>
        <v>0</v>
      </c>
      <c r="H416" s="70">
        <f>COUNTIFS('Error Log'!$A:$A,$A416,'Error Log'!$F:$F,"Source")</f>
        <v>0</v>
      </c>
      <c r="I416" s="70">
        <f>COUNTIFS('Error Log'!$A:$A,$A416,'Error Log'!$F:$F,"Target")</f>
        <v>0</v>
      </c>
      <c r="J416" s="71">
        <f t="shared" si="6"/>
        <v>0</v>
      </c>
    </row>
    <row r="417" spans="1:10">
      <c r="A417" s="101"/>
      <c r="B417" s="70" t="str">
        <f>IF(ISBLANK(A417),"",INDEX('Error Log'!$A:$J,MATCH('Scores per segment'!$A417,'Error Log'!$A:$A,0),MATCH('Scores per segment'!B$1,'Error Log'!$A$1:$J$1,0)))</f>
        <v/>
      </c>
      <c r="C417" s="70" t="str">
        <f>IF(ISBLANK(A417),"",INDEX('Error Log'!$A:$J,MATCH('Scores per segment'!$A417,'Error Log'!$A:$A,0),MATCH('Scores per segment'!C$1,'Error Log'!$A$1:$J$1,0)))</f>
        <v/>
      </c>
      <c r="D417" s="70">
        <f>IF(H417=0,wdct(TRIM(C417)),0)</f>
        <v>0</v>
      </c>
      <c r="E417" s="70">
        <f>COUNTIFS('Error Log'!$A:$A,$A417,'Error Log'!$J:$J,E$1)</f>
        <v>0</v>
      </c>
      <c r="F417" s="70">
        <f>COUNTIFS('Error Log'!$A:$A,$A417,'Error Log'!$J:$J,F$1)</f>
        <v>0</v>
      </c>
      <c r="G417" s="70">
        <f>COUNTIFS('Error Log'!$A:$A,$A417,'Error Log'!$J:$J,G$1)</f>
        <v>0</v>
      </c>
      <c r="H417" s="70">
        <f>COUNTIFS('Error Log'!$A:$A,$A417,'Error Log'!$F:$F,"Source")</f>
        <v>0</v>
      </c>
      <c r="I417" s="70">
        <f>COUNTIFS('Error Log'!$A:$A,$A417,'Error Log'!$F:$F,"Target")</f>
        <v>0</v>
      </c>
      <c r="J417" s="71">
        <f t="shared" si="6"/>
        <v>0</v>
      </c>
    </row>
    <row r="418" spans="1:10">
      <c r="A418" s="101"/>
      <c r="B418" s="70" t="str">
        <f>IF(ISBLANK(A418),"",INDEX('Error Log'!$A:$J,MATCH('Scores per segment'!$A418,'Error Log'!$A:$A,0),MATCH('Scores per segment'!B$1,'Error Log'!$A$1:$J$1,0)))</f>
        <v/>
      </c>
      <c r="C418" s="70" t="str">
        <f>IF(ISBLANK(A418),"",INDEX('Error Log'!$A:$J,MATCH('Scores per segment'!$A418,'Error Log'!$A:$A,0),MATCH('Scores per segment'!C$1,'Error Log'!$A$1:$J$1,0)))</f>
        <v/>
      </c>
      <c r="D418" s="70">
        <f>IF(H418=0,wdct(TRIM(C418)),0)</f>
        <v>0</v>
      </c>
      <c r="E418" s="70">
        <f>COUNTIFS('Error Log'!$A:$A,$A418,'Error Log'!$J:$J,E$1)</f>
        <v>0</v>
      </c>
      <c r="F418" s="70">
        <f>COUNTIFS('Error Log'!$A:$A,$A418,'Error Log'!$J:$J,F$1)</f>
        <v>0</v>
      </c>
      <c r="G418" s="70">
        <f>COUNTIFS('Error Log'!$A:$A,$A418,'Error Log'!$J:$J,G$1)</f>
        <v>0</v>
      </c>
      <c r="H418" s="70">
        <f>COUNTIFS('Error Log'!$A:$A,$A418,'Error Log'!$F:$F,"Source")</f>
        <v>0</v>
      </c>
      <c r="I418" s="70">
        <f>COUNTIFS('Error Log'!$A:$A,$A418,'Error Log'!$F:$F,"Target")</f>
        <v>0</v>
      </c>
      <c r="J418" s="71">
        <f t="shared" si="6"/>
        <v>0</v>
      </c>
    </row>
    <row r="419" spans="1:10">
      <c r="A419" s="101"/>
      <c r="B419" s="70" t="str">
        <f>IF(ISBLANK(A419),"",INDEX('Error Log'!$A:$J,MATCH('Scores per segment'!$A419,'Error Log'!$A:$A,0),MATCH('Scores per segment'!B$1,'Error Log'!$A$1:$J$1,0)))</f>
        <v/>
      </c>
      <c r="C419" s="70" t="str">
        <f>IF(ISBLANK(A419),"",INDEX('Error Log'!$A:$J,MATCH('Scores per segment'!$A419,'Error Log'!$A:$A,0),MATCH('Scores per segment'!C$1,'Error Log'!$A$1:$J$1,0)))</f>
        <v/>
      </c>
      <c r="D419" s="70">
        <f>IF(H419=0,wdct(TRIM(C419)),0)</f>
        <v>0</v>
      </c>
      <c r="E419" s="70">
        <f>COUNTIFS('Error Log'!$A:$A,$A419,'Error Log'!$J:$J,E$1)</f>
        <v>0</v>
      </c>
      <c r="F419" s="70">
        <f>COUNTIFS('Error Log'!$A:$A,$A419,'Error Log'!$J:$J,F$1)</f>
        <v>0</v>
      </c>
      <c r="G419" s="70">
        <f>COUNTIFS('Error Log'!$A:$A,$A419,'Error Log'!$J:$J,G$1)</f>
        <v>0</v>
      </c>
      <c r="H419" s="70">
        <f>COUNTIFS('Error Log'!$A:$A,$A419,'Error Log'!$F:$F,"Source")</f>
        <v>0</v>
      </c>
      <c r="I419" s="70">
        <f>COUNTIFS('Error Log'!$A:$A,$A419,'Error Log'!$F:$F,"Target")</f>
        <v>0</v>
      </c>
      <c r="J419" s="71">
        <f t="shared" si="6"/>
        <v>0</v>
      </c>
    </row>
    <row r="420" spans="1:10">
      <c r="A420" s="101"/>
      <c r="B420" s="70" t="str">
        <f>IF(ISBLANK(A420),"",INDEX('Error Log'!$A:$J,MATCH('Scores per segment'!$A420,'Error Log'!$A:$A,0),MATCH('Scores per segment'!B$1,'Error Log'!$A$1:$J$1,0)))</f>
        <v/>
      </c>
      <c r="C420" s="70" t="str">
        <f>IF(ISBLANK(A420),"",INDEX('Error Log'!$A:$J,MATCH('Scores per segment'!$A420,'Error Log'!$A:$A,0),MATCH('Scores per segment'!C$1,'Error Log'!$A$1:$J$1,0)))</f>
        <v/>
      </c>
      <c r="D420" s="70">
        <f>IF(H420=0,wdct(TRIM(C420)),0)</f>
        <v>0</v>
      </c>
      <c r="E420" s="70">
        <f>COUNTIFS('Error Log'!$A:$A,$A420,'Error Log'!$J:$J,E$1)</f>
        <v>0</v>
      </c>
      <c r="F420" s="70">
        <f>COUNTIFS('Error Log'!$A:$A,$A420,'Error Log'!$J:$J,F$1)</f>
        <v>0</v>
      </c>
      <c r="G420" s="70">
        <f>COUNTIFS('Error Log'!$A:$A,$A420,'Error Log'!$J:$J,G$1)</f>
        <v>0</v>
      </c>
      <c r="H420" s="70">
        <f>COUNTIFS('Error Log'!$A:$A,$A420,'Error Log'!$F:$F,"Source")</f>
        <v>0</v>
      </c>
      <c r="I420" s="70">
        <f>COUNTIFS('Error Log'!$A:$A,$A420,'Error Log'!$F:$F,"Target")</f>
        <v>0</v>
      </c>
      <c r="J420" s="71">
        <f t="shared" si="6"/>
        <v>0</v>
      </c>
    </row>
    <row r="421" spans="1:10">
      <c r="A421" s="101"/>
      <c r="B421" s="70" t="str">
        <f>IF(ISBLANK(A421),"",INDEX('Error Log'!$A:$J,MATCH('Scores per segment'!$A421,'Error Log'!$A:$A,0),MATCH('Scores per segment'!B$1,'Error Log'!$A$1:$J$1,0)))</f>
        <v/>
      </c>
      <c r="C421" s="70" t="str">
        <f>IF(ISBLANK(A421),"",INDEX('Error Log'!$A:$J,MATCH('Scores per segment'!$A421,'Error Log'!$A:$A,0),MATCH('Scores per segment'!C$1,'Error Log'!$A$1:$J$1,0)))</f>
        <v/>
      </c>
      <c r="D421" s="70">
        <f>IF(H421=0,wdct(TRIM(C421)),0)</f>
        <v>0</v>
      </c>
      <c r="E421" s="70">
        <f>COUNTIFS('Error Log'!$A:$A,$A421,'Error Log'!$J:$J,E$1)</f>
        <v>0</v>
      </c>
      <c r="F421" s="70">
        <f>COUNTIFS('Error Log'!$A:$A,$A421,'Error Log'!$J:$J,F$1)</f>
        <v>0</v>
      </c>
      <c r="G421" s="70">
        <f>COUNTIFS('Error Log'!$A:$A,$A421,'Error Log'!$J:$J,G$1)</f>
        <v>0</v>
      </c>
      <c r="H421" s="70">
        <f>COUNTIFS('Error Log'!$A:$A,$A421,'Error Log'!$F:$F,"Source")</f>
        <v>0</v>
      </c>
      <c r="I421" s="70">
        <f>COUNTIFS('Error Log'!$A:$A,$A421,'Error Log'!$F:$F,"Target")</f>
        <v>0</v>
      </c>
      <c r="J421" s="71">
        <f t="shared" si="6"/>
        <v>0</v>
      </c>
    </row>
    <row r="422" spans="1:10">
      <c r="A422" s="101"/>
      <c r="B422" s="70" t="str">
        <f>IF(ISBLANK(A422),"",INDEX('Error Log'!$A:$J,MATCH('Scores per segment'!$A422,'Error Log'!$A:$A,0),MATCH('Scores per segment'!B$1,'Error Log'!$A$1:$J$1,0)))</f>
        <v/>
      </c>
      <c r="C422" s="70" t="str">
        <f>IF(ISBLANK(A422),"",INDEX('Error Log'!$A:$J,MATCH('Scores per segment'!$A422,'Error Log'!$A:$A,0),MATCH('Scores per segment'!C$1,'Error Log'!$A$1:$J$1,0)))</f>
        <v/>
      </c>
      <c r="D422" s="70">
        <f>IF(H422=0,wdct(TRIM(C422)),0)</f>
        <v>0</v>
      </c>
      <c r="E422" s="70">
        <f>COUNTIFS('Error Log'!$A:$A,$A422,'Error Log'!$J:$J,E$1)</f>
        <v>0</v>
      </c>
      <c r="F422" s="70">
        <f>COUNTIFS('Error Log'!$A:$A,$A422,'Error Log'!$J:$J,F$1)</f>
        <v>0</v>
      </c>
      <c r="G422" s="70">
        <f>COUNTIFS('Error Log'!$A:$A,$A422,'Error Log'!$J:$J,G$1)</f>
        <v>0</v>
      </c>
      <c r="H422" s="70">
        <f>COUNTIFS('Error Log'!$A:$A,$A422,'Error Log'!$F:$F,"Source")</f>
        <v>0</v>
      </c>
      <c r="I422" s="70">
        <f>COUNTIFS('Error Log'!$A:$A,$A422,'Error Log'!$F:$F,"Target")</f>
        <v>0</v>
      </c>
      <c r="J422" s="71">
        <f t="shared" si="6"/>
        <v>0</v>
      </c>
    </row>
    <row r="423" spans="1:10">
      <c r="A423" s="101"/>
      <c r="B423" s="70" t="str">
        <f>IF(ISBLANK(A423),"",INDEX('Error Log'!$A:$J,MATCH('Scores per segment'!$A423,'Error Log'!$A:$A,0),MATCH('Scores per segment'!B$1,'Error Log'!$A$1:$J$1,0)))</f>
        <v/>
      </c>
      <c r="C423" s="70" t="str">
        <f>IF(ISBLANK(A423),"",INDEX('Error Log'!$A:$J,MATCH('Scores per segment'!$A423,'Error Log'!$A:$A,0),MATCH('Scores per segment'!C$1,'Error Log'!$A$1:$J$1,0)))</f>
        <v/>
      </c>
      <c r="D423" s="70">
        <f>IF(H423=0,wdct(TRIM(C423)),0)</f>
        <v>0</v>
      </c>
      <c r="E423" s="70">
        <f>COUNTIFS('Error Log'!$A:$A,$A423,'Error Log'!$J:$J,E$1)</f>
        <v>0</v>
      </c>
      <c r="F423" s="70">
        <f>COUNTIFS('Error Log'!$A:$A,$A423,'Error Log'!$J:$J,F$1)</f>
        <v>0</v>
      </c>
      <c r="G423" s="70">
        <f>COUNTIFS('Error Log'!$A:$A,$A423,'Error Log'!$J:$J,G$1)</f>
        <v>0</v>
      </c>
      <c r="H423" s="70">
        <f>COUNTIFS('Error Log'!$A:$A,$A423,'Error Log'!$F:$F,"Source")</f>
        <v>0</v>
      </c>
      <c r="I423" s="70">
        <f>COUNTIFS('Error Log'!$A:$A,$A423,'Error Log'!$F:$F,"Target")</f>
        <v>0</v>
      </c>
      <c r="J423" s="71">
        <f t="shared" si="6"/>
        <v>0</v>
      </c>
    </row>
    <row r="424" spans="1:10">
      <c r="A424" s="101"/>
      <c r="B424" s="70" t="str">
        <f>IF(ISBLANK(A424),"",INDEX('Error Log'!$A:$J,MATCH('Scores per segment'!$A424,'Error Log'!$A:$A,0),MATCH('Scores per segment'!B$1,'Error Log'!$A$1:$J$1,0)))</f>
        <v/>
      </c>
      <c r="C424" s="70" t="str">
        <f>IF(ISBLANK(A424),"",INDEX('Error Log'!$A:$J,MATCH('Scores per segment'!$A424,'Error Log'!$A:$A,0),MATCH('Scores per segment'!C$1,'Error Log'!$A$1:$J$1,0)))</f>
        <v/>
      </c>
      <c r="D424" s="70">
        <f>IF(H424=0,wdct(TRIM(C424)),0)</f>
        <v>0</v>
      </c>
      <c r="E424" s="70">
        <f>COUNTIFS('Error Log'!$A:$A,$A424,'Error Log'!$J:$J,E$1)</f>
        <v>0</v>
      </c>
      <c r="F424" s="70">
        <f>COUNTIFS('Error Log'!$A:$A,$A424,'Error Log'!$J:$J,F$1)</f>
        <v>0</v>
      </c>
      <c r="G424" s="70">
        <f>COUNTIFS('Error Log'!$A:$A,$A424,'Error Log'!$J:$J,G$1)</f>
        <v>0</v>
      </c>
      <c r="H424" s="70">
        <f>COUNTIFS('Error Log'!$A:$A,$A424,'Error Log'!$F:$F,"Source")</f>
        <v>0</v>
      </c>
      <c r="I424" s="70">
        <f>COUNTIFS('Error Log'!$A:$A,$A424,'Error Log'!$F:$F,"Target")</f>
        <v>0</v>
      </c>
      <c r="J424" s="71">
        <f t="shared" si="6"/>
        <v>0</v>
      </c>
    </row>
    <row r="425" spans="1:10">
      <c r="A425" s="101"/>
      <c r="B425" s="70" t="str">
        <f>IF(ISBLANK(A425),"",INDEX('Error Log'!$A:$J,MATCH('Scores per segment'!$A425,'Error Log'!$A:$A,0),MATCH('Scores per segment'!B$1,'Error Log'!$A$1:$J$1,0)))</f>
        <v/>
      </c>
      <c r="C425" s="70" t="str">
        <f>IF(ISBLANK(A425),"",INDEX('Error Log'!$A:$J,MATCH('Scores per segment'!$A425,'Error Log'!$A:$A,0),MATCH('Scores per segment'!C$1,'Error Log'!$A$1:$J$1,0)))</f>
        <v/>
      </c>
      <c r="D425" s="70">
        <f>IF(H425=0,wdct(TRIM(C425)),0)</f>
        <v>0</v>
      </c>
      <c r="E425" s="70">
        <f>COUNTIFS('Error Log'!$A:$A,$A425,'Error Log'!$J:$J,E$1)</f>
        <v>0</v>
      </c>
      <c r="F425" s="70">
        <f>COUNTIFS('Error Log'!$A:$A,$A425,'Error Log'!$J:$J,F$1)</f>
        <v>0</v>
      </c>
      <c r="G425" s="70">
        <f>COUNTIFS('Error Log'!$A:$A,$A425,'Error Log'!$J:$J,G$1)</f>
        <v>0</v>
      </c>
      <c r="H425" s="70">
        <f>COUNTIFS('Error Log'!$A:$A,$A425,'Error Log'!$F:$F,"Source")</f>
        <v>0</v>
      </c>
      <c r="I425" s="70">
        <f>COUNTIFS('Error Log'!$A:$A,$A425,'Error Log'!$F:$F,"Target")</f>
        <v>0</v>
      </c>
      <c r="J425" s="71">
        <f t="shared" si="6"/>
        <v>0</v>
      </c>
    </row>
    <row r="426" spans="1:10">
      <c r="A426" s="101"/>
      <c r="B426" s="70" t="str">
        <f>IF(ISBLANK(A426),"",INDEX('Error Log'!$A:$J,MATCH('Scores per segment'!$A426,'Error Log'!$A:$A,0),MATCH('Scores per segment'!B$1,'Error Log'!$A$1:$J$1,0)))</f>
        <v/>
      </c>
      <c r="C426" s="70" t="str">
        <f>IF(ISBLANK(A426),"",INDEX('Error Log'!$A:$J,MATCH('Scores per segment'!$A426,'Error Log'!$A:$A,0),MATCH('Scores per segment'!C$1,'Error Log'!$A$1:$J$1,0)))</f>
        <v/>
      </c>
      <c r="D426" s="70">
        <f>IF(H426=0,wdct(TRIM(C426)),0)</f>
        <v>0</v>
      </c>
      <c r="E426" s="70">
        <f>COUNTIFS('Error Log'!$A:$A,$A426,'Error Log'!$J:$J,E$1)</f>
        <v>0</v>
      </c>
      <c r="F426" s="70">
        <f>COUNTIFS('Error Log'!$A:$A,$A426,'Error Log'!$J:$J,F$1)</f>
        <v>0</v>
      </c>
      <c r="G426" s="70">
        <f>COUNTIFS('Error Log'!$A:$A,$A426,'Error Log'!$J:$J,G$1)</f>
        <v>0</v>
      </c>
      <c r="H426" s="70">
        <f>COUNTIFS('Error Log'!$A:$A,$A426,'Error Log'!$F:$F,"Source")</f>
        <v>0</v>
      </c>
      <c r="I426" s="70">
        <f>COUNTIFS('Error Log'!$A:$A,$A426,'Error Log'!$F:$F,"Target")</f>
        <v>0</v>
      </c>
      <c r="J426" s="71">
        <f t="shared" si="6"/>
        <v>0</v>
      </c>
    </row>
    <row r="427" spans="1:10">
      <c r="A427" s="101"/>
      <c r="B427" s="70" t="str">
        <f>IF(ISBLANK(A427),"",INDEX('Error Log'!$A:$J,MATCH('Scores per segment'!$A427,'Error Log'!$A:$A,0),MATCH('Scores per segment'!B$1,'Error Log'!$A$1:$J$1,0)))</f>
        <v/>
      </c>
      <c r="C427" s="70" t="str">
        <f>IF(ISBLANK(A427),"",INDEX('Error Log'!$A:$J,MATCH('Scores per segment'!$A427,'Error Log'!$A:$A,0),MATCH('Scores per segment'!C$1,'Error Log'!$A$1:$J$1,0)))</f>
        <v/>
      </c>
      <c r="D427" s="70">
        <f>IF(H427=0,wdct(TRIM(C427)),0)</f>
        <v>0</v>
      </c>
      <c r="E427" s="70">
        <f>COUNTIFS('Error Log'!$A:$A,$A427,'Error Log'!$J:$J,E$1)</f>
        <v>0</v>
      </c>
      <c r="F427" s="70">
        <f>COUNTIFS('Error Log'!$A:$A,$A427,'Error Log'!$J:$J,F$1)</f>
        <v>0</v>
      </c>
      <c r="G427" s="70">
        <f>COUNTIFS('Error Log'!$A:$A,$A427,'Error Log'!$J:$J,G$1)</f>
        <v>0</v>
      </c>
      <c r="H427" s="70">
        <f>COUNTIFS('Error Log'!$A:$A,$A427,'Error Log'!$F:$F,"Source")</f>
        <v>0</v>
      </c>
      <c r="I427" s="70">
        <f>COUNTIFS('Error Log'!$A:$A,$A427,'Error Log'!$F:$F,"Target")</f>
        <v>0</v>
      </c>
      <c r="J427" s="71">
        <f t="shared" si="6"/>
        <v>0</v>
      </c>
    </row>
    <row r="428" spans="1:10">
      <c r="A428" s="101"/>
      <c r="B428" s="70" t="str">
        <f>IF(ISBLANK(A428),"",INDEX('Error Log'!$A:$J,MATCH('Scores per segment'!$A428,'Error Log'!$A:$A,0),MATCH('Scores per segment'!B$1,'Error Log'!$A$1:$J$1,0)))</f>
        <v/>
      </c>
      <c r="C428" s="70" t="str">
        <f>IF(ISBLANK(A428),"",INDEX('Error Log'!$A:$J,MATCH('Scores per segment'!$A428,'Error Log'!$A:$A,0),MATCH('Scores per segment'!C$1,'Error Log'!$A$1:$J$1,0)))</f>
        <v/>
      </c>
      <c r="D428" s="70">
        <f>IF(H428=0,wdct(TRIM(C428)),0)</f>
        <v>0</v>
      </c>
      <c r="E428" s="70">
        <f>COUNTIFS('Error Log'!$A:$A,$A428,'Error Log'!$J:$J,E$1)</f>
        <v>0</v>
      </c>
      <c r="F428" s="70">
        <f>COUNTIFS('Error Log'!$A:$A,$A428,'Error Log'!$J:$J,F$1)</f>
        <v>0</v>
      </c>
      <c r="G428" s="70">
        <f>COUNTIFS('Error Log'!$A:$A,$A428,'Error Log'!$J:$J,G$1)</f>
        <v>0</v>
      </c>
      <c r="H428" s="70">
        <f>COUNTIFS('Error Log'!$A:$A,$A428,'Error Log'!$F:$F,"Source")</f>
        <v>0</v>
      </c>
      <c r="I428" s="70">
        <f>COUNTIFS('Error Log'!$A:$A,$A428,'Error Log'!$F:$F,"Target")</f>
        <v>0</v>
      </c>
      <c r="J428" s="71">
        <f t="shared" si="6"/>
        <v>0</v>
      </c>
    </row>
    <row r="429" spans="1:10">
      <c r="A429" s="101"/>
      <c r="B429" s="70" t="str">
        <f>IF(ISBLANK(A429),"",INDEX('Error Log'!$A:$J,MATCH('Scores per segment'!$A429,'Error Log'!$A:$A,0),MATCH('Scores per segment'!B$1,'Error Log'!$A$1:$J$1,0)))</f>
        <v/>
      </c>
      <c r="C429" s="70" t="str">
        <f>IF(ISBLANK(A429),"",INDEX('Error Log'!$A:$J,MATCH('Scores per segment'!$A429,'Error Log'!$A:$A,0),MATCH('Scores per segment'!C$1,'Error Log'!$A$1:$J$1,0)))</f>
        <v/>
      </c>
      <c r="D429" s="70">
        <f>IF(H429=0,wdct(TRIM(C429)),0)</f>
        <v>0</v>
      </c>
      <c r="E429" s="70">
        <f>COUNTIFS('Error Log'!$A:$A,$A429,'Error Log'!$J:$J,E$1)</f>
        <v>0</v>
      </c>
      <c r="F429" s="70">
        <f>COUNTIFS('Error Log'!$A:$A,$A429,'Error Log'!$J:$J,F$1)</f>
        <v>0</v>
      </c>
      <c r="G429" s="70">
        <f>COUNTIFS('Error Log'!$A:$A,$A429,'Error Log'!$J:$J,G$1)</f>
        <v>0</v>
      </c>
      <c r="H429" s="70">
        <f>COUNTIFS('Error Log'!$A:$A,$A429,'Error Log'!$F:$F,"Source")</f>
        <v>0</v>
      </c>
      <c r="I429" s="70">
        <f>COUNTIFS('Error Log'!$A:$A,$A429,'Error Log'!$F:$F,"Target")</f>
        <v>0</v>
      </c>
      <c r="J429" s="71">
        <f t="shared" si="6"/>
        <v>0</v>
      </c>
    </row>
    <row r="430" spans="1:10">
      <c r="A430" s="101"/>
      <c r="B430" s="70" t="str">
        <f>IF(ISBLANK(A430),"",INDEX('Error Log'!$A:$J,MATCH('Scores per segment'!$A430,'Error Log'!$A:$A,0),MATCH('Scores per segment'!B$1,'Error Log'!$A$1:$J$1,0)))</f>
        <v/>
      </c>
      <c r="C430" s="70" t="str">
        <f>IF(ISBLANK(A430),"",INDEX('Error Log'!$A:$J,MATCH('Scores per segment'!$A430,'Error Log'!$A:$A,0),MATCH('Scores per segment'!C$1,'Error Log'!$A$1:$J$1,0)))</f>
        <v/>
      </c>
      <c r="D430" s="70">
        <f>IF(H430=0,wdct(TRIM(C430)),0)</f>
        <v>0</v>
      </c>
      <c r="E430" s="70">
        <f>COUNTIFS('Error Log'!$A:$A,$A430,'Error Log'!$J:$J,E$1)</f>
        <v>0</v>
      </c>
      <c r="F430" s="70">
        <f>COUNTIFS('Error Log'!$A:$A,$A430,'Error Log'!$J:$J,F$1)</f>
        <v>0</v>
      </c>
      <c r="G430" s="70">
        <f>COUNTIFS('Error Log'!$A:$A,$A430,'Error Log'!$J:$J,G$1)</f>
        <v>0</v>
      </c>
      <c r="H430" s="70">
        <f>COUNTIFS('Error Log'!$A:$A,$A430,'Error Log'!$F:$F,"Source")</f>
        <v>0</v>
      </c>
      <c r="I430" s="70">
        <f>COUNTIFS('Error Log'!$A:$A,$A430,'Error Log'!$F:$F,"Target")</f>
        <v>0</v>
      </c>
      <c r="J430" s="71">
        <f t="shared" si="6"/>
        <v>0</v>
      </c>
    </row>
    <row r="431" spans="1:10">
      <c r="A431" s="101"/>
      <c r="B431" s="70" t="str">
        <f>IF(ISBLANK(A431),"",INDEX('Error Log'!$A:$J,MATCH('Scores per segment'!$A431,'Error Log'!$A:$A,0),MATCH('Scores per segment'!B$1,'Error Log'!$A$1:$J$1,0)))</f>
        <v/>
      </c>
      <c r="C431" s="70" t="str">
        <f>IF(ISBLANK(A431),"",INDEX('Error Log'!$A:$J,MATCH('Scores per segment'!$A431,'Error Log'!$A:$A,0),MATCH('Scores per segment'!C$1,'Error Log'!$A$1:$J$1,0)))</f>
        <v/>
      </c>
      <c r="D431" s="70">
        <f>IF(H431=0,wdct(TRIM(C431)),0)</f>
        <v>0</v>
      </c>
      <c r="E431" s="70">
        <f>COUNTIFS('Error Log'!$A:$A,$A431,'Error Log'!$J:$J,E$1)</f>
        <v>0</v>
      </c>
      <c r="F431" s="70">
        <f>COUNTIFS('Error Log'!$A:$A,$A431,'Error Log'!$J:$J,F$1)</f>
        <v>0</v>
      </c>
      <c r="G431" s="70">
        <f>COUNTIFS('Error Log'!$A:$A,$A431,'Error Log'!$J:$J,G$1)</f>
        <v>0</v>
      </c>
      <c r="H431" s="70">
        <f>COUNTIFS('Error Log'!$A:$A,$A431,'Error Log'!$F:$F,"Source")</f>
        <v>0</v>
      </c>
      <c r="I431" s="70">
        <f>COUNTIFS('Error Log'!$A:$A,$A431,'Error Log'!$F:$F,"Target")</f>
        <v>0</v>
      </c>
      <c r="J431" s="71">
        <f t="shared" si="6"/>
        <v>0</v>
      </c>
    </row>
    <row r="432" spans="1:10">
      <c r="A432" s="101"/>
      <c r="B432" s="70" t="str">
        <f>IF(ISBLANK(A432),"",INDEX('Error Log'!$A:$J,MATCH('Scores per segment'!$A432,'Error Log'!$A:$A,0),MATCH('Scores per segment'!B$1,'Error Log'!$A$1:$J$1,0)))</f>
        <v/>
      </c>
      <c r="C432" s="70" t="str">
        <f>IF(ISBLANK(A432),"",INDEX('Error Log'!$A:$J,MATCH('Scores per segment'!$A432,'Error Log'!$A:$A,0),MATCH('Scores per segment'!C$1,'Error Log'!$A$1:$J$1,0)))</f>
        <v/>
      </c>
      <c r="D432" s="70">
        <f>IF(H432=0,wdct(TRIM(C432)),0)</f>
        <v>0</v>
      </c>
      <c r="E432" s="70">
        <f>COUNTIFS('Error Log'!$A:$A,$A432,'Error Log'!$J:$J,E$1)</f>
        <v>0</v>
      </c>
      <c r="F432" s="70">
        <f>COUNTIFS('Error Log'!$A:$A,$A432,'Error Log'!$J:$J,F$1)</f>
        <v>0</v>
      </c>
      <c r="G432" s="70">
        <f>COUNTIFS('Error Log'!$A:$A,$A432,'Error Log'!$J:$J,G$1)</f>
        <v>0</v>
      </c>
      <c r="H432" s="70">
        <f>COUNTIFS('Error Log'!$A:$A,$A432,'Error Log'!$F:$F,"Source")</f>
        <v>0</v>
      </c>
      <c r="I432" s="70">
        <f>COUNTIFS('Error Log'!$A:$A,$A432,'Error Log'!$F:$F,"Target")</f>
        <v>0</v>
      </c>
      <c r="J432" s="71">
        <f t="shared" si="6"/>
        <v>0</v>
      </c>
    </row>
    <row r="433" spans="1:10">
      <c r="A433" s="101"/>
      <c r="B433" s="70" t="str">
        <f>IF(ISBLANK(A433),"",INDEX('Error Log'!$A:$J,MATCH('Scores per segment'!$A433,'Error Log'!$A:$A,0),MATCH('Scores per segment'!B$1,'Error Log'!$A$1:$J$1,0)))</f>
        <v/>
      </c>
      <c r="C433" s="70" t="str">
        <f>IF(ISBLANK(A433),"",INDEX('Error Log'!$A:$J,MATCH('Scores per segment'!$A433,'Error Log'!$A:$A,0),MATCH('Scores per segment'!C$1,'Error Log'!$A$1:$J$1,0)))</f>
        <v/>
      </c>
      <c r="D433" s="70">
        <f>IF(H433=0,wdct(TRIM(C433)),0)</f>
        <v>0</v>
      </c>
      <c r="E433" s="70">
        <f>COUNTIFS('Error Log'!$A:$A,$A433,'Error Log'!$J:$J,E$1)</f>
        <v>0</v>
      </c>
      <c r="F433" s="70">
        <f>COUNTIFS('Error Log'!$A:$A,$A433,'Error Log'!$J:$J,F$1)</f>
        <v>0</v>
      </c>
      <c r="G433" s="70">
        <f>COUNTIFS('Error Log'!$A:$A,$A433,'Error Log'!$J:$J,G$1)</f>
        <v>0</v>
      </c>
      <c r="H433" s="70">
        <f>COUNTIFS('Error Log'!$A:$A,$A433,'Error Log'!$F:$F,"Source")</f>
        <v>0</v>
      </c>
      <c r="I433" s="70">
        <f>COUNTIFS('Error Log'!$A:$A,$A433,'Error Log'!$F:$F,"Target")</f>
        <v>0</v>
      </c>
      <c r="J433" s="71">
        <f t="shared" si="6"/>
        <v>0</v>
      </c>
    </row>
    <row r="434" spans="1:10">
      <c r="A434" s="101"/>
      <c r="B434" s="70" t="str">
        <f>IF(ISBLANK(A434),"",INDEX('Error Log'!$A:$J,MATCH('Scores per segment'!$A434,'Error Log'!$A:$A,0),MATCH('Scores per segment'!B$1,'Error Log'!$A$1:$J$1,0)))</f>
        <v/>
      </c>
      <c r="C434" s="70" t="str">
        <f>IF(ISBLANK(A434),"",INDEX('Error Log'!$A:$J,MATCH('Scores per segment'!$A434,'Error Log'!$A:$A,0),MATCH('Scores per segment'!C$1,'Error Log'!$A$1:$J$1,0)))</f>
        <v/>
      </c>
      <c r="D434" s="70">
        <f>IF(H434=0,wdct(TRIM(C434)),0)</f>
        <v>0</v>
      </c>
      <c r="E434" s="70">
        <f>COUNTIFS('Error Log'!$A:$A,$A434,'Error Log'!$J:$J,E$1)</f>
        <v>0</v>
      </c>
      <c r="F434" s="70">
        <f>COUNTIFS('Error Log'!$A:$A,$A434,'Error Log'!$J:$J,F$1)</f>
        <v>0</v>
      </c>
      <c r="G434" s="70">
        <f>COUNTIFS('Error Log'!$A:$A,$A434,'Error Log'!$J:$J,G$1)</f>
        <v>0</v>
      </c>
      <c r="H434" s="70">
        <f>COUNTIFS('Error Log'!$A:$A,$A434,'Error Log'!$F:$F,"Source")</f>
        <v>0</v>
      </c>
      <c r="I434" s="70">
        <f>COUNTIFS('Error Log'!$A:$A,$A434,'Error Log'!$F:$F,"Target")</f>
        <v>0</v>
      </c>
      <c r="J434" s="71">
        <f t="shared" si="6"/>
        <v>0</v>
      </c>
    </row>
    <row r="435" spans="1:10">
      <c r="A435" s="101"/>
      <c r="B435" s="70" t="str">
        <f>IF(ISBLANK(A435),"",INDEX('Error Log'!$A:$J,MATCH('Scores per segment'!$A435,'Error Log'!$A:$A,0),MATCH('Scores per segment'!B$1,'Error Log'!$A$1:$J$1,0)))</f>
        <v/>
      </c>
      <c r="C435" s="70" t="str">
        <f>IF(ISBLANK(A435),"",INDEX('Error Log'!$A:$J,MATCH('Scores per segment'!$A435,'Error Log'!$A:$A,0),MATCH('Scores per segment'!C$1,'Error Log'!$A$1:$J$1,0)))</f>
        <v/>
      </c>
      <c r="D435" s="70">
        <f>IF(H435=0,wdct(TRIM(C435)),0)</f>
        <v>0</v>
      </c>
      <c r="E435" s="70">
        <f>COUNTIFS('Error Log'!$A:$A,$A435,'Error Log'!$J:$J,E$1)</f>
        <v>0</v>
      </c>
      <c r="F435" s="70">
        <f>COUNTIFS('Error Log'!$A:$A,$A435,'Error Log'!$J:$J,F$1)</f>
        <v>0</v>
      </c>
      <c r="G435" s="70">
        <f>COUNTIFS('Error Log'!$A:$A,$A435,'Error Log'!$J:$J,G$1)</f>
        <v>0</v>
      </c>
      <c r="H435" s="70">
        <f>COUNTIFS('Error Log'!$A:$A,$A435,'Error Log'!$F:$F,"Source")</f>
        <v>0</v>
      </c>
      <c r="I435" s="70">
        <f>COUNTIFS('Error Log'!$A:$A,$A435,'Error Log'!$F:$F,"Target")</f>
        <v>0</v>
      </c>
      <c r="J435" s="71">
        <f t="shared" si="6"/>
        <v>0</v>
      </c>
    </row>
    <row r="436" spans="1:10">
      <c r="A436" s="101"/>
      <c r="B436" s="70" t="str">
        <f>IF(ISBLANK(A436),"",INDEX('Error Log'!$A:$J,MATCH('Scores per segment'!$A436,'Error Log'!$A:$A,0),MATCH('Scores per segment'!B$1,'Error Log'!$A$1:$J$1,0)))</f>
        <v/>
      </c>
      <c r="C436" s="70" t="str">
        <f>IF(ISBLANK(A436),"",INDEX('Error Log'!$A:$J,MATCH('Scores per segment'!$A436,'Error Log'!$A:$A,0),MATCH('Scores per segment'!C$1,'Error Log'!$A$1:$J$1,0)))</f>
        <v/>
      </c>
      <c r="D436" s="70">
        <f>IF(H436=0,wdct(TRIM(C436)),0)</f>
        <v>0</v>
      </c>
      <c r="E436" s="70">
        <f>COUNTIFS('Error Log'!$A:$A,$A436,'Error Log'!$J:$J,E$1)</f>
        <v>0</v>
      </c>
      <c r="F436" s="70">
        <f>COUNTIFS('Error Log'!$A:$A,$A436,'Error Log'!$J:$J,F$1)</f>
        <v>0</v>
      </c>
      <c r="G436" s="70">
        <f>COUNTIFS('Error Log'!$A:$A,$A436,'Error Log'!$J:$J,G$1)</f>
        <v>0</v>
      </c>
      <c r="H436" s="70">
        <f>COUNTIFS('Error Log'!$A:$A,$A436,'Error Log'!$F:$F,"Source")</f>
        <v>0</v>
      </c>
      <c r="I436" s="70">
        <f>COUNTIFS('Error Log'!$A:$A,$A436,'Error Log'!$F:$F,"Target")</f>
        <v>0</v>
      </c>
      <c r="J436" s="71">
        <f t="shared" si="6"/>
        <v>0</v>
      </c>
    </row>
    <row r="437" spans="1:10">
      <c r="A437" s="101"/>
      <c r="B437" s="70" t="str">
        <f>IF(ISBLANK(A437),"",INDEX('Error Log'!$A:$J,MATCH('Scores per segment'!$A437,'Error Log'!$A:$A,0),MATCH('Scores per segment'!B$1,'Error Log'!$A$1:$J$1,0)))</f>
        <v/>
      </c>
      <c r="C437" s="70" t="str">
        <f>IF(ISBLANK(A437),"",INDEX('Error Log'!$A:$J,MATCH('Scores per segment'!$A437,'Error Log'!$A:$A,0),MATCH('Scores per segment'!C$1,'Error Log'!$A$1:$J$1,0)))</f>
        <v/>
      </c>
      <c r="D437" s="70">
        <f>IF(H437=0,wdct(TRIM(C437)),0)</f>
        <v>0</v>
      </c>
      <c r="E437" s="70">
        <f>COUNTIFS('Error Log'!$A:$A,$A437,'Error Log'!$J:$J,E$1)</f>
        <v>0</v>
      </c>
      <c r="F437" s="70">
        <f>COUNTIFS('Error Log'!$A:$A,$A437,'Error Log'!$J:$J,F$1)</f>
        <v>0</v>
      </c>
      <c r="G437" s="70">
        <f>COUNTIFS('Error Log'!$A:$A,$A437,'Error Log'!$J:$J,G$1)</f>
        <v>0</v>
      </c>
      <c r="H437" s="70">
        <f>COUNTIFS('Error Log'!$A:$A,$A437,'Error Log'!$F:$F,"Source")</f>
        <v>0</v>
      </c>
      <c r="I437" s="70">
        <f>COUNTIFS('Error Log'!$A:$A,$A437,'Error Log'!$F:$F,"Target")</f>
        <v>0</v>
      </c>
      <c r="J437" s="71">
        <f t="shared" si="6"/>
        <v>0</v>
      </c>
    </row>
    <row r="438" spans="1:10">
      <c r="A438" s="101"/>
      <c r="B438" s="70" t="str">
        <f>IF(ISBLANK(A438),"",INDEX('Error Log'!$A:$J,MATCH('Scores per segment'!$A438,'Error Log'!$A:$A,0),MATCH('Scores per segment'!B$1,'Error Log'!$A$1:$J$1,0)))</f>
        <v/>
      </c>
      <c r="C438" s="70" t="str">
        <f>IF(ISBLANK(A438),"",INDEX('Error Log'!$A:$J,MATCH('Scores per segment'!$A438,'Error Log'!$A:$A,0),MATCH('Scores per segment'!C$1,'Error Log'!$A$1:$J$1,0)))</f>
        <v/>
      </c>
      <c r="D438" s="70">
        <f>IF(H438=0,wdct(TRIM(C438)),0)</f>
        <v>0</v>
      </c>
      <c r="E438" s="70">
        <f>COUNTIFS('Error Log'!$A:$A,$A438,'Error Log'!$J:$J,E$1)</f>
        <v>0</v>
      </c>
      <c r="F438" s="70">
        <f>COUNTIFS('Error Log'!$A:$A,$A438,'Error Log'!$J:$J,F$1)</f>
        <v>0</v>
      </c>
      <c r="G438" s="70">
        <f>COUNTIFS('Error Log'!$A:$A,$A438,'Error Log'!$J:$J,G$1)</f>
        <v>0</v>
      </c>
      <c r="H438" s="70">
        <f>COUNTIFS('Error Log'!$A:$A,$A438,'Error Log'!$F:$F,"Source")</f>
        <v>0</v>
      </c>
      <c r="I438" s="70">
        <f>COUNTIFS('Error Log'!$A:$A,$A438,'Error Log'!$F:$F,"Target")</f>
        <v>0</v>
      </c>
      <c r="J438" s="71">
        <f t="shared" si="6"/>
        <v>0</v>
      </c>
    </row>
    <row r="439" spans="1:10">
      <c r="A439" s="101"/>
      <c r="B439" s="70" t="str">
        <f>IF(ISBLANK(A439),"",INDEX('Error Log'!$A:$J,MATCH('Scores per segment'!$A439,'Error Log'!$A:$A,0),MATCH('Scores per segment'!B$1,'Error Log'!$A$1:$J$1,0)))</f>
        <v/>
      </c>
      <c r="C439" s="70" t="str">
        <f>IF(ISBLANK(A439),"",INDEX('Error Log'!$A:$J,MATCH('Scores per segment'!$A439,'Error Log'!$A:$A,0),MATCH('Scores per segment'!C$1,'Error Log'!$A$1:$J$1,0)))</f>
        <v/>
      </c>
      <c r="D439" s="70">
        <f>IF(H439=0,wdct(TRIM(C439)),0)</f>
        <v>0</v>
      </c>
      <c r="E439" s="70">
        <f>COUNTIFS('Error Log'!$A:$A,$A439,'Error Log'!$J:$J,E$1)</f>
        <v>0</v>
      </c>
      <c r="F439" s="70">
        <f>COUNTIFS('Error Log'!$A:$A,$A439,'Error Log'!$J:$J,F$1)</f>
        <v>0</v>
      </c>
      <c r="G439" s="70">
        <f>COUNTIFS('Error Log'!$A:$A,$A439,'Error Log'!$J:$J,G$1)</f>
        <v>0</v>
      </c>
      <c r="H439" s="70">
        <f>COUNTIFS('Error Log'!$A:$A,$A439,'Error Log'!$F:$F,"Source")</f>
        <v>0</v>
      </c>
      <c r="I439" s="70">
        <f>COUNTIFS('Error Log'!$A:$A,$A439,'Error Log'!$F:$F,"Target")</f>
        <v>0</v>
      </c>
      <c r="J439" s="71">
        <f t="shared" si="6"/>
        <v>0</v>
      </c>
    </row>
    <row r="440" spans="1:10">
      <c r="A440" s="101"/>
      <c r="B440" s="70" t="str">
        <f>IF(ISBLANK(A440),"",INDEX('Error Log'!$A:$J,MATCH('Scores per segment'!$A440,'Error Log'!$A:$A,0),MATCH('Scores per segment'!B$1,'Error Log'!$A$1:$J$1,0)))</f>
        <v/>
      </c>
      <c r="C440" s="70" t="str">
        <f>IF(ISBLANK(A440),"",INDEX('Error Log'!$A:$J,MATCH('Scores per segment'!$A440,'Error Log'!$A:$A,0),MATCH('Scores per segment'!C$1,'Error Log'!$A$1:$J$1,0)))</f>
        <v/>
      </c>
      <c r="D440" s="70">
        <f>IF(H440=0,wdct(TRIM(C440)),0)</f>
        <v>0</v>
      </c>
      <c r="E440" s="70">
        <f>COUNTIFS('Error Log'!$A:$A,$A440,'Error Log'!$J:$J,E$1)</f>
        <v>0</v>
      </c>
      <c r="F440" s="70">
        <f>COUNTIFS('Error Log'!$A:$A,$A440,'Error Log'!$J:$J,F$1)</f>
        <v>0</v>
      </c>
      <c r="G440" s="70">
        <f>COUNTIFS('Error Log'!$A:$A,$A440,'Error Log'!$J:$J,G$1)</f>
        <v>0</v>
      </c>
      <c r="H440" s="70">
        <f>COUNTIFS('Error Log'!$A:$A,$A440,'Error Log'!$F:$F,"Source")</f>
        <v>0</v>
      </c>
      <c r="I440" s="70">
        <f>COUNTIFS('Error Log'!$A:$A,$A440,'Error Log'!$F:$F,"Target")</f>
        <v>0</v>
      </c>
      <c r="J440" s="71">
        <f t="shared" si="6"/>
        <v>0</v>
      </c>
    </row>
    <row r="441" spans="1:10">
      <c r="A441" s="101"/>
      <c r="B441" s="70" t="str">
        <f>IF(ISBLANK(A441),"",INDEX('Error Log'!$A:$J,MATCH('Scores per segment'!$A441,'Error Log'!$A:$A,0),MATCH('Scores per segment'!B$1,'Error Log'!$A$1:$J$1,0)))</f>
        <v/>
      </c>
      <c r="C441" s="70" t="str">
        <f>IF(ISBLANK(A441),"",INDEX('Error Log'!$A:$J,MATCH('Scores per segment'!$A441,'Error Log'!$A:$A,0),MATCH('Scores per segment'!C$1,'Error Log'!$A$1:$J$1,0)))</f>
        <v/>
      </c>
      <c r="D441" s="70">
        <f>IF(H441=0,wdct(TRIM(C441)),0)</f>
        <v>0</v>
      </c>
      <c r="E441" s="70">
        <f>COUNTIFS('Error Log'!$A:$A,$A441,'Error Log'!$J:$J,E$1)</f>
        <v>0</v>
      </c>
      <c r="F441" s="70">
        <f>COUNTIFS('Error Log'!$A:$A,$A441,'Error Log'!$J:$J,F$1)</f>
        <v>0</v>
      </c>
      <c r="G441" s="70">
        <f>COUNTIFS('Error Log'!$A:$A,$A441,'Error Log'!$J:$J,G$1)</f>
        <v>0</v>
      </c>
      <c r="H441" s="70">
        <f>COUNTIFS('Error Log'!$A:$A,$A441,'Error Log'!$F:$F,"Source")</f>
        <v>0</v>
      </c>
      <c r="I441" s="70">
        <f>COUNTIFS('Error Log'!$A:$A,$A441,'Error Log'!$F:$F,"Target")</f>
        <v>0</v>
      </c>
      <c r="J441" s="71">
        <f t="shared" si="6"/>
        <v>0</v>
      </c>
    </row>
    <row r="442" spans="1:10">
      <c r="A442" s="101"/>
      <c r="B442" s="70" t="str">
        <f>IF(ISBLANK(A442),"",INDEX('Error Log'!$A:$J,MATCH('Scores per segment'!$A442,'Error Log'!$A:$A,0),MATCH('Scores per segment'!B$1,'Error Log'!$A$1:$J$1,0)))</f>
        <v/>
      </c>
      <c r="C442" s="70" t="str">
        <f>IF(ISBLANK(A442),"",INDEX('Error Log'!$A:$J,MATCH('Scores per segment'!$A442,'Error Log'!$A:$A,0),MATCH('Scores per segment'!C$1,'Error Log'!$A$1:$J$1,0)))</f>
        <v/>
      </c>
      <c r="D442" s="70">
        <f>IF(H442=0,wdct(TRIM(C442)),0)</f>
        <v>0</v>
      </c>
      <c r="E442" s="70">
        <f>COUNTIFS('Error Log'!$A:$A,$A442,'Error Log'!$J:$J,E$1)</f>
        <v>0</v>
      </c>
      <c r="F442" s="70">
        <f>COUNTIFS('Error Log'!$A:$A,$A442,'Error Log'!$J:$J,F$1)</f>
        <v>0</v>
      </c>
      <c r="G442" s="70">
        <f>COUNTIFS('Error Log'!$A:$A,$A442,'Error Log'!$J:$J,G$1)</f>
        <v>0</v>
      </c>
      <c r="H442" s="70">
        <f>COUNTIFS('Error Log'!$A:$A,$A442,'Error Log'!$F:$F,"Source")</f>
        <v>0</v>
      </c>
      <c r="I442" s="70">
        <f>COUNTIFS('Error Log'!$A:$A,$A442,'Error Log'!$F:$F,"Target")</f>
        <v>0</v>
      </c>
      <c r="J442" s="71">
        <f t="shared" si="6"/>
        <v>0</v>
      </c>
    </row>
    <row r="443" spans="1:10">
      <c r="A443" s="101"/>
      <c r="B443" s="70" t="str">
        <f>IF(ISBLANK(A443),"",INDEX('Error Log'!$A:$J,MATCH('Scores per segment'!$A443,'Error Log'!$A:$A,0),MATCH('Scores per segment'!B$1,'Error Log'!$A$1:$J$1,0)))</f>
        <v/>
      </c>
      <c r="C443" s="70" t="str">
        <f>IF(ISBLANK(A443),"",INDEX('Error Log'!$A:$J,MATCH('Scores per segment'!$A443,'Error Log'!$A:$A,0),MATCH('Scores per segment'!C$1,'Error Log'!$A$1:$J$1,0)))</f>
        <v/>
      </c>
      <c r="D443" s="70">
        <f>IF(H443=0,wdct(TRIM(C443)),0)</f>
        <v>0</v>
      </c>
      <c r="E443" s="70">
        <f>COUNTIFS('Error Log'!$A:$A,$A443,'Error Log'!$J:$J,E$1)</f>
        <v>0</v>
      </c>
      <c r="F443" s="70">
        <f>COUNTIFS('Error Log'!$A:$A,$A443,'Error Log'!$J:$J,F$1)</f>
        <v>0</v>
      </c>
      <c r="G443" s="70">
        <f>COUNTIFS('Error Log'!$A:$A,$A443,'Error Log'!$J:$J,G$1)</f>
        <v>0</v>
      </c>
      <c r="H443" s="70">
        <f>COUNTIFS('Error Log'!$A:$A,$A443,'Error Log'!$F:$F,"Source")</f>
        <v>0</v>
      </c>
      <c r="I443" s="70">
        <f>COUNTIFS('Error Log'!$A:$A,$A443,'Error Log'!$F:$F,"Target")</f>
        <v>0</v>
      </c>
      <c r="J443" s="71">
        <f t="shared" si="6"/>
        <v>0</v>
      </c>
    </row>
    <row r="444" spans="1:10">
      <c r="A444" s="101"/>
      <c r="B444" s="70" t="str">
        <f>IF(ISBLANK(A444),"",INDEX('Error Log'!$A:$J,MATCH('Scores per segment'!$A444,'Error Log'!$A:$A,0),MATCH('Scores per segment'!B$1,'Error Log'!$A$1:$J$1,0)))</f>
        <v/>
      </c>
      <c r="C444" s="70" t="str">
        <f>IF(ISBLANK(A444),"",INDEX('Error Log'!$A:$J,MATCH('Scores per segment'!$A444,'Error Log'!$A:$A,0),MATCH('Scores per segment'!C$1,'Error Log'!$A$1:$J$1,0)))</f>
        <v/>
      </c>
      <c r="D444" s="70">
        <f>IF(H444=0,wdct(TRIM(C444)),0)</f>
        <v>0</v>
      </c>
      <c r="E444" s="70">
        <f>COUNTIFS('Error Log'!$A:$A,$A444,'Error Log'!$J:$J,E$1)</f>
        <v>0</v>
      </c>
      <c r="F444" s="70">
        <f>COUNTIFS('Error Log'!$A:$A,$A444,'Error Log'!$J:$J,F$1)</f>
        <v>0</v>
      </c>
      <c r="G444" s="70">
        <f>COUNTIFS('Error Log'!$A:$A,$A444,'Error Log'!$J:$J,G$1)</f>
        <v>0</v>
      </c>
      <c r="H444" s="70">
        <f>COUNTIFS('Error Log'!$A:$A,$A444,'Error Log'!$F:$F,"Source")</f>
        <v>0</v>
      </c>
      <c r="I444" s="70">
        <f>COUNTIFS('Error Log'!$A:$A,$A444,'Error Log'!$F:$F,"Target")</f>
        <v>0</v>
      </c>
      <c r="J444" s="71">
        <f t="shared" si="6"/>
        <v>0</v>
      </c>
    </row>
    <row r="445" spans="1:10">
      <c r="A445" s="101"/>
      <c r="B445" s="70" t="str">
        <f>IF(ISBLANK(A445),"",INDEX('Error Log'!$A:$J,MATCH('Scores per segment'!$A445,'Error Log'!$A:$A,0),MATCH('Scores per segment'!B$1,'Error Log'!$A$1:$J$1,0)))</f>
        <v/>
      </c>
      <c r="C445" s="70" t="str">
        <f>IF(ISBLANK(A445),"",INDEX('Error Log'!$A:$J,MATCH('Scores per segment'!$A445,'Error Log'!$A:$A,0),MATCH('Scores per segment'!C$1,'Error Log'!$A$1:$J$1,0)))</f>
        <v/>
      </c>
      <c r="D445" s="70">
        <f>IF(H445=0,wdct(TRIM(C445)),0)</f>
        <v>0</v>
      </c>
      <c r="E445" s="70">
        <f>COUNTIFS('Error Log'!$A:$A,$A445,'Error Log'!$J:$J,E$1)</f>
        <v>0</v>
      </c>
      <c r="F445" s="70">
        <f>COUNTIFS('Error Log'!$A:$A,$A445,'Error Log'!$J:$J,F$1)</f>
        <v>0</v>
      </c>
      <c r="G445" s="70">
        <f>COUNTIFS('Error Log'!$A:$A,$A445,'Error Log'!$J:$J,G$1)</f>
        <v>0</v>
      </c>
      <c r="H445" s="70">
        <f>COUNTIFS('Error Log'!$A:$A,$A445,'Error Log'!$F:$F,"Source")</f>
        <v>0</v>
      </c>
      <c r="I445" s="70">
        <f>COUNTIFS('Error Log'!$A:$A,$A445,'Error Log'!$F:$F,"Target")</f>
        <v>0</v>
      </c>
      <c r="J445" s="71">
        <f t="shared" si="6"/>
        <v>0</v>
      </c>
    </row>
    <row r="446" spans="1:10">
      <c r="A446" s="101"/>
      <c r="B446" s="70" t="str">
        <f>IF(ISBLANK(A446),"",INDEX('Error Log'!$A:$J,MATCH('Scores per segment'!$A446,'Error Log'!$A:$A,0),MATCH('Scores per segment'!B$1,'Error Log'!$A$1:$J$1,0)))</f>
        <v/>
      </c>
      <c r="C446" s="70" t="str">
        <f>IF(ISBLANK(A446),"",INDEX('Error Log'!$A:$J,MATCH('Scores per segment'!$A446,'Error Log'!$A:$A,0),MATCH('Scores per segment'!C$1,'Error Log'!$A$1:$J$1,0)))</f>
        <v/>
      </c>
      <c r="D446" s="70">
        <f>IF(H446=0,wdct(TRIM(C446)),0)</f>
        <v>0</v>
      </c>
      <c r="E446" s="70">
        <f>COUNTIFS('Error Log'!$A:$A,$A446,'Error Log'!$J:$J,E$1)</f>
        <v>0</v>
      </c>
      <c r="F446" s="70">
        <f>COUNTIFS('Error Log'!$A:$A,$A446,'Error Log'!$J:$J,F$1)</f>
        <v>0</v>
      </c>
      <c r="G446" s="70">
        <f>COUNTIFS('Error Log'!$A:$A,$A446,'Error Log'!$J:$J,G$1)</f>
        <v>0</v>
      </c>
      <c r="H446" s="70">
        <f>COUNTIFS('Error Log'!$A:$A,$A446,'Error Log'!$F:$F,"Source")</f>
        <v>0</v>
      </c>
      <c r="I446" s="70">
        <f>COUNTIFS('Error Log'!$A:$A,$A446,'Error Log'!$F:$F,"Target")</f>
        <v>0</v>
      </c>
      <c r="J446" s="71">
        <f t="shared" si="6"/>
        <v>0</v>
      </c>
    </row>
    <row r="447" spans="1:10">
      <c r="A447" s="101"/>
      <c r="B447" s="70" t="str">
        <f>IF(ISBLANK(A447),"",INDEX('Error Log'!$A:$J,MATCH('Scores per segment'!$A447,'Error Log'!$A:$A,0),MATCH('Scores per segment'!B$1,'Error Log'!$A$1:$J$1,0)))</f>
        <v/>
      </c>
      <c r="C447" s="70" t="str">
        <f>IF(ISBLANK(A447),"",INDEX('Error Log'!$A:$J,MATCH('Scores per segment'!$A447,'Error Log'!$A:$A,0),MATCH('Scores per segment'!C$1,'Error Log'!$A$1:$J$1,0)))</f>
        <v/>
      </c>
      <c r="D447" s="70">
        <f>IF(H447=0,wdct(TRIM(C447)),0)</f>
        <v>0</v>
      </c>
      <c r="E447" s="70">
        <f>COUNTIFS('Error Log'!$A:$A,$A447,'Error Log'!$J:$J,E$1)</f>
        <v>0</v>
      </c>
      <c r="F447" s="70">
        <f>COUNTIFS('Error Log'!$A:$A,$A447,'Error Log'!$J:$J,F$1)</f>
        <v>0</v>
      </c>
      <c r="G447" s="70">
        <f>COUNTIFS('Error Log'!$A:$A,$A447,'Error Log'!$J:$J,G$1)</f>
        <v>0</v>
      </c>
      <c r="H447" s="70">
        <f>COUNTIFS('Error Log'!$A:$A,$A447,'Error Log'!$F:$F,"Source")</f>
        <v>0</v>
      </c>
      <c r="I447" s="70">
        <f>COUNTIFS('Error Log'!$A:$A,$A447,'Error Log'!$F:$F,"Target")</f>
        <v>0</v>
      </c>
      <c r="J447" s="71">
        <f t="shared" si="6"/>
        <v>0</v>
      </c>
    </row>
    <row r="448" spans="1:10">
      <c r="A448" s="101"/>
      <c r="B448" s="70" t="str">
        <f>IF(ISBLANK(A448),"",INDEX('Error Log'!$A:$J,MATCH('Scores per segment'!$A448,'Error Log'!$A:$A,0),MATCH('Scores per segment'!B$1,'Error Log'!$A$1:$J$1,0)))</f>
        <v/>
      </c>
      <c r="C448" s="70" t="str">
        <f>IF(ISBLANK(A448),"",INDEX('Error Log'!$A:$J,MATCH('Scores per segment'!$A448,'Error Log'!$A:$A,0),MATCH('Scores per segment'!C$1,'Error Log'!$A$1:$J$1,0)))</f>
        <v/>
      </c>
      <c r="D448" s="70">
        <f>IF(H448=0,wdct(TRIM(C448)),0)</f>
        <v>0</v>
      </c>
      <c r="E448" s="70">
        <f>COUNTIFS('Error Log'!$A:$A,$A448,'Error Log'!$J:$J,E$1)</f>
        <v>0</v>
      </c>
      <c r="F448" s="70">
        <f>COUNTIFS('Error Log'!$A:$A,$A448,'Error Log'!$J:$J,F$1)</f>
        <v>0</v>
      </c>
      <c r="G448" s="70">
        <f>COUNTIFS('Error Log'!$A:$A,$A448,'Error Log'!$J:$J,G$1)</f>
        <v>0</v>
      </c>
      <c r="H448" s="70">
        <f>COUNTIFS('Error Log'!$A:$A,$A448,'Error Log'!$F:$F,"Source")</f>
        <v>0</v>
      </c>
      <c r="I448" s="70">
        <f>COUNTIFS('Error Log'!$A:$A,$A448,'Error Log'!$F:$F,"Target")</f>
        <v>0</v>
      </c>
      <c r="J448" s="71">
        <f t="shared" si="6"/>
        <v>0</v>
      </c>
    </row>
    <row r="449" spans="1:10">
      <c r="A449" s="101"/>
      <c r="B449" s="70" t="str">
        <f>IF(ISBLANK(A449),"",INDEX('Error Log'!$A:$J,MATCH('Scores per segment'!$A449,'Error Log'!$A:$A,0),MATCH('Scores per segment'!B$1,'Error Log'!$A$1:$J$1,0)))</f>
        <v/>
      </c>
      <c r="C449" s="70" t="str">
        <f>IF(ISBLANK(A449),"",INDEX('Error Log'!$A:$J,MATCH('Scores per segment'!$A449,'Error Log'!$A:$A,0),MATCH('Scores per segment'!C$1,'Error Log'!$A$1:$J$1,0)))</f>
        <v/>
      </c>
      <c r="D449" s="70">
        <f>IF(H449=0,wdct(TRIM(C449)),0)</f>
        <v>0</v>
      </c>
      <c r="E449" s="70">
        <f>COUNTIFS('Error Log'!$A:$A,$A449,'Error Log'!$J:$J,E$1)</f>
        <v>0</v>
      </c>
      <c r="F449" s="70">
        <f>COUNTIFS('Error Log'!$A:$A,$A449,'Error Log'!$J:$J,F$1)</f>
        <v>0</v>
      </c>
      <c r="G449" s="70">
        <f>COUNTIFS('Error Log'!$A:$A,$A449,'Error Log'!$J:$J,G$1)</f>
        <v>0</v>
      </c>
      <c r="H449" s="70">
        <f>COUNTIFS('Error Log'!$A:$A,$A449,'Error Log'!$F:$F,"Source")</f>
        <v>0</v>
      </c>
      <c r="I449" s="70">
        <f>COUNTIFS('Error Log'!$A:$A,$A449,'Error Log'!$F:$F,"Target")</f>
        <v>0</v>
      </c>
      <c r="J449" s="71">
        <f t="shared" si="6"/>
        <v>0</v>
      </c>
    </row>
    <row r="450" spans="1:10">
      <c r="A450" s="101"/>
      <c r="B450" s="70" t="str">
        <f>IF(ISBLANK(A450),"",INDEX('Error Log'!$A:$J,MATCH('Scores per segment'!$A450,'Error Log'!$A:$A,0),MATCH('Scores per segment'!B$1,'Error Log'!$A$1:$J$1,0)))</f>
        <v/>
      </c>
      <c r="C450" s="70" t="str">
        <f>IF(ISBLANK(A450),"",INDEX('Error Log'!$A:$J,MATCH('Scores per segment'!$A450,'Error Log'!$A:$A,0),MATCH('Scores per segment'!C$1,'Error Log'!$A$1:$J$1,0)))</f>
        <v/>
      </c>
      <c r="D450" s="70">
        <f>IF(H450=0,wdct(TRIM(C450)),0)</f>
        <v>0</v>
      </c>
      <c r="E450" s="70">
        <f>COUNTIFS('Error Log'!$A:$A,$A450,'Error Log'!$J:$J,E$1)</f>
        <v>0</v>
      </c>
      <c r="F450" s="70">
        <f>COUNTIFS('Error Log'!$A:$A,$A450,'Error Log'!$J:$J,F$1)</f>
        <v>0</v>
      </c>
      <c r="G450" s="70">
        <f>COUNTIFS('Error Log'!$A:$A,$A450,'Error Log'!$J:$J,G$1)</f>
        <v>0</v>
      </c>
      <c r="H450" s="70">
        <f>COUNTIFS('Error Log'!$A:$A,$A450,'Error Log'!$F:$F,"Source")</f>
        <v>0</v>
      </c>
      <c r="I450" s="70">
        <f>COUNTIFS('Error Log'!$A:$A,$A450,'Error Log'!$F:$F,"Target")</f>
        <v>0</v>
      </c>
      <c r="J450" s="71">
        <f t="shared" ref="J450:J501" si="7">IF(I450=0,IFERROR((((1-((E450*10+F450*5+G450*1)/D450))*100)+100)/2,0),-150)</f>
        <v>0</v>
      </c>
    </row>
    <row r="451" spans="1:10">
      <c r="A451" s="101"/>
      <c r="B451" s="70" t="str">
        <f>IF(ISBLANK(A451),"",INDEX('Error Log'!$A:$J,MATCH('Scores per segment'!$A451,'Error Log'!$A:$A,0),MATCH('Scores per segment'!B$1,'Error Log'!$A$1:$J$1,0)))</f>
        <v/>
      </c>
      <c r="C451" s="70" t="str">
        <f>IF(ISBLANK(A451),"",INDEX('Error Log'!$A:$J,MATCH('Scores per segment'!$A451,'Error Log'!$A:$A,0),MATCH('Scores per segment'!C$1,'Error Log'!$A$1:$J$1,0)))</f>
        <v/>
      </c>
      <c r="D451" s="70">
        <f>IF(H451=0,wdct(TRIM(C451)),0)</f>
        <v>0</v>
      </c>
      <c r="E451" s="70">
        <f>COUNTIFS('Error Log'!$A:$A,$A451,'Error Log'!$J:$J,E$1)</f>
        <v>0</v>
      </c>
      <c r="F451" s="70">
        <f>COUNTIFS('Error Log'!$A:$A,$A451,'Error Log'!$J:$J,F$1)</f>
        <v>0</v>
      </c>
      <c r="G451" s="70">
        <f>COUNTIFS('Error Log'!$A:$A,$A451,'Error Log'!$J:$J,G$1)</f>
        <v>0</v>
      </c>
      <c r="H451" s="70">
        <f>COUNTIFS('Error Log'!$A:$A,$A451,'Error Log'!$F:$F,"Source")</f>
        <v>0</v>
      </c>
      <c r="I451" s="70">
        <f>COUNTIFS('Error Log'!$A:$A,$A451,'Error Log'!$F:$F,"Target")</f>
        <v>0</v>
      </c>
      <c r="J451" s="71">
        <f t="shared" si="7"/>
        <v>0</v>
      </c>
    </row>
    <row r="452" spans="1:10">
      <c r="A452" s="101"/>
      <c r="B452" s="70" t="str">
        <f>IF(ISBLANK(A452),"",INDEX('Error Log'!$A:$J,MATCH('Scores per segment'!$A452,'Error Log'!$A:$A,0),MATCH('Scores per segment'!B$1,'Error Log'!$A$1:$J$1,0)))</f>
        <v/>
      </c>
      <c r="C452" s="70" t="str">
        <f>IF(ISBLANK(A452),"",INDEX('Error Log'!$A:$J,MATCH('Scores per segment'!$A452,'Error Log'!$A:$A,0),MATCH('Scores per segment'!C$1,'Error Log'!$A$1:$J$1,0)))</f>
        <v/>
      </c>
      <c r="D452" s="70">
        <f>IF(H452=0,wdct(TRIM(C452)),0)</f>
        <v>0</v>
      </c>
      <c r="E452" s="70">
        <f>COUNTIFS('Error Log'!$A:$A,$A452,'Error Log'!$J:$J,E$1)</f>
        <v>0</v>
      </c>
      <c r="F452" s="70">
        <f>COUNTIFS('Error Log'!$A:$A,$A452,'Error Log'!$J:$J,F$1)</f>
        <v>0</v>
      </c>
      <c r="G452" s="70">
        <f>COUNTIFS('Error Log'!$A:$A,$A452,'Error Log'!$J:$J,G$1)</f>
        <v>0</v>
      </c>
      <c r="H452" s="70">
        <f>COUNTIFS('Error Log'!$A:$A,$A452,'Error Log'!$F:$F,"Source")</f>
        <v>0</v>
      </c>
      <c r="I452" s="70">
        <f>COUNTIFS('Error Log'!$A:$A,$A452,'Error Log'!$F:$F,"Target")</f>
        <v>0</v>
      </c>
      <c r="J452" s="71">
        <f t="shared" si="7"/>
        <v>0</v>
      </c>
    </row>
    <row r="453" spans="1:10">
      <c r="A453" s="101"/>
      <c r="B453" s="70" t="str">
        <f>IF(ISBLANK(A453),"",INDEX('Error Log'!$A:$J,MATCH('Scores per segment'!$A453,'Error Log'!$A:$A,0),MATCH('Scores per segment'!B$1,'Error Log'!$A$1:$J$1,0)))</f>
        <v/>
      </c>
      <c r="C453" s="70" t="str">
        <f>IF(ISBLANK(A453),"",INDEX('Error Log'!$A:$J,MATCH('Scores per segment'!$A453,'Error Log'!$A:$A,0),MATCH('Scores per segment'!C$1,'Error Log'!$A$1:$J$1,0)))</f>
        <v/>
      </c>
      <c r="D453" s="70">
        <f>IF(H453=0,wdct(TRIM(C453)),0)</f>
        <v>0</v>
      </c>
      <c r="E453" s="70">
        <f>COUNTIFS('Error Log'!$A:$A,$A453,'Error Log'!$J:$J,E$1)</f>
        <v>0</v>
      </c>
      <c r="F453" s="70">
        <f>COUNTIFS('Error Log'!$A:$A,$A453,'Error Log'!$J:$J,F$1)</f>
        <v>0</v>
      </c>
      <c r="G453" s="70">
        <f>COUNTIFS('Error Log'!$A:$A,$A453,'Error Log'!$J:$J,G$1)</f>
        <v>0</v>
      </c>
      <c r="H453" s="70">
        <f>COUNTIFS('Error Log'!$A:$A,$A453,'Error Log'!$F:$F,"Source")</f>
        <v>0</v>
      </c>
      <c r="I453" s="70">
        <f>COUNTIFS('Error Log'!$A:$A,$A453,'Error Log'!$F:$F,"Target")</f>
        <v>0</v>
      </c>
      <c r="J453" s="71">
        <f t="shared" si="7"/>
        <v>0</v>
      </c>
    </row>
    <row r="454" spans="1:10">
      <c r="A454" s="101"/>
      <c r="B454" s="70" t="str">
        <f>IF(ISBLANK(A454),"",INDEX('Error Log'!$A:$J,MATCH('Scores per segment'!$A454,'Error Log'!$A:$A,0),MATCH('Scores per segment'!B$1,'Error Log'!$A$1:$J$1,0)))</f>
        <v/>
      </c>
      <c r="C454" s="70" t="str">
        <f>IF(ISBLANK(A454),"",INDEX('Error Log'!$A:$J,MATCH('Scores per segment'!$A454,'Error Log'!$A:$A,0),MATCH('Scores per segment'!C$1,'Error Log'!$A$1:$J$1,0)))</f>
        <v/>
      </c>
      <c r="D454" s="70">
        <f>IF(H454=0,wdct(TRIM(C454)),0)</f>
        <v>0</v>
      </c>
      <c r="E454" s="70">
        <f>COUNTIFS('Error Log'!$A:$A,$A454,'Error Log'!$J:$J,E$1)</f>
        <v>0</v>
      </c>
      <c r="F454" s="70">
        <f>COUNTIFS('Error Log'!$A:$A,$A454,'Error Log'!$J:$J,F$1)</f>
        <v>0</v>
      </c>
      <c r="G454" s="70">
        <f>COUNTIFS('Error Log'!$A:$A,$A454,'Error Log'!$J:$J,G$1)</f>
        <v>0</v>
      </c>
      <c r="H454" s="70">
        <f>COUNTIFS('Error Log'!$A:$A,$A454,'Error Log'!$F:$F,"Source")</f>
        <v>0</v>
      </c>
      <c r="I454" s="70">
        <f>COUNTIFS('Error Log'!$A:$A,$A454,'Error Log'!$F:$F,"Target")</f>
        <v>0</v>
      </c>
      <c r="J454" s="71">
        <f t="shared" si="7"/>
        <v>0</v>
      </c>
    </row>
    <row r="455" spans="1:10">
      <c r="A455" s="101"/>
      <c r="B455" s="70" t="str">
        <f>IF(ISBLANK(A455),"",INDEX('Error Log'!$A:$J,MATCH('Scores per segment'!$A455,'Error Log'!$A:$A,0),MATCH('Scores per segment'!B$1,'Error Log'!$A$1:$J$1,0)))</f>
        <v/>
      </c>
      <c r="C455" s="70" t="str">
        <f>IF(ISBLANK(A455),"",INDEX('Error Log'!$A:$J,MATCH('Scores per segment'!$A455,'Error Log'!$A:$A,0),MATCH('Scores per segment'!C$1,'Error Log'!$A$1:$J$1,0)))</f>
        <v/>
      </c>
      <c r="D455" s="70">
        <f>IF(H455=0,wdct(TRIM(C455)),0)</f>
        <v>0</v>
      </c>
      <c r="E455" s="70">
        <f>COUNTIFS('Error Log'!$A:$A,$A455,'Error Log'!$J:$J,E$1)</f>
        <v>0</v>
      </c>
      <c r="F455" s="70">
        <f>COUNTIFS('Error Log'!$A:$A,$A455,'Error Log'!$J:$J,F$1)</f>
        <v>0</v>
      </c>
      <c r="G455" s="70">
        <f>COUNTIFS('Error Log'!$A:$A,$A455,'Error Log'!$J:$J,G$1)</f>
        <v>0</v>
      </c>
      <c r="H455" s="70">
        <f>COUNTIFS('Error Log'!$A:$A,$A455,'Error Log'!$F:$F,"Source")</f>
        <v>0</v>
      </c>
      <c r="I455" s="70">
        <f>COUNTIFS('Error Log'!$A:$A,$A455,'Error Log'!$F:$F,"Target")</f>
        <v>0</v>
      </c>
      <c r="J455" s="71">
        <f t="shared" si="7"/>
        <v>0</v>
      </c>
    </row>
    <row r="456" spans="1:10">
      <c r="A456" s="101"/>
      <c r="B456" s="70" t="str">
        <f>IF(ISBLANK(A456),"",INDEX('Error Log'!$A:$J,MATCH('Scores per segment'!$A456,'Error Log'!$A:$A,0),MATCH('Scores per segment'!B$1,'Error Log'!$A$1:$J$1,0)))</f>
        <v/>
      </c>
      <c r="C456" s="70" t="str">
        <f>IF(ISBLANK(A456),"",INDEX('Error Log'!$A:$J,MATCH('Scores per segment'!$A456,'Error Log'!$A:$A,0),MATCH('Scores per segment'!C$1,'Error Log'!$A$1:$J$1,0)))</f>
        <v/>
      </c>
      <c r="D456" s="70">
        <f>IF(H456=0,wdct(TRIM(C456)),0)</f>
        <v>0</v>
      </c>
      <c r="E456" s="70">
        <f>COUNTIFS('Error Log'!$A:$A,$A456,'Error Log'!$J:$J,E$1)</f>
        <v>0</v>
      </c>
      <c r="F456" s="70">
        <f>COUNTIFS('Error Log'!$A:$A,$A456,'Error Log'!$J:$J,F$1)</f>
        <v>0</v>
      </c>
      <c r="G456" s="70">
        <f>COUNTIFS('Error Log'!$A:$A,$A456,'Error Log'!$J:$J,G$1)</f>
        <v>0</v>
      </c>
      <c r="H456" s="70">
        <f>COUNTIFS('Error Log'!$A:$A,$A456,'Error Log'!$F:$F,"Source")</f>
        <v>0</v>
      </c>
      <c r="I456" s="70">
        <f>COUNTIFS('Error Log'!$A:$A,$A456,'Error Log'!$F:$F,"Target")</f>
        <v>0</v>
      </c>
      <c r="J456" s="71">
        <f t="shared" si="7"/>
        <v>0</v>
      </c>
    </row>
    <row r="457" spans="1:10">
      <c r="A457" s="101"/>
      <c r="B457" s="70" t="str">
        <f>IF(ISBLANK(A457),"",INDEX('Error Log'!$A:$J,MATCH('Scores per segment'!$A457,'Error Log'!$A:$A,0),MATCH('Scores per segment'!B$1,'Error Log'!$A$1:$J$1,0)))</f>
        <v/>
      </c>
      <c r="C457" s="70" t="str">
        <f>IF(ISBLANK(A457),"",INDEX('Error Log'!$A:$J,MATCH('Scores per segment'!$A457,'Error Log'!$A:$A,0),MATCH('Scores per segment'!C$1,'Error Log'!$A$1:$J$1,0)))</f>
        <v/>
      </c>
      <c r="D457" s="70">
        <f>IF(H457=0,wdct(TRIM(C457)),0)</f>
        <v>0</v>
      </c>
      <c r="E457" s="70">
        <f>COUNTIFS('Error Log'!$A:$A,$A457,'Error Log'!$J:$J,E$1)</f>
        <v>0</v>
      </c>
      <c r="F457" s="70">
        <f>COUNTIFS('Error Log'!$A:$A,$A457,'Error Log'!$J:$J,F$1)</f>
        <v>0</v>
      </c>
      <c r="G457" s="70">
        <f>COUNTIFS('Error Log'!$A:$A,$A457,'Error Log'!$J:$J,G$1)</f>
        <v>0</v>
      </c>
      <c r="H457" s="70">
        <f>COUNTIFS('Error Log'!$A:$A,$A457,'Error Log'!$F:$F,"Source")</f>
        <v>0</v>
      </c>
      <c r="I457" s="70">
        <f>COUNTIFS('Error Log'!$A:$A,$A457,'Error Log'!$F:$F,"Target")</f>
        <v>0</v>
      </c>
      <c r="J457" s="71">
        <f t="shared" si="7"/>
        <v>0</v>
      </c>
    </row>
    <row r="458" spans="1:10">
      <c r="A458" s="101"/>
      <c r="B458" s="70" t="str">
        <f>IF(ISBLANK(A458),"",INDEX('Error Log'!$A:$J,MATCH('Scores per segment'!$A458,'Error Log'!$A:$A,0),MATCH('Scores per segment'!B$1,'Error Log'!$A$1:$J$1,0)))</f>
        <v/>
      </c>
      <c r="C458" s="70" t="str">
        <f>IF(ISBLANK(A458),"",INDEX('Error Log'!$A:$J,MATCH('Scores per segment'!$A458,'Error Log'!$A:$A,0),MATCH('Scores per segment'!C$1,'Error Log'!$A$1:$J$1,0)))</f>
        <v/>
      </c>
      <c r="D458" s="70">
        <f>IF(H458=0,wdct(TRIM(C458)),0)</f>
        <v>0</v>
      </c>
      <c r="E458" s="70">
        <f>COUNTIFS('Error Log'!$A:$A,$A458,'Error Log'!$J:$J,E$1)</f>
        <v>0</v>
      </c>
      <c r="F458" s="70">
        <f>COUNTIFS('Error Log'!$A:$A,$A458,'Error Log'!$J:$J,F$1)</f>
        <v>0</v>
      </c>
      <c r="G458" s="70">
        <f>COUNTIFS('Error Log'!$A:$A,$A458,'Error Log'!$J:$J,G$1)</f>
        <v>0</v>
      </c>
      <c r="H458" s="70">
        <f>COUNTIFS('Error Log'!$A:$A,$A458,'Error Log'!$F:$F,"Source")</f>
        <v>0</v>
      </c>
      <c r="I458" s="70">
        <f>COUNTIFS('Error Log'!$A:$A,$A458,'Error Log'!$F:$F,"Target")</f>
        <v>0</v>
      </c>
      <c r="J458" s="71">
        <f t="shared" si="7"/>
        <v>0</v>
      </c>
    </row>
    <row r="459" spans="1:10">
      <c r="A459" s="101"/>
      <c r="B459" s="70" t="str">
        <f>IF(ISBLANK(A459),"",INDEX('Error Log'!$A:$J,MATCH('Scores per segment'!$A459,'Error Log'!$A:$A,0),MATCH('Scores per segment'!B$1,'Error Log'!$A$1:$J$1,0)))</f>
        <v/>
      </c>
      <c r="C459" s="70" t="str">
        <f>IF(ISBLANK(A459),"",INDEX('Error Log'!$A:$J,MATCH('Scores per segment'!$A459,'Error Log'!$A:$A,0),MATCH('Scores per segment'!C$1,'Error Log'!$A$1:$J$1,0)))</f>
        <v/>
      </c>
      <c r="D459" s="70">
        <f>IF(H459=0,wdct(TRIM(C459)),0)</f>
        <v>0</v>
      </c>
      <c r="E459" s="70">
        <f>COUNTIFS('Error Log'!$A:$A,$A459,'Error Log'!$J:$J,E$1)</f>
        <v>0</v>
      </c>
      <c r="F459" s="70">
        <f>COUNTIFS('Error Log'!$A:$A,$A459,'Error Log'!$J:$J,F$1)</f>
        <v>0</v>
      </c>
      <c r="G459" s="70">
        <f>COUNTIFS('Error Log'!$A:$A,$A459,'Error Log'!$J:$J,G$1)</f>
        <v>0</v>
      </c>
      <c r="H459" s="70">
        <f>COUNTIFS('Error Log'!$A:$A,$A459,'Error Log'!$F:$F,"Source")</f>
        <v>0</v>
      </c>
      <c r="I459" s="70">
        <f>COUNTIFS('Error Log'!$A:$A,$A459,'Error Log'!$F:$F,"Target")</f>
        <v>0</v>
      </c>
      <c r="J459" s="71">
        <f t="shared" si="7"/>
        <v>0</v>
      </c>
    </row>
    <row r="460" spans="1:10">
      <c r="A460" s="101"/>
      <c r="B460" s="70" t="str">
        <f>IF(ISBLANK(A460),"",INDEX('Error Log'!$A:$J,MATCH('Scores per segment'!$A460,'Error Log'!$A:$A,0),MATCH('Scores per segment'!B$1,'Error Log'!$A$1:$J$1,0)))</f>
        <v/>
      </c>
      <c r="C460" s="70" t="str">
        <f>IF(ISBLANK(A460),"",INDEX('Error Log'!$A:$J,MATCH('Scores per segment'!$A460,'Error Log'!$A:$A,0),MATCH('Scores per segment'!C$1,'Error Log'!$A$1:$J$1,0)))</f>
        <v/>
      </c>
      <c r="D460" s="70">
        <f>IF(H460=0,wdct(TRIM(C460)),0)</f>
        <v>0</v>
      </c>
      <c r="E460" s="70">
        <f>COUNTIFS('Error Log'!$A:$A,$A460,'Error Log'!$J:$J,E$1)</f>
        <v>0</v>
      </c>
      <c r="F460" s="70">
        <f>COUNTIFS('Error Log'!$A:$A,$A460,'Error Log'!$J:$J,F$1)</f>
        <v>0</v>
      </c>
      <c r="G460" s="70">
        <f>COUNTIFS('Error Log'!$A:$A,$A460,'Error Log'!$J:$J,G$1)</f>
        <v>0</v>
      </c>
      <c r="H460" s="70">
        <f>COUNTIFS('Error Log'!$A:$A,$A460,'Error Log'!$F:$F,"Source")</f>
        <v>0</v>
      </c>
      <c r="I460" s="70">
        <f>COUNTIFS('Error Log'!$A:$A,$A460,'Error Log'!$F:$F,"Target")</f>
        <v>0</v>
      </c>
      <c r="J460" s="71">
        <f t="shared" si="7"/>
        <v>0</v>
      </c>
    </row>
    <row r="461" spans="1:10">
      <c r="A461" s="101"/>
      <c r="B461" s="70" t="str">
        <f>IF(ISBLANK(A461),"",INDEX('Error Log'!$A:$J,MATCH('Scores per segment'!$A461,'Error Log'!$A:$A,0),MATCH('Scores per segment'!B$1,'Error Log'!$A$1:$J$1,0)))</f>
        <v/>
      </c>
      <c r="C461" s="70" t="str">
        <f>IF(ISBLANK(A461),"",INDEX('Error Log'!$A:$J,MATCH('Scores per segment'!$A461,'Error Log'!$A:$A,0),MATCH('Scores per segment'!C$1,'Error Log'!$A$1:$J$1,0)))</f>
        <v/>
      </c>
      <c r="D461" s="70">
        <f>IF(H461=0,wdct(TRIM(C461)),0)</f>
        <v>0</v>
      </c>
      <c r="E461" s="70">
        <f>COUNTIFS('Error Log'!$A:$A,$A461,'Error Log'!$J:$J,E$1)</f>
        <v>0</v>
      </c>
      <c r="F461" s="70">
        <f>COUNTIFS('Error Log'!$A:$A,$A461,'Error Log'!$J:$J,F$1)</f>
        <v>0</v>
      </c>
      <c r="G461" s="70">
        <f>COUNTIFS('Error Log'!$A:$A,$A461,'Error Log'!$J:$J,G$1)</f>
        <v>0</v>
      </c>
      <c r="H461" s="70">
        <f>COUNTIFS('Error Log'!$A:$A,$A461,'Error Log'!$F:$F,"Source")</f>
        <v>0</v>
      </c>
      <c r="I461" s="70">
        <f>COUNTIFS('Error Log'!$A:$A,$A461,'Error Log'!$F:$F,"Target")</f>
        <v>0</v>
      </c>
      <c r="J461" s="71">
        <f t="shared" si="7"/>
        <v>0</v>
      </c>
    </row>
    <row r="462" spans="1:10">
      <c r="A462" s="101"/>
      <c r="B462" s="70" t="str">
        <f>IF(ISBLANK(A462),"",INDEX('Error Log'!$A:$J,MATCH('Scores per segment'!$A462,'Error Log'!$A:$A,0),MATCH('Scores per segment'!B$1,'Error Log'!$A$1:$J$1,0)))</f>
        <v/>
      </c>
      <c r="C462" s="70" t="str">
        <f>IF(ISBLANK(A462),"",INDEX('Error Log'!$A:$J,MATCH('Scores per segment'!$A462,'Error Log'!$A:$A,0),MATCH('Scores per segment'!C$1,'Error Log'!$A$1:$J$1,0)))</f>
        <v/>
      </c>
      <c r="D462" s="70">
        <f>IF(H462=0,wdct(TRIM(C462)),0)</f>
        <v>0</v>
      </c>
      <c r="E462" s="70">
        <f>COUNTIFS('Error Log'!$A:$A,$A462,'Error Log'!$J:$J,E$1)</f>
        <v>0</v>
      </c>
      <c r="F462" s="70">
        <f>COUNTIFS('Error Log'!$A:$A,$A462,'Error Log'!$J:$J,F$1)</f>
        <v>0</v>
      </c>
      <c r="G462" s="70">
        <f>COUNTIFS('Error Log'!$A:$A,$A462,'Error Log'!$J:$J,G$1)</f>
        <v>0</v>
      </c>
      <c r="H462" s="70">
        <f>COUNTIFS('Error Log'!$A:$A,$A462,'Error Log'!$F:$F,"Source")</f>
        <v>0</v>
      </c>
      <c r="I462" s="70">
        <f>COUNTIFS('Error Log'!$A:$A,$A462,'Error Log'!$F:$F,"Target")</f>
        <v>0</v>
      </c>
      <c r="J462" s="71">
        <f t="shared" si="7"/>
        <v>0</v>
      </c>
    </row>
    <row r="463" spans="1:10">
      <c r="A463" s="101"/>
      <c r="B463" s="70" t="str">
        <f>IF(ISBLANK(A463),"",INDEX('Error Log'!$A:$J,MATCH('Scores per segment'!$A463,'Error Log'!$A:$A,0),MATCH('Scores per segment'!B$1,'Error Log'!$A$1:$J$1,0)))</f>
        <v/>
      </c>
      <c r="C463" s="70" t="str">
        <f>IF(ISBLANK(A463),"",INDEX('Error Log'!$A:$J,MATCH('Scores per segment'!$A463,'Error Log'!$A:$A,0),MATCH('Scores per segment'!C$1,'Error Log'!$A$1:$J$1,0)))</f>
        <v/>
      </c>
      <c r="D463" s="70">
        <f>IF(H463=0,wdct(TRIM(C463)),0)</f>
        <v>0</v>
      </c>
      <c r="E463" s="70">
        <f>COUNTIFS('Error Log'!$A:$A,$A463,'Error Log'!$J:$J,E$1)</f>
        <v>0</v>
      </c>
      <c r="F463" s="70">
        <f>COUNTIFS('Error Log'!$A:$A,$A463,'Error Log'!$J:$J,F$1)</f>
        <v>0</v>
      </c>
      <c r="G463" s="70">
        <f>COUNTIFS('Error Log'!$A:$A,$A463,'Error Log'!$J:$J,G$1)</f>
        <v>0</v>
      </c>
      <c r="H463" s="70">
        <f>COUNTIFS('Error Log'!$A:$A,$A463,'Error Log'!$F:$F,"Source")</f>
        <v>0</v>
      </c>
      <c r="I463" s="70">
        <f>COUNTIFS('Error Log'!$A:$A,$A463,'Error Log'!$F:$F,"Target")</f>
        <v>0</v>
      </c>
      <c r="J463" s="71">
        <f t="shared" si="7"/>
        <v>0</v>
      </c>
    </row>
    <row r="464" spans="1:10">
      <c r="A464" s="101"/>
      <c r="B464" s="70" t="str">
        <f>IF(ISBLANK(A464),"",INDEX('Error Log'!$A:$J,MATCH('Scores per segment'!$A464,'Error Log'!$A:$A,0),MATCH('Scores per segment'!B$1,'Error Log'!$A$1:$J$1,0)))</f>
        <v/>
      </c>
      <c r="C464" s="70" t="str">
        <f>IF(ISBLANK(A464),"",INDEX('Error Log'!$A:$J,MATCH('Scores per segment'!$A464,'Error Log'!$A:$A,0),MATCH('Scores per segment'!C$1,'Error Log'!$A$1:$J$1,0)))</f>
        <v/>
      </c>
      <c r="D464" s="70">
        <f>IF(H464=0,wdct(TRIM(C464)),0)</f>
        <v>0</v>
      </c>
      <c r="E464" s="70">
        <f>COUNTIFS('Error Log'!$A:$A,$A464,'Error Log'!$J:$J,E$1)</f>
        <v>0</v>
      </c>
      <c r="F464" s="70">
        <f>COUNTIFS('Error Log'!$A:$A,$A464,'Error Log'!$J:$J,F$1)</f>
        <v>0</v>
      </c>
      <c r="G464" s="70">
        <f>COUNTIFS('Error Log'!$A:$A,$A464,'Error Log'!$J:$J,G$1)</f>
        <v>0</v>
      </c>
      <c r="H464" s="70">
        <f>COUNTIFS('Error Log'!$A:$A,$A464,'Error Log'!$F:$F,"Source")</f>
        <v>0</v>
      </c>
      <c r="I464" s="70">
        <f>COUNTIFS('Error Log'!$A:$A,$A464,'Error Log'!$F:$F,"Target")</f>
        <v>0</v>
      </c>
      <c r="J464" s="71">
        <f t="shared" si="7"/>
        <v>0</v>
      </c>
    </row>
    <row r="465" spans="1:10">
      <c r="A465" s="101"/>
      <c r="B465" s="70" t="str">
        <f>IF(ISBLANK(A465),"",INDEX('Error Log'!$A:$J,MATCH('Scores per segment'!$A465,'Error Log'!$A:$A,0),MATCH('Scores per segment'!B$1,'Error Log'!$A$1:$J$1,0)))</f>
        <v/>
      </c>
      <c r="C465" s="70" t="str">
        <f>IF(ISBLANK(A465),"",INDEX('Error Log'!$A:$J,MATCH('Scores per segment'!$A465,'Error Log'!$A:$A,0),MATCH('Scores per segment'!C$1,'Error Log'!$A$1:$J$1,0)))</f>
        <v/>
      </c>
      <c r="D465" s="70">
        <f>IF(H465=0,wdct(TRIM(C465)),0)</f>
        <v>0</v>
      </c>
      <c r="E465" s="70">
        <f>COUNTIFS('Error Log'!$A:$A,$A465,'Error Log'!$J:$J,E$1)</f>
        <v>0</v>
      </c>
      <c r="F465" s="70">
        <f>COUNTIFS('Error Log'!$A:$A,$A465,'Error Log'!$J:$J,F$1)</f>
        <v>0</v>
      </c>
      <c r="G465" s="70">
        <f>COUNTIFS('Error Log'!$A:$A,$A465,'Error Log'!$J:$J,G$1)</f>
        <v>0</v>
      </c>
      <c r="H465" s="70">
        <f>COUNTIFS('Error Log'!$A:$A,$A465,'Error Log'!$F:$F,"Source")</f>
        <v>0</v>
      </c>
      <c r="I465" s="70">
        <f>COUNTIFS('Error Log'!$A:$A,$A465,'Error Log'!$F:$F,"Target")</f>
        <v>0</v>
      </c>
      <c r="J465" s="71">
        <f t="shared" si="7"/>
        <v>0</v>
      </c>
    </row>
    <row r="466" spans="1:10">
      <c r="A466" s="101"/>
      <c r="B466" s="70" t="str">
        <f>IF(ISBLANK(A466),"",INDEX('Error Log'!$A:$J,MATCH('Scores per segment'!$A466,'Error Log'!$A:$A,0),MATCH('Scores per segment'!B$1,'Error Log'!$A$1:$J$1,0)))</f>
        <v/>
      </c>
      <c r="C466" s="70" t="str">
        <f>IF(ISBLANK(A466),"",INDEX('Error Log'!$A:$J,MATCH('Scores per segment'!$A466,'Error Log'!$A:$A,0),MATCH('Scores per segment'!C$1,'Error Log'!$A$1:$J$1,0)))</f>
        <v/>
      </c>
      <c r="D466" s="70">
        <f>IF(H466=0,wdct(TRIM(C466)),0)</f>
        <v>0</v>
      </c>
      <c r="E466" s="70">
        <f>COUNTIFS('Error Log'!$A:$A,$A466,'Error Log'!$J:$J,E$1)</f>
        <v>0</v>
      </c>
      <c r="F466" s="70">
        <f>COUNTIFS('Error Log'!$A:$A,$A466,'Error Log'!$J:$J,F$1)</f>
        <v>0</v>
      </c>
      <c r="G466" s="70">
        <f>COUNTIFS('Error Log'!$A:$A,$A466,'Error Log'!$J:$J,G$1)</f>
        <v>0</v>
      </c>
      <c r="H466" s="70">
        <f>COUNTIFS('Error Log'!$A:$A,$A466,'Error Log'!$F:$F,"Source")</f>
        <v>0</v>
      </c>
      <c r="I466" s="70">
        <f>COUNTIFS('Error Log'!$A:$A,$A466,'Error Log'!$F:$F,"Target")</f>
        <v>0</v>
      </c>
      <c r="J466" s="71">
        <f t="shared" si="7"/>
        <v>0</v>
      </c>
    </row>
    <row r="467" spans="1:10">
      <c r="A467" s="101"/>
      <c r="B467" s="70" t="str">
        <f>IF(ISBLANK(A467),"",INDEX('Error Log'!$A:$J,MATCH('Scores per segment'!$A467,'Error Log'!$A:$A,0),MATCH('Scores per segment'!B$1,'Error Log'!$A$1:$J$1,0)))</f>
        <v/>
      </c>
      <c r="C467" s="70" t="str">
        <f>IF(ISBLANK(A467),"",INDEX('Error Log'!$A:$J,MATCH('Scores per segment'!$A467,'Error Log'!$A:$A,0),MATCH('Scores per segment'!C$1,'Error Log'!$A$1:$J$1,0)))</f>
        <v/>
      </c>
      <c r="D467" s="70">
        <f>IF(H467=0,wdct(TRIM(C467)),0)</f>
        <v>0</v>
      </c>
      <c r="E467" s="70">
        <f>COUNTIFS('Error Log'!$A:$A,$A467,'Error Log'!$J:$J,E$1)</f>
        <v>0</v>
      </c>
      <c r="F467" s="70">
        <f>COUNTIFS('Error Log'!$A:$A,$A467,'Error Log'!$J:$J,F$1)</f>
        <v>0</v>
      </c>
      <c r="G467" s="70">
        <f>COUNTIFS('Error Log'!$A:$A,$A467,'Error Log'!$J:$J,G$1)</f>
        <v>0</v>
      </c>
      <c r="H467" s="70">
        <f>COUNTIFS('Error Log'!$A:$A,$A467,'Error Log'!$F:$F,"Source")</f>
        <v>0</v>
      </c>
      <c r="I467" s="70">
        <f>COUNTIFS('Error Log'!$A:$A,$A467,'Error Log'!$F:$F,"Target")</f>
        <v>0</v>
      </c>
      <c r="J467" s="71">
        <f t="shared" si="7"/>
        <v>0</v>
      </c>
    </row>
    <row r="468" spans="1:10">
      <c r="A468" s="101"/>
      <c r="B468" s="70" t="str">
        <f>IF(ISBLANK(A468),"",INDEX('Error Log'!$A:$J,MATCH('Scores per segment'!$A468,'Error Log'!$A:$A,0),MATCH('Scores per segment'!B$1,'Error Log'!$A$1:$J$1,0)))</f>
        <v/>
      </c>
      <c r="C468" s="70" t="str">
        <f>IF(ISBLANK(A468),"",INDEX('Error Log'!$A:$J,MATCH('Scores per segment'!$A468,'Error Log'!$A:$A,0),MATCH('Scores per segment'!C$1,'Error Log'!$A$1:$J$1,0)))</f>
        <v/>
      </c>
      <c r="D468" s="70">
        <f>IF(H468=0,wdct(TRIM(C468)),0)</f>
        <v>0</v>
      </c>
      <c r="E468" s="70">
        <f>COUNTIFS('Error Log'!$A:$A,$A468,'Error Log'!$J:$J,E$1)</f>
        <v>0</v>
      </c>
      <c r="F468" s="70">
        <f>COUNTIFS('Error Log'!$A:$A,$A468,'Error Log'!$J:$J,F$1)</f>
        <v>0</v>
      </c>
      <c r="G468" s="70">
        <f>COUNTIFS('Error Log'!$A:$A,$A468,'Error Log'!$J:$J,G$1)</f>
        <v>0</v>
      </c>
      <c r="H468" s="70">
        <f>COUNTIFS('Error Log'!$A:$A,$A468,'Error Log'!$F:$F,"Source")</f>
        <v>0</v>
      </c>
      <c r="I468" s="70">
        <f>COUNTIFS('Error Log'!$A:$A,$A468,'Error Log'!$F:$F,"Target")</f>
        <v>0</v>
      </c>
      <c r="J468" s="71">
        <f t="shared" si="7"/>
        <v>0</v>
      </c>
    </row>
    <row r="469" spans="1:10">
      <c r="A469" s="101"/>
      <c r="B469" s="70" t="str">
        <f>IF(ISBLANK(A469),"",INDEX('Error Log'!$A:$J,MATCH('Scores per segment'!$A469,'Error Log'!$A:$A,0),MATCH('Scores per segment'!B$1,'Error Log'!$A$1:$J$1,0)))</f>
        <v/>
      </c>
      <c r="C469" s="70" t="str">
        <f>IF(ISBLANK(A469),"",INDEX('Error Log'!$A:$J,MATCH('Scores per segment'!$A469,'Error Log'!$A:$A,0),MATCH('Scores per segment'!C$1,'Error Log'!$A$1:$J$1,0)))</f>
        <v/>
      </c>
      <c r="D469" s="70">
        <f>IF(H469=0,wdct(TRIM(C469)),0)</f>
        <v>0</v>
      </c>
      <c r="E469" s="70">
        <f>COUNTIFS('Error Log'!$A:$A,$A469,'Error Log'!$J:$J,E$1)</f>
        <v>0</v>
      </c>
      <c r="F469" s="70">
        <f>COUNTIFS('Error Log'!$A:$A,$A469,'Error Log'!$J:$J,F$1)</f>
        <v>0</v>
      </c>
      <c r="G469" s="70">
        <f>COUNTIFS('Error Log'!$A:$A,$A469,'Error Log'!$J:$J,G$1)</f>
        <v>0</v>
      </c>
      <c r="H469" s="70">
        <f>COUNTIFS('Error Log'!$A:$A,$A469,'Error Log'!$F:$F,"Source")</f>
        <v>0</v>
      </c>
      <c r="I469" s="70">
        <f>COUNTIFS('Error Log'!$A:$A,$A469,'Error Log'!$F:$F,"Target")</f>
        <v>0</v>
      </c>
      <c r="J469" s="71">
        <f t="shared" si="7"/>
        <v>0</v>
      </c>
    </row>
    <row r="470" spans="1:10">
      <c r="A470" s="101"/>
      <c r="B470" s="70" t="str">
        <f>IF(ISBLANK(A470),"",INDEX('Error Log'!$A:$J,MATCH('Scores per segment'!$A470,'Error Log'!$A:$A,0),MATCH('Scores per segment'!B$1,'Error Log'!$A$1:$J$1,0)))</f>
        <v/>
      </c>
      <c r="C470" s="70" t="str">
        <f>IF(ISBLANK(A470),"",INDEX('Error Log'!$A:$J,MATCH('Scores per segment'!$A470,'Error Log'!$A:$A,0),MATCH('Scores per segment'!C$1,'Error Log'!$A$1:$J$1,0)))</f>
        <v/>
      </c>
      <c r="D470" s="70">
        <f>IF(H470=0,wdct(TRIM(C470)),0)</f>
        <v>0</v>
      </c>
      <c r="E470" s="70">
        <f>COUNTIFS('Error Log'!$A:$A,$A470,'Error Log'!$J:$J,E$1)</f>
        <v>0</v>
      </c>
      <c r="F470" s="70">
        <f>COUNTIFS('Error Log'!$A:$A,$A470,'Error Log'!$J:$J,F$1)</f>
        <v>0</v>
      </c>
      <c r="G470" s="70">
        <f>COUNTIFS('Error Log'!$A:$A,$A470,'Error Log'!$J:$J,G$1)</f>
        <v>0</v>
      </c>
      <c r="H470" s="70">
        <f>COUNTIFS('Error Log'!$A:$A,$A470,'Error Log'!$F:$F,"Source")</f>
        <v>0</v>
      </c>
      <c r="I470" s="70">
        <f>COUNTIFS('Error Log'!$A:$A,$A470,'Error Log'!$F:$F,"Target")</f>
        <v>0</v>
      </c>
      <c r="J470" s="71">
        <f t="shared" si="7"/>
        <v>0</v>
      </c>
    </row>
    <row r="471" spans="1:10">
      <c r="A471" s="101"/>
      <c r="B471" s="70" t="str">
        <f>IF(ISBLANK(A471),"",INDEX('Error Log'!$A:$J,MATCH('Scores per segment'!$A471,'Error Log'!$A:$A,0),MATCH('Scores per segment'!B$1,'Error Log'!$A$1:$J$1,0)))</f>
        <v/>
      </c>
      <c r="C471" s="70" t="str">
        <f>IF(ISBLANK(A471),"",INDEX('Error Log'!$A:$J,MATCH('Scores per segment'!$A471,'Error Log'!$A:$A,0),MATCH('Scores per segment'!C$1,'Error Log'!$A$1:$J$1,0)))</f>
        <v/>
      </c>
      <c r="D471" s="70">
        <f>IF(H471=0,wdct(TRIM(C471)),0)</f>
        <v>0</v>
      </c>
      <c r="E471" s="70">
        <f>COUNTIFS('Error Log'!$A:$A,$A471,'Error Log'!$J:$J,E$1)</f>
        <v>0</v>
      </c>
      <c r="F471" s="70">
        <f>COUNTIFS('Error Log'!$A:$A,$A471,'Error Log'!$J:$J,F$1)</f>
        <v>0</v>
      </c>
      <c r="G471" s="70">
        <f>COUNTIFS('Error Log'!$A:$A,$A471,'Error Log'!$J:$J,G$1)</f>
        <v>0</v>
      </c>
      <c r="H471" s="70">
        <f>COUNTIFS('Error Log'!$A:$A,$A471,'Error Log'!$F:$F,"Source")</f>
        <v>0</v>
      </c>
      <c r="I471" s="70">
        <f>COUNTIFS('Error Log'!$A:$A,$A471,'Error Log'!$F:$F,"Target")</f>
        <v>0</v>
      </c>
      <c r="J471" s="71">
        <f t="shared" si="7"/>
        <v>0</v>
      </c>
    </row>
    <row r="472" spans="1:10">
      <c r="A472" s="101"/>
      <c r="B472" s="70" t="str">
        <f>IF(ISBLANK(A472),"",INDEX('Error Log'!$A:$J,MATCH('Scores per segment'!$A472,'Error Log'!$A:$A,0),MATCH('Scores per segment'!B$1,'Error Log'!$A$1:$J$1,0)))</f>
        <v/>
      </c>
      <c r="C472" s="70" t="str">
        <f>IF(ISBLANK(A472),"",INDEX('Error Log'!$A:$J,MATCH('Scores per segment'!$A472,'Error Log'!$A:$A,0),MATCH('Scores per segment'!C$1,'Error Log'!$A$1:$J$1,0)))</f>
        <v/>
      </c>
      <c r="D472" s="70">
        <f>IF(H472=0,wdct(TRIM(C472)),0)</f>
        <v>0</v>
      </c>
      <c r="E472" s="70">
        <f>COUNTIFS('Error Log'!$A:$A,$A472,'Error Log'!$J:$J,E$1)</f>
        <v>0</v>
      </c>
      <c r="F472" s="70">
        <f>COUNTIFS('Error Log'!$A:$A,$A472,'Error Log'!$J:$J,F$1)</f>
        <v>0</v>
      </c>
      <c r="G472" s="70">
        <f>COUNTIFS('Error Log'!$A:$A,$A472,'Error Log'!$J:$J,G$1)</f>
        <v>0</v>
      </c>
      <c r="H472" s="70">
        <f>COUNTIFS('Error Log'!$A:$A,$A472,'Error Log'!$F:$F,"Source")</f>
        <v>0</v>
      </c>
      <c r="I472" s="70">
        <f>COUNTIFS('Error Log'!$A:$A,$A472,'Error Log'!$F:$F,"Target")</f>
        <v>0</v>
      </c>
      <c r="J472" s="71">
        <f t="shared" si="7"/>
        <v>0</v>
      </c>
    </row>
    <row r="473" spans="1:10">
      <c r="A473" s="101"/>
      <c r="B473" s="70" t="str">
        <f>IF(ISBLANK(A473),"",INDEX('Error Log'!$A:$J,MATCH('Scores per segment'!$A473,'Error Log'!$A:$A,0),MATCH('Scores per segment'!B$1,'Error Log'!$A$1:$J$1,0)))</f>
        <v/>
      </c>
      <c r="C473" s="70" t="str">
        <f>IF(ISBLANK(A473),"",INDEX('Error Log'!$A:$J,MATCH('Scores per segment'!$A473,'Error Log'!$A:$A,0),MATCH('Scores per segment'!C$1,'Error Log'!$A$1:$J$1,0)))</f>
        <v/>
      </c>
      <c r="D473" s="70">
        <f>IF(H473=0,wdct(TRIM(C473)),0)</f>
        <v>0</v>
      </c>
      <c r="E473" s="70">
        <f>COUNTIFS('Error Log'!$A:$A,$A473,'Error Log'!$J:$J,E$1)</f>
        <v>0</v>
      </c>
      <c r="F473" s="70">
        <f>COUNTIFS('Error Log'!$A:$A,$A473,'Error Log'!$J:$J,F$1)</f>
        <v>0</v>
      </c>
      <c r="G473" s="70">
        <f>COUNTIFS('Error Log'!$A:$A,$A473,'Error Log'!$J:$J,G$1)</f>
        <v>0</v>
      </c>
      <c r="H473" s="70">
        <f>COUNTIFS('Error Log'!$A:$A,$A473,'Error Log'!$F:$F,"Source")</f>
        <v>0</v>
      </c>
      <c r="I473" s="70">
        <f>COUNTIFS('Error Log'!$A:$A,$A473,'Error Log'!$F:$F,"Target")</f>
        <v>0</v>
      </c>
      <c r="J473" s="71">
        <f t="shared" si="7"/>
        <v>0</v>
      </c>
    </row>
    <row r="474" spans="1:10">
      <c r="A474" s="101"/>
      <c r="B474" s="70" t="str">
        <f>IF(ISBLANK(A474),"",INDEX('Error Log'!$A:$J,MATCH('Scores per segment'!$A474,'Error Log'!$A:$A,0),MATCH('Scores per segment'!B$1,'Error Log'!$A$1:$J$1,0)))</f>
        <v/>
      </c>
      <c r="C474" s="70" t="str">
        <f>IF(ISBLANK(A474),"",INDEX('Error Log'!$A:$J,MATCH('Scores per segment'!$A474,'Error Log'!$A:$A,0),MATCH('Scores per segment'!C$1,'Error Log'!$A$1:$J$1,0)))</f>
        <v/>
      </c>
      <c r="D474" s="70">
        <f>IF(H474=0,wdct(TRIM(C474)),0)</f>
        <v>0</v>
      </c>
      <c r="E474" s="70">
        <f>COUNTIFS('Error Log'!$A:$A,$A474,'Error Log'!$J:$J,E$1)</f>
        <v>0</v>
      </c>
      <c r="F474" s="70">
        <f>COUNTIFS('Error Log'!$A:$A,$A474,'Error Log'!$J:$J,F$1)</f>
        <v>0</v>
      </c>
      <c r="G474" s="70">
        <f>COUNTIFS('Error Log'!$A:$A,$A474,'Error Log'!$J:$J,G$1)</f>
        <v>0</v>
      </c>
      <c r="H474" s="70">
        <f>COUNTIFS('Error Log'!$A:$A,$A474,'Error Log'!$F:$F,"Source")</f>
        <v>0</v>
      </c>
      <c r="I474" s="70">
        <f>COUNTIFS('Error Log'!$A:$A,$A474,'Error Log'!$F:$F,"Target")</f>
        <v>0</v>
      </c>
      <c r="J474" s="71">
        <f t="shared" si="7"/>
        <v>0</v>
      </c>
    </row>
    <row r="475" spans="1:10">
      <c r="A475" s="101"/>
      <c r="B475" s="70" t="str">
        <f>IF(ISBLANK(A475),"",INDEX('Error Log'!$A:$J,MATCH('Scores per segment'!$A475,'Error Log'!$A:$A,0),MATCH('Scores per segment'!B$1,'Error Log'!$A$1:$J$1,0)))</f>
        <v/>
      </c>
      <c r="C475" s="70" t="str">
        <f>IF(ISBLANK(A475),"",INDEX('Error Log'!$A:$J,MATCH('Scores per segment'!$A475,'Error Log'!$A:$A,0),MATCH('Scores per segment'!C$1,'Error Log'!$A$1:$J$1,0)))</f>
        <v/>
      </c>
      <c r="D475" s="70">
        <f>IF(H475=0,wdct(TRIM(C475)),0)</f>
        <v>0</v>
      </c>
      <c r="E475" s="70">
        <f>COUNTIFS('Error Log'!$A:$A,$A475,'Error Log'!$J:$J,E$1)</f>
        <v>0</v>
      </c>
      <c r="F475" s="70">
        <f>COUNTIFS('Error Log'!$A:$A,$A475,'Error Log'!$J:$J,F$1)</f>
        <v>0</v>
      </c>
      <c r="G475" s="70">
        <f>COUNTIFS('Error Log'!$A:$A,$A475,'Error Log'!$J:$J,G$1)</f>
        <v>0</v>
      </c>
      <c r="H475" s="70">
        <f>COUNTIFS('Error Log'!$A:$A,$A475,'Error Log'!$F:$F,"Source")</f>
        <v>0</v>
      </c>
      <c r="I475" s="70">
        <f>COUNTIFS('Error Log'!$A:$A,$A475,'Error Log'!$F:$F,"Target")</f>
        <v>0</v>
      </c>
      <c r="J475" s="71">
        <f t="shared" si="7"/>
        <v>0</v>
      </c>
    </row>
    <row r="476" spans="1:10">
      <c r="A476" s="101"/>
      <c r="B476" s="70" t="str">
        <f>IF(ISBLANK(A476),"",INDEX('Error Log'!$A:$J,MATCH('Scores per segment'!$A476,'Error Log'!$A:$A,0),MATCH('Scores per segment'!B$1,'Error Log'!$A$1:$J$1,0)))</f>
        <v/>
      </c>
      <c r="C476" s="70" t="str">
        <f>IF(ISBLANK(A476),"",INDEX('Error Log'!$A:$J,MATCH('Scores per segment'!$A476,'Error Log'!$A:$A,0),MATCH('Scores per segment'!C$1,'Error Log'!$A$1:$J$1,0)))</f>
        <v/>
      </c>
      <c r="D476" s="70">
        <f>IF(H476=0,wdct(TRIM(C476)),0)</f>
        <v>0</v>
      </c>
      <c r="E476" s="70">
        <f>COUNTIFS('Error Log'!$A:$A,$A476,'Error Log'!$J:$J,E$1)</f>
        <v>0</v>
      </c>
      <c r="F476" s="70">
        <f>COUNTIFS('Error Log'!$A:$A,$A476,'Error Log'!$J:$J,F$1)</f>
        <v>0</v>
      </c>
      <c r="G476" s="70">
        <f>COUNTIFS('Error Log'!$A:$A,$A476,'Error Log'!$J:$J,G$1)</f>
        <v>0</v>
      </c>
      <c r="H476" s="70">
        <f>COUNTIFS('Error Log'!$A:$A,$A476,'Error Log'!$F:$F,"Source")</f>
        <v>0</v>
      </c>
      <c r="I476" s="70">
        <f>COUNTIFS('Error Log'!$A:$A,$A476,'Error Log'!$F:$F,"Target")</f>
        <v>0</v>
      </c>
      <c r="J476" s="71">
        <f t="shared" si="7"/>
        <v>0</v>
      </c>
    </row>
    <row r="477" spans="1:10">
      <c r="A477" s="101"/>
      <c r="B477" s="70" t="str">
        <f>IF(ISBLANK(A477),"",INDEX('Error Log'!$A:$J,MATCH('Scores per segment'!$A477,'Error Log'!$A:$A,0),MATCH('Scores per segment'!B$1,'Error Log'!$A$1:$J$1,0)))</f>
        <v/>
      </c>
      <c r="C477" s="70" t="str">
        <f>IF(ISBLANK(A477),"",INDEX('Error Log'!$A:$J,MATCH('Scores per segment'!$A477,'Error Log'!$A:$A,0),MATCH('Scores per segment'!C$1,'Error Log'!$A$1:$J$1,0)))</f>
        <v/>
      </c>
      <c r="D477" s="70">
        <f>IF(H477=0,wdct(TRIM(C477)),0)</f>
        <v>0</v>
      </c>
      <c r="E477" s="70">
        <f>COUNTIFS('Error Log'!$A:$A,$A477,'Error Log'!$J:$J,E$1)</f>
        <v>0</v>
      </c>
      <c r="F477" s="70">
        <f>COUNTIFS('Error Log'!$A:$A,$A477,'Error Log'!$J:$J,F$1)</f>
        <v>0</v>
      </c>
      <c r="G477" s="70">
        <f>COUNTIFS('Error Log'!$A:$A,$A477,'Error Log'!$J:$J,G$1)</f>
        <v>0</v>
      </c>
      <c r="H477" s="70">
        <f>COUNTIFS('Error Log'!$A:$A,$A477,'Error Log'!$F:$F,"Source")</f>
        <v>0</v>
      </c>
      <c r="I477" s="70">
        <f>COUNTIFS('Error Log'!$A:$A,$A477,'Error Log'!$F:$F,"Target")</f>
        <v>0</v>
      </c>
      <c r="J477" s="71">
        <f t="shared" si="7"/>
        <v>0</v>
      </c>
    </row>
    <row r="478" spans="1:10">
      <c r="A478" s="101"/>
      <c r="B478" s="70" t="str">
        <f>IF(ISBLANK(A478),"",INDEX('Error Log'!$A:$J,MATCH('Scores per segment'!$A478,'Error Log'!$A:$A,0),MATCH('Scores per segment'!B$1,'Error Log'!$A$1:$J$1,0)))</f>
        <v/>
      </c>
      <c r="C478" s="70" t="str">
        <f>IF(ISBLANK(A478),"",INDEX('Error Log'!$A:$J,MATCH('Scores per segment'!$A478,'Error Log'!$A:$A,0),MATCH('Scores per segment'!C$1,'Error Log'!$A$1:$J$1,0)))</f>
        <v/>
      </c>
      <c r="D478" s="70">
        <f>IF(H478=0,wdct(TRIM(C478)),0)</f>
        <v>0</v>
      </c>
      <c r="E478" s="70">
        <f>COUNTIFS('Error Log'!$A:$A,$A478,'Error Log'!$J:$J,E$1)</f>
        <v>0</v>
      </c>
      <c r="F478" s="70">
        <f>COUNTIFS('Error Log'!$A:$A,$A478,'Error Log'!$J:$J,F$1)</f>
        <v>0</v>
      </c>
      <c r="G478" s="70">
        <f>COUNTIFS('Error Log'!$A:$A,$A478,'Error Log'!$J:$J,G$1)</f>
        <v>0</v>
      </c>
      <c r="H478" s="70">
        <f>COUNTIFS('Error Log'!$A:$A,$A478,'Error Log'!$F:$F,"Source")</f>
        <v>0</v>
      </c>
      <c r="I478" s="70">
        <f>COUNTIFS('Error Log'!$A:$A,$A478,'Error Log'!$F:$F,"Target")</f>
        <v>0</v>
      </c>
      <c r="J478" s="71">
        <f t="shared" si="7"/>
        <v>0</v>
      </c>
    </row>
    <row r="479" spans="1:10">
      <c r="A479" s="101"/>
      <c r="B479" s="70" t="str">
        <f>IF(ISBLANK(A479),"",INDEX('Error Log'!$A:$J,MATCH('Scores per segment'!$A479,'Error Log'!$A:$A,0),MATCH('Scores per segment'!B$1,'Error Log'!$A$1:$J$1,0)))</f>
        <v/>
      </c>
      <c r="C479" s="70" t="str">
        <f>IF(ISBLANK(A479),"",INDEX('Error Log'!$A:$J,MATCH('Scores per segment'!$A479,'Error Log'!$A:$A,0),MATCH('Scores per segment'!C$1,'Error Log'!$A$1:$J$1,0)))</f>
        <v/>
      </c>
      <c r="D479" s="70">
        <f>IF(H479=0,wdct(TRIM(C479)),0)</f>
        <v>0</v>
      </c>
      <c r="E479" s="70">
        <f>COUNTIFS('Error Log'!$A:$A,$A479,'Error Log'!$J:$J,E$1)</f>
        <v>0</v>
      </c>
      <c r="F479" s="70">
        <f>COUNTIFS('Error Log'!$A:$A,$A479,'Error Log'!$J:$J,F$1)</f>
        <v>0</v>
      </c>
      <c r="G479" s="70">
        <f>COUNTIFS('Error Log'!$A:$A,$A479,'Error Log'!$J:$J,G$1)</f>
        <v>0</v>
      </c>
      <c r="H479" s="70">
        <f>COUNTIFS('Error Log'!$A:$A,$A479,'Error Log'!$F:$F,"Source")</f>
        <v>0</v>
      </c>
      <c r="I479" s="70">
        <f>COUNTIFS('Error Log'!$A:$A,$A479,'Error Log'!$F:$F,"Target")</f>
        <v>0</v>
      </c>
      <c r="J479" s="71">
        <f t="shared" si="7"/>
        <v>0</v>
      </c>
    </row>
    <row r="480" spans="1:10">
      <c r="A480" s="101"/>
      <c r="B480" s="70" t="str">
        <f>IF(ISBLANK(A480),"",INDEX('Error Log'!$A:$J,MATCH('Scores per segment'!$A480,'Error Log'!$A:$A,0),MATCH('Scores per segment'!B$1,'Error Log'!$A$1:$J$1,0)))</f>
        <v/>
      </c>
      <c r="C480" s="70" t="str">
        <f>IF(ISBLANK(A480),"",INDEX('Error Log'!$A:$J,MATCH('Scores per segment'!$A480,'Error Log'!$A:$A,0),MATCH('Scores per segment'!C$1,'Error Log'!$A$1:$J$1,0)))</f>
        <v/>
      </c>
      <c r="D480" s="70">
        <f>IF(H480=0,wdct(TRIM(C480)),0)</f>
        <v>0</v>
      </c>
      <c r="E480" s="70">
        <f>COUNTIFS('Error Log'!$A:$A,$A480,'Error Log'!$J:$J,E$1)</f>
        <v>0</v>
      </c>
      <c r="F480" s="70">
        <f>COUNTIFS('Error Log'!$A:$A,$A480,'Error Log'!$J:$J,F$1)</f>
        <v>0</v>
      </c>
      <c r="G480" s="70">
        <f>COUNTIFS('Error Log'!$A:$A,$A480,'Error Log'!$J:$J,G$1)</f>
        <v>0</v>
      </c>
      <c r="H480" s="70">
        <f>COUNTIFS('Error Log'!$A:$A,$A480,'Error Log'!$F:$F,"Source")</f>
        <v>0</v>
      </c>
      <c r="I480" s="70">
        <f>COUNTIFS('Error Log'!$A:$A,$A480,'Error Log'!$F:$F,"Target")</f>
        <v>0</v>
      </c>
      <c r="J480" s="71">
        <f t="shared" si="7"/>
        <v>0</v>
      </c>
    </row>
    <row r="481" spans="1:10">
      <c r="A481" s="101"/>
      <c r="B481" s="70" t="str">
        <f>IF(ISBLANK(A481),"",INDEX('Error Log'!$A:$J,MATCH('Scores per segment'!$A481,'Error Log'!$A:$A,0),MATCH('Scores per segment'!B$1,'Error Log'!$A$1:$J$1,0)))</f>
        <v/>
      </c>
      <c r="C481" s="70" t="str">
        <f>IF(ISBLANK(A481),"",INDEX('Error Log'!$A:$J,MATCH('Scores per segment'!$A481,'Error Log'!$A:$A,0),MATCH('Scores per segment'!C$1,'Error Log'!$A$1:$J$1,0)))</f>
        <v/>
      </c>
      <c r="D481" s="70">
        <f>IF(H481=0,wdct(TRIM(C481)),0)</f>
        <v>0</v>
      </c>
      <c r="E481" s="70">
        <f>COUNTIFS('Error Log'!$A:$A,$A481,'Error Log'!$J:$J,E$1)</f>
        <v>0</v>
      </c>
      <c r="F481" s="70">
        <f>COUNTIFS('Error Log'!$A:$A,$A481,'Error Log'!$J:$J,F$1)</f>
        <v>0</v>
      </c>
      <c r="G481" s="70">
        <f>COUNTIFS('Error Log'!$A:$A,$A481,'Error Log'!$J:$J,G$1)</f>
        <v>0</v>
      </c>
      <c r="H481" s="70">
        <f>COUNTIFS('Error Log'!$A:$A,$A481,'Error Log'!$F:$F,"Source")</f>
        <v>0</v>
      </c>
      <c r="I481" s="70">
        <f>COUNTIFS('Error Log'!$A:$A,$A481,'Error Log'!$F:$F,"Target")</f>
        <v>0</v>
      </c>
      <c r="J481" s="71">
        <f t="shared" si="7"/>
        <v>0</v>
      </c>
    </row>
    <row r="482" spans="1:10">
      <c r="A482" s="101"/>
      <c r="B482" s="70" t="str">
        <f>IF(ISBLANK(A482),"",INDEX('Error Log'!$A:$J,MATCH('Scores per segment'!$A482,'Error Log'!$A:$A,0),MATCH('Scores per segment'!B$1,'Error Log'!$A$1:$J$1,0)))</f>
        <v/>
      </c>
      <c r="C482" s="70" t="str">
        <f>IF(ISBLANK(A482),"",INDEX('Error Log'!$A:$J,MATCH('Scores per segment'!$A482,'Error Log'!$A:$A,0),MATCH('Scores per segment'!C$1,'Error Log'!$A$1:$J$1,0)))</f>
        <v/>
      </c>
      <c r="D482" s="70">
        <f>IF(H482=0,wdct(TRIM(C482)),0)</f>
        <v>0</v>
      </c>
      <c r="E482" s="70">
        <f>COUNTIFS('Error Log'!$A:$A,$A482,'Error Log'!$J:$J,E$1)</f>
        <v>0</v>
      </c>
      <c r="F482" s="70">
        <f>COUNTIFS('Error Log'!$A:$A,$A482,'Error Log'!$J:$J,F$1)</f>
        <v>0</v>
      </c>
      <c r="G482" s="70">
        <f>COUNTIFS('Error Log'!$A:$A,$A482,'Error Log'!$J:$J,G$1)</f>
        <v>0</v>
      </c>
      <c r="H482" s="70">
        <f>COUNTIFS('Error Log'!$A:$A,$A482,'Error Log'!$F:$F,"Source")</f>
        <v>0</v>
      </c>
      <c r="I482" s="70">
        <f>COUNTIFS('Error Log'!$A:$A,$A482,'Error Log'!$F:$F,"Target")</f>
        <v>0</v>
      </c>
      <c r="J482" s="71">
        <f t="shared" si="7"/>
        <v>0</v>
      </c>
    </row>
    <row r="483" spans="1:10">
      <c r="A483" s="101"/>
      <c r="B483" s="70" t="str">
        <f>IF(ISBLANK(A483),"",INDEX('Error Log'!$A:$J,MATCH('Scores per segment'!$A483,'Error Log'!$A:$A,0),MATCH('Scores per segment'!B$1,'Error Log'!$A$1:$J$1,0)))</f>
        <v/>
      </c>
      <c r="C483" s="70" t="str">
        <f>IF(ISBLANK(A483),"",INDEX('Error Log'!$A:$J,MATCH('Scores per segment'!$A483,'Error Log'!$A:$A,0),MATCH('Scores per segment'!C$1,'Error Log'!$A$1:$J$1,0)))</f>
        <v/>
      </c>
      <c r="D483" s="70">
        <f>IF(H483=0,wdct(TRIM(C483)),0)</f>
        <v>0</v>
      </c>
      <c r="E483" s="70">
        <f>COUNTIFS('Error Log'!$A:$A,$A483,'Error Log'!$J:$J,E$1)</f>
        <v>0</v>
      </c>
      <c r="F483" s="70">
        <f>COUNTIFS('Error Log'!$A:$A,$A483,'Error Log'!$J:$J,F$1)</f>
        <v>0</v>
      </c>
      <c r="G483" s="70">
        <f>COUNTIFS('Error Log'!$A:$A,$A483,'Error Log'!$J:$J,G$1)</f>
        <v>0</v>
      </c>
      <c r="H483" s="70">
        <f>COUNTIFS('Error Log'!$A:$A,$A483,'Error Log'!$F:$F,"Source")</f>
        <v>0</v>
      </c>
      <c r="I483" s="70">
        <f>COUNTIFS('Error Log'!$A:$A,$A483,'Error Log'!$F:$F,"Target")</f>
        <v>0</v>
      </c>
      <c r="J483" s="71">
        <f t="shared" si="7"/>
        <v>0</v>
      </c>
    </row>
    <row r="484" spans="1:10">
      <c r="A484" s="101"/>
      <c r="B484" s="70" t="str">
        <f>IF(ISBLANK(A484),"",INDEX('Error Log'!$A:$J,MATCH('Scores per segment'!$A484,'Error Log'!$A:$A,0),MATCH('Scores per segment'!B$1,'Error Log'!$A$1:$J$1,0)))</f>
        <v/>
      </c>
      <c r="C484" s="70" t="str">
        <f>IF(ISBLANK(A484),"",INDEX('Error Log'!$A:$J,MATCH('Scores per segment'!$A484,'Error Log'!$A:$A,0),MATCH('Scores per segment'!C$1,'Error Log'!$A$1:$J$1,0)))</f>
        <v/>
      </c>
      <c r="D484" s="70">
        <f>IF(H484=0,wdct(TRIM(C484)),0)</f>
        <v>0</v>
      </c>
      <c r="E484" s="70">
        <f>COUNTIFS('Error Log'!$A:$A,$A484,'Error Log'!$J:$J,E$1)</f>
        <v>0</v>
      </c>
      <c r="F484" s="70">
        <f>COUNTIFS('Error Log'!$A:$A,$A484,'Error Log'!$J:$J,F$1)</f>
        <v>0</v>
      </c>
      <c r="G484" s="70">
        <f>COUNTIFS('Error Log'!$A:$A,$A484,'Error Log'!$J:$J,G$1)</f>
        <v>0</v>
      </c>
      <c r="H484" s="70">
        <f>COUNTIFS('Error Log'!$A:$A,$A484,'Error Log'!$F:$F,"Source")</f>
        <v>0</v>
      </c>
      <c r="I484" s="70">
        <f>COUNTIFS('Error Log'!$A:$A,$A484,'Error Log'!$F:$F,"Target")</f>
        <v>0</v>
      </c>
      <c r="J484" s="71">
        <f t="shared" si="7"/>
        <v>0</v>
      </c>
    </row>
    <row r="485" spans="1:10">
      <c r="A485" s="101"/>
      <c r="B485" s="70" t="str">
        <f>IF(ISBLANK(A485),"",INDEX('Error Log'!$A:$J,MATCH('Scores per segment'!$A485,'Error Log'!$A:$A,0),MATCH('Scores per segment'!B$1,'Error Log'!$A$1:$J$1,0)))</f>
        <v/>
      </c>
      <c r="C485" s="70" t="str">
        <f>IF(ISBLANK(A485),"",INDEX('Error Log'!$A:$J,MATCH('Scores per segment'!$A485,'Error Log'!$A:$A,0),MATCH('Scores per segment'!C$1,'Error Log'!$A$1:$J$1,0)))</f>
        <v/>
      </c>
      <c r="D485" s="70">
        <f>IF(H485=0,wdct(TRIM(C485)),0)</f>
        <v>0</v>
      </c>
      <c r="E485" s="70">
        <f>COUNTIFS('Error Log'!$A:$A,$A485,'Error Log'!$J:$J,E$1)</f>
        <v>0</v>
      </c>
      <c r="F485" s="70">
        <f>COUNTIFS('Error Log'!$A:$A,$A485,'Error Log'!$J:$J,F$1)</f>
        <v>0</v>
      </c>
      <c r="G485" s="70">
        <f>COUNTIFS('Error Log'!$A:$A,$A485,'Error Log'!$J:$J,G$1)</f>
        <v>0</v>
      </c>
      <c r="H485" s="70">
        <f>COUNTIFS('Error Log'!$A:$A,$A485,'Error Log'!$F:$F,"Source")</f>
        <v>0</v>
      </c>
      <c r="I485" s="70">
        <f>COUNTIFS('Error Log'!$A:$A,$A485,'Error Log'!$F:$F,"Target")</f>
        <v>0</v>
      </c>
      <c r="J485" s="71">
        <f t="shared" si="7"/>
        <v>0</v>
      </c>
    </row>
    <row r="486" spans="1:10">
      <c r="A486" s="101"/>
      <c r="B486" s="70" t="str">
        <f>IF(ISBLANK(A486),"",INDEX('Error Log'!$A:$J,MATCH('Scores per segment'!$A486,'Error Log'!$A:$A,0),MATCH('Scores per segment'!B$1,'Error Log'!$A$1:$J$1,0)))</f>
        <v/>
      </c>
      <c r="C486" s="70" t="str">
        <f>IF(ISBLANK(A486),"",INDEX('Error Log'!$A:$J,MATCH('Scores per segment'!$A486,'Error Log'!$A:$A,0),MATCH('Scores per segment'!C$1,'Error Log'!$A$1:$J$1,0)))</f>
        <v/>
      </c>
      <c r="D486" s="70">
        <f>IF(H486=0,wdct(TRIM(C486)),0)</f>
        <v>0</v>
      </c>
      <c r="E486" s="70">
        <f>COUNTIFS('Error Log'!$A:$A,$A486,'Error Log'!$J:$J,E$1)</f>
        <v>0</v>
      </c>
      <c r="F486" s="70">
        <f>COUNTIFS('Error Log'!$A:$A,$A486,'Error Log'!$J:$J,F$1)</f>
        <v>0</v>
      </c>
      <c r="G486" s="70">
        <f>COUNTIFS('Error Log'!$A:$A,$A486,'Error Log'!$J:$J,G$1)</f>
        <v>0</v>
      </c>
      <c r="H486" s="70">
        <f>COUNTIFS('Error Log'!$A:$A,$A486,'Error Log'!$F:$F,"Source")</f>
        <v>0</v>
      </c>
      <c r="I486" s="70">
        <f>COUNTIFS('Error Log'!$A:$A,$A486,'Error Log'!$F:$F,"Target")</f>
        <v>0</v>
      </c>
      <c r="J486" s="71">
        <f t="shared" si="7"/>
        <v>0</v>
      </c>
    </row>
    <row r="487" spans="1:10">
      <c r="A487" s="101"/>
      <c r="B487" s="70" t="str">
        <f>IF(ISBLANK(A487),"",INDEX('Error Log'!$A:$J,MATCH('Scores per segment'!$A487,'Error Log'!$A:$A,0),MATCH('Scores per segment'!B$1,'Error Log'!$A$1:$J$1,0)))</f>
        <v/>
      </c>
      <c r="C487" s="70" t="str">
        <f>IF(ISBLANK(A487),"",INDEX('Error Log'!$A:$J,MATCH('Scores per segment'!$A487,'Error Log'!$A:$A,0),MATCH('Scores per segment'!C$1,'Error Log'!$A$1:$J$1,0)))</f>
        <v/>
      </c>
      <c r="D487" s="70">
        <f>IF(H487=0,wdct(TRIM(C487)),0)</f>
        <v>0</v>
      </c>
      <c r="E487" s="70">
        <f>COUNTIFS('Error Log'!$A:$A,$A487,'Error Log'!$J:$J,E$1)</f>
        <v>0</v>
      </c>
      <c r="F487" s="70">
        <f>COUNTIFS('Error Log'!$A:$A,$A487,'Error Log'!$J:$J,F$1)</f>
        <v>0</v>
      </c>
      <c r="G487" s="70">
        <f>COUNTIFS('Error Log'!$A:$A,$A487,'Error Log'!$J:$J,G$1)</f>
        <v>0</v>
      </c>
      <c r="H487" s="70">
        <f>COUNTIFS('Error Log'!$A:$A,$A487,'Error Log'!$F:$F,"Source")</f>
        <v>0</v>
      </c>
      <c r="I487" s="70">
        <f>COUNTIFS('Error Log'!$A:$A,$A487,'Error Log'!$F:$F,"Target")</f>
        <v>0</v>
      </c>
      <c r="J487" s="71">
        <f t="shared" si="7"/>
        <v>0</v>
      </c>
    </row>
    <row r="488" spans="1:10">
      <c r="A488" s="101"/>
      <c r="B488" s="70" t="str">
        <f>IF(ISBLANK(A488),"",INDEX('Error Log'!$A:$J,MATCH('Scores per segment'!$A488,'Error Log'!$A:$A,0),MATCH('Scores per segment'!B$1,'Error Log'!$A$1:$J$1,0)))</f>
        <v/>
      </c>
      <c r="C488" s="70" t="str">
        <f>IF(ISBLANK(A488),"",INDEX('Error Log'!$A:$J,MATCH('Scores per segment'!$A488,'Error Log'!$A:$A,0),MATCH('Scores per segment'!C$1,'Error Log'!$A$1:$J$1,0)))</f>
        <v/>
      </c>
      <c r="D488" s="70">
        <f>IF(H488=0,wdct(TRIM(C488)),0)</f>
        <v>0</v>
      </c>
      <c r="E488" s="70">
        <f>COUNTIFS('Error Log'!$A:$A,$A488,'Error Log'!$J:$J,E$1)</f>
        <v>0</v>
      </c>
      <c r="F488" s="70">
        <f>COUNTIFS('Error Log'!$A:$A,$A488,'Error Log'!$J:$J,F$1)</f>
        <v>0</v>
      </c>
      <c r="G488" s="70">
        <f>COUNTIFS('Error Log'!$A:$A,$A488,'Error Log'!$J:$J,G$1)</f>
        <v>0</v>
      </c>
      <c r="H488" s="70">
        <f>COUNTIFS('Error Log'!$A:$A,$A488,'Error Log'!$F:$F,"Source")</f>
        <v>0</v>
      </c>
      <c r="I488" s="70">
        <f>COUNTIFS('Error Log'!$A:$A,$A488,'Error Log'!$F:$F,"Target")</f>
        <v>0</v>
      </c>
      <c r="J488" s="71">
        <f t="shared" si="7"/>
        <v>0</v>
      </c>
    </row>
    <row r="489" spans="1:10">
      <c r="A489" s="101"/>
      <c r="B489" s="70" t="str">
        <f>IF(ISBLANK(A489),"",INDEX('Error Log'!$A:$J,MATCH('Scores per segment'!$A489,'Error Log'!$A:$A,0),MATCH('Scores per segment'!B$1,'Error Log'!$A$1:$J$1,0)))</f>
        <v/>
      </c>
      <c r="C489" s="70" t="str">
        <f>IF(ISBLANK(A489),"",INDEX('Error Log'!$A:$J,MATCH('Scores per segment'!$A489,'Error Log'!$A:$A,0),MATCH('Scores per segment'!C$1,'Error Log'!$A$1:$J$1,0)))</f>
        <v/>
      </c>
      <c r="D489" s="70">
        <f>IF(H489=0,wdct(TRIM(C489)),0)</f>
        <v>0</v>
      </c>
      <c r="E489" s="70">
        <f>COUNTIFS('Error Log'!$A:$A,$A489,'Error Log'!$J:$J,E$1)</f>
        <v>0</v>
      </c>
      <c r="F489" s="70">
        <f>COUNTIFS('Error Log'!$A:$A,$A489,'Error Log'!$J:$J,F$1)</f>
        <v>0</v>
      </c>
      <c r="G489" s="70">
        <f>COUNTIFS('Error Log'!$A:$A,$A489,'Error Log'!$J:$J,G$1)</f>
        <v>0</v>
      </c>
      <c r="H489" s="70">
        <f>COUNTIFS('Error Log'!$A:$A,$A489,'Error Log'!$F:$F,"Source")</f>
        <v>0</v>
      </c>
      <c r="I489" s="70">
        <f>COUNTIFS('Error Log'!$A:$A,$A489,'Error Log'!$F:$F,"Target")</f>
        <v>0</v>
      </c>
      <c r="J489" s="71">
        <f t="shared" si="7"/>
        <v>0</v>
      </c>
    </row>
    <row r="490" spans="1:10">
      <c r="A490" s="101"/>
      <c r="B490" s="70" t="str">
        <f>IF(ISBLANK(A490),"",INDEX('Error Log'!$A:$J,MATCH('Scores per segment'!$A490,'Error Log'!$A:$A,0),MATCH('Scores per segment'!B$1,'Error Log'!$A$1:$J$1,0)))</f>
        <v/>
      </c>
      <c r="C490" s="70" t="str">
        <f>IF(ISBLANK(A490),"",INDEX('Error Log'!$A:$J,MATCH('Scores per segment'!$A490,'Error Log'!$A:$A,0),MATCH('Scores per segment'!C$1,'Error Log'!$A$1:$J$1,0)))</f>
        <v/>
      </c>
      <c r="D490" s="70">
        <f>IF(H490=0,wdct(TRIM(C490)),0)</f>
        <v>0</v>
      </c>
      <c r="E490" s="70">
        <f>COUNTIFS('Error Log'!$A:$A,$A490,'Error Log'!$J:$J,E$1)</f>
        <v>0</v>
      </c>
      <c r="F490" s="70">
        <f>COUNTIFS('Error Log'!$A:$A,$A490,'Error Log'!$J:$J,F$1)</f>
        <v>0</v>
      </c>
      <c r="G490" s="70">
        <f>COUNTIFS('Error Log'!$A:$A,$A490,'Error Log'!$J:$J,G$1)</f>
        <v>0</v>
      </c>
      <c r="H490" s="70">
        <f>COUNTIFS('Error Log'!$A:$A,$A490,'Error Log'!$F:$F,"Source")</f>
        <v>0</v>
      </c>
      <c r="I490" s="70">
        <f>COUNTIFS('Error Log'!$A:$A,$A490,'Error Log'!$F:$F,"Target")</f>
        <v>0</v>
      </c>
      <c r="J490" s="71">
        <f t="shared" si="7"/>
        <v>0</v>
      </c>
    </row>
    <row r="491" spans="1:10">
      <c r="A491" s="101"/>
      <c r="B491" s="70" t="str">
        <f>IF(ISBLANK(A491),"",INDEX('Error Log'!$A:$J,MATCH('Scores per segment'!$A491,'Error Log'!$A:$A,0),MATCH('Scores per segment'!B$1,'Error Log'!$A$1:$J$1,0)))</f>
        <v/>
      </c>
      <c r="C491" s="70" t="str">
        <f>IF(ISBLANK(A491),"",INDEX('Error Log'!$A:$J,MATCH('Scores per segment'!$A491,'Error Log'!$A:$A,0),MATCH('Scores per segment'!C$1,'Error Log'!$A$1:$J$1,0)))</f>
        <v/>
      </c>
      <c r="D491" s="70">
        <f>IF(H491=0,wdct(TRIM(C491)),0)</f>
        <v>0</v>
      </c>
      <c r="E491" s="70">
        <f>COUNTIFS('Error Log'!$A:$A,$A491,'Error Log'!$J:$J,E$1)</f>
        <v>0</v>
      </c>
      <c r="F491" s="70">
        <f>COUNTIFS('Error Log'!$A:$A,$A491,'Error Log'!$J:$J,F$1)</f>
        <v>0</v>
      </c>
      <c r="G491" s="70">
        <f>COUNTIFS('Error Log'!$A:$A,$A491,'Error Log'!$J:$J,G$1)</f>
        <v>0</v>
      </c>
      <c r="H491" s="70">
        <f>COUNTIFS('Error Log'!$A:$A,$A491,'Error Log'!$F:$F,"Source")</f>
        <v>0</v>
      </c>
      <c r="I491" s="70">
        <f>COUNTIFS('Error Log'!$A:$A,$A491,'Error Log'!$F:$F,"Target")</f>
        <v>0</v>
      </c>
      <c r="J491" s="71">
        <f t="shared" si="7"/>
        <v>0</v>
      </c>
    </row>
    <row r="492" spans="1:10">
      <c r="A492" s="101"/>
      <c r="B492" s="70" t="str">
        <f>IF(ISBLANK(A492),"",INDEX('Error Log'!$A:$J,MATCH('Scores per segment'!$A492,'Error Log'!$A:$A,0),MATCH('Scores per segment'!B$1,'Error Log'!$A$1:$J$1,0)))</f>
        <v/>
      </c>
      <c r="C492" s="70" t="str">
        <f>IF(ISBLANK(A492),"",INDEX('Error Log'!$A:$J,MATCH('Scores per segment'!$A492,'Error Log'!$A:$A,0),MATCH('Scores per segment'!C$1,'Error Log'!$A$1:$J$1,0)))</f>
        <v/>
      </c>
      <c r="D492" s="70">
        <f>IF(H492=0,wdct(TRIM(C492)),0)</f>
        <v>0</v>
      </c>
      <c r="E492" s="70">
        <f>COUNTIFS('Error Log'!$A:$A,$A492,'Error Log'!$J:$J,E$1)</f>
        <v>0</v>
      </c>
      <c r="F492" s="70">
        <f>COUNTIFS('Error Log'!$A:$A,$A492,'Error Log'!$J:$J,F$1)</f>
        <v>0</v>
      </c>
      <c r="G492" s="70">
        <f>COUNTIFS('Error Log'!$A:$A,$A492,'Error Log'!$J:$J,G$1)</f>
        <v>0</v>
      </c>
      <c r="H492" s="70">
        <f>COUNTIFS('Error Log'!$A:$A,$A492,'Error Log'!$F:$F,"Source")</f>
        <v>0</v>
      </c>
      <c r="I492" s="70">
        <f>COUNTIFS('Error Log'!$A:$A,$A492,'Error Log'!$F:$F,"Target")</f>
        <v>0</v>
      </c>
      <c r="J492" s="71">
        <f t="shared" si="7"/>
        <v>0</v>
      </c>
    </row>
    <row r="493" spans="1:10">
      <c r="A493" s="101"/>
      <c r="B493" s="70" t="str">
        <f>IF(ISBLANK(A493),"",INDEX('Error Log'!$A:$J,MATCH('Scores per segment'!$A493,'Error Log'!$A:$A,0),MATCH('Scores per segment'!B$1,'Error Log'!$A$1:$J$1,0)))</f>
        <v/>
      </c>
      <c r="C493" s="70" t="str">
        <f>IF(ISBLANK(A493),"",INDEX('Error Log'!$A:$J,MATCH('Scores per segment'!$A493,'Error Log'!$A:$A,0),MATCH('Scores per segment'!C$1,'Error Log'!$A$1:$J$1,0)))</f>
        <v/>
      </c>
      <c r="D493" s="70">
        <f>IF(H493=0,wdct(TRIM(C493)),0)</f>
        <v>0</v>
      </c>
      <c r="E493" s="70">
        <f>COUNTIFS('Error Log'!$A:$A,$A493,'Error Log'!$J:$J,E$1)</f>
        <v>0</v>
      </c>
      <c r="F493" s="70">
        <f>COUNTIFS('Error Log'!$A:$A,$A493,'Error Log'!$J:$J,F$1)</f>
        <v>0</v>
      </c>
      <c r="G493" s="70">
        <f>COUNTIFS('Error Log'!$A:$A,$A493,'Error Log'!$J:$J,G$1)</f>
        <v>0</v>
      </c>
      <c r="H493" s="70">
        <f>COUNTIFS('Error Log'!$A:$A,$A493,'Error Log'!$F:$F,"Source")</f>
        <v>0</v>
      </c>
      <c r="I493" s="70">
        <f>COUNTIFS('Error Log'!$A:$A,$A493,'Error Log'!$F:$F,"Target")</f>
        <v>0</v>
      </c>
      <c r="J493" s="71">
        <f t="shared" si="7"/>
        <v>0</v>
      </c>
    </row>
    <row r="494" spans="1:10">
      <c r="A494" s="101"/>
      <c r="B494" s="70" t="str">
        <f>IF(ISBLANK(A494),"",INDEX('Error Log'!$A:$J,MATCH('Scores per segment'!$A494,'Error Log'!$A:$A,0),MATCH('Scores per segment'!B$1,'Error Log'!$A$1:$J$1,0)))</f>
        <v/>
      </c>
      <c r="C494" s="70" t="str">
        <f>IF(ISBLANK(A494),"",INDEX('Error Log'!$A:$J,MATCH('Scores per segment'!$A494,'Error Log'!$A:$A,0),MATCH('Scores per segment'!C$1,'Error Log'!$A$1:$J$1,0)))</f>
        <v/>
      </c>
      <c r="D494" s="70">
        <f>IF(H494=0,wdct(TRIM(C494)),0)</f>
        <v>0</v>
      </c>
      <c r="E494" s="70">
        <f>COUNTIFS('Error Log'!$A:$A,$A494,'Error Log'!$J:$J,E$1)</f>
        <v>0</v>
      </c>
      <c r="F494" s="70">
        <f>COUNTIFS('Error Log'!$A:$A,$A494,'Error Log'!$J:$J,F$1)</f>
        <v>0</v>
      </c>
      <c r="G494" s="70">
        <f>COUNTIFS('Error Log'!$A:$A,$A494,'Error Log'!$J:$J,G$1)</f>
        <v>0</v>
      </c>
      <c r="H494" s="70">
        <f>COUNTIFS('Error Log'!$A:$A,$A494,'Error Log'!$F:$F,"Source")</f>
        <v>0</v>
      </c>
      <c r="I494" s="70">
        <f>COUNTIFS('Error Log'!$A:$A,$A494,'Error Log'!$F:$F,"Target")</f>
        <v>0</v>
      </c>
      <c r="J494" s="71">
        <f t="shared" si="7"/>
        <v>0</v>
      </c>
    </row>
    <row r="495" spans="1:10">
      <c r="A495" s="101"/>
      <c r="B495" s="70" t="str">
        <f>IF(ISBLANK(A495),"",INDEX('Error Log'!$A:$J,MATCH('Scores per segment'!$A495,'Error Log'!$A:$A,0),MATCH('Scores per segment'!B$1,'Error Log'!$A$1:$J$1,0)))</f>
        <v/>
      </c>
      <c r="C495" s="70" t="str">
        <f>IF(ISBLANK(A495),"",INDEX('Error Log'!$A:$J,MATCH('Scores per segment'!$A495,'Error Log'!$A:$A,0),MATCH('Scores per segment'!C$1,'Error Log'!$A$1:$J$1,0)))</f>
        <v/>
      </c>
      <c r="D495" s="70">
        <f>IF(H495=0,wdct(TRIM(C495)),0)</f>
        <v>0</v>
      </c>
      <c r="E495" s="70">
        <f>COUNTIFS('Error Log'!$A:$A,$A495,'Error Log'!$J:$J,E$1)</f>
        <v>0</v>
      </c>
      <c r="F495" s="70">
        <f>COUNTIFS('Error Log'!$A:$A,$A495,'Error Log'!$J:$J,F$1)</f>
        <v>0</v>
      </c>
      <c r="G495" s="70">
        <f>COUNTIFS('Error Log'!$A:$A,$A495,'Error Log'!$J:$J,G$1)</f>
        <v>0</v>
      </c>
      <c r="H495" s="70">
        <f>COUNTIFS('Error Log'!$A:$A,$A495,'Error Log'!$F:$F,"Source")</f>
        <v>0</v>
      </c>
      <c r="I495" s="70">
        <f>COUNTIFS('Error Log'!$A:$A,$A495,'Error Log'!$F:$F,"Target")</f>
        <v>0</v>
      </c>
      <c r="J495" s="71">
        <f t="shared" si="7"/>
        <v>0</v>
      </c>
    </row>
    <row r="496" spans="1:10">
      <c r="A496" s="101"/>
      <c r="B496" s="70" t="str">
        <f>IF(ISBLANK(A496),"",INDEX('Error Log'!$A:$J,MATCH('Scores per segment'!$A496,'Error Log'!$A:$A,0),MATCH('Scores per segment'!B$1,'Error Log'!$A$1:$J$1,0)))</f>
        <v/>
      </c>
      <c r="C496" s="70" t="str">
        <f>IF(ISBLANK(A496),"",INDEX('Error Log'!$A:$J,MATCH('Scores per segment'!$A496,'Error Log'!$A:$A,0),MATCH('Scores per segment'!C$1,'Error Log'!$A$1:$J$1,0)))</f>
        <v/>
      </c>
      <c r="D496" s="70">
        <f>IF(H496=0,wdct(TRIM(C496)),0)</f>
        <v>0</v>
      </c>
      <c r="E496" s="70">
        <f>COUNTIFS('Error Log'!$A:$A,$A496,'Error Log'!$J:$J,E$1)</f>
        <v>0</v>
      </c>
      <c r="F496" s="70">
        <f>COUNTIFS('Error Log'!$A:$A,$A496,'Error Log'!$J:$J,F$1)</f>
        <v>0</v>
      </c>
      <c r="G496" s="70">
        <f>COUNTIFS('Error Log'!$A:$A,$A496,'Error Log'!$J:$J,G$1)</f>
        <v>0</v>
      </c>
      <c r="H496" s="70">
        <f>COUNTIFS('Error Log'!$A:$A,$A496,'Error Log'!$F:$F,"Source")</f>
        <v>0</v>
      </c>
      <c r="I496" s="70">
        <f>COUNTIFS('Error Log'!$A:$A,$A496,'Error Log'!$F:$F,"Target")</f>
        <v>0</v>
      </c>
      <c r="J496" s="71">
        <f t="shared" si="7"/>
        <v>0</v>
      </c>
    </row>
    <row r="497" spans="1:10">
      <c r="A497" s="101"/>
      <c r="B497" s="70" t="str">
        <f>IF(ISBLANK(A497),"",INDEX('Error Log'!$A:$J,MATCH('Scores per segment'!$A497,'Error Log'!$A:$A,0),MATCH('Scores per segment'!B$1,'Error Log'!$A$1:$J$1,0)))</f>
        <v/>
      </c>
      <c r="C497" s="70" t="str">
        <f>IF(ISBLANK(A497),"",INDEX('Error Log'!$A:$J,MATCH('Scores per segment'!$A497,'Error Log'!$A:$A,0),MATCH('Scores per segment'!C$1,'Error Log'!$A$1:$J$1,0)))</f>
        <v/>
      </c>
      <c r="D497" s="70">
        <f>IF(H497=0,wdct(TRIM(C497)),0)</f>
        <v>0</v>
      </c>
      <c r="E497" s="70">
        <f>COUNTIFS('Error Log'!$A:$A,$A497,'Error Log'!$J:$J,E$1)</f>
        <v>0</v>
      </c>
      <c r="F497" s="70">
        <f>COUNTIFS('Error Log'!$A:$A,$A497,'Error Log'!$J:$J,F$1)</f>
        <v>0</v>
      </c>
      <c r="G497" s="70">
        <f>COUNTIFS('Error Log'!$A:$A,$A497,'Error Log'!$J:$J,G$1)</f>
        <v>0</v>
      </c>
      <c r="H497" s="70">
        <f>COUNTIFS('Error Log'!$A:$A,$A497,'Error Log'!$F:$F,"Source")</f>
        <v>0</v>
      </c>
      <c r="I497" s="70">
        <f>COUNTIFS('Error Log'!$A:$A,$A497,'Error Log'!$F:$F,"Target")</f>
        <v>0</v>
      </c>
      <c r="J497" s="71">
        <f t="shared" si="7"/>
        <v>0</v>
      </c>
    </row>
    <row r="498" spans="1:10">
      <c r="A498" s="101"/>
      <c r="B498" s="70" t="str">
        <f>IF(ISBLANK(A498),"",INDEX('Error Log'!$A:$J,MATCH('Scores per segment'!$A498,'Error Log'!$A:$A,0),MATCH('Scores per segment'!B$1,'Error Log'!$A$1:$J$1,0)))</f>
        <v/>
      </c>
      <c r="C498" s="70" t="str">
        <f>IF(ISBLANK(A498),"",INDEX('Error Log'!$A:$J,MATCH('Scores per segment'!$A498,'Error Log'!$A:$A,0),MATCH('Scores per segment'!C$1,'Error Log'!$A$1:$J$1,0)))</f>
        <v/>
      </c>
      <c r="D498" s="70">
        <f>IF(H498=0,wdct(TRIM(C498)),0)</f>
        <v>0</v>
      </c>
      <c r="E498" s="70">
        <f>COUNTIFS('Error Log'!$A:$A,$A498,'Error Log'!$J:$J,E$1)</f>
        <v>0</v>
      </c>
      <c r="F498" s="70">
        <f>COUNTIFS('Error Log'!$A:$A,$A498,'Error Log'!$J:$J,F$1)</f>
        <v>0</v>
      </c>
      <c r="G498" s="70">
        <f>COUNTIFS('Error Log'!$A:$A,$A498,'Error Log'!$J:$J,G$1)</f>
        <v>0</v>
      </c>
      <c r="H498" s="70">
        <f>COUNTIFS('Error Log'!$A:$A,$A498,'Error Log'!$F:$F,"Source")</f>
        <v>0</v>
      </c>
      <c r="I498" s="70">
        <f>COUNTIFS('Error Log'!$A:$A,$A498,'Error Log'!$F:$F,"Target")</f>
        <v>0</v>
      </c>
      <c r="J498" s="71">
        <f t="shared" si="7"/>
        <v>0</v>
      </c>
    </row>
    <row r="499" spans="1:10">
      <c r="A499" s="101"/>
      <c r="B499" s="70" t="str">
        <f>IF(ISBLANK(A499),"",INDEX('Error Log'!$A:$J,MATCH('Scores per segment'!$A499,'Error Log'!$A:$A,0),MATCH('Scores per segment'!B$1,'Error Log'!$A$1:$J$1,0)))</f>
        <v/>
      </c>
      <c r="C499" s="70" t="str">
        <f>IF(ISBLANK(A499),"",INDEX('Error Log'!$A:$J,MATCH('Scores per segment'!$A499,'Error Log'!$A:$A,0),MATCH('Scores per segment'!C$1,'Error Log'!$A$1:$J$1,0)))</f>
        <v/>
      </c>
      <c r="D499" s="70">
        <f>IF(H499=0,wdct(TRIM(C499)),0)</f>
        <v>0</v>
      </c>
      <c r="E499" s="70">
        <f>COUNTIFS('Error Log'!$A:$A,$A499,'Error Log'!$J:$J,E$1)</f>
        <v>0</v>
      </c>
      <c r="F499" s="70">
        <f>COUNTIFS('Error Log'!$A:$A,$A499,'Error Log'!$J:$J,F$1)</f>
        <v>0</v>
      </c>
      <c r="G499" s="70">
        <f>COUNTIFS('Error Log'!$A:$A,$A499,'Error Log'!$J:$J,G$1)</f>
        <v>0</v>
      </c>
      <c r="H499" s="70">
        <f>COUNTIFS('Error Log'!$A:$A,$A499,'Error Log'!$F:$F,"Source")</f>
        <v>0</v>
      </c>
      <c r="I499" s="70">
        <f>COUNTIFS('Error Log'!$A:$A,$A499,'Error Log'!$F:$F,"Target")</f>
        <v>0</v>
      </c>
      <c r="J499" s="71">
        <f t="shared" si="7"/>
        <v>0</v>
      </c>
    </row>
    <row r="500" spans="1:10">
      <c r="A500" s="101"/>
      <c r="B500" s="70" t="str">
        <f>IF(ISBLANK(A500),"",INDEX('Error Log'!$A:$J,MATCH('Scores per segment'!$A500,'Error Log'!$A:$A,0),MATCH('Scores per segment'!B$1,'Error Log'!$A$1:$J$1,0)))</f>
        <v/>
      </c>
      <c r="C500" s="70" t="str">
        <f>IF(ISBLANK(A500),"",INDEX('Error Log'!$A:$J,MATCH('Scores per segment'!$A500,'Error Log'!$A:$A,0),MATCH('Scores per segment'!C$1,'Error Log'!$A$1:$J$1,0)))</f>
        <v/>
      </c>
      <c r="D500" s="70">
        <f>IF(H500=0,wdct(TRIM(C500)),0)</f>
        <v>0</v>
      </c>
      <c r="E500" s="70">
        <f>COUNTIFS('Error Log'!$A:$A,$A500,'Error Log'!$J:$J,E$1)</f>
        <v>0</v>
      </c>
      <c r="F500" s="70">
        <f>COUNTIFS('Error Log'!$A:$A,$A500,'Error Log'!$J:$J,F$1)</f>
        <v>0</v>
      </c>
      <c r="G500" s="70">
        <f>COUNTIFS('Error Log'!$A:$A,$A500,'Error Log'!$J:$J,G$1)</f>
        <v>0</v>
      </c>
      <c r="H500" s="70">
        <f>COUNTIFS('Error Log'!$A:$A,$A500,'Error Log'!$F:$F,"Source")</f>
        <v>0</v>
      </c>
      <c r="I500" s="70">
        <f>COUNTIFS('Error Log'!$A:$A,$A500,'Error Log'!$F:$F,"Target")</f>
        <v>0</v>
      </c>
      <c r="J500" s="71">
        <f t="shared" si="7"/>
        <v>0</v>
      </c>
    </row>
    <row r="501" spans="1:10">
      <c r="A501" s="101"/>
      <c r="B501" s="70" t="str">
        <f>IF(ISBLANK(A501),"",INDEX('Error Log'!$A:$J,MATCH('Scores per segment'!$A501,'Error Log'!$A:$A,0),MATCH('Scores per segment'!B$1,'Error Log'!$A$1:$J$1,0)))</f>
        <v/>
      </c>
      <c r="C501" s="70" t="str">
        <f>IF(ISBLANK(A501),"",INDEX('Error Log'!$A:$J,MATCH('Scores per segment'!$A501,'Error Log'!$A:$A,0),MATCH('Scores per segment'!C$1,'Error Log'!$A$1:$J$1,0)))</f>
        <v/>
      </c>
      <c r="D501" s="70">
        <f>IF(H501=0,wdct(TRIM(C501)),0)</f>
        <v>0</v>
      </c>
      <c r="E501" s="70">
        <f>COUNTIFS('Error Log'!$A:$A,$A501,'Error Log'!$J:$J,E$1)</f>
        <v>0</v>
      </c>
      <c r="F501" s="70">
        <f>COUNTIFS('Error Log'!$A:$A,$A501,'Error Log'!$J:$J,F$1)</f>
        <v>0</v>
      </c>
      <c r="G501" s="70">
        <f>COUNTIFS('Error Log'!$A:$A,$A501,'Error Log'!$J:$J,G$1)</f>
        <v>0</v>
      </c>
      <c r="H501" s="70">
        <f>COUNTIFS('Error Log'!$A:$A,$A501,'Error Log'!$F:$F,"Source")</f>
        <v>0</v>
      </c>
      <c r="I501" s="70">
        <f>COUNTIFS('Error Log'!$A:$A,$A501,'Error Log'!$F:$F,"Target")</f>
        <v>0</v>
      </c>
      <c r="J501" s="71">
        <f t="shared" si="7"/>
        <v>0</v>
      </c>
    </row>
  </sheetData>
  <phoneticPr fontId="4"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dimension ref="A1:N51"/>
  <sheetViews>
    <sheetView tabSelected="1" zoomScaleNormal="100" workbookViewId="0">
      <pane ySplit="1" topLeftCell="A41" activePane="bottomLeft" state="frozen"/>
      <selection pane="bottomLeft" activeCell="C54" sqref="C54"/>
    </sheetView>
  </sheetViews>
  <sheetFormatPr defaultColWidth="9" defaultRowHeight="14.4"/>
  <cols>
    <col min="1" max="1" width="21.69921875" style="2" customWidth="1"/>
    <col min="2" max="2" width="30" style="2" customWidth="1"/>
    <col min="3" max="3" width="22.19921875" style="2" bestFit="1" customWidth="1"/>
    <col min="4" max="4" width="21.69921875" style="2" bestFit="1" customWidth="1"/>
    <col min="5" max="5" width="22.19921875" style="2" bestFit="1" customWidth="1"/>
    <col min="6" max="7" width="18.69921875" style="2" bestFit="1" customWidth="1"/>
    <col min="8" max="8" width="16.5" style="2" bestFit="1" customWidth="1"/>
    <col min="9" max="9" width="24.5" style="2" customWidth="1"/>
    <col min="10" max="10" width="13.69921875" style="2" customWidth="1"/>
    <col min="11" max="11" width="12.69921875" style="2" bestFit="1" customWidth="1"/>
    <col min="12" max="12" width="11.5" style="2" bestFit="1" customWidth="1"/>
    <col min="13" max="13" width="14" style="2" bestFit="1" customWidth="1"/>
    <col min="14" max="16384" width="9" style="72"/>
  </cols>
  <sheetData>
    <row r="1" spans="1:14">
      <c r="A1" s="110" t="s">
        <v>50</v>
      </c>
      <c r="B1" s="111"/>
      <c r="C1" s="111"/>
      <c r="D1" s="111"/>
      <c r="E1" s="111"/>
      <c r="F1" s="111"/>
      <c r="G1" s="111"/>
      <c r="H1" s="111"/>
      <c r="I1" s="111"/>
      <c r="J1" s="111"/>
      <c r="K1" s="111"/>
      <c r="L1" s="111"/>
      <c r="M1" s="112"/>
    </row>
    <row r="2" spans="1:14">
      <c r="A2" s="5" t="s">
        <v>31</v>
      </c>
      <c r="B2" s="5" t="s">
        <v>30</v>
      </c>
      <c r="C2" s="5" t="s">
        <v>54</v>
      </c>
      <c r="D2" s="5" t="s">
        <v>55</v>
      </c>
      <c r="E2" s="5" t="s">
        <v>56</v>
      </c>
      <c r="F2" s="5" t="s">
        <v>29</v>
      </c>
      <c r="G2" s="5" t="s">
        <v>27</v>
      </c>
      <c r="H2" s="5" t="s">
        <v>28</v>
      </c>
      <c r="I2" s="5" t="s">
        <v>58</v>
      </c>
      <c r="J2" s="5" t="s">
        <v>57</v>
      </c>
    </row>
    <row r="3" spans="1:14">
      <c r="A3" s="109" t="s">
        <v>21</v>
      </c>
      <c r="B3" s="4" t="s">
        <v>22</v>
      </c>
      <c r="C3" s="3" t="s">
        <v>25</v>
      </c>
      <c r="D3" s="3" t="s">
        <v>25</v>
      </c>
      <c r="E3" s="3" t="s">
        <v>25</v>
      </c>
      <c r="F3" s="3" t="s">
        <v>23</v>
      </c>
      <c r="G3" s="3" t="s">
        <v>23</v>
      </c>
      <c r="H3" s="3" t="s">
        <v>23</v>
      </c>
      <c r="I3" s="3" t="s">
        <v>59</v>
      </c>
      <c r="J3" s="3" t="s">
        <v>23</v>
      </c>
      <c r="N3" s="2"/>
    </row>
    <row r="4" spans="1:14">
      <c r="A4" s="109"/>
      <c r="B4" s="4" t="s">
        <v>7</v>
      </c>
      <c r="C4" s="3" t="s">
        <v>25</v>
      </c>
      <c r="D4" s="3" t="s">
        <v>25</v>
      </c>
      <c r="E4" s="3" t="s">
        <v>25</v>
      </c>
      <c r="F4" s="3" t="s">
        <v>60</v>
      </c>
      <c r="G4" s="3" t="s">
        <v>23</v>
      </c>
      <c r="H4" s="3" t="s">
        <v>23</v>
      </c>
      <c r="I4" s="3" t="s">
        <v>59</v>
      </c>
      <c r="J4" s="3" t="s">
        <v>60</v>
      </c>
      <c r="N4" s="2"/>
    </row>
    <row r="5" spans="1:14">
      <c r="A5" s="109"/>
      <c r="B5" s="4" t="s">
        <v>63</v>
      </c>
      <c r="C5" s="3" t="s">
        <v>25</v>
      </c>
      <c r="D5" s="3" t="s">
        <v>25</v>
      </c>
      <c r="E5" s="3" t="s">
        <v>25</v>
      </c>
      <c r="F5" s="3" t="s">
        <v>60</v>
      </c>
      <c r="G5" s="3" t="s">
        <v>60</v>
      </c>
      <c r="H5" s="3" t="s">
        <v>23</v>
      </c>
      <c r="I5" s="3" t="s">
        <v>59</v>
      </c>
      <c r="J5" s="3" t="s">
        <v>24</v>
      </c>
      <c r="N5" s="2"/>
    </row>
    <row r="6" spans="1:14">
      <c r="A6" s="109"/>
      <c r="B6" s="4" t="s">
        <v>64</v>
      </c>
      <c r="C6" s="3" t="s">
        <v>25</v>
      </c>
      <c r="D6" s="3" t="s">
        <v>25</v>
      </c>
      <c r="E6" s="3" t="s">
        <v>25</v>
      </c>
      <c r="F6" s="3" t="s">
        <v>25</v>
      </c>
      <c r="G6" s="3" t="s">
        <v>25</v>
      </c>
      <c r="H6" s="3" t="s">
        <v>25</v>
      </c>
      <c r="I6" s="3" t="s">
        <v>24</v>
      </c>
      <c r="J6" s="3" t="s">
        <v>24</v>
      </c>
      <c r="N6" s="2"/>
    </row>
    <row r="7" spans="1:14">
      <c r="A7" s="109"/>
      <c r="B7" s="4" t="s">
        <v>45</v>
      </c>
      <c r="C7" s="3" t="s">
        <v>24</v>
      </c>
      <c r="D7" s="3" t="s">
        <v>24</v>
      </c>
      <c r="E7" s="3" t="s">
        <v>25</v>
      </c>
      <c r="F7" s="3" t="s">
        <v>24</v>
      </c>
      <c r="G7" s="3" t="s">
        <v>24</v>
      </c>
      <c r="H7" s="3" t="s">
        <v>61</v>
      </c>
      <c r="I7" s="3" t="s">
        <v>24</v>
      </c>
      <c r="J7" s="3" t="s">
        <v>24</v>
      </c>
      <c r="N7" s="2"/>
    </row>
    <row r="8" spans="1:14">
      <c r="A8" s="109" t="s">
        <v>2</v>
      </c>
      <c r="B8" s="4" t="s">
        <v>65</v>
      </c>
      <c r="C8" s="3" t="s">
        <v>24</v>
      </c>
      <c r="D8" s="3" t="s">
        <v>24</v>
      </c>
      <c r="E8" s="3" t="s">
        <v>23</v>
      </c>
      <c r="F8" s="3" t="s">
        <v>24</v>
      </c>
      <c r="G8" s="3" t="s">
        <v>24</v>
      </c>
      <c r="H8" s="3" t="s">
        <v>23</v>
      </c>
      <c r="I8" s="3" t="s">
        <v>1</v>
      </c>
      <c r="J8" s="3" t="s">
        <v>24</v>
      </c>
      <c r="N8" s="2"/>
    </row>
    <row r="9" spans="1:14">
      <c r="A9" s="109"/>
      <c r="B9" s="4" t="s">
        <v>26</v>
      </c>
      <c r="C9" s="3" t="s">
        <v>23</v>
      </c>
      <c r="D9" s="3" t="s">
        <v>23</v>
      </c>
      <c r="E9" s="3" t="s">
        <v>23</v>
      </c>
      <c r="F9" s="3" t="s">
        <v>23</v>
      </c>
      <c r="G9" s="3" t="s">
        <v>23</v>
      </c>
      <c r="H9" s="3" t="s">
        <v>23</v>
      </c>
      <c r="I9" s="3" t="s">
        <v>59</v>
      </c>
      <c r="J9" s="3" t="s">
        <v>23</v>
      </c>
      <c r="N9" s="2"/>
    </row>
    <row r="10" spans="1:14">
      <c r="A10" s="109"/>
      <c r="B10" s="4" t="s">
        <v>66</v>
      </c>
      <c r="C10" s="3" t="s">
        <v>1</v>
      </c>
      <c r="D10" s="3" t="s">
        <v>1</v>
      </c>
      <c r="E10" s="3" t="s">
        <v>1</v>
      </c>
      <c r="F10" s="3" t="s">
        <v>1</v>
      </c>
      <c r="G10" s="3" t="s">
        <v>1</v>
      </c>
      <c r="H10" s="3" t="s">
        <v>1</v>
      </c>
      <c r="I10" s="3" t="s">
        <v>1</v>
      </c>
      <c r="J10" s="3" t="s">
        <v>24</v>
      </c>
      <c r="N10" s="2"/>
    </row>
    <row r="11" spans="1:14">
      <c r="A11" s="74"/>
      <c r="B11" s="74"/>
      <c r="C11" s="75"/>
      <c r="D11" s="75"/>
      <c r="E11" s="75"/>
      <c r="F11" s="75"/>
      <c r="G11" s="75"/>
      <c r="H11" s="75"/>
      <c r="N11" s="2"/>
    </row>
    <row r="13" spans="1:14">
      <c r="A13" s="9" t="s">
        <v>31</v>
      </c>
      <c r="B13" s="8" t="s">
        <v>21</v>
      </c>
      <c r="C13" s="8" t="s">
        <v>2</v>
      </c>
    </row>
    <row r="14" spans="1:14">
      <c r="A14" s="7" t="s">
        <v>21</v>
      </c>
      <c r="B14" s="10" t="s">
        <v>22</v>
      </c>
      <c r="C14" s="10" t="s">
        <v>65</v>
      </c>
    </row>
    <row r="15" spans="1:14">
      <c r="A15" s="7" t="s">
        <v>2</v>
      </c>
      <c r="B15" s="10" t="s">
        <v>7</v>
      </c>
      <c r="C15" s="10" t="s">
        <v>26</v>
      </c>
    </row>
    <row r="16" spans="1:14">
      <c r="A16" s="7"/>
      <c r="B16" s="10" t="s">
        <v>63</v>
      </c>
      <c r="C16" s="10" t="s">
        <v>66</v>
      </c>
    </row>
    <row r="17" spans="1:5">
      <c r="A17" s="7"/>
      <c r="B17" s="10" t="s">
        <v>64</v>
      </c>
      <c r="C17" s="10"/>
      <c r="D17" s="6"/>
    </row>
    <row r="18" spans="1:5">
      <c r="B18" s="10" t="s">
        <v>45</v>
      </c>
      <c r="C18" s="10"/>
      <c r="D18" s="6"/>
    </row>
    <row r="19" spans="1:5">
      <c r="B19" s="6"/>
      <c r="C19" s="6"/>
      <c r="D19" s="6"/>
    </row>
    <row r="20" spans="1:5">
      <c r="A20" s="6"/>
      <c r="B20" s="6"/>
      <c r="C20" s="6"/>
      <c r="D20" s="6"/>
    </row>
    <row r="21" spans="1:5">
      <c r="A21" s="6"/>
      <c r="B21" s="6"/>
      <c r="D21" s="6"/>
    </row>
    <row r="24" spans="1:5">
      <c r="A24" s="8" t="s">
        <v>21</v>
      </c>
      <c r="B24" s="8" t="s">
        <v>21</v>
      </c>
      <c r="C24" s="8" t="s">
        <v>21</v>
      </c>
      <c r="D24" s="8" t="s">
        <v>21</v>
      </c>
      <c r="E24" s="8" t="s">
        <v>21</v>
      </c>
    </row>
    <row r="25" spans="1:5">
      <c r="A25" s="8" t="s">
        <v>22</v>
      </c>
      <c r="B25" s="8" t="s">
        <v>7</v>
      </c>
      <c r="C25" s="8" t="s">
        <v>63</v>
      </c>
      <c r="D25" s="8" t="s">
        <v>64</v>
      </c>
      <c r="E25" s="8" t="s">
        <v>45</v>
      </c>
    </row>
    <row r="26" spans="1:5">
      <c r="A26" s="11" t="s">
        <v>54</v>
      </c>
      <c r="B26" s="11" t="s">
        <v>54</v>
      </c>
      <c r="C26" s="11" t="s">
        <v>54</v>
      </c>
      <c r="D26" s="11" t="s">
        <v>54</v>
      </c>
      <c r="E26" s="11" t="s">
        <v>56</v>
      </c>
    </row>
    <row r="27" spans="1:5">
      <c r="A27" s="11" t="s">
        <v>55</v>
      </c>
      <c r="B27" s="11" t="s">
        <v>55</v>
      </c>
      <c r="C27" s="11" t="s">
        <v>55</v>
      </c>
      <c r="D27" s="11" t="s">
        <v>55</v>
      </c>
      <c r="E27" s="11" t="s">
        <v>28</v>
      </c>
    </row>
    <row r="28" spans="1:5">
      <c r="A28" s="11" t="s">
        <v>56</v>
      </c>
      <c r="B28" s="11" t="s">
        <v>56</v>
      </c>
      <c r="C28" s="11" t="s">
        <v>56</v>
      </c>
      <c r="D28" s="11" t="s">
        <v>56</v>
      </c>
    </row>
    <row r="29" spans="1:5">
      <c r="A29" s="11" t="s">
        <v>29</v>
      </c>
      <c r="B29" s="11" t="s">
        <v>29</v>
      </c>
      <c r="C29" s="11" t="s">
        <v>29</v>
      </c>
      <c r="D29" s="11" t="s">
        <v>29</v>
      </c>
    </row>
    <row r="30" spans="1:5">
      <c r="A30" s="11" t="s">
        <v>27</v>
      </c>
      <c r="B30" s="11" t="s">
        <v>27</v>
      </c>
      <c r="C30" s="11" t="s">
        <v>27</v>
      </c>
      <c r="D30" s="11" t="s">
        <v>27</v>
      </c>
    </row>
    <row r="31" spans="1:5">
      <c r="A31" s="11" t="s">
        <v>28</v>
      </c>
      <c r="B31" s="11" t="s">
        <v>28</v>
      </c>
      <c r="C31" s="11" t="s">
        <v>28</v>
      </c>
      <c r="D31" s="11" t="s">
        <v>28</v>
      </c>
    </row>
    <row r="32" spans="1:5">
      <c r="A32" s="11" t="s">
        <v>58</v>
      </c>
      <c r="B32" s="11" t="s">
        <v>58</v>
      </c>
      <c r="C32" s="11" t="s">
        <v>58</v>
      </c>
      <c r="D32" s="11"/>
    </row>
    <row r="33" spans="1:13">
      <c r="A33" s="11" t="s">
        <v>57</v>
      </c>
      <c r="B33" s="11" t="s">
        <v>57</v>
      </c>
      <c r="C33" s="72"/>
    </row>
    <row r="34" spans="1:13">
      <c r="A34" s="72"/>
      <c r="B34" s="72"/>
      <c r="C34" s="72"/>
    </row>
    <row r="35" spans="1:13">
      <c r="A35" s="72"/>
      <c r="B35" s="72"/>
      <c r="C35" s="72"/>
    </row>
    <row r="36" spans="1:13">
      <c r="A36" s="72"/>
      <c r="B36" s="72"/>
      <c r="C36" s="76"/>
    </row>
    <row r="37" spans="1:13">
      <c r="A37" s="76"/>
      <c r="E37" s="76"/>
    </row>
    <row r="39" spans="1:13">
      <c r="A39" s="8" t="s">
        <v>2</v>
      </c>
      <c r="B39" s="8" t="s">
        <v>2</v>
      </c>
      <c r="C39" s="8" t="s">
        <v>2</v>
      </c>
      <c r="M39" s="72"/>
    </row>
    <row r="40" spans="1:13">
      <c r="A40" s="8" t="s">
        <v>65</v>
      </c>
      <c r="B40" s="8" t="s">
        <v>26</v>
      </c>
      <c r="C40" s="8" t="s">
        <v>67</v>
      </c>
      <c r="M40" s="72"/>
    </row>
    <row r="41" spans="1:13">
      <c r="A41" s="11" t="s">
        <v>56</v>
      </c>
      <c r="B41" s="11" t="s">
        <v>54</v>
      </c>
      <c r="C41" s="11" t="s">
        <v>54</v>
      </c>
      <c r="M41" s="72"/>
    </row>
    <row r="42" spans="1:13">
      <c r="A42" s="11" t="s">
        <v>28</v>
      </c>
      <c r="B42" s="11" t="s">
        <v>55</v>
      </c>
      <c r="C42" s="11" t="s">
        <v>55</v>
      </c>
      <c r="M42" s="72"/>
    </row>
    <row r="43" spans="1:13">
      <c r="A43" s="11" t="s">
        <v>58</v>
      </c>
      <c r="B43" s="11" t="s">
        <v>56</v>
      </c>
      <c r="C43" s="11" t="s">
        <v>56</v>
      </c>
      <c r="M43" s="72"/>
    </row>
    <row r="44" spans="1:13">
      <c r="A44" s="11"/>
      <c r="B44" s="11" t="s">
        <v>29</v>
      </c>
      <c r="C44" s="11" t="s">
        <v>29</v>
      </c>
      <c r="M44" s="72"/>
    </row>
    <row r="45" spans="1:13">
      <c r="A45" s="11"/>
      <c r="B45" s="11" t="s">
        <v>27</v>
      </c>
      <c r="C45" s="11" t="s">
        <v>27</v>
      </c>
      <c r="M45" s="72"/>
    </row>
    <row r="46" spans="1:13">
      <c r="B46" s="11" t="s">
        <v>28</v>
      </c>
      <c r="C46" s="11" t="s">
        <v>28</v>
      </c>
      <c r="M46" s="72"/>
    </row>
    <row r="47" spans="1:13">
      <c r="B47" s="11" t="s">
        <v>58</v>
      </c>
      <c r="M47" s="72"/>
    </row>
    <row r="48" spans="1:13">
      <c r="B48" s="11" t="s">
        <v>57</v>
      </c>
    </row>
    <row r="51" spans="1:1">
      <c r="A51" s="76"/>
    </row>
  </sheetData>
  <mergeCells count="3">
    <mergeCell ref="A8:A10"/>
    <mergeCell ref="A3:A7"/>
    <mergeCell ref="A1:M1"/>
  </mergeCells>
  <phoneticPr fontId="15" type="noConversion"/>
  <pageMargins left="0.7" right="0.7" top="0.75" bottom="0.75" header="0.3" footer="0.3"/>
  <pageSetup paperSize="9" orientation="portrait" verticalDpi="4294967295"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工作表</vt:lpstr>
      </vt:variant>
      <vt:variant>
        <vt:i4>4</vt:i4>
      </vt:variant>
      <vt:variant>
        <vt:lpstr>命名范围</vt:lpstr>
      </vt:variant>
      <vt:variant>
        <vt:i4>13</vt:i4>
      </vt:variant>
    </vt:vector>
  </HeadingPairs>
  <TitlesOfParts>
    <vt:vector size="17" baseType="lpstr">
      <vt:lpstr>ScoreCard</vt:lpstr>
      <vt:lpstr>Error Log</vt:lpstr>
      <vt:lpstr>Scores per segment</vt:lpstr>
      <vt:lpstr>Severity_Matrix</vt:lpstr>
      <vt:lpstr>Accuracy</vt:lpstr>
      <vt:lpstr>Addition</vt:lpstr>
      <vt:lpstr>Duplication</vt:lpstr>
      <vt:lpstr>Fluency</vt:lpstr>
      <vt:lpstr>Inaccuracy_external</vt:lpstr>
      <vt:lpstr>Inaccuracy_internal</vt:lpstr>
      <vt:lpstr>Inappropriate_Selection_of_Words</vt:lpstr>
      <vt:lpstr>Issue_Type</vt:lpstr>
      <vt:lpstr>Omission</vt:lpstr>
      <vt:lpstr>Positive_Negative_Aspect</vt:lpstr>
      <vt:lpstr>Spelling</vt:lpstr>
      <vt:lpstr>Word_From</vt:lpstr>
      <vt:lpstr>Word_Order</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庵 怒</dc:creator>
  <cp:lastModifiedBy>hdd</cp:lastModifiedBy>
  <dcterms:created xsi:type="dcterms:W3CDTF">2016-06-07T12:18:19Z</dcterms:created>
  <dcterms:modified xsi:type="dcterms:W3CDTF">2020-11-27T09:19:11Z</dcterms:modified>
</cp:coreProperties>
</file>